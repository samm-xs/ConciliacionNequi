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bro auxiliar vs banco" sheetId="1" state="visible" r:id="rId1"/>
    <sheet xmlns:r="http://schemas.openxmlformats.org/officeDocument/2006/relationships" name="Conciliacion de compuestos" sheetId="2" state="visible" r:id="rId2"/>
    <sheet xmlns:r="http://schemas.openxmlformats.org/officeDocument/2006/relationships" name="Registros pendientes del banco" sheetId="3" state="visible" r:id="rId3"/>
    <sheet xmlns:r="http://schemas.openxmlformats.org/officeDocument/2006/relationships" name="Conceptos bancarios" sheetId="4" state="visible" r:id="rId4"/>
    <sheet xmlns:r="http://schemas.openxmlformats.org/officeDocument/2006/relationships" name="Extractos banco" sheetId="5" state="visible" r:id="rId5"/>
    <sheet xmlns:r="http://schemas.openxmlformats.org/officeDocument/2006/relationships" name="Libro Auxiliar" sheetId="6" state="visible" r:id="rId6"/>
  </sheets>
  <definedNames>
    <definedName name="_xlnm._FilterDatabase" localSheetId="0" hidden="1">'Libro auxiliar vs banco'!$A$3:$H$1257</definedName>
    <definedName name="_xlnm._FilterDatabase" localSheetId="1" hidden="1">'Conciliacion de compuestos'!$A$1:$O$71</definedName>
    <definedName name="_xlnm._FilterDatabase" localSheetId="2" hidden="1">'Registros pendientes del banco'!$A$2:$E$187</definedName>
    <definedName name="_xlnm._FilterDatabase" localSheetId="3" hidden="1">'Conceptos bancarios'!$A$1:$D$3</definedName>
    <definedName name="_xlnm._FilterDatabase" localSheetId="4" hidden="1">'Extractos banco'!$A$1:$E$1357</definedName>
    <definedName name="_xlnm._FilterDatabase" localSheetId="5" hidden="1">'Libro Auxiliar'!$A$1:$J$1255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yyyy-mm-dd h:mm:ss"/>
    <numFmt numFmtId="167" formatCode="YYYY-MM-DD HH:MM:SS"/>
  </numFmts>
  <fonts count="4">
    <font>
      <name val="Calibri"/>
      <family val="2"/>
      <color theme="1"/>
      <sz val="11"/>
      <scheme val="minor"/>
    </font>
    <font>
      <b val="1"/>
      <i val="1"/>
      <color rgb="00FFFFFF"/>
      <sz val="20"/>
    </font>
    <font>
      <b val="1"/>
      <color rgb="00FFFFFF"/>
      <sz val="14"/>
    </font>
    <font>
      <sz val="13"/>
    </font>
  </fonts>
  <fills count="6">
    <fill>
      <patternFill/>
    </fill>
    <fill>
      <patternFill patternType="gray125"/>
    </fill>
    <fill>
      <patternFill patternType="solid">
        <fgColor rgb="00A64D79"/>
        <bgColor rgb="00A64D79"/>
      </patternFill>
    </fill>
    <fill>
      <patternFill patternType="solid">
        <fgColor rgb="003C78D8"/>
        <bgColor rgb="003C78D8"/>
      </patternFill>
    </fill>
    <fill>
      <patternFill patternType="solid">
        <fgColor rgb="00BF9000"/>
        <bgColor rgb="00BF9000"/>
      </patternFill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/>
    </xf>
    <xf numFmtId="164" fontId="0" fillId="0" borderId="1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164" fontId="2" fillId="5" borderId="1" applyAlignment="1" pivotButton="0" quotePrefix="0" xfId="0">
      <alignment horizontal="center" vertical="center"/>
    </xf>
    <xf numFmtId="4" fontId="2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4" fontId="3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4">
    <dxf>
      <fill>
        <patternFill patternType="solid">
          <fgColor rgb="00D9EAD3"/>
          <bgColor rgb="00D9EAD3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4CCCC"/>
          <bgColor rgb="00F4CCCC"/>
        </patternFill>
      </fill>
    </dxf>
    <dxf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Conciliacion</author>
  </authors>
  <commentList>
    <comment ref="H3" authorId="0" shapeId="0">
      <text>
        <t>Podrías usar un formato así:
ID / dd-mm-yyyy / nombre / valor
ID / dd-mm-yyyy / nombre / valor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8" customWidth="1" min="3" max="3"/>
    <col width="16" customWidth="1" min="4" max="4"/>
    <col width="14" customWidth="1" min="5" max="5"/>
    <col width="65" customWidth="1" min="6" max="6"/>
    <col width="16" customWidth="1" min="7" max="7"/>
    <col width="55" customWidth="1" min="8" max="8"/>
    <col hidden="1" width="13" customWidth="1" min="9" max="9"/>
  </cols>
  <sheetData>
    <row r="1">
      <c r="A1" s="1" t="inlineStr">
        <is>
          <t>Conciliacion Bancaria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Libro Auxiliar</t>
        </is>
      </c>
      <c r="B2" s="4" t="n"/>
      <c r="C2" s="2" t="n"/>
      <c r="D2" s="5" t="n"/>
      <c r="E2" s="6" t="inlineStr">
        <is>
          <t>Conciliacion Automatica</t>
        </is>
      </c>
      <c r="F2" s="2" t="n"/>
      <c r="G2" s="7" t="inlineStr">
        <is>
          <t>Conciliacion manual</t>
        </is>
      </c>
      <c r="H2" s="2" t="n"/>
      <c r="I2" s="2" t="n"/>
    </row>
    <row r="3">
      <c r="A3" s="8" t="inlineStr">
        <is>
          <t>ID</t>
        </is>
      </c>
      <c r="B3" s="9" t="inlineStr">
        <is>
          <t>Fecha</t>
        </is>
      </c>
      <c r="C3" s="8" t="inlineStr">
        <is>
          <t>Nombre</t>
        </is>
      </c>
      <c r="D3" s="10" t="inlineStr">
        <is>
          <t>Valor</t>
        </is>
      </c>
      <c r="E3" s="8" t="inlineStr">
        <is>
          <t>Estado</t>
        </is>
      </c>
      <c r="F3" s="8" t="inlineStr">
        <is>
          <t>Conciliado del banco con registros:</t>
        </is>
      </c>
      <c r="G3" s="8" t="inlineStr">
        <is>
          <t>Estado</t>
        </is>
      </c>
      <c r="H3" s="8" t="inlineStr">
        <is>
          <t>Conciliado del banco con registros:</t>
        </is>
      </c>
      <c r="I3" s="8" t="inlineStr">
        <is>
          <t>Estado automatico base</t>
        </is>
      </c>
    </row>
    <row r="4">
      <c r="A4" s="11" t="n">
        <v>1244</v>
      </c>
      <c r="B4" s="12" t="n">
        <v>46112</v>
      </c>
      <c r="C4" s="11" t="inlineStr">
        <is>
          <t>ceron domingo jose</t>
        </is>
      </c>
      <c r="D4" s="13" t="n">
        <v>4400</v>
      </c>
      <c r="E4" s="11">
        <f>IF(G4="conciliado","conciliado",I4)</f>
        <v/>
      </c>
      <c r="F4" s="11" t="inlineStr">
        <is>
          <t>1 | 2026-03-31 | 4,400 | ceron domingo jose</t>
        </is>
      </c>
      <c r="G4" s="11">
        <f>IF(I4="conciliado","conciliado","por revisar")</f>
        <v/>
      </c>
      <c r="H4" s="11" t="inlineStr"/>
      <c r="I4" s="11" t="inlineStr">
        <is>
          <t>conciliado</t>
        </is>
      </c>
    </row>
    <row r="5">
      <c r="A5" s="11" t="n">
        <v>1246</v>
      </c>
      <c r="B5" s="12" t="n">
        <v>46112</v>
      </c>
      <c r="C5" s="11" t="inlineStr">
        <is>
          <t>benavides edwi marin</t>
        </is>
      </c>
      <c r="D5" s="13" t="n">
        <v>8600</v>
      </c>
      <c r="E5" s="11">
        <f>IF(G5="conciliado","conciliado",I5)</f>
        <v/>
      </c>
      <c r="F5" s="11" t="inlineStr">
        <is>
          <t>2 | 2026-03-31 | 8,600 | andres edwin marin</t>
        </is>
      </c>
      <c r="G5" s="11">
        <f>IF(I5="conciliado","conciliado","por revisar")</f>
        <v/>
      </c>
      <c r="H5" s="11" t="inlineStr"/>
      <c r="I5" s="11" t="inlineStr">
        <is>
          <t>conciliado</t>
        </is>
      </c>
    </row>
    <row r="6">
      <c r="A6" s="11" t="n">
        <v>1242</v>
      </c>
      <c r="B6" s="12" t="n">
        <v>46112</v>
      </c>
      <c r="C6" s="11" t="inlineStr">
        <is>
          <t>burbano cardenas jua</t>
        </is>
      </c>
      <c r="D6" s="13" t="n">
        <v>20100</v>
      </c>
      <c r="E6" s="11">
        <f>IF(G6="conciliado","conciliado",I6)</f>
        <v/>
      </c>
      <c r="F6" s="11" t="inlineStr">
        <is>
          <t>3 | 2026-03-31 | 20,100 | cardenas juan sebastian</t>
        </is>
      </c>
      <c r="G6" s="11">
        <f>IF(I6="conciliado","conciliado","por revisar")</f>
        <v/>
      </c>
      <c r="H6" s="11" t="inlineStr"/>
      <c r="I6" s="11" t="inlineStr">
        <is>
          <t>conciliado</t>
        </is>
      </c>
    </row>
    <row r="7">
      <c r="A7" s="11" t="n">
        <v>1231</v>
      </c>
      <c r="B7" s="12" t="n">
        <v>46112</v>
      </c>
      <c r="C7" s="11" t="inlineStr">
        <is>
          <t>bolanos n palandines</t>
        </is>
      </c>
      <c r="D7" s="13" t="n">
        <v>57000</v>
      </c>
      <c r="E7" s="11">
        <f>IF(G7="conciliado","conciliado",I7)</f>
        <v/>
      </c>
      <c r="F7" s="11" t="inlineStr">
        <is>
          <t>5 | 2026-03-31 | 57,000 | nilsa paladines ruth</t>
        </is>
      </c>
      <c r="G7" s="11">
        <f>IF(I7="conciliado","conciliado","por revisar")</f>
        <v/>
      </c>
      <c r="H7" s="11" t="inlineStr"/>
      <c r="I7" s="11" t="inlineStr">
        <is>
          <t>conciliado</t>
        </is>
      </c>
    </row>
    <row r="8">
      <c r="A8" s="11" t="n">
        <v>1249</v>
      </c>
      <c r="B8" s="12" t="n">
        <v>46112</v>
      </c>
      <c r="C8" s="11" t="inlineStr">
        <is>
          <t>ad hipia luz riascos</t>
        </is>
      </c>
      <c r="D8" s="13" t="n">
        <v>20400</v>
      </c>
      <c r="E8" s="11">
        <f>IF(G8="conciliado","conciliado",I8)</f>
        <v/>
      </c>
      <c r="F8" s="11" t="inlineStr">
        <is>
          <t>6 | 2026-03-31 | 20,400 | adriana hipia luz riascos</t>
        </is>
      </c>
      <c r="G8" s="11">
        <f>IF(I8="conciliado","conciliado","por revisar")</f>
        <v/>
      </c>
      <c r="H8" s="11" t="inlineStr"/>
      <c r="I8" s="11" t="inlineStr">
        <is>
          <t>conciliado</t>
        </is>
      </c>
    </row>
    <row r="9">
      <c r="A9" s="11" t="n">
        <v>1229</v>
      </c>
      <c r="B9" s="12" t="n">
        <v>46112</v>
      </c>
      <c r="C9" s="11" t="inlineStr">
        <is>
          <t>chavez galarza luis</t>
        </is>
      </c>
      <c r="D9" s="13" t="n">
        <v>38000</v>
      </c>
      <c r="E9" s="11">
        <f>IF(G9="conciliado","conciliado",I9)</f>
        <v/>
      </c>
      <c r="F9" s="11" t="inlineStr">
        <is>
          <t>7 | 2026-03-31 | 38,000 | chavez fernando luis</t>
        </is>
      </c>
      <c r="G9" s="11">
        <f>IF(I9="conciliado","conciliado","por revisar")</f>
        <v/>
      </c>
      <c r="H9" s="11" t="inlineStr"/>
      <c r="I9" s="11" t="inlineStr">
        <is>
          <t>conciliado</t>
        </is>
      </c>
    </row>
    <row r="10">
      <c r="A10" s="11" t="n">
        <v>1234</v>
      </c>
      <c r="B10" s="12" t="n">
        <v>46112</v>
      </c>
      <c r="C10" s="11" t="inlineStr">
        <is>
          <t>avila daniela fernan</t>
        </is>
      </c>
      <c r="D10" s="13" t="n">
        <v>11600</v>
      </c>
      <c r="E10" s="11">
        <f>IF(G10="conciliado","conciliado",I10)</f>
        <v/>
      </c>
      <c r="F10" s="11" t="inlineStr">
        <is>
          <t>9 | 2026-03-31 | 11,600 | avila daniela fernanda</t>
        </is>
      </c>
      <c r="G10" s="11">
        <f>IF(I10="conciliado","conciliado","por revisar")</f>
        <v/>
      </c>
      <c r="H10" s="11" t="inlineStr"/>
      <c r="I10" s="11" t="inlineStr">
        <is>
          <t>conciliado</t>
        </is>
      </c>
    </row>
    <row r="11">
      <c r="A11" s="11" t="n">
        <v>1243</v>
      </c>
      <c r="B11" s="12" t="n">
        <v>46112</v>
      </c>
      <c r="C11" s="11" t="inlineStr">
        <is>
          <t>caroli pinto saldana</t>
        </is>
      </c>
      <c r="D11" s="13" t="n">
        <v>4700</v>
      </c>
      <c r="E11" s="11">
        <f>IF(G11="conciliado","conciliado",I11)</f>
        <v/>
      </c>
      <c r="F11" s="11" t="inlineStr">
        <is>
          <t>10 | 2026-03-31 | 4,700 | caroline pinto saldana</t>
        </is>
      </c>
      <c r="G11" s="11">
        <f>IF(I11="conciliado","conciliado","por revisar")</f>
        <v/>
      </c>
      <c r="H11" s="11" t="inlineStr"/>
      <c r="I11" s="11" t="inlineStr">
        <is>
          <t>conciliado</t>
        </is>
      </c>
    </row>
    <row r="12">
      <c r="A12" s="11" t="n">
        <v>1254</v>
      </c>
      <c r="B12" s="12" t="n">
        <v>46112</v>
      </c>
      <c r="C12" s="11" t="inlineStr">
        <is>
          <t>ed garcia lopez olga</t>
        </is>
      </c>
      <c r="D12" s="13" t="n">
        <v>300000</v>
      </c>
      <c r="E12" s="11">
        <f>IF(G12="conciliado","conciliado",I12)</f>
        <v/>
      </c>
      <c r="F12" s="11" t="inlineStr">
        <is>
          <t>12 | 2026-03-31 | 300,000 | edilma lopez olga</t>
        </is>
      </c>
      <c r="G12" s="11">
        <f>IF(I12="conciliado","conciliado","por revisar")</f>
        <v/>
      </c>
      <c r="H12" s="11" t="inlineStr"/>
      <c r="I12" s="11" t="inlineStr">
        <is>
          <t>conciliado</t>
        </is>
      </c>
    </row>
    <row r="13">
      <c r="A13" s="11" t="n">
        <v>1253</v>
      </c>
      <c r="B13" s="12" t="n">
        <v>46112</v>
      </c>
      <c r="C13" s="11" t="inlineStr">
        <is>
          <t>avila en luis rivera</t>
        </is>
      </c>
      <c r="D13" s="13" t="n">
        <v>500000</v>
      </c>
      <c r="E13" s="11">
        <f>IF(G13="conciliado","conciliado",I13)</f>
        <v/>
      </c>
      <c r="F13" s="11" t="inlineStr">
        <is>
          <t>13 | 2026-03-31 | 500,000 | andry lopez mayerly</t>
        </is>
      </c>
      <c r="G13" s="11">
        <f>IF(I13="conciliado","conciliado","por revisar")</f>
        <v/>
      </c>
      <c r="H13" s="11" t="inlineStr"/>
      <c r="I13" s="11" t="inlineStr">
        <is>
          <t>conciliado</t>
        </is>
      </c>
    </row>
    <row r="14">
      <c r="A14" s="11" t="n">
        <v>1226</v>
      </c>
      <c r="B14" s="12" t="n">
        <v>46112</v>
      </c>
      <c r="C14" s="11" t="inlineStr">
        <is>
          <t>cordero correa diana</t>
        </is>
      </c>
      <c r="D14" s="13" t="n">
        <v>23700</v>
      </c>
      <c r="E14" s="11">
        <f>IF(G14="conciliado","conciliado",I14)</f>
        <v/>
      </c>
      <c r="F14" s="11" t="inlineStr">
        <is>
          <t>14 | 2026-03-31 | 23,700 | cordero diana katerine</t>
        </is>
      </c>
      <c r="G14" s="11">
        <f>IF(I14="conciliado","conciliado","por revisar")</f>
        <v/>
      </c>
      <c r="H14" s="11" t="inlineStr"/>
      <c r="I14" s="11" t="inlineStr">
        <is>
          <t>conciliado</t>
        </is>
      </c>
    </row>
    <row r="15">
      <c r="A15" s="11" t="n">
        <v>1248</v>
      </c>
      <c r="B15" s="12" t="n">
        <v>46112</v>
      </c>
      <c r="C15" s="11" t="inlineStr">
        <is>
          <t>guerrero rivadeneira</t>
        </is>
      </c>
      <c r="D15" s="13" t="n">
        <v>11600</v>
      </c>
      <c r="E15" s="11">
        <f>IF(G15="conciliado","conciliado",I15)</f>
        <v/>
      </c>
      <c r="F15" s="11" t="inlineStr">
        <is>
          <t>15 | 2026-03-31 | 11,600 | guerrero kelly samanta</t>
        </is>
      </c>
      <c r="G15" s="11">
        <f>IF(I15="conciliado","conciliado","por revisar")</f>
        <v/>
      </c>
      <c r="H15" s="11" t="inlineStr"/>
      <c r="I15" s="11" t="inlineStr">
        <is>
          <t>conciliado</t>
        </is>
      </c>
    </row>
    <row r="16">
      <c r="A16" s="11" t="n">
        <v>1247</v>
      </c>
      <c r="B16" s="12" t="n">
        <v>46112</v>
      </c>
      <c r="C16" s="11" t="inlineStr">
        <is>
          <t>buitron ka rodriguez</t>
        </is>
      </c>
      <c r="D16" s="13" t="n">
        <v>4600</v>
      </c>
      <c r="E16" s="11">
        <f>IF(G16="conciliado","conciliado",I16)</f>
        <v/>
      </c>
      <c r="F16" s="11" t="inlineStr">
        <is>
          <t>16 | 2026-03-31 | 4,600 | karen rodriguez tatiana</t>
        </is>
      </c>
      <c r="G16" s="11">
        <f>IF(I16="conciliado","conciliado","por revisar")</f>
        <v/>
      </c>
      <c r="H16" s="11" t="inlineStr"/>
      <c r="I16" s="11" t="inlineStr">
        <is>
          <t>conciliado</t>
        </is>
      </c>
    </row>
    <row r="17">
      <c r="A17" s="11" t="n">
        <v>1250</v>
      </c>
      <c r="B17" s="12" t="n">
        <v>46112</v>
      </c>
      <c r="C17" s="11" t="inlineStr">
        <is>
          <t>ordonez rojas yeni</t>
        </is>
      </c>
      <c r="D17" s="13" t="n">
        <v>12300</v>
      </c>
      <c r="E17" s="11">
        <f>IF(G17="conciliado","conciliado",I17)</f>
        <v/>
      </c>
      <c r="F17" s="11" t="inlineStr">
        <is>
          <t>19 | 2026-03-31 | 12,300 | rojas yenny yohana</t>
        </is>
      </c>
      <c r="G17" s="11">
        <f>IF(I17="conciliado","conciliado","por revisar")</f>
        <v/>
      </c>
      <c r="H17" s="11" t="inlineStr"/>
      <c r="I17" s="11" t="inlineStr">
        <is>
          <t>conciliado</t>
        </is>
      </c>
    </row>
    <row r="18">
      <c r="A18" s="11" t="n">
        <v>1230</v>
      </c>
      <c r="B18" s="12" t="n">
        <v>46112</v>
      </c>
      <c r="C18" s="11" t="inlineStr">
        <is>
          <t>alvear mart martinez</t>
        </is>
      </c>
      <c r="D18" s="13" t="n">
        <v>5900</v>
      </c>
      <c r="E18" s="11">
        <f>IF(G18="conciliado","conciliado",I18)</f>
        <v/>
      </c>
      <c r="F18" s="11" t="inlineStr">
        <is>
          <t>20 | 2026-03-31 | 5,900 | liliana martha martinez</t>
        </is>
      </c>
      <c r="G18" s="11">
        <f>IF(I18="conciliado","conciliado","por revisar")</f>
        <v/>
      </c>
      <c r="H18" s="11" t="inlineStr"/>
      <c r="I18" s="11" t="inlineStr">
        <is>
          <t>conciliado</t>
        </is>
      </c>
    </row>
    <row r="19">
      <c r="A19" s="11" t="n">
        <v>1237</v>
      </c>
      <c r="B19" s="12" t="n">
        <v>46112</v>
      </c>
      <c r="C19" s="11" t="inlineStr">
        <is>
          <t>al hover ortiz perez</t>
        </is>
      </c>
      <c r="D19" s="13" t="n">
        <v>23500</v>
      </c>
      <c r="E19" s="11">
        <f>IF(G19="conciliado","conciliado",I19)</f>
        <v/>
      </c>
      <c r="F19" s="11" t="inlineStr">
        <is>
          <t>21 | 2026-03-31 | 23,500 | alberto hover perez</t>
        </is>
      </c>
      <c r="G19" s="11">
        <f>IF(I19="conciliado","conciliado","por revisar")</f>
        <v/>
      </c>
      <c r="H19" s="11" t="inlineStr"/>
      <c r="I19" s="11" t="inlineStr">
        <is>
          <t>conciliado</t>
        </is>
      </c>
    </row>
    <row r="20">
      <c r="A20" s="11" t="n">
        <v>1235</v>
      </c>
      <c r="B20" s="12" t="n">
        <v>46112</v>
      </c>
      <c r="C20" s="11" t="inlineStr">
        <is>
          <t>janie pantoja taicus</t>
        </is>
      </c>
      <c r="D20" s="13" t="n">
        <v>4000</v>
      </c>
      <c r="E20" s="11">
        <f>IF(G20="conciliado","conciliado",I20)</f>
        <v/>
      </c>
      <c r="F20" s="11" t="inlineStr">
        <is>
          <t>22 | 2026-03-31 | 4,000 | eduardo janier taicus</t>
        </is>
      </c>
      <c r="G20" s="11">
        <f>IF(I20="conciliado","conciliado","por revisar")</f>
        <v/>
      </c>
      <c r="H20" s="11" t="inlineStr"/>
      <c r="I20" s="11" t="inlineStr">
        <is>
          <t>conciliado</t>
        </is>
      </c>
    </row>
    <row r="21">
      <c r="A21" s="11" t="n">
        <v>1252</v>
      </c>
      <c r="B21" s="12" t="n">
        <v>46112</v>
      </c>
      <c r="C21" s="11" t="inlineStr">
        <is>
          <t>guerrero ju palacios</t>
        </is>
      </c>
      <c r="D21" s="13" t="n">
        <v>35300</v>
      </c>
      <c r="E21" s="11">
        <f>IF(G21="conciliado","conciliado",I21)</f>
        <v/>
      </c>
      <c r="F21" s="11" t="inlineStr">
        <is>
          <t>24 | 2026-03-31 | 35,300 | david guerrero juan</t>
        </is>
      </c>
      <c r="G21" s="11">
        <f>IF(I21="conciliado","conciliado","por revisar")</f>
        <v/>
      </c>
      <c r="H21" s="11" t="inlineStr"/>
      <c r="I21" s="11" t="inlineStr">
        <is>
          <t>conciliado</t>
        </is>
      </c>
    </row>
    <row r="22">
      <c r="A22" s="11" t="n">
        <v>1251</v>
      </c>
      <c r="B22" s="12" t="n">
        <v>46112</v>
      </c>
      <c r="C22" s="11" t="inlineStr">
        <is>
          <t>benavides rodriguez</t>
        </is>
      </c>
      <c r="D22" s="13" t="n">
        <v>18500</v>
      </c>
      <c r="E22" s="11">
        <f>IF(G22="conciliado","conciliado",I22)</f>
        <v/>
      </c>
      <c r="F22" s="11" t="inlineStr">
        <is>
          <t>25 | 2026-03-31 | 18,500 | ana benavides rodriguez</t>
        </is>
      </c>
      <c r="G22" s="11">
        <f>IF(I22="conciliado","conciliado","por revisar")</f>
        <v/>
      </c>
      <c r="H22" s="11" t="inlineStr"/>
      <c r="I22" s="11" t="inlineStr">
        <is>
          <t>conciliado</t>
        </is>
      </c>
    </row>
    <row r="23">
      <c r="A23" s="11" t="n">
        <v>1239</v>
      </c>
      <c r="B23" s="12" t="n">
        <v>46112</v>
      </c>
      <c r="C23" s="11" t="inlineStr">
        <is>
          <t>aldana joha renteria</t>
        </is>
      </c>
      <c r="D23" s="13" t="n">
        <v>2200</v>
      </c>
      <c r="E23" s="11">
        <f>IF(G23="conciliado","conciliado",I23)</f>
        <v/>
      </c>
      <c r="F23" s="11" t="inlineStr">
        <is>
          <t>28 | 2026-03-31 | 2,200 | aldana johan renteria</t>
        </is>
      </c>
      <c r="G23" s="11">
        <f>IF(I23="conciliado","conciliado","por revisar")</f>
        <v/>
      </c>
      <c r="H23" s="11" t="inlineStr"/>
      <c r="I23" s="11" t="inlineStr">
        <is>
          <t>conciliado</t>
        </is>
      </c>
    </row>
    <row r="24">
      <c r="A24" s="11" t="n">
        <v>1238</v>
      </c>
      <c r="B24" s="12" t="n">
        <v>46112</v>
      </c>
      <c r="C24" s="11" t="inlineStr">
        <is>
          <t>aco consorcio obras</t>
        </is>
      </c>
      <c r="D24" s="13" t="n">
        <v>1500</v>
      </c>
      <c r="E24" s="11">
        <f>IF(G24="conciliado","conciliado",I24)</f>
        <v/>
      </c>
      <c r="F24" s="11" t="inlineStr">
        <is>
          <t>29 | 2026-03-31 | 1,500 | andres bravo edwar</t>
        </is>
      </c>
      <c r="G24" s="11">
        <f>IF(I24="conciliado","conciliado","por revisar")</f>
        <v/>
      </c>
      <c r="H24" s="11" t="inlineStr"/>
      <c r="I24" s="11" t="inlineStr">
        <is>
          <t>conciliado</t>
        </is>
      </c>
    </row>
    <row r="25">
      <c r="A25" s="11" t="n">
        <v>1223</v>
      </c>
      <c r="B25" s="12" t="n">
        <v>46112</v>
      </c>
      <c r="C25" s="11" t="inlineStr">
        <is>
          <t>distri sas venus</t>
        </is>
      </c>
      <c r="D25" s="13" t="n">
        <v>-1393007</v>
      </c>
      <c r="E25" s="11">
        <f>IF(G25="conciliado","conciliado",I25)</f>
        <v/>
      </c>
      <c r="F25" s="11" t="inlineStr">
        <is>
          <t>30 | 2026-03-31 | -1,393,007 | colombia plasticaucho</t>
        </is>
      </c>
      <c r="G25" s="11">
        <f>IF(I25="conciliado","conciliado","por revisar")</f>
        <v/>
      </c>
      <c r="H25" s="11" t="inlineStr"/>
      <c r="I25" s="11" t="inlineStr">
        <is>
          <t>conciliado</t>
        </is>
      </c>
    </row>
    <row r="26">
      <c r="A26" s="11" t="n">
        <v>1241</v>
      </c>
      <c r="B26" s="12" t="n">
        <v>46112</v>
      </c>
      <c r="C26" s="11" t="inlineStr">
        <is>
          <t>cl sanchez santacruz</t>
        </is>
      </c>
      <c r="D26" s="13" t="n">
        <v>157600</v>
      </c>
      <c r="E26" s="11">
        <f>IF(G26="conciliado","conciliado",I26)</f>
        <v/>
      </c>
      <c r="F26" s="11" t="inlineStr">
        <is>
          <t>32 | 2026-03-31 | 157,600 | b bre claudia</t>
        </is>
      </c>
      <c r="G26" s="11">
        <f>IF(I26="conciliado","conciliado","por revisar")</f>
        <v/>
      </c>
      <c r="H26" s="11" t="inlineStr"/>
      <c r="I26" s="11" t="inlineStr">
        <is>
          <t>conciliado</t>
        </is>
      </c>
    </row>
    <row r="27">
      <c r="A27" s="11" t="n">
        <v>1240</v>
      </c>
      <c r="B27" s="12" t="n">
        <v>46112</v>
      </c>
      <c r="C27" s="11" t="inlineStr">
        <is>
          <t>cubillos niv ordones</t>
        </is>
      </c>
      <c r="D27" s="13" t="n">
        <v>11300</v>
      </c>
      <c r="E27" s="11">
        <f>IF(G27="conciliado","conciliado",I27)</f>
        <v/>
      </c>
      <c r="F27" s="11" t="inlineStr">
        <is>
          <t>33 | 2026-03-31 | 11,300 | cubillos nivia ordones</t>
        </is>
      </c>
      <c r="G27" s="11">
        <f>IF(I27="conciliado","conciliado","por revisar")</f>
        <v/>
      </c>
      <c r="H27" s="11" t="inlineStr"/>
      <c r="I27" s="11" t="inlineStr">
        <is>
          <t>conciliado</t>
        </is>
      </c>
    </row>
    <row r="28">
      <c r="A28" s="11" t="n">
        <v>1182</v>
      </c>
      <c r="B28" s="12" t="n">
        <v>46111</v>
      </c>
      <c r="C28" s="11" t="inlineStr">
        <is>
          <t>cuaran erazo marwin</t>
        </is>
      </c>
      <c r="D28" s="13" t="n">
        <v>8800</v>
      </c>
      <c r="E28" s="11">
        <f>IF(G28="conciliado","conciliado",I28)</f>
        <v/>
      </c>
      <c r="F28" s="11" t="inlineStr">
        <is>
          <t>35 | 2026-03-30 | 8,800 | duvany erazo marwin</t>
        </is>
      </c>
      <c r="G28" s="11">
        <f>IF(I28="conciliado","conciliado","por revisar")</f>
        <v/>
      </c>
      <c r="H28" s="11" t="inlineStr"/>
      <c r="I28" s="11" t="inlineStr">
        <is>
          <t>conciliado</t>
        </is>
      </c>
    </row>
    <row r="29">
      <c r="A29" s="11" t="n">
        <v>1193</v>
      </c>
      <c r="B29" s="12" t="n">
        <v>46111</v>
      </c>
      <c r="C29" s="11" t="inlineStr">
        <is>
          <t>elkin jimenez mena o</t>
        </is>
      </c>
      <c r="D29" s="13" t="n">
        <v>21100</v>
      </c>
      <c r="E29" s="11">
        <f>IF(G29="conciliado","conciliado",I29)</f>
        <v/>
      </c>
      <c r="F29" s="11" t="inlineStr">
        <is>
          <t>36 | 2026-03-30 | 21,100 | b bre elkin</t>
        </is>
      </c>
      <c r="G29" s="11">
        <f>IF(I29="conciliado","conciliado","por revisar")</f>
        <v/>
      </c>
      <c r="H29" s="11" t="inlineStr"/>
      <c r="I29" s="11" t="inlineStr">
        <is>
          <t>conciliado</t>
        </is>
      </c>
    </row>
    <row r="30">
      <c r="A30" s="11" t="n">
        <v>1218</v>
      </c>
      <c r="B30" s="12" t="n">
        <v>46111</v>
      </c>
      <c r="C30" s="11" t="inlineStr">
        <is>
          <t>chasoy judy timaran</t>
        </is>
      </c>
      <c r="D30" s="13" t="n">
        <v>60900</v>
      </c>
      <c r="E30" s="11">
        <f>IF(G30="conciliado","conciliado",I30)</f>
        <v/>
      </c>
      <c r="F30" s="11" t="inlineStr">
        <is>
          <t>37 | 2026-03-30 | 60,900 | b bre judy</t>
        </is>
      </c>
      <c r="G30" s="11">
        <f>IF(I30="conciliado","conciliado","por revisar")</f>
        <v/>
      </c>
      <c r="H30" s="11" t="inlineStr"/>
      <c r="I30" s="11" t="inlineStr">
        <is>
          <t>conciliado</t>
        </is>
      </c>
    </row>
    <row r="31">
      <c r="A31" s="11" t="n">
        <v>1209</v>
      </c>
      <c r="B31" s="12" t="n">
        <v>46111</v>
      </c>
      <c r="C31" s="11" t="inlineStr">
        <is>
          <t>cubillos cuellar hug</t>
        </is>
      </c>
      <c r="D31" s="13" t="n">
        <v>38300</v>
      </c>
      <c r="E31" s="11">
        <f>IF(G31="conciliado","conciliado",I31)</f>
        <v/>
      </c>
      <c r="F31" s="11" t="inlineStr">
        <is>
          <t>38 | 2026-03-30 | 38,300 | cubillos hugo</t>
        </is>
      </c>
      <c r="G31" s="11">
        <f>IF(I31="conciliado","conciliado","por revisar")</f>
        <v/>
      </c>
      <c r="H31" s="11" t="inlineStr"/>
      <c r="I31" s="11" t="inlineStr">
        <is>
          <t>conciliado</t>
        </is>
      </c>
    </row>
    <row r="32">
      <c r="A32" s="11" t="n">
        <v>1196</v>
      </c>
      <c r="B32" s="12" t="n">
        <v>46111</v>
      </c>
      <c r="C32" s="11" t="inlineStr">
        <is>
          <t>fajardo liss pantoja</t>
        </is>
      </c>
      <c r="D32" s="13" t="n">
        <v>42400</v>
      </c>
      <c r="E32" s="11">
        <f>IF(G32="conciliado","conciliado",I32)</f>
        <v/>
      </c>
      <c r="F32" s="11" t="inlineStr">
        <is>
          <t>39 | 2026-03-30 | 42,400 | fajardo lisseth paola</t>
        </is>
      </c>
      <c r="G32" s="11">
        <f>IF(I32="conciliado","conciliado","por revisar")</f>
        <v/>
      </c>
      <c r="H32" s="11" t="inlineStr"/>
      <c r="I32" s="11" t="inlineStr">
        <is>
          <t>conciliado</t>
        </is>
      </c>
    </row>
    <row r="33">
      <c r="A33" s="11" t="n">
        <v>1206</v>
      </c>
      <c r="B33" s="12" t="n">
        <v>46111</v>
      </c>
      <c r="C33" s="11" t="inlineStr">
        <is>
          <t>giraldo gre polanias</t>
        </is>
      </c>
      <c r="D33" s="13" t="n">
        <v>10000</v>
      </c>
      <c r="E33" s="11">
        <f>IF(G33="conciliado","conciliado",I33)</f>
        <v/>
      </c>
      <c r="F33" s="11" t="inlineStr">
        <is>
          <t>40 | 2026-03-30 | 10,000 | giraldo greisy polanias</t>
        </is>
      </c>
      <c r="G33" s="11">
        <f>IF(I33="conciliado","conciliado","por revisar")</f>
        <v/>
      </c>
      <c r="H33" s="11" t="inlineStr"/>
      <c r="I33" s="11" t="inlineStr">
        <is>
          <t>conciliado</t>
        </is>
      </c>
    </row>
    <row r="34">
      <c r="A34" s="11" t="n">
        <v>1198</v>
      </c>
      <c r="B34" s="12" t="n">
        <v>46111</v>
      </c>
      <c r="C34" s="11" t="inlineStr">
        <is>
          <t>diaz karen portilla</t>
        </is>
      </c>
      <c r="D34" s="13" t="n">
        <v>55800</v>
      </c>
      <c r="E34" s="11">
        <f>IF(G34="conciliado","conciliado",I34)</f>
        <v/>
      </c>
      <c r="F34" s="11" t="inlineStr">
        <is>
          <t>42 | 2026-03-30 | 55,800 | bancolombia desde recarga</t>
        </is>
      </c>
      <c r="G34" s="11">
        <f>IF(I34="conciliado","conciliado","por revisar")</f>
        <v/>
      </c>
      <c r="H34" s="11" t="inlineStr"/>
      <c r="I34" s="11" t="inlineStr">
        <is>
          <t>conciliado</t>
        </is>
      </c>
    </row>
    <row r="35">
      <c r="A35" s="11" t="n">
        <v>1207</v>
      </c>
      <c r="B35" s="12" t="n">
        <v>46111</v>
      </c>
      <c r="C35" s="11" t="inlineStr">
        <is>
          <t>edinso roja tarazona</t>
        </is>
      </c>
      <c r="D35" s="13" t="n">
        <v>19000</v>
      </c>
      <c r="E35" s="11">
        <f>IF(G35="conciliado","conciliado",I35)</f>
        <v/>
      </c>
      <c r="F35" s="11" t="inlineStr">
        <is>
          <t>43 | 2026-03-30 | 19,000 | arbey edison tarazona</t>
        </is>
      </c>
      <c r="G35" s="11">
        <f>IF(I35="conciliado","conciliado","por revisar")</f>
        <v/>
      </c>
      <c r="H35" s="11" t="inlineStr"/>
      <c r="I35" s="11" t="inlineStr">
        <is>
          <t>conciliado</t>
        </is>
      </c>
    </row>
    <row r="36">
      <c r="A36" s="11" t="n">
        <v>1210</v>
      </c>
      <c r="B36" s="12" t="n">
        <v>46111</v>
      </c>
      <c r="C36" s="11" t="inlineStr">
        <is>
          <t>gonsalez lin perdomo</t>
        </is>
      </c>
      <c r="D36" s="13" t="n">
        <v>114000</v>
      </c>
      <c r="E36" s="11">
        <f>IF(G36="conciliado","conciliado",I36)</f>
        <v/>
      </c>
      <c r="F36" s="11" t="inlineStr">
        <is>
          <t>44 | 2026-03-30 | 114,000 | katherine linda</t>
        </is>
      </c>
      <c r="G36" s="11">
        <f>IF(I36="conciliado","conciliado","por revisar")</f>
        <v/>
      </c>
      <c r="H36" s="11" t="inlineStr"/>
      <c r="I36" s="11" t="inlineStr">
        <is>
          <t>conciliado</t>
        </is>
      </c>
    </row>
    <row r="37">
      <c r="A37" s="11" t="n">
        <v>1212</v>
      </c>
      <c r="B37" s="12" t="n">
        <v>46111</v>
      </c>
      <c r="C37" s="11" t="inlineStr">
        <is>
          <t>lozano pantoja sofia</t>
        </is>
      </c>
      <c r="D37" s="13" t="n">
        <v>19000</v>
      </c>
      <c r="E37" s="11">
        <f>IF(G37="conciliado","conciliado",I37)</f>
        <v/>
      </c>
      <c r="F37" s="11" t="inlineStr">
        <is>
          <t>45 | 2026-03-30 | 19,000 | emely pantoja sofia</t>
        </is>
      </c>
      <c r="G37" s="11">
        <f>IF(I37="conciliado","conciliado","por revisar")</f>
        <v/>
      </c>
      <c r="H37" s="11" t="inlineStr"/>
      <c r="I37" s="11" t="inlineStr">
        <is>
          <t>conciliado</t>
        </is>
      </c>
    </row>
    <row r="38">
      <c r="A38" s="11" t="n">
        <v>1195</v>
      </c>
      <c r="B38" s="12" t="n">
        <v>46111</v>
      </c>
      <c r="C38" s="11" t="inlineStr">
        <is>
          <t>cordoba diego vargas</t>
        </is>
      </c>
      <c r="D38" s="13" t="n">
        <v>6400</v>
      </c>
      <c r="E38" s="11">
        <f>IF(G38="conciliado","conciliado",I38)</f>
        <v/>
      </c>
      <c r="F38" s="11" t="inlineStr">
        <is>
          <t>46 | 2026-03-30 | 6,400 | daniel diego vargas</t>
        </is>
      </c>
      <c r="G38" s="11">
        <f>IF(I38="conciliado","conciliado","por revisar")</f>
        <v/>
      </c>
      <c r="H38" s="11" t="inlineStr"/>
      <c r="I38" s="11" t="inlineStr">
        <is>
          <t>conciliado</t>
        </is>
      </c>
    </row>
    <row r="39">
      <c r="A39" s="11" t="n">
        <v>1214</v>
      </c>
      <c r="B39" s="12" t="n">
        <v>46111</v>
      </c>
      <c r="C39" s="11" t="inlineStr">
        <is>
          <t>higuita lucidi manco</t>
        </is>
      </c>
      <c r="D39" s="13" t="n">
        <v>5500</v>
      </c>
      <c r="E39" s="11">
        <f>IF(G39="conciliado","conciliado",I39)</f>
        <v/>
      </c>
      <c r="F39" s="11" t="inlineStr">
        <is>
          <t>47 | 2026-03-30 | 5,500 | gomez manco santiago</t>
        </is>
      </c>
      <c r="G39" s="11">
        <f>IF(I39="conciliado","conciliado","por revisar")</f>
        <v/>
      </c>
      <c r="H39" s="11" t="inlineStr"/>
      <c r="I39" s="11" t="inlineStr">
        <is>
          <t>conciliado</t>
        </is>
      </c>
    </row>
    <row r="40">
      <c r="A40" s="11" t="n">
        <v>1197</v>
      </c>
      <c r="B40" s="12" t="n">
        <v>46111</v>
      </c>
      <c r="C40" s="11" t="inlineStr">
        <is>
          <t>alba cam maria perez</t>
        </is>
      </c>
      <c r="D40" s="13" t="n">
        <v>1000</v>
      </c>
      <c r="E40" s="11">
        <f>IF(G40="conciliado","conciliado",I40)</f>
        <v/>
      </c>
      <c r="F40" s="11" t="inlineStr">
        <is>
          <t>48 | 2026-03-30 | 1,000 | b bre maria</t>
        </is>
      </c>
      <c r="G40" s="11">
        <f>IF(I40="conciliado","conciliado","por revisar")</f>
        <v/>
      </c>
      <c r="H40" s="11" t="inlineStr"/>
      <c r="I40" s="11" t="inlineStr">
        <is>
          <t>conciliado</t>
        </is>
      </c>
    </row>
    <row r="41">
      <c r="A41" s="11" t="n">
        <v>1188</v>
      </c>
      <c r="B41" s="12" t="n">
        <v>46111</v>
      </c>
      <c r="C41" s="11" t="inlineStr">
        <is>
          <t>ciro daniela f leiva</t>
        </is>
      </c>
      <c r="D41" s="13" t="n">
        <v>8000</v>
      </c>
      <c r="E41" s="11">
        <f>IF(G41="conciliado","conciliado",I41)</f>
        <v/>
      </c>
      <c r="F41" s="11" t="inlineStr">
        <is>
          <t>49 | 2026-03-30 | 8,000 | daniela fernanda leiva</t>
        </is>
      </c>
      <c r="G41" s="11">
        <f>IF(I41="conciliado","conciliado","por revisar")</f>
        <v/>
      </c>
      <c r="H41" s="11" t="inlineStr"/>
      <c r="I41" s="11" t="inlineStr">
        <is>
          <t>conciliado</t>
        </is>
      </c>
    </row>
    <row r="42">
      <c r="A42" s="11" t="n">
        <v>1192</v>
      </c>
      <c r="B42" s="12" t="n">
        <v>46111</v>
      </c>
      <c r="C42" s="11" t="inlineStr">
        <is>
          <t>emis l tisoy velasco</t>
        </is>
      </c>
      <c r="D42" s="13" t="n">
        <v>37300</v>
      </c>
      <c r="E42" s="11">
        <f>IF(G42="conciliado","conciliado",I42)</f>
        <v/>
      </c>
      <c r="F42" s="11" t="inlineStr">
        <is>
          <t>50 | 2026-03-30 | 37,300 | alejo jacanamijoy tisoy</t>
        </is>
      </c>
      <c r="G42" s="11">
        <f>IF(I42="conciliado","conciliado","por revisar")</f>
        <v/>
      </c>
      <c r="H42" s="11" t="inlineStr"/>
      <c r="I42" s="11" t="inlineStr">
        <is>
          <t>conciliado</t>
        </is>
      </c>
    </row>
    <row r="43">
      <c r="A43" s="11" t="n">
        <v>1185</v>
      </c>
      <c r="B43" s="12" t="n">
        <v>46111</v>
      </c>
      <c r="C43" s="11" t="inlineStr">
        <is>
          <t>cortez lonseria rodr</t>
        </is>
      </c>
      <c r="D43" s="13" t="n">
        <v>96000</v>
      </c>
      <c r="E43" s="11">
        <f>IF(G43="conciliado","conciliado",I43)</f>
        <v/>
      </c>
      <c r="F43" s="11" t="inlineStr">
        <is>
          <t>51 | 2026-03-30 | 96,000 | orlando rodrigo</t>
        </is>
      </c>
      <c r="G43" s="11">
        <f>IF(I43="conciliado","conciliado","por revisar")</f>
        <v/>
      </c>
      <c r="H43" s="11" t="inlineStr"/>
      <c r="I43" s="11" t="inlineStr">
        <is>
          <t>conciliado</t>
        </is>
      </c>
    </row>
    <row r="44">
      <c r="A44" s="11" t="n">
        <v>1219</v>
      </c>
      <c r="B44" s="12" t="n">
        <v>46111</v>
      </c>
      <c r="C44" s="11" t="inlineStr">
        <is>
          <t>garzon rocha wilson</t>
        </is>
      </c>
      <c r="D44" s="13" t="n">
        <v>10000</v>
      </c>
      <c r="E44" s="11">
        <f>IF(G44="conciliado","conciliado",I44)</f>
        <v/>
      </c>
      <c r="F44" s="11" t="inlineStr">
        <is>
          <t>52 | 2026-03-30 | 10,000 | alexander wilson</t>
        </is>
      </c>
      <c r="G44" s="11">
        <f>IF(I44="conciliado","conciliado","por revisar")</f>
        <v/>
      </c>
      <c r="H44" s="11" t="inlineStr"/>
      <c r="I44" s="11" t="inlineStr">
        <is>
          <t>conciliado</t>
        </is>
      </c>
    </row>
    <row r="45">
      <c r="A45" s="11" t="n">
        <v>1201</v>
      </c>
      <c r="B45" s="12" t="n">
        <v>46111</v>
      </c>
      <c r="C45" s="11" t="inlineStr">
        <is>
          <t>jein morales morales</t>
        </is>
      </c>
      <c r="D45" s="13" t="n">
        <v>50900</v>
      </c>
      <c r="E45" s="11">
        <f>IF(G45="conciliado","conciliado",I45)</f>
        <v/>
      </c>
      <c r="F45" s="11" t="inlineStr">
        <is>
          <t>53 | 2026-03-30 | 50,900 | b bre jeiny</t>
        </is>
      </c>
      <c r="G45" s="11">
        <f>IF(I45="conciliado","conciliado","por revisar")</f>
        <v/>
      </c>
      <c r="H45" s="11" t="inlineStr"/>
      <c r="I45" s="11" t="inlineStr">
        <is>
          <t>conciliado</t>
        </is>
      </c>
    </row>
    <row r="46">
      <c r="A46" s="11" t="n">
        <v>1202</v>
      </c>
      <c r="B46" s="12" t="n">
        <v>46111</v>
      </c>
      <c r="C46" s="11" t="inlineStr">
        <is>
          <t>a sevillano vallejos</t>
        </is>
      </c>
      <c r="D46" s="13" t="n">
        <v>40000</v>
      </c>
      <c r="E46" s="11">
        <f>IF(G46="conciliado","conciliado",I46)</f>
        <v/>
      </c>
      <c r="F46" s="11" t="inlineStr">
        <is>
          <t>54 | 2026-03-30 | 40,000 | andrea margarita</t>
        </is>
      </c>
      <c r="G46" s="11">
        <f>IF(I46="conciliado","conciliado","por revisar")</f>
        <v/>
      </c>
      <c r="H46" s="11" t="inlineStr"/>
      <c r="I46" s="11" t="inlineStr">
        <is>
          <t>conciliado</t>
        </is>
      </c>
    </row>
    <row r="47">
      <c r="A47" s="11" t="n">
        <v>1217</v>
      </c>
      <c r="B47" s="12" t="n">
        <v>46111</v>
      </c>
      <c r="C47" s="11" t="inlineStr">
        <is>
          <t>cuaran solarte tatia</t>
        </is>
      </c>
      <c r="D47" s="13" t="n">
        <v>91400</v>
      </c>
      <c r="E47" s="11">
        <f>IF(G47="conciliado","conciliado",I47)</f>
        <v/>
      </c>
      <c r="F47" s="11" t="inlineStr">
        <is>
          <t>55 | 2026-03-30 | 91,400 | cuaran tatiana yessica</t>
        </is>
      </c>
      <c r="G47" s="11">
        <f>IF(I47="conciliado","conciliado","por revisar")</f>
        <v/>
      </c>
      <c r="H47" s="11" t="inlineStr"/>
      <c r="I47" s="11" t="inlineStr">
        <is>
          <t>conciliado</t>
        </is>
      </c>
    </row>
    <row r="48">
      <c r="A48" s="11" t="n">
        <v>1187</v>
      </c>
      <c r="B48" s="12" t="n">
        <v>46111</v>
      </c>
      <c r="C48" s="11" t="inlineStr">
        <is>
          <t>gomez hernandez john</t>
        </is>
      </c>
      <c r="D48" s="13" t="n">
        <v>8100</v>
      </c>
      <c r="E48" s="11">
        <f>IF(G48="conciliado","conciliado",I48)</f>
        <v/>
      </c>
      <c r="F48" s="11" t="inlineStr">
        <is>
          <t>56 | 2026-03-30 | 8,100 | b bre john</t>
        </is>
      </c>
      <c r="G48" s="11">
        <f>IF(I48="conciliado","conciliado","por revisar")</f>
        <v/>
      </c>
      <c r="H48" s="11" t="inlineStr"/>
      <c r="I48" s="11" t="inlineStr">
        <is>
          <t>conciliado</t>
        </is>
      </c>
    </row>
    <row r="49">
      <c r="A49" s="11" t="n">
        <v>1222</v>
      </c>
      <c r="B49" s="12" t="n">
        <v>46111</v>
      </c>
      <c r="C49" s="11" t="inlineStr">
        <is>
          <t>diaz elizabe llerena</t>
        </is>
      </c>
      <c r="D49" s="13" t="n">
        <v>193800</v>
      </c>
      <c r="E49" s="11">
        <f>IF(G49="conciliado","conciliado",I49)</f>
        <v/>
      </c>
      <c r="F49" s="11" t="inlineStr">
        <is>
          <t>57 | 2026-03-30 | 193,800 | b bre elcy</t>
        </is>
      </c>
      <c r="G49" s="11">
        <f>IF(I49="conciliado","conciliado","por revisar")</f>
        <v/>
      </c>
      <c r="H49" s="11" t="inlineStr"/>
      <c r="I49" s="11" t="inlineStr">
        <is>
          <t>conciliado</t>
        </is>
      </c>
    </row>
    <row r="50">
      <c r="A50" s="11" t="n">
        <v>1181</v>
      </c>
      <c r="B50" s="12" t="n">
        <v>46111</v>
      </c>
      <c r="C50" s="11" t="inlineStr">
        <is>
          <t>caycedo cortez helid</t>
        </is>
      </c>
      <c r="D50" s="13" t="n">
        <v>5700</v>
      </c>
      <c r="E50" s="11">
        <f>IF(G50="conciliado","conciliado",I50)</f>
        <v/>
      </c>
      <c r="F50" s="11" t="inlineStr">
        <is>
          <t>58 | 2026-03-30 | 5,700 | cortez franca helida</t>
        </is>
      </c>
      <c r="G50" s="11">
        <f>IF(I50="conciliado","conciliado","por revisar")</f>
        <v/>
      </c>
      <c r="H50" s="11" t="inlineStr"/>
      <c r="I50" s="11" t="inlineStr">
        <is>
          <t>conciliado</t>
        </is>
      </c>
    </row>
    <row r="51">
      <c r="A51" s="11" t="n">
        <v>1221</v>
      </c>
      <c r="B51" s="12" t="n">
        <v>46111</v>
      </c>
      <c r="C51" s="11" t="inlineStr">
        <is>
          <t>ji quenguan quenguan</t>
        </is>
      </c>
      <c r="D51" s="13" t="n">
        <v>28000</v>
      </c>
      <c r="E51" s="11">
        <f>IF(G51="conciliado","conciliado",I51)</f>
        <v/>
      </c>
      <c r="F51" s="11" t="inlineStr">
        <is>
          <t>59 | 2026-03-30 | 28,000 | andres jimmy quenguan</t>
        </is>
      </c>
      <c r="G51" s="11">
        <f>IF(I51="conciliado","conciliado","por revisar")</f>
        <v/>
      </c>
      <c r="H51" s="11" t="inlineStr"/>
      <c r="I51" s="11" t="inlineStr">
        <is>
          <t>conciliado</t>
        </is>
      </c>
    </row>
    <row r="52">
      <c r="A52" s="11" t="n">
        <v>1205</v>
      </c>
      <c r="B52" s="12" t="n">
        <v>46111</v>
      </c>
      <c r="C52" s="11" t="inlineStr">
        <is>
          <t>cristhi robles velez</t>
        </is>
      </c>
      <c r="D52" s="13" t="n">
        <v>50400</v>
      </c>
      <c r="E52" s="11">
        <f>IF(G52="conciliado","conciliado",I52)</f>
        <v/>
      </c>
      <c r="F52" s="11" t="inlineStr">
        <is>
          <t>60 | 2026-03-30 | 50,400 | bancolombia desde qr recarga</t>
        </is>
      </c>
      <c r="G52" s="11">
        <f>IF(I52="conciliado","conciliado","por revisar")</f>
        <v/>
      </c>
      <c r="H52" s="11" t="inlineStr"/>
      <c r="I52" s="11" t="inlineStr">
        <is>
          <t>conciliado</t>
        </is>
      </c>
    </row>
    <row r="53">
      <c r="A53" s="11" t="n">
        <v>1215</v>
      </c>
      <c r="B53" s="12" t="n">
        <v>46111</v>
      </c>
      <c r="C53" s="11" t="inlineStr">
        <is>
          <t>dani ortega</t>
        </is>
      </c>
      <c r="D53" s="13" t="n">
        <v>34600</v>
      </c>
      <c r="E53" s="11">
        <f>IF(G53="conciliado","conciliado",I53)</f>
        <v/>
      </c>
      <c r="F53" s="11" t="inlineStr">
        <is>
          <t>63 | 2026-03-30 | 34,600 | andres danny ortega</t>
        </is>
      </c>
      <c r="G53" s="11">
        <f>IF(I53="conciliado","conciliado","por revisar")</f>
        <v/>
      </c>
      <c r="H53" s="11" t="inlineStr"/>
      <c r="I53" s="11" t="inlineStr">
        <is>
          <t>conciliado</t>
        </is>
      </c>
    </row>
    <row r="54">
      <c r="A54" s="11" t="n">
        <v>1220</v>
      </c>
      <c r="B54" s="12" t="n">
        <v>46111</v>
      </c>
      <c r="C54" s="11" t="inlineStr">
        <is>
          <t>chamorro dav narvaez</t>
        </is>
      </c>
      <c r="D54" s="13" t="n">
        <v>4000</v>
      </c>
      <c r="E54" s="11">
        <f>IF(G54="conciliado","conciliado",I54)</f>
        <v/>
      </c>
      <c r="F54" s="11" t="inlineStr">
        <is>
          <t>64 | 2026-03-30 | 4,000 | david esteban narvaez</t>
        </is>
      </c>
      <c r="G54" s="11">
        <f>IF(I54="conciliado","conciliado","por revisar")</f>
        <v/>
      </c>
      <c r="H54" s="11" t="inlineStr"/>
      <c r="I54" s="11" t="inlineStr">
        <is>
          <t>conciliado</t>
        </is>
      </c>
    </row>
    <row r="55">
      <c r="A55" s="11" t="n">
        <v>1200</v>
      </c>
      <c r="B55" s="12" t="n">
        <v>46111</v>
      </c>
      <c r="C55" s="11" t="inlineStr">
        <is>
          <t>bastidas fern ituyan</t>
        </is>
      </c>
      <c r="D55" s="13" t="n">
        <v>5000</v>
      </c>
      <c r="E55" s="11">
        <f>IF(G55="conciliado","conciliado",I55)</f>
        <v/>
      </c>
      <c r="F55" s="11" t="inlineStr">
        <is>
          <t>65 | 2026-03-30 | 5,000 | alexander ferney ituyan</t>
        </is>
      </c>
      <c r="G55" s="11">
        <f>IF(I55="conciliado","conciliado","por revisar")</f>
        <v/>
      </c>
      <c r="H55" s="11" t="inlineStr"/>
      <c r="I55" s="11" t="inlineStr">
        <is>
          <t>conciliado</t>
        </is>
      </c>
    </row>
    <row r="56">
      <c r="A56" s="11" t="n">
        <v>1190</v>
      </c>
      <c r="B56" s="12" t="n">
        <v>46111</v>
      </c>
      <c r="C56" s="11" t="inlineStr">
        <is>
          <t>acosta idaly narvaez</t>
        </is>
      </c>
      <c r="D56" s="13" t="n">
        <v>10200</v>
      </c>
      <c r="E56" s="11">
        <f>IF(G56="conciliado","conciliado",I56)</f>
        <v/>
      </c>
      <c r="F56" s="11" t="inlineStr">
        <is>
          <t>66 | 2026-03-30 | 10,200 | esperanza idaly narvaez</t>
        </is>
      </c>
      <c r="G56" s="11">
        <f>IF(I56="conciliado","conciliado","por revisar")</f>
        <v/>
      </c>
      <c r="H56" s="11" t="inlineStr"/>
      <c r="I56" s="11" t="inlineStr">
        <is>
          <t>conciliado</t>
        </is>
      </c>
    </row>
    <row r="57">
      <c r="A57" s="11" t="n">
        <v>1211</v>
      </c>
      <c r="B57" s="12" t="n">
        <v>46111</v>
      </c>
      <c r="C57" s="11" t="inlineStr">
        <is>
          <t>arboleda congote jor</t>
        </is>
      </c>
      <c r="D57" s="13" t="n">
        <v>12800</v>
      </c>
      <c r="E57" s="11">
        <f>IF(G57="conciliado","conciliado",I57)</f>
        <v/>
      </c>
      <c r="F57" s="11" t="inlineStr">
        <is>
          <t>67 | 2026-03-30 | 12,800 | congotte jair jordan</t>
        </is>
      </c>
      <c r="G57" s="11">
        <f>IF(I57="conciliado","conciliado","por revisar")</f>
        <v/>
      </c>
      <c r="H57" s="11" t="inlineStr"/>
      <c r="I57" s="11" t="inlineStr">
        <is>
          <t>conciliado</t>
        </is>
      </c>
    </row>
    <row r="58">
      <c r="A58" s="11" t="n">
        <v>1180</v>
      </c>
      <c r="B58" s="12" t="n">
        <v>46111</v>
      </c>
      <c r="C58" s="11" t="inlineStr">
        <is>
          <t>fre piaguaje riascos</t>
        </is>
      </c>
      <c r="D58" s="13" t="n">
        <v>32086</v>
      </c>
      <c r="E58" s="11">
        <f>IF(G58="conciliado","conciliado",I58)</f>
        <v/>
      </c>
      <c r="F58" s="11" t="inlineStr">
        <is>
          <t>69 | 2026-03-30 | 32,086 | bancolombia desde qr recarga</t>
        </is>
      </c>
      <c r="G58" s="11">
        <f>IF(I58="conciliado","conciliado","por revisar")</f>
        <v/>
      </c>
      <c r="H58" s="11" t="inlineStr"/>
      <c r="I58" s="11" t="inlineStr">
        <is>
          <t>conciliado</t>
        </is>
      </c>
    </row>
    <row r="59">
      <c r="A59" s="11" t="n">
        <v>1216</v>
      </c>
      <c r="B59" s="12" t="n">
        <v>46111</v>
      </c>
      <c r="C59" s="11" t="inlineStr">
        <is>
          <t>omar y zambrano zuin</t>
        </is>
      </c>
      <c r="D59" s="13" t="n">
        <v>8000</v>
      </c>
      <c r="E59" s="11">
        <f>IF(G59="conciliado","conciliado",I59)</f>
        <v/>
      </c>
      <c r="F59" s="11" t="inlineStr">
        <is>
          <t>70 | 2026-03-30 | 8,000 | omar yesid zambrano</t>
        </is>
      </c>
      <c r="G59" s="11">
        <f>IF(I59="conciliado","conciliado","por revisar")</f>
        <v/>
      </c>
      <c r="H59" s="11" t="inlineStr"/>
      <c r="I59" s="11" t="inlineStr">
        <is>
          <t>conciliado</t>
        </is>
      </c>
    </row>
    <row r="60">
      <c r="A60" s="11" t="n">
        <v>1189</v>
      </c>
      <c r="B60" s="12" t="n">
        <v>46111</v>
      </c>
      <c r="C60" s="11" t="inlineStr">
        <is>
          <t>carvajal le portilla</t>
        </is>
      </c>
      <c r="D60" s="13" t="n">
        <v>6500</v>
      </c>
      <c r="E60" s="11">
        <f>IF(G60="conciliado","conciliado",I60)</f>
        <v/>
      </c>
      <c r="F60" s="11" t="inlineStr">
        <is>
          <t>71 | 2026-03-30 | 6,500 | carvajal leidy portilla</t>
        </is>
      </c>
      <c r="G60" s="11">
        <f>IF(I60="conciliado","conciliado","por revisar")</f>
        <v/>
      </c>
      <c r="H60" s="11" t="inlineStr"/>
      <c r="I60" s="11" t="inlineStr">
        <is>
          <t>conciliado</t>
        </is>
      </c>
    </row>
    <row r="61">
      <c r="A61" s="11" t="n">
        <v>1203</v>
      </c>
      <c r="B61" s="12" t="n">
        <v>46111</v>
      </c>
      <c r="C61" s="11" t="inlineStr">
        <is>
          <t>clara fuentes helena</t>
        </is>
      </c>
      <c r="D61" s="13" t="n">
        <v>26300</v>
      </c>
      <c r="E61" s="11">
        <f>IF(G61="conciliado","conciliado",I61)</f>
        <v/>
      </c>
      <c r="F61" s="11" t="inlineStr">
        <is>
          <t>72 | 2026-03-30 | 26,300 | clara fuentes helena</t>
        </is>
      </c>
      <c r="G61" s="11">
        <f>IF(I61="conciliado","conciliado","por revisar")</f>
        <v/>
      </c>
      <c r="H61" s="11" t="inlineStr"/>
      <c r="I61" s="11" t="inlineStr">
        <is>
          <t>conciliado</t>
        </is>
      </c>
    </row>
    <row r="62">
      <c r="A62" s="11" t="n">
        <v>1179</v>
      </c>
      <c r="B62" s="12" t="n">
        <v>46111</v>
      </c>
      <c r="C62" s="11" t="inlineStr">
        <is>
          <t>antoni hermes patino</t>
        </is>
      </c>
      <c r="D62" s="13" t="n">
        <v>-2087101</v>
      </c>
      <c r="E62" s="11">
        <f>IF(G62="conciliado","conciliado",I62)</f>
        <v/>
      </c>
      <c r="F62" s="11" t="inlineStr">
        <is>
          <t>74 | 2026-03-30 | -2,087,101 | ant her pat</t>
        </is>
      </c>
      <c r="G62" s="11">
        <f>IF(I62="conciliado","conciliado","por revisar")</f>
        <v/>
      </c>
      <c r="H62" s="11" t="inlineStr"/>
      <c r="I62" s="11" t="inlineStr">
        <is>
          <t>conciliado</t>
        </is>
      </c>
    </row>
    <row r="63">
      <c r="A63" s="11" t="n">
        <v>1204</v>
      </c>
      <c r="B63" s="12" t="n">
        <v>46111</v>
      </c>
      <c r="C63" s="11" t="inlineStr">
        <is>
          <t>benavides santander</t>
        </is>
      </c>
      <c r="D63" s="13" t="n">
        <v>2200</v>
      </c>
      <c r="E63" s="11">
        <f>IF(G63="conciliado","conciliado",I63)</f>
        <v/>
      </c>
      <c r="F63" s="11" t="inlineStr">
        <is>
          <t>75 | 2026-03-30 | 2,200 | jhoana niny santander</t>
        </is>
      </c>
      <c r="G63" s="11">
        <f>IF(I63="conciliado","conciliado","por revisar")</f>
        <v/>
      </c>
      <c r="H63" s="11" t="inlineStr"/>
      <c r="I63" s="11" t="inlineStr">
        <is>
          <t>conciliado</t>
        </is>
      </c>
    </row>
    <row r="64">
      <c r="A64" s="11" t="n">
        <v>1177</v>
      </c>
      <c r="B64" s="12" t="n">
        <v>46111</v>
      </c>
      <c r="C64" s="11" t="inlineStr">
        <is>
          <t>axa distribuciones s</t>
        </is>
      </c>
      <c r="D64" s="13" t="n">
        <v>-957475</v>
      </c>
      <c r="E64" s="11">
        <f>IF(G64="conciliado","conciliado",I64)</f>
        <v/>
      </c>
      <c r="F64" s="11" t="inlineStr">
        <is>
          <t>79 | 2026-03-30 | -957,475 | axa distribuciones sas</t>
        </is>
      </c>
      <c r="G64" s="11">
        <f>IF(I64="conciliado","conciliado","por revisar")</f>
        <v/>
      </c>
      <c r="H64" s="11" t="inlineStr"/>
      <c r="I64" s="11" t="inlineStr">
        <is>
          <t>conciliado</t>
        </is>
      </c>
    </row>
    <row r="65">
      <c r="A65" s="11" t="n">
        <v>1199</v>
      </c>
      <c r="B65" s="12" t="n">
        <v>46111</v>
      </c>
      <c r="C65" s="11" t="inlineStr">
        <is>
          <t>jos linda palma romo</t>
        </is>
      </c>
      <c r="D65" s="13" t="n">
        <v>21000</v>
      </c>
      <c r="E65" s="11">
        <f>IF(G65="conciliado","conciliado",I65)</f>
        <v/>
      </c>
      <c r="F65" s="11" t="inlineStr">
        <is>
          <t>80 | 2026-03-30 | 21,000 | joshira linda romo</t>
        </is>
      </c>
      <c r="G65" s="11">
        <f>IF(I65="conciliado","conciliado","por revisar")</f>
        <v/>
      </c>
      <c r="H65" s="11" t="inlineStr"/>
      <c r="I65" s="11" t="inlineStr">
        <is>
          <t>conciliado</t>
        </is>
      </c>
    </row>
    <row r="66">
      <c r="A66" s="11" t="n">
        <v>1194</v>
      </c>
      <c r="B66" s="12" t="n">
        <v>46111</v>
      </c>
      <c r="C66" s="11" t="inlineStr">
        <is>
          <t>cordero correa monic</t>
        </is>
      </c>
      <c r="D66" s="13" t="n">
        <v>35100</v>
      </c>
      <c r="E66" s="11">
        <f>IF(G66="conciliado","conciliado",I66)</f>
        <v/>
      </c>
      <c r="F66" s="11" t="inlineStr">
        <is>
          <t>81 | 2026-03-30 | 35,100 | cordero johana monica</t>
        </is>
      </c>
      <c r="G66" s="11">
        <f>IF(I66="conciliado","conciliado","por revisar")</f>
        <v/>
      </c>
      <c r="H66" s="11" t="inlineStr"/>
      <c r="I66" s="11" t="inlineStr">
        <is>
          <t>conciliado</t>
        </is>
      </c>
    </row>
    <row r="67">
      <c r="A67" s="11" t="n">
        <v>1183</v>
      </c>
      <c r="B67" s="12" t="n">
        <v>46111</v>
      </c>
      <c r="C67" s="11" t="inlineStr">
        <is>
          <t>del e empresa social</t>
        </is>
      </c>
      <c r="D67" s="13" t="n">
        <v>15200</v>
      </c>
      <c r="E67" s="11">
        <f>IF(G67="conciliado","conciliado",I67)</f>
        <v/>
      </c>
      <c r="F67" s="11" t="inlineStr">
        <is>
          <t>82 | 2026-03-30 | 15,200 | congotte dayan liseth</t>
        </is>
      </c>
      <c r="G67" s="11">
        <f>IF(I67="conciliado","conciliado","por revisar")</f>
        <v/>
      </c>
      <c r="H67" s="11" t="inlineStr"/>
      <c r="I67" s="11" t="inlineStr">
        <is>
          <t>conciliado</t>
        </is>
      </c>
    </row>
    <row r="68">
      <c r="A68" s="11" t="n">
        <v>1213</v>
      </c>
      <c r="B68" s="12" t="n">
        <v>46111</v>
      </c>
      <c r="C68" s="11" t="inlineStr">
        <is>
          <t>adriana narvaez nino</t>
        </is>
      </c>
      <c r="D68" s="13" t="n">
        <v>5900</v>
      </c>
      <c r="E68" s="11">
        <f>IF(G68="conciliado","conciliado",I68)</f>
        <v/>
      </c>
      <c r="F68" s="11" t="inlineStr">
        <is>
          <t>83 | 2026-03-30 | 5,900 | adriana nino</t>
        </is>
      </c>
      <c r="G68" s="11">
        <f>IF(I68="conciliado","conciliado","por revisar")</f>
        <v/>
      </c>
      <c r="H68" s="11" t="inlineStr"/>
      <c r="I68" s="11" t="inlineStr">
        <is>
          <t>conciliado</t>
        </is>
      </c>
    </row>
    <row r="69">
      <c r="A69" s="11" t="n">
        <v>1186</v>
      </c>
      <c r="B69" s="12" t="n">
        <v>46111</v>
      </c>
      <c r="C69" s="11" t="inlineStr">
        <is>
          <t>cordoba orl portilla</t>
        </is>
      </c>
      <c r="D69" s="13" t="n">
        <v>34500</v>
      </c>
      <c r="E69" s="11">
        <f>IF(G69="conciliado","conciliado",I69)</f>
        <v/>
      </c>
      <c r="F69" s="11" t="inlineStr">
        <is>
          <t>84 | 2026-03-30 | 34,500 | cordoba elias orlando</t>
        </is>
      </c>
      <c r="G69" s="11">
        <f>IF(I69="conciliado","conciliado","por revisar")</f>
        <v/>
      </c>
      <c r="H69" s="11" t="inlineStr"/>
      <c r="I69" s="11" t="inlineStr">
        <is>
          <t>conciliado</t>
        </is>
      </c>
    </row>
    <row r="70">
      <c r="A70" s="11" t="n">
        <v>1157</v>
      </c>
      <c r="B70" s="12" t="n">
        <v>46110</v>
      </c>
      <c r="C70" s="11" t="inlineStr">
        <is>
          <t>bastidas j rodriguez</t>
        </is>
      </c>
      <c r="D70" s="13" t="n">
        <v>107100</v>
      </c>
      <c r="E70" s="11">
        <f>IF(G70="conciliado","conciliado",I70)</f>
        <v/>
      </c>
      <c r="F70" s="11" t="inlineStr">
        <is>
          <t>85 | 2026-03-29 | 107,100 | alexandra jhoana</t>
        </is>
      </c>
      <c r="G70" s="11">
        <f>IF(I70="conciliado","conciliado","por revisar")</f>
        <v/>
      </c>
      <c r="H70" s="11" t="inlineStr"/>
      <c r="I70" s="11" t="inlineStr">
        <is>
          <t>conciliado</t>
        </is>
      </c>
    </row>
    <row r="71">
      <c r="A71" s="11" t="n">
        <v>1150</v>
      </c>
      <c r="B71" s="12" t="n">
        <v>46110</v>
      </c>
      <c r="C71" s="11" t="inlineStr">
        <is>
          <t>dayerly ingrid quint</t>
        </is>
      </c>
      <c r="D71" s="13" t="n">
        <v>16100</v>
      </c>
      <c r="E71" s="11">
        <f>IF(G71="conciliado","conciliado",I71)</f>
        <v/>
      </c>
      <c r="F71" s="11" t="inlineStr">
        <is>
          <t>86 | 2026-03-29 | 16,100 | dayerli ingrid quintero</t>
        </is>
      </c>
      <c r="G71" s="11">
        <f>IF(I71="conciliado","conciliado","por revisar")</f>
        <v/>
      </c>
      <c r="H71" s="11" t="inlineStr"/>
      <c r="I71" s="11" t="inlineStr">
        <is>
          <t>conciliado</t>
        </is>
      </c>
    </row>
    <row r="72">
      <c r="A72" s="11" t="n">
        <v>1148</v>
      </c>
      <c r="B72" s="12" t="n">
        <v>46110</v>
      </c>
      <c r="C72" s="11" t="inlineStr">
        <is>
          <t>maria martinez munoz</t>
        </is>
      </c>
      <c r="D72" s="13" t="n">
        <v>24100</v>
      </c>
      <c r="E72" s="11">
        <f>IF(G72="conciliado","conciliado",I72)</f>
        <v/>
      </c>
      <c r="F72" s="11" t="inlineStr">
        <is>
          <t>87 | 2026-03-29 | 24,100 | dora emilce martinez</t>
        </is>
      </c>
      <c r="G72" s="11">
        <f>IF(I72="conciliado","conciliado","por revisar")</f>
        <v/>
      </c>
      <c r="H72" s="11" t="inlineStr"/>
      <c r="I72" s="11" t="inlineStr">
        <is>
          <t>conciliado</t>
        </is>
      </c>
    </row>
    <row r="73">
      <c r="A73" s="11" t="n">
        <v>1134</v>
      </c>
      <c r="B73" s="12" t="n">
        <v>46110</v>
      </c>
      <c r="C73" s="11" t="inlineStr">
        <is>
          <t>castillo diaz hector</t>
        </is>
      </c>
      <c r="D73" s="13" t="n">
        <v>18000</v>
      </c>
      <c r="E73" s="11">
        <f>IF(G73="conciliado","conciliado",I73)</f>
        <v/>
      </c>
      <c r="F73" s="11" t="inlineStr">
        <is>
          <t>88 | 2026-03-29 | 18,000 | diaz hector manuel</t>
        </is>
      </c>
      <c r="G73" s="11">
        <f>IF(I73="conciliado","conciliado","por revisar")</f>
        <v/>
      </c>
      <c r="H73" s="11" t="inlineStr"/>
      <c r="I73" s="11" t="inlineStr">
        <is>
          <t>conciliado</t>
        </is>
      </c>
    </row>
    <row r="74">
      <c r="A74" s="11" t="n">
        <v>1138</v>
      </c>
      <c r="B74" s="12" t="n">
        <v>46110</v>
      </c>
      <c r="C74" s="11" t="inlineStr">
        <is>
          <t>burbano monica ossa</t>
        </is>
      </c>
      <c r="D74" s="13" t="n">
        <v>38200</v>
      </c>
      <c r="E74" s="11">
        <f>IF(G74="conciliado","conciliado",I74)</f>
        <v/>
      </c>
      <c r="F74" s="11" t="inlineStr">
        <is>
          <t>89 | 2026-03-29 | 38,200 | burbano leineth monica</t>
        </is>
      </c>
      <c r="G74" s="11">
        <f>IF(I74="conciliado","conciliado","por revisar")</f>
        <v/>
      </c>
      <c r="H74" s="11" t="inlineStr"/>
      <c r="I74" s="11" t="inlineStr">
        <is>
          <t>conciliado</t>
        </is>
      </c>
    </row>
    <row r="75">
      <c r="A75" s="11" t="n">
        <v>1135</v>
      </c>
      <c r="B75" s="12" t="n">
        <v>46110</v>
      </c>
      <c r="C75" s="11" t="inlineStr">
        <is>
          <t>alvar burbano tellez</t>
        </is>
      </c>
      <c r="D75" s="13" t="n">
        <v>37500</v>
      </c>
      <c r="E75" s="11">
        <f>IF(G75="conciliado","conciliado",I75)</f>
        <v/>
      </c>
      <c r="F75" s="11" t="inlineStr">
        <is>
          <t>90 | 2026-03-29 | 37,500 | alvaro burbano esteban</t>
        </is>
      </c>
      <c r="G75" s="11">
        <f>IF(I75="conciliado","conciliado","por revisar")</f>
        <v/>
      </c>
      <c r="H75" s="11" t="inlineStr"/>
      <c r="I75" s="11" t="inlineStr">
        <is>
          <t>conciliado</t>
        </is>
      </c>
    </row>
    <row r="76">
      <c r="A76" s="11" t="n">
        <v>1160</v>
      </c>
      <c r="B76" s="12" t="n">
        <v>46110</v>
      </c>
      <c r="C76" s="11" t="inlineStr">
        <is>
          <t>canticus gera taicus</t>
        </is>
      </c>
      <c r="D76" s="13" t="n">
        <v>54300</v>
      </c>
      <c r="E76" s="11">
        <f>IF(G76="conciliado","conciliado",I76)</f>
        <v/>
      </c>
      <c r="F76" s="11" t="inlineStr">
        <is>
          <t>93 | 2026-03-29 | 54,300 | gerardo rodrigo taicus</t>
        </is>
      </c>
      <c r="G76" s="11">
        <f>IF(I76="conciliado","conciliado","por revisar")</f>
        <v/>
      </c>
      <c r="H76" s="11" t="inlineStr"/>
      <c r="I76" s="11" t="inlineStr">
        <is>
          <t>conciliado</t>
        </is>
      </c>
    </row>
    <row r="77">
      <c r="A77" s="11" t="n">
        <v>1176</v>
      </c>
      <c r="B77" s="12" t="n">
        <v>46110</v>
      </c>
      <c r="C77" s="11" t="inlineStr">
        <is>
          <t>guevara moreano yura</t>
        </is>
      </c>
      <c r="D77" s="13" t="n">
        <v>30000</v>
      </c>
      <c r="E77" s="11">
        <f>IF(G77="conciliado","conciliado",I77)</f>
        <v/>
      </c>
      <c r="F77" s="11" t="inlineStr">
        <is>
          <t>94 | 2026-03-29 | 30,000 | moreano shirley yurani</t>
        </is>
      </c>
      <c r="G77" s="11">
        <f>IF(I77="conciliado","conciliado","por revisar")</f>
        <v/>
      </c>
      <c r="H77" s="11" t="inlineStr"/>
      <c r="I77" s="11" t="inlineStr">
        <is>
          <t>conciliado</t>
        </is>
      </c>
    </row>
    <row r="78">
      <c r="A78" s="11" t="n">
        <v>1175</v>
      </c>
      <c r="B78" s="12" t="n">
        <v>46110</v>
      </c>
      <c r="C78" s="11" t="inlineStr">
        <is>
          <t>elena josa ruiz</t>
        </is>
      </c>
      <c r="D78" s="13" t="n">
        <v>24700</v>
      </c>
      <c r="E78" s="11">
        <f>IF(G78="conciliado","conciliado",I78)</f>
        <v/>
      </c>
      <c r="F78" s="11" t="inlineStr">
        <is>
          <t>95 | 2026-03-29 | 24,700 | elena josa ruiz ruth</t>
        </is>
      </c>
      <c r="G78" s="11">
        <f>IF(I78="conciliado","conciliado","por revisar")</f>
        <v/>
      </c>
      <c r="H78" s="11" t="inlineStr"/>
      <c r="I78" s="11" t="inlineStr">
        <is>
          <t>conciliado</t>
        </is>
      </c>
    </row>
    <row r="79">
      <c r="A79" s="11" t="n">
        <v>1165</v>
      </c>
      <c r="B79" s="12" t="n">
        <v>46110</v>
      </c>
      <c r="C79" s="11" t="inlineStr">
        <is>
          <t>alexa alvarez correa</t>
        </is>
      </c>
      <c r="D79" s="13" t="n">
        <v>71900</v>
      </c>
      <c r="E79" s="11">
        <f>IF(G79="conciliado","conciliado",I79)</f>
        <v/>
      </c>
      <c r="F79" s="11" t="inlineStr">
        <is>
          <t>96 | 2026-03-29 | 71,900 | alexander correa</t>
        </is>
      </c>
      <c r="G79" s="11">
        <f>IF(I79="conciliado","conciliado","por revisar")</f>
        <v/>
      </c>
      <c r="H79" s="11" t="inlineStr"/>
      <c r="I79" s="11" t="inlineStr">
        <is>
          <t>conciliado</t>
        </is>
      </c>
    </row>
    <row r="80">
      <c r="A80" s="11" t="n">
        <v>1174</v>
      </c>
      <c r="B80" s="12" t="n">
        <v>46110</v>
      </c>
      <c r="C80" s="11" t="inlineStr">
        <is>
          <t>jhoni segura timaran</t>
        </is>
      </c>
      <c r="D80" s="13" t="n">
        <v>11300</v>
      </c>
      <c r="E80" s="11">
        <f>IF(G80="conciliado","conciliado",I80)</f>
        <v/>
      </c>
      <c r="F80" s="11" t="inlineStr">
        <is>
          <t>97 | 2026-03-29 | 11,300 | alexis jhonier segura</t>
        </is>
      </c>
      <c r="G80" s="11">
        <f>IF(I80="conciliado","conciliado","por revisar")</f>
        <v/>
      </c>
      <c r="H80" s="11" t="inlineStr"/>
      <c r="I80" s="11" t="inlineStr">
        <is>
          <t>conciliado</t>
        </is>
      </c>
    </row>
    <row r="81">
      <c r="A81" s="11" t="n">
        <v>1154</v>
      </c>
      <c r="B81" s="12" t="n">
        <v>46110</v>
      </c>
      <c r="C81" s="11" t="inlineStr">
        <is>
          <t>cardozo sepulvedad v</t>
        </is>
      </c>
      <c r="D81" s="13" t="n">
        <v>5200</v>
      </c>
      <c r="E81" s="11">
        <f>IF(G81="conciliado","conciliado",I81)</f>
        <v/>
      </c>
      <c r="F81" s="11" t="inlineStr">
        <is>
          <t>98 | 2026-03-29 | 5,200 | cardozo manuel victor</t>
        </is>
      </c>
      <c r="G81" s="11">
        <f>IF(I81="conciliado","conciliado","por revisar")</f>
        <v/>
      </c>
      <c r="H81" s="11" t="inlineStr"/>
      <c r="I81" s="11" t="inlineStr">
        <is>
          <t>conciliado</t>
        </is>
      </c>
    </row>
    <row r="82">
      <c r="A82" s="11" t="n">
        <v>1145</v>
      </c>
      <c r="B82" s="12" t="n">
        <v>46110</v>
      </c>
      <c r="C82" s="11" t="inlineStr">
        <is>
          <t>leid montiel pantoja</t>
        </is>
      </c>
      <c r="D82" s="13" t="n">
        <v>16200</v>
      </c>
      <c r="E82" s="11">
        <f>IF(G82="conciliado","conciliado",I82)</f>
        <v/>
      </c>
      <c r="F82" s="11" t="inlineStr">
        <is>
          <t>99 | 2026-03-29 | 16,200 | leidy pantoja paola</t>
        </is>
      </c>
      <c r="G82" s="11">
        <f>IF(I82="conciliado","conciliado","por revisar")</f>
        <v/>
      </c>
      <c r="H82" s="11" t="inlineStr"/>
      <c r="I82" s="11" t="inlineStr">
        <is>
          <t>conciliado</t>
        </is>
      </c>
    </row>
    <row r="83">
      <c r="A83" s="11" t="n">
        <v>1167</v>
      </c>
      <c r="B83" s="12" t="n">
        <v>46110</v>
      </c>
      <c r="C83" s="11" t="inlineStr">
        <is>
          <t>bolanos i montenegro</t>
        </is>
      </c>
      <c r="D83" s="13" t="n">
        <v>10000</v>
      </c>
      <c r="E83" s="11">
        <f>IF(G83="conciliado","conciliado",I83)</f>
        <v/>
      </c>
      <c r="F83" s="11" t="inlineStr">
        <is>
          <t>100 | 2026-03-29 | 10,000 | herney ivan montenegro</t>
        </is>
      </c>
      <c r="G83" s="11">
        <f>IF(I83="conciliado","conciliado","por revisar")</f>
        <v/>
      </c>
      <c r="H83" s="11" t="inlineStr"/>
      <c r="I83" s="11" t="inlineStr">
        <is>
          <t>conciliado</t>
        </is>
      </c>
    </row>
    <row r="84">
      <c r="A84" s="11" t="n">
        <v>1166</v>
      </c>
      <c r="B84" s="12" t="n">
        <v>46110</v>
      </c>
      <c r="C84" s="11" t="inlineStr">
        <is>
          <t>omar y zambrano zuin</t>
        </is>
      </c>
      <c r="D84" s="13" t="n">
        <v>7300</v>
      </c>
      <c r="E84" s="11">
        <f>IF(G84="conciliado","conciliado",I84)</f>
        <v/>
      </c>
      <c r="F84" s="11" t="inlineStr">
        <is>
          <t>101 | 2026-03-29 | 7,300 | omar yesid zambrano</t>
        </is>
      </c>
      <c r="G84" s="11">
        <f>IF(I84="conciliado","conciliado","por revisar")</f>
        <v/>
      </c>
      <c r="H84" s="11" t="inlineStr"/>
      <c r="I84" s="11" t="inlineStr">
        <is>
          <t>conciliado</t>
        </is>
      </c>
    </row>
    <row r="85">
      <c r="A85" s="11" t="n">
        <v>1173</v>
      </c>
      <c r="B85" s="12" t="n">
        <v>46110</v>
      </c>
      <c r="C85" s="11" t="inlineStr">
        <is>
          <t>cri noguera quistial</t>
        </is>
      </c>
      <c r="D85" s="13" t="n">
        <v>9400</v>
      </c>
      <c r="E85" s="11">
        <f>IF(G85="conciliado","conciliado",I85)</f>
        <v/>
      </c>
      <c r="F85" s="11" t="inlineStr">
        <is>
          <t>103 | 2026-03-29 | 9,400 | bancolombia desde recarga</t>
        </is>
      </c>
      <c r="G85" s="11">
        <f>IF(I85="conciliado","conciliado","por revisar")</f>
        <v/>
      </c>
      <c r="H85" s="11" t="inlineStr"/>
      <c r="I85" s="11" t="inlineStr">
        <is>
          <t>conciliado</t>
        </is>
      </c>
    </row>
    <row r="86">
      <c r="A86" s="11" t="n">
        <v>1140</v>
      </c>
      <c r="B86" s="12" t="n">
        <v>46110</v>
      </c>
      <c r="C86" s="11" t="inlineStr">
        <is>
          <t>elkin jimenez mena o</t>
        </is>
      </c>
      <c r="D86" s="13" t="n">
        <v>44200</v>
      </c>
      <c r="E86" s="11">
        <f>IF(G86="conciliado","conciliado",I86)</f>
        <v/>
      </c>
      <c r="F86" s="11" t="inlineStr">
        <is>
          <t>104 | 2026-03-29 | 44,200 | b bre elkin</t>
        </is>
      </c>
      <c r="G86" s="11">
        <f>IF(I86="conciliado","conciliado","por revisar")</f>
        <v/>
      </c>
      <c r="H86" s="11" t="inlineStr"/>
      <c r="I86" s="11" t="inlineStr">
        <is>
          <t>conciliado</t>
        </is>
      </c>
    </row>
    <row r="87">
      <c r="A87" s="11" t="n">
        <v>1137</v>
      </c>
      <c r="B87" s="12" t="n">
        <v>46110</v>
      </c>
      <c r="C87" s="11" t="inlineStr">
        <is>
          <t>forero gonzalez jenn</t>
        </is>
      </c>
      <c r="D87" s="13" t="n">
        <v>12100</v>
      </c>
      <c r="E87" s="11">
        <f>IF(G87="conciliado","conciliado",I87)</f>
        <v/>
      </c>
      <c r="F87" s="11" t="inlineStr">
        <is>
          <t>107 | 2026-03-29 | 12,100 | fernanda jenny</t>
        </is>
      </c>
      <c r="G87" s="11">
        <f>IF(I87="conciliado","conciliado","por revisar")</f>
        <v/>
      </c>
      <c r="H87" s="11" t="inlineStr"/>
      <c r="I87" s="11" t="inlineStr">
        <is>
          <t>conciliado</t>
        </is>
      </c>
    </row>
    <row r="88">
      <c r="A88" s="11" t="n">
        <v>1172</v>
      </c>
      <c r="B88" s="12" t="n">
        <v>46110</v>
      </c>
      <c r="C88" s="11" t="inlineStr">
        <is>
          <t>cruz garces yuri</t>
        </is>
      </c>
      <c r="D88" s="13" t="n">
        <v>20000</v>
      </c>
      <c r="E88" s="11">
        <f>IF(G88="conciliado","conciliado",I88)</f>
        <v/>
      </c>
      <c r="F88" s="11" t="inlineStr">
        <is>
          <t>108 | 2026-03-29 | 20,000 | garces omayra yuri</t>
        </is>
      </c>
      <c r="G88" s="11">
        <f>IF(I88="conciliado","conciliado","por revisar")</f>
        <v/>
      </c>
      <c r="H88" s="11" t="inlineStr"/>
      <c r="I88" s="11" t="inlineStr">
        <is>
          <t>conciliado</t>
        </is>
      </c>
    </row>
    <row r="89">
      <c r="A89" s="11" t="n">
        <v>1153</v>
      </c>
      <c r="B89" s="12" t="n">
        <v>46110</v>
      </c>
      <c r="C89" s="11" t="inlineStr">
        <is>
          <t>caicedo rodrigo yela</t>
        </is>
      </c>
      <c r="D89" s="13" t="n">
        <v>24200</v>
      </c>
      <c r="E89" s="11">
        <f>IF(G89="conciliado","conciliado",I89)</f>
        <v/>
      </c>
      <c r="F89" s="11" t="inlineStr">
        <is>
          <t>109 | 2026-03-29 | 24,200 | julieth maria osorio</t>
        </is>
      </c>
      <c r="G89" s="11">
        <f>IF(I89="conciliado","conciliado","por revisar")</f>
        <v/>
      </c>
      <c r="H89" s="11" t="inlineStr"/>
      <c r="I89" s="11" t="inlineStr">
        <is>
          <t>conciliado</t>
        </is>
      </c>
    </row>
    <row r="90">
      <c r="A90" s="11" t="n">
        <v>1159</v>
      </c>
      <c r="B90" s="12" t="n">
        <v>46110</v>
      </c>
      <c r="C90" s="11" t="inlineStr">
        <is>
          <t>arboleda congote jor</t>
        </is>
      </c>
      <c r="D90" s="13" t="n">
        <v>8000</v>
      </c>
      <c r="E90" s="11">
        <f>IF(G90="conciliado","conciliado",I90)</f>
        <v/>
      </c>
      <c r="F90" s="11" t="inlineStr">
        <is>
          <t>110 | 2026-03-29 | 8,000 | congotte jair jordan</t>
        </is>
      </c>
      <c r="G90" s="11">
        <f>IF(I90="conciliado","conciliado","por revisar")</f>
        <v/>
      </c>
      <c r="H90" s="11" t="inlineStr"/>
      <c r="I90" s="11" t="inlineStr">
        <is>
          <t>conciliado</t>
        </is>
      </c>
    </row>
    <row r="91">
      <c r="A91" s="11" t="n">
        <v>1139</v>
      </c>
      <c r="B91" s="12" t="n">
        <v>46110</v>
      </c>
      <c r="C91" s="11" t="inlineStr">
        <is>
          <t>narky ricalde rosero</t>
        </is>
      </c>
      <c r="D91" s="13" t="n">
        <v>30600</v>
      </c>
      <c r="E91" s="11">
        <f>IF(G91="conciliado","conciliado",I91)</f>
        <v/>
      </c>
      <c r="F91" s="11" t="inlineStr">
        <is>
          <t>111 | 2026-03-29 | 30,600 | alexandra narky</t>
        </is>
      </c>
      <c r="G91" s="11">
        <f>IF(I91="conciliado","conciliado","por revisar")</f>
        <v/>
      </c>
      <c r="H91" s="11" t="inlineStr"/>
      <c r="I91" s="11" t="inlineStr">
        <is>
          <t>conciliado</t>
        </is>
      </c>
    </row>
    <row r="92">
      <c r="A92" s="11" t="n">
        <v>1158</v>
      </c>
      <c r="B92" s="12" t="n">
        <v>46110</v>
      </c>
      <c r="C92" s="11" t="inlineStr">
        <is>
          <t>castro nefe palacio</t>
        </is>
      </c>
      <c r="D92" s="13" t="n">
        <v>14500</v>
      </c>
      <c r="E92" s="11">
        <f>IF(G92="conciliado","conciliado",I92)</f>
        <v/>
      </c>
      <c r="F92" s="11" t="inlineStr">
        <is>
          <t>112 | 2026-03-29 | 14,500 | castro julian nefer</t>
        </is>
      </c>
      <c r="G92" s="11">
        <f>IF(I92="conciliado","conciliado","por revisar")</f>
        <v/>
      </c>
      <c r="H92" s="11" t="inlineStr"/>
      <c r="I92" s="11" t="inlineStr">
        <is>
          <t>conciliado</t>
        </is>
      </c>
    </row>
    <row r="93">
      <c r="A93" s="11" t="n">
        <v>1132</v>
      </c>
      <c r="B93" s="12" t="n">
        <v>46110</v>
      </c>
      <c r="C93" s="11" t="inlineStr">
        <is>
          <t>figueroa jhonn mafla</t>
        </is>
      </c>
      <c r="D93" s="13" t="n">
        <v>14100</v>
      </c>
      <c r="E93" s="11">
        <f>IF(G93="conciliado","conciliado",I93)</f>
        <v/>
      </c>
      <c r="F93" s="11" t="inlineStr">
        <is>
          <t>113 | 2026-03-29 | 14,100 | anderson jhonn</t>
        </is>
      </c>
      <c r="G93" s="11">
        <f>IF(I93="conciliado","conciliado","por revisar")</f>
        <v/>
      </c>
      <c r="H93" s="11" t="inlineStr"/>
      <c r="I93" s="11" t="inlineStr">
        <is>
          <t>conciliado</t>
        </is>
      </c>
    </row>
    <row r="94">
      <c r="A94" s="11" t="n">
        <v>1156</v>
      </c>
      <c r="B94" s="12" t="n">
        <v>46110</v>
      </c>
      <c r="C94" s="11" t="inlineStr">
        <is>
          <t>arias benavides kath</t>
        </is>
      </c>
      <c r="D94" s="13" t="n">
        <v>23300</v>
      </c>
      <c r="E94" s="11">
        <f>IF(G94="conciliado","conciliado",I94)</f>
        <v/>
      </c>
      <c r="F94" s="11" t="inlineStr">
        <is>
          <t>114 | 2026-03-29 | 23,300 | b bre danilo</t>
        </is>
      </c>
      <c r="G94" s="11">
        <f>IF(I94="conciliado","conciliado","por revisar")</f>
        <v/>
      </c>
      <c r="H94" s="11" t="inlineStr"/>
      <c r="I94" s="11" t="inlineStr">
        <is>
          <t>conciliado</t>
        </is>
      </c>
    </row>
    <row r="95">
      <c r="A95" s="11" t="n">
        <v>1149</v>
      </c>
      <c r="B95" s="12" t="n">
        <v>46110</v>
      </c>
      <c r="C95" s="11" t="inlineStr">
        <is>
          <t>carlos eduar mendoza</t>
        </is>
      </c>
      <c r="D95" s="13" t="n">
        <v>18000</v>
      </c>
      <c r="E95" s="11">
        <f>IF(G95="conciliado","conciliado",I95)</f>
        <v/>
      </c>
      <c r="F95" s="11" t="inlineStr">
        <is>
          <t>115 | 2026-03-29 | 18,000 | carlos mendoza</t>
        </is>
      </c>
      <c r="G95" s="11">
        <f>IF(I95="conciliado","conciliado","por revisar")</f>
        <v/>
      </c>
      <c r="H95" s="11" t="inlineStr"/>
      <c r="I95" s="11" t="inlineStr">
        <is>
          <t>conciliado</t>
        </is>
      </c>
    </row>
    <row r="96">
      <c r="A96" s="11" t="n">
        <v>1146</v>
      </c>
      <c r="B96" s="12" t="n">
        <v>46110</v>
      </c>
      <c r="C96" s="11" t="inlineStr">
        <is>
          <t>ca carvajal portilla</t>
        </is>
      </c>
      <c r="D96" s="13" t="n">
        <v>17500</v>
      </c>
      <c r="E96" s="11">
        <f>IF(G96="conciliado","conciliado",I96)</f>
        <v/>
      </c>
      <c r="F96" s="11" t="inlineStr">
        <is>
          <t>116 | 2026-03-29 | 17,500 | carmen carvajal daniela</t>
        </is>
      </c>
      <c r="G96" s="11">
        <f>IF(I96="conciliado","conciliado","por revisar")</f>
        <v/>
      </c>
      <c r="H96" s="11" t="inlineStr"/>
      <c r="I96" s="11" t="inlineStr">
        <is>
          <t>conciliado</t>
        </is>
      </c>
    </row>
    <row r="97">
      <c r="A97" s="11" t="n">
        <v>1171</v>
      </c>
      <c r="B97" s="12" t="n">
        <v>46110</v>
      </c>
      <c r="C97" s="11" t="inlineStr">
        <is>
          <t>arbey criollo espana</t>
        </is>
      </c>
      <c r="D97" s="13" t="n">
        <v>30200</v>
      </c>
      <c r="E97" s="11">
        <f>IF(G97="conciliado","conciliado",I97)</f>
        <v/>
      </c>
      <c r="F97" s="11" t="inlineStr">
        <is>
          <t>117 | 2026-03-29 | 30,200 | criollo espana jarbey</t>
        </is>
      </c>
      <c r="G97" s="11">
        <f>IF(I97="conciliado","conciliado","por revisar")</f>
        <v/>
      </c>
      <c r="H97" s="11" t="inlineStr"/>
      <c r="I97" s="11" t="inlineStr">
        <is>
          <t>conciliado</t>
        </is>
      </c>
    </row>
    <row r="98">
      <c r="A98" s="11" t="n">
        <v>1168</v>
      </c>
      <c r="B98" s="12" t="n">
        <v>46110</v>
      </c>
      <c r="C98" s="11" t="inlineStr">
        <is>
          <t>garzon rocha wilson</t>
        </is>
      </c>
      <c r="D98" s="13" t="n">
        <v>10000</v>
      </c>
      <c r="E98" s="11">
        <f>IF(G98="conciliado","conciliado",I98)</f>
        <v/>
      </c>
      <c r="F98" s="11" t="inlineStr">
        <is>
          <t>118 | 2026-03-29 | 10,000 | alexander wilson</t>
        </is>
      </c>
      <c r="G98" s="11">
        <f>IF(I98="conciliado","conciliado","por revisar")</f>
        <v/>
      </c>
      <c r="H98" s="11" t="inlineStr"/>
      <c r="I98" s="11" t="inlineStr">
        <is>
          <t>conciliado</t>
        </is>
      </c>
    </row>
    <row r="99">
      <c r="A99" s="11" t="n">
        <v>1170</v>
      </c>
      <c r="B99" s="12" t="n">
        <v>46110</v>
      </c>
      <c r="C99" s="11" t="inlineStr">
        <is>
          <t>diana rodriguez</t>
        </is>
      </c>
      <c r="D99" s="13" t="n">
        <v>40200</v>
      </c>
      <c r="E99" s="11">
        <f>IF(G99="conciliado","conciliado",I99)</f>
        <v/>
      </c>
      <c r="F99" s="11" t="inlineStr">
        <is>
          <t>120 | 2026-03-29 | 40,200 | b bre diana</t>
        </is>
      </c>
      <c r="G99" s="11">
        <f>IF(I99="conciliado","conciliado","por revisar")</f>
        <v/>
      </c>
      <c r="H99" s="11" t="inlineStr"/>
      <c r="I99" s="11" t="inlineStr">
        <is>
          <t>conciliado</t>
        </is>
      </c>
    </row>
    <row r="100">
      <c r="A100" s="11" t="n">
        <v>1133</v>
      </c>
      <c r="B100" s="12" t="n">
        <v>46110</v>
      </c>
      <c r="C100" s="11" t="inlineStr">
        <is>
          <t>anggie lili mosquera</t>
        </is>
      </c>
      <c r="D100" s="13" t="n">
        <v>10000</v>
      </c>
      <c r="E100" s="11">
        <f>IF(G100="conciliado","conciliado",I100)</f>
        <v/>
      </c>
      <c r="F100" s="11" t="inlineStr">
        <is>
          <t>122 | 2026-03-29 | 10,000 | anggie liliana mosquera</t>
        </is>
      </c>
      <c r="G100" s="11">
        <f>IF(I100="conciliado","conciliado","por revisar")</f>
        <v/>
      </c>
      <c r="H100" s="11" t="inlineStr"/>
      <c r="I100" s="11" t="inlineStr">
        <is>
          <t>conciliado</t>
        </is>
      </c>
    </row>
    <row r="101">
      <c r="A101" s="11" t="n">
        <v>1151</v>
      </c>
      <c r="B101" s="12" t="n">
        <v>46110</v>
      </c>
      <c r="C101" s="11" t="inlineStr">
        <is>
          <t>jein morales morales</t>
        </is>
      </c>
      <c r="D101" s="13" t="n">
        <v>19100</v>
      </c>
      <c r="E101" s="11">
        <f>IF(G101="conciliado","conciliado",I101)</f>
        <v/>
      </c>
      <c r="F101" s="11" t="inlineStr">
        <is>
          <t>123 | 2026-03-29 | 19,100 | jackeline jeiny morales</t>
        </is>
      </c>
      <c r="G101" s="11">
        <f>IF(I101="conciliado","conciliado","por revisar")</f>
        <v/>
      </c>
      <c r="H101" s="11" t="inlineStr"/>
      <c r="I101" s="11" t="inlineStr">
        <is>
          <t>conciliado</t>
        </is>
      </c>
    </row>
    <row r="102">
      <c r="A102" s="11" t="n">
        <v>1162</v>
      </c>
      <c r="B102" s="12" t="n">
        <v>46110</v>
      </c>
      <c r="C102" s="11" t="inlineStr">
        <is>
          <t>an prado velasco</t>
        </is>
      </c>
      <c r="D102" s="13" t="n">
        <v>14000</v>
      </c>
      <c r="E102" s="11">
        <f>IF(G102="conciliado","conciliado",I102)</f>
        <v/>
      </c>
      <c r="F102" s="11" t="inlineStr">
        <is>
          <t>124 | 2026-03-29 | 14,000 | anyi lorena prado</t>
        </is>
      </c>
      <c r="G102" s="11">
        <f>IF(I102="conciliado","conciliado","por revisar")</f>
        <v/>
      </c>
      <c r="H102" s="11" t="inlineStr"/>
      <c r="I102" s="11" t="inlineStr">
        <is>
          <t>conciliado</t>
        </is>
      </c>
    </row>
    <row r="103">
      <c r="A103" s="11" t="n">
        <v>1163</v>
      </c>
      <c r="B103" s="12" t="n">
        <v>46110</v>
      </c>
      <c r="C103" s="11" t="inlineStr">
        <is>
          <t>gasca keyny martinez</t>
        </is>
      </c>
      <c r="D103" s="13" t="n">
        <v>71700</v>
      </c>
      <c r="E103" s="11">
        <f>IF(G103="conciliado","conciliado",I103)</f>
        <v/>
      </c>
      <c r="F103" s="11" t="inlineStr">
        <is>
          <t>125 | 2026-03-29 | 71,700 | keiny lorena martinez</t>
        </is>
      </c>
      <c r="G103" s="11">
        <f>IF(I103="conciliado","conciliado","por revisar")</f>
        <v/>
      </c>
      <c r="H103" s="11" t="inlineStr"/>
      <c r="I103" s="11" t="inlineStr">
        <is>
          <t>conciliado</t>
        </is>
      </c>
    </row>
    <row r="104">
      <c r="A104" s="11" t="n">
        <v>1136</v>
      </c>
      <c r="B104" s="12" t="n">
        <v>46110</v>
      </c>
      <c r="C104" s="11" t="inlineStr">
        <is>
          <t>a avila brayan duran</t>
        </is>
      </c>
      <c r="D104" s="13" t="n">
        <v>35400</v>
      </c>
      <c r="E104" s="11">
        <f>IF(G104="conciliado","conciliado",I104)</f>
        <v/>
      </c>
      <c r="F104" s="11" t="inlineStr">
        <is>
          <t>126 | 2026-03-29 | 35,400 | alfonso avila brayan</t>
        </is>
      </c>
      <c r="G104" s="11">
        <f>IF(I104="conciliado","conciliado","por revisar")</f>
        <v/>
      </c>
      <c r="H104" s="11" t="inlineStr"/>
      <c r="I104" s="11" t="inlineStr">
        <is>
          <t>conciliado</t>
        </is>
      </c>
    </row>
    <row r="105">
      <c r="A105" s="11" t="n">
        <v>1141</v>
      </c>
      <c r="B105" s="12" t="n">
        <v>46110</v>
      </c>
      <c r="C105" s="11" t="inlineStr">
        <is>
          <t>cordero correa monic</t>
        </is>
      </c>
      <c r="D105" s="13" t="n">
        <v>36400</v>
      </c>
      <c r="E105" s="11">
        <f>IF(G105="conciliado","conciliado",I105)</f>
        <v/>
      </c>
      <c r="F105" s="11" t="inlineStr">
        <is>
          <t>127 | 2026-03-29 | 36,400 | cordero johana monica</t>
        </is>
      </c>
      <c r="G105" s="11">
        <f>IF(I105="conciliado","conciliado","por revisar")</f>
        <v/>
      </c>
      <c r="H105" s="11" t="inlineStr"/>
      <c r="I105" s="11" t="inlineStr">
        <is>
          <t>conciliado</t>
        </is>
      </c>
    </row>
    <row r="106">
      <c r="A106" s="11" t="n">
        <v>1164</v>
      </c>
      <c r="B106" s="12" t="n">
        <v>46110</v>
      </c>
      <c r="C106" s="11" t="inlineStr">
        <is>
          <t>dovigama jo nacavera</t>
        </is>
      </c>
      <c r="D106" s="13" t="n">
        <v>6000</v>
      </c>
      <c r="E106" s="11">
        <f>IF(G106="conciliado","conciliado",I106)</f>
        <v/>
      </c>
      <c r="F106" s="11" t="inlineStr">
        <is>
          <t>128 | 2026-03-29 | 6,000 | fernanda valery</t>
        </is>
      </c>
      <c r="G106" s="11">
        <f>IF(I106="conciliado","conciliado","por revisar")</f>
        <v/>
      </c>
      <c r="H106" s="11" t="inlineStr"/>
      <c r="I106" s="11" t="inlineStr">
        <is>
          <t>conciliado</t>
        </is>
      </c>
    </row>
    <row r="107">
      <c r="A107" s="11" t="n">
        <v>1155</v>
      </c>
      <c r="B107" s="12" t="n">
        <v>46110</v>
      </c>
      <c r="C107" s="11" t="inlineStr">
        <is>
          <t>cuaran fe villamarin</t>
        </is>
      </c>
      <c r="D107" s="13" t="n">
        <v>7400</v>
      </c>
      <c r="E107" s="11">
        <f>IF(G107="conciliado","conciliado",I107)</f>
        <v/>
      </c>
      <c r="F107" s="11" t="inlineStr">
        <is>
          <t>129 | 2026-03-29 | 7,400 | albert jhon palma</t>
        </is>
      </c>
      <c r="G107" s="11">
        <f>IF(I107="conciliado","conciliado","por revisar")</f>
        <v/>
      </c>
      <c r="H107" s="11" t="inlineStr"/>
      <c r="I107" s="11" t="inlineStr">
        <is>
          <t>conciliado</t>
        </is>
      </c>
    </row>
    <row r="108">
      <c r="A108" s="11" t="n">
        <v>1143</v>
      </c>
      <c r="B108" s="12" t="n">
        <v>46110</v>
      </c>
      <c r="C108" s="11" t="inlineStr">
        <is>
          <t>cabrera gutierrez lu</t>
        </is>
      </c>
      <c r="D108" s="13" t="n">
        <v>36100</v>
      </c>
      <c r="E108" s="11">
        <f>IF(G108="conciliado","conciliado",I108)</f>
        <v/>
      </c>
      <c r="F108" s="11" t="inlineStr">
        <is>
          <t>130 | 2026-03-29 | 36,100 | bancolombia desde qr recarga</t>
        </is>
      </c>
      <c r="G108" s="11">
        <f>IF(I108="conciliado","conciliado","por revisar")</f>
        <v/>
      </c>
      <c r="H108" s="11" t="inlineStr"/>
      <c r="I108" s="11" t="inlineStr">
        <is>
          <t>conciliado</t>
        </is>
      </c>
    </row>
    <row r="109">
      <c r="A109" s="11" t="n">
        <v>1161</v>
      </c>
      <c r="B109" s="12" t="n">
        <v>46110</v>
      </c>
      <c r="C109" s="11" t="inlineStr">
        <is>
          <t>luz medina mosquera</t>
        </is>
      </c>
      <c r="D109" s="13" t="n">
        <v>12700</v>
      </c>
      <c r="E109" s="11">
        <f>IF(G109="conciliado","conciliado",I109)</f>
        <v/>
      </c>
      <c r="F109" s="11" t="inlineStr">
        <is>
          <t>131 | 2026-03-29 | 12,700 | amparo luz medina pino</t>
        </is>
      </c>
      <c r="G109" s="11">
        <f>IF(I109="conciliado","conciliado","por revisar")</f>
        <v/>
      </c>
      <c r="H109" s="11" t="inlineStr"/>
      <c r="I109" s="11" t="inlineStr">
        <is>
          <t>conciliado</t>
        </is>
      </c>
    </row>
    <row r="110">
      <c r="A110" s="11" t="n">
        <v>1147</v>
      </c>
      <c r="B110" s="12" t="n">
        <v>46110</v>
      </c>
      <c r="C110" s="11" t="inlineStr">
        <is>
          <t>cordoba hel mosquera</t>
        </is>
      </c>
      <c r="D110" s="13" t="n">
        <v>10700</v>
      </c>
      <c r="E110" s="11">
        <f>IF(G110="conciliado","conciliado",I110)</f>
        <v/>
      </c>
      <c r="F110" s="11" t="inlineStr">
        <is>
          <t>133 | 2026-03-29 | 10,700 | brigitte helen mosquera</t>
        </is>
      </c>
      <c r="G110" s="11">
        <f>IF(I110="conciliado","conciliado","por revisar")</f>
        <v/>
      </c>
      <c r="H110" s="11" t="inlineStr"/>
      <c r="I110" s="11" t="inlineStr">
        <is>
          <t>conciliado</t>
        </is>
      </c>
    </row>
    <row r="111">
      <c r="A111" s="11" t="n">
        <v>1169</v>
      </c>
      <c r="B111" s="12" t="n">
        <v>46110</v>
      </c>
      <c r="C111" s="11" t="inlineStr">
        <is>
          <t>anjeli bernal zuleta</t>
        </is>
      </c>
      <c r="D111" s="13" t="n">
        <v>7500</v>
      </c>
      <c r="E111" s="11">
        <f>IF(G111="conciliado","conciliado",I111)</f>
        <v/>
      </c>
      <c r="F111" s="11" t="inlineStr">
        <is>
          <t>134 | 2026-03-29 | 7,500 | angelica bernal luz</t>
        </is>
      </c>
      <c r="G111" s="11">
        <f>IF(I111="conciliado","conciliado","por revisar")</f>
        <v/>
      </c>
      <c r="H111" s="11" t="inlineStr"/>
      <c r="I111" s="11" t="inlineStr">
        <is>
          <t>conciliado</t>
        </is>
      </c>
    </row>
    <row r="112">
      <c r="A112" s="11" t="n">
        <v>1104</v>
      </c>
      <c r="B112" s="12" t="n">
        <v>46109</v>
      </c>
      <c r="C112" s="11" t="inlineStr">
        <is>
          <t>guerrero hand panezo</t>
        </is>
      </c>
      <c r="D112" s="13" t="n">
        <v>63000</v>
      </c>
      <c r="E112" s="11">
        <f>IF(G112="conciliado","conciliado",I112)</f>
        <v/>
      </c>
      <c r="F112" s="11" t="inlineStr">
        <is>
          <t>138 | 2026-03-28 | 63,000 | camilo handerson</t>
        </is>
      </c>
      <c r="G112" s="11">
        <f>IF(I112="conciliado","conciliado","por revisar")</f>
        <v/>
      </c>
      <c r="H112" s="11" t="inlineStr"/>
      <c r="I112" s="11" t="inlineStr">
        <is>
          <t>conciliado</t>
        </is>
      </c>
    </row>
    <row r="113">
      <c r="A113" s="11" t="n">
        <v>1106</v>
      </c>
      <c r="B113" s="12" t="n">
        <v>46109</v>
      </c>
      <c r="C113" s="11" t="inlineStr">
        <is>
          <t>jen melendez ordonez</t>
        </is>
      </c>
      <c r="D113" s="13" t="n">
        <v>38000</v>
      </c>
      <c r="E113" s="11">
        <f>IF(G113="conciliado","conciliado",I113)</f>
        <v/>
      </c>
      <c r="F113" s="11" t="inlineStr">
        <is>
          <t>139 | 2026-03-28 | 38,000 | jennifer yulieth</t>
        </is>
      </c>
      <c r="G113" s="11">
        <f>IF(I113="conciliado","conciliado","por revisar")</f>
        <v/>
      </c>
      <c r="H113" s="11" t="inlineStr"/>
      <c r="I113" s="11" t="inlineStr">
        <is>
          <t>conciliado</t>
        </is>
      </c>
    </row>
    <row r="114">
      <c r="A114" s="11" t="n">
        <v>1120</v>
      </c>
      <c r="B114" s="12" t="n">
        <v>46109</v>
      </c>
      <c r="C114" s="11" t="inlineStr">
        <is>
          <t>an prado velasco</t>
        </is>
      </c>
      <c r="D114" s="13" t="n">
        <v>7500</v>
      </c>
      <c r="E114" s="11">
        <f>IF(G114="conciliado","conciliado",I114)</f>
        <v/>
      </c>
      <c r="F114" s="11" t="inlineStr">
        <is>
          <t>140 | 2026-03-28 | 7,500 | anyi lorena prado</t>
        </is>
      </c>
      <c r="G114" s="11">
        <f>IF(I114="conciliado","conciliado","por revisar")</f>
        <v/>
      </c>
      <c r="H114" s="11" t="inlineStr"/>
      <c r="I114" s="11" t="inlineStr">
        <is>
          <t>conciliado</t>
        </is>
      </c>
    </row>
    <row r="115">
      <c r="A115" s="11" t="n">
        <v>1130</v>
      </c>
      <c r="B115" s="12" t="n">
        <v>46109</v>
      </c>
      <c r="C115" s="11" t="inlineStr">
        <is>
          <t>j morales pantoja</t>
        </is>
      </c>
      <c r="D115" s="13" t="n">
        <v>117500</v>
      </c>
      <c r="E115" s="11">
        <f>IF(G115="conciliado","conciliado",I115)</f>
        <v/>
      </c>
      <c r="F115" s="11" t="inlineStr">
        <is>
          <t>141 | 2026-03-28 | 117,500 | esteban johan pantoja</t>
        </is>
      </c>
      <c r="G115" s="11">
        <f>IF(I115="conciliado","conciliado","por revisar")</f>
        <v/>
      </c>
      <c r="H115" s="11" t="inlineStr"/>
      <c r="I115" s="11" t="inlineStr">
        <is>
          <t>conciliado</t>
        </is>
      </c>
    </row>
    <row r="116">
      <c r="A116" s="11" t="n">
        <v>1129</v>
      </c>
      <c r="B116" s="12" t="n">
        <v>46109</v>
      </c>
      <c r="C116" s="11" t="inlineStr">
        <is>
          <t>beleno daniel herazo</t>
        </is>
      </c>
      <c r="D116" s="13" t="n">
        <v>36000</v>
      </c>
      <c r="E116" s="11">
        <f>IF(G116="conciliado","conciliado",I116)</f>
        <v/>
      </c>
      <c r="F116" s="11" t="inlineStr">
        <is>
          <t>143 | 2026-03-28 | 36,000 | beleno daniel herazo</t>
        </is>
      </c>
      <c r="G116" s="11">
        <f>IF(I116="conciliado","conciliado","por revisar")</f>
        <v/>
      </c>
      <c r="H116" s="11" t="inlineStr"/>
      <c r="I116" s="11" t="inlineStr">
        <is>
          <t>conciliado</t>
        </is>
      </c>
    </row>
    <row r="117">
      <c r="A117" s="11" t="n">
        <v>1117</v>
      </c>
      <c r="B117" s="12" t="n">
        <v>46109</v>
      </c>
      <c r="C117" s="11" t="inlineStr">
        <is>
          <t>a cortes diaz miguel</t>
        </is>
      </c>
      <c r="D117" s="13" t="n">
        <v>26100</v>
      </c>
      <c r="E117" s="11">
        <f>IF(G117="conciliado","conciliado",I117)</f>
        <v/>
      </c>
      <c r="F117" s="11" t="inlineStr">
        <is>
          <t>145 | 2026-03-28 | 26,100 | angel diaz miguel</t>
        </is>
      </c>
      <c r="G117" s="11">
        <f>IF(I117="conciliado","conciliado","por revisar")</f>
        <v/>
      </c>
      <c r="H117" s="11" t="inlineStr"/>
      <c r="I117" s="11" t="inlineStr">
        <is>
          <t>conciliado</t>
        </is>
      </c>
    </row>
    <row r="118">
      <c r="A118" s="11" t="n">
        <v>1123</v>
      </c>
      <c r="B118" s="12" t="n">
        <v>46109</v>
      </c>
      <c r="C118" s="11" t="inlineStr">
        <is>
          <t>alejandr diaz espana</t>
        </is>
      </c>
      <c r="D118" s="13" t="n">
        <v>47300</v>
      </c>
      <c r="E118" s="11">
        <f>IF(G118="conciliado","conciliado",I118)</f>
        <v/>
      </c>
      <c r="F118" s="11" t="inlineStr">
        <is>
          <t>146 | 2026-03-28 | 47,300 | bancolombia desde qr recarga</t>
        </is>
      </c>
      <c r="G118" s="11">
        <f>IF(I118="conciliado","conciliado","por revisar")</f>
        <v/>
      </c>
      <c r="H118" s="11" t="inlineStr"/>
      <c r="I118" s="11" t="inlineStr">
        <is>
          <t>conciliado</t>
        </is>
      </c>
    </row>
    <row r="119">
      <c r="A119" s="11" t="n">
        <v>1110</v>
      </c>
      <c r="B119" s="12" t="n">
        <v>46109</v>
      </c>
      <c r="C119" s="11" t="inlineStr">
        <is>
          <t>angie pinto viveros</t>
        </is>
      </c>
      <c r="D119" s="13" t="n">
        <v>37400</v>
      </c>
      <c r="E119" s="11">
        <f>IF(G119="conciliado","conciliado",I119)</f>
        <v/>
      </c>
      <c r="F119" s="11" t="inlineStr">
        <is>
          <t>148 | 2026-03-28 | 37,400 | alexandra angie pinto</t>
        </is>
      </c>
      <c r="G119" s="11">
        <f>IF(I119="conciliado","conciliado","por revisar")</f>
        <v/>
      </c>
      <c r="H119" s="11" t="inlineStr"/>
      <c r="I119" s="11" t="inlineStr">
        <is>
          <t>conciliado</t>
        </is>
      </c>
    </row>
    <row r="120">
      <c r="A120" s="11" t="n">
        <v>1111</v>
      </c>
      <c r="B120" s="12" t="n">
        <v>46109</v>
      </c>
      <c r="C120" s="11" t="inlineStr">
        <is>
          <t>b cueva pinta wilson</t>
        </is>
      </c>
      <c r="D120" s="13" t="n">
        <v>12700</v>
      </c>
      <c r="E120" s="11">
        <f>IF(G120="conciliado","conciliado",I120)</f>
        <v/>
      </c>
      <c r="F120" s="11" t="inlineStr">
        <is>
          <t>149 | 2026-03-28 | 12,700 | b bre wilson</t>
        </is>
      </c>
      <c r="G120" s="11">
        <f>IF(I120="conciliado","conciliado","por revisar")</f>
        <v/>
      </c>
      <c r="H120" s="11" t="inlineStr"/>
      <c r="I120" s="11" t="inlineStr">
        <is>
          <t>conciliado</t>
        </is>
      </c>
    </row>
    <row r="121">
      <c r="A121" s="11" t="n">
        <v>1100</v>
      </c>
      <c r="B121" s="12" t="n">
        <v>46109</v>
      </c>
      <c r="C121" s="11" t="inlineStr">
        <is>
          <t>acosta idaly narvaez</t>
        </is>
      </c>
      <c r="D121" s="13" t="n">
        <v>14900</v>
      </c>
      <c r="E121" s="11">
        <f>IF(G121="conciliado","conciliado",I121)</f>
        <v/>
      </c>
      <c r="F121" s="11" t="inlineStr">
        <is>
          <t>150 | 2026-03-28 | 14,900 | esperanza idaly narvaez</t>
        </is>
      </c>
      <c r="G121" s="11">
        <f>IF(I121="conciliado","conciliado","por revisar")</f>
        <v/>
      </c>
      <c r="H121" s="11" t="inlineStr"/>
      <c r="I121" s="11" t="inlineStr">
        <is>
          <t>conciliado</t>
        </is>
      </c>
    </row>
    <row r="122">
      <c r="A122" s="11" t="n">
        <v>1098</v>
      </c>
      <c r="B122" s="12" t="n">
        <v>46109</v>
      </c>
      <c r="C122" s="11" t="inlineStr">
        <is>
          <t>ju maria quelal toro</t>
        </is>
      </c>
      <c r="D122" s="13" t="n">
        <v>32200</v>
      </c>
      <c r="E122" s="11">
        <f>IF(G122="conciliado","conciliado",I122)</f>
        <v/>
      </c>
      <c r="F122" s="11" t="inlineStr">
        <is>
          <t>151 | 2026-03-28 | 32,200 | maria quelal toro</t>
        </is>
      </c>
      <c r="G122" s="11">
        <f>IF(I122="conciliado","conciliado","por revisar")</f>
        <v/>
      </c>
      <c r="H122" s="11" t="inlineStr"/>
      <c r="I122" s="11" t="inlineStr">
        <is>
          <t>conciliado</t>
        </is>
      </c>
    </row>
    <row r="123">
      <c r="A123" s="11" t="n">
        <v>1128</v>
      </c>
      <c r="B123" s="12" t="n">
        <v>46109</v>
      </c>
      <c r="C123" s="11" t="inlineStr">
        <is>
          <t>angi castillo gelpud</t>
        </is>
      </c>
      <c r="D123" s="13" t="n">
        <v>17000</v>
      </c>
      <c r="E123" s="11">
        <f>IF(G123="conciliado","conciliado",I123)</f>
        <v/>
      </c>
      <c r="F123" s="11" t="inlineStr">
        <is>
          <t>152 | 2026-03-28 | 17,000 | anggi camila gelpu</t>
        </is>
      </c>
      <c r="G123" s="11">
        <f>IF(I123="conciliado","conciliado","por revisar")</f>
        <v/>
      </c>
      <c r="H123" s="11" t="inlineStr"/>
      <c r="I123" s="11" t="inlineStr">
        <is>
          <t>conciliado</t>
        </is>
      </c>
    </row>
    <row r="124">
      <c r="A124" s="11" t="n">
        <v>1118</v>
      </c>
      <c r="B124" s="12" t="n">
        <v>46109</v>
      </c>
      <c r="C124" s="11" t="inlineStr">
        <is>
          <t>eliana mercede torre</t>
        </is>
      </c>
      <c r="D124" s="13" t="n">
        <v>45700</v>
      </c>
      <c r="E124" s="11">
        <f>IF(G124="conciliado","conciliado",I124)</f>
        <v/>
      </c>
      <c r="F124" s="11" t="inlineStr">
        <is>
          <t>153 | 2026-03-28 | 45,700 | bancolombia desde qr recarga</t>
        </is>
      </c>
      <c r="G124" s="11">
        <f>IF(I124="conciliado","conciliado","por revisar")</f>
        <v/>
      </c>
      <c r="H124" s="11" t="inlineStr"/>
      <c r="I124" s="11" t="inlineStr">
        <is>
          <t>conciliado</t>
        </is>
      </c>
    </row>
    <row r="125">
      <c r="A125" s="11" t="n">
        <v>1121</v>
      </c>
      <c r="B125" s="12" t="n">
        <v>46109</v>
      </c>
      <c r="C125" s="11" t="inlineStr">
        <is>
          <t>an diaz leidy quiroz</t>
        </is>
      </c>
      <c r="D125" s="13" t="n">
        <v>19800</v>
      </c>
      <c r="E125" s="11">
        <f>IF(G125="conciliado","conciliado",I125)</f>
        <v/>
      </c>
      <c r="F125" s="11" t="inlineStr">
        <is>
          <t>154 | 2026-03-28 | 19,800 | andrea diaz leidy quiroz</t>
        </is>
      </c>
      <c r="G125" s="11">
        <f>IF(I125="conciliado","conciliado","por revisar")</f>
        <v/>
      </c>
      <c r="H125" s="11" t="inlineStr"/>
      <c r="I125" s="11" t="inlineStr">
        <is>
          <t>conciliado</t>
        </is>
      </c>
    </row>
    <row r="126">
      <c r="A126" s="11" t="n">
        <v>1127</v>
      </c>
      <c r="B126" s="12" t="n">
        <v>46109</v>
      </c>
      <c r="C126" s="11" t="inlineStr">
        <is>
          <t>emer meneses pai</t>
        </is>
      </c>
      <c r="D126" s="13" t="n">
        <v>10900</v>
      </c>
      <c r="E126" s="11">
        <f>IF(G126="conciliado","conciliado",I126)</f>
        <v/>
      </c>
      <c r="F126" s="11" t="inlineStr">
        <is>
          <t>159 | 2026-03-28 | 10,900 | elmer meneses</t>
        </is>
      </c>
      <c r="G126" s="11">
        <f>IF(I126="conciliado","conciliado","por revisar")</f>
        <v/>
      </c>
      <c r="H126" s="11" t="inlineStr"/>
      <c r="I126" s="11" t="inlineStr">
        <is>
          <t>conciliado</t>
        </is>
      </c>
    </row>
    <row r="127">
      <c r="A127" s="11" t="n">
        <v>1115</v>
      </c>
      <c r="B127" s="12" t="n">
        <v>46109</v>
      </c>
      <c r="C127" s="11" t="inlineStr">
        <is>
          <t>morales nasly ruales</t>
        </is>
      </c>
      <c r="D127" s="13" t="n">
        <v>3400</v>
      </c>
      <c r="E127" s="11">
        <f>IF(G127="conciliado","conciliado",I127)</f>
        <v/>
      </c>
      <c r="F127" s="11" t="inlineStr">
        <is>
          <t>161 | 2026-03-28 | 3,400 | jaqueline nasly ruales</t>
        </is>
      </c>
      <c r="G127" s="11">
        <f>IF(I127="conciliado","conciliado","por revisar")</f>
        <v/>
      </c>
      <c r="H127" s="11" t="inlineStr"/>
      <c r="I127" s="11" t="inlineStr">
        <is>
          <t>conciliado</t>
        </is>
      </c>
    </row>
    <row r="128">
      <c r="A128" s="11" t="n">
        <v>1097</v>
      </c>
      <c r="B128" s="12" t="n">
        <v>46109</v>
      </c>
      <c r="C128" s="11" t="inlineStr">
        <is>
          <t>anyela diaz meneses</t>
        </is>
      </c>
      <c r="D128" s="13" t="n">
        <v>9800</v>
      </c>
      <c r="E128" s="11">
        <f>IF(G128="conciliado","conciliado",I128)</f>
        <v/>
      </c>
      <c r="F128" s="11" t="inlineStr">
        <is>
          <t>162 | 2026-03-28 | 9,800 | alexander hannier</t>
        </is>
      </c>
      <c r="G128" s="11">
        <f>IF(I128="conciliado","conciliado","por revisar")</f>
        <v/>
      </c>
      <c r="H128" s="11" t="inlineStr"/>
      <c r="I128" s="11" t="inlineStr">
        <is>
          <t>conciliado</t>
        </is>
      </c>
    </row>
    <row r="129">
      <c r="A129" s="11" t="n">
        <v>1107</v>
      </c>
      <c r="B129" s="12" t="n">
        <v>46109</v>
      </c>
      <c r="C129" s="11" t="inlineStr">
        <is>
          <t>ana g hernandez paya</t>
        </is>
      </c>
      <c r="D129" s="13" t="n">
        <v>106100</v>
      </c>
      <c r="E129" s="11">
        <f>IF(G129="conciliado","conciliado",I129)</f>
        <v/>
      </c>
      <c r="F129" s="11" t="inlineStr">
        <is>
          <t>163 | 2026-03-28 | 106,100 | ana b bre</t>
        </is>
      </c>
      <c r="G129" s="11">
        <f>IF(I129="conciliado","conciliado","por revisar")</f>
        <v/>
      </c>
      <c r="H129" s="11" t="inlineStr"/>
      <c r="I129" s="11" t="inlineStr">
        <is>
          <t>conciliado</t>
        </is>
      </c>
    </row>
    <row r="130">
      <c r="A130" s="11" t="n">
        <v>1122</v>
      </c>
      <c r="B130" s="12" t="n">
        <v>46109</v>
      </c>
      <c r="C130" s="11" t="inlineStr">
        <is>
          <t>maya tania</t>
        </is>
      </c>
      <c r="D130" s="13" t="n">
        <v>11000</v>
      </c>
      <c r="E130" s="11">
        <f>IF(G130="conciliado","conciliado",I130)</f>
        <v/>
      </c>
      <c r="F130" s="11" t="inlineStr">
        <is>
          <t>164 | 2026-03-28 | 11,000 | rene roque wilman</t>
        </is>
      </c>
      <c r="G130" s="11">
        <f>IF(I130="conciliado","conciliado","por revisar")</f>
        <v/>
      </c>
      <c r="H130" s="11" t="inlineStr"/>
      <c r="I130" s="11" t="inlineStr">
        <is>
          <t>conciliado</t>
        </is>
      </c>
    </row>
    <row r="131">
      <c r="A131" s="11" t="n">
        <v>1119</v>
      </c>
      <c r="B131" s="12" t="n">
        <v>46109</v>
      </c>
      <c r="C131" s="11" t="inlineStr">
        <is>
          <t>juan rivera zambrano</t>
        </is>
      </c>
      <c r="D131" s="13" t="n">
        <v>11600</v>
      </c>
      <c r="E131" s="11">
        <f>IF(G131="conciliado","conciliado",I131)</f>
        <v/>
      </c>
      <c r="F131" s="11" t="inlineStr">
        <is>
          <t>165 | 2026-03-28 | 11,600 | david juan zambrano</t>
        </is>
      </c>
      <c r="G131" s="11">
        <f>IF(I131="conciliado","conciliado","por revisar")</f>
        <v/>
      </c>
      <c r="H131" s="11" t="inlineStr"/>
      <c r="I131" s="11" t="inlineStr">
        <is>
          <t>conciliado</t>
        </is>
      </c>
    </row>
    <row r="132">
      <c r="A132" s="11" t="n">
        <v>1108</v>
      </c>
      <c r="B132" s="12" t="n">
        <v>46109</v>
      </c>
      <c r="C132" s="11" t="inlineStr">
        <is>
          <t>cordoba hel mosquera</t>
        </is>
      </c>
      <c r="D132" s="13" t="n">
        <v>40400</v>
      </c>
      <c r="E132" s="11">
        <f>IF(G132="conciliado","conciliado",I132)</f>
        <v/>
      </c>
      <c r="F132" s="11" t="inlineStr">
        <is>
          <t>166 | 2026-03-28 | 40,400 | brigitte helen mosquera</t>
        </is>
      </c>
      <c r="G132" s="11">
        <f>IF(I132="conciliado","conciliado","por revisar")</f>
        <v/>
      </c>
      <c r="H132" s="11" t="inlineStr"/>
      <c r="I132" s="11" t="inlineStr">
        <is>
          <t>conciliado</t>
        </is>
      </c>
    </row>
    <row r="133">
      <c r="A133" s="11" t="n">
        <v>1099</v>
      </c>
      <c r="B133" s="12" t="n">
        <v>46109</v>
      </c>
      <c r="C133" s="11" t="inlineStr">
        <is>
          <t>florez londono yesid</t>
        </is>
      </c>
      <c r="D133" s="13" t="n">
        <v>38700</v>
      </c>
      <c r="E133" s="11">
        <f>IF(G133="conciliado","conciliado",I133)</f>
        <v/>
      </c>
      <c r="F133" s="11" t="inlineStr">
        <is>
          <t>167 | 2026-03-28 | 38,700 | florez londono yesid</t>
        </is>
      </c>
      <c r="G133" s="11">
        <f>IF(I133="conciliado","conciliado","por revisar")</f>
        <v/>
      </c>
      <c r="H133" s="11" t="inlineStr"/>
      <c r="I133" s="11" t="inlineStr">
        <is>
          <t>conciliado</t>
        </is>
      </c>
    </row>
    <row r="134">
      <c r="A134" s="11" t="n">
        <v>1096</v>
      </c>
      <c r="B134" s="12" t="n">
        <v>46109</v>
      </c>
      <c r="C134" s="11" t="inlineStr">
        <is>
          <t>ceron eraso evelio r</t>
        </is>
      </c>
      <c r="D134" s="13" t="n">
        <v>53000</v>
      </c>
      <c r="E134" s="11">
        <f>IF(G134="conciliado","conciliado",I134)</f>
        <v/>
      </c>
      <c r="F134" s="11" t="inlineStr">
        <is>
          <t>169 | 2026-03-28 | 53,000 | ceron eraso evelio rene</t>
        </is>
      </c>
      <c r="G134" s="11">
        <f>IF(I134="conciliado","conciliado","por revisar")</f>
        <v/>
      </c>
      <c r="H134" s="11" t="inlineStr"/>
      <c r="I134" s="11" t="inlineStr">
        <is>
          <t>conciliado</t>
        </is>
      </c>
    </row>
    <row r="135">
      <c r="A135" s="11" t="n">
        <v>1101</v>
      </c>
      <c r="B135" s="12" t="n">
        <v>46109</v>
      </c>
      <c r="C135" s="11" t="inlineStr">
        <is>
          <t>dayan florez l reyes</t>
        </is>
      </c>
      <c r="D135" s="13" t="n">
        <v>18100</v>
      </c>
      <c r="E135" s="11">
        <f>IF(G135="conciliado","conciliado",I135)</f>
        <v/>
      </c>
      <c r="F135" s="11" t="inlineStr">
        <is>
          <t>170 | 2026-03-28 | 18,100 | dayan florez reyes</t>
        </is>
      </c>
      <c r="G135" s="11">
        <f>IF(I135="conciliado","conciliado","por revisar")</f>
        <v/>
      </c>
      <c r="H135" s="11" t="inlineStr"/>
      <c r="I135" s="11" t="inlineStr">
        <is>
          <t>conciliado</t>
        </is>
      </c>
    </row>
    <row r="136">
      <c r="A136" s="11" t="n">
        <v>1126</v>
      </c>
      <c r="B136" s="12" t="n">
        <v>46109</v>
      </c>
      <c r="C136" s="11" t="inlineStr">
        <is>
          <t>a diego herrera ruiz</t>
        </is>
      </c>
      <c r="D136" s="13" t="n">
        <v>6000</v>
      </c>
      <c r="E136" s="11">
        <f>IF(G136="conciliado","conciliado",I136)</f>
        <v/>
      </c>
      <c r="F136" s="11" t="inlineStr">
        <is>
          <t>171 | 2026-03-28 | 6,000 | arbey diego herrera</t>
        </is>
      </c>
      <c r="G136" s="11">
        <f>IF(I136="conciliado","conciliado","por revisar")</f>
        <v/>
      </c>
      <c r="H136" s="11" t="inlineStr"/>
      <c r="I136" s="11" t="inlineStr">
        <is>
          <t>conciliado</t>
        </is>
      </c>
    </row>
    <row r="137">
      <c r="A137" s="11" t="n">
        <v>1116</v>
      </c>
      <c r="B137" s="12" t="n">
        <v>46109</v>
      </c>
      <c r="C137" s="11" t="inlineStr">
        <is>
          <t>clara fuentes helena</t>
        </is>
      </c>
      <c r="D137" s="13" t="n">
        <v>19700</v>
      </c>
      <c r="E137" s="11">
        <f>IF(G137="conciliado","conciliado",I137)</f>
        <v/>
      </c>
      <c r="F137" s="11" t="inlineStr">
        <is>
          <t>172 | 2026-03-28 | 19,700 | clara fuentes helena</t>
        </is>
      </c>
      <c r="G137" s="11">
        <f>IF(I137="conciliado","conciliado","por revisar")</f>
        <v/>
      </c>
      <c r="H137" s="11" t="inlineStr"/>
      <c r="I137" s="11" t="inlineStr">
        <is>
          <t>conciliado</t>
        </is>
      </c>
    </row>
    <row r="138">
      <c r="A138" s="11" t="n">
        <v>1113</v>
      </c>
      <c r="B138" s="12" t="n">
        <v>46109</v>
      </c>
      <c r="C138" s="11" t="inlineStr">
        <is>
          <t>cubillos niv ordones</t>
        </is>
      </c>
      <c r="D138" s="13" t="n">
        <v>15000</v>
      </c>
      <c r="E138" s="11">
        <f>IF(G138="conciliado","conciliado",I138)</f>
        <v/>
      </c>
      <c r="F138" s="11" t="inlineStr">
        <is>
          <t>173 | 2026-03-28 | 15,000 | cubillos nivia ordones</t>
        </is>
      </c>
      <c r="G138" s="11">
        <f>IF(I138="conciliado","conciliado","por revisar")</f>
        <v/>
      </c>
      <c r="H138" s="11" t="inlineStr"/>
      <c r="I138" s="11" t="inlineStr">
        <is>
          <t>conciliado</t>
        </is>
      </c>
    </row>
    <row r="139">
      <c r="A139" s="11" t="n">
        <v>1125</v>
      </c>
      <c r="B139" s="12" t="n">
        <v>46109</v>
      </c>
      <c r="C139" s="11" t="inlineStr">
        <is>
          <t>casanova perez stefa</t>
        </is>
      </c>
      <c r="D139" s="13" t="n">
        <v>16800</v>
      </c>
      <c r="E139" s="11">
        <f>IF(G139="conciliado","conciliado",I139)</f>
        <v/>
      </c>
      <c r="F139" s="11" t="inlineStr">
        <is>
          <t>174 | 2026-03-28 | 16,800 | casanova paola stefany</t>
        </is>
      </c>
      <c r="G139" s="11">
        <f>IF(I139="conciliado","conciliado","por revisar")</f>
        <v/>
      </c>
      <c r="H139" s="11" t="inlineStr"/>
      <c r="I139" s="11" t="inlineStr">
        <is>
          <t>conciliado</t>
        </is>
      </c>
    </row>
    <row r="140">
      <c r="A140" s="11" t="n">
        <v>1095</v>
      </c>
      <c r="B140" s="12" t="n">
        <v>46109</v>
      </c>
      <c r="C140" s="11" t="inlineStr">
        <is>
          <t>a ajover darnel s s</t>
        </is>
      </c>
      <c r="D140" s="13" t="n">
        <v>-4589711</v>
      </c>
      <c r="E140" s="11">
        <f>IF(G140="conciliado","conciliado",I140)</f>
        <v/>
      </c>
      <c r="F140" s="11" t="inlineStr">
        <is>
          <t>176 | 2026-03-28 | -4,589,711 | ajover compra en pse sas</t>
        </is>
      </c>
      <c r="G140" s="11">
        <f>IF(I140="conciliado","conciliado","por revisar")</f>
        <v/>
      </c>
      <c r="H140" s="11" t="inlineStr"/>
      <c r="I140" s="11" t="inlineStr">
        <is>
          <t>conciliado</t>
        </is>
      </c>
    </row>
    <row r="141">
      <c r="A141" s="11" t="n">
        <v>1109</v>
      </c>
      <c r="B141" s="12" t="n">
        <v>46109</v>
      </c>
      <c r="C141" s="11" t="inlineStr">
        <is>
          <t>josa rosales yo yury</t>
        </is>
      </c>
      <c r="D141" s="13" t="n">
        <v>40800</v>
      </c>
      <c r="E141" s="11">
        <f>IF(G141="conciliado","conciliado",I141)</f>
        <v/>
      </c>
      <c r="F141" s="11" t="inlineStr">
        <is>
          <t>177 | 2026-03-28 | 40,800 | josa yolanda yuri</t>
        </is>
      </c>
      <c r="G141" s="11">
        <f>IF(I141="conciliado","conciliado","por revisar")</f>
        <v/>
      </c>
      <c r="H141" s="11" t="inlineStr"/>
      <c r="I141" s="11" t="inlineStr">
        <is>
          <t>conciliado</t>
        </is>
      </c>
    </row>
    <row r="142">
      <c r="A142" s="11" t="n">
        <v>1124</v>
      </c>
      <c r="B142" s="12" t="n">
        <v>46109</v>
      </c>
      <c r="C142" s="11" t="inlineStr">
        <is>
          <t>garzon rocha wilson</t>
        </is>
      </c>
      <c r="D142" s="13" t="n">
        <v>5000</v>
      </c>
      <c r="E142" s="11">
        <f>IF(G142="conciliado","conciliado",I142)</f>
        <v/>
      </c>
      <c r="F142" s="11" t="inlineStr">
        <is>
          <t>178 | 2026-03-28 | 5,000 | alexander wilson</t>
        </is>
      </c>
      <c r="G142" s="11">
        <f>IF(I142="conciliado","conciliado","por revisar")</f>
        <v/>
      </c>
      <c r="H142" s="11" t="inlineStr"/>
      <c r="I142" s="11" t="inlineStr">
        <is>
          <t>conciliado</t>
        </is>
      </c>
    </row>
    <row r="143">
      <c r="A143" s="11" t="n">
        <v>1067</v>
      </c>
      <c r="B143" s="12" t="n">
        <v>46108</v>
      </c>
      <c r="C143" s="11" t="inlineStr">
        <is>
          <t>cadena potosi sandra</t>
        </is>
      </c>
      <c r="D143" s="13" t="n">
        <v>29100</v>
      </c>
      <c r="E143" s="11">
        <f>IF(G143="conciliado","conciliado",I143)</f>
        <v/>
      </c>
      <c r="F143" s="11" t="inlineStr">
        <is>
          <t>180 | 2026-03-27 | 29,100 | b bre sandra</t>
        </is>
      </c>
      <c r="G143" s="11">
        <f>IF(I143="conciliado","conciliado","por revisar")</f>
        <v/>
      </c>
      <c r="H143" s="11" t="inlineStr"/>
      <c r="I143" s="11" t="inlineStr">
        <is>
          <t>conciliado</t>
        </is>
      </c>
    </row>
    <row r="144">
      <c r="A144" s="11" t="n">
        <v>1093</v>
      </c>
      <c r="B144" s="12" t="n">
        <v>46108</v>
      </c>
      <c r="C144" s="11" t="inlineStr">
        <is>
          <t>gordon julian jurado</t>
        </is>
      </c>
      <c r="D144" s="13" t="n">
        <v>23500</v>
      </c>
      <c r="E144" s="11">
        <f>IF(G144="conciliado","conciliado",I144)</f>
        <v/>
      </c>
      <c r="F144" s="11" t="inlineStr">
        <is>
          <t>181 | 2026-03-27 | 23,500 | gordo julian jurado luis</t>
        </is>
      </c>
      <c r="G144" s="11">
        <f>IF(I144="conciliado","conciliado","por revisar")</f>
        <v/>
      </c>
      <c r="H144" s="11" t="inlineStr"/>
      <c r="I144" s="11" t="inlineStr">
        <is>
          <t>conciliado</t>
        </is>
      </c>
    </row>
    <row r="145">
      <c r="A145" s="11" t="n">
        <v>1084</v>
      </c>
      <c r="B145" s="12" t="n">
        <v>46108</v>
      </c>
      <c r="C145" s="11" t="inlineStr">
        <is>
          <t>imbachi marroquin</t>
        </is>
      </c>
      <c r="D145" s="13" t="n">
        <v>18800</v>
      </c>
      <c r="E145" s="11">
        <f>IF(G145="conciliado","conciliado",I145)</f>
        <v/>
      </c>
      <c r="F145" s="11" t="inlineStr">
        <is>
          <t>182 | 2026-03-27 | 18,800 | katty loreny marroquin</t>
        </is>
      </c>
      <c r="G145" s="11">
        <f>IF(I145="conciliado","conciliado","por revisar")</f>
        <v/>
      </c>
      <c r="H145" s="11" t="inlineStr"/>
      <c r="I145" s="11" t="inlineStr">
        <is>
          <t>conciliado</t>
        </is>
      </c>
    </row>
    <row r="146">
      <c r="A146" s="11" t="n">
        <v>1094</v>
      </c>
      <c r="B146" s="12" t="n">
        <v>46108</v>
      </c>
      <c r="C146" s="11" t="inlineStr">
        <is>
          <t>cueltan elia escobar</t>
        </is>
      </c>
      <c r="D146" s="13" t="n">
        <v>16300</v>
      </c>
      <c r="E146" s="11">
        <f>IF(G146="conciliado","conciliado",I146)</f>
        <v/>
      </c>
      <c r="F146" s="11" t="inlineStr">
        <is>
          <t>183 | 2026-03-27 | 16,300 | eliana escobar esneida</t>
        </is>
      </c>
      <c r="G146" s="11">
        <f>IF(I146="conciliado","conciliado","por revisar")</f>
        <v/>
      </c>
      <c r="H146" s="11" t="inlineStr"/>
      <c r="I146" s="11" t="inlineStr">
        <is>
          <t>conciliado</t>
        </is>
      </c>
    </row>
    <row r="147">
      <c r="A147" s="11" t="n">
        <v>1062</v>
      </c>
      <c r="B147" s="12" t="n">
        <v>46108</v>
      </c>
      <c r="C147" s="11" t="inlineStr">
        <is>
          <t>angel cabrera cadena</t>
        </is>
      </c>
      <c r="D147" s="13" t="n">
        <v>37000</v>
      </c>
      <c r="E147" s="11">
        <f>IF(G147="conciliado","conciliado",I147)</f>
        <v/>
      </c>
      <c r="F147" s="11" t="inlineStr">
        <is>
          <t>185 | 2026-03-27 | 37,000 | angel barney cabrera</t>
        </is>
      </c>
      <c r="G147" s="11">
        <f>IF(I147="conciliado","conciliado","por revisar")</f>
        <v/>
      </c>
      <c r="H147" s="11" t="inlineStr"/>
      <c r="I147" s="11" t="inlineStr">
        <is>
          <t>conciliado</t>
        </is>
      </c>
    </row>
    <row r="148">
      <c r="A148" s="11" t="n">
        <v>1077</v>
      </c>
      <c r="B148" s="12" t="n">
        <v>46108</v>
      </c>
      <c r="C148" s="11" t="inlineStr">
        <is>
          <t>cristian he pai vega</t>
        </is>
      </c>
      <c r="D148" s="13" t="n">
        <v>29800</v>
      </c>
      <c r="E148" s="11">
        <f>IF(G148="conciliado","conciliado",I148)</f>
        <v/>
      </c>
      <c r="F148" s="11" t="inlineStr">
        <is>
          <t>186 | 2026-03-27 | 29,800 | cristian hernando vega</t>
        </is>
      </c>
      <c r="G148" s="11">
        <f>IF(I148="conciliado","conciliado","por revisar")</f>
        <v/>
      </c>
      <c r="H148" s="11" t="inlineStr"/>
      <c r="I148" s="11" t="inlineStr">
        <is>
          <t>conciliado</t>
        </is>
      </c>
    </row>
    <row r="149">
      <c r="A149" s="11" t="n">
        <v>1073</v>
      </c>
      <c r="B149" s="12" t="n">
        <v>46108</v>
      </c>
      <c r="C149" s="11" t="inlineStr">
        <is>
          <t>daza jha realpe yibi</t>
        </is>
      </c>
      <c r="D149" s="13" t="n">
        <v>68000</v>
      </c>
      <c r="E149" s="11">
        <f>IF(G149="conciliado","conciliado",I149)</f>
        <v/>
      </c>
      <c r="F149" s="11" t="inlineStr">
        <is>
          <t>187 | 2026-03-27 | 68,000 | daza jhaline realpe yibi</t>
        </is>
      </c>
      <c r="G149" s="11">
        <f>IF(I149="conciliado","conciliado","por revisar")</f>
        <v/>
      </c>
      <c r="H149" s="11" t="inlineStr"/>
      <c r="I149" s="11" t="inlineStr">
        <is>
          <t>conciliado</t>
        </is>
      </c>
    </row>
    <row r="150">
      <c r="A150" s="11" t="n">
        <v>1069</v>
      </c>
      <c r="B150" s="12" t="n">
        <v>46108</v>
      </c>
      <c r="C150" s="11" t="inlineStr">
        <is>
          <t>guerrero jhon jurado</t>
        </is>
      </c>
      <c r="D150" s="13" t="n">
        <v>71200</v>
      </c>
      <c r="E150" s="11">
        <f>IF(G150="conciliado","conciliado",I150)</f>
        <v/>
      </c>
      <c r="F150" s="11" t="inlineStr">
        <is>
          <t>188 | 2026-03-27 | 71,200 | bancolombia desde qr recarga</t>
        </is>
      </c>
      <c r="G150" s="11">
        <f>IF(I150="conciliado","conciliado","por revisar")</f>
        <v/>
      </c>
      <c r="H150" s="11" t="inlineStr"/>
      <c r="I150" s="11" t="inlineStr">
        <is>
          <t>conciliado</t>
        </is>
      </c>
    </row>
    <row r="151">
      <c r="A151" s="11" t="n">
        <v>1081</v>
      </c>
      <c r="B151" s="12" t="n">
        <v>46108</v>
      </c>
      <c r="C151" s="11" t="inlineStr">
        <is>
          <t>e quinonez rodrigues</t>
        </is>
      </c>
      <c r="D151" s="13" t="n">
        <v>10200</v>
      </c>
      <c r="E151" s="11">
        <f>IF(G151="conciliado","conciliado",I151)</f>
        <v/>
      </c>
      <c r="F151" s="11" t="inlineStr">
        <is>
          <t>189 | 2026-03-27 | 10,200 | edgar enrique quinonez</t>
        </is>
      </c>
      <c r="G151" s="11">
        <f>IF(I151="conciliado","conciliado","por revisar")</f>
        <v/>
      </c>
      <c r="H151" s="11" t="inlineStr"/>
      <c r="I151" s="11" t="inlineStr">
        <is>
          <t>conciliado</t>
        </is>
      </c>
    </row>
    <row r="152">
      <c r="A152" s="11" t="n">
        <v>1071</v>
      </c>
      <c r="B152" s="12" t="n">
        <v>46108</v>
      </c>
      <c r="C152" s="11" t="inlineStr">
        <is>
          <t>josa rosales yo yury</t>
        </is>
      </c>
      <c r="D152" s="13" t="n">
        <v>22300</v>
      </c>
      <c r="E152" s="11">
        <f>IF(G152="conciliado","conciliado",I152)</f>
        <v/>
      </c>
      <c r="F152" s="11" t="inlineStr">
        <is>
          <t>190 | 2026-03-27 | 22,300 | josa yolanda yuri</t>
        </is>
      </c>
      <c r="G152" s="11">
        <f>IF(I152="conciliado","conciliado","por revisar")</f>
        <v/>
      </c>
      <c r="H152" s="11" t="inlineStr"/>
      <c r="I152" s="11" t="inlineStr">
        <is>
          <t>conciliado</t>
        </is>
      </c>
    </row>
    <row r="153">
      <c r="A153" s="11" t="n">
        <v>1092</v>
      </c>
      <c r="B153" s="12" t="n">
        <v>46108</v>
      </c>
      <c r="C153" s="11" t="inlineStr">
        <is>
          <t>liliana pantoja toro</t>
        </is>
      </c>
      <c r="D153" s="13" t="n">
        <v>30000</v>
      </c>
      <c r="E153" s="11">
        <f>IF(G153="conciliado","conciliado",I153)</f>
        <v/>
      </c>
      <c r="F153" s="11" t="inlineStr">
        <is>
          <t>191 | 2026-03-27 | 30,000 | andrea liliana pantoja</t>
        </is>
      </c>
      <c r="G153" s="11">
        <f>IF(I153="conciliado","conciliado","por revisar")</f>
        <v/>
      </c>
      <c r="H153" s="11" t="inlineStr"/>
      <c r="I153" s="11" t="inlineStr">
        <is>
          <t>conciliado</t>
        </is>
      </c>
    </row>
    <row r="154">
      <c r="A154" s="11" t="n">
        <v>1086</v>
      </c>
      <c r="B154" s="12" t="n">
        <v>46108</v>
      </c>
      <c r="C154" s="11" t="inlineStr">
        <is>
          <t>alvarez ana del melo</t>
        </is>
      </c>
      <c r="D154" s="13" t="n">
        <v>9400</v>
      </c>
      <c r="E154" s="11">
        <f>IF(G154="conciliado","conciliado",I154)</f>
        <v/>
      </c>
      <c r="F154" s="11" t="inlineStr">
        <is>
          <t>192 | 2026-03-27 | 9,400 | alvarez ana carmen del</t>
        </is>
      </c>
      <c r="G154" s="11">
        <f>IF(I154="conciliado","conciliado","por revisar")</f>
        <v/>
      </c>
      <c r="H154" s="11" t="inlineStr"/>
      <c r="I154" s="11" t="inlineStr">
        <is>
          <t>conciliado</t>
        </is>
      </c>
    </row>
    <row r="155">
      <c r="A155" s="11" t="n">
        <v>1072</v>
      </c>
      <c r="B155" s="12" t="n">
        <v>46108</v>
      </c>
      <c r="C155" s="11" t="inlineStr">
        <is>
          <t>james munoz pipicano</t>
        </is>
      </c>
      <c r="D155" s="13" t="n">
        <v>10000</v>
      </c>
      <c r="E155" s="11">
        <f>IF(G155="conciliado","conciliado",I155)</f>
        <v/>
      </c>
      <c r="F155" s="11" t="inlineStr">
        <is>
          <t>193 | 2026-03-27 | 10,000 | james munoz pipicano</t>
        </is>
      </c>
      <c r="G155" s="11">
        <f>IF(I155="conciliado","conciliado","por revisar")</f>
        <v/>
      </c>
      <c r="H155" s="11" t="inlineStr"/>
      <c r="I155" s="11" t="inlineStr">
        <is>
          <t>conciliado</t>
        </is>
      </c>
    </row>
    <row r="156">
      <c r="A156" s="11" t="n">
        <v>1080</v>
      </c>
      <c r="B156" s="12" t="n">
        <v>46108</v>
      </c>
      <c r="C156" s="11" t="inlineStr">
        <is>
          <t>juan rivera zambrano</t>
        </is>
      </c>
      <c r="D156" s="13" t="n">
        <v>16900</v>
      </c>
      <c r="E156" s="11">
        <f>IF(G156="conciliado","conciliado",I156)</f>
        <v/>
      </c>
      <c r="F156" s="11" t="inlineStr">
        <is>
          <t>194 | 2026-03-27 | 16,900 | david juan zambrano</t>
        </is>
      </c>
      <c r="G156" s="11">
        <f>IF(I156="conciliado","conciliado","por revisar")</f>
        <v/>
      </c>
      <c r="H156" s="11" t="inlineStr"/>
      <c r="I156" s="11" t="inlineStr">
        <is>
          <t>conciliado</t>
        </is>
      </c>
    </row>
    <row r="157">
      <c r="A157" s="11" t="n">
        <v>1060</v>
      </c>
      <c r="B157" s="12" t="n">
        <v>46108</v>
      </c>
      <c r="C157" s="11" t="inlineStr">
        <is>
          <t>fajardo guerra macyi</t>
        </is>
      </c>
      <c r="D157" s="13" t="n">
        <v>16500</v>
      </c>
      <c r="E157" s="11">
        <f>IF(G157="conciliado","conciliado",I157)</f>
        <v/>
      </c>
      <c r="F157" s="11" t="inlineStr">
        <is>
          <t>196 | 2026-03-27 | 16,500 | adriana nathaly vasquez</t>
        </is>
      </c>
      <c r="G157" s="11">
        <f>IF(I157="conciliado","conciliado","por revisar")</f>
        <v/>
      </c>
      <c r="H157" s="11" t="inlineStr"/>
      <c r="I157" s="11" t="inlineStr">
        <is>
          <t>conciliado</t>
        </is>
      </c>
    </row>
    <row r="158">
      <c r="A158" s="11" t="n">
        <v>1076</v>
      </c>
      <c r="B158" s="12" t="n">
        <v>46108</v>
      </c>
      <c r="C158" s="11" t="inlineStr">
        <is>
          <t>chana edisson potosi</t>
        </is>
      </c>
      <c r="D158" s="13" t="n">
        <v>8900</v>
      </c>
      <c r="E158" s="11">
        <f>IF(G158="conciliado","conciliado",I158)</f>
        <v/>
      </c>
      <c r="F158" s="11" t="inlineStr">
        <is>
          <t>197 | 2026-03-27 | 8,900 | b bre edisson</t>
        </is>
      </c>
      <c r="G158" s="11">
        <f>IF(I158="conciliado","conciliado","por revisar")</f>
        <v/>
      </c>
      <c r="H158" s="11" t="inlineStr"/>
      <c r="I158" s="11" t="inlineStr">
        <is>
          <t>conciliado</t>
        </is>
      </c>
    </row>
    <row r="159">
      <c r="A159" s="11" t="n">
        <v>1065</v>
      </c>
      <c r="B159" s="12" t="n">
        <v>46108</v>
      </c>
      <c r="C159" s="11" t="inlineStr">
        <is>
          <t>burbano dora garcia</t>
        </is>
      </c>
      <c r="D159" s="13" t="n">
        <v>9400</v>
      </c>
      <c r="E159" s="11">
        <f>IF(G159="conciliado","conciliado",I159)</f>
        <v/>
      </c>
      <c r="F159" s="11" t="inlineStr">
        <is>
          <t>199 | 2026-03-27 | 9,400 | angela burbano dora</t>
        </is>
      </c>
      <c r="G159" s="11">
        <f>IF(I159="conciliado","conciliado","por revisar")</f>
        <v/>
      </c>
      <c r="H159" s="11" t="inlineStr"/>
      <c r="I159" s="11" t="inlineStr">
        <is>
          <t>conciliado</t>
        </is>
      </c>
    </row>
    <row r="160">
      <c r="A160" s="11" t="n">
        <v>1091</v>
      </c>
      <c r="B160" s="12" t="n">
        <v>46108</v>
      </c>
      <c r="C160" s="11" t="inlineStr">
        <is>
          <t>nacequia velasque</t>
        </is>
      </c>
      <c r="D160" s="13" t="n">
        <v>12300</v>
      </c>
      <c r="E160" s="11">
        <f>IF(G160="conciliado","conciliado",I160)</f>
        <v/>
      </c>
      <c r="F160" s="11" t="inlineStr">
        <is>
          <t>200 | 2026-03-27 | 12,300 | jesica milena nacequia</t>
        </is>
      </c>
      <c r="G160" s="11">
        <f>IF(I160="conciliado","conciliado","por revisar")</f>
        <v/>
      </c>
      <c r="H160" s="11" t="inlineStr"/>
      <c r="I160" s="11" t="inlineStr">
        <is>
          <t>conciliado</t>
        </is>
      </c>
    </row>
    <row r="161">
      <c r="A161" s="11" t="n">
        <v>1088</v>
      </c>
      <c r="B161" s="12" t="n">
        <v>46108</v>
      </c>
      <c r="C161" s="11" t="inlineStr">
        <is>
          <t>briyith narvaez yela</t>
        </is>
      </c>
      <c r="D161" s="13" t="n">
        <v>8600</v>
      </c>
      <c r="E161" s="11">
        <f>IF(G161="conciliado","conciliado",I161)</f>
        <v/>
      </c>
      <c r="F161" s="11" t="inlineStr">
        <is>
          <t>201 | 2026-03-27 | 8,600 | briyith dayana yela</t>
        </is>
      </c>
      <c r="G161" s="11">
        <f>IF(I161="conciliado","conciliado","por revisar")</f>
        <v/>
      </c>
      <c r="H161" s="11" t="inlineStr"/>
      <c r="I161" s="11" t="inlineStr">
        <is>
          <t>conciliado</t>
        </is>
      </c>
    </row>
    <row r="162">
      <c r="A162" s="11" t="n">
        <v>1075</v>
      </c>
      <c r="B162" s="12" t="n">
        <v>46108</v>
      </c>
      <c r="C162" s="11" t="inlineStr">
        <is>
          <t>aragon franco g hugo</t>
        </is>
      </c>
      <c r="D162" s="13" t="n">
        <v>12600</v>
      </c>
      <c r="E162" s="11">
        <f>IF(G162="conciliado","conciliado",I162)</f>
        <v/>
      </c>
      <c r="F162" s="11" t="inlineStr">
        <is>
          <t>202 | 2026-03-27 | 12,600 | aragon gabriel hugo</t>
        </is>
      </c>
      <c r="G162" s="11">
        <f>IF(I162="conciliado","conciliado","por revisar")</f>
        <v/>
      </c>
      <c r="H162" s="11" t="inlineStr"/>
      <c r="I162" s="11" t="inlineStr">
        <is>
          <t>conciliado</t>
        </is>
      </c>
    </row>
    <row r="163">
      <c r="A163" s="11" t="n">
        <v>1090</v>
      </c>
      <c r="B163" s="12" t="n">
        <v>46108</v>
      </c>
      <c r="C163" s="11" t="inlineStr">
        <is>
          <t>jenif luna rosero</t>
        </is>
      </c>
      <c r="D163" s="13" t="n">
        <v>18800</v>
      </c>
      <c r="E163" s="11">
        <f>IF(G163="conciliado","conciliado",I163)</f>
        <v/>
      </c>
      <c r="F163" s="11" t="inlineStr">
        <is>
          <t>203 | 2026-03-27 | 18,800 | jenifer luna rosero</t>
        </is>
      </c>
      <c r="G163" s="11">
        <f>IF(I163="conciliado","conciliado","por revisar")</f>
        <v/>
      </c>
      <c r="H163" s="11" t="inlineStr"/>
      <c r="I163" s="11" t="inlineStr">
        <is>
          <t>conciliado</t>
        </is>
      </c>
    </row>
    <row r="164">
      <c r="A164" s="11" t="n">
        <v>1056</v>
      </c>
      <c r="B164" s="12" t="n">
        <v>46108</v>
      </c>
      <c r="C164" s="11" t="inlineStr">
        <is>
          <t>doly gamboa vargas</t>
        </is>
      </c>
      <c r="D164" s="13" t="n">
        <v>33200</v>
      </c>
      <c r="E164" s="11">
        <f>IF(G164="conciliado","conciliado",I164)</f>
        <v/>
      </c>
      <c r="F164" s="11" t="inlineStr">
        <is>
          <t>204 | 2026-03-27 | 33,200 | doly gamboa vargas</t>
        </is>
      </c>
      <c r="G164" s="11">
        <f>IF(I164="conciliado","conciliado","por revisar")</f>
        <v/>
      </c>
      <c r="H164" s="11" t="inlineStr"/>
      <c r="I164" s="11" t="inlineStr">
        <is>
          <t>conciliado</t>
        </is>
      </c>
    </row>
    <row r="165">
      <c r="A165" s="11" t="n">
        <v>1070</v>
      </c>
      <c r="B165" s="12" t="n">
        <v>46108</v>
      </c>
      <c r="C165" s="11" t="inlineStr">
        <is>
          <t>guanga kevin timaran</t>
        </is>
      </c>
      <c r="D165" s="13" t="n">
        <v>20300</v>
      </c>
      <c r="E165" s="11">
        <f>IF(G165="conciliado","conciliado",I165)</f>
        <v/>
      </c>
      <c r="F165" s="11" t="inlineStr">
        <is>
          <t>207 | 2026-03-27 | 20,300 | guanga kevin</t>
        </is>
      </c>
      <c r="G165" s="11">
        <f>IF(I165="conciliado","conciliado","por revisar")</f>
        <v/>
      </c>
      <c r="H165" s="11" t="inlineStr"/>
      <c r="I165" s="11" t="inlineStr">
        <is>
          <t>conciliado</t>
        </is>
      </c>
    </row>
    <row r="166">
      <c r="A166" s="11" t="n">
        <v>1079</v>
      </c>
      <c r="B166" s="12" t="n">
        <v>46108</v>
      </c>
      <c r="C166" s="11" t="inlineStr">
        <is>
          <t>chamorro garcia jeis</t>
        </is>
      </c>
      <c r="D166" s="13" t="n">
        <v>37000</v>
      </c>
      <c r="E166" s="11">
        <f>IF(G166="conciliado","conciliado",I166)</f>
        <v/>
      </c>
      <c r="F166" s="11" t="inlineStr">
        <is>
          <t>208 | 2026-03-27 | 37,000 | chamorro jeisson orlin</t>
        </is>
      </c>
      <c r="G166" s="11">
        <f>IF(I166="conciliado","conciliado","por revisar")</f>
        <v/>
      </c>
      <c r="H166" s="11" t="inlineStr"/>
      <c r="I166" s="11" t="inlineStr">
        <is>
          <t>conciliado</t>
        </is>
      </c>
    </row>
    <row r="167">
      <c r="A167" s="11" t="n">
        <v>1089</v>
      </c>
      <c r="B167" s="12" t="n">
        <v>46108</v>
      </c>
      <c r="C167" s="11" t="inlineStr">
        <is>
          <t>revelo rivera yesica</t>
        </is>
      </c>
      <c r="D167" s="13" t="n">
        <v>262700</v>
      </c>
      <c r="E167" s="11">
        <f>IF(G167="conciliado","conciliado",I167)</f>
        <v/>
      </c>
      <c r="F167" s="11" t="inlineStr">
        <is>
          <t>209 | 2026-03-27 | 262,700 | alejandra rivera yesika</t>
        </is>
      </c>
      <c r="G167" s="11">
        <f>IF(I167="conciliado","conciliado","por revisar")</f>
        <v/>
      </c>
      <c r="H167" s="11" t="inlineStr"/>
      <c r="I167" s="11" t="inlineStr">
        <is>
          <t>conciliado</t>
        </is>
      </c>
    </row>
    <row r="168">
      <c r="A168" s="11" t="n">
        <v>1074</v>
      </c>
      <c r="B168" s="12" t="n">
        <v>46108</v>
      </c>
      <c r="C168" s="11" t="inlineStr">
        <is>
          <t>din mendez velasquez</t>
        </is>
      </c>
      <c r="D168" s="13" t="n">
        <v>13400</v>
      </c>
      <c r="E168" s="11">
        <f>IF(G168="conciliado","conciliado",I168)</f>
        <v/>
      </c>
      <c r="F168" s="11" t="inlineStr">
        <is>
          <t>210 | 2026-03-27 | 13,400 | dina luz mendez</t>
        </is>
      </c>
      <c r="G168" s="11">
        <f>IF(I168="conciliado","conciliado","por revisar")</f>
        <v/>
      </c>
      <c r="H168" s="11" t="inlineStr"/>
      <c r="I168" s="11" t="inlineStr">
        <is>
          <t>conciliado</t>
        </is>
      </c>
    </row>
    <row r="169">
      <c r="A169" s="11" t="n">
        <v>1063</v>
      </c>
      <c r="B169" s="12" t="n">
        <v>46108</v>
      </c>
      <c r="C169" s="11" t="inlineStr">
        <is>
          <t>cangrejo diaz karen</t>
        </is>
      </c>
      <c r="D169" s="13" t="n">
        <v>13200</v>
      </c>
      <c r="E169" s="11">
        <f>IF(G169="conciliado","conciliado",I169)</f>
        <v/>
      </c>
      <c r="F169" s="11" t="inlineStr">
        <is>
          <t>211 | 2026-03-27 | 13,200 | cangrejo karen tatiana</t>
        </is>
      </c>
      <c r="G169" s="11">
        <f>IF(I169="conciliado","conciliado","por revisar")</f>
        <v/>
      </c>
      <c r="H169" s="11" t="inlineStr"/>
      <c r="I169" s="11" t="inlineStr">
        <is>
          <t>conciliado</t>
        </is>
      </c>
    </row>
    <row r="170">
      <c r="A170" s="11" t="n">
        <v>1066</v>
      </c>
      <c r="B170" s="12" t="n">
        <v>46108</v>
      </c>
      <c r="C170" s="11" t="inlineStr">
        <is>
          <t>becerra patric perez</t>
        </is>
      </c>
      <c r="D170" s="13" t="n">
        <v>11100</v>
      </c>
      <c r="E170" s="11">
        <f>IF(G170="conciliado","conciliado",I170)</f>
        <v/>
      </c>
      <c r="F170" s="11" t="inlineStr">
        <is>
          <t>212 | 2026-03-27 | 11,100 | becerra patricia perez</t>
        </is>
      </c>
      <c r="G170" s="11">
        <f>IF(I170="conciliado","conciliado","por revisar")</f>
        <v/>
      </c>
      <c r="H170" s="11" t="inlineStr"/>
      <c r="I170" s="11" t="inlineStr">
        <is>
          <t>conciliado</t>
        </is>
      </c>
    </row>
    <row r="171">
      <c r="A171" s="11" t="n">
        <v>1068</v>
      </c>
      <c r="B171" s="12" t="n">
        <v>46108</v>
      </c>
      <c r="C171" s="11" t="inlineStr">
        <is>
          <t>bravo nahomy zuniga</t>
        </is>
      </c>
      <c r="D171" s="13" t="n">
        <v>9100</v>
      </c>
      <c r="E171" s="11">
        <f>IF(G171="conciliado","conciliado",I171)</f>
        <v/>
      </c>
      <c r="F171" s="11" t="inlineStr">
        <is>
          <t>213 | 2026-03-27 | 9,100 | bravo nahomy zuniga</t>
        </is>
      </c>
      <c r="G171" s="11">
        <f>IF(I171="conciliado","conciliado","por revisar")</f>
        <v/>
      </c>
      <c r="H171" s="11" t="inlineStr"/>
      <c r="I171" s="11" t="inlineStr">
        <is>
          <t>conciliado</t>
        </is>
      </c>
    </row>
    <row r="172">
      <c r="A172" s="11" t="n">
        <v>1078</v>
      </c>
      <c r="B172" s="12" t="n">
        <v>46108</v>
      </c>
      <c r="C172" s="11" t="inlineStr">
        <is>
          <t>erika jojoa rosales</t>
        </is>
      </c>
      <c r="D172" s="13" t="n">
        <v>400</v>
      </c>
      <c r="E172" s="11">
        <f>IF(G172="conciliado","conciliado",I172)</f>
        <v/>
      </c>
      <c r="F172" s="11" t="inlineStr">
        <is>
          <t>214 | 2026-03-27 | 400 | erika rosales yulissa</t>
        </is>
      </c>
      <c r="G172" s="11">
        <f>IF(I172="conciliado","conciliado","por revisar")</f>
        <v/>
      </c>
      <c r="H172" s="11" t="inlineStr"/>
      <c r="I172" s="11" t="inlineStr">
        <is>
          <t>conciliado</t>
        </is>
      </c>
    </row>
    <row r="173">
      <c r="A173" s="11" t="n">
        <v>1059</v>
      </c>
      <c r="B173" s="12" t="n">
        <v>46108</v>
      </c>
      <c r="C173" s="11" t="inlineStr">
        <is>
          <t>azuce franco rubiano</t>
        </is>
      </c>
      <c r="D173" s="13" t="n">
        <v>12800</v>
      </c>
      <c r="E173" s="11">
        <f>IF(G173="conciliado","conciliado",I173)</f>
        <v/>
      </c>
      <c r="F173" s="11" t="inlineStr">
        <is>
          <t>215 | 2026-03-27 | 12,800 | azucena franco rubiano</t>
        </is>
      </c>
      <c r="G173" s="11">
        <f>IF(I173="conciliado","conciliado","por revisar")</f>
        <v/>
      </c>
      <c r="H173" s="11" t="inlineStr"/>
      <c r="I173" s="11" t="inlineStr">
        <is>
          <t>conciliado</t>
        </is>
      </c>
    </row>
    <row r="174">
      <c r="A174" s="11" t="n">
        <v>1083</v>
      </c>
      <c r="B174" s="12" t="n">
        <v>46108</v>
      </c>
      <c r="C174" s="11" t="inlineStr">
        <is>
          <t>arias erica munos</t>
        </is>
      </c>
      <c r="D174" s="13" t="n">
        <v>32800</v>
      </c>
      <c r="E174" s="11">
        <f>IF(G174="conciliado","conciliado",I174)</f>
        <v/>
      </c>
      <c r="F174" s="11" t="inlineStr">
        <is>
          <t>216 | 2026-03-27 | 32,800 | erika marcela munoz</t>
        </is>
      </c>
      <c r="G174" s="11">
        <f>IF(I174="conciliado","conciliado","por revisar")</f>
        <v/>
      </c>
      <c r="H174" s="11" t="inlineStr"/>
      <c r="I174" s="11" t="inlineStr">
        <is>
          <t>conciliado</t>
        </is>
      </c>
    </row>
    <row r="175">
      <c r="A175" s="11" t="n">
        <v>1085</v>
      </c>
      <c r="B175" s="12" t="n">
        <v>46108</v>
      </c>
      <c r="C175" s="11" t="inlineStr">
        <is>
          <t>anderson enriquez</t>
        </is>
      </c>
      <c r="D175" s="13" t="n">
        <v>7200</v>
      </c>
      <c r="E175" s="11">
        <f>IF(G175="conciliado","conciliado",I175)</f>
        <v/>
      </c>
      <c r="F175" s="11" t="inlineStr">
        <is>
          <t>217 | 2026-03-27 | 7,200 | bancolombia desde qr recarga</t>
        </is>
      </c>
      <c r="G175" s="11">
        <f>IF(I175="conciliado","conciliado","por revisar")</f>
        <v/>
      </c>
      <c r="H175" s="11" t="inlineStr"/>
      <c r="I175" s="11" t="inlineStr">
        <is>
          <t>conciliado</t>
        </is>
      </c>
    </row>
    <row r="176">
      <c r="A176" s="11" t="n">
        <v>1082</v>
      </c>
      <c r="B176" s="12" t="n">
        <v>46108</v>
      </c>
      <c r="C176" s="11" t="inlineStr">
        <is>
          <t>cadena cuacialpud da</t>
        </is>
      </c>
      <c r="D176" s="13" t="n">
        <v>12500</v>
      </c>
      <c r="E176" s="11">
        <f>IF(G176="conciliado","conciliado",I176)</f>
        <v/>
      </c>
      <c r="F176" s="11" t="inlineStr">
        <is>
          <t>218 | 2026-03-27 | 12,500 | arley cuacialpud darwin</t>
        </is>
      </c>
      <c r="G176" s="11">
        <f>IF(I176="conciliado","conciliado","por revisar")</f>
        <v/>
      </c>
      <c r="H176" s="11" t="inlineStr"/>
      <c r="I176" s="11" t="inlineStr">
        <is>
          <t>conciliado</t>
        </is>
      </c>
    </row>
    <row r="177">
      <c r="A177" s="11" t="n">
        <v>1058</v>
      </c>
      <c r="B177" s="12" t="n">
        <v>46108</v>
      </c>
      <c r="C177" s="11" t="inlineStr">
        <is>
          <t>armero mar rodriguez</t>
        </is>
      </c>
      <c r="D177" s="13" t="n">
        <v>18800</v>
      </c>
      <c r="E177" s="11">
        <f>IF(G177="conciliado","conciliado",I177)</f>
        <v/>
      </c>
      <c r="F177" s="11" t="inlineStr">
        <is>
          <t>219 | 2026-03-27 | 18,800 | armero mariluz</t>
        </is>
      </c>
      <c r="G177" s="11">
        <f>IF(I177="conciliado","conciliado","por revisar")</f>
        <v/>
      </c>
      <c r="H177" s="11" t="inlineStr"/>
      <c r="I177" s="11" t="inlineStr">
        <is>
          <t>conciliado</t>
        </is>
      </c>
    </row>
    <row r="178">
      <c r="A178" s="11" t="n">
        <v>1087</v>
      </c>
      <c r="B178" s="12" t="n">
        <v>46108</v>
      </c>
      <c r="C178" s="11" t="inlineStr">
        <is>
          <t>garzon rocha wilson</t>
        </is>
      </c>
      <c r="D178" s="13" t="n">
        <v>13000</v>
      </c>
      <c r="E178" s="11">
        <f>IF(G178="conciliado","conciliado",I178)</f>
        <v/>
      </c>
      <c r="F178" s="11" t="inlineStr">
        <is>
          <t>220 | 2026-03-27 | 13,000 | alexander wilson</t>
        </is>
      </c>
      <c r="G178" s="11">
        <f>IF(I178="conciliado","conciliado","por revisar")</f>
        <v/>
      </c>
      <c r="H178" s="11" t="inlineStr"/>
      <c r="I178" s="11" t="inlineStr">
        <is>
          <t>conciliado</t>
        </is>
      </c>
    </row>
    <row r="179">
      <c r="A179" s="11" t="n">
        <v>1033</v>
      </c>
      <c r="B179" s="12" t="n">
        <v>46107</v>
      </c>
      <c r="C179" s="11" t="inlineStr">
        <is>
          <t>diaz jeimy pantoja t</t>
        </is>
      </c>
      <c r="D179" s="13" t="n">
        <v>13800</v>
      </c>
      <c r="E179" s="11">
        <f>IF(G179="conciliado","conciliado",I179)</f>
        <v/>
      </c>
      <c r="F179" s="11" t="inlineStr">
        <is>
          <t>221 | 2026-03-26 | 13,800 | diaz jeimy tatiana</t>
        </is>
      </c>
      <c r="G179" s="11">
        <f>IF(I179="conciliado","conciliado","por revisar")</f>
        <v/>
      </c>
      <c r="H179" s="11" t="inlineStr"/>
      <c r="I179" s="11" t="inlineStr">
        <is>
          <t>conciliado</t>
        </is>
      </c>
    </row>
    <row r="180">
      <c r="A180" s="11" t="n">
        <v>1030</v>
      </c>
      <c r="B180" s="12" t="n">
        <v>46107</v>
      </c>
      <c r="C180" s="11" t="inlineStr">
        <is>
          <t>cadena potosi sandra</t>
        </is>
      </c>
      <c r="D180" s="13" t="n">
        <v>7500</v>
      </c>
      <c r="E180" s="11">
        <f>IF(G180="conciliado","conciliado",I180)</f>
        <v/>
      </c>
      <c r="F180" s="11" t="inlineStr">
        <is>
          <t>222 | 2026-03-26 | 7,500 | dorely potosi sandra</t>
        </is>
      </c>
      <c r="G180" s="11">
        <f>IF(I180="conciliado","conciliado","por revisar")</f>
        <v/>
      </c>
      <c r="H180" s="11" t="inlineStr"/>
      <c r="I180" s="11" t="inlineStr">
        <is>
          <t>conciliado</t>
        </is>
      </c>
    </row>
    <row r="181">
      <c r="A181" s="11" t="n">
        <v>1022</v>
      </c>
      <c r="B181" s="12" t="n">
        <v>46107</v>
      </c>
      <c r="C181" s="11" t="inlineStr">
        <is>
          <t>benavides lu vasquez</t>
        </is>
      </c>
      <c r="D181" s="13" t="n">
        <v>6500</v>
      </c>
      <c r="E181" s="11">
        <f>IF(G181="conciliado","conciliado",I181)</f>
        <v/>
      </c>
      <c r="F181" s="11" t="inlineStr">
        <is>
          <t>223 | 2026-03-26 | 6,500 | fernanda luisa</t>
        </is>
      </c>
      <c r="G181" s="11">
        <f>IF(I181="conciliado","conciliado","por revisar")</f>
        <v/>
      </c>
      <c r="H181" s="11" t="inlineStr"/>
      <c r="I181" s="11" t="inlineStr">
        <is>
          <t>conciliado</t>
        </is>
      </c>
    </row>
    <row r="182">
      <c r="A182" s="11" t="n">
        <v>1045</v>
      </c>
      <c r="B182" s="12" t="n">
        <v>46107</v>
      </c>
      <c r="C182" s="11" t="inlineStr">
        <is>
          <t>arboleda fr guarnica</t>
        </is>
      </c>
      <c r="D182" s="13" t="n">
        <v>14800</v>
      </c>
      <c r="E182" s="11">
        <f>IF(G182="conciliado","conciliado",I182)</f>
        <v/>
      </c>
      <c r="F182" s="11" t="inlineStr">
        <is>
          <t>224 | 2026-03-26 | 14,800 | franklin norbey</t>
        </is>
      </c>
      <c r="G182" s="11">
        <f>IF(I182="conciliado","conciliado","por revisar")</f>
        <v/>
      </c>
      <c r="H182" s="11" t="inlineStr"/>
      <c r="I182" s="11" t="inlineStr">
        <is>
          <t>conciliado</t>
        </is>
      </c>
    </row>
    <row r="183">
      <c r="A183" s="11" t="n">
        <v>1041</v>
      </c>
      <c r="B183" s="12" t="n">
        <v>46107</v>
      </c>
      <c r="C183" s="11" t="inlineStr">
        <is>
          <t>alvarez karo molina</t>
        </is>
      </c>
      <c r="D183" s="13" t="n">
        <v>27800</v>
      </c>
      <c r="E183" s="11">
        <f>IF(G183="conciliado","conciliado",I183)</f>
        <v/>
      </c>
      <c r="F183" s="11" t="inlineStr">
        <is>
          <t>226 | 2026-03-26 | 27,800 | dayanna karol molina</t>
        </is>
      </c>
      <c r="G183" s="11">
        <f>IF(I183="conciliado","conciliado","por revisar")</f>
        <v/>
      </c>
      <c r="H183" s="11" t="inlineStr"/>
      <c r="I183" s="11" t="inlineStr">
        <is>
          <t>conciliado</t>
        </is>
      </c>
    </row>
    <row r="184">
      <c r="A184" s="11" t="n">
        <v>1055</v>
      </c>
      <c r="B184" s="12" t="n">
        <v>46107</v>
      </c>
      <c r="C184" s="11" t="inlineStr">
        <is>
          <t>revelo rivera yesica</t>
        </is>
      </c>
      <c r="D184" s="13" t="n">
        <v>35000</v>
      </c>
      <c r="E184" s="11">
        <f>IF(G184="conciliado","conciliado",I184)</f>
        <v/>
      </c>
      <c r="F184" s="11" t="inlineStr">
        <is>
          <t>227 | 2026-03-26 | 35,000 | alejandra rivera yesika</t>
        </is>
      </c>
      <c r="G184" s="11">
        <f>IF(I184="conciliado","conciliado","por revisar")</f>
        <v/>
      </c>
      <c r="H184" s="11" t="inlineStr"/>
      <c r="I184" s="11" t="inlineStr">
        <is>
          <t>conciliado</t>
        </is>
      </c>
    </row>
    <row r="185">
      <c r="A185" s="11" t="n">
        <v>1017</v>
      </c>
      <c r="B185" s="12" t="n">
        <v>46107</v>
      </c>
      <c r="C185" s="11" t="inlineStr">
        <is>
          <t>a cardona maria rayo</t>
        </is>
      </c>
      <c r="D185" s="13" t="n">
        <v>11400</v>
      </c>
      <c r="E185" s="11">
        <f>IF(G185="conciliado","conciliado",I185)</f>
        <v/>
      </c>
      <c r="F185" s="11" t="inlineStr">
        <is>
          <t>228 | 2026-03-26 | 11,400 | araceli maria rayo</t>
        </is>
      </c>
      <c r="G185" s="11">
        <f>IF(I185="conciliado","conciliado","por revisar")</f>
        <v/>
      </c>
      <c r="H185" s="11" t="inlineStr"/>
      <c r="I185" s="11" t="inlineStr">
        <is>
          <t>conciliado</t>
        </is>
      </c>
    </row>
    <row r="186">
      <c r="A186" s="11" t="n">
        <v>1051</v>
      </c>
      <c r="B186" s="12" t="n">
        <v>46107</v>
      </c>
      <c r="C186" s="11" t="inlineStr">
        <is>
          <t>alvarez chavez crist</t>
        </is>
      </c>
      <c r="D186" s="13" t="n">
        <v>14400</v>
      </c>
      <c r="E186" s="11">
        <f>IF(G186="conciliado","conciliado",I186)</f>
        <v/>
      </c>
      <c r="F186" s="11" t="inlineStr">
        <is>
          <t>230 | 2026-03-26 | 14,400 | alvarez cristian david</t>
        </is>
      </c>
      <c r="G186" s="11">
        <f>IF(I186="conciliado","conciliado","por revisar")</f>
        <v/>
      </c>
      <c r="H186" s="11" t="inlineStr"/>
      <c r="I186" s="11" t="inlineStr">
        <is>
          <t>conciliado</t>
        </is>
      </c>
    </row>
    <row r="187">
      <c r="A187" s="11" t="n">
        <v>1028</v>
      </c>
      <c r="B187" s="12" t="n">
        <v>46107</v>
      </c>
      <c r="C187" s="11" t="inlineStr">
        <is>
          <t>linda solarte yepes</t>
        </is>
      </c>
      <c r="D187" s="13" t="n">
        <v>17500</v>
      </c>
      <c r="E187" s="11">
        <f>IF(G187="conciliado","conciliado",I187)</f>
        <v/>
      </c>
      <c r="F187" s="11" t="inlineStr">
        <is>
          <t>231 | 2026-03-26 | 17,500 | linda lucia yepes</t>
        </is>
      </c>
      <c r="G187" s="11">
        <f>IF(I187="conciliado","conciliado","por revisar")</f>
        <v/>
      </c>
      <c r="H187" s="11" t="inlineStr"/>
      <c r="I187" s="11" t="inlineStr">
        <is>
          <t>conciliado</t>
        </is>
      </c>
    </row>
    <row r="188">
      <c r="A188" s="11" t="n">
        <v>1019</v>
      </c>
      <c r="B188" s="12" t="n">
        <v>46107</v>
      </c>
      <c r="C188" s="11" t="inlineStr">
        <is>
          <t>florez londono yesid</t>
        </is>
      </c>
      <c r="D188" s="13" t="n">
        <v>36000</v>
      </c>
      <c r="E188" s="11">
        <f>IF(G188="conciliado","conciliado",I188)</f>
        <v/>
      </c>
      <c r="F188" s="11" t="inlineStr">
        <is>
          <t>232 | 2026-03-26 | 36,000 | florez londono yesid</t>
        </is>
      </c>
      <c r="G188" s="11">
        <f>IF(I188="conciliado","conciliado","por revisar")</f>
        <v/>
      </c>
      <c r="H188" s="11" t="inlineStr"/>
      <c r="I188" s="11" t="inlineStr">
        <is>
          <t>conciliado</t>
        </is>
      </c>
    </row>
    <row r="189">
      <c r="A189" s="11" t="n">
        <v>1034</v>
      </c>
      <c r="B189" s="12" t="n">
        <v>46107</v>
      </c>
      <c r="C189" s="11" t="inlineStr">
        <is>
          <t>a bernal coral paula</t>
        </is>
      </c>
      <c r="D189" s="13" t="n">
        <v>7000</v>
      </c>
      <c r="E189" s="11">
        <f>IF(G189="conciliado","conciliado",I189)</f>
        <v/>
      </c>
      <c r="F189" s="11" t="inlineStr">
        <is>
          <t>233 | 2026-03-26 | 7,000 | andrea bernal paula</t>
        </is>
      </c>
      <c r="G189" s="11">
        <f>IF(I189="conciliado","conciliado","por revisar")</f>
        <v/>
      </c>
      <c r="H189" s="11" t="inlineStr"/>
      <c r="I189" s="11" t="inlineStr">
        <is>
          <t>conciliado</t>
        </is>
      </c>
    </row>
    <row r="190">
      <c r="A190" s="11" t="n">
        <v>1050</v>
      </c>
      <c r="B190" s="12" t="n">
        <v>46107</v>
      </c>
      <c r="C190" s="11" t="inlineStr">
        <is>
          <t>buesaquillo sanchez</t>
        </is>
      </c>
      <c r="D190" s="13" t="n">
        <v>41700</v>
      </c>
      <c r="E190" s="11">
        <f>IF(G190="conciliado","conciliado",I190)</f>
        <v/>
      </c>
      <c r="F190" s="11" t="inlineStr">
        <is>
          <t>234 | 2026-03-26 | 41,700 | alexander jhon sanchez</t>
        </is>
      </c>
      <c r="G190" s="11">
        <f>IF(I190="conciliado","conciliado","por revisar")</f>
        <v/>
      </c>
      <c r="H190" s="11" t="inlineStr"/>
      <c r="I190" s="11" t="inlineStr">
        <is>
          <t>conciliado</t>
        </is>
      </c>
    </row>
    <row r="191">
      <c r="A191" s="11" t="n">
        <v>1046</v>
      </c>
      <c r="B191" s="12" t="n">
        <v>46107</v>
      </c>
      <c r="C191" s="11" t="inlineStr">
        <is>
          <t>benavides edwi marin</t>
        </is>
      </c>
      <c r="D191" s="13" t="n">
        <v>26100</v>
      </c>
      <c r="E191" s="11">
        <f>IF(G191="conciliado","conciliado",I191)</f>
        <v/>
      </c>
      <c r="F191" s="11" t="inlineStr">
        <is>
          <t>235 | 2026-03-26 | 26,100 | bancolombia desde recarga</t>
        </is>
      </c>
      <c r="G191" s="11">
        <f>IF(I191="conciliado","conciliado","por revisar")</f>
        <v/>
      </c>
      <c r="H191" s="11" t="inlineStr"/>
      <c r="I191" s="11" t="inlineStr">
        <is>
          <t>conciliado</t>
        </is>
      </c>
    </row>
    <row r="192">
      <c r="A192" s="11" t="n">
        <v>1016</v>
      </c>
      <c r="B192" s="12" t="n">
        <v>46107</v>
      </c>
      <c r="C192" s="11" t="inlineStr">
        <is>
          <t>carretero diaz oscar</t>
        </is>
      </c>
      <c r="D192" s="13" t="n">
        <v>13000</v>
      </c>
      <c r="E192" s="11">
        <f>IF(G192="conciliado","conciliado",I192)</f>
        <v/>
      </c>
      <c r="F192" s="11" t="inlineStr">
        <is>
          <t>236 | 2026-03-26 | 13,000 | carretero diaz oscar</t>
        </is>
      </c>
      <c r="G192" s="11">
        <f>IF(I192="conciliado","conciliado","por revisar")</f>
        <v/>
      </c>
      <c r="H192" s="11" t="inlineStr"/>
      <c r="I192" s="11" t="inlineStr">
        <is>
          <t>conciliado</t>
        </is>
      </c>
    </row>
    <row r="193">
      <c r="A193" s="11" t="n">
        <v>1029</v>
      </c>
      <c r="B193" s="12" t="n">
        <v>46107</v>
      </c>
      <c r="C193" s="11" t="inlineStr">
        <is>
          <t>millan nataly sousa</t>
        </is>
      </c>
      <c r="D193" s="13" t="n">
        <v>14900</v>
      </c>
      <c r="E193" s="11">
        <f>IF(G193="conciliado","conciliado",I193)</f>
        <v/>
      </c>
      <c r="F193" s="11" t="inlineStr">
        <is>
          <t>237 | 2026-03-26 | 14,900 | alexandra millan nataly</t>
        </is>
      </c>
      <c r="G193" s="11">
        <f>IF(I193="conciliado","conciliado","por revisar")</f>
        <v/>
      </c>
      <c r="H193" s="11" t="inlineStr"/>
      <c r="I193" s="11" t="inlineStr">
        <is>
          <t>conciliado</t>
        </is>
      </c>
    </row>
    <row r="194">
      <c r="A194" s="11" t="n">
        <v>1053</v>
      </c>
      <c r="B194" s="12" t="n">
        <v>46107</v>
      </c>
      <c r="C194" s="11" t="inlineStr">
        <is>
          <t>arboleda cifuentes</t>
        </is>
      </c>
      <c r="D194" s="13" t="n">
        <v>51200</v>
      </c>
      <c r="E194" s="11">
        <f>IF(G194="conciliado","conciliado",I194)</f>
        <v/>
      </c>
      <c r="F194" s="11" t="inlineStr">
        <is>
          <t>238 | 2026-03-26 | 51,200 | alexandra yudi</t>
        </is>
      </c>
      <c r="G194" s="11">
        <f>IF(I194="conciliado","conciliado","por revisar")</f>
        <v/>
      </c>
      <c r="H194" s="11" t="inlineStr"/>
      <c r="I194" s="11" t="inlineStr">
        <is>
          <t>conciliado</t>
        </is>
      </c>
    </row>
    <row r="195">
      <c r="A195" s="11" t="n">
        <v>1035</v>
      </c>
      <c r="B195" s="12" t="n">
        <v>46107</v>
      </c>
      <c r="C195" s="11" t="inlineStr">
        <is>
          <t>aldana joha renteria</t>
        </is>
      </c>
      <c r="D195" s="13" t="n">
        <v>4200</v>
      </c>
      <c r="E195" s="11">
        <f>IF(G195="conciliado","conciliado",I195)</f>
        <v/>
      </c>
      <c r="F195" s="11" t="inlineStr">
        <is>
          <t>240 | 2026-03-26 | 4,200 | aldana johan renteria</t>
        </is>
      </c>
      <c r="G195" s="11">
        <f>IF(I195="conciliado","conciliado","por revisar")</f>
        <v/>
      </c>
      <c r="H195" s="11" t="inlineStr"/>
      <c r="I195" s="11" t="inlineStr">
        <is>
          <t>conciliado</t>
        </is>
      </c>
    </row>
    <row r="196">
      <c r="A196" s="11" t="n">
        <v>1020</v>
      </c>
      <c r="B196" s="12" t="n">
        <v>46107</v>
      </c>
      <c r="C196" s="11" t="inlineStr">
        <is>
          <t>gallon mari quinones</t>
        </is>
      </c>
      <c r="D196" s="13" t="n">
        <v>11300</v>
      </c>
      <c r="E196" s="11">
        <f>IF(G196="conciliado","conciliado",I196)</f>
        <v/>
      </c>
      <c r="F196" s="11" t="inlineStr">
        <is>
          <t>241 | 2026-03-26 | 11,300 | andres gallon mario</t>
        </is>
      </c>
      <c r="G196" s="11">
        <f>IF(I196="conciliado","conciliado","por revisar")</f>
        <v/>
      </c>
      <c r="H196" s="11" t="inlineStr"/>
      <c r="I196" s="11" t="inlineStr">
        <is>
          <t>conciliado</t>
        </is>
      </c>
    </row>
    <row r="197">
      <c r="A197" s="11" t="n">
        <v>1024</v>
      </c>
      <c r="B197" s="12" t="n">
        <v>46107</v>
      </c>
      <c r="C197" s="11" t="inlineStr">
        <is>
          <t>ja martinez nolberto</t>
        </is>
      </c>
      <c r="D197" s="13" t="n">
        <v>11500</v>
      </c>
      <c r="E197" s="11">
        <f>IF(G197="conciliado","conciliado",I197)</f>
        <v/>
      </c>
      <c r="F197" s="11" t="inlineStr">
        <is>
          <t>242 | 2026-03-26 | 11,500 | jair martinez nolberto</t>
        </is>
      </c>
      <c r="G197" s="11">
        <f>IF(I197="conciliado","conciliado","por revisar")</f>
        <v/>
      </c>
      <c r="H197" s="11" t="inlineStr"/>
      <c r="I197" s="11" t="inlineStr">
        <is>
          <t>conciliado</t>
        </is>
      </c>
    </row>
    <row r="198">
      <c r="A198" s="11" t="n">
        <v>1031</v>
      </c>
      <c r="B198" s="12" t="n">
        <v>46107</v>
      </c>
      <c r="C198" s="11" t="inlineStr">
        <is>
          <t>c mantilla paladines</t>
        </is>
      </c>
      <c r="D198" s="13" t="n">
        <v>55100</v>
      </c>
      <c r="E198" s="11">
        <f>IF(G198="conciliado","conciliado",I198)</f>
        <v/>
      </c>
      <c r="F198" s="11" t="inlineStr">
        <is>
          <t>243 | 2026-03-26 | 55,100 | alicia clara mantilla</t>
        </is>
      </c>
      <c r="G198" s="11">
        <f>IF(I198="conciliado","conciliado","por revisar")</f>
        <v/>
      </c>
      <c r="H198" s="11" t="inlineStr"/>
      <c r="I198" s="11" t="inlineStr">
        <is>
          <t>conciliado</t>
        </is>
      </c>
    </row>
    <row r="199">
      <c r="A199" s="11" t="n">
        <v>1018</v>
      </c>
      <c r="B199" s="12" t="n">
        <v>46107</v>
      </c>
      <c r="C199" s="11" t="inlineStr">
        <is>
          <t>car luis orozco uran</t>
        </is>
      </c>
      <c r="D199" s="13" t="n">
        <v>19500</v>
      </c>
      <c r="E199" s="11">
        <f>IF(G199="conciliado","conciliado",I199)</f>
        <v/>
      </c>
      <c r="F199" s="11" t="inlineStr">
        <is>
          <t>244 | 2026-03-26 | 19,500 | carlos luis orozco uran</t>
        </is>
      </c>
      <c r="G199" s="11">
        <f>IF(I199="conciliado","conciliado","por revisar")</f>
        <v/>
      </c>
      <c r="H199" s="11" t="inlineStr"/>
      <c r="I199" s="11" t="inlineStr">
        <is>
          <t>conciliado</t>
        </is>
      </c>
    </row>
    <row r="200">
      <c r="A200" s="11" t="n">
        <v>1039</v>
      </c>
      <c r="B200" s="12" t="n">
        <v>46107</v>
      </c>
      <c r="C200" s="11" t="inlineStr">
        <is>
          <t>daza diana kat marin</t>
        </is>
      </c>
      <c r="D200" s="13" t="n">
        <v>12000</v>
      </c>
      <c r="E200" s="11">
        <f>IF(G200="conciliado","conciliado",I200)</f>
        <v/>
      </c>
      <c r="F200" s="11" t="inlineStr">
        <is>
          <t>247 | 2026-03-26 | 12,000 | diana katherine marin</t>
        </is>
      </c>
      <c r="G200" s="11">
        <f>IF(I200="conciliado","conciliado","por revisar")</f>
        <v/>
      </c>
      <c r="H200" s="11" t="inlineStr"/>
      <c r="I200" s="11" t="inlineStr">
        <is>
          <t>conciliado</t>
        </is>
      </c>
    </row>
    <row r="201">
      <c r="A201" s="11" t="n">
        <v>1037</v>
      </c>
      <c r="B201" s="12" t="n">
        <v>46107</v>
      </c>
      <c r="C201" s="11" t="inlineStr">
        <is>
          <t>jurado marlon stiven</t>
        </is>
      </c>
      <c r="D201" s="13" t="n">
        <v>4700</v>
      </c>
      <c r="E201" s="11">
        <f>IF(G201="conciliado","conciliado",I201)</f>
        <v/>
      </c>
      <c r="F201" s="11" t="inlineStr">
        <is>
          <t>249 | 2026-03-26 | 4,700 | jurado marlon stiven</t>
        </is>
      </c>
      <c r="G201" s="11">
        <f>IF(I201="conciliado","conciliado","por revisar")</f>
        <v/>
      </c>
      <c r="H201" s="11" t="inlineStr"/>
      <c r="I201" s="11" t="inlineStr">
        <is>
          <t>conciliado</t>
        </is>
      </c>
    </row>
    <row r="202">
      <c r="A202" s="11" t="n">
        <v>1044</v>
      </c>
      <c r="B202" s="12" t="n">
        <v>46107</v>
      </c>
      <c r="C202" s="11" t="inlineStr">
        <is>
          <t>jenifer lopez yarce</t>
        </is>
      </c>
      <c r="D202" s="13" t="n">
        <v>8000</v>
      </c>
      <c r="E202" s="11">
        <f>IF(G202="conciliado","conciliado",I202)</f>
        <v/>
      </c>
      <c r="F202" s="11" t="inlineStr">
        <is>
          <t>250 | 2026-03-26 | 8,000 | jennifer paola yarce</t>
        </is>
      </c>
      <c r="G202" s="11">
        <f>IF(I202="conciliado","conciliado","por revisar")</f>
        <v/>
      </c>
      <c r="H202" s="11" t="inlineStr"/>
      <c r="I202" s="11" t="inlineStr">
        <is>
          <t>conciliado</t>
        </is>
      </c>
    </row>
    <row r="203">
      <c r="A203" s="11" t="n">
        <v>1054</v>
      </c>
      <c r="B203" s="12" t="n">
        <v>46107</v>
      </c>
      <c r="C203" s="11" t="inlineStr">
        <is>
          <t>cuasanchir rosero</t>
        </is>
      </c>
      <c r="D203" s="13" t="n">
        <v>43200</v>
      </c>
      <c r="E203" s="11">
        <f>IF(G203="conciliado","conciliado",I203)</f>
        <v/>
      </c>
      <c r="F203" s="11" t="inlineStr">
        <is>
          <t>252 | 2026-03-26 | 43,200 | anyerli julieth</t>
        </is>
      </c>
      <c r="G203" s="11">
        <f>IF(I203="conciliado","conciliado","por revisar")</f>
        <v/>
      </c>
      <c r="H203" s="11" t="inlineStr"/>
      <c r="I203" s="11" t="inlineStr">
        <is>
          <t>conciliado</t>
        </is>
      </c>
    </row>
    <row r="204">
      <c r="A204" s="11" t="n">
        <v>1023</v>
      </c>
      <c r="B204" s="12" t="n">
        <v>46107</v>
      </c>
      <c r="C204" s="11" t="inlineStr">
        <is>
          <t>angulo cahuasa ismen</t>
        </is>
      </c>
      <c r="D204" s="13" t="n">
        <v>22400</v>
      </c>
      <c r="E204" s="11">
        <f>IF(G204="conciliado","conciliado",I204)</f>
        <v/>
      </c>
      <c r="F204" s="11" t="inlineStr">
        <is>
          <t>253 | 2026-03-26 | 22,400 | angulo cahuasa ismenia</t>
        </is>
      </c>
      <c r="G204" s="11">
        <f>IF(I204="conciliado","conciliado","por revisar")</f>
        <v/>
      </c>
      <c r="H204" s="11" t="inlineStr"/>
      <c r="I204" s="11" t="inlineStr">
        <is>
          <t>conciliado</t>
        </is>
      </c>
    </row>
    <row r="205">
      <c r="A205" s="11" t="n">
        <v>1038</v>
      </c>
      <c r="B205" s="12" t="n">
        <v>46107</v>
      </c>
      <c r="C205" s="11" t="inlineStr">
        <is>
          <t>din mendez velasquez</t>
        </is>
      </c>
      <c r="D205" s="13" t="n">
        <v>10000</v>
      </c>
      <c r="E205" s="11">
        <f>IF(G205="conciliado","conciliado",I205)</f>
        <v/>
      </c>
      <c r="F205" s="11" t="inlineStr">
        <is>
          <t>255 | 2026-03-26 | 10,000 | dina luz mendez</t>
        </is>
      </c>
      <c r="G205" s="11">
        <f>IF(I205="conciliado","conciliado","por revisar")</f>
        <v/>
      </c>
      <c r="H205" s="11" t="inlineStr"/>
      <c r="I205" s="11" t="inlineStr">
        <is>
          <t>conciliado</t>
        </is>
      </c>
    </row>
    <row r="206">
      <c r="A206" s="11" t="n">
        <v>1026</v>
      </c>
      <c r="B206" s="12" t="n">
        <v>46107</v>
      </c>
      <c r="C206" s="11" t="inlineStr">
        <is>
          <t>avila daniela fernan</t>
        </is>
      </c>
      <c r="D206" s="13" t="n">
        <v>25800</v>
      </c>
      <c r="E206" s="11">
        <f>IF(G206="conciliado","conciliado",I206)</f>
        <v/>
      </c>
      <c r="F206" s="11" t="inlineStr">
        <is>
          <t>256 | 2026-03-26 | 25,800 | avila daniela fernanda</t>
        </is>
      </c>
      <c r="G206" s="11">
        <f>IF(I206="conciliado","conciliado","por revisar")</f>
        <v/>
      </c>
      <c r="H206" s="11" t="inlineStr"/>
      <c r="I206" s="11" t="inlineStr">
        <is>
          <t>conciliado</t>
        </is>
      </c>
    </row>
    <row r="207">
      <c r="A207" s="11" t="n">
        <v>1040</v>
      </c>
      <c r="B207" s="12" t="n">
        <v>46107</v>
      </c>
      <c r="C207" s="11" t="inlineStr">
        <is>
          <t>bravo dani rodriguez</t>
        </is>
      </c>
      <c r="D207" s="13" t="n">
        <v>5120</v>
      </c>
      <c r="E207" s="11">
        <f>IF(G207="conciliado","conciliado",I207)</f>
        <v/>
      </c>
      <c r="F207" s="11" t="inlineStr">
        <is>
          <t>257 | 2026-03-26 | 5,120 | bravo daniel reinaldo</t>
        </is>
      </c>
      <c r="G207" s="11">
        <f>IF(I207="conciliado","conciliado","por revisar")</f>
        <v/>
      </c>
      <c r="H207" s="11" t="inlineStr"/>
      <c r="I207" s="11" t="inlineStr">
        <is>
          <t>conciliado</t>
        </is>
      </c>
    </row>
    <row r="208">
      <c r="A208" s="11" t="n">
        <v>1032</v>
      </c>
      <c r="B208" s="12" t="n">
        <v>46107</v>
      </c>
      <c r="C208" s="11" t="inlineStr">
        <is>
          <t>ca carvajal portilla</t>
        </is>
      </c>
      <c r="D208" s="13" t="n">
        <v>9500</v>
      </c>
      <c r="E208" s="11">
        <f>IF(G208="conciliado","conciliado",I208)</f>
        <v/>
      </c>
      <c r="F208" s="11" t="inlineStr">
        <is>
          <t>258 | 2026-03-26 | 9,500 | carmen carvajal daniela</t>
        </is>
      </c>
      <c r="G208" s="11">
        <f>IF(I208="conciliado","conciliado","por revisar")</f>
        <v/>
      </c>
      <c r="H208" s="11" t="inlineStr"/>
      <c r="I208" s="11" t="inlineStr">
        <is>
          <t>conciliado</t>
        </is>
      </c>
    </row>
    <row r="209">
      <c r="A209" s="11" t="n">
        <v>1027</v>
      </c>
      <c r="B209" s="12" t="n">
        <v>46107</v>
      </c>
      <c r="C209" s="11" t="inlineStr">
        <is>
          <t>alderete jor salazar</t>
        </is>
      </c>
      <c r="D209" s="13" t="n">
        <v>17000</v>
      </c>
      <c r="E209" s="11">
        <f>IF(G209="conciliado","conciliado",I209)</f>
        <v/>
      </c>
      <c r="F209" s="11" t="inlineStr">
        <is>
          <t>259 | 2026-03-26 | 17,000 | elias jorge salazar</t>
        </is>
      </c>
      <c r="G209" s="11">
        <f>IF(I209="conciliado","conciliado","por revisar")</f>
        <v/>
      </c>
      <c r="H209" s="11" t="inlineStr"/>
      <c r="I209" s="11" t="inlineStr">
        <is>
          <t>conciliado</t>
        </is>
      </c>
    </row>
    <row r="210">
      <c r="A210" s="11" t="n">
        <v>1049</v>
      </c>
      <c r="B210" s="12" t="n">
        <v>46107</v>
      </c>
      <c r="C210" s="11" t="inlineStr">
        <is>
          <t>ana oropeza teresa</t>
        </is>
      </c>
      <c r="D210" s="13" t="n">
        <v>13400</v>
      </c>
      <c r="E210" s="11">
        <f>IF(G210="conciliado","conciliado",I210)</f>
        <v/>
      </c>
      <c r="F210" s="11" t="inlineStr">
        <is>
          <t>261 | 2026-03-26 | 13,400 | ana oropeza teresa</t>
        </is>
      </c>
      <c r="G210" s="11">
        <f>IF(I210="conciliado","conciliado","por revisar")</f>
        <v/>
      </c>
      <c r="H210" s="11" t="inlineStr"/>
      <c r="I210" s="11" t="inlineStr">
        <is>
          <t>conciliado</t>
        </is>
      </c>
    </row>
    <row r="211">
      <c r="A211" s="11" t="n">
        <v>1021</v>
      </c>
      <c r="B211" s="12" t="n">
        <v>46107</v>
      </c>
      <c r="C211" s="11" t="inlineStr">
        <is>
          <t>jaime manrique paez</t>
        </is>
      </c>
      <c r="D211" s="13" t="n">
        <v>13100</v>
      </c>
      <c r="E211" s="11">
        <f>IF(G211="conciliado","conciliado",I211)</f>
        <v/>
      </c>
      <c r="F211" s="11" t="inlineStr">
        <is>
          <t>262 | 2026-03-26 | 13,100 | jaime manrique paez</t>
        </is>
      </c>
      <c r="G211" s="11">
        <f>IF(I211="conciliado","conciliado","por revisar")</f>
        <v/>
      </c>
      <c r="H211" s="11" t="inlineStr"/>
      <c r="I211" s="11" t="inlineStr">
        <is>
          <t>conciliado</t>
        </is>
      </c>
    </row>
    <row r="212">
      <c r="A212" s="11" t="n">
        <v>1042</v>
      </c>
      <c r="B212" s="12" t="n">
        <v>46107</v>
      </c>
      <c r="C212" s="11" t="inlineStr">
        <is>
          <t>chavez dias eva line</t>
        </is>
      </c>
      <c r="D212" s="13" t="n">
        <v>16800</v>
      </c>
      <c r="E212" s="11">
        <f>IF(G212="conciliado","conciliado",I212)</f>
        <v/>
      </c>
      <c r="F212" s="11" t="inlineStr">
        <is>
          <t>263 | 2026-03-26 | 16,800 | diaz eva linet</t>
        </is>
      </c>
      <c r="G212" s="11">
        <f>IF(I212="conciliado","conciliado","por revisar")</f>
        <v/>
      </c>
      <c r="H212" s="11" t="inlineStr"/>
      <c r="I212" s="11" t="inlineStr">
        <is>
          <t>conciliado</t>
        </is>
      </c>
    </row>
    <row r="213">
      <c r="A213" s="11" t="n">
        <v>1025</v>
      </c>
      <c r="B213" s="12" t="n">
        <v>46107</v>
      </c>
      <c r="C213" s="11" t="inlineStr">
        <is>
          <t>her jose patino vega</t>
        </is>
      </c>
      <c r="D213" s="13" t="n">
        <v>7900</v>
      </c>
      <c r="E213" s="11">
        <f>IF(G213="conciliado","conciliado",I213)</f>
        <v/>
      </c>
      <c r="F213" s="11" t="inlineStr">
        <is>
          <t>264 | 2026-03-26 | 7,900 | jose patino vega</t>
        </is>
      </c>
      <c r="G213" s="11">
        <f>IF(I213="conciliado","conciliado","por revisar")</f>
        <v/>
      </c>
      <c r="H213" s="11" t="inlineStr"/>
      <c r="I213" s="11" t="inlineStr">
        <is>
          <t>conciliado</t>
        </is>
      </c>
    </row>
    <row r="214">
      <c r="A214" s="11" t="n">
        <v>1048</v>
      </c>
      <c r="B214" s="12" t="n">
        <v>46107</v>
      </c>
      <c r="C214" s="11" t="inlineStr">
        <is>
          <t>chavarro lara luisa</t>
        </is>
      </c>
      <c r="D214" s="13" t="n">
        <v>21000</v>
      </c>
      <c r="E214" s="11">
        <f>IF(G214="conciliado","conciliado",I214)</f>
        <v/>
      </c>
      <c r="F214" s="11" t="inlineStr">
        <is>
          <t>265 | 2026-03-26 | 21,000 | fernanda luisa</t>
        </is>
      </c>
      <c r="G214" s="11">
        <f>IF(I214="conciliado","conciliado","por revisar")</f>
        <v/>
      </c>
      <c r="H214" s="11" t="inlineStr"/>
      <c r="I214" s="11" t="inlineStr">
        <is>
          <t>conciliado</t>
        </is>
      </c>
    </row>
    <row r="215">
      <c r="A215" s="11" t="n">
        <v>988</v>
      </c>
      <c r="B215" s="12" t="n">
        <v>46106</v>
      </c>
      <c r="C215" s="11" t="inlineStr">
        <is>
          <t>cadena potosi sandra</t>
        </is>
      </c>
      <c r="D215" s="13" t="n">
        <v>20600</v>
      </c>
      <c r="E215" s="11">
        <f>IF(G215="conciliado","conciliado",I215)</f>
        <v/>
      </c>
      <c r="F215" s="11" t="inlineStr">
        <is>
          <t>266 | 2026-03-25 | 20,600 | dorely potosi sandra</t>
        </is>
      </c>
      <c r="G215" s="11">
        <f>IF(I215="conciliado","conciliado","por revisar")</f>
        <v/>
      </c>
      <c r="H215" s="11" t="inlineStr"/>
      <c r="I215" s="11" t="inlineStr">
        <is>
          <t>conciliado</t>
        </is>
      </c>
    </row>
    <row r="216">
      <c r="A216" s="11" t="n">
        <v>1012</v>
      </c>
      <c r="B216" s="12" t="n">
        <v>46106</v>
      </c>
      <c r="C216" s="11" t="inlineStr">
        <is>
          <t>garzon rocha wilson</t>
        </is>
      </c>
      <c r="D216" s="13" t="n">
        <v>21200</v>
      </c>
      <c r="E216" s="11">
        <f>IF(G216="conciliado","conciliado",I216)</f>
        <v/>
      </c>
      <c r="F216" s="11" t="inlineStr">
        <is>
          <t>267 | 2026-03-25 | 21,200 | alexander wilson</t>
        </is>
      </c>
      <c r="G216" s="11">
        <f>IF(I216="conciliado","conciliado","por revisar")</f>
        <v/>
      </c>
      <c r="H216" s="11" t="inlineStr"/>
      <c r="I216" s="11" t="inlineStr">
        <is>
          <t>conciliado</t>
        </is>
      </c>
    </row>
    <row r="217">
      <c r="A217" s="11" t="n">
        <v>993</v>
      </c>
      <c r="B217" s="12" t="n">
        <v>46106</v>
      </c>
      <c r="C217" s="11" t="inlineStr">
        <is>
          <t>carla moreano palma</t>
        </is>
      </c>
      <c r="D217" s="13" t="n">
        <v>6800</v>
      </c>
      <c r="E217" s="11">
        <f>IF(G217="conciliado","conciliado",I217)</f>
        <v/>
      </c>
      <c r="F217" s="11" t="inlineStr">
        <is>
          <t>268 | 2026-03-25 | 6,800 | carla moriano patricia</t>
        </is>
      </c>
      <c r="G217" s="11">
        <f>IF(I217="conciliado","conciliado","por revisar")</f>
        <v/>
      </c>
      <c r="H217" s="11" t="inlineStr"/>
      <c r="I217" s="11" t="inlineStr">
        <is>
          <t>conciliado</t>
        </is>
      </c>
    </row>
    <row r="218">
      <c r="A218" s="11" t="n">
        <v>997</v>
      </c>
      <c r="B218" s="12" t="n">
        <v>46106</v>
      </c>
      <c r="C218" s="11" t="inlineStr">
        <is>
          <t>jhon oviedo ruales s</t>
        </is>
      </c>
      <c r="D218" s="13" t="n">
        <v>14400</v>
      </c>
      <c r="E218" s="11">
        <f>IF(G218="conciliado","conciliado",I218)</f>
        <v/>
      </c>
      <c r="F218" s="11" t="inlineStr">
        <is>
          <t>269 | 2026-03-25 | 14,400 | jhon oviedo sebastian</t>
        </is>
      </c>
      <c r="G218" s="11">
        <f>IF(I218="conciliado","conciliado","por revisar")</f>
        <v/>
      </c>
      <c r="H218" s="11" t="inlineStr"/>
      <c r="I218" s="11" t="inlineStr">
        <is>
          <t>conciliado</t>
        </is>
      </c>
    </row>
    <row r="219">
      <c r="A219" s="11" t="n">
        <v>981</v>
      </c>
      <c r="B219" s="12" t="n">
        <v>46106</v>
      </c>
      <c r="C219" s="11" t="inlineStr">
        <is>
          <t>arboleda florez joan</t>
        </is>
      </c>
      <c r="D219" s="13" t="n">
        <v>19100</v>
      </c>
      <c r="E219" s="11">
        <f>IF(G219="conciliado","conciliado",I219)</f>
        <v/>
      </c>
      <c r="F219" s="11" t="inlineStr">
        <is>
          <t>270 | 2026-03-25 | 19,100 | arboleda david joan</t>
        </is>
      </c>
      <c r="G219" s="11">
        <f>IF(I219="conciliado","conciliado","por revisar")</f>
        <v/>
      </c>
      <c r="H219" s="11" t="inlineStr"/>
      <c r="I219" s="11" t="inlineStr">
        <is>
          <t>conciliado</t>
        </is>
      </c>
    </row>
    <row r="220">
      <c r="A220" s="11" t="n">
        <v>1001</v>
      </c>
      <c r="B220" s="12" t="n">
        <v>46106</v>
      </c>
      <c r="C220" s="11" t="inlineStr">
        <is>
          <t>jorge lopez sanchez</t>
        </is>
      </c>
      <c r="D220" s="13" t="n">
        <v>26200</v>
      </c>
      <c r="E220" s="11">
        <f>IF(G220="conciliado","conciliado",I220)</f>
        <v/>
      </c>
      <c r="F220" s="11" t="inlineStr">
        <is>
          <t>271 | 2026-03-25 | 26,200 | jorge luis sanchez</t>
        </is>
      </c>
      <c r="G220" s="11">
        <f>IF(I220="conciliado","conciliado","por revisar")</f>
        <v/>
      </c>
      <c r="H220" s="11" t="inlineStr"/>
      <c r="I220" s="11" t="inlineStr">
        <is>
          <t>conciliado</t>
        </is>
      </c>
    </row>
    <row r="221">
      <c r="A221" s="11" t="n">
        <v>999</v>
      </c>
      <c r="B221" s="12" t="n">
        <v>46106</v>
      </c>
      <c r="C221" s="11" t="inlineStr">
        <is>
          <t>castro getial maria</t>
        </is>
      </c>
      <c r="D221" s="13" t="n">
        <v>19600</v>
      </c>
      <c r="E221" s="11">
        <f>IF(G221="conciliado","conciliado",I221)</f>
        <v/>
      </c>
      <c r="F221" s="11" t="inlineStr">
        <is>
          <t>272 | 2026-03-25 | 19,600 | dayani getial maria</t>
        </is>
      </c>
      <c r="G221" s="11">
        <f>IF(I221="conciliado","conciliado","por revisar")</f>
        <v/>
      </c>
      <c r="H221" s="11" t="inlineStr"/>
      <c r="I221" s="11" t="inlineStr">
        <is>
          <t>conciliado</t>
        </is>
      </c>
    </row>
    <row r="222">
      <c r="A222" s="11" t="n">
        <v>1003</v>
      </c>
      <c r="B222" s="12" t="n">
        <v>46106</v>
      </c>
      <c r="C222" s="11" t="inlineStr">
        <is>
          <t>buesaquillo sanchez</t>
        </is>
      </c>
      <c r="D222" s="13" t="n">
        <v>18100</v>
      </c>
      <c r="E222" s="11">
        <f>IF(G222="conciliado","conciliado",I222)</f>
        <v/>
      </c>
      <c r="F222" s="11" t="inlineStr">
        <is>
          <t>273 | 2026-03-25 | 18,100 | alexander jhon sanchez</t>
        </is>
      </c>
      <c r="G222" s="11">
        <f>IF(I222="conciliado","conciliado","por revisar")</f>
        <v/>
      </c>
      <c r="H222" s="11" t="inlineStr"/>
      <c r="I222" s="11" t="inlineStr">
        <is>
          <t>conciliado</t>
        </is>
      </c>
    </row>
    <row r="223">
      <c r="A223" s="11" t="n">
        <v>982</v>
      </c>
      <c r="B223" s="12" t="n">
        <v>46106</v>
      </c>
      <c r="C223" s="11" t="inlineStr">
        <is>
          <t>cruz jaci luna mario</t>
        </is>
      </c>
      <c r="D223" s="13" t="n">
        <v>26400</v>
      </c>
      <c r="E223" s="11">
        <f>IF(G223="conciliado","conciliado",I223)</f>
        <v/>
      </c>
      <c r="F223" s="11" t="inlineStr">
        <is>
          <t>274 | 2026-03-25 | 26,400 | cruz jacinto luna mario</t>
        </is>
      </c>
      <c r="G223" s="11">
        <f>IF(I223="conciliado","conciliado","por revisar")</f>
        <v/>
      </c>
      <c r="H223" s="11" t="inlineStr"/>
      <c r="I223" s="11" t="inlineStr">
        <is>
          <t>conciliado</t>
        </is>
      </c>
    </row>
    <row r="224">
      <c r="A224" s="11" t="n">
        <v>1006</v>
      </c>
      <c r="B224" s="12" t="n">
        <v>46106</v>
      </c>
      <c r="C224" s="11" t="inlineStr">
        <is>
          <t>gasca keyny martinez</t>
        </is>
      </c>
      <c r="D224" s="13" t="n">
        <v>12800</v>
      </c>
      <c r="E224" s="11">
        <f>IF(G224="conciliado","conciliado",I224)</f>
        <v/>
      </c>
      <c r="F224" s="11" t="inlineStr">
        <is>
          <t>276 | 2026-03-25 | 12,800 | keiny lorena martinez</t>
        </is>
      </c>
      <c r="G224" s="11">
        <f>IF(I224="conciliado","conciliado","por revisar")</f>
        <v/>
      </c>
      <c r="H224" s="11" t="inlineStr"/>
      <c r="I224" s="11" t="inlineStr">
        <is>
          <t>conciliado</t>
        </is>
      </c>
    </row>
    <row r="225">
      <c r="A225" s="11" t="n">
        <v>990</v>
      </c>
      <c r="B225" s="12" t="n">
        <v>46106</v>
      </c>
      <c r="C225" s="11" t="inlineStr">
        <is>
          <t>garcia jesus taicus</t>
        </is>
      </c>
      <c r="D225" s="13" t="n">
        <v>13000</v>
      </c>
      <c r="E225" s="11">
        <f>IF(G225="conciliado","conciliado",I225)</f>
        <v/>
      </c>
      <c r="F225" s="11" t="inlineStr">
        <is>
          <t>277 | 2026-03-25 | 13,000 | david garcia jesus</t>
        </is>
      </c>
      <c r="G225" s="11">
        <f>IF(I225="conciliado","conciliado","por revisar")</f>
        <v/>
      </c>
      <c r="H225" s="11" t="inlineStr"/>
      <c r="I225" s="11" t="inlineStr">
        <is>
          <t>conciliado</t>
        </is>
      </c>
    </row>
    <row r="226">
      <c r="A226" s="11" t="n">
        <v>983</v>
      </c>
      <c r="B226" s="12" t="n">
        <v>46106</v>
      </c>
      <c r="C226" s="11" t="inlineStr">
        <is>
          <t>cangrejo diaz karen</t>
        </is>
      </c>
      <c r="D226" s="13" t="n">
        <v>13000</v>
      </c>
      <c r="E226" s="11">
        <f>IF(G226="conciliado","conciliado",I226)</f>
        <v/>
      </c>
      <c r="F226" s="11" t="inlineStr">
        <is>
          <t>278 | 2026-03-25 | 13,000 | cangrejo karen tatiana</t>
        </is>
      </c>
      <c r="G226" s="11">
        <f>IF(I226="conciliado","conciliado","por revisar")</f>
        <v/>
      </c>
      <c r="H226" s="11" t="inlineStr"/>
      <c r="I226" s="11" t="inlineStr">
        <is>
          <t>conciliado</t>
        </is>
      </c>
    </row>
    <row r="227">
      <c r="A227" s="11" t="n">
        <v>1000</v>
      </c>
      <c r="B227" s="12" t="n">
        <v>46106</v>
      </c>
      <c r="C227" s="11" t="inlineStr">
        <is>
          <t>ariza deissy navarro</t>
        </is>
      </c>
      <c r="D227" s="13" t="n">
        <v>43500</v>
      </c>
      <c r="E227" s="11">
        <f>IF(G227="conciliado","conciliado",I227)</f>
        <v/>
      </c>
      <c r="F227" s="11" t="inlineStr">
        <is>
          <t>279 | 2026-03-25 | 43,500 | ariza deissy navarro</t>
        </is>
      </c>
      <c r="G227" s="11">
        <f>IF(I227="conciliado","conciliado","por revisar")</f>
        <v/>
      </c>
      <c r="H227" s="11" t="inlineStr"/>
      <c r="I227" s="11" t="inlineStr">
        <is>
          <t>conciliado</t>
        </is>
      </c>
    </row>
    <row r="228">
      <c r="A228" s="11" t="n">
        <v>980</v>
      </c>
      <c r="B228" s="12" t="n">
        <v>46106</v>
      </c>
      <c r="C228" s="11" t="inlineStr">
        <is>
          <t>erazo garces vi yuli</t>
        </is>
      </c>
      <c r="D228" s="13" t="n">
        <v>48000</v>
      </c>
      <c r="E228" s="11">
        <f>IF(G228="conciliado","conciliado",I228)</f>
        <v/>
      </c>
      <c r="F228" s="11" t="inlineStr">
        <is>
          <t>280 | 2026-03-25 | 48,000 | erazo viviana yuli</t>
        </is>
      </c>
      <c r="G228" s="11">
        <f>IF(I228="conciliado","conciliado","por revisar")</f>
        <v/>
      </c>
      <c r="H228" s="11" t="inlineStr"/>
      <c r="I228" s="11" t="inlineStr">
        <is>
          <t>conciliado</t>
        </is>
      </c>
    </row>
    <row r="229">
      <c r="A229" s="11" t="n">
        <v>1010</v>
      </c>
      <c r="B229" s="12" t="n">
        <v>46106</v>
      </c>
      <c r="C229" s="11" t="inlineStr">
        <is>
          <t>diaz diego</t>
        </is>
      </c>
      <c r="D229" s="13" t="n">
        <v>21000</v>
      </c>
      <c r="E229" s="11">
        <f>IF(G229="conciliado","conciliado",I229)</f>
        <v/>
      </c>
      <c r="F229" s="11" t="inlineStr">
        <is>
          <t>281 | 2026-03-25 | 21,000 | diaz diego fabricio</t>
        </is>
      </c>
      <c r="G229" s="11">
        <f>IF(I229="conciliado","conciliado","por revisar")</f>
        <v/>
      </c>
      <c r="H229" s="11" t="inlineStr"/>
      <c r="I229" s="11" t="inlineStr">
        <is>
          <t>conciliado</t>
        </is>
      </c>
    </row>
    <row r="230">
      <c r="A230" s="11" t="n">
        <v>977</v>
      </c>
      <c r="B230" s="12" t="n">
        <v>46106</v>
      </c>
      <c r="C230" s="11" t="inlineStr">
        <is>
          <t>lizet martinez rojas</t>
        </is>
      </c>
      <c r="D230" s="13" t="n">
        <v>94800</v>
      </c>
      <c r="E230" s="11">
        <f>IF(G230="conciliado","conciliado",I230)</f>
        <v/>
      </c>
      <c r="F230" s="11" t="inlineStr">
        <is>
          <t>282 | 2026-03-25 | 94,800 | karina lizeth rojas</t>
        </is>
      </c>
      <c r="G230" s="11">
        <f>IF(I230="conciliado","conciliado","por revisar")</f>
        <v/>
      </c>
      <c r="H230" s="11" t="inlineStr"/>
      <c r="I230" s="11" t="inlineStr">
        <is>
          <t>conciliado</t>
        </is>
      </c>
    </row>
    <row r="231">
      <c r="A231" s="11" t="n">
        <v>992</v>
      </c>
      <c r="B231" s="12" t="n">
        <v>46106</v>
      </c>
      <c r="C231" s="11" t="inlineStr">
        <is>
          <t>jh kelly ortiz perez</t>
        </is>
      </c>
      <c r="D231" s="13" t="n">
        <v>5400</v>
      </c>
      <c r="E231" s="11">
        <f>IF(G231="conciliado","conciliado",I231)</f>
        <v/>
      </c>
      <c r="F231" s="11" t="inlineStr">
        <is>
          <t>283 | 2026-03-25 | 5,400 | johana kelly ortiz perez</t>
        </is>
      </c>
      <c r="G231" s="11">
        <f>IF(I231="conciliado","conciliado","por revisar")</f>
        <v/>
      </c>
      <c r="H231" s="11" t="inlineStr"/>
      <c r="I231" s="11" t="inlineStr">
        <is>
          <t>conciliado</t>
        </is>
      </c>
    </row>
    <row r="232">
      <c r="A232" s="11" t="n">
        <v>985</v>
      </c>
      <c r="B232" s="12" t="n">
        <v>46106</v>
      </c>
      <c r="C232" s="11" t="inlineStr">
        <is>
          <t>ka maturana renteria</t>
        </is>
      </c>
      <c r="D232" s="13" t="n">
        <v>50800</v>
      </c>
      <c r="E232" s="11">
        <f>IF(G232="conciliado","conciliado",I232)</f>
        <v/>
      </c>
      <c r="F232" s="11" t="inlineStr">
        <is>
          <t>284 | 2026-03-25 | 50,800 | jissela karen renteria</t>
        </is>
      </c>
      <c r="G232" s="11">
        <f>IF(I232="conciliado","conciliado","por revisar")</f>
        <v/>
      </c>
      <c r="H232" s="11" t="inlineStr"/>
      <c r="I232" s="11" t="inlineStr">
        <is>
          <t>conciliado</t>
        </is>
      </c>
    </row>
    <row r="233">
      <c r="A233" s="11" t="n">
        <v>1011</v>
      </c>
      <c r="B233" s="12" t="n">
        <v>46106</v>
      </c>
      <c r="C233" s="11" t="inlineStr">
        <is>
          <t>ana ceron erazo</t>
        </is>
      </c>
      <c r="D233" s="13" t="n">
        <v>84000</v>
      </c>
      <c r="E233" s="11">
        <f>IF(G233="conciliado","conciliado",I233)</f>
        <v/>
      </c>
      <c r="F233" s="11" t="inlineStr">
        <is>
          <t>285 | 2026-03-25 | 84,000 | ana ceron erazo lucia</t>
        </is>
      </c>
      <c r="G233" s="11">
        <f>IF(I233="conciliado","conciliado","por revisar")</f>
        <v/>
      </c>
      <c r="H233" s="11" t="inlineStr"/>
      <c r="I233" s="11" t="inlineStr">
        <is>
          <t>conciliado</t>
        </is>
      </c>
    </row>
    <row r="234">
      <c r="A234" s="11" t="n">
        <v>1004</v>
      </c>
      <c r="B234" s="12" t="n">
        <v>46106</v>
      </c>
      <c r="C234" s="11" t="inlineStr">
        <is>
          <t>nequirucama yagarin</t>
        </is>
      </c>
      <c r="D234" s="13" t="n">
        <v>44900</v>
      </c>
      <c r="E234" s="11">
        <f>IF(G234="conciliado","conciliado",I234)</f>
        <v/>
      </c>
      <c r="F234" s="11" t="inlineStr">
        <is>
          <t>286 | 2026-03-25 | 44,900 | isair yagari</t>
        </is>
      </c>
      <c r="G234" s="11">
        <f>IF(I234="conciliado","conciliado","por revisar")</f>
        <v/>
      </c>
      <c r="H234" s="11" t="inlineStr"/>
      <c r="I234" s="11" t="inlineStr">
        <is>
          <t>conciliado</t>
        </is>
      </c>
    </row>
    <row r="235">
      <c r="A235" s="11" t="n">
        <v>975</v>
      </c>
      <c r="B235" s="12" t="n">
        <v>46106</v>
      </c>
      <c r="C235" s="11" t="inlineStr">
        <is>
          <t>alimentos de masivos</t>
        </is>
      </c>
      <c r="D235" s="13" t="n">
        <v>-1460492</v>
      </c>
      <c r="E235" s="11">
        <f>IF(G235="conciliado","conciliado",I235)</f>
        <v/>
      </c>
      <c r="F235" s="11" t="inlineStr">
        <is>
          <t>288 | 2026-03-25 | -1,460,492 | b bre en pago qr</t>
        </is>
      </c>
      <c r="G235" s="11">
        <f>IF(I235="conciliado","conciliado","por revisar")</f>
        <v/>
      </c>
      <c r="H235" s="11" t="inlineStr"/>
      <c r="I235" s="11" t="inlineStr">
        <is>
          <t>conciliado</t>
        </is>
      </c>
    </row>
    <row r="236">
      <c r="A236" s="11" t="n">
        <v>1007</v>
      </c>
      <c r="B236" s="12" t="n">
        <v>46106</v>
      </c>
      <c r="C236" s="11" t="inlineStr">
        <is>
          <t>dani ortega</t>
        </is>
      </c>
      <c r="D236" s="13" t="n">
        <v>14800</v>
      </c>
      <c r="E236" s="11">
        <f>IF(G236="conciliado","conciliado",I236)</f>
        <v/>
      </c>
      <c r="F236" s="11" t="inlineStr">
        <is>
          <t>289 | 2026-03-25 | 14,800 | andres danny ortega</t>
        </is>
      </c>
      <c r="G236" s="11">
        <f>IF(I236="conciliado","conciliado","por revisar")</f>
        <v/>
      </c>
      <c r="H236" s="11" t="inlineStr"/>
      <c r="I236" s="11" t="inlineStr">
        <is>
          <t>conciliado</t>
        </is>
      </c>
    </row>
    <row r="237">
      <c r="A237" s="11" t="n">
        <v>987</v>
      </c>
      <c r="B237" s="12" t="n">
        <v>46106</v>
      </c>
      <c r="C237" s="11" t="inlineStr">
        <is>
          <t>jack morales pantoja</t>
        </is>
      </c>
      <c r="D237" s="13" t="n">
        <v>4700</v>
      </c>
      <c r="E237" s="11">
        <f>IF(G237="conciliado","conciliado",I237)</f>
        <v/>
      </c>
      <c r="F237" s="11" t="inlineStr">
        <is>
          <t>290 | 2026-03-25 | 4,700 | jackeline pantoja</t>
        </is>
      </c>
      <c r="G237" s="11">
        <f>IF(I237="conciliado","conciliado","por revisar")</f>
        <v/>
      </c>
      <c r="H237" s="11" t="inlineStr"/>
      <c r="I237" s="11" t="inlineStr">
        <is>
          <t>conciliado</t>
        </is>
      </c>
    </row>
    <row r="238">
      <c r="A238" s="11" t="n">
        <v>994</v>
      </c>
      <c r="B238" s="12" t="n">
        <v>46106</v>
      </c>
      <c r="C238" s="11" t="inlineStr">
        <is>
          <t>mario sepulveda</t>
        </is>
      </c>
      <c r="D238" s="13" t="n">
        <v>26500</v>
      </c>
      <c r="E238" s="11">
        <f>IF(G238="conciliado","conciliado",I238)</f>
        <v/>
      </c>
      <c r="F238" s="11" t="inlineStr">
        <is>
          <t>291 | 2026-03-25 | 26,500 | fernando mario</t>
        </is>
      </c>
      <c r="G238" s="11">
        <f>IF(I238="conciliado","conciliado","por revisar")</f>
        <v/>
      </c>
      <c r="H238" s="11" t="inlineStr"/>
      <c r="I238" s="11" t="inlineStr">
        <is>
          <t>conciliado</t>
        </is>
      </c>
    </row>
    <row r="239">
      <c r="A239" s="11" t="n">
        <v>1002</v>
      </c>
      <c r="B239" s="12" t="n">
        <v>46106</v>
      </c>
      <c r="C239" s="11" t="inlineStr">
        <is>
          <t>guerrero rivadeneira</t>
        </is>
      </c>
      <c r="D239" s="13" t="n">
        <v>12300</v>
      </c>
      <c r="E239" s="11">
        <f>IF(G239="conciliado","conciliado",I239)</f>
        <v/>
      </c>
      <c r="F239" s="11" t="inlineStr">
        <is>
          <t>292 | 2026-03-25 | 12,300 | guerrero kelly samanta</t>
        </is>
      </c>
      <c r="G239" s="11">
        <f>IF(I239="conciliado","conciliado","por revisar")</f>
        <v/>
      </c>
      <c r="H239" s="11" t="inlineStr"/>
      <c r="I239" s="11" t="inlineStr">
        <is>
          <t>conciliado</t>
        </is>
      </c>
    </row>
    <row r="240">
      <c r="A240" s="11" t="n">
        <v>1015</v>
      </c>
      <c r="B240" s="12" t="n">
        <v>46106</v>
      </c>
      <c r="C240" s="11" t="inlineStr">
        <is>
          <t>martinez mi rocero</t>
        </is>
      </c>
      <c r="D240" s="13" t="n">
        <v>8400</v>
      </c>
      <c r="E240" s="11">
        <f>IF(G240="conciliado","conciliado",I240)</f>
        <v/>
      </c>
      <c r="F240" s="11" t="inlineStr">
        <is>
          <t>293 | 2026-03-25 | 8,400 | jesus rodolfo rosero</t>
        </is>
      </c>
      <c r="G240" s="11">
        <f>IF(I240="conciliado","conciliado","por revisar")</f>
        <v/>
      </c>
      <c r="H240" s="11" t="inlineStr"/>
      <c r="I240" s="11" t="inlineStr">
        <is>
          <t>conciliado</t>
        </is>
      </c>
    </row>
    <row r="241">
      <c r="A241" s="11" t="n">
        <v>1008</v>
      </c>
      <c r="B241" s="12" t="n">
        <v>46106</v>
      </c>
      <c r="C241" s="11" t="inlineStr">
        <is>
          <t>anderson enriquez</t>
        </is>
      </c>
      <c r="D241" s="13" t="n">
        <v>7200</v>
      </c>
      <c r="E241" s="11">
        <f>IF(G241="conciliado","conciliado",I241)</f>
        <v/>
      </c>
      <c r="F241" s="11" t="inlineStr">
        <is>
          <t>294 | 2026-03-25 | 7,200 | bancolombia desde qr recarga</t>
        </is>
      </c>
      <c r="G241" s="11">
        <f>IF(I241="conciliado","conciliado","por revisar")</f>
        <v/>
      </c>
      <c r="H241" s="11" t="inlineStr"/>
      <c r="I241" s="11" t="inlineStr">
        <is>
          <t>conciliado</t>
        </is>
      </c>
    </row>
    <row r="242">
      <c r="A242" s="11" t="n">
        <v>991</v>
      </c>
      <c r="B242" s="12" t="n">
        <v>46106</v>
      </c>
      <c r="C242" s="11" t="inlineStr">
        <is>
          <t>b cueva pinta wilson</t>
        </is>
      </c>
      <c r="D242" s="13" t="n">
        <v>12100</v>
      </c>
      <c r="E242" s="11">
        <f>IF(G242="conciliado","conciliado",I242)</f>
        <v/>
      </c>
      <c r="F242" s="11" t="inlineStr">
        <is>
          <t>295 | 2026-03-25 | 12,100 | b bre wilson</t>
        </is>
      </c>
      <c r="G242" s="11">
        <f>IF(I242="conciliado","conciliado","por revisar")</f>
        <v/>
      </c>
      <c r="H242" s="11" t="inlineStr"/>
      <c r="I242" s="11" t="inlineStr">
        <is>
          <t>conciliado</t>
        </is>
      </c>
    </row>
    <row r="243">
      <c r="A243" s="11" t="n">
        <v>1014</v>
      </c>
      <c r="B243" s="12" t="n">
        <v>46106</v>
      </c>
      <c r="C243" s="11" t="inlineStr">
        <is>
          <t>carme erazo tobar</t>
        </is>
      </c>
      <c r="D243" s="13" t="n">
        <v>3500</v>
      </c>
      <c r="E243" s="11">
        <f>IF(G243="conciliado","conciliado",I243)</f>
        <v/>
      </c>
      <c r="F243" s="11" t="inlineStr">
        <is>
          <t>296 | 2026-03-25 | 3,500 | carmelina erazo tobar</t>
        </is>
      </c>
      <c r="G243" s="11">
        <f>IF(I243="conciliado","conciliado","por revisar")</f>
        <v/>
      </c>
      <c r="H243" s="11" t="inlineStr"/>
      <c r="I243" s="11" t="inlineStr">
        <is>
          <t>conciliado</t>
        </is>
      </c>
    </row>
    <row r="244">
      <c r="A244" s="11" t="n">
        <v>995</v>
      </c>
      <c r="B244" s="12" t="n">
        <v>46106</v>
      </c>
      <c r="C244" s="11" t="inlineStr">
        <is>
          <t>din mendez velasquez</t>
        </is>
      </c>
      <c r="D244" s="13" t="n">
        <v>36000</v>
      </c>
      <c r="E244" s="11">
        <f>IF(G244="conciliado","conciliado",I244)</f>
        <v/>
      </c>
      <c r="F244" s="11" t="inlineStr">
        <is>
          <t>297 | 2026-03-25 | 36,000 | dina luz mendez</t>
        </is>
      </c>
      <c r="G244" s="11">
        <f>IF(I244="conciliado","conciliado","por revisar")</f>
        <v/>
      </c>
      <c r="H244" s="11" t="inlineStr"/>
      <c r="I244" s="11" t="inlineStr">
        <is>
          <t>conciliado</t>
        </is>
      </c>
    </row>
    <row r="245">
      <c r="A245" s="11" t="n">
        <v>996</v>
      </c>
      <c r="B245" s="12" t="n">
        <v>46106</v>
      </c>
      <c r="C245" s="11" t="inlineStr">
        <is>
          <t>correa rosero y yidi</t>
        </is>
      </c>
      <c r="D245" s="13" t="n">
        <v>44300</v>
      </c>
      <c r="E245" s="11">
        <f>IF(G245="conciliado","conciliado",I245)</f>
        <v/>
      </c>
      <c r="F245" s="11" t="inlineStr">
        <is>
          <t>298 | 2026-03-25 | 44,300 | rosero yidi yulissa</t>
        </is>
      </c>
      <c r="G245" s="11">
        <f>IF(I245="conciliado","conciliado","por revisar")</f>
        <v/>
      </c>
      <c r="H245" s="11" t="inlineStr"/>
      <c r="I245" s="11" t="inlineStr">
        <is>
          <t>conciliado</t>
        </is>
      </c>
    </row>
    <row r="246">
      <c r="A246" s="11" t="n">
        <v>978</v>
      </c>
      <c r="B246" s="12" t="n">
        <v>46106</v>
      </c>
      <c r="C246" s="11" t="inlineStr">
        <is>
          <t>guerra marve rengifo</t>
        </is>
      </c>
      <c r="D246" s="13" t="n">
        <v>30000</v>
      </c>
      <c r="E246" s="11">
        <f>IF(G246="conciliado","conciliado",I246)</f>
        <v/>
      </c>
      <c r="F246" s="11" t="inlineStr">
        <is>
          <t>299 | 2026-03-25 | 30,000 | katherine marvel</t>
        </is>
      </c>
      <c r="G246" s="11">
        <f>IF(I246="conciliado","conciliado","por revisar")</f>
        <v/>
      </c>
      <c r="H246" s="11" t="inlineStr"/>
      <c r="I246" s="11" t="inlineStr">
        <is>
          <t>conciliado</t>
        </is>
      </c>
    </row>
    <row r="247">
      <c r="A247" s="11" t="n">
        <v>1013</v>
      </c>
      <c r="B247" s="12" t="n">
        <v>46106</v>
      </c>
      <c r="C247" s="11" t="inlineStr">
        <is>
          <t>alvarado lo zambrano</t>
        </is>
      </c>
      <c r="D247" s="13" t="n">
        <v>9400</v>
      </c>
      <c r="E247" s="11">
        <f>IF(G247="conciliado","conciliado",I247)</f>
        <v/>
      </c>
      <c r="F247" s="11" t="inlineStr">
        <is>
          <t>300 | 2026-03-25 | 9,400 | deisy lorena zambrano</t>
        </is>
      </c>
      <c r="G247" s="11">
        <f>IF(I247="conciliado","conciliado","por revisar")</f>
        <v/>
      </c>
      <c r="H247" s="11" t="inlineStr"/>
      <c r="I247" s="11" t="inlineStr">
        <is>
          <t>conciliado</t>
        </is>
      </c>
    </row>
    <row r="248">
      <c r="A248" s="11" t="n">
        <v>1005</v>
      </c>
      <c r="B248" s="12" t="n">
        <v>46106</v>
      </c>
      <c r="C248" s="11" t="inlineStr">
        <is>
          <t>hernandez nupan paol</t>
        </is>
      </c>
      <c r="D248" s="13" t="n">
        <v>5000</v>
      </c>
      <c r="E248" s="11">
        <f>IF(G248="conciliado","conciliado",I248)</f>
        <v/>
      </c>
      <c r="F248" s="11" t="inlineStr">
        <is>
          <t>301 | 2026-03-25 | 5,000 | hernandez mileidy nupan</t>
        </is>
      </c>
      <c r="G248" s="11">
        <f>IF(I248="conciliado","conciliado","por revisar")</f>
        <v/>
      </c>
      <c r="H248" s="11" t="inlineStr"/>
      <c r="I248" s="11" t="inlineStr">
        <is>
          <t>conciliado</t>
        </is>
      </c>
    </row>
    <row r="249">
      <c r="A249" s="11" t="n">
        <v>976</v>
      </c>
      <c r="B249" s="12" t="n">
        <v>46106</v>
      </c>
      <c r="C249" s="11" t="inlineStr">
        <is>
          <t>anyela diaz meneses</t>
        </is>
      </c>
      <c r="D249" s="13" t="n">
        <v>51500</v>
      </c>
      <c r="E249" s="11">
        <f>IF(G249="conciliado","conciliado",I249)</f>
        <v/>
      </c>
      <c r="F249" s="11" t="inlineStr">
        <is>
          <t>302 | 2026-03-25 | 51,500 | anyela diaz patricia</t>
        </is>
      </c>
      <c r="G249" s="11">
        <f>IF(I249="conciliado","conciliado","por revisar")</f>
        <v/>
      </c>
      <c r="H249" s="11" t="inlineStr"/>
      <c r="I249" s="11" t="inlineStr">
        <is>
          <t>conciliado</t>
        </is>
      </c>
    </row>
    <row r="250">
      <c r="A250" s="11" t="n">
        <v>989</v>
      </c>
      <c r="B250" s="12" t="n">
        <v>46106</v>
      </c>
      <c r="C250" s="11" t="inlineStr">
        <is>
          <t>ca carvajal portilla</t>
        </is>
      </c>
      <c r="D250" s="13" t="n">
        <v>11900</v>
      </c>
      <c r="E250" s="11">
        <f>IF(G250="conciliado","conciliado",I250)</f>
        <v/>
      </c>
      <c r="F250" s="11" t="inlineStr">
        <is>
          <t>303 | 2026-03-25 | 11,900 | carmen carvajal daniela</t>
        </is>
      </c>
      <c r="G250" s="11">
        <f>IF(I250="conciliado","conciliado","por revisar")</f>
        <v/>
      </c>
      <c r="H250" s="11" t="inlineStr"/>
      <c r="I250" s="11" t="inlineStr">
        <is>
          <t>conciliado</t>
        </is>
      </c>
    </row>
    <row r="251">
      <c r="A251" s="11" t="n">
        <v>984</v>
      </c>
      <c r="B251" s="12" t="n">
        <v>46106</v>
      </c>
      <c r="C251" s="11" t="inlineStr">
        <is>
          <t>elkin jimenez mena o</t>
        </is>
      </c>
      <c r="D251" s="13" t="n">
        <v>44200</v>
      </c>
      <c r="E251" s="11">
        <f>IF(G251="conciliado","conciliado",I251)</f>
        <v/>
      </c>
      <c r="F251" s="11" t="inlineStr">
        <is>
          <t>305 | 2026-03-25 | 44,200 | elkin jimenez orlando</t>
        </is>
      </c>
      <c r="G251" s="11">
        <f>IF(I251="conciliado","conciliado","por revisar")</f>
        <v/>
      </c>
      <c r="H251" s="11" t="inlineStr"/>
      <c r="I251" s="11" t="inlineStr">
        <is>
          <t>conciliado</t>
        </is>
      </c>
    </row>
    <row r="252">
      <c r="A252" s="11" t="n">
        <v>1009</v>
      </c>
      <c r="B252" s="12" t="n">
        <v>46106</v>
      </c>
      <c r="C252" s="11" t="inlineStr">
        <is>
          <t>bolanos celia ibanez</t>
        </is>
      </c>
      <c r="D252" s="13" t="n">
        <v>11400</v>
      </c>
      <c r="E252" s="11">
        <f>IF(G252="conciliado","conciliado",I252)</f>
        <v/>
      </c>
      <c r="F252" s="11" t="inlineStr">
        <is>
          <t>306 | 2026-03-25 | 11,400 | celiano ibanez</t>
        </is>
      </c>
      <c r="G252" s="11">
        <f>IF(I252="conciliado","conciliado","por revisar")</f>
        <v/>
      </c>
      <c r="H252" s="11" t="inlineStr"/>
      <c r="I252" s="11" t="inlineStr">
        <is>
          <t>conciliado</t>
        </is>
      </c>
    </row>
    <row r="253">
      <c r="A253" s="11" t="n">
        <v>998</v>
      </c>
      <c r="B253" s="12" t="n">
        <v>46106</v>
      </c>
      <c r="C253" s="11" t="inlineStr">
        <is>
          <t>chavez dias eva line</t>
        </is>
      </c>
      <c r="D253" s="13" t="n">
        <v>26900</v>
      </c>
      <c r="E253" s="11">
        <f>IF(G253="conciliado","conciliado",I253)</f>
        <v/>
      </c>
      <c r="F253" s="11" t="inlineStr">
        <is>
          <t>307 | 2026-03-25 | 26,900 | diaz eva linet</t>
        </is>
      </c>
      <c r="G253" s="11">
        <f>IF(I253="conciliado","conciliado","por revisar")</f>
        <v/>
      </c>
      <c r="H253" s="11" t="inlineStr"/>
      <c r="I253" s="11" t="inlineStr">
        <is>
          <t>conciliado</t>
        </is>
      </c>
    </row>
    <row r="254">
      <c r="A254" s="11" t="n">
        <v>932</v>
      </c>
      <c r="B254" s="12" t="n">
        <v>46105</v>
      </c>
      <c r="C254" s="11" t="inlineStr">
        <is>
          <t>brige diaz hernandez</t>
        </is>
      </c>
      <c r="D254" s="13" t="n">
        <v>42600</v>
      </c>
      <c r="E254" s="11">
        <f>IF(G254="conciliado","conciliado",I254)</f>
        <v/>
      </c>
      <c r="F254" s="11" t="inlineStr">
        <is>
          <t>308 | 2026-03-24 | 42,600 | brigeth pamela</t>
        </is>
      </c>
      <c r="G254" s="11">
        <f>IF(I254="conciliado","conciliado","por revisar")</f>
        <v/>
      </c>
      <c r="H254" s="11" t="inlineStr"/>
      <c r="I254" s="11" t="inlineStr">
        <is>
          <t>conciliado</t>
        </is>
      </c>
    </row>
    <row r="255">
      <c r="A255" s="11" t="n">
        <v>941</v>
      </c>
      <c r="B255" s="12" t="n">
        <v>46105</v>
      </c>
      <c r="C255" s="11" t="inlineStr">
        <is>
          <t>b cueva pinta wilson</t>
        </is>
      </c>
      <c r="D255" s="13" t="n">
        <v>56600</v>
      </c>
      <c r="E255" s="11">
        <f>IF(G255="conciliado","conciliado",I255)</f>
        <v/>
      </c>
      <c r="F255" s="11" t="inlineStr">
        <is>
          <t>309 | 2026-03-24 | 56,600 | b bre wilson</t>
        </is>
      </c>
      <c r="G255" s="11">
        <f>IF(I255="conciliado","conciliado","por revisar")</f>
        <v/>
      </c>
      <c r="H255" s="11" t="inlineStr"/>
      <c r="I255" s="11" t="inlineStr">
        <is>
          <t>conciliado</t>
        </is>
      </c>
    </row>
    <row r="256">
      <c r="A256" s="11" t="n">
        <v>925</v>
      </c>
      <c r="B256" s="12" t="n">
        <v>46105</v>
      </c>
      <c r="C256" s="11" t="inlineStr">
        <is>
          <t>cruz la mar rojas</t>
        </is>
      </c>
      <c r="D256" s="13" t="n">
        <v>15500</v>
      </c>
      <c r="E256" s="11">
        <f>IF(G256="conciliado","conciliado",I256)</f>
        <v/>
      </c>
      <c r="F256" s="11" t="inlineStr">
        <is>
          <t>310 | 2026-03-24 | 15,500 | bancolombia desde recarga</t>
        </is>
      </c>
      <c r="G256" s="11">
        <f>IF(I256="conciliado","conciliado","por revisar")</f>
        <v/>
      </c>
      <c r="H256" s="11" t="inlineStr"/>
      <c r="I256" s="11" t="inlineStr">
        <is>
          <t>conciliado</t>
        </is>
      </c>
    </row>
    <row r="257">
      <c r="A257" s="11" t="n">
        <v>949</v>
      </c>
      <c r="B257" s="12" t="n">
        <v>46105</v>
      </c>
      <c r="C257" s="11" t="inlineStr">
        <is>
          <t>jairo jhon santos</t>
        </is>
      </c>
      <c r="D257" s="13" t="n">
        <v>40000</v>
      </c>
      <c r="E257" s="11">
        <f>IF(G257="conciliado","conciliado",I257)</f>
        <v/>
      </c>
      <c r="F257" s="11" t="inlineStr">
        <is>
          <t>311 | 2026-03-24 | 40,000 | jairo jhon santos</t>
        </is>
      </c>
      <c r="G257" s="11">
        <f>IF(I257="conciliado","conciliado","por revisar")</f>
        <v/>
      </c>
      <c r="H257" s="11" t="inlineStr"/>
      <c r="I257" s="11" t="inlineStr">
        <is>
          <t>conciliado</t>
        </is>
      </c>
    </row>
    <row r="258">
      <c r="A258" s="11" t="n">
        <v>960</v>
      </c>
      <c r="B258" s="12" t="n">
        <v>46105</v>
      </c>
      <c r="C258" s="11" t="inlineStr">
        <is>
          <t>fran landasury moran</t>
        </is>
      </c>
      <c r="D258" s="13" t="n">
        <v>6400</v>
      </c>
      <c r="E258" s="11">
        <f>IF(G258="conciliado","conciliado",I258)</f>
        <v/>
      </c>
      <c r="F258" s="11" t="inlineStr">
        <is>
          <t>312 | 2026-03-24 | 6,400 | carmen del francelina</t>
        </is>
      </c>
      <c r="G258" s="11">
        <f>IF(I258="conciliado","conciliado","por revisar")</f>
        <v/>
      </c>
      <c r="H258" s="11" t="inlineStr"/>
      <c r="I258" s="11" t="inlineStr">
        <is>
          <t>conciliado</t>
        </is>
      </c>
    </row>
    <row r="259">
      <c r="A259" s="11" t="n">
        <v>966</v>
      </c>
      <c r="B259" s="12" t="n">
        <v>46105</v>
      </c>
      <c r="C259" s="11" t="inlineStr">
        <is>
          <t>garzon rocha wilson</t>
        </is>
      </c>
      <c r="D259" s="13" t="n">
        <v>8000</v>
      </c>
      <c r="E259" s="11">
        <f>IF(G259="conciliado","conciliado",I259)</f>
        <v/>
      </c>
      <c r="F259" s="11" t="inlineStr">
        <is>
          <t>314 | 2026-03-24 | 8,000 | alexander wilson</t>
        </is>
      </c>
      <c r="G259" s="11">
        <f>IF(I259="conciliado","conciliado","por revisar")</f>
        <v/>
      </c>
      <c r="H259" s="11" t="inlineStr"/>
      <c r="I259" s="11" t="inlineStr">
        <is>
          <t>conciliado</t>
        </is>
      </c>
    </row>
    <row r="260">
      <c r="A260" s="11" t="n">
        <v>958</v>
      </c>
      <c r="B260" s="12" t="n">
        <v>46105</v>
      </c>
      <c r="C260" s="11" t="inlineStr">
        <is>
          <t>a franco jhon medina</t>
        </is>
      </c>
      <c r="D260" s="13" t="n">
        <v>39000</v>
      </c>
      <c r="E260" s="11">
        <f>IF(G260="conciliado","conciliado",I260)</f>
        <v/>
      </c>
      <c r="F260" s="11" t="inlineStr">
        <is>
          <t>315 | 2026-03-24 | 39,000 | josefina medina yusmary</t>
        </is>
      </c>
      <c r="G260" s="11">
        <f>IF(I260="conciliado","conciliado","por revisar")</f>
        <v/>
      </c>
      <c r="H260" s="11" t="inlineStr"/>
      <c r="I260" s="11" t="inlineStr">
        <is>
          <t>conciliado</t>
        </is>
      </c>
    </row>
    <row r="261">
      <c r="A261" s="11" t="n">
        <v>951</v>
      </c>
      <c r="B261" s="12" t="n">
        <v>46105</v>
      </c>
      <c r="C261" s="11" t="inlineStr">
        <is>
          <t>benavides edwi marin</t>
        </is>
      </c>
      <c r="D261" s="13" t="n">
        <v>28100</v>
      </c>
      <c r="E261" s="11">
        <f>IF(G261="conciliado","conciliado",I261)</f>
        <v/>
      </c>
      <c r="F261" s="11" t="inlineStr">
        <is>
          <t>316 | 2026-03-24 | 28,100 | bancolombia desde recarga</t>
        </is>
      </c>
      <c r="G261" s="11">
        <f>IF(I261="conciliado","conciliado","por revisar")</f>
        <v/>
      </c>
      <c r="H261" s="11" t="inlineStr"/>
      <c r="I261" s="11" t="inlineStr">
        <is>
          <t>conciliado</t>
        </is>
      </c>
    </row>
    <row r="262">
      <c r="A262" s="11" t="n">
        <v>926</v>
      </c>
      <c r="B262" s="12" t="n">
        <v>46105</v>
      </c>
      <c r="C262" s="11" t="inlineStr">
        <is>
          <t>andres segura vargas</t>
        </is>
      </c>
      <c r="D262" s="13" t="n">
        <v>52300</v>
      </c>
      <c r="E262" s="11">
        <f>IF(G262="conciliado","conciliado",I262)</f>
        <v/>
      </c>
      <c r="F262" s="11" t="inlineStr">
        <is>
          <t>317 | 2026-03-24 | 52,300 | andres segura vargas</t>
        </is>
      </c>
      <c r="G262" s="11">
        <f>IF(I262="conciliado","conciliado","por revisar")</f>
        <v/>
      </c>
      <c r="H262" s="11" t="inlineStr"/>
      <c r="I262" s="11" t="inlineStr">
        <is>
          <t>conciliado</t>
        </is>
      </c>
    </row>
    <row r="263">
      <c r="A263" s="11" t="n">
        <v>953</v>
      </c>
      <c r="B263" s="12" t="n">
        <v>46105</v>
      </c>
      <c r="C263" s="11" t="inlineStr">
        <is>
          <t>castillo hern patino</t>
        </is>
      </c>
      <c r="D263" s="13" t="n">
        <v>21800</v>
      </c>
      <c r="E263" s="11">
        <f>IF(G263="conciliado","conciliado",I263)</f>
        <v/>
      </c>
      <c r="F263" s="11" t="inlineStr">
        <is>
          <t>318 | 2026-03-24 | 21,800 | castillo hernan wilian</t>
        </is>
      </c>
      <c r="G263" s="11">
        <f>IF(I263="conciliado","conciliado","por revisar")</f>
        <v/>
      </c>
      <c r="H263" s="11" t="inlineStr"/>
      <c r="I263" s="11" t="inlineStr">
        <is>
          <t>conciliado</t>
        </is>
      </c>
    </row>
    <row r="264">
      <c r="A264" s="11" t="n">
        <v>931</v>
      </c>
      <c r="B264" s="12" t="n">
        <v>46105</v>
      </c>
      <c r="C264" s="11" t="inlineStr">
        <is>
          <t>e gomez john ordonez</t>
        </is>
      </c>
      <c r="D264" s="13" t="n">
        <v>18000</v>
      </c>
      <c r="E264" s="11">
        <f>IF(G264="conciliado","conciliado",I264)</f>
        <v/>
      </c>
      <c r="F264" s="11">
        <f>IF(SUM(COUNTIFS('Conciliacion de compuestos'!$D$2:$D$71,"conciliado",'Conciliacion de compuestos'!$E$2:$E$71,"OK",'Conciliacion de compuestos'!$M$2:$M$71,A264),COUNTIFS('Conciliacion de compuestos'!$D$2:$D$71,"conciliado",'Conciliacion de compuestos'!$E$2:$E$71,"OK",'Conciliacion de compuestos'!$N$2:$N$71,A264),COUNTIFS('Conciliacion de compuestos'!$D$2:$D$71,"conciliado",'Conciliacion de compuestos'!$E$2:$E$71,"OK",'Conciliacion de compuestos'!$O$2:$O$71,A264))&gt;0,IFERROR(TEXTJOIN(CHAR(10),TRUE,FILTER('Conciliacion de compuestos'!$A$2:$A$71,('Conciliacion de compuestos'!$D$2:$D$71="conciliado")*('Conciliacion de compuestos'!$E$2:$E$71="OK")*((('Conciliacion de compuestos'!$M$2:$M$71=A264)+('Conciliacion de compuestos'!$N$2:$N$71=A264)+('Conciliacion de compuestos'!$O$2:$O$71=A264))&gt;0))),""),"")</f>
        <v/>
      </c>
      <c r="G264" s="11">
        <f>IF(I264="conciliado","conciliado","por revisar")</f>
        <v/>
      </c>
      <c r="H264" s="11" t="inlineStr"/>
      <c r="I264" s="11">
        <f>IF(SUM(COUNTIFS('Conciliacion de compuestos'!$D$2:$D$71,"conciliado",'Conciliacion de compuestos'!$E$2:$E$71,"OK",'Conciliacion de compuestos'!$M$2:$M$71,A264),COUNTIFS('Conciliacion de compuestos'!$D$2:$D$71,"conciliado",'Conciliacion de compuestos'!$E$2:$E$71,"OK",'Conciliacion de compuestos'!$N$2:$N$71,A264),COUNTIFS('Conciliacion de compuestos'!$D$2:$D$71,"conciliado",'Conciliacion de compuestos'!$E$2:$E$71,"OK",'Conciliacion de compuestos'!$O$2:$O$71,A264))&gt;0,"conciliado","por revisar")</f>
        <v/>
      </c>
    </row>
    <row r="265">
      <c r="A265" s="11" t="n">
        <v>956</v>
      </c>
      <c r="B265" s="12" t="n">
        <v>46105</v>
      </c>
      <c r="C265" s="11" t="inlineStr">
        <is>
          <t>hernandez nupan paol</t>
        </is>
      </c>
      <c r="D265" s="13" t="n">
        <v>2500</v>
      </c>
      <c r="E265" s="11">
        <f>IF(G265="conciliado","conciliado",I265)</f>
        <v/>
      </c>
      <c r="F265" s="11" t="inlineStr">
        <is>
          <t>320 | 2026-03-24 | 2,500 | hernandez mileidy nupan</t>
        </is>
      </c>
      <c r="G265" s="11">
        <f>IF(I265="conciliado","conciliado","por revisar")</f>
        <v/>
      </c>
      <c r="H265" s="11" t="inlineStr"/>
      <c r="I265" s="11" t="inlineStr">
        <is>
          <t>conciliado</t>
        </is>
      </c>
    </row>
    <row r="266">
      <c r="A266" s="11" t="n">
        <v>930</v>
      </c>
      <c r="B266" s="12" t="n">
        <v>46105</v>
      </c>
      <c r="C266" s="11" t="inlineStr">
        <is>
          <t>galindo zamora zuly</t>
        </is>
      </c>
      <c r="D266" s="13" t="n">
        <v>7800</v>
      </c>
      <c r="E266" s="11">
        <f>IF(G266="conciliado","conciliado",I266)</f>
        <v/>
      </c>
      <c r="F266" s="11" t="inlineStr">
        <is>
          <t>322 | 2026-03-24 | 7,800 | milena zamora zuly</t>
        </is>
      </c>
      <c r="G266" s="11">
        <f>IF(I266="conciliado","conciliado","por revisar")</f>
        <v/>
      </c>
      <c r="H266" s="11" t="inlineStr"/>
      <c r="I266" s="11" t="inlineStr">
        <is>
          <t>conciliado</t>
        </is>
      </c>
    </row>
    <row r="267">
      <c r="A267" s="11" t="n">
        <v>940</v>
      </c>
      <c r="B267" s="12" t="n">
        <v>46105</v>
      </c>
      <c r="C267" s="11" t="inlineStr">
        <is>
          <t>campana franc quiroz</t>
        </is>
      </c>
      <c r="D267" s="13" t="n">
        <v>5300</v>
      </c>
      <c r="E267" s="11">
        <f>IF(G267="conciliado","conciliado",I267)</f>
        <v/>
      </c>
      <c r="F267" s="11" t="inlineStr">
        <is>
          <t>323 | 2026-03-24 | 5,300 | franco herney quiroz</t>
        </is>
      </c>
      <c r="G267" s="11">
        <f>IF(I267="conciliado","conciliado","por revisar")</f>
        <v/>
      </c>
      <c r="H267" s="11" t="inlineStr"/>
      <c r="I267" s="11" t="inlineStr">
        <is>
          <t>conciliado</t>
        </is>
      </c>
    </row>
    <row r="268">
      <c r="A268" s="11" t="n">
        <v>964</v>
      </c>
      <c r="B268" s="12" t="n">
        <v>46105</v>
      </c>
      <c r="C268" s="11" t="inlineStr">
        <is>
          <t>e lara maria viveros</t>
        </is>
      </c>
      <c r="D268" s="13" t="n">
        <v>50000</v>
      </c>
      <c r="E268" s="11">
        <f>IF(G268="conciliado","conciliado",I268)</f>
        <v/>
      </c>
      <c r="F268" s="11" t="inlineStr">
        <is>
          <t>324 | 2026-03-24 | 50,000 | eugenia lara maria</t>
        </is>
      </c>
      <c r="G268" s="11">
        <f>IF(I268="conciliado","conciliado","por revisar")</f>
        <v/>
      </c>
      <c r="H268" s="11" t="inlineStr"/>
      <c r="I268" s="11" t="inlineStr">
        <is>
          <t>conciliado</t>
        </is>
      </c>
    </row>
    <row r="269">
      <c r="A269" s="11" t="n">
        <v>974</v>
      </c>
      <c r="B269" s="12" t="n">
        <v>46105</v>
      </c>
      <c r="C269" s="11" t="inlineStr">
        <is>
          <t>arboleda cifuentes</t>
        </is>
      </c>
      <c r="D269" s="13" t="n">
        <v>20900</v>
      </c>
      <c r="E269" s="11">
        <f>IF(G269="conciliado","conciliado",I269)</f>
        <v/>
      </c>
      <c r="F269" s="11" t="inlineStr">
        <is>
          <t>325 | 2026-03-24 | 20,900 | alexandra yudi</t>
        </is>
      </c>
      <c r="G269" s="11">
        <f>IF(I269="conciliado","conciliado","por revisar")</f>
        <v/>
      </c>
      <c r="H269" s="11" t="inlineStr"/>
      <c r="I269" s="11" t="inlineStr">
        <is>
          <t>conciliado</t>
        </is>
      </c>
    </row>
    <row r="270">
      <c r="A270" s="11" t="n">
        <v>959</v>
      </c>
      <c r="B270" s="12" t="n">
        <v>46105</v>
      </c>
      <c r="C270" s="11" t="inlineStr">
        <is>
          <t>dani ortega</t>
        </is>
      </c>
      <c r="D270" s="13" t="n">
        <v>22200</v>
      </c>
      <c r="E270" s="11">
        <f>IF(G270="conciliado","conciliado",I270)</f>
        <v/>
      </c>
      <c r="F270" s="11" t="inlineStr">
        <is>
          <t>326 | 2026-03-24 | 22,200 | andres danny ortega</t>
        </is>
      </c>
      <c r="G270" s="11">
        <f>IF(I270="conciliado","conciliado","por revisar")</f>
        <v/>
      </c>
      <c r="H270" s="11" t="inlineStr"/>
      <c r="I270" s="11" t="inlineStr">
        <is>
          <t>conciliado</t>
        </is>
      </c>
    </row>
    <row r="271">
      <c r="A271" s="11" t="n">
        <v>947</v>
      </c>
      <c r="B271" s="12" t="n">
        <v>46105</v>
      </c>
      <c r="C271" s="11" t="inlineStr">
        <is>
          <t>castillo corrales si</t>
        </is>
      </c>
      <c r="D271" s="13" t="n">
        <v>26000</v>
      </c>
      <c r="E271" s="11">
        <f>IF(G271="conciliado","conciliado",I271)</f>
        <v/>
      </c>
      <c r="F271" s="11" t="inlineStr">
        <is>
          <t>328 | 2026-03-24 | 26,000 | castillo sirlen</t>
        </is>
      </c>
      <c r="G271" s="11">
        <f>IF(I271="conciliado","conciliado","por revisar")</f>
        <v/>
      </c>
      <c r="H271" s="11" t="inlineStr"/>
      <c r="I271" s="11" t="inlineStr">
        <is>
          <t>conciliado</t>
        </is>
      </c>
    </row>
    <row r="272">
      <c r="A272" s="11" t="n">
        <v>973</v>
      </c>
      <c r="B272" s="12" t="n">
        <v>46105</v>
      </c>
      <c r="C272" s="11" t="inlineStr">
        <is>
          <t>dan mora nati sara</t>
        </is>
      </c>
      <c r="D272" s="13" t="n">
        <v>21700</v>
      </c>
      <c r="E272" s="11">
        <f>IF(G272="conciliado","conciliado",I272)</f>
        <v/>
      </c>
      <c r="F272" s="11" t="inlineStr">
        <is>
          <t>329 | 2026-03-24 | 21,700 | daniela nati sara</t>
        </is>
      </c>
      <c r="G272" s="11">
        <f>IF(I272="conciliado","conciliado","por revisar")</f>
        <v/>
      </c>
      <c r="H272" s="11" t="inlineStr"/>
      <c r="I272" s="11" t="inlineStr">
        <is>
          <t>conciliado</t>
        </is>
      </c>
    </row>
    <row r="273">
      <c r="A273" s="11" t="n">
        <v>972</v>
      </c>
      <c r="B273" s="12" t="n">
        <v>46105</v>
      </c>
      <c r="C273" s="11" t="inlineStr">
        <is>
          <t>ju nacequia tanigama</t>
        </is>
      </c>
      <c r="D273" s="13" t="n">
        <v>16000</v>
      </c>
      <c r="E273" s="11">
        <f>IF(G273="conciliado","conciliado",I273)</f>
        <v/>
      </c>
      <c r="F273" s="11" t="inlineStr">
        <is>
          <t>330 | 2026-03-24 | 16,000 | cesar julio nacequia</t>
        </is>
      </c>
      <c r="G273" s="11">
        <f>IF(I273="conciliado","conciliado","por revisar")</f>
        <v/>
      </c>
      <c r="H273" s="11" t="inlineStr"/>
      <c r="I273" s="11" t="inlineStr">
        <is>
          <t>conciliado</t>
        </is>
      </c>
    </row>
    <row r="274">
      <c r="A274" s="11" t="n">
        <v>942</v>
      </c>
      <c r="B274" s="12" t="n">
        <v>46105</v>
      </c>
      <c r="C274" s="11" t="inlineStr">
        <is>
          <t>j jaramillo portilla</t>
        </is>
      </c>
      <c r="D274" s="13" t="n">
        <v>29900</v>
      </c>
      <c r="E274" s="11">
        <f>IF(G274="conciliado","conciliado",I274)</f>
        <v/>
      </c>
      <c r="F274" s="11" t="inlineStr">
        <is>
          <t>331 | 2026-03-24 | 29,900 | jaramillo jhon mauricio</t>
        </is>
      </c>
      <c r="G274" s="11">
        <f>IF(I274="conciliado","conciliado","por revisar")</f>
        <v/>
      </c>
      <c r="H274" s="11" t="inlineStr"/>
      <c r="I274" s="11" t="inlineStr">
        <is>
          <t>conciliado</t>
        </is>
      </c>
    </row>
    <row r="275">
      <c r="A275" s="11" t="n">
        <v>939</v>
      </c>
      <c r="B275" s="12" t="n">
        <v>46105</v>
      </c>
      <c r="C275" s="11" t="inlineStr">
        <is>
          <t>maria martinez munoz</t>
        </is>
      </c>
      <c r="D275" s="13" t="n">
        <v>12500</v>
      </c>
      <c r="E275" s="11">
        <f>IF(G275="conciliado","conciliado",I275)</f>
        <v/>
      </c>
      <c r="F275" s="11" t="inlineStr">
        <is>
          <t>332 | 2026-03-24 | 12,500 | dora emilce martinez</t>
        </is>
      </c>
      <c r="G275" s="11">
        <f>IF(I275="conciliado","conciliado","por revisar")</f>
        <v/>
      </c>
      <c r="H275" s="11" t="inlineStr"/>
      <c r="I275" s="11" t="inlineStr">
        <is>
          <t>conciliado</t>
        </is>
      </c>
    </row>
    <row r="276">
      <c r="A276" s="11" t="n">
        <v>950</v>
      </c>
      <c r="B276" s="12" t="n">
        <v>46105</v>
      </c>
      <c r="C276" s="11" t="inlineStr">
        <is>
          <t>lisbeth pa pena pena</t>
        </is>
      </c>
      <c r="D276" s="13" t="n">
        <v>4700</v>
      </c>
      <c r="E276" s="11">
        <f>IF(G276="conciliado","conciliado",I276)</f>
        <v/>
      </c>
      <c r="F276" s="11" t="inlineStr">
        <is>
          <t>333 | 2026-03-24 | 4,700 | lisbeth paola pena</t>
        </is>
      </c>
      <c r="G276" s="11">
        <f>IF(I276="conciliado","conciliado","por revisar")</f>
        <v/>
      </c>
      <c r="H276" s="11" t="inlineStr"/>
      <c r="I276" s="11" t="inlineStr">
        <is>
          <t>conciliado</t>
        </is>
      </c>
    </row>
    <row r="277">
      <c r="A277" s="11" t="n">
        <v>971</v>
      </c>
      <c r="B277" s="12" t="n">
        <v>46105</v>
      </c>
      <c r="C277" s="11" t="inlineStr">
        <is>
          <t>bastidas karen toro</t>
        </is>
      </c>
      <c r="D277" s="13" t="n">
        <v>7100</v>
      </c>
      <c r="E277" s="11">
        <f>IF(G277="conciliado","conciliado",I277)</f>
        <v/>
      </c>
      <c r="F277" s="11" t="inlineStr">
        <is>
          <t>334 | 2026-03-24 | 7,100 | bastidas dayana karen</t>
        </is>
      </c>
      <c r="G277" s="11">
        <f>IF(I277="conciliado","conciliado","por revisar")</f>
        <v/>
      </c>
      <c r="H277" s="11" t="inlineStr"/>
      <c r="I277" s="11" t="inlineStr">
        <is>
          <t>conciliado</t>
        </is>
      </c>
    </row>
    <row r="278">
      <c r="A278" s="11" t="n">
        <v>943</v>
      </c>
      <c r="B278" s="12" t="n">
        <v>46105</v>
      </c>
      <c r="C278" s="11" t="inlineStr">
        <is>
          <t>alexan ferro macuace</t>
        </is>
      </c>
      <c r="D278" s="13" t="n">
        <v>12100</v>
      </c>
      <c r="E278" s="11">
        <f>IF(G278="conciliado","conciliado",I278)</f>
        <v/>
      </c>
      <c r="F278" s="11" t="inlineStr">
        <is>
          <t>335 | 2026-03-24 | 12,100 | alexander macuace</t>
        </is>
      </c>
      <c r="G278" s="11">
        <f>IF(I278="conciliado","conciliado","por revisar")</f>
        <v/>
      </c>
      <c r="H278" s="11" t="inlineStr"/>
      <c r="I278" s="11" t="inlineStr">
        <is>
          <t>conciliado</t>
        </is>
      </c>
    </row>
    <row r="279">
      <c r="A279" s="11" t="n">
        <v>955</v>
      </c>
      <c r="B279" s="12" t="n">
        <v>46105</v>
      </c>
      <c r="C279" s="11" t="inlineStr">
        <is>
          <t>caes florez kely yoj</t>
        </is>
      </c>
      <c r="D279" s="13" t="n">
        <v>22700</v>
      </c>
      <c r="E279" s="11">
        <f>IF(G279="conciliado","conciliado",I279)</f>
        <v/>
      </c>
      <c r="F279" s="11" t="inlineStr">
        <is>
          <t>336 | 2026-03-24 | 22,700 | caez florez keli yojana</t>
        </is>
      </c>
      <c r="G279" s="11">
        <f>IF(I279="conciliado","conciliado","por revisar")</f>
        <v/>
      </c>
      <c r="H279" s="11" t="inlineStr"/>
      <c r="I279" s="11" t="inlineStr">
        <is>
          <t>conciliado</t>
        </is>
      </c>
    </row>
    <row r="280">
      <c r="A280" s="11" t="n">
        <v>935</v>
      </c>
      <c r="B280" s="12" t="n">
        <v>46105</v>
      </c>
      <c r="C280" s="11" t="inlineStr">
        <is>
          <t>aco consorcio obras</t>
        </is>
      </c>
      <c r="D280" s="13" t="n">
        <v>21100</v>
      </c>
      <c r="E280" s="11">
        <f>IF(G280="conciliado","conciliado",I280)</f>
        <v/>
      </c>
      <c r="F280" s="11" t="inlineStr">
        <is>
          <t>337 | 2026-03-24 | 21,100 | jhonatan santiago</t>
        </is>
      </c>
      <c r="G280" s="11">
        <f>IF(I280="conciliado","conciliado","por revisar")</f>
        <v/>
      </c>
      <c r="H280" s="11" t="inlineStr"/>
      <c r="I280" s="11" t="inlineStr">
        <is>
          <t>conciliado</t>
        </is>
      </c>
    </row>
    <row r="281">
      <c r="A281" s="11" t="n">
        <v>970</v>
      </c>
      <c r="B281" s="12" t="n">
        <v>46105</v>
      </c>
      <c r="C281" s="11" t="inlineStr">
        <is>
          <t>briyith narvaez yela</t>
        </is>
      </c>
      <c r="D281" s="13" t="n">
        <v>4200</v>
      </c>
      <c r="E281" s="11">
        <f>IF(G281="conciliado","conciliado",I281)</f>
        <v/>
      </c>
      <c r="F281" s="11" t="inlineStr">
        <is>
          <t>338 | 2026-03-24 | 4,200 | briyith dayana yela</t>
        </is>
      </c>
      <c r="G281" s="11">
        <f>IF(I281="conciliado","conciliado","por revisar")</f>
        <v/>
      </c>
      <c r="H281" s="11" t="inlineStr"/>
      <c r="I281" s="11" t="inlineStr">
        <is>
          <t>conciliado</t>
        </is>
      </c>
    </row>
    <row r="282">
      <c r="A282" s="11" t="n">
        <v>945</v>
      </c>
      <c r="B282" s="12" t="n">
        <v>46105</v>
      </c>
      <c r="C282" s="11" t="inlineStr">
        <is>
          <t>aragon franco g hugo</t>
        </is>
      </c>
      <c r="D282" s="13" t="n">
        <v>56800</v>
      </c>
      <c r="E282" s="11">
        <f>IF(G282="conciliado","conciliado",I282)</f>
        <v/>
      </c>
      <c r="F282" s="11" t="inlineStr">
        <is>
          <t>339 | 2026-03-24 | 56,800 | aragon gabriel hugo</t>
        </is>
      </c>
      <c r="G282" s="11">
        <f>IF(I282="conciliado","conciliado","por revisar")</f>
        <v/>
      </c>
      <c r="H282" s="11" t="inlineStr"/>
      <c r="I282" s="11" t="inlineStr">
        <is>
          <t>conciliado</t>
        </is>
      </c>
    </row>
    <row r="283">
      <c r="A283" s="11" t="n">
        <v>962</v>
      </c>
      <c r="B283" s="12" t="n">
        <v>46105</v>
      </c>
      <c r="C283" s="11" t="inlineStr">
        <is>
          <t>cam carvajal riveros</t>
        </is>
      </c>
      <c r="D283" s="13" t="n">
        <v>10500</v>
      </c>
      <c r="E283" s="11">
        <f>IF(G283="conciliado","conciliado",I283)</f>
        <v/>
      </c>
      <c r="F283" s="11" t="inlineStr">
        <is>
          <t>340 | 2026-03-24 | 10,500 | camilo cristhian riveros</t>
        </is>
      </c>
      <c r="G283" s="11">
        <f>IF(I283="conciliado","conciliado","por revisar")</f>
        <v/>
      </c>
      <c r="H283" s="11" t="inlineStr"/>
      <c r="I283" s="11" t="inlineStr">
        <is>
          <t>conciliado</t>
        </is>
      </c>
    </row>
    <row r="284">
      <c r="A284" s="11" t="n">
        <v>961</v>
      </c>
      <c r="B284" s="12" t="n">
        <v>46105</v>
      </c>
      <c r="C284" s="11" t="inlineStr">
        <is>
          <t>alejandr diaz espana</t>
        </is>
      </c>
      <c r="D284" s="13" t="n">
        <v>13300</v>
      </c>
      <c r="E284" s="11">
        <f>IF(G284="conciliado","conciliado",I284)</f>
        <v/>
      </c>
      <c r="F284" s="11" t="inlineStr">
        <is>
          <t>341 | 2026-03-24 | 13,300 | alejandra loreny</t>
        </is>
      </c>
      <c r="G284" s="11">
        <f>IF(I284="conciliado","conciliado","por revisar")</f>
        <v/>
      </c>
      <c r="H284" s="11" t="inlineStr"/>
      <c r="I284" s="11" t="inlineStr">
        <is>
          <t>conciliado</t>
        </is>
      </c>
    </row>
    <row r="285">
      <c r="A285" s="11" t="n">
        <v>957</v>
      </c>
      <c r="B285" s="12" t="n">
        <v>46105</v>
      </c>
      <c r="C285" s="11" t="inlineStr">
        <is>
          <t>agaton cifuentes ing</t>
        </is>
      </c>
      <c r="D285" s="13" t="n">
        <v>18200</v>
      </c>
      <c r="E285" s="11">
        <f>IF(G285="conciliado","conciliado",I285)</f>
        <v/>
      </c>
      <c r="F285" s="11" t="inlineStr">
        <is>
          <t>342 | 2026-03-24 | 18,200 | bancolombia desde recarga</t>
        </is>
      </c>
      <c r="G285" s="11">
        <f>IF(I285="conciliado","conciliado","por revisar")</f>
        <v/>
      </c>
      <c r="H285" s="11" t="inlineStr"/>
      <c r="I285" s="11" t="inlineStr">
        <is>
          <t>conciliado</t>
        </is>
      </c>
    </row>
    <row r="286">
      <c r="A286" s="11" t="n">
        <v>929</v>
      </c>
      <c r="B286" s="12" t="n">
        <v>46105</v>
      </c>
      <c r="C286" s="11" t="inlineStr">
        <is>
          <t>dayan florez l reyes</t>
        </is>
      </c>
      <c r="D286" s="13" t="n">
        <v>25400</v>
      </c>
      <c r="E286" s="11">
        <f>IF(G286="conciliado","conciliado",I286)</f>
        <v/>
      </c>
      <c r="F286" s="11" t="inlineStr">
        <is>
          <t>344 | 2026-03-24 | 25,400 | dayan florez reyes</t>
        </is>
      </c>
      <c r="G286" s="11">
        <f>IF(I286="conciliado","conciliado","por revisar")</f>
        <v/>
      </c>
      <c r="H286" s="11" t="inlineStr"/>
      <c r="I286" s="11" t="inlineStr">
        <is>
          <t>conciliado</t>
        </is>
      </c>
    </row>
    <row r="287">
      <c r="A287" s="11" t="n">
        <v>969</v>
      </c>
      <c r="B287" s="12" t="n">
        <v>46105</v>
      </c>
      <c r="C287" s="11" t="inlineStr">
        <is>
          <t>ang hermosa luz mora</t>
        </is>
      </c>
      <c r="D287" s="13" t="n">
        <v>36100</v>
      </c>
      <c r="E287" s="11">
        <f>IF(G287="conciliado","conciliado",I287)</f>
        <v/>
      </c>
      <c r="F287" s="11" t="inlineStr">
        <is>
          <t>345 | 2026-03-24 | 36,100 | hermosa luz mora</t>
        </is>
      </c>
      <c r="G287" s="11">
        <f>IF(I287="conciliado","conciliado","por revisar")</f>
        <v/>
      </c>
      <c r="H287" s="11" t="inlineStr"/>
      <c r="I287" s="11" t="inlineStr">
        <is>
          <t>conciliado</t>
        </is>
      </c>
    </row>
    <row r="288">
      <c r="A288" s="11" t="n">
        <v>968</v>
      </c>
      <c r="B288" s="12" t="n">
        <v>46105</v>
      </c>
      <c r="C288" s="11" t="inlineStr">
        <is>
          <t>velasco viscaya yina</t>
        </is>
      </c>
      <c r="D288" s="13" t="n">
        <v>19800</v>
      </c>
      <c r="E288" s="11">
        <f>IF(G288="conciliado","conciliado",I288)</f>
        <v/>
      </c>
      <c r="F288" s="11" t="inlineStr">
        <is>
          <t>346 | 2026-03-24 | 19,800 | paola viscaya yinna</t>
        </is>
      </c>
      <c r="G288" s="11">
        <f>IF(I288="conciliado","conciliado","por revisar")</f>
        <v/>
      </c>
      <c r="H288" s="11" t="inlineStr"/>
      <c r="I288" s="11" t="inlineStr">
        <is>
          <t>conciliado</t>
        </is>
      </c>
    </row>
    <row r="289">
      <c r="A289" s="11" t="n">
        <v>952</v>
      </c>
      <c r="B289" s="12" t="n">
        <v>46105</v>
      </c>
      <c r="C289" s="11" t="inlineStr">
        <is>
          <t>angie perdomo tapia</t>
        </is>
      </c>
      <c r="D289" s="13" t="n">
        <v>12400</v>
      </c>
      <c r="E289" s="11">
        <f>IF(G289="conciliado","conciliado",I289)</f>
        <v/>
      </c>
      <c r="F289" s="11" t="inlineStr">
        <is>
          <t>347 | 2026-03-24 | 12,400 | anyi cataleya tapia</t>
        </is>
      </c>
      <c r="G289" s="11">
        <f>IF(I289="conciliado","conciliado","por revisar")</f>
        <v/>
      </c>
      <c r="H289" s="11" t="inlineStr"/>
      <c r="I289" s="11" t="inlineStr">
        <is>
          <t>conciliado</t>
        </is>
      </c>
    </row>
    <row r="290">
      <c r="A290" s="11" t="n">
        <v>965</v>
      </c>
      <c r="B290" s="12" t="n">
        <v>46105</v>
      </c>
      <c r="C290" s="11" t="inlineStr">
        <is>
          <t>al bastidas betancur</t>
        </is>
      </c>
      <c r="D290" s="13" t="n">
        <v>27200</v>
      </c>
      <c r="E290" s="11">
        <f>IF(G290="conciliado","conciliado",I290)</f>
        <v/>
      </c>
      <c r="F290" s="11" t="inlineStr">
        <is>
          <t>348 | 2026-03-24 | 27,200 | alexander betancur</t>
        </is>
      </c>
      <c r="G290" s="11">
        <f>IF(I290="conciliado","conciliado","por revisar")</f>
        <v/>
      </c>
      <c r="H290" s="11" t="inlineStr"/>
      <c r="I290" s="11" t="inlineStr">
        <is>
          <t>conciliado</t>
        </is>
      </c>
    </row>
    <row r="291">
      <c r="A291" s="11" t="n">
        <v>928</v>
      </c>
      <c r="B291" s="12" t="n">
        <v>46105</v>
      </c>
      <c r="C291" s="11" t="inlineStr">
        <is>
          <t>correa tat tuberquia</t>
        </is>
      </c>
      <c r="D291" s="13" t="n">
        <v>7800</v>
      </c>
      <c r="E291" s="11">
        <f>IF(G291="conciliado","conciliado",I291)</f>
        <v/>
      </c>
      <c r="F291" s="11" t="inlineStr">
        <is>
          <t>349 | 2026-03-24 | 7,800 | correa tatiana</t>
        </is>
      </c>
      <c r="G291" s="11">
        <f>IF(I291="conciliado","conciliado","por revisar")</f>
        <v/>
      </c>
      <c r="H291" s="11" t="inlineStr"/>
      <c r="I291" s="11" t="inlineStr">
        <is>
          <t>conciliado</t>
        </is>
      </c>
    </row>
    <row r="292">
      <c r="A292" s="11" t="n">
        <v>954</v>
      </c>
      <c r="B292" s="12" t="n">
        <v>46105</v>
      </c>
      <c r="C292" s="11" t="inlineStr">
        <is>
          <t>ariza deissy navarro</t>
        </is>
      </c>
      <c r="D292" s="13" t="n">
        <v>56300</v>
      </c>
      <c r="E292" s="11">
        <f>IF(G292="conciliado","conciliado",I292)</f>
        <v/>
      </c>
      <c r="F292" s="11" t="inlineStr">
        <is>
          <t>351 | 2026-03-24 | 56,300 | ariza deissy navarro</t>
        </is>
      </c>
      <c r="G292" s="11">
        <f>IF(I292="conciliado","conciliado","por revisar")</f>
        <v/>
      </c>
      <c r="H292" s="11" t="inlineStr"/>
      <c r="I292" s="11" t="inlineStr">
        <is>
          <t>conciliado</t>
        </is>
      </c>
    </row>
    <row r="293">
      <c r="A293" s="11" t="n">
        <v>923</v>
      </c>
      <c r="B293" s="12" t="n">
        <v>46105</v>
      </c>
      <c r="C293" s="11" t="inlineStr">
        <is>
          <t>guerrero leid viuche</t>
        </is>
      </c>
      <c r="D293" s="13" t="n">
        <v>4200</v>
      </c>
      <c r="E293" s="11">
        <f>IF(G293="conciliado","conciliado",I293)</f>
        <v/>
      </c>
      <c r="F293" s="11" t="inlineStr">
        <is>
          <t>352 | 2026-03-24 | 4,200 | leidy marcela viuche</t>
        </is>
      </c>
      <c r="G293" s="11">
        <f>IF(I293="conciliado","conciliado","por revisar")</f>
        <v/>
      </c>
      <c r="H293" s="11" t="inlineStr"/>
      <c r="I293" s="11" t="inlineStr">
        <is>
          <t>conciliado</t>
        </is>
      </c>
    </row>
    <row r="294">
      <c r="A294" s="11" t="n">
        <v>967</v>
      </c>
      <c r="B294" s="12" t="n">
        <v>46105</v>
      </c>
      <c r="C294" s="11" t="inlineStr">
        <is>
          <t>franco molina yuliet</t>
        </is>
      </c>
      <c r="D294" s="13" t="n">
        <v>11000</v>
      </c>
      <c r="E294" s="11">
        <f>IF(G294="conciliado","conciliado",I294)</f>
        <v/>
      </c>
      <c r="F294" s="11" t="inlineStr">
        <is>
          <t>353 | 2026-03-24 | 11,000 | alejandra julieth</t>
        </is>
      </c>
      <c r="G294" s="11">
        <f>IF(I294="conciliado","conciliado","por revisar")</f>
        <v/>
      </c>
      <c r="H294" s="11" t="inlineStr"/>
      <c r="I294" s="11" t="inlineStr">
        <is>
          <t>conciliado</t>
        </is>
      </c>
    </row>
    <row r="295">
      <c r="A295" s="11" t="n">
        <v>934</v>
      </c>
      <c r="B295" s="12" t="n">
        <v>46105</v>
      </c>
      <c r="C295" s="11" t="inlineStr">
        <is>
          <t>da lesly meza rosero</t>
        </is>
      </c>
      <c r="D295" s="13" t="n">
        <v>14800</v>
      </c>
      <c r="E295" s="11">
        <f>IF(G295="conciliado","conciliado",I295)</f>
        <v/>
      </c>
      <c r="F295" s="11" t="inlineStr">
        <is>
          <t>354 | 2026-03-24 | 14,800 | jackeline rosero</t>
        </is>
      </c>
      <c r="G295" s="11">
        <f>IF(I295="conciliado","conciliado","por revisar")</f>
        <v/>
      </c>
      <c r="H295" s="11" t="inlineStr"/>
      <c r="I295" s="11" t="inlineStr">
        <is>
          <t>conciliado</t>
        </is>
      </c>
    </row>
    <row r="296">
      <c r="A296" s="11" t="n">
        <v>933</v>
      </c>
      <c r="B296" s="12" t="n">
        <v>46105</v>
      </c>
      <c r="C296" s="11" t="inlineStr">
        <is>
          <t>ayala hedita riascos</t>
        </is>
      </c>
      <c r="D296" s="13" t="n">
        <v>49800</v>
      </c>
      <c r="E296" s="11">
        <f>IF(G296="conciliado","conciliado",I296)</f>
        <v/>
      </c>
      <c r="F296" s="11" t="inlineStr">
        <is>
          <t>355 | 2026-03-24 | 49,800 | eleisa hedita riascos</t>
        </is>
      </c>
      <c r="G296" s="11">
        <f>IF(I296="conciliado","conciliado","por revisar")</f>
        <v/>
      </c>
      <c r="H296" s="11" t="inlineStr"/>
      <c r="I296" s="11" t="inlineStr">
        <is>
          <t>conciliado</t>
        </is>
      </c>
    </row>
    <row r="297">
      <c r="A297" s="11" t="n">
        <v>946</v>
      </c>
      <c r="B297" s="12" t="n">
        <v>46105</v>
      </c>
      <c r="C297" s="11" t="inlineStr">
        <is>
          <t>i natael ruiz suarez</t>
        </is>
      </c>
      <c r="D297" s="13" t="n">
        <v>93000</v>
      </c>
      <c r="E297" s="11">
        <f>IF(G297="conciliado","conciliado",I297)</f>
        <v/>
      </c>
      <c r="F297" s="11" t="inlineStr">
        <is>
          <t>357 | 2026-03-24 | 93,000 | ruiz suarez yonatan</t>
        </is>
      </c>
      <c r="G297" s="11">
        <f>IF(I297="conciliado","conciliado","por revisar")</f>
        <v/>
      </c>
      <c r="H297" s="11" t="inlineStr"/>
      <c r="I297" s="11" t="inlineStr">
        <is>
          <t>conciliado</t>
        </is>
      </c>
    </row>
    <row r="298">
      <c r="A298" s="11" t="n">
        <v>924</v>
      </c>
      <c r="B298" s="12" t="n">
        <v>46105</v>
      </c>
      <c r="C298" s="11" t="inlineStr">
        <is>
          <t>ju maria quelal toro</t>
        </is>
      </c>
      <c r="D298" s="13" t="n">
        <v>20500</v>
      </c>
      <c r="E298" s="11">
        <f>IF(G298="conciliado","conciliado",I298)</f>
        <v/>
      </c>
      <c r="F298" s="11" t="inlineStr">
        <is>
          <t>358 | 2026-03-24 | 20,500 | maria quelal toro</t>
        </is>
      </c>
      <c r="G298" s="11">
        <f>IF(I298="conciliado","conciliado","por revisar")</f>
        <v/>
      </c>
      <c r="H298" s="11" t="inlineStr"/>
      <c r="I298" s="11" t="inlineStr">
        <is>
          <t>conciliado</t>
        </is>
      </c>
    </row>
    <row r="299">
      <c r="A299" s="11" t="n">
        <v>948</v>
      </c>
      <c r="B299" s="12" t="n">
        <v>46105</v>
      </c>
      <c r="C299" s="11" t="inlineStr">
        <is>
          <t>delgado rigo vanegas</t>
        </is>
      </c>
      <c r="D299" s="13" t="n">
        <v>22700</v>
      </c>
      <c r="E299" s="11">
        <f>IF(G299="conciliado","conciliado",I299)</f>
        <v/>
      </c>
      <c r="F299" s="11" t="inlineStr">
        <is>
          <t>359 | 2026-03-24 | 22,700 | rigoberto vanegas</t>
        </is>
      </c>
      <c r="G299" s="11">
        <f>IF(I299="conciliado","conciliado","por revisar")</f>
        <v/>
      </c>
      <c r="H299" s="11" t="inlineStr"/>
      <c r="I299" s="11" t="inlineStr">
        <is>
          <t>conciliado</t>
        </is>
      </c>
    </row>
    <row r="300">
      <c r="A300" s="11" t="n">
        <v>938</v>
      </c>
      <c r="B300" s="12" t="n">
        <v>46105</v>
      </c>
      <c r="C300" s="11" t="inlineStr">
        <is>
          <t>cabezas contreras ju</t>
        </is>
      </c>
      <c r="D300" s="13" t="n">
        <v>18600</v>
      </c>
      <c r="E300" s="11">
        <f>IF(G300="conciliado","conciliado",I300)</f>
        <v/>
      </c>
      <c r="F300" s="11" t="inlineStr">
        <is>
          <t>360 | 2026-03-24 | 18,600 | cabezas julissa</t>
        </is>
      </c>
      <c r="G300" s="11">
        <f>IF(I300="conciliado","conciliado","por revisar")</f>
        <v/>
      </c>
      <c r="H300" s="11" t="inlineStr"/>
      <c r="I300" s="11" t="inlineStr">
        <is>
          <t>conciliado</t>
        </is>
      </c>
    </row>
    <row r="301">
      <c r="A301" s="11" t="n">
        <v>944</v>
      </c>
      <c r="B301" s="12" t="n">
        <v>46105</v>
      </c>
      <c r="C301" s="11" t="inlineStr">
        <is>
          <t>mario sepulveda</t>
        </is>
      </c>
      <c r="D301" s="13" t="n">
        <v>5600</v>
      </c>
      <c r="E301" s="11">
        <f>IF(G301="conciliado","conciliado",I301)</f>
        <v/>
      </c>
      <c r="F301" s="11" t="inlineStr">
        <is>
          <t>361 | 2026-03-24 | 5,600 | fernando mario</t>
        </is>
      </c>
      <c r="G301" s="11">
        <f>IF(I301="conciliado","conciliado","por revisar")</f>
        <v/>
      </c>
      <c r="H301" s="11" t="inlineStr"/>
      <c r="I301" s="11" t="inlineStr">
        <is>
          <t>conciliado</t>
        </is>
      </c>
    </row>
    <row r="302">
      <c r="A302" s="11" t="n">
        <v>963</v>
      </c>
      <c r="B302" s="12" t="n">
        <v>46105</v>
      </c>
      <c r="C302" s="11" t="inlineStr">
        <is>
          <t>a jose pepinosa ruiz</t>
        </is>
      </c>
      <c r="D302" s="13" t="n">
        <v>27700</v>
      </c>
      <c r="E302" s="11">
        <f>IF(G302="conciliado","conciliado",I302)</f>
        <v/>
      </c>
      <c r="F302" s="11" t="inlineStr">
        <is>
          <t>363 | 2026-03-24 | 27,700 | alexander jose pepinosa</t>
        </is>
      </c>
      <c r="G302" s="11">
        <f>IF(I302="conciliado","conciliado","por revisar")</f>
        <v/>
      </c>
      <c r="H302" s="11" t="inlineStr"/>
      <c r="I302" s="11" t="inlineStr">
        <is>
          <t>conciliado</t>
        </is>
      </c>
    </row>
    <row r="303">
      <c r="A303" s="11" t="n">
        <v>914</v>
      </c>
      <c r="B303" s="12" t="n">
        <v>46104</v>
      </c>
      <c r="C303" s="11" t="inlineStr">
        <is>
          <t>getial preciado seba</t>
        </is>
      </c>
      <c r="D303" s="13" t="n">
        <v>13500</v>
      </c>
      <c r="E303" s="11">
        <f>IF(G303="conciliado","conciliado",I303)</f>
        <v/>
      </c>
      <c r="F303" s="11" t="inlineStr">
        <is>
          <t>365 | 2026-03-23 | 13,500 | getial jhon sebas</t>
        </is>
      </c>
      <c r="G303" s="11">
        <f>IF(I303="conciliado","conciliado","por revisar")</f>
        <v/>
      </c>
      <c r="H303" s="11" t="inlineStr"/>
      <c r="I303" s="11" t="inlineStr">
        <is>
          <t>conciliado</t>
        </is>
      </c>
    </row>
    <row r="304">
      <c r="A304" s="11" t="n">
        <v>899</v>
      </c>
      <c r="B304" s="12" t="n">
        <v>46104</v>
      </c>
      <c r="C304" s="11" t="inlineStr">
        <is>
          <t>otavo pena yineth</t>
        </is>
      </c>
      <c r="D304" s="13" t="n">
        <v>13600</v>
      </c>
      <c r="E304" s="11">
        <f>IF(G304="conciliado","conciliado",I304)</f>
        <v/>
      </c>
      <c r="F304" s="11" t="inlineStr">
        <is>
          <t>366 | 2026-03-23 | 13,600 | pena yineth</t>
        </is>
      </c>
      <c r="G304" s="11">
        <f>IF(I304="conciliado","conciliado","por revisar")</f>
        <v/>
      </c>
      <c r="H304" s="11" t="inlineStr"/>
      <c r="I304" s="11" t="inlineStr">
        <is>
          <t>conciliado</t>
        </is>
      </c>
    </row>
    <row r="305">
      <c r="A305" s="11" t="n">
        <v>900</v>
      </c>
      <c r="B305" s="12" t="n">
        <v>46104</v>
      </c>
      <c r="C305" s="11" t="inlineStr">
        <is>
          <t>garrido gu rodriguez</t>
        </is>
      </c>
      <c r="D305" s="13" t="n">
        <v>21500</v>
      </c>
      <c r="E305" s="11">
        <f>IF(G305="conciliado","conciliado",I305)</f>
        <v/>
      </c>
      <c r="F305" s="11" t="inlineStr">
        <is>
          <t>367 | 2026-03-23 | 21,500 | garrido guendy jaquelin</t>
        </is>
      </c>
      <c r="G305" s="11">
        <f>IF(I305="conciliado","conciliado","por revisar")</f>
        <v/>
      </c>
      <c r="H305" s="11" t="inlineStr"/>
      <c r="I305" s="11" t="inlineStr">
        <is>
          <t>conciliado</t>
        </is>
      </c>
    </row>
    <row r="306">
      <c r="A306" s="11" t="n">
        <v>919</v>
      </c>
      <c r="B306" s="12" t="n">
        <v>46104</v>
      </c>
      <c r="C306" s="11" t="inlineStr">
        <is>
          <t>enevia guarabe jaile</t>
        </is>
      </c>
      <c r="D306" s="13" t="n">
        <v>131200</v>
      </c>
      <c r="E306" s="11">
        <f>IF(G306="conciliado","conciliado",I306)</f>
        <v/>
      </c>
      <c r="F306" s="11" t="inlineStr">
        <is>
          <t>369 | 2026-03-23 | 131,200 | edalber guarabe jailer</t>
        </is>
      </c>
      <c r="G306" s="11">
        <f>IF(I306="conciliado","conciliado","por revisar")</f>
        <v/>
      </c>
      <c r="H306" s="11" t="inlineStr"/>
      <c r="I306" s="11" t="inlineStr">
        <is>
          <t>conciliado</t>
        </is>
      </c>
    </row>
    <row r="307">
      <c r="A307" s="11" t="n">
        <v>911</v>
      </c>
      <c r="B307" s="12" t="n">
        <v>46104</v>
      </c>
      <c r="C307" s="11" t="inlineStr">
        <is>
          <t>bolanos celia ibanez</t>
        </is>
      </c>
      <c r="D307" s="13" t="n">
        <v>2200</v>
      </c>
      <c r="E307" s="11">
        <f>IF(G307="conciliado","conciliado",I307)</f>
        <v/>
      </c>
      <c r="F307" s="11" t="inlineStr">
        <is>
          <t>370 | 2026-03-23 | 2,200 | celiano ibanez</t>
        </is>
      </c>
      <c r="G307" s="11">
        <f>IF(I307="conciliado","conciliado","por revisar")</f>
        <v/>
      </c>
      <c r="H307" s="11" t="inlineStr"/>
      <c r="I307" s="11" t="inlineStr">
        <is>
          <t>conciliado</t>
        </is>
      </c>
    </row>
    <row r="308">
      <c r="A308" s="11" t="n">
        <v>897</v>
      </c>
      <c r="B308" s="12" t="n">
        <v>46104</v>
      </c>
      <c r="C308" s="11" t="inlineStr">
        <is>
          <t>cubillos niv ordones</t>
        </is>
      </c>
      <c r="D308" s="13" t="n">
        <v>12300</v>
      </c>
      <c r="E308" s="11">
        <f>IF(G308="conciliado","conciliado",I308)</f>
        <v/>
      </c>
      <c r="F308" s="11" t="inlineStr">
        <is>
          <t>371 | 2026-03-23 | 12,300 | cubillos nivia ordones</t>
        </is>
      </c>
      <c r="G308" s="11">
        <f>IF(I308="conciliado","conciliado","por revisar")</f>
        <v/>
      </c>
      <c r="H308" s="11" t="inlineStr"/>
      <c r="I308" s="11" t="inlineStr">
        <is>
          <t>conciliado</t>
        </is>
      </c>
    </row>
    <row r="309">
      <c r="A309" s="11" t="n">
        <v>905</v>
      </c>
      <c r="B309" s="12" t="n">
        <v>46104</v>
      </c>
      <c r="C309" s="11" t="inlineStr">
        <is>
          <t>l montenegro morales</t>
        </is>
      </c>
      <c r="D309" s="13" t="n">
        <v>15700</v>
      </c>
      <c r="E309" s="11">
        <f>IF(G309="conciliado","conciliado",I309)</f>
        <v/>
      </c>
      <c r="F309" s="11" t="inlineStr">
        <is>
          <t>372 | 2026-03-23 | 15,700 | fanny lilia montenegro</t>
        </is>
      </c>
      <c r="G309" s="11">
        <f>IF(I309="conciliado","conciliado","por revisar")</f>
        <v/>
      </c>
      <c r="H309" s="11" t="inlineStr"/>
      <c r="I309" s="11" t="inlineStr">
        <is>
          <t>conciliado</t>
        </is>
      </c>
    </row>
    <row r="310">
      <c r="A310" s="11" t="n">
        <v>896</v>
      </c>
      <c r="B310" s="12" t="n">
        <v>46104</v>
      </c>
      <c r="C310" s="11" t="inlineStr">
        <is>
          <t>carlos eduar mendoza</t>
        </is>
      </c>
      <c r="D310" s="13" t="n">
        <v>49300</v>
      </c>
      <c r="E310" s="11">
        <f>IF(G310="conciliado","conciliado",I310)</f>
        <v/>
      </c>
      <c r="F310" s="11" t="inlineStr">
        <is>
          <t>373 | 2026-03-23 | 49,300 | carlos mendoza</t>
        </is>
      </c>
      <c r="G310" s="11">
        <f>IF(I310="conciliado","conciliado","por revisar")</f>
        <v/>
      </c>
      <c r="H310" s="11" t="inlineStr"/>
      <c r="I310" s="11" t="inlineStr">
        <is>
          <t>conciliado</t>
        </is>
      </c>
    </row>
    <row r="311">
      <c r="A311" s="11" t="n">
        <v>890</v>
      </c>
      <c r="B311" s="12" t="n">
        <v>46104</v>
      </c>
      <c r="C311" s="11" t="inlineStr">
        <is>
          <t>becerra patric perez</t>
        </is>
      </c>
      <c r="D311" s="13" t="n">
        <v>37800</v>
      </c>
      <c r="E311" s="11">
        <f>IF(G311="conciliado","conciliado",I311)</f>
        <v/>
      </c>
      <c r="F311" s="11" t="inlineStr">
        <is>
          <t>374 | 2026-03-23 | 37,800 | becerra patricia perez</t>
        </is>
      </c>
      <c r="G311" s="11">
        <f>IF(I311="conciliado","conciliado","por revisar")</f>
        <v/>
      </c>
      <c r="H311" s="11" t="inlineStr"/>
      <c r="I311" s="11" t="inlineStr">
        <is>
          <t>conciliado</t>
        </is>
      </c>
    </row>
    <row r="312">
      <c r="A312" s="11" t="n">
        <v>918</v>
      </c>
      <c r="B312" s="12" t="n">
        <v>46104</v>
      </c>
      <c r="C312" s="11" t="inlineStr">
        <is>
          <t>c caicedo juan rosas</t>
        </is>
      </c>
      <c r="D312" s="13" t="n">
        <v>12000</v>
      </c>
      <c r="E312" s="11">
        <f>IF(G312="conciliado","conciliado",I312)</f>
        <v/>
      </c>
      <c r="F312" s="11" t="inlineStr">
        <is>
          <t>375 | 2026-03-23 | 12,000 | caicedo camilo juan</t>
        </is>
      </c>
      <c r="G312" s="11">
        <f>IF(I312="conciliado","conciliado","por revisar")</f>
        <v/>
      </c>
      <c r="H312" s="11" t="inlineStr"/>
      <c r="I312" s="11" t="inlineStr">
        <is>
          <t>conciliado</t>
        </is>
      </c>
    </row>
    <row r="313">
      <c r="A313" s="11" t="n">
        <v>882</v>
      </c>
      <c r="B313" s="12" t="n">
        <v>46104</v>
      </c>
      <c r="C313" s="11" t="inlineStr">
        <is>
          <t>quintero toro yoland</t>
        </is>
      </c>
      <c r="D313" s="13" t="n">
        <v>96500</v>
      </c>
      <c r="E313" s="11">
        <f>IF(G313="conciliado","conciliado",I313)</f>
        <v/>
      </c>
      <c r="F313" s="11" t="inlineStr">
        <is>
          <t>376 | 2026-03-23 | 96,500 | quintero toro yolanda</t>
        </is>
      </c>
      <c r="G313" s="11">
        <f>IF(I313="conciliado","conciliado","por revisar")</f>
        <v/>
      </c>
      <c r="H313" s="11" t="inlineStr"/>
      <c r="I313" s="11" t="inlineStr">
        <is>
          <t>conciliado</t>
        </is>
      </c>
    </row>
    <row r="314">
      <c r="A314" s="11" t="n">
        <v>917</v>
      </c>
      <c r="B314" s="12" t="n">
        <v>46104</v>
      </c>
      <c r="C314" s="11" t="inlineStr">
        <is>
          <t>moriano sandoval yei</t>
        </is>
      </c>
      <c r="D314" s="13" t="n">
        <v>37800</v>
      </c>
      <c r="E314" s="11">
        <f>IF(G314="conciliado","conciliado",I314)</f>
        <v/>
      </c>
      <c r="F314" s="11" t="inlineStr">
        <is>
          <t>377 | 2026-03-23 | 37,800 | elisabeth moriano yeimi</t>
        </is>
      </c>
      <c r="G314" s="11">
        <f>IF(I314="conciliado","conciliado","por revisar")</f>
        <v/>
      </c>
      <c r="H314" s="11" t="inlineStr"/>
      <c r="I314" s="11" t="inlineStr">
        <is>
          <t>conciliado</t>
        </is>
      </c>
    </row>
    <row r="315">
      <c r="A315" s="11" t="n">
        <v>908</v>
      </c>
      <c r="B315" s="12" t="n">
        <v>46104</v>
      </c>
      <c r="C315" s="11" t="inlineStr">
        <is>
          <t>guacales jorj rosas</t>
        </is>
      </c>
      <c r="D315" s="13" t="n">
        <v>18500</v>
      </c>
      <c r="E315" s="11">
        <f>IF(G315="conciliado","conciliado",I315)</f>
        <v/>
      </c>
      <c r="F315" s="11" t="inlineStr">
        <is>
          <t>378 | 2026-03-23 | 18,500 | eduardo jorge</t>
        </is>
      </c>
      <c r="G315" s="11">
        <f>IF(I315="conciliado","conciliado","por revisar")</f>
        <v/>
      </c>
      <c r="H315" s="11" t="inlineStr"/>
      <c r="I315" s="11" t="inlineStr">
        <is>
          <t>conciliado</t>
        </is>
      </c>
    </row>
    <row r="316">
      <c r="A316" s="11" t="n">
        <v>906</v>
      </c>
      <c r="B316" s="12" t="n">
        <v>46104</v>
      </c>
      <c r="C316" s="11" t="inlineStr">
        <is>
          <t>joa montenegro ortiz</t>
        </is>
      </c>
      <c r="D316" s="13" t="n">
        <v>42000</v>
      </c>
      <c r="E316" s="11">
        <f>IF(G316="conciliado","conciliado",I316)</f>
        <v/>
      </c>
      <c r="F316" s="11" t="inlineStr">
        <is>
          <t>379 | 2026-03-23 | 42,000 | brandon johan ortiz</t>
        </is>
      </c>
      <c r="G316" s="11">
        <f>IF(I316="conciliado","conciliado","por revisar")</f>
        <v/>
      </c>
      <c r="H316" s="11" t="inlineStr"/>
      <c r="I316" s="11" t="inlineStr">
        <is>
          <t>conciliado</t>
        </is>
      </c>
    </row>
    <row r="317">
      <c r="A317" s="11" t="n">
        <v>883</v>
      </c>
      <c r="B317" s="12" t="n">
        <v>46104</v>
      </c>
      <c r="C317" s="11" t="inlineStr">
        <is>
          <t>borja fresle vergara</t>
        </is>
      </c>
      <c r="D317" s="13" t="n">
        <v>11900</v>
      </c>
      <c r="E317" s="11">
        <f>IF(G317="conciliado","conciliado",I317)</f>
        <v/>
      </c>
      <c r="F317" s="11" t="inlineStr">
        <is>
          <t>380 | 2026-03-23 | 11,900 | borja freskey vergara</t>
        </is>
      </c>
      <c r="G317" s="11">
        <f>IF(I317="conciliado","conciliado","por revisar")</f>
        <v/>
      </c>
      <c r="H317" s="11" t="inlineStr"/>
      <c r="I317" s="11" t="inlineStr">
        <is>
          <t>conciliado</t>
        </is>
      </c>
    </row>
    <row r="318">
      <c r="A318" s="11" t="n">
        <v>892</v>
      </c>
      <c r="B318" s="12" t="n">
        <v>46104</v>
      </c>
      <c r="C318" s="11" t="inlineStr">
        <is>
          <t>jeimy riascos silva</t>
        </is>
      </c>
      <c r="D318" s="13" t="n">
        <v>4100</v>
      </c>
      <c r="E318" s="11">
        <f>IF(G318="conciliado","conciliado",I318)</f>
        <v/>
      </c>
      <c r="F318" s="11" t="inlineStr">
        <is>
          <t>381 | 2026-03-23 | 4,100 | jeimy marcela riascos</t>
        </is>
      </c>
      <c r="G318" s="11">
        <f>IF(I318="conciliado","conciliado","por revisar")</f>
        <v/>
      </c>
      <c r="H318" s="11" t="inlineStr"/>
      <c r="I318" s="11" t="inlineStr">
        <is>
          <t>conciliado</t>
        </is>
      </c>
    </row>
    <row r="319">
      <c r="A319" s="11" t="n">
        <v>909</v>
      </c>
      <c r="B319" s="12" t="n">
        <v>46104</v>
      </c>
      <c r="C319" s="11" t="inlineStr">
        <is>
          <t>buesaquillo sanchez</t>
        </is>
      </c>
      <c r="D319" s="13" t="n">
        <v>37500</v>
      </c>
      <c r="E319" s="11">
        <f>IF(G319="conciliado","conciliado",I319)</f>
        <v/>
      </c>
      <c r="F319" s="11" t="inlineStr">
        <is>
          <t>382 | 2026-03-23 | 37,500 | alexander jhon sanchez</t>
        </is>
      </c>
      <c r="G319" s="11">
        <f>IF(I319="conciliado","conciliado","por revisar")</f>
        <v/>
      </c>
      <c r="H319" s="11" t="inlineStr"/>
      <c r="I319" s="11" t="inlineStr">
        <is>
          <t>conciliado</t>
        </is>
      </c>
    </row>
    <row r="320">
      <c r="A320" s="11" t="n">
        <v>889</v>
      </c>
      <c r="B320" s="12" t="n">
        <v>46104</v>
      </c>
      <c r="C320" s="11" t="inlineStr">
        <is>
          <t>agudelo ciro d faver</t>
        </is>
      </c>
      <c r="D320" s="13" t="n">
        <v>50000</v>
      </c>
      <c r="E320" s="11">
        <f>IF(G320="conciliado","conciliado",I320)</f>
        <v/>
      </c>
      <c r="F320" s="11" t="inlineStr">
        <is>
          <t>383 | 2026-03-23 | 50,000 | agudelo de faver jesus</t>
        </is>
      </c>
      <c r="G320" s="11">
        <f>IF(I320="conciliado","conciliado","por revisar")</f>
        <v/>
      </c>
      <c r="H320" s="11" t="inlineStr"/>
      <c r="I320" s="11" t="inlineStr">
        <is>
          <t>conciliado</t>
        </is>
      </c>
    </row>
    <row r="321">
      <c r="A321" s="11" t="n">
        <v>907</v>
      </c>
      <c r="B321" s="12" t="n">
        <v>46104</v>
      </c>
      <c r="C321" s="11" t="inlineStr">
        <is>
          <t>calderon l santacruz</t>
        </is>
      </c>
      <c r="D321" s="13" t="n">
        <v>32900</v>
      </c>
      <c r="E321" s="11">
        <f>IF(G321="conciliado","conciliado",I321)</f>
        <v/>
      </c>
      <c r="F321" s="11" t="inlineStr">
        <is>
          <t>384 | 2026-03-23 | 32,900 | lyda maryeli santacruz</t>
        </is>
      </c>
      <c r="G321" s="11">
        <f>IF(I321="conciliado","conciliado","por revisar")</f>
        <v/>
      </c>
      <c r="H321" s="11" t="inlineStr"/>
      <c r="I321" s="11" t="inlineStr">
        <is>
          <t>conciliado</t>
        </is>
      </c>
    </row>
    <row r="322">
      <c r="A322" s="11" t="n">
        <v>886</v>
      </c>
      <c r="B322" s="12" t="n">
        <v>46104</v>
      </c>
      <c r="C322" s="11" t="inlineStr">
        <is>
          <t>forero gonzalez jenn</t>
        </is>
      </c>
      <c r="D322" s="13" t="n">
        <v>6800</v>
      </c>
      <c r="E322" s="11">
        <f>IF(G322="conciliado","conciliado",I322)</f>
        <v/>
      </c>
      <c r="F322" s="11" t="inlineStr">
        <is>
          <t>385 | 2026-03-23 | 6,800 | fernanda jenny</t>
        </is>
      </c>
      <c r="G322" s="11">
        <f>IF(I322="conciliado","conciliado","por revisar")</f>
        <v/>
      </c>
      <c r="H322" s="11" t="inlineStr"/>
      <c r="I322" s="11" t="inlineStr">
        <is>
          <t>conciliado</t>
        </is>
      </c>
    </row>
    <row r="323">
      <c r="A323" s="11" t="n">
        <v>893</v>
      </c>
      <c r="B323" s="12" t="n">
        <v>46104</v>
      </c>
      <c r="C323" s="11" t="inlineStr">
        <is>
          <t>benavides d guapucal</t>
        </is>
      </c>
      <c r="D323" s="13" t="n">
        <v>18100</v>
      </c>
      <c r="E323" s="11">
        <f>IF(G323="conciliado","conciliado",I323)</f>
        <v/>
      </c>
      <c r="F323" s="11" t="inlineStr">
        <is>
          <t>386 | 2026-03-23 | 18,100 | dexy esperanza</t>
        </is>
      </c>
      <c r="G323" s="11">
        <f>IF(I323="conciliado","conciliado","por revisar")</f>
        <v/>
      </c>
      <c r="H323" s="11" t="inlineStr"/>
      <c r="I323" s="11" t="inlineStr">
        <is>
          <t>conciliado</t>
        </is>
      </c>
    </row>
    <row r="324">
      <c r="A324" s="11" t="n">
        <v>913</v>
      </c>
      <c r="B324" s="12" t="n">
        <v>46104</v>
      </c>
      <c r="C324" s="11" t="inlineStr">
        <is>
          <t>ordonez riascos yuri</t>
        </is>
      </c>
      <c r="D324" s="13" t="n">
        <v>12240</v>
      </c>
      <c r="E324" s="11">
        <f>IF(G324="conciliado","conciliado",I324)</f>
        <v/>
      </c>
      <c r="F324" s="11" t="inlineStr">
        <is>
          <t>387 | 2026-03-23 | 12,240 | magali riascos yuri</t>
        </is>
      </c>
      <c r="G324" s="11">
        <f>IF(I324="conciliado","conciliado","por revisar")</f>
        <v/>
      </c>
      <c r="H324" s="11" t="inlineStr"/>
      <c r="I324" s="11" t="inlineStr">
        <is>
          <t>conciliado</t>
        </is>
      </c>
    </row>
    <row r="325">
      <c r="A325" s="11" t="n">
        <v>902</v>
      </c>
      <c r="B325" s="12" t="n">
        <v>46104</v>
      </c>
      <c r="C325" s="11" t="inlineStr">
        <is>
          <t>chavez dias eva line</t>
        </is>
      </c>
      <c r="D325" s="13" t="n">
        <v>13500</v>
      </c>
      <c r="E325" s="11">
        <f>IF(G325="conciliado","conciliado",I325)</f>
        <v/>
      </c>
      <c r="F325" s="11" t="inlineStr">
        <is>
          <t>388 | 2026-03-23 | 13,500 | diaz eva linet</t>
        </is>
      </c>
      <c r="G325" s="11">
        <f>IF(I325="conciliado","conciliado","por revisar")</f>
        <v/>
      </c>
      <c r="H325" s="11" t="inlineStr"/>
      <c r="I325" s="11" t="inlineStr">
        <is>
          <t>conciliado</t>
        </is>
      </c>
    </row>
    <row r="326">
      <c r="A326" s="11" t="n">
        <v>881</v>
      </c>
      <c r="B326" s="12" t="n">
        <v>46104</v>
      </c>
      <c r="C326" s="11" t="inlineStr">
        <is>
          <t>doly gamboa vargas</t>
        </is>
      </c>
      <c r="D326" s="13" t="n">
        <v>10000</v>
      </c>
      <c r="E326" s="11">
        <f>IF(G326="conciliado","conciliado",I326)</f>
        <v/>
      </c>
      <c r="F326" s="11" t="inlineStr">
        <is>
          <t>389 | 2026-03-23 | 10,000 | doly gamboa vargas</t>
        </is>
      </c>
      <c r="G326" s="11">
        <f>IF(I326="conciliado","conciliado","por revisar")</f>
        <v/>
      </c>
      <c r="H326" s="11" t="inlineStr"/>
      <c r="I326" s="11" t="inlineStr">
        <is>
          <t>conciliado</t>
        </is>
      </c>
    </row>
    <row r="327">
      <c r="A327" s="11" t="n">
        <v>904</v>
      </c>
      <c r="B327" s="12" t="n">
        <v>46104</v>
      </c>
      <c r="C327" s="11" t="inlineStr">
        <is>
          <t>andre bolanos segura</t>
        </is>
      </c>
      <c r="D327" s="13" t="n">
        <v>50000</v>
      </c>
      <c r="E327" s="11">
        <f>IF(G327="conciliado","conciliado",I327)</f>
        <v/>
      </c>
      <c r="F327" s="11" t="inlineStr">
        <is>
          <t>390 | 2026-03-23 | 50,000 | andres bolanos segura</t>
        </is>
      </c>
      <c r="G327" s="11">
        <f>IF(I327="conciliado","conciliado","por revisar")</f>
        <v/>
      </c>
      <c r="H327" s="11" t="inlineStr"/>
      <c r="I327" s="11" t="inlineStr">
        <is>
          <t>conciliado</t>
        </is>
      </c>
    </row>
    <row r="328">
      <c r="A328" s="11" t="n">
        <v>891</v>
      </c>
      <c r="B328" s="12" t="n">
        <v>46104</v>
      </c>
      <c r="C328" s="11" t="inlineStr">
        <is>
          <t>alvarez lore vallejo</t>
        </is>
      </c>
      <c r="D328" s="13" t="n">
        <v>61400</v>
      </c>
      <c r="E328" s="11">
        <f>IF(G328="conciliado","conciliado",I328)</f>
        <v/>
      </c>
      <c r="F328" s="11" t="inlineStr">
        <is>
          <t>391 | 2026-03-23 | 61,400 | alvarez lorena vallejo</t>
        </is>
      </c>
      <c r="G328" s="11">
        <f>IF(I328="conciliado","conciliado","por revisar")</f>
        <v/>
      </c>
      <c r="H328" s="11" t="inlineStr"/>
      <c r="I328" s="11" t="inlineStr">
        <is>
          <t>conciliado</t>
        </is>
      </c>
    </row>
    <row r="329">
      <c r="A329" s="11" t="n">
        <v>903</v>
      </c>
      <c r="B329" s="12" t="n">
        <v>46104</v>
      </c>
      <c r="C329" s="11" t="inlineStr">
        <is>
          <t>castillo corrales si</t>
        </is>
      </c>
      <c r="D329" s="13" t="n">
        <v>21200</v>
      </c>
      <c r="E329" s="11">
        <f>IF(G329="conciliado","conciliado",I329)</f>
        <v/>
      </c>
      <c r="F329" s="11" t="inlineStr">
        <is>
          <t>392 | 2026-03-23 | 21,200 | castillo sirlen</t>
        </is>
      </c>
      <c r="G329" s="11">
        <f>IF(I329="conciliado","conciliado","por revisar")</f>
        <v/>
      </c>
      <c r="H329" s="11" t="inlineStr"/>
      <c r="I329" s="11" t="inlineStr">
        <is>
          <t>conciliado</t>
        </is>
      </c>
    </row>
    <row r="330">
      <c r="A330" s="11" t="n">
        <v>912</v>
      </c>
      <c r="B330" s="12" t="n">
        <v>46104</v>
      </c>
      <c r="C330" s="11" t="inlineStr">
        <is>
          <t>dinasco jhon murcia</t>
        </is>
      </c>
      <c r="D330" s="13" t="n">
        <v>6500</v>
      </c>
      <c r="E330" s="11">
        <f>IF(G330="conciliado","conciliado",I330)</f>
        <v/>
      </c>
      <c r="F330" s="11" t="inlineStr">
        <is>
          <t>393 | 2026-03-23 | 6,500 | anderson jhon murcia</t>
        </is>
      </c>
      <c r="G330" s="11">
        <f>IF(I330="conciliado","conciliado","por revisar")</f>
        <v/>
      </c>
      <c r="H330" s="11" t="inlineStr"/>
      <c r="I330" s="11" t="inlineStr">
        <is>
          <t>conciliado</t>
        </is>
      </c>
    </row>
    <row r="331">
      <c r="A331" s="11" t="n">
        <v>887</v>
      </c>
      <c r="B331" s="12" t="n">
        <v>46104</v>
      </c>
      <c r="C331" s="11" t="inlineStr">
        <is>
          <t>acosta idaly narvaez</t>
        </is>
      </c>
      <c r="D331" s="13" t="n">
        <v>18900</v>
      </c>
      <c r="E331" s="11">
        <f>IF(G331="conciliado","conciliado",I331)</f>
        <v/>
      </c>
      <c r="F331" s="11" t="inlineStr">
        <is>
          <t>394 | 2026-03-23 | 18,900 | esperanza idaly narvaez</t>
        </is>
      </c>
      <c r="G331" s="11">
        <f>IF(I331="conciliado","conciliado","por revisar")</f>
        <v/>
      </c>
      <c r="H331" s="11" t="inlineStr"/>
      <c r="I331" s="11" t="inlineStr">
        <is>
          <t>conciliado</t>
        </is>
      </c>
    </row>
    <row r="332">
      <c r="A332" s="11" t="n">
        <v>916</v>
      </c>
      <c r="B332" s="12" t="n">
        <v>46104</v>
      </c>
      <c r="C332" s="11" t="inlineStr">
        <is>
          <t>espana leid preciado</t>
        </is>
      </c>
      <c r="D332" s="13" t="n">
        <v>15600</v>
      </c>
      <c r="E332" s="11">
        <f>IF(G332="conciliado","conciliado",I332)</f>
        <v/>
      </c>
      <c r="F332" s="11" t="inlineStr">
        <is>
          <t>395 | 2026-03-23 | 15,600 | leydi natalia preciado</t>
        </is>
      </c>
      <c r="G332" s="11">
        <f>IF(I332="conciliado","conciliado","por revisar")</f>
        <v/>
      </c>
      <c r="H332" s="11" t="inlineStr"/>
      <c r="I332" s="11" t="inlineStr">
        <is>
          <t>conciliado</t>
        </is>
      </c>
    </row>
    <row r="333">
      <c r="A333" s="11" t="n">
        <v>880</v>
      </c>
      <c r="B333" s="12" t="n">
        <v>46104</v>
      </c>
      <c r="C333" s="11" t="inlineStr">
        <is>
          <t>de narin surtiventas</t>
        </is>
      </c>
      <c r="D333" s="13" t="n">
        <v>-1398744</v>
      </c>
      <c r="E333" s="11">
        <f>IF(G333="conciliado","conciliado",I333)</f>
        <v/>
      </c>
      <c r="F333" s="11" t="inlineStr">
        <is>
          <t>398 | 2026-03-23 | -1,398,744 | de narino surtiventas</t>
        </is>
      </c>
      <c r="G333" s="11">
        <f>IF(I333="conciliado","conciliado","por revisar")</f>
        <v/>
      </c>
      <c r="H333" s="11" t="inlineStr"/>
      <c r="I333" s="11" t="inlineStr">
        <is>
          <t>conciliado</t>
        </is>
      </c>
    </row>
    <row r="334">
      <c r="A334" s="11" t="n">
        <v>885</v>
      </c>
      <c r="B334" s="12" t="n">
        <v>46104</v>
      </c>
      <c r="C334" s="11" t="inlineStr">
        <is>
          <t>fonoclinic</t>
        </is>
      </c>
      <c r="D334" s="13" t="n">
        <v>27300</v>
      </c>
      <c r="E334" s="11">
        <f>IF(G334="conciliado","conciliado",I334)</f>
        <v/>
      </c>
      <c r="F334" s="11" t="inlineStr">
        <is>
          <t>399 | 2026-03-23 | 27,300 | bancolombia desde qr recarga</t>
        </is>
      </c>
      <c r="G334" s="11">
        <f>IF(I334="conciliado","conciliado","por revisar")</f>
        <v/>
      </c>
      <c r="H334" s="11" t="inlineStr"/>
      <c r="I334" s="11" t="inlineStr">
        <is>
          <t>conciliado</t>
        </is>
      </c>
    </row>
    <row r="335">
      <c r="A335" s="11" t="n">
        <v>879</v>
      </c>
      <c r="B335" s="12" t="n">
        <v>46104</v>
      </c>
      <c r="C335" s="11" t="inlineStr">
        <is>
          <t>antoni hermes patino</t>
        </is>
      </c>
      <c r="D335" s="13" t="n">
        <v>-1706576</v>
      </c>
      <c r="E335" s="11">
        <f>IF(G335="conciliado","conciliado",I335)</f>
        <v/>
      </c>
      <c r="F335" s="11" t="inlineStr">
        <is>
          <t>400 | 2026-03-23 | -1,706,576 | ant her pat</t>
        </is>
      </c>
      <c r="G335" s="11">
        <f>IF(I335="conciliado","conciliado","por revisar")</f>
        <v/>
      </c>
      <c r="H335" s="11" t="inlineStr"/>
      <c r="I335" s="11" t="inlineStr">
        <is>
          <t>conciliado</t>
        </is>
      </c>
    </row>
    <row r="336">
      <c r="A336" s="11" t="n">
        <v>878</v>
      </c>
      <c r="B336" s="12" t="n">
        <v>46104</v>
      </c>
      <c r="C336" s="11" t="inlineStr">
        <is>
          <t>dora ines paguatian</t>
        </is>
      </c>
      <c r="D336" s="13" t="n">
        <v>-632289</v>
      </c>
      <c r="E336" s="11">
        <f>IF(G336="conciliado","conciliado",I336)</f>
        <v/>
      </c>
      <c r="F336" s="11" t="inlineStr">
        <is>
          <t>403 | 2026-03-23 | -632,289 | dora ines paguatian</t>
        </is>
      </c>
      <c r="G336" s="11">
        <f>IF(I336="conciliado","conciliado","por revisar")</f>
        <v/>
      </c>
      <c r="H336" s="11" t="inlineStr"/>
      <c r="I336" s="11" t="inlineStr">
        <is>
          <t>conciliado</t>
        </is>
      </c>
    </row>
    <row r="337">
      <c r="A337" s="11" t="n">
        <v>898</v>
      </c>
      <c r="B337" s="12" t="n">
        <v>46104</v>
      </c>
      <c r="C337" s="11" t="inlineStr">
        <is>
          <t>arteaga giraldo hele</t>
        </is>
      </c>
      <c r="D337" s="13" t="n">
        <v>22400</v>
      </c>
      <c r="E337" s="11">
        <f>IF(G337="conciliado","conciliado",I337)</f>
        <v/>
      </c>
      <c r="F337" s="11" t="inlineStr">
        <is>
          <t>404 | 2026-03-23 | 22,400 | bancolombia desde qr recarga</t>
        </is>
      </c>
      <c r="G337" s="11">
        <f>IF(I337="conciliado","conciliado","por revisar")</f>
        <v/>
      </c>
      <c r="H337" s="11" t="inlineStr"/>
      <c r="I337" s="11" t="inlineStr">
        <is>
          <t>conciliado</t>
        </is>
      </c>
    </row>
    <row r="338">
      <c r="A338" s="11" t="n">
        <v>895</v>
      </c>
      <c r="B338" s="12" t="n">
        <v>46104</v>
      </c>
      <c r="C338" s="11" t="inlineStr">
        <is>
          <t>jos linda palma romo</t>
        </is>
      </c>
      <c r="D338" s="13" t="n">
        <v>1400</v>
      </c>
      <c r="E338" s="11">
        <f>IF(G338="conciliado","conciliado",I338)</f>
        <v/>
      </c>
      <c r="F338" s="11" t="inlineStr">
        <is>
          <t>405 | 2026-03-23 | 1,400 | joshira linda romo</t>
        </is>
      </c>
      <c r="G338" s="11">
        <f>IF(I338="conciliado","conciliado","por revisar")</f>
        <v/>
      </c>
      <c r="H338" s="11" t="inlineStr"/>
      <c r="I338" s="11" t="inlineStr">
        <is>
          <t>conciliado</t>
        </is>
      </c>
    </row>
    <row r="339">
      <c r="A339" s="11" t="n">
        <v>894</v>
      </c>
      <c r="B339" s="12" t="n">
        <v>46104</v>
      </c>
      <c r="C339" s="11" t="inlineStr">
        <is>
          <t>mari mayorga sabogal</t>
        </is>
      </c>
      <c r="D339" s="13" t="n">
        <v>10800</v>
      </c>
      <c r="E339" s="11">
        <f>IF(G339="conciliado","conciliado",I339)</f>
        <v/>
      </c>
      <c r="F339" s="11" t="inlineStr">
        <is>
          <t>406 | 2026-03-23 | 10,800 | fernanda maria mayorga</t>
        </is>
      </c>
      <c r="G339" s="11">
        <f>IF(I339="conciliado","conciliado","por revisar")</f>
        <v/>
      </c>
      <c r="H339" s="11" t="inlineStr"/>
      <c r="I339" s="11" t="inlineStr">
        <is>
          <t>conciliado</t>
        </is>
      </c>
    </row>
    <row r="340">
      <c r="A340" s="11" t="n">
        <v>915</v>
      </c>
      <c r="B340" s="12" t="n">
        <v>46104</v>
      </c>
      <c r="C340" s="11" t="inlineStr">
        <is>
          <t>garzon rocha wilson</t>
        </is>
      </c>
      <c r="D340" s="13" t="n">
        <v>8000</v>
      </c>
      <c r="E340" s="11">
        <f>IF(G340="conciliado","conciliado",I340)</f>
        <v/>
      </c>
      <c r="F340" s="11" t="inlineStr">
        <is>
          <t>407 | 2026-03-23 | 8,000 | alexander wilson</t>
        </is>
      </c>
      <c r="G340" s="11">
        <f>IF(I340="conciliado","conciliado","por revisar")</f>
        <v/>
      </c>
      <c r="H340" s="11" t="inlineStr"/>
      <c r="I340" s="11" t="inlineStr">
        <is>
          <t>conciliado</t>
        </is>
      </c>
    </row>
    <row r="341">
      <c r="A341" s="11" t="n">
        <v>910</v>
      </c>
      <c r="B341" s="12" t="n">
        <v>46104</v>
      </c>
      <c r="C341" s="11" t="inlineStr">
        <is>
          <t>alvarez chavez crist</t>
        </is>
      </c>
      <c r="D341" s="13" t="n">
        <v>18200</v>
      </c>
      <c r="E341" s="11">
        <f>IF(G341="conciliado","conciliado",I341)</f>
        <v/>
      </c>
      <c r="F341" s="11" t="inlineStr">
        <is>
          <t>408 | 2026-03-23 | 18,200 | alvarez cristian david</t>
        </is>
      </c>
      <c r="G341" s="11">
        <f>IF(I341="conciliado","conciliado","por revisar")</f>
        <v/>
      </c>
      <c r="H341" s="11" t="inlineStr"/>
      <c r="I341" s="11" t="inlineStr">
        <is>
          <t>conciliado</t>
        </is>
      </c>
    </row>
    <row r="342">
      <c r="A342" s="11" t="n">
        <v>888</v>
      </c>
      <c r="B342" s="12" t="n">
        <v>46104</v>
      </c>
      <c r="C342" s="11" t="inlineStr">
        <is>
          <t>jaime manrique paez</t>
        </is>
      </c>
      <c r="D342" s="13" t="n">
        <v>15000</v>
      </c>
      <c r="E342" s="11">
        <f>IF(G342="conciliado","conciliado",I342)</f>
        <v/>
      </c>
      <c r="F342" s="11" t="inlineStr">
        <is>
          <t>409 | 2026-03-23 | 15,000 | jaime manrique paez</t>
        </is>
      </c>
      <c r="G342" s="11">
        <f>IF(I342="conciliado","conciliado","por revisar")</f>
        <v/>
      </c>
      <c r="H342" s="11" t="inlineStr"/>
      <c r="I342" s="11" t="inlineStr">
        <is>
          <t>conciliado</t>
        </is>
      </c>
    </row>
    <row r="343">
      <c r="A343" s="11" t="n">
        <v>857</v>
      </c>
      <c r="B343" s="12" t="n">
        <v>46103</v>
      </c>
      <c r="C343" s="11" t="inlineStr">
        <is>
          <t>asmasa coronel yonar</t>
        </is>
      </c>
      <c r="D343" s="13" t="n">
        <v>11000</v>
      </c>
      <c r="E343" s="11">
        <f>IF(G343="conciliado","conciliado",I343)</f>
        <v/>
      </c>
      <c r="F343" s="11" t="inlineStr">
        <is>
          <t>411 | 2026-03-22 | 11,000 | armando coronel yonar</t>
        </is>
      </c>
      <c r="G343" s="11">
        <f>IF(I343="conciliado","conciliado","por revisar")</f>
        <v/>
      </c>
      <c r="H343" s="11" t="inlineStr"/>
      <c r="I343" s="11" t="inlineStr">
        <is>
          <t>conciliado</t>
        </is>
      </c>
    </row>
    <row r="344">
      <c r="A344" s="11" t="n">
        <v>864</v>
      </c>
      <c r="B344" s="12" t="n">
        <v>46103</v>
      </c>
      <c r="C344" s="11" t="inlineStr">
        <is>
          <t>matabanchoy meneses</t>
        </is>
      </c>
      <c r="D344" s="13" t="n">
        <v>15400</v>
      </c>
      <c r="E344" s="11">
        <f>IF(G344="conciliado","conciliado",I344)</f>
        <v/>
      </c>
      <c r="F344" s="11" t="inlineStr">
        <is>
          <t>412 | 2026-03-22 | 15,400 | marleny matabanchoy</t>
        </is>
      </c>
      <c r="G344" s="11">
        <f>IF(I344="conciliado","conciliado","por revisar")</f>
        <v/>
      </c>
      <c r="H344" s="11" t="inlineStr"/>
      <c r="I344" s="11" t="inlineStr">
        <is>
          <t>conciliado</t>
        </is>
      </c>
    </row>
    <row r="345">
      <c r="A345" s="11" t="n">
        <v>851</v>
      </c>
      <c r="B345" s="12" t="n">
        <v>46103</v>
      </c>
      <c r="C345" s="11" t="inlineStr">
        <is>
          <t>cuchala jes patascoy</t>
        </is>
      </c>
      <c r="D345" s="13" t="n">
        <v>49300</v>
      </c>
      <c r="E345" s="11">
        <f>IF(G345="conciliado","conciliado",I345)</f>
        <v/>
      </c>
      <c r="F345" s="11" t="inlineStr">
        <is>
          <t>416 | 2026-03-22 | 49,300 | b bre jesus</t>
        </is>
      </c>
      <c r="G345" s="11">
        <f>IF(I345="conciliado","conciliado","por revisar")</f>
        <v/>
      </c>
      <c r="H345" s="11" t="inlineStr"/>
      <c r="I345" s="11" t="inlineStr">
        <is>
          <t>conciliado</t>
        </is>
      </c>
    </row>
    <row r="346">
      <c r="A346" s="11" t="n">
        <v>852</v>
      </c>
      <c r="B346" s="12" t="n">
        <v>46103</v>
      </c>
      <c r="C346" s="11" t="inlineStr">
        <is>
          <t>andrade gordillo jos</t>
        </is>
      </c>
      <c r="D346" s="13" t="n">
        <v>5300</v>
      </c>
      <c r="E346" s="11">
        <f>IF(G346="conciliado","conciliado",I346)</f>
        <v/>
      </c>
      <c r="F346" s="11" t="inlineStr">
        <is>
          <t>418 | 2026-03-22 | 5,300 | andrade jose nicolas</t>
        </is>
      </c>
      <c r="G346" s="11">
        <f>IF(I346="conciliado","conciliado","por revisar")</f>
        <v/>
      </c>
      <c r="H346" s="11" t="inlineStr"/>
      <c r="I346" s="11" t="inlineStr">
        <is>
          <t>conciliado</t>
        </is>
      </c>
    </row>
    <row r="347">
      <c r="A347" s="11" t="n">
        <v>860</v>
      </c>
      <c r="B347" s="12" t="n">
        <v>46103</v>
      </c>
      <c r="C347" s="11" t="inlineStr">
        <is>
          <t>guerrero lil solarte</t>
        </is>
      </c>
      <c r="D347" s="13" t="n">
        <v>6000</v>
      </c>
      <c r="E347" s="11">
        <f>IF(G347="conciliado","conciliado",I347)</f>
        <v/>
      </c>
      <c r="F347" s="11" t="inlineStr">
        <is>
          <t>419 | 2026-03-22 | 6,000 | amilec guerrero lili</t>
        </is>
      </c>
      <c r="G347" s="11">
        <f>IF(I347="conciliado","conciliado","por revisar")</f>
        <v/>
      </c>
      <c r="H347" s="11" t="inlineStr"/>
      <c r="I347" s="11" t="inlineStr">
        <is>
          <t>conciliado</t>
        </is>
      </c>
    </row>
    <row r="348">
      <c r="A348" s="11" t="n">
        <v>856</v>
      </c>
      <c r="B348" s="12" t="n">
        <v>46103</v>
      </c>
      <c r="C348" s="11" t="inlineStr">
        <is>
          <t>alvares carl morales</t>
        </is>
      </c>
      <c r="D348" s="13" t="n">
        <v>15000</v>
      </c>
      <c r="E348" s="11">
        <f>IF(G348="conciliado","conciliado",I348)</f>
        <v/>
      </c>
      <c r="F348" s="11" t="inlineStr">
        <is>
          <t>420 | 2026-03-22 | 15,000 | carlos fernndo</t>
        </is>
      </c>
      <c r="G348" s="11">
        <f>IF(I348="conciliado","conciliado","por revisar")</f>
        <v/>
      </c>
      <c r="H348" s="11" t="inlineStr"/>
      <c r="I348" s="11" t="inlineStr">
        <is>
          <t>conciliado</t>
        </is>
      </c>
    </row>
    <row r="349">
      <c r="A349" s="11" t="n">
        <v>834</v>
      </c>
      <c r="B349" s="12" t="n">
        <v>46103</v>
      </c>
      <c r="C349" s="11" t="inlineStr">
        <is>
          <t>caycedo cortez helid</t>
        </is>
      </c>
      <c r="D349" s="13" t="n">
        <v>52200</v>
      </c>
      <c r="E349" s="11">
        <f>IF(G349="conciliado","conciliado",I349)</f>
        <v/>
      </c>
      <c r="F349" s="11" t="inlineStr">
        <is>
          <t>421 | 2026-03-22 | 52,200 | cortez franca helida</t>
        </is>
      </c>
      <c r="G349" s="11">
        <f>IF(I349="conciliado","conciliado","por revisar")</f>
        <v/>
      </c>
      <c r="H349" s="11" t="inlineStr"/>
      <c r="I349" s="11" t="inlineStr">
        <is>
          <t>conciliado</t>
        </is>
      </c>
    </row>
    <row r="350">
      <c r="A350" s="11" t="n">
        <v>876</v>
      </c>
      <c r="B350" s="12" t="n">
        <v>46103</v>
      </c>
      <c r="C350" s="11" t="inlineStr">
        <is>
          <t>alejandra lopez</t>
        </is>
      </c>
      <c r="D350" s="13" t="n">
        <v>75000</v>
      </c>
      <c r="E350" s="11">
        <f>IF(G350="conciliado","conciliado",I350)</f>
        <v/>
      </c>
      <c r="F350" s="11" t="inlineStr">
        <is>
          <t>423 | 2026-03-22 | 75,000 | alejandra jenny lopez</t>
        </is>
      </c>
      <c r="G350" s="11">
        <f>IF(I350="conciliado","conciliado","por revisar")</f>
        <v/>
      </c>
      <c r="H350" s="11" t="inlineStr"/>
      <c r="I350" s="11" t="inlineStr">
        <is>
          <t>conciliado</t>
        </is>
      </c>
    </row>
    <row r="351">
      <c r="A351" s="11" t="n">
        <v>850</v>
      </c>
      <c r="B351" s="12" t="n">
        <v>46103</v>
      </c>
      <c r="C351" s="11" t="inlineStr">
        <is>
          <t>a ceballos cuastumal</t>
        </is>
      </c>
      <c r="D351" s="13" t="n">
        <v>8200</v>
      </c>
      <c r="E351" s="11">
        <f>IF(G351="conciliado","conciliado",I351)</f>
        <v/>
      </c>
      <c r="F351" s="11" t="inlineStr">
        <is>
          <t>424 | 2026-03-22 | 8,200 | alexis sebastian</t>
        </is>
      </c>
      <c r="G351" s="11">
        <f>IF(I351="conciliado","conciliado","por revisar")</f>
        <v/>
      </c>
      <c r="H351" s="11" t="inlineStr"/>
      <c r="I351" s="11" t="inlineStr">
        <is>
          <t>conciliado</t>
        </is>
      </c>
    </row>
    <row r="352">
      <c r="A352" s="11" t="n">
        <v>875</v>
      </c>
      <c r="B352" s="12" t="n">
        <v>46103</v>
      </c>
      <c r="C352" s="11" t="inlineStr">
        <is>
          <t>arboleda zambrano</t>
        </is>
      </c>
      <c r="D352" s="13" t="n">
        <v>6400</v>
      </c>
      <c r="E352" s="11">
        <f>IF(G352="conciliado","conciliado",I352)</f>
        <v/>
      </c>
      <c r="F352" s="11" t="inlineStr">
        <is>
          <t>425 | 2026-03-22 | 6,400 | b bre jhon</t>
        </is>
      </c>
      <c r="G352" s="11">
        <f>IF(I352="conciliado","conciliado","por revisar")</f>
        <v/>
      </c>
      <c r="H352" s="11" t="inlineStr"/>
      <c r="I352" s="11" t="inlineStr">
        <is>
          <t>conciliado</t>
        </is>
      </c>
    </row>
    <row r="353">
      <c r="A353" s="11" t="n">
        <v>867</v>
      </c>
      <c r="B353" s="12" t="n">
        <v>46103</v>
      </c>
      <c r="C353" s="11" t="inlineStr">
        <is>
          <t>apraez deyani florez</t>
        </is>
      </c>
      <c r="D353" s="13" t="n">
        <v>216000</v>
      </c>
      <c r="E353" s="11">
        <f>IF(G353="conciliado","conciliado",I353)</f>
        <v/>
      </c>
      <c r="F353" s="11" t="inlineStr">
        <is>
          <t>426 | 2026-03-22 | 216,000 | deyanira florez</t>
        </is>
      </c>
      <c r="G353" s="11">
        <f>IF(I353="conciliado","conciliado","por revisar")</f>
        <v/>
      </c>
      <c r="H353" s="11" t="inlineStr"/>
      <c r="I353" s="11" t="inlineStr">
        <is>
          <t>conciliado</t>
        </is>
      </c>
    </row>
    <row r="354">
      <c r="A354" s="11" t="n">
        <v>868</v>
      </c>
      <c r="B354" s="12" t="n">
        <v>46103</v>
      </c>
      <c r="C354" s="11" t="inlineStr">
        <is>
          <t>martinez montenegro</t>
        </is>
      </c>
      <c r="D354" s="13" t="n">
        <v>5900</v>
      </c>
      <c r="E354" s="11">
        <f>IF(G354="conciliado","conciliado",I354)</f>
        <v/>
      </c>
      <c r="F354" s="11" t="inlineStr">
        <is>
          <t>427 | 2026-03-22 | 5,900 | angela maria</t>
        </is>
      </c>
      <c r="G354" s="11">
        <f>IF(I354="conciliado","conciliado","por revisar")</f>
        <v/>
      </c>
      <c r="H354" s="11" t="inlineStr"/>
      <c r="I354" s="11" t="inlineStr">
        <is>
          <t>conciliado</t>
        </is>
      </c>
    </row>
    <row r="355">
      <c r="A355" s="11" t="n">
        <v>874</v>
      </c>
      <c r="B355" s="12" t="n">
        <v>46103</v>
      </c>
      <c r="C355" s="11" t="inlineStr">
        <is>
          <t>herm meneses salazar</t>
        </is>
      </c>
      <c r="D355" s="13" t="n">
        <v>37000</v>
      </c>
      <c r="E355" s="11">
        <f>IF(G355="conciliado","conciliado",I355)</f>
        <v/>
      </c>
      <c r="F355" s="11" t="inlineStr">
        <is>
          <t>428 | 2026-03-22 | 37,000 | hermes meneses salazar</t>
        </is>
      </c>
      <c r="G355" s="11">
        <f>IF(I355="conciliado","conciliado","por revisar")</f>
        <v/>
      </c>
      <c r="H355" s="11" t="inlineStr"/>
      <c r="I355" s="11" t="inlineStr">
        <is>
          <t>conciliado</t>
        </is>
      </c>
    </row>
    <row r="356">
      <c r="A356" s="11" t="n">
        <v>853</v>
      </c>
      <c r="B356" s="12" t="n">
        <v>46103</v>
      </c>
      <c r="C356" s="11" t="inlineStr">
        <is>
          <t>guamanga ruiz yeni</t>
        </is>
      </c>
      <c r="D356" s="13" t="n">
        <v>15300</v>
      </c>
      <c r="E356" s="11">
        <f>IF(G356="conciliado","conciliado",I356)</f>
        <v/>
      </c>
      <c r="F356" s="11" t="inlineStr">
        <is>
          <t>429 | 2026-03-22 | 15,300 | fernanda yeny</t>
        </is>
      </c>
      <c r="G356" s="11">
        <f>IF(I356="conciliado","conciliado","por revisar")</f>
        <v/>
      </c>
      <c r="H356" s="11" t="inlineStr"/>
      <c r="I356" s="11" t="inlineStr">
        <is>
          <t>conciliado</t>
        </is>
      </c>
    </row>
    <row r="357">
      <c r="A357" s="11" t="n">
        <v>866</v>
      </c>
      <c r="B357" s="12" t="n">
        <v>46103</v>
      </c>
      <c r="C357" s="11" t="inlineStr">
        <is>
          <t>alexand cruz remisio</t>
        </is>
      </c>
      <c r="D357" s="13" t="n">
        <v>15700</v>
      </c>
      <c r="E357" s="11">
        <f>IF(G357="conciliado","conciliado",I357)</f>
        <v/>
      </c>
      <c r="F357" s="11" t="inlineStr">
        <is>
          <t>430 | 2026-03-22 | 15,700 | bancolombia desde qr recarga</t>
        </is>
      </c>
      <c r="G357" s="11">
        <f>IF(I357="conciliado","conciliado","por revisar")</f>
        <v/>
      </c>
      <c r="H357" s="11" t="inlineStr"/>
      <c r="I357" s="11" t="inlineStr">
        <is>
          <t>conciliado</t>
        </is>
      </c>
    </row>
    <row r="358">
      <c r="A358" s="11" t="n">
        <v>873</v>
      </c>
      <c r="B358" s="12" t="n">
        <v>46103</v>
      </c>
      <c r="C358" s="11" t="inlineStr">
        <is>
          <t>riasco yimi</t>
        </is>
      </c>
      <c r="D358" s="13" t="n">
        <v>97000</v>
      </c>
      <c r="E358" s="11">
        <f>IF(G358="conciliado","conciliado",I358)</f>
        <v/>
      </c>
      <c r="F358" s="11" t="inlineStr">
        <is>
          <t>431 | 2026-03-22 | 97,000 | jimmy riascos roberth</t>
        </is>
      </c>
      <c r="G358" s="11">
        <f>IF(I358="conciliado","conciliado","por revisar")</f>
        <v/>
      </c>
      <c r="H358" s="11" t="inlineStr"/>
      <c r="I358" s="11" t="inlineStr">
        <is>
          <t>conciliado</t>
        </is>
      </c>
    </row>
    <row r="359">
      <c r="A359" s="11" t="n">
        <v>845</v>
      </c>
      <c r="B359" s="12" t="n">
        <v>46103</v>
      </c>
      <c r="C359" s="11" t="inlineStr">
        <is>
          <t>alegria magd narvaez</t>
        </is>
      </c>
      <c r="D359" s="13" t="n">
        <v>13500</v>
      </c>
      <c r="E359" s="11">
        <f>IF(G359="conciliado","conciliado",I359)</f>
        <v/>
      </c>
      <c r="F359" s="11" t="inlineStr">
        <is>
          <t>432 | 2026-03-22 | 13,500 | alegria liliana magda</t>
        </is>
      </c>
      <c r="G359" s="11">
        <f>IF(I359="conciliado","conciliado","por revisar")</f>
        <v/>
      </c>
      <c r="H359" s="11" t="inlineStr"/>
      <c r="I359" s="11" t="inlineStr">
        <is>
          <t>conciliado</t>
        </is>
      </c>
    </row>
    <row r="360">
      <c r="A360" s="11" t="n">
        <v>865</v>
      </c>
      <c r="B360" s="12" t="n">
        <v>46103</v>
      </c>
      <c r="C360" s="11" t="inlineStr">
        <is>
          <t>alvarez ortis v</t>
        </is>
      </c>
      <c r="D360" s="13" t="n">
        <v>38500</v>
      </c>
      <c r="E360" s="11">
        <f>IF(G360="conciliado","conciliado",I360)</f>
        <v/>
      </c>
      <c r="F360" s="11" t="inlineStr">
        <is>
          <t>433 | 2026-03-22 | 38,500 | alvarez michelle valery</t>
        </is>
      </c>
      <c r="G360" s="11">
        <f>IF(I360="conciliado","conciliado","por revisar")</f>
        <v/>
      </c>
      <c r="H360" s="11" t="inlineStr"/>
      <c r="I360" s="11" t="inlineStr">
        <is>
          <t>conciliado</t>
        </is>
      </c>
    </row>
    <row r="361">
      <c r="A361" s="11" t="n">
        <v>859</v>
      </c>
      <c r="B361" s="12" t="n">
        <v>46103</v>
      </c>
      <c r="C361" s="11" t="inlineStr">
        <is>
          <t>derly r serna sierra</t>
        </is>
      </c>
      <c r="D361" s="13" t="n">
        <v>8600</v>
      </c>
      <c r="E361" s="11">
        <f>IF(G361="conciliado","conciliado",I361)</f>
        <v/>
      </c>
      <c r="F361" s="11" t="inlineStr">
        <is>
          <t>434 | 2026-03-22 | 8,600 | derly rocio serna</t>
        </is>
      </c>
      <c r="G361" s="11">
        <f>IF(I361="conciliado","conciliado","por revisar")</f>
        <v/>
      </c>
      <c r="H361" s="11" t="inlineStr"/>
      <c r="I361" s="11" t="inlineStr">
        <is>
          <t>conciliado</t>
        </is>
      </c>
    </row>
    <row r="362">
      <c r="A362" s="11" t="n">
        <v>837</v>
      </c>
      <c r="B362" s="12" t="n">
        <v>46103</v>
      </c>
      <c r="C362" s="11" t="inlineStr">
        <is>
          <t>casanas cazanas jame</t>
        </is>
      </c>
      <c r="D362" s="13" t="n">
        <v>29800</v>
      </c>
      <c r="E362" s="11">
        <f>IF(G362="conciliado","conciliado",I362)</f>
        <v/>
      </c>
      <c r="F362" s="11" t="inlineStr">
        <is>
          <t>435 | 2026-03-22 | 29,800 | adalberto james</t>
        </is>
      </c>
      <c r="G362" s="11">
        <f>IF(I362="conciliado","conciliado","por revisar")</f>
        <v/>
      </c>
      <c r="H362" s="11" t="inlineStr"/>
      <c r="I362" s="11" t="inlineStr">
        <is>
          <t>conciliado</t>
        </is>
      </c>
    </row>
    <row r="363">
      <c r="A363" s="11" t="n">
        <v>840</v>
      </c>
      <c r="B363" s="12" t="n">
        <v>46103</v>
      </c>
      <c r="C363" s="11" t="inlineStr">
        <is>
          <t>betancourt cano luz</t>
        </is>
      </c>
      <c r="D363" s="13" t="n">
        <v>42600</v>
      </c>
      <c r="E363" s="11">
        <f>IF(G363="conciliado","conciliado",I363)</f>
        <v/>
      </c>
      <c r="F363" s="11" t="inlineStr">
        <is>
          <t>436 | 2026-03-22 | 42,600 | cano elena luz</t>
        </is>
      </c>
      <c r="G363" s="11">
        <f>IF(I363="conciliado","conciliado","por revisar")</f>
        <v/>
      </c>
      <c r="H363" s="11" t="inlineStr"/>
      <c r="I363" s="11" t="inlineStr">
        <is>
          <t>conciliado</t>
        </is>
      </c>
    </row>
    <row r="364">
      <c r="A364" s="11" t="n">
        <v>847</v>
      </c>
      <c r="B364" s="12" t="n">
        <v>46103</v>
      </c>
      <c r="C364" s="11" t="inlineStr">
        <is>
          <t>arteaga giraldo hele</t>
        </is>
      </c>
      <c r="D364" s="13" t="n">
        <v>49650</v>
      </c>
      <c r="E364" s="11">
        <f>IF(G364="conciliado","conciliado",I364)</f>
        <v/>
      </c>
      <c r="F364" s="11" t="inlineStr">
        <is>
          <t>437 | 2026-03-22 | 49,650 | bancolombia desde qr recarga</t>
        </is>
      </c>
      <c r="G364" s="11">
        <f>IF(I364="conciliado","conciliado","por revisar")</f>
        <v/>
      </c>
      <c r="H364" s="11" t="inlineStr"/>
      <c r="I364" s="11" t="inlineStr">
        <is>
          <t>conciliado</t>
        </is>
      </c>
    </row>
    <row r="365">
      <c r="A365" s="11" t="n">
        <v>863</v>
      </c>
      <c r="B365" s="12" t="n">
        <v>46103</v>
      </c>
      <c r="C365" s="11" t="inlineStr">
        <is>
          <t>alvarez chavez crist</t>
        </is>
      </c>
      <c r="D365" s="13" t="n">
        <v>21500</v>
      </c>
      <c r="E365" s="11">
        <f>IF(G365="conciliado","conciliado",I365)</f>
        <v/>
      </c>
      <c r="F365" s="11" t="inlineStr">
        <is>
          <t>438 | 2026-03-22 | 21,500 | alvarez cristian david</t>
        </is>
      </c>
      <c r="G365" s="11">
        <f>IF(I365="conciliado","conciliado","por revisar")</f>
        <v/>
      </c>
      <c r="H365" s="11" t="inlineStr"/>
      <c r="I365" s="11" t="inlineStr">
        <is>
          <t>conciliado</t>
        </is>
      </c>
    </row>
    <row r="366">
      <c r="A366" s="11" t="n">
        <v>848</v>
      </c>
      <c r="B366" s="12" t="n">
        <v>46103</v>
      </c>
      <c r="C366" s="11" t="inlineStr">
        <is>
          <t>becerra maye sanchez</t>
        </is>
      </c>
      <c r="D366" s="13" t="n">
        <v>20900</v>
      </c>
      <c r="E366" s="11">
        <f>IF(G366="conciliado","conciliado",I366)</f>
        <v/>
      </c>
      <c r="F366" s="11" t="inlineStr">
        <is>
          <t>439 | 2026-03-22 | 20,900 | mayerli sanchez tatiana</t>
        </is>
      </c>
      <c r="G366" s="11">
        <f>IF(I366="conciliado","conciliado","por revisar")</f>
        <v/>
      </c>
      <c r="H366" s="11" t="inlineStr"/>
      <c r="I366" s="11" t="inlineStr">
        <is>
          <t>conciliado</t>
        </is>
      </c>
    </row>
    <row r="367">
      <c r="A367" s="11" t="n">
        <v>869</v>
      </c>
      <c r="B367" s="12" t="n">
        <v>46103</v>
      </c>
      <c r="C367" s="11" t="inlineStr">
        <is>
          <t>garzon rocha wilson</t>
        </is>
      </c>
      <c r="D367" s="13" t="n">
        <v>16700</v>
      </c>
      <c r="E367" s="11">
        <f>IF(G367="conciliado","conciliado",I367)</f>
        <v/>
      </c>
      <c r="F367" s="11" t="inlineStr">
        <is>
          <t>440 | 2026-03-22 | 16,700 | alexander wilson</t>
        </is>
      </c>
      <c r="G367" s="11">
        <f>IF(I367="conciliado","conciliado","por revisar")</f>
        <v/>
      </c>
      <c r="H367" s="11" t="inlineStr"/>
      <c r="I367" s="11" t="inlineStr">
        <is>
          <t>conciliado</t>
        </is>
      </c>
    </row>
    <row r="368">
      <c r="A368" s="11" t="n">
        <v>839</v>
      </c>
      <c r="B368" s="12" t="n">
        <v>46103</v>
      </c>
      <c r="C368" s="11" t="inlineStr">
        <is>
          <t>arboleda florez joan</t>
        </is>
      </c>
      <c r="D368" s="13" t="n">
        <v>5000</v>
      </c>
      <c r="E368" s="11">
        <f>IF(G368="conciliado","conciliado",I368)</f>
        <v/>
      </c>
      <c r="F368" s="11" t="inlineStr">
        <is>
          <t>441 | 2026-03-22 | 5,000 | arboleda david joan</t>
        </is>
      </c>
      <c r="G368" s="11">
        <f>IF(I368="conciliado","conciliado","por revisar")</f>
        <v/>
      </c>
      <c r="H368" s="11" t="inlineStr"/>
      <c r="I368" s="11" t="inlineStr">
        <is>
          <t>conciliado</t>
        </is>
      </c>
    </row>
    <row r="369">
      <c r="A369" s="11" t="n">
        <v>844</v>
      </c>
      <c r="B369" s="12" t="n">
        <v>46103</v>
      </c>
      <c r="C369" s="11" t="inlineStr">
        <is>
          <t>castro licet linares</t>
        </is>
      </c>
      <c r="D369" s="13" t="n">
        <v>22300</v>
      </c>
      <c r="E369" s="11">
        <f>IF(G369="conciliado","conciliado",I369)</f>
        <v/>
      </c>
      <c r="F369" s="11" t="inlineStr">
        <is>
          <t>442 | 2026-03-22 | 22,300 | castro licet yaely</t>
        </is>
      </c>
      <c r="G369" s="11">
        <f>IF(I369="conciliado","conciliado","por revisar")</f>
        <v/>
      </c>
      <c r="H369" s="11" t="inlineStr"/>
      <c r="I369" s="11" t="inlineStr">
        <is>
          <t>conciliado</t>
        </is>
      </c>
    </row>
    <row r="370">
      <c r="A370" s="11" t="n">
        <v>872</v>
      </c>
      <c r="B370" s="12" t="n">
        <v>46103</v>
      </c>
      <c r="C370" s="11" t="inlineStr">
        <is>
          <t>garcia hoyos sonia</t>
        </is>
      </c>
      <c r="D370" s="13" t="n">
        <v>233000</v>
      </c>
      <c r="E370" s="11">
        <f>IF(G370="conciliado","conciliado",I370)</f>
        <v/>
      </c>
      <c r="F370" s="11" t="inlineStr">
        <is>
          <t>443 | 2026-03-22 | 233,000 | andrade nasly ximena</t>
        </is>
      </c>
      <c r="G370" s="11">
        <f>IF(I370="conciliado","conciliado","por revisar")</f>
        <v/>
      </c>
      <c r="H370" s="11" t="inlineStr"/>
      <c r="I370" s="11" t="inlineStr">
        <is>
          <t>conciliado</t>
        </is>
      </c>
    </row>
    <row r="371">
      <c r="A371" s="11" t="n">
        <v>846</v>
      </c>
      <c r="B371" s="12" t="n">
        <v>46103</v>
      </c>
      <c r="C371" s="11" t="inlineStr">
        <is>
          <t>castillo castillo yo</t>
        </is>
      </c>
      <c r="D371" s="13" t="n">
        <v>5800</v>
      </c>
      <c r="E371" s="11">
        <f>IF(G371="conciliado","conciliado",I371)</f>
        <v/>
      </c>
      <c r="F371" s="11" t="inlineStr">
        <is>
          <t>444 | 2026-03-22 | 5,800 | castillo sandra soreya</t>
        </is>
      </c>
      <c r="G371" s="11">
        <f>IF(I371="conciliado","conciliado","por revisar")</f>
        <v/>
      </c>
      <c r="H371" s="11" t="inlineStr"/>
      <c r="I371" s="11" t="inlineStr">
        <is>
          <t>conciliado</t>
        </is>
      </c>
    </row>
    <row r="372">
      <c r="A372" s="11" t="n">
        <v>871</v>
      </c>
      <c r="B372" s="12" t="n">
        <v>46103</v>
      </c>
      <c r="C372" s="11" t="inlineStr">
        <is>
          <t>castro edwin rosales</t>
        </is>
      </c>
      <c r="D372" s="13" t="n">
        <v>13500</v>
      </c>
      <c r="E372" s="11">
        <f>IF(G372="conciliado","conciliado",I372)</f>
        <v/>
      </c>
      <c r="F372" s="11" t="inlineStr">
        <is>
          <t>447 | 2026-03-22 | 13,500 | castro david edwin</t>
        </is>
      </c>
      <c r="G372" s="11">
        <f>IF(I372="conciliado","conciliado","por revisar")</f>
        <v/>
      </c>
      <c r="H372" s="11" t="inlineStr"/>
      <c r="I372" s="11" t="inlineStr">
        <is>
          <t>conciliado</t>
        </is>
      </c>
    </row>
    <row r="373">
      <c r="A373" s="11" t="n">
        <v>855</v>
      </c>
      <c r="B373" s="12" t="n">
        <v>46103</v>
      </c>
      <c r="C373" s="11" t="inlineStr">
        <is>
          <t>alvarez karo molina</t>
        </is>
      </c>
      <c r="D373" s="13" t="n">
        <v>8700</v>
      </c>
      <c r="E373" s="11">
        <f>IF(G373="conciliado","conciliado",I373)</f>
        <v/>
      </c>
      <c r="F373" s="11" t="inlineStr">
        <is>
          <t>448 | 2026-03-22 | 8,700 | dayanna karol molina</t>
        </is>
      </c>
      <c r="G373" s="11">
        <f>IF(I373="conciliado","conciliado","por revisar")</f>
        <v/>
      </c>
      <c r="H373" s="11" t="inlineStr"/>
      <c r="I373" s="11" t="inlineStr">
        <is>
          <t>conciliado</t>
        </is>
      </c>
    </row>
    <row r="374">
      <c r="A374" s="11" t="n">
        <v>835</v>
      </c>
      <c r="B374" s="12" t="n">
        <v>46103</v>
      </c>
      <c r="C374" s="11" t="inlineStr">
        <is>
          <t>cuaran erazo marwin</t>
        </is>
      </c>
      <c r="D374" s="13" t="n">
        <v>6000</v>
      </c>
      <c r="E374" s="11">
        <f>IF(G374="conciliado","conciliado",I374)</f>
        <v/>
      </c>
      <c r="F374" s="11" t="inlineStr">
        <is>
          <t>449 | 2026-03-22 | 6,000 | duvany erazo marwin</t>
        </is>
      </c>
      <c r="G374" s="11">
        <f>IF(I374="conciliado","conciliado","por revisar")</f>
        <v/>
      </c>
      <c r="H374" s="11" t="inlineStr"/>
      <c r="I374" s="11" t="inlineStr">
        <is>
          <t>conciliado</t>
        </is>
      </c>
    </row>
    <row r="375">
      <c r="A375" s="11" t="n">
        <v>841</v>
      </c>
      <c r="B375" s="12" t="n">
        <v>46103</v>
      </c>
      <c r="C375" s="11" t="inlineStr">
        <is>
          <t>elisa prado salazar</t>
        </is>
      </c>
      <c r="D375" s="13" t="n">
        <v>22000</v>
      </c>
      <c r="E375" s="11">
        <f>IF(G375="conciliado","conciliado",I375)</f>
        <v/>
      </c>
      <c r="F375" s="11" t="inlineStr">
        <is>
          <t>450 | 2026-03-22 | 22,000 | andrea elisa salazar</t>
        </is>
      </c>
      <c r="G375" s="11">
        <f>IF(I375="conciliado","conciliado","por revisar")</f>
        <v/>
      </c>
      <c r="H375" s="11" t="inlineStr"/>
      <c r="I375" s="11" t="inlineStr">
        <is>
          <t>conciliado</t>
        </is>
      </c>
    </row>
    <row r="376">
      <c r="A376" s="11" t="n">
        <v>861</v>
      </c>
      <c r="B376" s="12" t="n">
        <v>46103</v>
      </c>
      <c r="C376" s="11" t="inlineStr">
        <is>
          <t>luz medina mosquera</t>
        </is>
      </c>
      <c r="D376" s="13" t="n">
        <v>25700</v>
      </c>
      <c r="E376" s="11">
        <f>IF(G376="conciliado","conciliado",I376)</f>
        <v/>
      </c>
      <c r="F376" s="11" t="inlineStr">
        <is>
          <t>451 | 2026-03-22 | 25,700 | amparo luz medina pino</t>
        </is>
      </c>
      <c r="G376" s="11">
        <f>IF(I376="conciliado","conciliado","por revisar")</f>
        <v/>
      </c>
      <c r="H376" s="11" t="inlineStr"/>
      <c r="I376" s="11" t="inlineStr">
        <is>
          <t>conciliado</t>
        </is>
      </c>
    </row>
    <row r="377">
      <c r="A377" s="11" t="n">
        <v>854</v>
      </c>
      <c r="B377" s="12" t="n">
        <v>46103</v>
      </c>
      <c r="C377" s="11" t="inlineStr">
        <is>
          <t>jhon oviedo ruales s</t>
        </is>
      </c>
      <c r="D377" s="13" t="n">
        <v>62100</v>
      </c>
      <c r="E377" s="11">
        <f>IF(G377="conciliado","conciliado",I377)</f>
        <v/>
      </c>
      <c r="F377" s="11" t="inlineStr">
        <is>
          <t>452 | 2026-03-22 | 62,100 | jhon oviedo sebastian</t>
        </is>
      </c>
      <c r="G377" s="11">
        <f>IF(I377="conciliado","conciliado","por revisar")</f>
        <v/>
      </c>
      <c r="H377" s="11" t="inlineStr"/>
      <c r="I377" s="11" t="inlineStr">
        <is>
          <t>conciliado</t>
        </is>
      </c>
    </row>
    <row r="378">
      <c r="A378" s="11" t="n">
        <v>870</v>
      </c>
      <c r="B378" s="12" t="n">
        <v>46103</v>
      </c>
      <c r="C378" s="11" t="inlineStr">
        <is>
          <t>lopez sebast timaran</t>
        </is>
      </c>
      <c r="D378" s="13" t="n">
        <v>3000</v>
      </c>
      <c r="E378" s="11">
        <f>IF(G378="conciliado","conciliado",I378)</f>
        <v/>
      </c>
      <c r="F378" s="11" t="inlineStr">
        <is>
          <t>453 | 2026-03-22 | 3,000 | deiby lopez sebastian</t>
        </is>
      </c>
      <c r="G378" s="11">
        <f>IF(I378="conciliado","conciliado","por revisar")</f>
        <v/>
      </c>
      <c r="H378" s="11" t="inlineStr"/>
      <c r="I378" s="11" t="inlineStr">
        <is>
          <t>conciliado</t>
        </is>
      </c>
    </row>
    <row r="379">
      <c r="A379" s="11" t="n">
        <v>836</v>
      </c>
      <c r="B379" s="12" t="n">
        <v>46103</v>
      </c>
      <c r="C379" s="11" t="inlineStr">
        <is>
          <t>betancour guevara</t>
        </is>
      </c>
      <c r="D379" s="13" t="n">
        <v>31100</v>
      </c>
      <c r="E379" s="11">
        <f>IF(G379="conciliado","conciliado",I379)</f>
        <v/>
      </c>
      <c r="F379" s="11" t="inlineStr">
        <is>
          <t>454 | 2026-03-22 | 31,100 | b bre sandra</t>
        </is>
      </c>
      <c r="G379" s="11">
        <f>IF(I379="conciliado","conciliado","por revisar")</f>
        <v/>
      </c>
      <c r="H379" s="11" t="inlineStr"/>
      <c r="I379" s="11" t="inlineStr">
        <is>
          <t>conciliado</t>
        </is>
      </c>
    </row>
    <row r="380">
      <c r="A380" s="11" t="n">
        <v>842</v>
      </c>
      <c r="B380" s="12" t="n">
        <v>46103</v>
      </c>
      <c r="C380" s="11" t="inlineStr">
        <is>
          <t>jaime manrique paez</t>
        </is>
      </c>
      <c r="D380" s="13" t="n">
        <v>19600</v>
      </c>
      <c r="E380" s="11">
        <f>IF(G380="conciliado","conciliado",I380)</f>
        <v/>
      </c>
      <c r="F380" s="11" t="inlineStr">
        <is>
          <t>455 | 2026-03-22 | 19,600 | jaime manrique paez</t>
        </is>
      </c>
      <c r="G380" s="11">
        <f>IF(I380="conciliado","conciliado","por revisar")</f>
        <v/>
      </c>
      <c r="H380" s="11" t="inlineStr"/>
      <c r="I380" s="11" t="inlineStr">
        <is>
          <t>conciliado</t>
        </is>
      </c>
    </row>
    <row r="381">
      <c r="A381" s="11" t="n">
        <v>849</v>
      </c>
      <c r="B381" s="12" t="n">
        <v>46103</v>
      </c>
      <c r="C381" s="11" t="inlineStr">
        <is>
          <t>briyid mallama perez</t>
        </is>
      </c>
      <c r="D381" s="13" t="n">
        <v>5200</v>
      </c>
      <c r="E381" s="11">
        <f>IF(G381="conciliado","conciliado",I381)</f>
        <v/>
      </c>
      <c r="F381" s="11" t="inlineStr">
        <is>
          <t>456 | 2026-03-22 | 5,200 | briyid liliana perez</t>
        </is>
      </c>
      <c r="G381" s="11">
        <f>IF(I381="conciliado","conciliado","por revisar")</f>
        <v/>
      </c>
      <c r="H381" s="11" t="inlineStr"/>
      <c r="I381" s="11" t="inlineStr">
        <is>
          <t>conciliado</t>
        </is>
      </c>
    </row>
    <row r="382">
      <c r="A382" s="11" t="n">
        <v>805</v>
      </c>
      <c r="B382" s="12" t="n">
        <v>46102</v>
      </c>
      <c r="C382" s="11" t="inlineStr">
        <is>
          <t>camacho eri figueroa</t>
        </is>
      </c>
      <c r="D382" s="13" t="n">
        <v>15800</v>
      </c>
      <c r="E382" s="11">
        <f>IF(G382="conciliado","conciliado",I382)</f>
        <v/>
      </c>
      <c r="F382" s="11" t="inlineStr">
        <is>
          <t>457 | 2026-03-21 | 15,800 | andrea camacho ericka</t>
        </is>
      </c>
      <c r="G382" s="11">
        <f>IF(I382="conciliado","conciliado","por revisar")</f>
        <v/>
      </c>
      <c r="H382" s="11" t="inlineStr"/>
      <c r="I382" s="11" t="inlineStr">
        <is>
          <t>conciliado</t>
        </is>
      </c>
    </row>
    <row r="383">
      <c r="A383" s="11" t="n">
        <v>824</v>
      </c>
      <c r="B383" s="12" t="n">
        <v>46102</v>
      </c>
      <c r="C383" s="11" t="inlineStr">
        <is>
          <t>alejandr diaz espana</t>
        </is>
      </c>
      <c r="D383" s="13" t="n">
        <v>11700</v>
      </c>
      <c r="E383" s="11">
        <f>IF(G383="conciliado","conciliado",I383)</f>
        <v/>
      </c>
      <c r="F383" s="11" t="inlineStr">
        <is>
          <t>458 | 2026-03-21 | 11,700 | bancolombia desde qr recarga</t>
        </is>
      </c>
      <c r="G383" s="11">
        <f>IF(I383="conciliado","conciliado","por revisar")</f>
        <v/>
      </c>
      <c r="H383" s="11" t="inlineStr"/>
      <c r="I383" s="11" t="inlineStr">
        <is>
          <t>conciliado</t>
        </is>
      </c>
    </row>
    <row r="384">
      <c r="A384" s="11" t="n">
        <v>821</v>
      </c>
      <c r="B384" s="12" t="n">
        <v>46102</v>
      </c>
      <c r="C384" s="11" t="inlineStr">
        <is>
          <t>man samudio zambrano</t>
        </is>
      </c>
      <c r="D384" s="13" t="n">
        <v>13000</v>
      </c>
      <c r="E384" s="11">
        <f>IF(G384="conciliado","conciliado",I384)</f>
        <v/>
      </c>
      <c r="F384" s="11" t="inlineStr">
        <is>
          <t>459 | 2026-03-21 | 13,000 | felipe manuel zambrano</t>
        </is>
      </c>
      <c r="G384" s="11">
        <f>IF(I384="conciliado","conciliado","por revisar")</f>
        <v/>
      </c>
      <c r="H384" s="11" t="inlineStr"/>
      <c r="I384" s="11" t="inlineStr">
        <is>
          <t>conciliado</t>
        </is>
      </c>
    </row>
    <row r="385">
      <c r="A385" s="11" t="n">
        <v>809</v>
      </c>
      <c r="B385" s="12" t="n">
        <v>46102</v>
      </c>
      <c r="C385" s="11" t="inlineStr">
        <is>
          <t>je mosquera palacios</t>
        </is>
      </c>
      <c r="D385" s="13" t="n">
        <v>41900</v>
      </c>
      <c r="E385" s="11">
        <f>IF(G385="conciliado","conciliado",I385)</f>
        <v/>
      </c>
      <c r="F385" s="11" t="inlineStr">
        <is>
          <t>460 | 2026-03-21 | 41,900 | jennifer mosquera</t>
        </is>
      </c>
      <c r="G385" s="11">
        <f>IF(I385="conciliado","conciliado","por revisar")</f>
        <v/>
      </c>
      <c r="H385" s="11" t="inlineStr"/>
      <c r="I385" s="11" t="inlineStr">
        <is>
          <t>conciliado</t>
        </is>
      </c>
    </row>
    <row r="386">
      <c r="A386" s="11" t="n">
        <v>822</v>
      </c>
      <c r="B386" s="12" t="n">
        <v>46102</v>
      </c>
      <c r="C386" s="11" t="inlineStr">
        <is>
          <t>maria silva vanegas</t>
        </is>
      </c>
      <c r="D386" s="13" t="n">
        <v>24500</v>
      </c>
      <c r="E386" s="11">
        <f>IF(G386="conciliado","conciliado",I386)</f>
        <v/>
      </c>
      <c r="F386" s="11" t="inlineStr">
        <is>
          <t>461 | 2026-03-21 | 24,500 | fernanda maria silva</t>
        </is>
      </c>
      <c r="G386" s="11">
        <f>IF(I386="conciliado","conciliado","por revisar")</f>
        <v/>
      </c>
      <c r="H386" s="11" t="inlineStr"/>
      <c r="I386" s="11" t="inlineStr">
        <is>
          <t>conciliado</t>
        </is>
      </c>
    </row>
    <row r="387">
      <c r="A387" s="11" t="n">
        <v>833</v>
      </c>
      <c r="B387" s="12" t="n">
        <v>46102</v>
      </c>
      <c r="C387" s="11" t="inlineStr">
        <is>
          <t>henrry reyes</t>
        </is>
      </c>
      <c r="D387" s="13" t="n">
        <v>5500</v>
      </c>
      <c r="E387" s="11">
        <f>IF(G387="conciliado","conciliado",I387)</f>
        <v/>
      </c>
      <c r="F387" s="11" t="inlineStr">
        <is>
          <t>462 | 2026-03-21 | 5,500 | bancolombia desde qr recarga</t>
        </is>
      </c>
      <c r="G387" s="11">
        <f>IF(I387="conciliado","conciliado","por revisar")</f>
        <v/>
      </c>
      <c r="H387" s="11" t="inlineStr"/>
      <c r="I387" s="11" t="inlineStr">
        <is>
          <t>conciliado</t>
        </is>
      </c>
    </row>
    <row r="388">
      <c r="A388" s="11" t="n">
        <v>828</v>
      </c>
      <c r="B388" s="12" t="n">
        <v>46102</v>
      </c>
      <c r="C388" s="11" t="inlineStr">
        <is>
          <t>garzon rocha wilson</t>
        </is>
      </c>
      <c r="D388" s="13" t="n">
        <v>8500</v>
      </c>
      <c r="E388" s="11">
        <f>IF(G388="conciliado","conciliado",I388)</f>
        <v/>
      </c>
      <c r="F388" s="11" t="inlineStr">
        <is>
          <t>463 | 2026-03-21 | 8,500 | alexander wilson</t>
        </is>
      </c>
      <c r="G388" s="11">
        <f>IF(I388="conciliado","conciliado","por revisar")</f>
        <v/>
      </c>
      <c r="H388" s="11" t="inlineStr"/>
      <c r="I388" s="11" t="inlineStr">
        <is>
          <t>conciliado</t>
        </is>
      </c>
    </row>
    <row r="389">
      <c r="A389" s="11" t="n">
        <v>796</v>
      </c>
      <c r="B389" s="12" t="n">
        <v>46102</v>
      </c>
      <c r="C389" s="11" t="inlineStr">
        <is>
          <t>an buelvas diaz luis</t>
        </is>
      </c>
      <c r="D389" s="13" t="n">
        <v>22000</v>
      </c>
      <c r="E389" s="11">
        <f>IF(G389="conciliado","conciliado",I389)</f>
        <v/>
      </c>
      <c r="F389" s="11" t="inlineStr">
        <is>
          <t>464 | 2026-03-21 | 22,000 | alba lady perez smith</t>
        </is>
      </c>
      <c r="G389" s="11">
        <f>IF(I389="conciliado","conciliado","por revisar")</f>
        <v/>
      </c>
      <c r="H389" s="11" t="inlineStr"/>
      <c r="I389" s="11" t="inlineStr">
        <is>
          <t>conciliado</t>
        </is>
      </c>
    </row>
    <row r="390">
      <c r="A390" s="11" t="n">
        <v>814</v>
      </c>
      <c r="B390" s="12" t="n">
        <v>46102</v>
      </c>
      <c r="C390" s="11" t="inlineStr">
        <is>
          <t>adriana patino yubel</t>
        </is>
      </c>
      <c r="D390" s="13" t="n">
        <v>31100</v>
      </c>
      <c r="E390" s="11">
        <f>IF(G390="conciliado","conciliado",I390)</f>
        <v/>
      </c>
      <c r="F390" s="11" t="inlineStr">
        <is>
          <t>465 | 2026-03-21 | 31,100 | adriana patino yubeli</t>
        </is>
      </c>
      <c r="G390" s="11">
        <f>IF(I390="conciliado","conciliado","por revisar")</f>
        <v/>
      </c>
      <c r="H390" s="11" t="inlineStr"/>
      <c r="I390" s="11" t="inlineStr">
        <is>
          <t>conciliado</t>
        </is>
      </c>
    </row>
    <row r="391">
      <c r="A391" s="11" t="n">
        <v>827</v>
      </c>
      <c r="B391" s="12" t="n">
        <v>46102</v>
      </c>
      <c r="C391" s="11" t="inlineStr">
        <is>
          <t>chasoy judy timaran</t>
        </is>
      </c>
      <c r="D391" s="13" t="n">
        <v>10000</v>
      </c>
      <c r="E391" s="11">
        <f>IF(G391="conciliado","conciliado",I391)</f>
        <v/>
      </c>
      <c r="F391" s="11" t="inlineStr">
        <is>
          <t>466 | 2026-03-21 | 10,000 | b bre judy</t>
        </is>
      </c>
      <c r="G391" s="11">
        <f>IF(I391="conciliado","conciliado","por revisar")</f>
        <v/>
      </c>
      <c r="H391" s="11" t="inlineStr"/>
      <c r="I391" s="11" t="inlineStr">
        <is>
          <t>conciliado</t>
        </is>
      </c>
    </row>
    <row r="392">
      <c r="A392" s="11" t="n">
        <v>808</v>
      </c>
      <c r="B392" s="12" t="n">
        <v>46102</v>
      </c>
      <c r="C392" s="11" t="inlineStr">
        <is>
          <t>jai jhon rojas rojas</t>
        </is>
      </c>
      <c r="D392" s="13" t="n">
        <v>201000</v>
      </c>
      <c r="E392" s="11">
        <f>IF(G392="conciliado","conciliado",I392)</f>
        <v/>
      </c>
      <c r="F392" s="11" t="inlineStr">
        <is>
          <t>468 | 2026-03-21 | 201,000 | bancolombia desde recarga</t>
        </is>
      </c>
      <c r="G392" s="11">
        <f>IF(I392="conciliado","conciliado","por revisar")</f>
        <v/>
      </c>
      <c r="H392" s="11" t="inlineStr"/>
      <c r="I392" s="11" t="inlineStr">
        <is>
          <t>conciliado</t>
        </is>
      </c>
    </row>
    <row r="393">
      <c r="A393" s="11" t="n">
        <v>825</v>
      </c>
      <c r="B393" s="12" t="n">
        <v>46102</v>
      </c>
      <c r="C393" s="11" t="inlineStr">
        <is>
          <t>aguirre derly revelo</t>
        </is>
      </c>
      <c r="D393" s="13" t="n">
        <v>12000</v>
      </c>
      <c r="E393" s="11">
        <f>IF(G393="conciliado","conciliado",I393)</f>
        <v/>
      </c>
      <c r="F393" s="11" t="inlineStr">
        <is>
          <t>469 | 2026-03-21 | 12,000 | aleida derly revelo</t>
        </is>
      </c>
      <c r="G393" s="11">
        <f>IF(I393="conciliado","conciliado","por revisar")</f>
        <v/>
      </c>
      <c r="H393" s="11" t="inlineStr"/>
      <c r="I393" s="11" t="inlineStr">
        <is>
          <t>conciliado</t>
        </is>
      </c>
    </row>
    <row r="394">
      <c r="A394" s="11" t="n">
        <v>806</v>
      </c>
      <c r="B394" s="12" t="n">
        <v>46102</v>
      </c>
      <c r="C394" s="11" t="inlineStr">
        <is>
          <t>martinez pedr segura</t>
        </is>
      </c>
      <c r="D394" s="13" t="n">
        <v>3800</v>
      </c>
      <c r="E394" s="11">
        <f>IF(G394="conciliado","conciliado",I394)</f>
        <v/>
      </c>
      <c r="F394" s="11" t="inlineStr">
        <is>
          <t>470 | 2026-03-21 | 3,800 | antonio martinez pedro</t>
        </is>
      </c>
      <c r="G394" s="11">
        <f>IF(I394="conciliado","conciliado","por revisar")</f>
        <v/>
      </c>
      <c r="H394" s="11" t="inlineStr"/>
      <c r="I394" s="11" t="inlineStr">
        <is>
          <t>conciliado</t>
        </is>
      </c>
    </row>
    <row r="395">
      <c r="A395" s="11" t="n">
        <v>800</v>
      </c>
      <c r="B395" s="12" t="n">
        <v>46102</v>
      </c>
      <c r="C395" s="11" t="inlineStr">
        <is>
          <t>cordoba diego vargas</t>
        </is>
      </c>
      <c r="D395" s="13" t="n">
        <v>5000</v>
      </c>
      <c r="E395" s="11">
        <f>IF(G395="conciliado","conciliado",I395)</f>
        <v/>
      </c>
      <c r="F395" s="11" t="inlineStr">
        <is>
          <t>471 | 2026-03-21 | 5,000 | daniela ghilary segura</t>
        </is>
      </c>
      <c r="G395" s="11">
        <f>IF(I395="conciliado","conciliado","por revisar")</f>
        <v/>
      </c>
      <c r="H395" s="11" t="inlineStr"/>
      <c r="I395" s="11" t="inlineStr">
        <is>
          <t>conciliado</t>
        </is>
      </c>
    </row>
    <row r="396">
      <c r="A396" s="11" t="n">
        <v>811</v>
      </c>
      <c r="B396" s="12" t="n">
        <v>46102</v>
      </c>
      <c r="C396" s="11" t="inlineStr">
        <is>
          <t>a cortes diaz miguel</t>
        </is>
      </c>
      <c r="D396" s="13" t="n">
        <v>94000</v>
      </c>
      <c r="E396" s="11">
        <f>IF(G396="conciliado","conciliado",I396)</f>
        <v/>
      </c>
      <c r="F396" s="11" t="inlineStr">
        <is>
          <t>472 | 2026-03-21 | 94,000 | jennifer yulieth</t>
        </is>
      </c>
      <c r="G396" s="11">
        <f>IF(I396="conciliado","conciliado","por revisar")</f>
        <v/>
      </c>
      <c r="H396" s="11" t="inlineStr"/>
      <c r="I396" s="11" t="inlineStr">
        <is>
          <t>conciliado</t>
        </is>
      </c>
    </row>
    <row r="397">
      <c r="A397" s="11" t="n">
        <v>820</v>
      </c>
      <c r="B397" s="12" t="n">
        <v>46102</v>
      </c>
      <c r="C397" s="11" t="inlineStr">
        <is>
          <t>calderon l santacruz</t>
        </is>
      </c>
      <c r="D397" s="13" t="n">
        <v>40000</v>
      </c>
      <c r="E397" s="11">
        <f>IF(G397="conciliado","conciliado",I397)</f>
        <v/>
      </c>
      <c r="F397" s="11" t="inlineStr">
        <is>
          <t>473 | 2026-03-21 | 40,000 | lyda maryeli santacruz</t>
        </is>
      </c>
      <c r="G397" s="11">
        <f>IF(I397="conciliado","conciliado","por revisar")</f>
        <v/>
      </c>
      <c r="H397" s="11" t="inlineStr"/>
      <c r="I397" s="11" t="inlineStr">
        <is>
          <t>conciliado</t>
        </is>
      </c>
    </row>
    <row r="398">
      <c r="A398" s="11" t="n">
        <v>832</v>
      </c>
      <c r="B398" s="12" t="n">
        <v>46102</v>
      </c>
      <c r="C398" s="11" t="inlineStr">
        <is>
          <t>garcia quitumbo</t>
        </is>
      </c>
      <c r="D398" s="13" t="n">
        <v>40000</v>
      </c>
      <c r="E398" s="11">
        <f>IF(G398="conciliado","conciliado",I398)</f>
        <v/>
      </c>
      <c r="F398" s="11" t="inlineStr">
        <is>
          <t>474 | 2026-03-21 | 40,000 | eduardo luis quitumbo</t>
        </is>
      </c>
      <c r="G398" s="11">
        <f>IF(I398="conciliado","conciliado","por revisar")</f>
        <v/>
      </c>
      <c r="H398" s="11" t="inlineStr"/>
      <c r="I398" s="11" t="inlineStr">
        <is>
          <t>conciliado</t>
        </is>
      </c>
    </row>
    <row r="399">
      <c r="A399" s="11" t="n">
        <v>795</v>
      </c>
      <c r="B399" s="12" t="n">
        <v>46102</v>
      </c>
      <c r="C399" s="11" t="inlineStr">
        <is>
          <t>angel cabrera cadena</t>
        </is>
      </c>
      <c r="D399" s="13" t="n">
        <v>23200</v>
      </c>
      <c r="E399" s="11">
        <f>IF(G399="conciliado","conciliado",I399)</f>
        <v/>
      </c>
      <c r="F399" s="11" t="inlineStr">
        <is>
          <t>475 | 2026-03-21 | 23,200 | angel barney cabrera</t>
        </is>
      </c>
      <c r="G399" s="11">
        <f>IF(I399="conciliado","conciliado","por revisar")</f>
        <v/>
      </c>
      <c r="H399" s="11" t="inlineStr"/>
      <c r="I399" s="11" t="inlineStr">
        <is>
          <t>conciliado</t>
        </is>
      </c>
    </row>
    <row r="400">
      <c r="A400" s="11" t="n">
        <v>816</v>
      </c>
      <c r="B400" s="12" t="n">
        <v>46102</v>
      </c>
      <c r="C400" s="11" t="inlineStr">
        <is>
          <t>idrobo jacanamejoy p</t>
        </is>
      </c>
      <c r="D400" s="13" t="n">
        <v>26400</v>
      </c>
      <c r="E400" s="11">
        <f>IF(G400="conciliado","conciliado",I400)</f>
        <v/>
      </c>
      <c r="F400" s="11" t="inlineStr">
        <is>
          <t>477 | 2026-03-21 | 26,400 | alexandra idrobo paola</t>
        </is>
      </c>
      <c r="G400" s="11">
        <f>IF(I400="conciliado","conciliado","por revisar")</f>
        <v/>
      </c>
      <c r="H400" s="11" t="inlineStr"/>
      <c r="I400" s="11" t="inlineStr">
        <is>
          <t>conciliado</t>
        </is>
      </c>
    </row>
    <row r="401">
      <c r="A401" s="11" t="n">
        <v>831</v>
      </c>
      <c r="B401" s="12" t="n">
        <v>46102</v>
      </c>
      <c r="C401" s="11" t="inlineStr">
        <is>
          <t>alvarez hern ordonez</t>
        </is>
      </c>
      <c r="D401" s="13" t="n">
        <v>20000</v>
      </c>
      <c r="E401" s="11">
        <f>IF(G401="conciliado","conciliado",I401)</f>
        <v/>
      </c>
      <c r="F401" s="11" t="inlineStr">
        <is>
          <t>478 | 2026-03-21 | 20,000 | alvarez alveiro herney</t>
        </is>
      </c>
      <c r="G401" s="11">
        <f>IF(I401="conciliado","conciliado","por revisar")</f>
        <v/>
      </c>
      <c r="H401" s="11" t="inlineStr"/>
      <c r="I401" s="11" t="inlineStr">
        <is>
          <t>conciliado</t>
        </is>
      </c>
    </row>
    <row r="402">
      <c r="A402" s="11" t="n">
        <v>812</v>
      </c>
      <c r="B402" s="12" t="n">
        <v>46102</v>
      </c>
      <c r="C402" s="11" t="inlineStr">
        <is>
          <t>cordoba cuasialpud e</t>
        </is>
      </c>
      <c r="D402" s="13" t="n">
        <v>29000</v>
      </c>
      <c r="E402" s="11">
        <f>IF(G402="conciliado","conciliado",I402)</f>
        <v/>
      </c>
      <c r="F402" s="11" t="inlineStr">
        <is>
          <t>479 | 2026-03-21 | 29,000 | cordoba edwar ferney</t>
        </is>
      </c>
      <c r="G402" s="11">
        <f>IF(I402="conciliado","conciliado","por revisar")</f>
        <v/>
      </c>
      <c r="H402" s="11" t="inlineStr"/>
      <c r="I402" s="11" t="inlineStr">
        <is>
          <t>conciliado</t>
        </is>
      </c>
    </row>
    <row r="403">
      <c r="A403" s="11" t="n">
        <v>810</v>
      </c>
      <c r="B403" s="12" t="n">
        <v>46102</v>
      </c>
      <c r="C403" s="11" t="inlineStr">
        <is>
          <t>daza diana kat marin</t>
        </is>
      </c>
      <c r="D403" s="13" t="n">
        <v>20000</v>
      </c>
      <c r="E403" s="11">
        <f>IF(G403="conciliado","conciliado",I403)</f>
        <v/>
      </c>
      <c r="F403" s="11" t="inlineStr">
        <is>
          <t>480 | 2026-03-21 | 20,000 | diana katherine marin</t>
        </is>
      </c>
      <c r="G403" s="11">
        <f>IF(I403="conciliado","conciliado","por revisar")</f>
        <v/>
      </c>
      <c r="H403" s="11" t="inlineStr"/>
      <c r="I403" s="11" t="inlineStr">
        <is>
          <t>conciliado</t>
        </is>
      </c>
    </row>
    <row r="404">
      <c r="A404" s="11" t="n">
        <v>801</v>
      </c>
      <c r="B404" s="12" t="n">
        <v>46102</v>
      </c>
      <c r="C404" s="11" t="inlineStr">
        <is>
          <t>dian grajales osorio</t>
        </is>
      </c>
      <c r="D404" s="13" t="n">
        <v>25000</v>
      </c>
      <c r="E404" s="11">
        <f>IF(G404="conciliado","conciliado",I404)</f>
        <v/>
      </c>
      <c r="F404" s="11" t="inlineStr">
        <is>
          <t>481 | 2026-03-21 | 25,000 | alejandra salome</t>
        </is>
      </c>
      <c r="G404" s="11">
        <f>IF(I404="conciliado","conciliado","por revisar")</f>
        <v/>
      </c>
      <c r="H404" s="11" t="inlineStr"/>
      <c r="I404" s="11" t="inlineStr">
        <is>
          <t>conciliado</t>
        </is>
      </c>
    </row>
    <row r="405">
      <c r="A405" s="11" t="n">
        <v>802</v>
      </c>
      <c r="B405" s="12" t="n">
        <v>46102</v>
      </c>
      <c r="C405" s="11" t="inlineStr">
        <is>
          <t>alderete jor salazar</t>
        </is>
      </c>
      <c r="D405" s="13" t="n">
        <v>7500</v>
      </c>
      <c r="E405" s="11">
        <f>IF(G405="conciliado","conciliado",I405)</f>
        <v/>
      </c>
      <c r="F405" s="11" t="inlineStr">
        <is>
          <t>482 | 2026-03-21 | 7,500 | elias jorge salazar</t>
        </is>
      </c>
      <c r="G405" s="11">
        <f>IF(I405="conciliado","conciliado","por revisar")</f>
        <v/>
      </c>
      <c r="H405" s="11" t="inlineStr"/>
      <c r="I405" s="11" t="inlineStr">
        <is>
          <t>conciliado</t>
        </is>
      </c>
    </row>
    <row r="406">
      <c r="A406" s="11" t="n">
        <v>818</v>
      </c>
      <c r="B406" s="12" t="n">
        <v>46102</v>
      </c>
      <c r="C406" s="11" t="inlineStr">
        <is>
          <t>mapayo rocio rojas</t>
        </is>
      </c>
      <c r="D406" s="13" t="n">
        <v>40600</v>
      </c>
      <c r="E406" s="11">
        <f>IF(G406="conciliado","conciliado",I406)</f>
        <v/>
      </c>
      <c r="F406" s="11" t="inlineStr">
        <is>
          <t>484 | 2026-03-21 | 40,600 | genis rocio rojas</t>
        </is>
      </c>
      <c r="G406" s="11">
        <f>IF(I406="conciliado","conciliado","por revisar")</f>
        <v/>
      </c>
      <c r="H406" s="11" t="inlineStr"/>
      <c r="I406" s="11" t="inlineStr">
        <is>
          <t>conciliado</t>
        </is>
      </c>
    </row>
    <row r="407">
      <c r="A407" s="11" t="n">
        <v>799</v>
      </c>
      <c r="B407" s="12" t="n">
        <v>46102</v>
      </c>
      <c r="C407" s="11" t="inlineStr">
        <is>
          <t>aragon bargas glenis</t>
        </is>
      </c>
      <c r="D407" s="13" t="n">
        <v>38200</v>
      </c>
      <c r="E407" s="11">
        <f>IF(G407="conciliado","conciliado",I407)</f>
        <v/>
      </c>
      <c r="F407" s="11" t="inlineStr">
        <is>
          <t>485 | 2026-03-21 | 38,200 | bargas glenis viviana</t>
        </is>
      </c>
      <c r="G407" s="11">
        <f>IF(I407="conciliado","conciliado","por revisar")</f>
        <v/>
      </c>
      <c r="H407" s="11" t="inlineStr"/>
      <c r="I407" s="11" t="inlineStr">
        <is>
          <t>conciliado</t>
        </is>
      </c>
    </row>
    <row r="408">
      <c r="A408" s="11" t="n">
        <v>817</v>
      </c>
      <c r="B408" s="12" t="n">
        <v>46102</v>
      </c>
      <c r="C408" s="11" t="inlineStr">
        <is>
          <t>cortes diaz zuleima</t>
        </is>
      </c>
      <c r="D408" s="13" t="n">
        <v>69300</v>
      </c>
      <c r="E408" s="11">
        <f>IF(G408="conciliado","conciliado",I408)</f>
        <v/>
      </c>
      <c r="F408" s="11" t="inlineStr">
        <is>
          <t>486 | 2026-03-21 | 69,300 | diaz tatiana zuleima</t>
        </is>
      </c>
      <c r="G408" s="11">
        <f>IF(I408="conciliado","conciliado","por revisar")</f>
        <v/>
      </c>
      <c r="H408" s="11" t="inlineStr"/>
      <c r="I408" s="11" t="inlineStr">
        <is>
          <t>conciliado</t>
        </is>
      </c>
    </row>
    <row r="409">
      <c r="A409" s="11" t="n">
        <v>829</v>
      </c>
      <c r="B409" s="12" t="n">
        <v>46102</v>
      </c>
      <c r="C409" s="11" t="inlineStr">
        <is>
          <t>bastidas lopez maria</t>
        </is>
      </c>
      <c r="D409" s="13" t="n">
        <v>14000</v>
      </c>
      <c r="E409" s="11">
        <f>IF(G409="conciliado","conciliado",I409)</f>
        <v/>
      </c>
      <c r="F409" s="11" t="inlineStr">
        <is>
          <t>487 | 2026-03-21 | 14,000 | bastidas isabel maria</t>
        </is>
      </c>
      <c r="G409" s="11">
        <f>IF(I409="conciliado","conciliado","por revisar")</f>
        <v/>
      </c>
      <c r="H409" s="11" t="inlineStr"/>
      <c r="I409" s="11" t="inlineStr">
        <is>
          <t>conciliado</t>
        </is>
      </c>
    </row>
    <row r="410">
      <c r="A410" s="11" t="n">
        <v>804</v>
      </c>
      <c r="B410" s="12" t="n">
        <v>46102</v>
      </c>
      <c r="C410" s="11" t="inlineStr">
        <is>
          <t>caicedo katheri vela</t>
        </is>
      </c>
      <c r="D410" s="13" t="n">
        <v>14400</v>
      </c>
      <c r="E410" s="11">
        <f>IF(G410="conciliado","conciliado",I410)</f>
        <v/>
      </c>
      <c r="F410" s="11" t="inlineStr">
        <is>
          <t>489 | 2026-03-21 | 14,400 | caicedo katherine</t>
        </is>
      </c>
      <c r="G410" s="11">
        <f>IF(I410="conciliado","conciliado","por revisar")</f>
        <v/>
      </c>
      <c r="H410" s="11" t="inlineStr"/>
      <c r="I410" s="11" t="inlineStr">
        <is>
          <t>conciliado</t>
        </is>
      </c>
    </row>
    <row r="411">
      <c r="A411" s="11" t="n">
        <v>793</v>
      </c>
      <c r="B411" s="12" t="n">
        <v>46102</v>
      </c>
      <c r="C411" s="11" t="inlineStr">
        <is>
          <t>beltran cucardo dani</t>
        </is>
      </c>
      <c r="D411" s="13" t="n">
        <v>75000</v>
      </c>
      <c r="E411" s="11">
        <f>IF(G411="conciliado","conciliado",I411)</f>
        <v/>
      </c>
      <c r="F411" s="11" t="inlineStr">
        <is>
          <t>490 | 2026-03-21 | 75,000 | alberto cucardo danilo</t>
        </is>
      </c>
      <c r="G411" s="11">
        <f>IF(I411="conciliado","conciliado","por revisar")</f>
        <v/>
      </c>
      <c r="H411" s="11" t="inlineStr"/>
      <c r="I411" s="11" t="inlineStr">
        <is>
          <t>conciliado</t>
        </is>
      </c>
    </row>
    <row r="412">
      <c r="A412" s="11" t="n">
        <v>823</v>
      </c>
      <c r="B412" s="12" t="n">
        <v>46102</v>
      </c>
      <c r="C412" s="11" t="inlineStr">
        <is>
          <t>dani ortega</t>
        </is>
      </c>
      <c r="D412" s="13" t="n">
        <v>24800</v>
      </c>
      <c r="E412" s="11">
        <f>IF(G412="conciliado","conciliado",I412)</f>
        <v/>
      </c>
      <c r="F412" s="11" t="inlineStr">
        <is>
          <t>491 | 2026-03-21 | 24,800 | andres danny ortega</t>
        </is>
      </c>
      <c r="G412" s="11">
        <f>IF(I412="conciliado","conciliado","por revisar")</f>
        <v/>
      </c>
      <c r="H412" s="11" t="inlineStr"/>
      <c r="I412" s="11" t="inlineStr">
        <is>
          <t>conciliado</t>
        </is>
      </c>
    </row>
    <row r="413">
      <c r="A413" s="11" t="n">
        <v>791</v>
      </c>
      <c r="B413" s="12" t="n">
        <v>46102</v>
      </c>
      <c r="C413" s="11" t="inlineStr">
        <is>
          <t>casanas cazanas jame</t>
        </is>
      </c>
      <c r="D413" s="13" t="n">
        <v>30000</v>
      </c>
      <c r="E413" s="11">
        <f>IF(G413="conciliado","conciliado",I413)</f>
        <v/>
      </c>
      <c r="F413" s="11" t="inlineStr">
        <is>
          <t>493 | 2026-03-21 | 30,000 | adalberto james</t>
        </is>
      </c>
      <c r="G413" s="11">
        <f>IF(I413="conciliado","conciliado","por revisar")</f>
        <v/>
      </c>
      <c r="H413" s="11" t="inlineStr"/>
      <c r="I413" s="11" t="inlineStr">
        <is>
          <t>conciliado</t>
        </is>
      </c>
    </row>
    <row r="414">
      <c r="A414" s="11" t="n">
        <v>794</v>
      </c>
      <c r="B414" s="12" t="n">
        <v>46102</v>
      </c>
      <c r="C414" s="11" t="inlineStr">
        <is>
          <t>erazo garces vi yuli</t>
        </is>
      </c>
      <c r="D414" s="13" t="n">
        <v>9800</v>
      </c>
      <c r="E414" s="11">
        <f>IF(G414="conciliado","conciliado",I414)</f>
        <v/>
      </c>
      <c r="F414" s="11" t="inlineStr">
        <is>
          <t>494 | 2026-03-21 | 9,800 | erazo viviana yuli</t>
        </is>
      </c>
      <c r="G414" s="11">
        <f>IF(I414="conciliado","conciliado","por revisar")</f>
        <v/>
      </c>
      <c r="H414" s="11" t="inlineStr"/>
      <c r="I414" s="11" t="inlineStr">
        <is>
          <t>conciliado</t>
        </is>
      </c>
    </row>
    <row r="415">
      <c r="A415" s="11" t="n">
        <v>797</v>
      </c>
      <c r="B415" s="12" t="n">
        <v>46102</v>
      </c>
      <c r="C415" s="11" t="inlineStr">
        <is>
          <t>galeano maria velez</t>
        </is>
      </c>
      <c r="D415" s="13" t="n">
        <v>60650</v>
      </c>
      <c r="E415" s="11">
        <f>IF(G415="conciliado","conciliado",I415)</f>
        <v/>
      </c>
      <c r="F415" s="11" t="inlineStr">
        <is>
          <t>495 | 2026-03-21 | 60,650 | b bre maria</t>
        </is>
      </c>
      <c r="G415" s="11">
        <f>IF(I415="conciliado","conciliado","por revisar")</f>
        <v/>
      </c>
      <c r="H415" s="11" t="inlineStr"/>
      <c r="I415" s="11" t="inlineStr">
        <is>
          <t>conciliado</t>
        </is>
      </c>
    </row>
    <row r="416">
      <c r="A416" s="11" t="n">
        <v>790</v>
      </c>
      <c r="B416" s="12" t="n">
        <v>46102</v>
      </c>
      <c r="C416" s="11" t="inlineStr">
        <is>
          <t>de narin surtiventas</t>
        </is>
      </c>
      <c r="D416" s="13" t="n">
        <v>-545087</v>
      </c>
      <c r="E416" s="11">
        <f>IF(G416="conciliado","conciliado",I416)</f>
        <v/>
      </c>
      <c r="F416" s="11" t="inlineStr">
        <is>
          <t>497 | 2026-03-21 | -545,087 | de narino surtiventas</t>
        </is>
      </c>
      <c r="G416" s="11">
        <f>IF(I416="conciliado","conciliado","por revisar")</f>
        <v/>
      </c>
      <c r="H416" s="11" t="inlineStr"/>
      <c r="I416" s="11" t="inlineStr">
        <is>
          <t>conciliado</t>
        </is>
      </c>
    </row>
    <row r="417">
      <c r="A417" s="11" t="n">
        <v>807</v>
      </c>
      <c r="B417" s="12" t="n">
        <v>46102</v>
      </c>
      <c r="C417" s="11" t="inlineStr">
        <is>
          <t>leid montiel pantoja</t>
        </is>
      </c>
      <c r="D417" s="13" t="n">
        <v>11300</v>
      </c>
      <c r="E417" s="11">
        <f>IF(G417="conciliado","conciliado",I417)</f>
        <v/>
      </c>
      <c r="F417" s="11" t="inlineStr">
        <is>
          <t>498 | 2026-03-21 | 11,300 | leidy pantoja paola</t>
        </is>
      </c>
      <c r="G417" s="11">
        <f>IF(I417="conciliado","conciliado","por revisar")</f>
        <v/>
      </c>
      <c r="H417" s="11" t="inlineStr"/>
      <c r="I417" s="11" t="inlineStr">
        <is>
          <t>conciliado</t>
        </is>
      </c>
    </row>
    <row r="418">
      <c r="A418" s="11" t="n">
        <v>813</v>
      </c>
      <c r="B418" s="12" t="n">
        <v>46102</v>
      </c>
      <c r="C418" s="11" t="inlineStr">
        <is>
          <t>din mendez velasquez</t>
        </is>
      </c>
      <c r="D418" s="13" t="n">
        <v>15000</v>
      </c>
      <c r="E418" s="11">
        <f>IF(G418="conciliado","conciliado",I418)</f>
        <v/>
      </c>
      <c r="F418" s="11" t="inlineStr">
        <is>
          <t>501 | 2026-03-21 | 15,000 | dina luz mendez</t>
        </is>
      </c>
      <c r="G418" s="11">
        <f>IF(I418="conciliado","conciliado","por revisar")</f>
        <v/>
      </c>
      <c r="H418" s="11" t="inlineStr"/>
      <c r="I418" s="11" t="inlineStr">
        <is>
          <t>conciliado</t>
        </is>
      </c>
    </row>
    <row r="419">
      <c r="A419" s="11" t="n">
        <v>819</v>
      </c>
      <c r="B419" s="12" t="n">
        <v>46102</v>
      </c>
      <c r="C419" s="11" t="inlineStr">
        <is>
          <t>davinson fer hidalgo</t>
        </is>
      </c>
      <c r="D419" s="13" t="n">
        <v>6600</v>
      </c>
      <c r="E419" s="11">
        <f>IF(G419="conciliado","conciliado",I419)</f>
        <v/>
      </c>
      <c r="F419" s="11" t="inlineStr">
        <is>
          <t>502 | 2026-03-21 | 6,600 | davinson fernando</t>
        </is>
      </c>
      <c r="G419" s="11">
        <f>IF(I419="conciliado","conciliado","por revisar")</f>
        <v/>
      </c>
      <c r="H419" s="11" t="inlineStr"/>
      <c r="I419" s="11" t="inlineStr">
        <is>
          <t>conciliado</t>
        </is>
      </c>
    </row>
    <row r="420">
      <c r="A420" s="11" t="n">
        <v>815</v>
      </c>
      <c r="B420" s="12" t="n">
        <v>46102</v>
      </c>
      <c r="C420" s="11" t="inlineStr">
        <is>
          <t>burbano enriquez ley</t>
        </is>
      </c>
      <c r="D420" s="13" t="n">
        <v>9100</v>
      </c>
      <c r="E420" s="11">
        <f>IF(G420="conciliado","conciliado",I420)</f>
        <v/>
      </c>
      <c r="F420" s="11" t="inlineStr">
        <is>
          <t>503 | 2026-03-21 | 9,100 | andrea burbano leydi</t>
        </is>
      </c>
      <c r="G420" s="11">
        <f>IF(I420="conciliado","conciliado","por revisar")</f>
        <v/>
      </c>
      <c r="H420" s="11" t="inlineStr"/>
      <c r="I420" s="11" t="inlineStr">
        <is>
          <t>conciliado</t>
        </is>
      </c>
    </row>
    <row r="421">
      <c r="A421" s="11" t="n">
        <v>759</v>
      </c>
      <c r="B421" s="12" t="n">
        <v>46101</v>
      </c>
      <c r="C421" s="11" t="inlineStr">
        <is>
          <t>cr marurana renteria</t>
        </is>
      </c>
      <c r="D421" s="13" t="n">
        <v>70000</v>
      </c>
      <c r="E421" s="11">
        <f>IF(G421="conciliado","conciliado",I421)</f>
        <v/>
      </c>
      <c r="F421" s="11" t="inlineStr">
        <is>
          <t>506 | 2026-03-20 | 70,000 | cristian renteria</t>
        </is>
      </c>
      <c r="G421" s="11">
        <f>IF(I421="conciliado","conciliado","por revisar")</f>
        <v/>
      </c>
      <c r="H421" s="11" t="inlineStr"/>
      <c r="I421" s="11" t="inlineStr">
        <is>
          <t>conciliado</t>
        </is>
      </c>
    </row>
    <row r="422">
      <c r="A422" s="11" t="n">
        <v>771</v>
      </c>
      <c r="B422" s="12" t="n">
        <v>46101</v>
      </c>
      <c r="C422" s="11" t="inlineStr">
        <is>
          <t>a ceballos cuastumal</t>
        </is>
      </c>
      <c r="D422" s="13" t="n">
        <v>20000</v>
      </c>
      <c r="E422" s="11">
        <f>IF(G422="conciliado","conciliado",I422)</f>
        <v/>
      </c>
      <c r="F422" s="11" t="inlineStr">
        <is>
          <t>507 | 2026-03-20 | 20,000 | alexis sebastian</t>
        </is>
      </c>
      <c r="G422" s="11">
        <f>IF(I422="conciliado","conciliado","por revisar")</f>
        <v/>
      </c>
      <c r="H422" s="11" t="inlineStr"/>
      <c r="I422" s="11" t="inlineStr">
        <is>
          <t>conciliado</t>
        </is>
      </c>
    </row>
    <row r="423">
      <c r="A423" s="11" t="n">
        <v>784</v>
      </c>
      <c r="B423" s="12" t="n">
        <v>46101</v>
      </c>
      <c r="C423" s="11" t="inlineStr">
        <is>
          <t>garzon rocha wilson</t>
        </is>
      </c>
      <c r="D423" s="13" t="n">
        <v>5000</v>
      </c>
      <c r="E423" s="11">
        <f>IF(G423="conciliado","conciliado",I423)</f>
        <v/>
      </c>
      <c r="F423" s="11" t="inlineStr">
        <is>
          <t>508 | 2026-03-20 | 5,000 | alexander wilson</t>
        </is>
      </c>
      <c r="G423" s="11">
        <f>IF(I423="conciliado","conciliado","por revisar")</f>
        <v/>
      </c>
      <c r="H423" s="11" t="inlineStr"/>
      <c r="I423" s="11" t="inlineStr">
        <is>
          <t>conciliado</t>
        </is>
      </c>
    </row>
    <row r="424">
      <c r="A424" s="11" t="n">
        <v>785</v>
      </c>
      <c r="B424" s="12" t="n">
        <v>46101</v>
      </c>
      <c r="C424" s="11" t="inlineStr">
        <is>
          <t>benavidez hernandez</t>
        </is>
      </c>
      <c r="D424" s="13" t="n">
        <v>72700</v>
      </c>
      <c r="E424" s="11">
        <f>IF(G424="conciliado","conciliado",I424)</f>
        <v/>
      </c>
      <c r="F424" s="11" t="inlineStr">
        <is>
          <t>509 | 2026-03-20 | 72,700 | benavidez oscar</t>
        </is>
      </c>
      <c r="G424" s="11">
        <f>IF(I424="conciliado","conciliado","por revisar")</f>
        <v/>
      </c>
      <c r="H424" s="11" t="inlineStr"/>
      <c r="I424" s="11" t="inlineStr">
        <is>
          <t>conciliado</t>
        </is>
      </c>
    </row>
    <row r="425">
      <c r="A425" s="11" t="n">
        <v>789</v>
      </c>
      <c r="B425" s="12" t="n">
        <v>46101</v>
      </c>
      <c r="C425" s="11" t="inlineStr">
        <is>
          <t>cardenas pantoja</t>
        </is>
      </c>
      <c r="D425" s="13" t="n">
        <v>30900</v>
      </c>
      <c r="E425" s="11">
        <f>IF(G425="conciliado","conciliado",I425)</f>
        <v/>
      </c>
      <c r="F425" s="11" t="inlineStr">
        <is>
          <t>510 | 2026-03-20 | 30,900 | edwin javier pantoja</t>
        </is>
      </c>
      <c r="G425" s="11">
        <f>IF(I425="conciliado","conciliado","por revisar")</f>
        <v/>
      </c>
      <c r="H425" s="11" t="inlineStr"/>
      <c r="I425" s="11" t="inlineStr">
        <is>
          <t>conciliado</t>
        </is>
      </c>
    </row>
    <row r="426">
      <c r="A426" s="11" t="n">
        <v>758</v>
      </c>
      <c r="B426" s="12" t="n">
        <v>46101</v>
      </c>
      <c r="C426" s="11" t="inlineStr">
        <is>
          <t>betancurth ro zapata</t>
        </is>
      </c>
      <c r="D426" s="13" t="n">
        <v>63000</v>
      </c>
      <c r="E426" s="11">
        <f>IF(G426="conciliado","conciliado",I426)</f>
        <v/>
      </c>
      <c r="F426" s="11" t="inlineStr">
        <is>
          <t>511 | 2026-03-20 | 63,000 | rodrigo zapata</t>
        </is>
      </c>
      <c r="G426" s="11">
        <f>IF(I426="conciliado","conciliado","por revisar")</f>
        <v/>
      </c>
      <c r="H426" s="11" t="inlineStr"/>
      <c r="I426" s="11" t="inlineStr">
        <is>
          <t>conciliado</t>
        </is>
      </c>
    </row>
    <row r="427">
      <c r="A427" s="11" t="n">
        <v>780</v>
      </c>
      <c r="B427" s="12" t="n">
        <v>46101</v>
      </c>
      <c r="C427" s="11" t="inlineStr">
        <is>
          <t>alejandr diaz espana</t>
        </is>
      </c>
      <c r="D427" s="13" t="n">
        <v>23600</v>
      </c>
      <c r="E427" s="11">
        <f>IF(G427="conciliado","conciliado",I427)</f>
        <v/>
      </c>
      <c r="F427" s="11" t="inlineStr">
        <is>
          <t>512 | 2026-03-20 | 23,600 | bancolombia desde qr recarga</t>
        </is>
      </c>
      <c r="G427" s="11">
        <f>IF(I427="conciliado","conciliado","por revisar")</f>
        <v/>
      </c>
      <c r="H427" s="11" t="inlineStr"/>
      <c r="I427" s="11" t="inlineStr">
        <is>
          <t>conciliado</t>
        </is>
      </c>
    </row>
    <row r="428">
      <c r="A428" s="11" t="n">
        <v>767</v>
      </c>
      <c r="B428" s="12" t="n">
        <v>46101</v>
      </c>
      <c r="C428" s="11" t="inlineStr">
        <is>
          <t>alba cam maria perez</t>
        </is>
      </c>
      <c r="D428" s="13" t="n">
        <v>27600</v>
      </c>
      <c r="E428" s="11">
        <f>IF(G428="conciliado","conciliado",I428)</f>
        <v/>
      </c>
      <c r="F428" s="11" t="inlineStr">
        <is>
          <t>513 | 2026-03-20 | 27,600 | b bre maria</t>
        </is>
      </c>
      <c r="G428" s="11">
        <f>IF(I428="conciliado","conciliado","por revisar")</f>
        <v/>
      </c>
      <c r="H428" s="11" t="inlineStr"/>
      <c r="I428" s="11" t="inlineStr">
        <is>
          <t>conciliado</t>
        </is>
      </c>
    </row>
    <row r="429">
      <c r="A429" s="11" t="n">
        <v>765</v>
      </c>
      <c r="B429" s="12" t="n">
        <v>46101</v>
      </c>
      <c r="C429" s="11" t="inlineStr">
        <is>
          <t>burbano frank garcia</t>
        </is>
      </c>
      <c r="D429" s="13" t="n">
        <v>5000</v>
      </c>
      <c r="E429" s="11">
        <f>IF(G429="conciliado","conciliado",I429)</f>
        <v/>
      </c>
      <c r="F429" s="11" t="inlineStr">
        <is>
          <t>514 | 2026-03-20 | 5,000 | burbano frankli hernan</t>
        </is>
      </c>
      <c r="G429" s="11">
        <f>IF(I429="conciliado","conciliado","por revisar")</f>
        <v/>
      </c>
      <c r="H429" s="11" t="inlineStr"/>
      <c r="I429" s="11" t="inlineStr">
        <is>
          <t>conciliado</t>
        </is>
      </c>
    </row>
    <row r="430">
      <c r="A430" s="11" t="n">
        <v>788</v>
      </c>
      <c r="B430" s="12" t="n">
        <v>46101</v>
      </c>
      <c r="C430" s="11" t="inlineStr">
        <is>
          <t>arango castaneda luz</t>
        </is>
      </c>
      <c r="D430" s="13" t="n">
        <v>12600</v>
      </c>
      <c r="E430" s="11">
        <f>IF(G430="conciliado","conciliado",I430)</f>
        <v/>
      </c>
      <c r="F430" s="11" t="inlineStr">
        <is>
          <t>515 | 2026-03-20 | 12,600 | arango luz mary</t>
        </is>
      </c>
      <c r="G430" s="11">
        <f>IF(I430="conciliado","conciliado","por revisar")</f>
        <v/>
      </c>
      <c r="H430" s="11" t="inlineStr"/>
      <c r="I430" s="11" t="inlineStr">
        <is>
          <t>conciliado</t>
        </is>
      </c>
    </row>
    <row r="431">
      <c r="A431" s="11" t="n">
        <v>783</v>
      </c>
      <c r="B431" s="12" t="n">
        <v>46101</v>
      </c>
      <c r="C431" s="11" t="inlineStr">
        <is>
          <t>bolanos i montenegro</t>
        </is>
      </c>
      <c r="D431" s="13" t="n">
        <v>14000</v>
      </c>
      <c r="E431" s="11">
        <f>IF(G431="conciliado","conciliado",I431)</f>
        <v/>
      </c>
      <c r="F431" s="11" t="inlineStr">
        <is>
          <t>516 | 2026-03-20 | 14,000 | herney ivan montenegro</t>
        </is>
      </c>
      <c r="G431" s="11">
        <f>IF(I431="conciliado","conciliado","por revisar")</f>
        <v/>
      </c>
      <c r="H431" s="11" t="inlineStr"/>
      <c r="I431" s="11" t="inlineStr">
        <is>
          <t>conciliado</t>
        </is>
      </c>
    </row>
    <row r="432">
      <c r="A432" s="11" t="n">
        <v>787</v>
      </c>
      <c r="B432" s="12" t="n">
        <v>46101</v>
      </c>
      <c r="C432" s="11" t="inlineStr">
        <is>
          <t>ew hurtado pineda</t>
        </is>
      </c>
      <c r="D432" s="13" t="n">
        <v>40000</v>
      </c>
      <c r="E432" s="11">
        <f>IF(G432="conciliado","conciliado",I432)</f>
        <v/>
      </c>
      <c r="F432" s="11" t="inlineStr">
        <is>
          <t>517 | 2026-03-20 | 40,000 | bancolombia desde qr recarga</t>
        </is>
      </c>
      <c r="G432" s="11">
        <f>IF(I432="conciliado","conciliado","por revisar")</f>
        <v/>
      </c>
      <c r="H432" s="11" t="inlineStr"/>
      <c r="I432" s="11" t="inlineStr">
        <is>
          <t>conciliado</t>
        </is>
      </c>
    </row>
    <row r="433">
      <c r="A433" s="11" t="n">
        <v>776</v>
      </c>
      <c r="B433" s="12" t="n">
        <v>46101</v>
      </c>
      <c r="C433" s="11" t="inlineStr">
        <is>
          <t>coral valeria</t>
        </is>
      </c>
      <c r="D433" s="13" t="n">
        <v>21600</v>
      </c>
      <c r="E433" s="11">
        <f>IF(G433="conciliado","conciliado",I433)</f>
        <v/>
      </c>
      <c r="F433" s="11" t="inlineStr">
        <is>
          <t>518 | 2026-03-20 | 21,600 | coral delcy valeria</t>
        </is>
      </c>
      <c r="G433" s="11">
        <f>IF(I433="conciliado","conciliado","por revisar")</f>
        <v/>
      </c>
      <c r="H433" s="11" t="inlineStr"/>
      <c r="I433" s="11" t="inlineStr">
        <is>
          <t>conciliado</t>
        </is>
      </c>
    </row>
    <row r="434">
      <c r="A434" s="11" t="n">
        <v>782</v>
      </c>
      <c r="B434" s="12" t="n">
        <v>46101</v>
      </c>
      <c r="C434" s="11" t="inlineStr">
        <is>
          <t>biannei botina meza</t>
        </is>
      </c>
      <c r="D434" s="13" t="n">
        <v>37500</v>
      </c>
      <c r="E434" s="11">
        <f>IF(G434="conciliado","conciliado",I434)</f>
        <v/>
      </c>
      <c r="F434" s="11" t="inlineStr">
        <is>
          <t>519 | 2026-03-20 | 37,500 | bianney meza olger</t>
        </is>
      </c>
      <c r="G434" s="11">
        <f>IF(I434="conciliado","conciliado","por revisar")</f>
        <v/>
      </c>
      <c r="H434" s="11" t="inlineStr"/>
      <c r="I434" s="11" t="inlineStr">
        <is>
          <t>conciliado</t>
        </is>
      </c>
    </row>
    <row r="435">
      <c r="A435" s="11" t="n">
        <v>753</v>
      </c>
      <c r="B435" s="12" t="n">
        <v>46101</v>
      </c>
      <c r="C435" s="11" t="inlineStr">
        <is>
          <t>buitrago luis tobon</t>
        </is>
      </c>
      <c r="D435" s="13" t="n">
        <v>45000</v>
      </c>
      <c r="E435" s="11">
        <f>IF(G435="conciliado","conciliado",I435)</f>
        <v/>
      </c>
      <c r="F435" s="11" t="inlineStr">
        <is>
          <t>520 | 2026-03-20 | 45,000 | buitrago luis tobin yesid</t>
        </is>
      </c>
      <c r="G435" s="11">
        <f>IF(I435="conciliado","conciliado","por revisar")</f>
        <v/>
      </c>
      <c r="H435" s="11" t="inlineStr"/>
      <c r="I435" s="11" t="inlineStr">
        <is>
          <t>conciliado</t>
        </is>
      </c>
    </row>
    <row r="436">
      <c r="A436" s="11" t="n">
        <v>775</v>
      </c>
      <c r="B436" s="12" t="n">
        <v>46101</v>
      </c>
      <c r="C436" s="11" t="inlineStr">
        <is>
          <t>lisbeth pa pena pena</t>
        </is>
      </c>
      <c r="D436" s="13" t="n">
        <v>4700</v>
      </c>
      <c r="E436" s="11">
        <f>IF(G436="conciliado","conciliado",I436)</f>
        <v/>
      </c>
      <c r="F436" s="11" t="inlineStr">
        <is>
          <t>522 | 2026-03-20 | 4,700 | lisbeth paola pena</t>
        </is>
      </c>
      <c r="G436" s="11">
        <f>IF(I436="conciliado","conciliado","por revisar")</f>
        <v/>
      </c>
      <c r="H436" s="11" t="inlineStr"/>
      <c r="I436" s="11" t="inlineStr">
        <is>
          <t>conciliado</t>
        </is>
      </c>
    </row>
    <row r="437">
      <c r="A437" s="11" t="n">
        <v>769</v>
      </c>
      <c r="B437" s="12" t="n">
        <v>46101</v>
      </c>
      <c r="C437" s="11" t="inlineStr">
        <is>
          <t>bados biy luz ortega</t>
        </is>
      </c>
      <c r="D437" s="13" t="n">
        <v>49200</v>
      </c>
      <c r="E437" s="11">
        <f>IF(G437="conciliado","conciliado",I437)</f>
        <v/>
      </c>
      <c r="F437" s="11" t="inlineStr">
        <is>
          <t>523 | 2026-03-20 | 49,200 | bados biyeni luz ortega</t>
        </is>
      </c>
      <c r="G437" s="11">
        <f>IF(I437="conciliado","conciliado","por revisar")</f>
        <v/>
      </c>
      <c r="H437" s="11" t="inlineStr"/>
      <c r="I437" s="11" t="inlineStr">
        <is>
          <t>conciliado</t>
        </is>
      </c>
    </row>
    <row r="438">
      <c r="A438" s="11" t="n">
        <v>752</v>
      </c>
      <c r="B438" s="12" t="n">
        <v>46101</v>
      </c>
      <c r="C438" s="11" t="inlineStr">
        <is>
          <t>doly gamboa vargas</t>
        </is>
      </c>
      <c r="D438" s="13" t="n">
        <v>7000</v>
      </c>
      <c r="E438" s="11">
        <f>IF(G438="conciliado","conciliado",I438)</f>
        <v/>
      </c>
      <c r="F438" s="11" t="inlineStr">
        <is>
          <t>525 | 2026-03-20 | 7,000 | doly gamboa vargas</t>
        </is>
      </c>
      <c r="G438" s="11">
        <f>IF(I438="conciliado","conciliado","por revisar")</f>
        <v/>
      </c>
      <c r="H438" s="11" t="inlineStr"/>
      <c r="I438" s="11" t="inlineStr">
        <is>
          <t>conciliado</t>
        </is>
      </c>
    </row>
    <row r="439">
      <c r="A439" s="11" t="n">
        <v>777</v>
      </c>
      <c r="B439" s="12" t="n">
        <v>46101</v>
      </c>
      <c r="C439" s="11" t="inlineStr">
        <is>
          <t>castro mart quistial</t>
        </is>
      </c>
      <c r="D439" s="13" t="n">
        <v>31800</v>
      </c>
      <c r="E439" s="11">
        <f>IF(G439="conciliado","conciliado",I439)</f>
        <v/>
      </c>
      <c r="F439" s="11" t="inlineStr">
        <is>
          <t>526 | 2026-03-20 | 31,800 | liliana martha quistial</t>
        </is>
      </c>
      <c r="G439" s="11">
        <f>IF(I439="conciliado","conciliado","por revisar")</f>
        <v/>
      </c>
      <c r="H439" s="11" t="inlineStr"/>
      <c r="I439" s="11" t="inlineStr">
        <is>
          <t>conciliado</t>
        </is>
      </c>
    </row>
    <row r="440">
      <c r="A440" s="11" t="n">
        <v>773</v>
      </c>
      <c r="B440" s="12" t="n">
        <v>46101</v>
      </c>
      <c r="C440" s="11" t="inlineStr">
        <is>
          <t>en estupinan sanchez</t>
        </is>
      </c>
      <c r="D440" s="13" t="n">
        <v>8400</v>
      </c>
      <c r="E440" s="11">
        <f>IF(G440="conciliado","conciliado",I440)</f>
        <v/>
      </c>
      <c r="F440" s="11" t="inlineStr">
        <is>
          <t>527 | 2026-03-20 | 8,400 | alberto enar sanchez</t>
        </is>
      </c>
      <c r="G440" s="11">
        <f>IF(I440="conciliado","conciliado","por revisar")</f>
        <v/>
      </c>
      <c r="H440" s="11" t="inlineStr"/>
      <c r="I440" s="11" t="inlineStr">
        <is>
          <t>conciliado</t>
        </is>
      </c>
    </row>
    <row r="441">
      <c r="A441" s="11" t="n">
        <v>760</v>
      </c>
      <c r="B441" s="12" t="n">
        <v>46101</v>
      </c>
      <c r="C441" s="11" t="inlineStr">
        <is>
          <t>chaves imbachi tatia</t>
        </is>
      </c>
      <c r="D441" s="13" t="n">
        <v>19300</v>
      </c>
      <c r="E441" s="11">
        <f>IF(G441="conciliado","conciliado",I441)</f>
        <v/>
      </c>
      <c r="F441" s="11" t="inlineStr">
        <is>
          <t>528 | 2026-03-20 | 19,300 | chaves imbachi tatiana</t>
        </is>
      </c>
      <c r="G441" s="11">
        <f>IF(I441="conciliado","conciliado","por revisar")</f>
        <v/>
      </c>
      <c r="H441" s="11" t="inlineStr"/>
      <c r="I441" s="11" t="inlineStr">
        <is>
          <t>conciliado</t>
        </is>
      </c>
    </row>
    <row r="442">
      <c r="A442" s="11" t="n">
        <v>756</v>
      </c>
      <c r="B442" s="12" t="n">
        <v>46101</v>
      </c>
      <c r="C442" s="11" t="inlineStr">
        <is>
          <t>a cardona maria rayo</t>
        </is>
      </c>
      <c r="D442" s="13" t="n">
        <v>15500</v>
      </c>
      <c r="E442" s="11">
        <f>IF(G442="conciliado","conciliado",I442)</f>
        <v/>
      </c>
      <c r="F442" s="11" t="inlineStr">
        <is>
          <t>529 | 2026-03-20 | 15,500 | araceli maria rayo</t>
        </is>
      </c>
      <c r="G442" s="11">
        <f>IF(I442="conciliado","conciliado","por revisar")</f>
        <v/>
      </c>
      <c r="H442" s="11" t="inlineStr"/>
      <c r="I442" s="11" t="inlineStr">
        <is>
          <t>conciliado</t>
        </is>
      </c>
    </row>
    <row r="443">
      <c r="A443" s="11" t="n">
        <v>778</v>
      </c>
      <c r="B443" s="12" t="n">
        <v>46101</v>
      </c>
      <c r="C443" s="11" t="inlineStr">
        <is>
          <t>chaves gonzalez shir</t>
        </is>
      </c>
      <c r="D443" s="13" t="n">
        <v>5200</v>
      </c>
      <c r="E443" s="11">
        <f>IF(G443="conciliado","conciliado",I443)</f>
        <v/>
      </c>
      <c r="F443" s="11" t="inlineStr">
        <is>
          <t>530 | 2026-03-20 | 5,200 | chaves gonzalez shirley</t>
        </is>
      </c>
      <c r="G443" s="11">
        <f>IF(I443="conciliado","conciliado","por revisar")</f>
        <v/>
      </c>
      <c r="H443" s="11" t="inlineStr"/>
      <c r="I443" s="11" t="inlineStr">
        <is>
          <t>conciliado</t>
        </is>
      </c>
    </row>
    <row r="444">
      <c r="A444" s="11" t="n">
        <v>757</v>
      </c>
      <c r="B444" s="12" t="n">
        <v>46101</v>
      </c>
      <c r="C444" s="11" t="inlineStr">
        <is>
          <t>carretero diaz marth</t>
        </is>
      </c>
      <c r="D444" s="13" t="n">
        <v>39400</v>
      </c>
      <c r="E444" s="11">
        <f>IF(G444="conciliado","conciliado",I444)</f>
        <v/>
      </c>
      <c r="F444" s="11" t="inlineStr">
        <is>
          <t>531 | 2026-03-20 | 39,400 | carretero lucia martha</t>
        </is>
      </c>
      <c r="G444" s="11">
        <f>IF(I444="conciliado","conciliado","por revisar")</f>
        <v/>
      </c>
      <c r="H444" s="11" t="inlineStr"/>
      <c r="I444" s="11" t="inlineStr">
        <is>
          <t>conciliado</t>
        </is>
      </c>
    </row>
    <row r="445">
      <c r="A445" s="11" t="n">
        <v>762</v>
      </c>
      <c r="B445" s="12" t="n">
        <v>46101</v>
      </c>
      <c r="C445" s="11" t="inlineStr">
        <is>
          <t>j manchabajoy rincon</t>
        </is>
      </c>
      <c r="D445" s="13" t="n">
        <v>2500</v>
      </c>
      <c r="E445" s="11">
        <f>IF(G445="conciliado","conciliado",I445)</f>
        <v/>
      </c>
      <c r="F445" s="11" t="inlineStr">
        <is>
          <t>532 | 2026-03-20 | 2,500 | jose juan ricardo</t>
        </is>
      </c>
      <c r="G445" s="11">
        <f>IF(I445="conciliado","conciliado","por revisar")</f>
        <v/>
      </c>
      <c r="H445" s="11" t="inlineStr"/>
      <c r="I445" s="11" t="inlineStr">
        <is>
          <t>conciliado</t>
        </is>
      </c>
    </row>
    <row r="446">
      <c r="A446" s="11" t="n">
        <v>764</v>
      </c>
      <c r="B446" s="12" t="n">
        <v>46101</v>
      </c>
      <c r="C446" s="11" t="inlineStr">
        <is>
          <t>dian grajales osorio</t>
        </is>
      </c>
      <c r="D446" s="13" t="n">
        <v>3000</v>
      </c>
      <c r="E446" s="11">
        <f>IF(G446="conciliado","conciliado",I446)</f>
        <v/>
      </c>
      <c r="F446" s="11" t="inlineStr">
        <is>
          <t>533 | 2026-03-20 | 3,000 | alejandra salome</t>
        </is>
      </c>
      <c r="G446" s="11">
        <f>IF(I446="conciliado","conciliado","por revisar")</f>
        <v/>
      </c>
      <c r="H446" s="11" t="inlineStr"/>
      <c r="I446" s="11" t="inlineStr">
        <is>
          <t>conciliado</t>
        </is>
      </c>
    </row>
    <row r="447">
      <c r="A447" s="11" t="n">
        <v>761</v>
      </c>
      <c r="B447" s="12" t="n">
        <v>46101</v>
      </c>
      <c r="C447" s="11" t="inlineStr">
        <is>
          <t>dayan florez l reyes</t>
        </is>
      </c>
      <c r="D447" s="13" t="n">
        <v>25900</v>
      </c>
      <c r="E447" s="11">
        <f>IF(G447="conciliado","conciliado",I447)</f>
        <v/>
      </c>
      <c r="F447" s="11" t="inlineStr">
        <is>
          <t>534 | 2026-03-20 | 25,900 | dayan florez reyes</t>
        </is>
      </c>
      <c r="G447" s="11">
        <f>IF(I447="conciliado","conciliado","por revisar")</f>
        <v/>
      </c>
      <c r="H447" s="11" t="inlineStr"/>
      <c r="I447" s="11" t="inlineStr">
        <is>
          <t>conciliado</t>
        </is>
      </c>
    </row>
    <row r="448">
      <c r="A448" s="11" t="n">
        <v>766</v>
      </c>
      <c r="B448" s="12" t="n">
        <v>46101</v>
      </c>
      <c r="C448" s="11" t="inlineStr">
        <is>
          <t>millan nataly sousa</t>
        </is>
      </c>
      <c r="D448" s="13" t="n">
        <v>9010</v>
      </c>
      <c r="E448" s="11">
        <f>IF(G448="conciliado","conciliado",I448)</f>
        <v/>
      </c>
      <c r="F448" s="11" t="inlineStr">
        <is>
          <t>535 | 2026-03-20 | 9,010 | alexandra millan nataly</t>
        </is>
      </c>
      <c r="G448" s="11">
        <f>IF(I448="conciliado","conciliado","por revisar")</f>
        <v/>
      </c>
      <c r="H448" s="11" t="inlineStr"/>
      <c r="I448" s="11" t="inlineStr">
        <is>
          <t>conciliado</t>
        </is>
      </c>
    </row>
    <row r="449">
      <c r="A449" s="11" t="n">
        <v>763</v>
      </c>
      <c r="B449" s="12" t="n">
        <v>46101</v>
      </c>
      <c r="C449" s="11" t="inlineStr">
        <is>
          <t>maria medina ordonez</t>
        </is>
      </c>
      <c r="D449" s="13" t="n">
        <v>70000</v>
      </c>
      <c r="E449" s="11">
        <f>IF(G449="conciliado","conciliado",I449)</f>
        <v/>
      </c>
      <c r="F449" s="11" t="inlineStr">
        <is>
          <t>536 | 2026-03-20 | 70,000 | carmen del maria</t>
        </is>
      </c>
      <c r="G449" s="11">
        <f>IF(I449="conciliado","conciliado","por revisar")</f>
        <v/>
      </c>
      <c r="H449" s="11" t="inlineStr"/>
      <c r="I449" s="11" t="inlineStr">
        <is>
          <t>conciliado</t>
        </is>
      </c>
    </row>
    <row r="450">
      <c r="A450" s="11" t="n">
        <v>768</v>
      </c>
      <c r="B450" s="12" t="n">
        <v>46101</v>
      </c>
      <c r="C450" s="11" t="inlineStr">
        <is>
          <t>b cueva pinta wilson</t>
        </is>
      </c>
      <c r="D450" s="13" t="n">
        <v>6700</v>
      </c>
      <c r="E450" s="11">
        <f>IF(G450="conciliado","conciliado",I450)</f>
        <v/>
      </c>
      <c r="F450" s="11" t="inlineStr">
        <is>
          <t>537 | 2026-03-20 | 6,700 | b bre wilson</t>
        </is>
      </c>
      <c r="G450" s="11">
        <f>IF(I450="conciliado","conciliado","por revisar")</f>
        <v/>
      </c>
      <c r="H450" s="11" t="inlineStr"/>
      <c r="I450" s="11" t="inlineStr">
        <is>
          <t>conciliado</t>
        </is>
      </c>
    </row>
    <row r="451">
      <c r="A451" s="11" t="n">
        <v>779</v>
      </c>
      <c r="B451" s="12" t="n">
        <v>46101</v>
      </c>
      <c r="C451" s="11" t="inlineStr">
        <is>
          <t>mipaz munoz yimi</t>
        </is>
      </c>
      <c r="D451" s="13" t="n">
        <v>22800</v>
      </c>
      <c r="E451" s="11">
        <f>IF(G451="conciliado","conciliado",I451)</f>
        <v/>
      </c>
      <c r="F451" s="11" t="inlineStr">
        <is>
          <t>538 | 2026-03-20 | 22,800 | jimmy mipaz munoz</t>
        </is>
      </c>
      <c r="G451" s="11">
        <f>IF(I451="conciliado","conciliado","por revisar")</f>
        <v/>
      </c>
      <c r="H451" s="11" t="inlineStr"/>
      <c r="I451" s="11" t="inlineStr">
        <is>
          <t>conciliado</t>
        </is>
      </c>
    </row>
    <row r="452">
      <c r="A452" s="11" t="n">
        <v>786</v>
      </c>
      <c r="B452" s="12" t="n">
        <v>46101</v>
      </c>
      <c r="C452" s="11" t="inlineStr">
        <is>
          <t>mejia nancy paez</t>
        </is>
      </c>
      <c r="D452" s="13" t="n">
        <v>16000</v>
      </c>
      <c r="E452" s="11">
        <f>IF(G452="conciliado","conciliado",I452)</f>
        <v/>
      </c>
      <c r="F452" s="11" t="inlineStr">
        <is>
          <t>539 | 2026-03-20 | 16,000 | maidoly mejia nancy paez</t>
        </is>
      </c>
      <c r="G452" s="11">
        <f>IF(I452="conciliado","conciliado","por revisar")</f>
        <v/>
      </c>
      <c r="H452" s="11" t="inlineStr"/>
      <c r="I452" s="11" t="inlineStr">
        <is>
          <t>conciliado</t>
        </is>
      </c>
    </row>
    <row r="453">
      <c r="A453" s="11" t="n">
        <v>755</v>
      </c>
      <c r="B453" s="12" t="n">
        <v>46101</v>
      </c>
      <c r="C453" s="11" t="inlineStr">
        <is>
          <t>guerrero leid viuche</t>
        </is>
      </c>
      <c r="D453" s="13" t="n">
        <v>28400</v>
      </c>
      <c r="E453" s="11">
        <f>IF(G453="conciliado","conciliado",I453)</f>
        <v/>
      </c>
      <c r="F453" s="11" t="inlineStr">
        <is>
          <t>540 | 2026-03-20 | 28,400 | leidy marcela viuche</t>
        </is>
      </c>
      <c r="G453" s="11">
        <f>IF(I453="conciliado","conciliado","por revisar")</f>
        <v/>
      </c>
      <c r="H453" s="11" t="inlineStr"/>
      <c r="I453" s="11" t="inlineStr">
        <is>
          <t>conciliado</t>
        </is>
      </c>
    </row>
    <row r="454">
      <c r="A454" s="11" t="n">
        <v>770</v>
      </c>
      <c r="B454" s="12" t="n">
        <v>46101</v>
      </c>
      <c r="C454" s="11" t="inlineStr">
        <is>
          <t>alfredo cuasp milton</t>
        </is>
      </c>
      <c r="D454" s="13" t="n">
        <v>37000</v>
      </c>
      <c r="E454" s="11">
        <f>IF(G454="conciliado","conciliado",I454)</f>
        <v/>
      </c>
      <c r="F454" s="11" t="inlineStr">
        <is>
          <t>541 | 2026-03-20 | 37,000 | alfredo cuaspud milton</t>
        </is>
      </c>
      <c r="G454" s="11">
        <f>IF(I454="conciliado","conciliado","por revisar")</f>
        <v/>
      </c>
      <c r="H454" s="11" t="inlineStr"/>
      <c r="I454" s="11" t="inlineStr">
        <is>
          <t>conciliado</t>
        </is>
      </c>
    </row>
    <row r="455">
      <c r="A455" s="11" t="n">
        <v>774</v>
      </c>
      <c r="B455" s="12" t="n">
        <v>46101</v>
      </c>
      <c r="C455" s="11" t="inlineStr">
        <is>
          <t>cuaran fe villamarin</t>
        </is>
      </c>
      <c r="D455" s="13" t="n">
        <v>7500</v>
      </c>
      <c r="E455" s="11">
        <f>IF(G455="conciliado","conciliado",I455)</f>
        <v/>
      </c>
      <c r="F455" s="11" t="inlineStr">
        <is>
          <t>542 | 2026-03-20 | 7,500 | cuaran fernanda glinis</t>
        </is>
      </c>
      <c r="G455" s="11">
        <f>IF(I455="conciliado","conciliado","por revisar")</f>
        <v/>
      </c>
      <c r="H455" s="11" t="inlineStr"/>
      <c r="I455" s="11" t="inlineStr">
        <is>
          <t>conciliado</t>
        </is>
      </c>
    </row>
    <row r="456">
      <c r="A456" s="11" t="n">
        <v>772</v>
      </c>
      <c r="B456" s="12" t="n">
        <v>46101</v>
      </c>
      <c r="C456" s="11" t="inlineStr">
        <is>
          <t>andrade den galindez</t>
        </is>
      </c>
      <c r="D456" s="13" t="n">
        <v>25800</v>
      </c>
      <c r="E456" s="11">
        <f>IF(G456="conciliado","conciliado",I456)</f>
        <v/>
      </c>
      <c r="F456" s="11" t="inlineStr">
        <is>
          <t>543 | 2026-03-20 | 25,800 | denier fernando</t>
        </is>
      </c>
      <c r="G456" s="11">
        <f>IF(I456="conciliado","conciliado","por revisar")</f>
        <v/>
      </c>
      <c r="H456" s="11" t="inlineStr"/>
      <c r="I456" s="11" t="inlineStr">
        <is>
          <t>conciliado</t>
        </is>
      </c>
    </row>
    <row r="457">
      <c r="A457" s="11" t="n">
        <v>781</v>
      </c>
      <c r="B457" s="12" t="n">
        <v>46101</v>
      </c>
      <c r="C457" s="11" t="inlineStr">
        <is>
          <t>argen casanova cuero</t>
        </is>
      </c>
      <c r="D457" s="13" t="n">
        <v>12000</v>
      </c>
      <c r="E457" s="11">
        <f>IF(G457="conciliado","conciliado",I457)</f>
        <v/>
      </c>
      <c r="F457" s="11" t="inlineStr">
        <is>
          <t>544 | 2026-03-20 | 12,000 | casanova german stiven</t>
        </is>
      </c>
      <c r="G457" s="11">
        <f>IF(I457="conciliado","conciliado","por revisar")</f>
        <v/>
      </c>
      <c r="H457" s="11" t="inlineStr"/>
      <c r="I457" s="11" t="inlineStr">
        <is>
          <t>conciliado</t>
        </is>
      </c>
    </row>
    <row r="458">
      <c r="A458" s="11" t="n">
        <v>735</v>
      </c>
      <c r="B458" s="12" t="n">
        <v>46100</v>
      </c>
      <c r="C458" s="11" t="inlineStr">
        <is>
          <t>batero cortes maria</t>
        </is>
      </c>
      <c r="D458" s="13" t="n">
        <v>165600</v>
      </c>
      <c r="E458" s="11">
        <f>IF(G458="conciliado","conciliado",I458)</f>
        <v/>
      </c>
      <c r="F458" s="11" t="inlineStr">
        <is>
          <t>545 | 2026-03-19 | 165,600 | guzman jennifer julieth</t>
        </is>
      </c>
      <c r="G458" s="11">
        <f>IF(I458="conciliado","conciliado","por revisar")</f>
        <v/>
      </c>
      <c r="H458" s="11" t="inlineStr"/>
      <c r="I458" s="11" t="inlineStr">
        <is>
          <t>conciliado</t>
        </is>
      </c>
    </row>
    <row r="459">
      <c r="A459" s="11" t="n">
        <v>736</v>
      </c>
      <c r="B459" s="12" t="n">
        <v>46100</v>
      </c>
      <c r="C459" s="11" t="inlineStr">
        <is>
          <t>alejandr diaz espana</t>
        </is>
      </c>
      <c r="D459" s="13" t="n">
        <v>35500</v>
      </c>
      <c r="E459" s="11">
        <f>IF(G459="conciliado","conciliado",I459)</f>
        <v/>
      </c>
      <c r="F459" s="11" t="inlineStr">
        <is>
          <t>546 | 2026-03-19 | 35,500 | bancolombia desde qr recarga</t>
        </is>
      </c>
      <c r="G459" s="11">
        <f>IF(I459="conciliado","conciliado","por revisar")</f>
        <v/>
      </c>
      <c r="H459" s="11" t="inlineStr"/>
      <c r="I459" s="11" t="inlineStr">
        <is>
          <t>conciliado</t>
        </is>
      </c>
    </row>
    <row r="460">
      <c r="A460" s="11" t="n">
        <v>713</v>
      </c>
      <c r="B460" s="12" t="n">
        <v>46100</v>
      </c>
      <c r="C460" s="11" t="inlineStr">
        <is>
          <t>burbano leyd meneses</t>
        </is>
      </c>
      <c r="D460" s="13" t="n">
        <v>21100</v>
      </c>
      <c r="E460" s="11">
        <f>IF(G460="conciliado","conciliado",I460)</f>
        <v/>
      </c>
      <c r="F460" s="11" t="inlineStr">
        <is>
          <t>547 | 2026-03-19 | 21,100 | burbano leydi meneses</t>
        </is>
      </c>
      <c r="G460" s="11">
        <f>IF(I460="conciliado","conciliado","por revisar")</f>
        <v/>
      </c>
      <c r="H460" s="11" t="inlineStr"/>
      <c r="I460" s="11" t="inlineStr">
        <is>
          <t>conciliado</t>
        </is>
      </c>
    </row>
    <row r="461">
      <c r="A461" s="11" t="n">
        <v>702</v>
      </c>
      <c r="B461" s="12" t="n">
        <v>46100</v>
      </c>
      <c r="C461" s="11" t="inlineStr">
        <is>
          <t>doly gamboa vargas</t>
        </is>
      </c>
      <c r="D461" s="13" t="n">
        <v>32000</v>
      </c>
      <c r="E461" s="11">
        <f>IF(G461="conciliado","conciliado",I461)</f>
        <v/>
      </c>
      <c r="F461" s="11" t="inlineStr">
        <is>
          <t>548 | 2026-03-19 | 32,000 | doly gamboa vargas</t>
        </is>
      </c>
      <c r="G461" s="11">
        <f>IF(I461="conciliado","conciliado","por revisar")</f>
        <v/>
      </c>
      <c r="H461" s="11" t="inlineStr"/>
      <c r="I461" s="11" t="inlineStr">
        <is>
          <t>conciliado</t>
        </is>
      </c>
    </row>
    <row r="462">
      <c r="A462" s="11" t="n">
        <v>751</v>
      </c>
      <c r="B462" s="12" t="n">
        <v>46100</v>
      </c>
      <c r="C462" s="11" t="inlineStr">
        <is>
          <t>benavidez hernandez</t>
        </is>
      </c>
      <c r="D462" s="13" t="n">
        <v>16900</v>
      </c>
      <c r="E462" s="11">
        <f>IF(G462="conciliado","conciliado",I462)</f>
        <v/>
      </c>
      <c r="F462" s="11" t="inlineStr">
        <is>
          <t>549 | 2026-03-19 | 16,900 | benavidez oscar</t>
        </is>
      </c>
      <c r="G462" s="11">
        <f>IF(I462="conciliado","conciliado","por revisar")</f>
        <v/>
      </c>
      <c r="H462" s="11" t="inlineStr"/>
      <c r="I462" s="11" t="inlineStr">
        <is>
          <t>conciliado</t>
        </is>
      </c>
    </row>
    <row r="463">
      <c r="A463" s="11" t="n">
        <v>728</v>
      </c>
      <c r="B463" s="12" t="n">
        <v>46100</v>
      </c>
      <c r="C463" s="11" t="inlineStr">
        <is>
          <t>ferrin nicol rivera</t>
        </is>
      </c>
      <c r="D463" s="13" t="n">
        <v>23200</v>
      </c>
      <c r="E463" s="11">
        <f>IF(G463="conciliado","conciliado",I463)</f>
        <v/>
      </c>
      <c r="F463" s="11" t="inlineStr">
        <is>
          <t>550 | 2026-03-19 | 23,200 | bancolombia desde qr recarga</t>
        </is>
      </c>
      <c r="G463" s="11">
        <f>IF(I463="conciliado","conciliado","por revisar")</f>
        <v/>
      </c>
      <c r="H463" s="11" t="inlineStr"/>
      <c r="I463" s="11" t="inlineStr">
        <is>
          <t>conciliado</t>
        </is>
      </c>
    </row>
    <row r="464">
      <c r="A464" s="11" t="n">
        <v>750</v>
      </c>
      <c r="B464" s="12" t="n">
        <v>46100</v>
      </c>
      <c r="C464" s="11" t="inlineStr">
        <is>
          <t>gaviria guiza karen</t>
        </is>
      </c>
      <c r="D464" s="13" t="n">
        <v>36500</v>
      </c>
      <c r="E464" s="11">
        <f>IF(G464="conciliado","conciliado",I464)</f>
        <v/>
      </c>
      <c r="F464" s="11" t="inlineStr">
        <is>
          <t>551 | 2026-03-19 | 36,500 | guiza karen maritza</t>
        </is>
      </c>
      <c r="G464" s="11">
        <f>IF(I464="conciliado","conciliado","por revisar")</f>
        <v/>
      </c>
      <c r="H464" s="11" t="inlineStr"/>
      <c r="I464" s="11" t="inlineStr">
        <is>
          <t>conciliado</t>
        </is>
      </c>
    </row>
    <row r="465">
      <c r="A465" s="11" t="n">
        <v>719</v>
      </c>
      <c r="B465" s="12" t="n">
        <v>46100</v>
      </c>
      <c r="C465" s="11" t="inlineStr">
        <is>
          <t>leid montiel pantoja</t>
        </is>
      </c>
      <c r="D465" s="13" t="n">
        <v>40500</v>
      </c>
      <c r="E465" s="11">
        <f>IF(G465="conciliado","conciliado",I465)</f>
        <v/>
      </c>
      <c r="F465" s="11" t="inlineStr">
        <is>
          <t>552 | 2026-03-19 | 40,500 | leidy pantoja paola</t>
        </is>
      </c>
      <c r="G465" s="11">
        <f>IF(I465="conciliado","conciliado","por revisar")</f>
        <v/>
      </c>
      <c r="H465" s="11" t="inlineStr"/>
      <c r="I465" s="11" t="inlineStr">
        <is>
          <t>conciliado</t>
        </is>
      </c>
    </row>
    <row r="466">
      <c r="A466" s="11" t="n">
        <v>749</v>
      </c>
      <c r="B466" s="12" t="n">
        <v>46100</v>
      </c>
      <c r="C466" s="11" t="inlineStr">
        <is>
          <t>huertas mi palchucan</t>
        </is>
      </c>
      <c r="D466" s="13" t="n">
        <v>18800</v>
      </c>
      <c r="E466" s="11">
        <f>IF(G466="conciliado","conciliado",I466)</f>
        <v/>
      </c>
      <c r="F466" s="11" t="inlineStr">
        <is>
          <t>553 | 2026-03-19 | 18,800 | ancizar huertas milton</t>
        </is>
      </c>
      <c r="G466" s="11">
        <f>IF(I466="conciliado","conciliado","por revisar")</f>
        <v/>
      </c>
      <c r="H466" s="11" t="inlineStr"/>
      <c r="I466" s="11" t="inlineStr">
        <is>
          <t>conciliado</t>
        </is>
      </c>
    </row>
    <row r="467">
      <c r="A467" s="11" t="n">
        <v>710</v>
      </c>
      <c r="B467" s="12" t="n">
        <v>46100</v>
      </c>
      <c r="C467" s="11" t="inlineStr">
        <is>
          <t>ciro daniela f leiva</t>
        </is>
      </c>
      <c r="D467" s="13" t="n">
        <v>4600</v>
      </c>
      <c r="E467" s="11">
        <f>IF(G467="conciliado","conciliado",I467)</f>
        <v/>
      </c>
      <c r="F467" s="11" t="inlineStr">
        <is>
          <t>554 | 2026-03-19 | 4,600 | daniela fernanda leiva</t>
        </is>
      </c>
      <c r="G467" s="11">
        <f>IF(I467="conciliado","conciliado","por revisar")</f>
        <v/>
      </c>
      <c r="H467" s="11" t="inlineStr"/>
      <c r="I467" s="11" t="inlineStr">
        <is>
          <t>conciliado</t>
        </is>
      </c>
    </row>
    <row r="468">
      <c r="A468" s="11" t="n">
        <v>724</v>
      </c>
      <c r="B468" s="12" t="n">
        <v>46100</v>
      </c>
      <c r="C468" s="11" t="inlineStr">
        <is>
          <t>ariza burbano carola</t>
        </is>
      </c>
      <c r="D468" s="13" t="n">
        <v>122900</v>
      </c>
      <c r="E468" s="11">
        <f>IF(G468="conciliado","conciliado",I468)</f>
        <v/>
      </c>
      <c r="F468" s="11" t="inlineStr">
        <is>
          <t>555 | 2026-03-19 | 122,900 | andrea ariza carolain</t>
        </is>
      </c>
      <c r="G468" s="11">
        <f>IF(I468="conciliado","conciliado","por revisar")</f>
        <v/>
      </c>
      <c r="H468" s="11" t="inlineStr"/>
      <c r="I468" s="11" t="inlineStr">
        <is>
          <t>conciliado</t>
        </is>
      </c>
    </row>
    <row r="469">
      <c r="A469" s="11" t="n">
        <v>748</v>
      </c>
      <c r="B469" s="12" t="n">
        <v>46100</v>
      </c>
      <c r="C469" s="11" t="inlineStr">
        <is>
          <t>garzon rocha wilson</t>
        </is>
      </c>
      <c r="D469" s="13" t="n">
        <v>4000</v>
      </c>
      <c r="E469" s="11">
        <f>IF(G469="conciliado","conciliado",I469)</f>
        <v/>
      </c>
      <c r="F469" s="11" t="inlineStr">
        <is>
          <t>556 | 2026-03-19 | 4,000 | alexander wilson</t>
        </is>
      </c>
      <c r="G469" s="11">
        <f>IF(I469="conciliado","conciliado","por revisar")</f>
        <v/>
      </c>
      <c r="H469" s="11" t="inlineStr"/>
      <c r="I469" s="11" t="inlineStr">
        <is>
          <t>conciliado</t>
        </is>
      </c>
    </row>
    <row r="470">
      <c r="A470" s="11" t="n">
        <v>747</v>
      </c>
      <c r="B470" s="12" t="n">
        <v>46100</v>
      </c>
      <c r="C470" s="11" t="inlineStr">
        <is>
          <t>ana cuervo enrriquez</t>
        </is>
      </c>
      <c r="D470" s="13" t="n">
        <v>6400</v>
      </c>
      <c r="E470" s="11">
        <f>IF(G470="conciliado","conciliado",I470)</f>
        <v/>
      </c>
      <c r="F470" s="11" t="inlineStr">
        <is>
          <t>557 | 2026-03-19 | 6,400 | ana cristina cuervo</t>
        </is>
      </c>
      <c r="G470" s="11">
        <f>IF(I470="conciliado","conciliado","por revisar")</f>
        <v/>
      </c>
      <c r="H470" s="11" t="inlineStr"/>
      <c r="I470" s="11" t="inlineStr">
        <is>
          <t>conciliado</t>
        </is>
      </c>
    </row>
    <row r="471">
      <c r="A471" s="11" t="n">
        <v>746</v>
      </c>
      <c r="B471" s="12" t="n">
        <v>46100</v>
      </c>
      <c r="C471" s="11" t="inlineStr">
        <is>
          <t>diana lara ma timana</t>
        </is>
      </c>
      <c r="D471" s="13" t="n">
        <v>14500</v>
      </c>
      <c r="E471" s="11">
        <f>IF(G471="conciliado","conciliado",I471)</f>
        <v/>
      </c>
      <c r="F471" s="11" t="inlineStr">
        <is>
          <t>558 | 2026-03-19 | 14,500 | diana marcela timana</t>
        </is>
      </c>
      <c r="G471" s="11">
        <f>IF(I471="conciliado","conciliado","por revisar")</f>
        <v/>
      </c>
      <c r="H471" s="11" t="inlineStr"/>
      <c r="I471" s="11" t="inlineStr">
        <is>
          <t>conciliado</t>
        </is>
      </c>
    </row>
    <row r="472">
      <c r="A472" s="11" t="n">
        <v>745</v>
      </c>
      <c r="B472" s="12" t="n">
        <v>46100</v>
      </c>
      <c r="C472" s="11" t="inlineStr">
        <is>
          <t>bolanos i montenegro</t>
        </is>
      </c>
      <c r="D472" s="13" t="n">
        <v>15000</v>
      </c>
      <c r="E472" s="11">
        <f>IF(G472="conciliado","conciliado",I472)</f>
        <v/>
      </c>
      <c r="F472" s="11" t="inlineStr">
        <is>
          <t>559 | 2026-03-19 | 15,000 | herney ivan montenegro</t>
        </is>
      </c>
      <c r="G472" s="11">
        <f>IF(I472="conciliado","conciliado","por revisar")</f>
        <v/>
      </c>
      <c r="H472" s="11" t="inlineStr"/>
      <c r="I472" s="11" t="inlineStr">
        <is>
          <t>conciliado</t>
        </is>
      </c>
    </row>
    <row r="473">
      <c r="A473" s="11" t="n">
        <v>740</v>
      </c>
      <c r="B473" s="12" t="n">
        <v>46100</v>
      </c>
      <c r="C473" s="11" t="inlineStr">
        <is>
          <t>enriquez mar salcedo</t>
        </is>
      </c>
      <c r="D473" s="13" t="n">
        <v>12200</v>
      </c>
      <c r="E473" s="11">
        <f>IF(G473="conciliado","conciliado",I473)</f>
        <v/>
      </c>
      <c r="F473" s="11" t="inlineStr">
        <is>
          <t>560 | 2026-03-19 | 12,200 | janny marcela salcedo</t>
        </is>
      </c>
      <c r="G473" s="11">
        <f>IF(I473="conciliado","conciliado","por revisar")</f>
        <v/>
      </c>
      <c r="H473" s="11" t="inlineStr"/>
      <c r="I473" s="11" t="inlineStr">
        <is>
          <t>conciliado</t>
        </is>
      </c>
    </row>
    <row r="474">
      <c r="A474" s="11" t="n">
        <v>711</v>
      </c>
      <c r="B474" s="12" t="n">
        <v>46100</v>
      </c>
      <c r="C474" s="11" t="inlineStr">
        <is>
          <t>laura solarte yepes</t>
        </is>
      </c>
      <c r="D474" s="13" t="n">
        <v>12300</v>
      </c>
      <c r="E474" s="11">
        <f>IF(G474="conciliado","conciliado",I474)</f>
        <v/>
      </c>
      <c r="F474" s="11" t="inlineStr">
        <is>
          <t>561 | 2026-03-19 | 12,300 | bancolombia desde qr recarga</t>
        </is>
      </c>
      <c r="G474" s="11">
        <f>IF(I474="conciliado","conciliado","por revisar")</f>
        <v/>
      </c>
      <c r="H474" s="11" t="inlineStr"/>
      <c r="I474" s="11" t="inlineStr">
        <is>
          <t>conciliado</t>
        </is>
      </c>
    </row>
    <row r="475">
      <c r="A475" s="11" t="n">
        <v>707</v>
      </c>
      <c r="B475" s="12" t="n">
        <v>46100</v>
      </c>
      <c r="C475" s="11" t="inlineStr">
        <is>
          <t>armero mar rodriguez</t>
        </is>
      </c>
      <c r="D475" s="13" t="n">
        <v>62200</v>
      </c>
      <c r="E475" s="11">
        <f>IF(G475="conciliado","conciliado",I475)</f>
        <v/>
      </c>
      <c r="F475" s="11" t="inlineStr">
        <is>
          <t>562 | 2026-03-19 | 62,200 | armero mariluz</t>
        </is>
      </c>
      <c r="G475" s="11">
        <f>IF(I475="conciliado","conciliado","por revisar")</f>
        <v/>
      </c>
      <c r="H475" s="11" t="inlineStr"/>
      <c r="I475" s="11" t="inlineStr">
        <is>
          <t>conciliado</t>
        </is>
      </c>
    </row>
    <row r="476">
      <c r="A476" s="11" t="n">
        <v>709</v>
      </c>
      <c r="B476" s="12" t="n">
        <v>46100</v>
      </c>
      <c r="C476" s="11" t="inlineStr">
        <is>
          <t>betancurth ro zapata</t>
        </is>
      </c>
      <c r="D476" s="13" t="n">
        <v>41200</v>
      </c>
      <c r="E476" s="11">
        <f>IF(G476="conciliado","conciliado",I476)</f>
        <v/>
      </c>
      <c r="F476" s="11" t="inlineStr">
        <is>
          <t>563 | 2026-03-19 | 41,200 | rodrigo zapata</t>
        </is>
      </c>
      <c r="G476" s="11">
        <f>IF(I476="conciliado","conciliado","por revisar")</f>
        <v/>
      </c>
      <c r="H476" s="11" t="inlineStr"/>
      <c r="I476" s="11" t="inlineStr">
        <is>
          <t>conciliado</t>
        </is>
      </c>
    </row>
    <row r="477">
      <c r="A477" s="11" t="n">
        <v>718</v>
      </c>
      <c r="B477" s="12" t="n">
        <v>46100</v>
      </c>
      <c r="C477" s="11" t="inlineStr">
        <is>
          <t>coral jani palchucan</t>
        </is>
      </c>
      <c r="D477" s="13" t="n">
        <v>9750</v>
      </c>
      <c r="E477" s="11">
        <f>IF(G477="conciliado","conciliado",I477)</f>
        <v/>
      </c>
      <c r="F477" s="11" t="inlineStr">
        <is>
          <t>564 | 2026-03-19 | 9,750 | arbey coral janier</t>
        </is>
      </c>
      <c r="G477" s="11">
        <f>IF(I477="conciliado","conciliado","por revisar")</f>
        <v/>
      </c>
      <c r="H477" s="11" t="inlineStr"/>
      <c r="I477" s="11" t="inlineStr">
        <is>
          <t>conciliado</t>
        </is>
      </c>
    </row>
    <row r="478">
      <c r="A478" s="11" t="n">
        <v>701</v>
      </c>
      <c r="B478" s="12" t="n">
        <v>46100</v>
      </c>
      <c r="C478" s="11" t="inlineStr">
        <is>
          <t>alimentos de masivos</t>
        </is>
      </c>
      <c r="D478" s="13" t="n">
        <v>-691746</v>
      </c>
      <c r="E478" s="11">
        <f>IF(G478="conciliado","conciliado",I478)</f>
        <v/>
      </c>
      <c r="F478" s="11" t="inlineStr">
        <is>
          <t>569 | 2026-03-19 | -691,746 | b bre en pago qr</t>
        </is>
      </c>
      <c r="G478" s="11">
        <f>IF(I478="conciliado","conciliado","por revisar")</f>
        <v/>
      </c>
      <c r="H478" s="11" t="inlineStr"/>
      <c r="I478" s="11" t="inlineStr">
        <is>
          <t>conciliado</t>
        </is>
      </c>
    </row>
    <row r="479">
      <c r="A479" s="11" t="n">
        <v>744</v>
      </c>
      <c r="B479" s="12" t="n">
        <v>46100</v>
      </c>
      <c r="C479" s="11" t="inlineStr">
        <is>
          <t>caicedo cortez nayel</t>
        </is>
      </c>
      <c r="D479" s="13" t="n">
        <v>9600</v>
      </c>
      <c r="E479" s="11">
        <f>IF(G479="conciliado","conciliado",I479)</f>
        <v/>
      </c>
      <c r="F479" s="11" t="inlineStr">
        <is>
          <t>570 | 2026-03-19 | 9,600 | ana cristina rodriguez</t>
        </is>
      </c>
      <c r="G479" s="11">
        <f>IF(I479="conciliado","conciliado","por revisar")</f>
        <v/>
      </c>
      <c r="H479" s="11" t="inlineStr"/>
      <c r="I479" s="11" t="inlineStr">
        <is>
          <t>conciliado</t>
        </is>
      </c>
    </row>
    <row r="480">
      <c r="A480" s="11" t="n">
        <v>737</v>
      </c>
      <c r="B480" s="12" t="n">
        <v>46100</v>
      </c>
      <c r="C480" s="11" t="inlineStr">
        <is>
          <t>gutierres pas pulido</t>
        </is>
      </c>
      <c r="D480" s="13" t="n">
        <v>9500</v>
      </c>
      <c r="E480" s="11">
        <f>IF(G480="conciliado","conciliado",I480)</f>
        <v/>
      </c>
      <c r="F480" s="11" t="inlineStr">
        <is>
          <t>572 | 2026-03-19 | 9,500 | pascual pulido</t>
        </is>
      </c>
      <c r="G480" s="11">
        <f>IF(I480="conciliado","conciliado","por revisar")</f>
        <v/>
      </c>
      <c r="H480" s="11" t="inlineStr"/>
      <c r="I480" s="11" t="inlineStr">
        <is>
          <t>conciliado</t>
        </is>
      </c>
    </row>
    <row r="481">
      <c r="A481" s="11" t="n">
        <v>731</v>
      </c>
      <c r="B481" s="12" t="n">
        <v>46100</v>
      </c>
      <c r="C481" s="11" t="inlineStr">
        <is>
          <t>burbano enriquez ley</t>
        </is>
      </c>
      <c r="D481" s="13" t="n">
        <v>6100</v>
      </c>
      <c r="E481" s="11">
        <f>IF(G481="conciliado","conciliado",I481)</f>
        <v/>
      </c>
      <c r="F481" s="11" t="inlineStr">
        <is>
          <t>573 | 2026-03-19 | 6,100 | andrea burbano leydi</t>
        </is>
      </c>
      <c r="G481" s="11">
        <f>IF(I481="conciliado","conciliado","por revisar")</f>
        <v/>
      </c>
      <c r="H481" s="11" t="inlineStr"/>
      <c r="I481" s="11" t="inlineStr">
        <is>
          <t>conciliado</t>
        </is>
      </c>
    </row>
    <row r="482">
      <c r="A482" s="11" t="n">
        <v>725</v>
      </c>
      <c r="B482" s="12" t="n">
        <v>46100</v>
      </c>
      <c r="C482" s="11" t="inlineStr">
        <is>
          <t>benavides santander</t>
        </is>
      </c>
      <c r="D482" s="13" t="n">
        <v>29400</v>
      </c>
      <c r="E482" s="11">
        <f>IF(G482="conciliado","conciliado",I482)</f>
        <v/>
      </c>
      <c r="F482" s="11" t="inlineStr">
        <is>
          <t>574 | 2026-03-19 | 29,400 | jhoana niny santander</t>
        </is>
      </c>
      <c r="G482" s="11">
        <f>IF(I482="conciliado","conciliado","por revisar")</f>
        <v/>
      </c>
      <c r="H482" s="11" t="inlineStr"/>
      <c r="I482" s="11" t="inlineStr">
        <is>
          <t>conciliado</t>
        </is>
      </c>
    </row>
    <row r="483">
      <c r="A483" s="11" t="n">
        <v>727</v>
      </c>
      <c r="B483" s="12" t="n">
        <v>46100</v>
      </c>
      <c r="C483" s="11" t="inlineStr">
        <is>
          <t>arias burbano erika</t>
        </is>
      </c>
      <c r="D483" s="13" t="n">
        <v>5200</v>
      </c>
      <c r="E483" s="11">
        <f>IF(G483="conciliado","conciliado",I483)</f>
        <v/>
      </c>
      <c r="F483" s="11" t="inlineStr">
        <is>
          <t>575 | 2026-03-19 | 5,200 | burbano erika nayely</t>
        </is>
      </c>
      <c r="G483" s="11">
        <f>IF(I483="conciliado","conciliado","por revisar")</f>
        <v/>
      </c>
      <c r="H483" s="11" t="inlineStr"/>
      <c r="I483" s="11" t="inlineStr">
        <is>
          <t>conciliado</t>
        </is>
      </c>
    </row>
    <row r="484">
      <c r="A484" s="11" t="n">
        <v>700</v>
      </c>
      <c r="B484" s="12" t="n">
        <v>46100</v>
      </c>
      <c r="C484" s="11" t="inlineStr">
        <is>
          <t>benavides sanseviero</t>
        </is>
      </c>
      <c r="D484" s="13" t="n">
        <v>-3972927</v>
      </c>
      <c r="E484" s="11">
        <f>IF(G484="conciliado","conciliado",I484)</f>
        <v/>
      </c>
      <c r="F484" s="11" t="inlineStr">
        <is>
          <t>577 | 2026-03-19 | -3,972,927 | adr ben fra san</t>
        </is>
      </c>
      <c r="G484" s="11">
        <f>IF(I484="conciliado","conciliado","por revisar")</f>
        <v/>
      </c>
      <c r="H484" s="11" t="inlineStr"/>
      <c r="I484" s="11" t="inlineStr">
        <is>
          <t>conciliado</t>
        </is>
      </c>
    </row>
    <row r="485">
      <c r="A485" s="11" t="n">
        <v>721</v>
      </c>
      <c r="B485" s="12" t="n">
        <v>46100</v>
      </c>
      <c r="C485" s="11" t="inlineStr">
        <is>
          <t>guerrero jh portilla</t>
        </is>
      </c>
      <c r="D485" s="13" t="n">
        <v>3000</v>
      </c>
      <c r="E485" s="11">
        <f>IF(G485="conciliado","conciliado",I485)</f>
        <v/>
      </c>
      <c r="F485" s="11" t="inlineStr">
        <is>
          <t>578 | 2026-03-19 | 3,000 | jhonatan santiago</t>
        </is>
      </c>
      <c r="G485" s="11">
        <f>IF(I485="conciliado","conciliado","por revisar")</f>
        <v/>
      </c>
      <c r="H485" s="11" t="inlineStr"/>
      <c r="I485" s="11" t="inlineStr">
        <is>
          <t>conciliado</t>
        </is>
      </c>
    </row>
    <row r="486">
      <c r="A486" s="11" t="n">
        <v>732</v>
      </c>
      <c r="B486" s="12" t="n">
        <v>46100</v>
      </c>
      <c r="C486" s="11" t="inlineStr">
        <is>
          <t>cordoba kelly perea</t>
        </is>
      </c>
      <c r="D486" s="13" t="n">
        <v>24400</v>
      </c>
      <c r="E486" s="11">
        <f>IF(G486="conciliado","conciliado",I486)</f>
        <v/>
      </c>
      <c r="F486" s="11" t="inlineStr">
        <is>
          <t>579 | 2026-03-19 | 24,400 | jhoana kelly perea</t>
        </is>
      </c>
      <c r="G486" s="11">
        <f>IF(I486="conciliado","conciliado","por revisar")</f>
        <v/>
      </c>
      <c r="H486" s="11" t="inlineStr"/>
      <c r="I486" s="11" t="inlineStr">
        <is>
          <t>conciliado</t>
        </is>
      </c>
    </row>
    <row r="487">
      <c r="A487" s="11" t="n">
        <v>743</v>
      </c>
      <c r="B487" s="12" t="n">
        <v>46100</v>
      </c>
      <c r="C487" s="11" t="inlineStr">
        <is>
          <t>bolanos garcia lexi</t>
        </is>
      </c>
      <c r="D487" s="13" t="n">
        <v>25900</v>
      </c>
      <c r="E487" s="11">
        <f>IF(G487="conciliado","conciliado",I487)</f>
        <v/>
      </c>
      <c r="F487" s="11" t="inlineStr">
        <is>
          <t>580 | 2026-03-19 | 25,900 | alexi garcia</t>
        </is>
      </c>
      <c r="G487" s="11">
        <f>IF(I487="conciliado","conciliado","por revisar")</f>
        <v/>
      </c>
      <c r="H487" s="11" t="inlineStr"/>
      <c r="I487" s="11" t="inlineStr">
        <is>
          <t>conciliado</t>
        </is>
      </c>
    </row>
    <row r="488">
      <c r="A488" s="11" t="n">
        <v>716</v>
      </c>
      <c r="B488" s="12" t="n">
        <v>46100</v>
      </c>
      <c r="C488" s="11" t="inlineStr">
        <is>
          <t>becerra patric perez</t>
        </is>
      </c>
      <c r="D488" s="13" t="n">
        <v>29200</v>
      </c>
      <c r="E488" s="11">
        <f>IF(G488="conciliado","conciliado",I488)</f>
        <v/>
      </c>
      <c r="F488" s="11" t="inlineStr">
        <is>
          <t>581 | 2026-03-19 | 29,200 | alba lady perez smith</t>
        </is>
      </c>
      <c r="G488" s="11">
        <f>IF(I488="conciliado","conciliado","por revisar")</f>
        <v/>
      </c>
      <c r="H488" s="11" t="inlineStr"/>
      <c r="I488" s="11" t="inlineStr">
        <is>
          <t>conciliado</t>
        </is>
      </c>
    </row>
    <row r="489">
      <c r="A489" s="11" t="n">
        <v>733</v>
      </c>
      <c r="B489" s="12" t="n">
        <v>46100</v>
      </c>
      <c r="C489" s="11" t="inlineStr">
        <is>
          <t>coral valeria</t>
        </is>
      </c>
      <c r="D489" s="13" t="n">
        <v>21500</v>
      </c>
      <c r="E489" s="11">
        <f>IF(G489="conciliado","conciliado",I489)</f>
        <v/>
      </c>
      <c r="F489" s="11" t="inlineStr">
        <is>
          <t>582 | 2026-03-19 | 21,500 | coral delcy valeria</t>
        </is>
      </c>
      <c r="G489" s="11">
        <f>IF(I489="conciliado","conciliado","por revisar")</f>
        <v/>
      </c>
      <c r="H489" s="11" t="inlineStr"/>
      <c r="I489" s="11" t="inlineStr">
        <is>
          <t>conciliado</t>
        </is>
      </c>
    </row>
    <row r="490">
      <c r="A490" s="11" t="n">
        <v>703</v>
      </c>
      <c r="B490" s="12" t="n">
        <v>46100</v>
      </c>
      <c r="C490" s="11" t="inlineStr">
        <is>
          <t>caycedo cortez helid</t>
        </is>
      </c>
      <c r="D490" s="13" t="n">
        <v>81570</v>
      </c>
      <c r="E490" s="11">
        <f>IF(G490="conciliado","conciliado",I490)</f>
        <v/>
      </c>
      <c r="F490" s="11" t="inlineStr">
        <is>
          <t>583 | 2026-03-19 | 81,570 | cortez franca helida</t>
        </is>
      </c>
      <c r="G490" s="11">
        <f>IF(I490="conciliado","conciliado","por revisar")</f>
        <v/>
      </c>
      <c r="H490" s="11" t="inlineStr"/>
      <c r="I490" s="11" t="inlineStr">
        <is>
          <t>conciliado</t>
        </is>
      </c>
    </row>
    <row r="491">
      <c r="A491" s="11" t="n">
        <v>705</v>
      </c>
      <c r="B491" s="12" t="n">
        <v>46100</v>
      </c>
      <c r="C491" s="11" t="inlineStr">
        <is>
          <t>figueroa jhonn mafla</t>
        </is>
      </c>
      <c r="D491" s="13" t="n">
        <v>6100</v>
      </c>
      <c r="E491" s="11">
        <f>IF(G491="conciliado","conciliado",I491)</f>
        <v/>
      </c>
      <c r="F491" s="11" t="inlineStr">
        <is>
          <t>584 | 2026-03-19 | 6,100 | anderson jhonn</t>
        </is>
      </c>
      <c r="G491" s="11">
        <f>IF(I491="conciliado","conciliado","por revisar")</f>
        <v/>
      </c>
      <c r="H491" s="11" t="inlineStr"/>
      <c r="I491" s="11" t="inlineStr">
        <is>
          <t>conciliado</t>
        </is>
      </c>
    </row>
    <row r="492">
      <c r="A492" s="11" t="n">
        <v>729</v>
      </c>
      <c r="B492" s="12" t="n">
        <v>46100</v>
      </c>
      <c r="C492" s="11" t="inlineStr">
        <is>
          <t>frank henao ordonez</t>
        </is>
      </c>
      <c r="D492" s="13" t="n">
        <v>88400</v>
      </c>
      <c r="E492" s="11">
        <f>IF(G492="conciliado","conciliado",I492)</f>
        <v/>
      </c>
      <c r="F492" s="11" t="inlineStr">
        <is>
          <t>585 | 2026-03-19 | 88,400 | frank henao yinner</t>
        </is>
      </c>
      <c r="G492" s="11">
        <f>IF(I492="conciliado","conciliado","por revisar")</f>
        <v/>
      </c>
      <c r="H492" s="11" t="inlineStr"/>
      <c r="I492" s="11" t="inlineStr">
        <is>
          <t>conciliado</t>
        </is>
      </c>
    </row>
    <row r="493">
      <c r="A493" s="11" t="n">
        <v>723</v>
      </c>
      <c r="B493" s="12" t="n">
        <v>46100</v>
      </c>
      <c r="C493" s="11" t="inlineStr">
        <is>
          <t>arteaga giraldo hele</t>
        </is>
      </c>
      <c r="D493" s="13" t="n">
        <v>21200</v>
      </c>
      <c r="E493" s="11">
        <f>IF(G493="conciliado","conciliado",I493)</f>
        <v/>
      </c>
      <c r="F493" s="11" t="inlineStr">
        <is>
          <t>586 | 2026-03-19 | 21,200 | bancolombia desde qr recarga</t>
        </is>
      </c>
      <c r="G493" s="11">
        <f>IF(I493="conciliado","conciliado","por revisar")</f>
        <v/>
      </c>
      <c r="H493" s="11" t="inlineStr"/>
      <c r="I493" s="11" t="inlineStr">
        <is>
          <t>conciliado</t>
        </is>
      </c>
    </row>
    <row r="494">
      <c r="A494" s="11" t="n">
        <v>717</v>
      </c>
      <c r="B494" s="12" t="n">
        <v>46100</v>
      </c>
      <c r="C494" s="11" t="inlineStr">
        <is>
          <t>millan nataly sousa</t>
        </is>
      </c>
      <c r="D494" s="13" t="n">
        <v>21910</v>
      </c>
      <c r="E494" s="11">
        <f>IF(G494="conciliado","conciliado",I494)</f>
        <v/>
      </c>
      <c r="F494" s="11" t="inlineStr">
        <is>
          <t>587 | 2026-03-19 | 21,910 | alexandra millan nataly</t>
        </is>
      </c>
      <c r="G494" s="11">
        <f>IF(I494="conciliado","conciliado","por revisar")</f>
        <v/>
      </c>
      <c r="H494" s="11" t="inlineStr"/>
      <c r="I494" s="11" t="inlineStr">
        <is>
          <t>conciliado</t>
        </is>
      </c>
    </row>
    <row r="495">
      <c r="A495" s="11" t="n">
        <v>739</v>
      </c>
      <c r="B495" s="12" t="n">
        <v>46100</v>
      </c>
      <c r="C495" s="11" t="inlineStr">
        <is>
          <t>gonsalez hugo lasso</t>
        </is>
      </c>
      <c r="D495" s="13" t="n">
        <v>12000</v>
      </c>
      <c r="E495" s="11">
        <f>IF(G495="conciliado","conciliado",I495)</f>
        <v/>
      </c>
      <c r="F495" s="11" t="inlineStr">
        <is>
          <t>588 | 2026-03-19 | 12,000 | armando gonzalez hugo</t>
        </is>
      </c>
      <c r="G495" s="11">
        <f>IF(I495="conciliado","conciliado","por revisar")</f>
        <v/>
      </c>
      <c r="H495" s="11" t="inlineStr"/>
      <c r="I495" s="11" t="inlineStr">
        <is>
          <t>conciliado</t>
        </is>
      </c>
    </row>
    <row r="496">
      <c r="A496" s="11" t="n">
        <v>734</v>
      </c>
      <c r="B496" s="12" t="n">
        <v>46100</v>
      </c>
      <c r="C496" s="11" t="inlineStr">
        <is>
          <t>guanga sobe trujillo</t>
        </is>
      </c>
      <c r="D496" s="13" t="n">
        <v>7400</v>
      </c>
      <c r="E496" s="11">
        <f>IF(G496="conciliado","conciliado",I496)</f>
        <v/>
      </c>
      <c r="F496" s="11" t="inlineStr">
        <is>
          <t>589 | 2026-03-19 | 7,400 | sobeida trujillo</t>
        </is>
      </c>
      <c r="G496" s="11">
        <f>IF(I496="conciliado","conciliado","por revisar")</f>
        <v/>
      </c>
      <c r="H496" s="11" t="inlineStr"/>
      <c r="I496" s="11" t="inlineStr">
        <is>
          <t>conciliado</t>
        </is>
      </c>
    </row>
    <row r="497">
      <c r="A497" s="11" t="n">
        <v>742</v>
      </c>
      <c r="B497" s="12" t="n">
        <v>46100</v>
      </c>
      <c r="C497" s="11" t="inlineStr">
        <is>
          <t>dobigama es tanigama</t>
        </is>
      </c>
      <c r="D497" s="13" t="n">
        <v>20100</v>
      </c>
      <c r="E497" s="11">
        <f>IF(G497="conciliado","conciliado",I497)</f>
        <v/>
      </c>
      <c r="F497" s="11" t="inlineStr">
        <is>
          <t>590 | 2026-03-19 | 20,100 | dovigama esther evila</t>
        </is>
      </c>
      <c r="G497" s="11">
        <f>IF(I497="conciliado","conciliado","por revisar")</f>
        <v/>
      </c>
      <c r="H497" s="11" t="inlineStr"/>
      <c r="I497" s="11" t="inlineStr">
        <is>
          <t>conciliado</t>
        </is>
      </c>
    </row>
    <row r="498">
      <c r="A498" s="11" t="n">
        <v>722</v>
      </c>
      <c r="B498" s="12" t="n">
        <v>46100</v>
      </c>
      <c r="C498" s="11" t="inlineStr">
        <is>
          <t>cortez jaramillo oma</t>
        </is>
      </c>
      <c r="D498" s="13" t="n">
        <v>6500</v>
      </c>
      <c r="E498" s="11">
        <f>IF(G498="conciliado","conciliado",I498)</f>
        <v/>
      </c>
      <c r="F498" s="11" t="inlineStr">
        <is>
          <t>591 | 2026-03-19 | 6,500 | alejandro omar</t>
        </is>
      </c>
      <c r="G498" s="11">
        <f>IF(I498="conciliado","conciliado","por revisar")</f>
        <v/>
      </c>
      <c r="H498" s="11" t="inlineStr"/>
      <c r="I498" s="11" t="inlineStr">
        <is>
          <t>conciliado</t>
        </is>
      </c>
    </row>
    <row r="499">
      <c r="A499" s="11" t="n">
        <v>714</v>
      </c>
      <c r="B499" s="12" t="n">
        <v>46100</v>
      </c>
      <c r="C499" s="11" t="inlineStr">
        <is>
          <t>leydi osorio sotelo</t>
        </is>
      </c>
      <c r="D499" s="13" t="n">
        <v>275000</v>
      </c>
      <c r="E499" s="11">
        <f>IF(G499="conciliado","conciliado",I499)</f>
        <v/>
      </c>
      <c r="F499" s="11" t="inlineStr">
        <is>
          <t>592 | 2026-03-19 | 275,000 | leydi milena osorio</t>
        </is>
      </c>
      <c r="G499" s="11">
        <f>IF(I499="conciliado","conciliado","por revisar")</f>
        <v/>
      </c>
      <c r="H499" s="11" t="inlineStr"/>
      <c r="I499" s="11" t="inlineStr">
        <is>
          <t>conciliado</t>
        </is>
      </c>
    </row>
    <row r="500">
      <c r="A500" s="11" t="n">
        <v>715</v>
      </c>
      <c r="B500" s="12" t="n">
        <v>46100</v>
      </c>
      <c r="C500" s="11" t="inlineStr">
        <is>
          <t>consumidor final</t>
        </is>
      </c>
      <c r="D500" s="13" t="n">
        <v>5000</v>
      </c>
      <c r="E500" s="11">
        <f>IF(G500="conciliado","conciliado",I500)</f>
        <v/>
      </c>
      <c r="F500" s="11" t="inlineStr">
        <is>
          <t>593 | 2026-03-19 | 5,000 | alexander wilson</t>
        </is>
      </c>
      <c r="G500" s="11">
        <f>IF(I500="conciliado","conciliado","por revisar")</f>
        <v/>
      </c>
      <c r="H500" s="11" t="inlineStr"/>
      <c r="I500" s="11" t="inlineStr">
        <is>
          <t>conciliado</t>
        </is>
      </c>
    </row>
    <row r="501">
      <c r="A501" s="11" t="n">
        <v>741</v>
      </c>
      <c r="B501" s="12" t="n">
        <v>46100</v>
      </c>
      <c r="C501" s="11" t="inlineStr">
        <is>
          <t>a ordonez polania</t>
        </is>
      </c>
      <c r="D501" s="13" t="n">
        <v>75500</v>
      </c>
      <c r="E501" s="11">
        <f>IF(G501="conciliado","conciliado",I501)</f>
        <v/>
      </c>
      <c r="F501" s="11" t="inlineStr">
        <is>
          <t>594 | 2026-03-19 | 75,500 | alveiro ordonez polania</t>
        </is>
      </c>
      <c r="G501" s="11">
        <f>IF(I501="conciliado","conciliado","por revisar")</f>
        <v/>
      </c>
      <c r="H501" s="11" t="inlineStr"/>
      <c r="I501" s="11" t="inlineStr">
        <is>
          <t>conciliado</t>
        </is>
      </c>
    </row>
    <row r="502">
      <c r="A502" s="11" t="n">
        <v>708</v>
      </c>
      <c r="B502" s="12" t="n">
        <v>46100</v>
      </c>
      <c r="C502" s="11" t="inlineStr">
        <is>
          <t>angie cagua car cruz</t>
        </is>
      </c>
      <c r="D502" s="13" t="n">
        <v>21600</v>
      </c>
      <c r="E502" s="11">
        <f>IF(G502="conciliado","conciliado",I502)</f>
        <v/>
      </c>
      <c r="F502" s="11" t="inlineStr">
        <is>
          <t>595 | 2026-03-19 | 21,600 | angie cagua carolina</t>
        </is>
      </c>
      <c r="G502" s="11">
        <f>IF(I502="conciliado","conciliado","por revisar")</f>
        <v/>
      </c>
      <c r="H502" s="11" t="inlineStr"/>
      <c r="I502" s="11" t="inlineStr">
        <is>
          <t>conciliado</t>
        </is>
      </c>
    </row>
    <row r="503">
      <c r="A503" s="11" t="n">
        <v>704</v>
      </c>
      <c r="B503" s="12" t="n">
        <v>46100</v>
      </c>
      <c r="C503" s="11" t="inlineStr">
        <is>
          <t>nefi perez sepulveda</t>
        </is>
      </c>
      <c r="D503" s="13" t="n">
        <v>22800</v>
      </c>
      <c r="E503" s="11">
        <f>IF(G503="conciliado","conciliado",I503)</f>
        <v/>
      </c>
      <c r="F503" s="11" t="inlineStr">
        <is>
          <t>596 | 2026-03-19 | 22,800 | nefi perez sepulveda</t>
        </is>
      </c>
      <c r="G503" s="11">
        <f>IF(I503="conciliado","conciliado","por revisar")</f>
        <v/>
      </c>
      <c r="H503" s="11" t="inlineStr"/>
      <c r="I503" s="11" t="inlineStr">
        <is>
          <t>conciliado</t>
        </is>
      </c>
    </row>
    <row r="504">
      <c r="A504" s="11" t="n">
        <v>706</v>
      </c>
      <c r="B504" s="12" t="n">
        <v>46100</v>
      </c>
      <c r="C504" s="11" t="inlineStr">
        <is>
          <t>petro rios sas</t>
        </is>
      </c>
      <c r="D504" s="13" t="n">
        <v>200100</v>
      </c>
      <c r="E504" s="11">
        <f>IF(G504="conciliado","conciliado",I504)</f>
        <v/>
      </c>
      <c r="F504" s="11" t="inlineStr">
        <is>
          <t>597 | 2026-03-19 | 200,100 | nequi pse recarga</t>
        </is>
      </c>
      <c r="G504" s="11">
        <f>IF(I504="conciliado","conciliado","por revisar")</f>
        <v/>
      </c>
      <c r="H504" s="11" t="inlineStr"/>
      <c r="I504" s="11" t="inlineStr">
        <is>
          <t>conciliado</t>
        </is>
      </c>
    </row>
    <row r="505">
      <c r="A505" s="11" t="n">
        <v>720</v>
      </c>
      <c r="B505" s="12" t="n">
        <v>46100</v>
      </c>
      <c r="C505" s="11" t="inlineStr">
        <is>
          <t>diaz jeimy pantoja t</t>
        </is>
      </c>
      <c r="D505" s="13" t="n">
        <v>4600</v>
      </c>
      <c r="E505" s="11">
        <f>IF(G505="conciliado","conciliado",I505)</f>
        <v/>
      </c>
      <c r="F505" s="11" t="inlineStr">
        <is>
          <t>598 | 2026-03-19 | 4,600 | diaz jeimy tatiana</t>
        </is>
      </c>
      <c r="G505" s="11">
        <f>IF(I505="conciliado","conciliado","por revisar")</f>
        <v/>
      </c>
      <c r="H505" s="11" t="inlineStr"/>
      <c r="I505" s="11" t="inlineStr">
        <is>
          <t>conciliado</t>
        </is>
      </c>
    </row>
    <row r="506">
      <c r="A506" s="11" t="n">
        <v>730</v>
      </c>
      <c r="B506" s="12" t="n">
        <v>46100</v>
      </c>
      <c r="C506" s="11" t="inlineStr">
        <is>
          <t>chavez dias eva line</t>
        </is>
      </c>
      <c r="D506" s="13" t="n">
        <v>6000</v>
      </c>
      <c r="E506" s="11">
        <f>IF(G506="conciliado","conciliado",I506)</f>
        <v/>
      </c>
      <c r="F506" s="11" t="inlineStr">
        <is>
          <t>599 | 2026-03-19 | 6,000 | diaz eva linet</t>
        </is>
      </c>
      <c r="G506" s="11">
        <f>IF(I506="conciliado","conciliado","por revisar")</f>
        <v/>
      </c>
      <c r="H506" s="11" t="inlineStr"/>
      <c r="I506" s="11" t="inlineStr">
        <is>
          <t>conciliado</t>
        </is>
      </c>
    </row>
    <row r="507">
      <c r="A507" s="11" t="n">
        <v>712</v>
      </c>
      <c r="B507" s="12" t="n">
        <v>46100</v>
      </c>
      <c r="C507" s="11" t="inlineStr">
        <is>
          <t>chaves imbachi tatia</t>
        </is>
      </c>
      <c r="D507" s="13" t="n">
        <v>34900</v>
      </c>
      <c r="E507" s="11">
        <f>IF(G507="conciliado","conciliado",I507)</f>
        <v/>
      </c>
      <c r="F507" s="11" t="inlineStr">
        <is>
          <t>600 | 2026-03-19 | 34,900 | chaves imbachi tatiana</t>
        </is>
      </c>
      <c r="G507" s="11">
        <f>IF(I507="conciliado","conciliado","por revisar")</f>
        <v/>
      </c>
      <c r="H507" s="11" t="inlineStr"/>
      <c r="I507" s="11" t="inlineStr">
        <is>
          <t>conciliado</t>
        </is>
      </c>
    </row>
    <row r="508">
      <c r="A508" s="11" t="n">
        <v>666</v>
      </c>
      <c r="B508" s="12" t="n">
        <v>46099</v>
      </c>
      <c r="C508" s="11" t="inlineStr">
        <is>
          <t>figueroa jhonn mafla</t>
        </is>
      </c>
      <c r="D508" s="13" t="n">
        <v>23500</v>
      </c>
      <c r="E508" s="11">
        <f>IF(G508="conciliado","conciliado",I508)</f>
        <v/>
      </c>
      <c r="F508" s="11" t="inlineStr">
        <is>
          <t>602 | 2026-03-18 | 23,500 | anderson jhonn</t>
        </is>
      </c>
      <c r="G508" s="11">
        <f>IF(I508="conciliado","conciliado","por revisar")</f>
        <v/>
      </c>
      <c r="H508" s="11" t="inlineStr"/>
      <c r="I508" s="11" t="inlineStr">
        <is>
          <t>conciliado</t>
        </is>
      </c>
    </row>
    <row r="509">
      <c r="A509" s="11" t="n">
        <v>669</v>
      </c>
      <c r="B509" s="12" t="n">
        <v>46099</v>
      </c>
      <c r="C509" s="11" t="inlineStr">
        <is>
          <t>jeffer nupan pesillo</t>
        </is>
      </c>
      <c r="D509" s="13" t="n">
        <v>16900</v>
      </c>
      <c r="E509" s="11">
        <f>IF(G509="conciliado","conciliado",I509)</f>
        <v/>
      </c>
      <c r="F509" s="11" t="inlineStr">
        <is>
          <t>603 | 2026-03-18 | 16,900 | jefferson nupan</t>
        </is>
      </c>
      <c r="G509" s="11">
        <f>IF(I509="conciliado","conciliado","por revisar")</f>
        <v/>
      </c>
      <c r="H509" s="11" t="inlineStr"/>
      <c r="I509" s="11" t="inlineStr">
        <is>
          <t>conciliado</t>
        </is>
      </c>
    </row>
    <row r="510">
      <c r="A510" s="11" t="n">
        <v>670</v>
      </c>
      <c r="B510" s="12" t="n">
        <v>46099</v>
      </c>
      <c r="C510" s="11" t="inlineStr">
        <is>
          <t>andres segura vargas</t>
        </is>
      </c>
      <c r="D510" s="13" t="n">
        <v>44140</v>
      </c>
      <c r="E510" s="11">
        <f>IF(G510="conciliado","conciliado",I510)</f>
        <v/>
      </c>
      <c r="F510" s="11" t="inlineStr">
        <is>
          <t>604 | 2026-03-18 | 44,140 | andres segura vargas</t>
        </is>
      </c>
      <c r="G510" s="11">
        <f>IF(I510="conciliado","conciliado","por revisar")</f>
        <v/>
      </c>
      <c r="H510" s="11" t="inlineStr"/>
      <c r="I510" s="11" t="inlineStr">
        <is>
          <t>conciliado</t>
        </is>
      </c>
    </row>
    <row r="511">
      <c r="A511" s="11" t="n">
        <v>694</v>
      </c>
      <c r="B511" s="12" t="n">
        <v>46099</v>
      </c>
      <c r="C511" s="11" t="inlineStr">
        <is>
          <t>matabanchoy meneses</t>
        </is>
      </c>
      <c r="D511" s="13" t="n">
        <v>4700</v>
      </c>
      <c r="E511" s="11">
        <f>IF(G511="conciliado","conciliado",I511)</f>
        <v/>
      </c>
      <c r="F511" s="11" t="inlineStr">
        <is>
          <t>605 | 2026-03-18 | 4,700 | marleny matabanchoy</t>
        </is>
      </c>
      <c r="G511" s="11">
        <f>IF(I511="conciliado","conciliado","por revisar")</f>
        <v/>
      </c>
      <c r="H511" s="11" t="inlineStr"/>
      <c r="I511" s="11" t="inlineStr">
        <is>
          <t>conciliado</t>
        </is>
      </c>
    </row>
    <row r="512">
      <c r="A512" s="11" t="n">
        <v>683</v>
      </c>
      <c r="B512" s="12" t="n">
        <v>46099</v>
      </c>
      <c r="C512" s="11" t="inlineStr">
        <is>
          <t>jos linda palma romo</t>
        </is>
      </c>
      <c r="D512" s="13" t="n">
        <v>10000</v>
      </c>
      <c r="E512" s="11">
        <f>IF(G512="conciliado","conciliado",I512)</f>
        <v/>
      </c>
      <c r="F512" s="11" t="inlineStr">
        <is>
          <t>606 | 2026-03-18 | 10,000 | joshira linda romo</t>
        </is>
      </c>
      <c r="G512" s="11">
        <f>IF(I512="conciliado","conciliado","por revisar")</f>
        <v/>
      </c>
      <c r="H512" s="11" t="inlineStr"/>
      <c r="I512" s="11" t="inlineStr">
        <is>
          <t>conciliado</t>
        </is>
      </c>
    </row>
    <row r="513">
      <c r="A513" s="11" t="n">
        <v>665</v>
      </c>
      <c r="B513" s="12" t="n">
        <v>46099</v>
      </c>
      <c r="C513" s="11" t="inlineStr">
        <is>
          <t>cuaran erazo marwin</t>
        </is>
      </c>
      <c r="D513" s="13" t="n">
        <v>29000</v>
      </c>
      <c r="E513" s="11">
        <f>IF(G513="conciliado","conciliado",I513)</f>
        <v/>
      </c>
      <c r="F513" s="11" t="inlineStr">
        <is>
          <t>607 | 2026-03-18 | 29,000 | duvany erazo marwin</t>
        </is>
      </c>
      <c r="G513" s="11">
        <f>IF(I513="conciliado","conciliado","por revisar")</f>
        <v/>
      </c>
      <c r="H513" s="11" t="inlineStr"/>
      <c r="I513" s="11" t="inlineStr">
        <is>
          <t>conciliado</t>
        </is>
      </c>
    </row>
    <row r="514">
      <c r="A514" s="11" t="n">
        <v>692</v>
      </c>
      <c r="B514" s="12" t="n">
        <v>46099</v>
      </c>
      <c r="C514" s="11" t="inlineStr">
        <is>
          <t>castillo hern patino</t>
        </is>
      </c>
      <c r="D514" s="13" t="n">
        <v>33200</v>
      </c>
      <c r="E514" s="11">
        <f>IF(G514="conciliado","conciliado",I514)</f>
        <v/>
      </c>
      <c r="F514" s="11" t="inlineStr">
        <is>
          <t>608 | 2026-03-18 | 33,200 | castillo hernan wilian</t>
        </is>
      </c>
      <c r="G514" s="11">
        <f>IF(I514="conciliado","conciliado","por revisar")</f>
        <v/>
      </c>
      <c r="H514" s="11" t="inlineStr"/>
      <c r="I514" s="11" t="inlineStr">
        <is>
          <t>conciliado</t>
        </is>
      </c>
    </row>
    <row r="515">
      <c r="A515" s="11" t="n">
        <v>674</v>
      </c>
      <c r="B515" s="12" t="n">
        <v>46099</v>
      </c>
      <c r="C515" s="11" t="inlineStr">
        <is>
          <t>jhudyt leiton obando</t>
        </is>
      </c>
      <c r="D515" s="13" t="n">
        <v>76300</v>
      </c>
      <c r="E515" s="11">
        <f>IF(G515="conciliado","conciliado",I515)</f>
        <v/>
      </c>
      <c r="F515" s="11" t="inlineStr">
        <is>
          <t>609 | 2026-03-18 | 76,300 | jhudyt jimena leiton</t>
        </is>
      </c>
      <c r="G515" s="11">
        <f>IF(I515="conciliado","conciliado","por revisar")</f>
        <v/>
      </c>
      <c r="H515" s="11" t="inlineStr"/>
      <c r="I515" s="11" t="inlineStr">
        <is>
          <t>conciliado</t>
        </is>
      </c>
    </row>
    <row r="516">
      <c r="A516" s="11" t="n">
        <v>693</v>
      </c>
      <c r="B516" s="12" t="n">
        <v>46099</v>
      </c>
      <c r="C516" s="11" t="inlineStr">
        <is>
          <t>man samudio zambrano</t>
        </is>
      </c>
      <c r="D516" s="13" t="n">
        <v>10700</v>
      </c>
      <c r="E516" s="11">
        <f>IF(G516="conciliado","conciliado",I516)</f>
        <v/>
      </c>
      <c r="F516" s="11" t="inlineStr">
        <is>
          <t>610 | 2026-03-18 | 10,700 | felipe manuel zambrano</t>
        </is>
      </c>
      <c r="G516" s="11">
        <f>IF(I516="conciliado","conciliado","por revisar")</f>
        <v/>
      </c>
      <c r="H516" s="11" t="inlineStr"/>
      <c r="I516" s="11" t="inlineStr">
        <is>
          <t>conciliado</t>
        </is>
      </c>
    </row>
    <row r="517">
      <c r="A517" s="11" t="n">
        <v>682</v>
      </c>
      <c r="B517" s="12" t="n">
        <v>46099</v>
      </c>
      <c r="C517" s="11" t="inlineStr">
        <is>
          <t>b cueva pinta wilson</t>
        </is>
      </c>
      <c r="D517" s="13" t="n">
        <v>20800</v>
      </c>
      <c r="E517" s="11">
        <f>IF(G517="conciliado","conciliado",I517)</f>
        <v/>
      </c>
      <c r="F517" s="11" t="inlineStr">
        <is>
          <t>611 | 2026-03-18 | 20,800 | b bre wilson</t>
        </is>
      </c>
      <c r="G517" s="11">
        <f>IF(I517="conciliado","conciliado","por revisar")</f>
        <v/>
      </c>
      <c r="H517" s="11" t="inlineStr"/>
      <c r="I517" s="11" t="inlineStr">
        <is>
          <t>conciliado</t>
        </is>
      </c>
    </row>
    <row r="518">
      <c r="A518" s="11" t="n">
        <v>697</v>
      </c>
      <c r="B518" s="12" t="n">
        <v>46099</v>
      </c>
      <c r="C518" s="11" t="inlineStr">
        <is>
          <t>daniela delgado diaz</t>
        </is>
      </c>
      <c r="D518" s="13" t="n">
        <v>22700</v>
      </c>
      <c r="E518" s="11">
        <f>IF(G518="conciliado","conciliado",I518)</f>
        <v/>
      </c>
      <c r="F518" s="11" t="inlineStr">
        <is>
          <t>612 | 2026-03-18 | 22,700 | forero mora yolanda</t>
        </is>
      </c>
      <c r="G518" s="11">
        <f>IF(I518="conciliado","conciliado","por revisar")</f>
        <v/>
      </c>
      <c r="H518" s="11" t="inlineStr"/>
      <c r="I518" s="11" t="inlineStr">
        <is>
          <t>conciliado</t>
        </is>
      </c>
    </row>
    <row r="519">
      <c r="A519" s="11" t="n">
        <v>698</v>
      </c>
      <c r="B519" s="12" t="n">
        <v>46099</v>
      </c>
      <c r="C519" s="11" t="inlineStr">
        <is>
          <t>alfonso j ruiz tapia</t>
        </is>
      </c>
      <c r="D519" s="13" t="n">
        <v>33500</v>
      </c>
      <c r="E519" s="11">
        <f>IF(G519="conciliado","conciliado",I519)</f>
        <v/>
      </c>
      <c r="F519" s="11" t="inlineStr">
        <is>
          <t>613 | 2026-03-18 | 33,500 | alfonso jhovani ruiz</t>
        </is>
      </c>
      <c r="G519" s="11">
        <f>IF(I519="conciliado","conciliado","por revisar")</f>
        <v/>
      </c>
      <c r="H519" s="11" t="inlineStr"/>
      <c r="I519" s="11" t="inlineStr">
        <is>
          <t>conciliado</t>
        </is>
      </c>
    </row>
    <row r="520">
      <c r="A520" s="11" t="n">
        <v>681</v>
      </c>
      <c r="B520" s="12" t="n">
        <v>46099</v>
      </c>
      <c r="C520" s="11" t="inlineStr">
        <is>
          <t>bl bohorquez giraldo</t>
        </is>
      </c>
      <c r="D520" s="13" t="n">
        <v>8100</v>
      </c>
      <c r="E520" s="11">
        <f>IF(G520="conciliado","conciliado",I520)</f>
        <v/>
      </c>
      <c r="F520" s="11" t="inlineStr">
        <is>
          <t>614 | 2026-03-18 | 8,100 | blanca cecilia giraldo</t>
        </is>
      </c>
      <c r="G520" s="11">
        <f>IF(I520="conciliado","conciliado","por revisar")</f>
        <v/>
      </c>
      <c r="H520" s="11" t="inlineStr"/>
      <c r="I520" s="11" t="inlineStr">
        <is>
          <t>conciliado</t>
        </is>
      </c>
    </row>
    <row r="521">
      <c r="A521" s="11" t="n">
        <v>690</v>
      </c>
      <c r="B521" s="12" t="n">
        <v>46099</v>
      </c>
      <c r="C521" s="11" t="inlineStr">
        <is>
          <t>bolanos madronero os</t>
        </is>
      </c>
      <c r="D521" s="13" t="n">
        <v>33600</v>
      </c>
      <c r="E521" s="11">
        <f>IF(G521="conciliado","conciliado",I521)</f>
        <v/>
      </c>
      <c r="F521" s="11" t="inlineStr">
        <is>
          <t>615 | 2026-03-18 | 33,600 | albeiro oscar</t>
        </is>
      </c>
      <c r="G521" s="11">
        <f>IF(I521="conciliado","conciliado","por revisar")</f>
        <v/>
      </c>
      <c r="H521" s="11" t="inlineStr"/>
      <c r="I521" s="11" t="inlineStr">
        <is>
          <t>conciliado</t>
        </is>
      </c>
    </row>
    <row r="522">
      <c r="A522" s="11" t="n">
        <v>686</v>
      </c>
      <c r="B522" s="12" t="n">
        <v>46099</v>
      </c>
      <c r="C522" s="11" t="inlineStr">
        <is>
          <t>dayerly ingrid quint</t>
        </is>
      </c>
      <c r="D522" s="13" t="n">
        <v>11200</v>
      </c>
      <c r="E522" s="11">
        <f>IF(G522="conciliado","conciliado",I522)</f>
        <v/>
      </c>
      <c r="F522" s="11" t="inlineStr">
        <is>
          <t>616 | 2026-03-18 | 11,200 | dayerli ingrid quintero</t>
        </is>
      </c>
      <c r="G522" s="11">
        <f>IF(I522="conciliado","conciliado","por revisar")</f>
        <v/>
      </c>
      <c r="H522" s="11" t="inlineStr"/>
      <c r="I522" s="11" t="inlineStr">
        <is>
          <t>conciliado</t>
        </is>
      </c>
    </row>
    <row r="523">
      <c r="A523" s="11" t="n">
        <v>672</v>
      </c>
      <c r="B523" s="12" t="n">
        <v>46099</v>
      </c>
      <c r="C523" s="11" t="inlineStr">
        <is>
          <t>laura solarte yepes</t>
        </is>
      </c>
      <c r="D523" s="13" t="n">
        <v>28100</v>
      </c>
      <c r="E523" s="11">
        <f>IF(G523="conciliado","conciliado",I523)</f>
        <v/>
      </c>
      <c r="F523" s="11" t="inlineStr">
        <is>
          <t>617 | 2026-03-18 | 28,100 | bancolombia desde qr recarga</t>
        </is>
      </c>
      <c r="G523" s="11">
        <f>IF(I523="conciliado","conciliado","por revisar")</f>
        <v/>
      </c>
      <c r="H523" s="11" t="inlineStr"/>
      <c r="I523" s="11" t="inlineStr">
        <is>
          <t>conciliado</t>
        </is>
      </c>
    </row>
    <row r="524">
      <c r="A524" s="11" t="n">
        <v>688</v>
      </c>
      <c r="B524" s="12" t="n">
        <v>46099</v>
      </c>
      <c r="C524" s="11" t="inlineStr">
        <is>
          <t>benavides santander</t>
        </is>
      </c>
      <c r="D524" s="13" t="n">
        <v>20600</v>
      </c>
      <c r="E524" s="11">
        <f>IF(G524="conciliado","conciliado",I524)</f>
        <v/>
      </c>
      <c r="F524" s="11" t="inlineStr">
        <is>
          <t>618 | 2026-03-18 | 20,600 | jhoana niny santander</t>
        </is>
      </c>
      <c r="G524" s="11">
        <f>IF(I524="conciliado","conciliado","por revisar")</f>
        <v/>
      </c>
      <c r="H524" s="11" t="inlineStr"/>
      <c r="I524" s="11" t="inlineStr">
        <is>
          <t>conciliado</t>
        </is>
      </c>
    </row>
    <row r="525">
      <c r="A525" s="11" t="n">
        <v>695</v>
      </c>
      <c r="B525" s="12" t="n">
        <v>46099</v>
      </c>
      <c r="C525" s="11" t="inlineStr">
        <is>
          <t>ceron torres yeison</t>
        </is>
      </c>
      <c r="D525" s="13" t="n">
        <v>13900</v>
      </c>
      <c r="E525" s="11">
        <f>IF(G525="conciliado","conciliado",I525)</f>
        <v/>
      </c>
      <c r="F525" s="11" t="inlineStr">
        <is>
          <t>619 | 2026-03-18 | 13,900 | andres torres yeison</t>
        </is>
      </c>
      <c r="G525" s="11">
        <f>IF(I525="conciliado","conciliado","por revisar")</f>
        <v/>
      </c>
      <c r="H525" s="11" t="inlineStr"/>
      <c r="I525" s="11" t="inlineStr">
        <is>
          <t>conciliado</t>
        </is>
      </c>
    </row>
    <row r="526">
      <c r="A526" s="11" t="n">
        <v>677</v>
      </c>
      <c r="B526" s="12" t="n">
        <v>46099</v>
      </c>
      <c r="C526" s="11" t="inlineStr">
        <is>
          <t>giraldo largo luisa</t>
        </is>
      </c>
      <c r="D526" s="13" t="n">
        <v>13100</v>
      </c>
      <c r="E526" s="11">
        <f>IF(G526="conciliado","conciliado",I526)</f>
        <v/>
      </c>
      <c r="F526" s="11" t="inlineStr">
        <is>
          <t>620 | 2026-03-18 | 13,100 | bancolombia desde qr recarga</t>
        </is>
      </c>
      <c r="G526" s="11">
        <f>IF(I526="conciliado","conciliado","por revisar")</f>
        <v/>
      </c>
      <c r="H526" s="11" t="inlineStr"/>
      <c r="I526" s="11" t="inlineStr">
        <is>
          <t>conciliado</t>
        </is>
      </c>
    </row>
    <row r="527">
      <c r="A527" s="11" t="n">
        <v>696</v>
      </c>
      <c r="B527" s="12" t="n">
        <v>46099</v>
      </c>
      <c r="C527" s="11" t="inlineStr">
        <is>
          <t>chasoy judy timaran</t>
        </is>
      </c>
      <c r="D527" s="13" t="n">
        <v>28400</v>
      </c>
      <c r="E527" s="11">
        <f>IF(G527="conciliado","conciliado",I527)</f>
        <v/>
      </c>
      <c r="F527" s="11" t="inlineStr">
        <is>
          <t>621 | 2026-03-18 | 28,400 | b bre judy</t>
        </is>
      </c>
      <c r="G527" s="11">
        <f>IF(I527="conciliado","conciliado","por revisar")</f>
        <v/>
      </c>
      <c r="H527" s="11" t="inlineStr"/>
      <c r="I527" s="11" t="inlineStr">
        <is>
          <t>conciliado</t>
        </is>
      </c>
    </row>
    <row r="528">
      <c r="A528" s="11" t="n">
        <v>689</v>
      </c>
      <c r="B528" s="12" t="n">
        <v>46099</v>
      </c>
      <c r="C528" s="11" t="inlineStr">
        <is>
          <t>giraldo gre polanias</t>
        </is>
      </c>
      <c r="D528" s="13" t="n">
        <v>15000</v>
      </c>
      <c r="E528" s="11">
        <f>IF(G528="conciliado","conciliado",I528)</f>
        <v/>
      </c>
      <c r="F528" s="11" t="inlineStr">
        <is>
          <t>622 | 2026-03-18 | 15,000 | giraldo greisy polanias</t>
        </is>
      </c>
      <c r="G528" s="11">
        <f>IF(I528="conciliado","conciliado","por revisar")</f>
        <v/>
      </c>
      <c r="H528" s="11" t="inlineStr"/>
      <c r="I528" s="11" t="inlineStr">
        <is>
          <t>conciliado</t>
        </is>
      </c>
    </row>
    <row r="529">
      <c r="A529" s="11" t="n">
        <v>691</v>
      </c>
      <c r="B529" s="12" t="n">
        <v>46099</v>
      </c>
      <c r="C529" s="11" t="inlineStr">
        <is>
          <t>arenas garcia luisa</t>
        </is>
      </c>
      <c r="D529" s="13" t="n">
        <v>5200</v>
      </c>
      <c r="E529" s="11">
        <f>IF(G529="conciliado","conciliado",I529)</f>
        <v/>
      </c>
      <c r="F529" s="11" t="inlineStr">
        <is>
          <t>623 | 2026-03-18 | 5,200 | arenas fernanda luisa</t>
        </is>
      </c>
      <c r="G529" s="11">
        <f>IF(I529="conciliado","conciliado","por revisar")</f>
        <v/>
      </c>
      <c r="H529" s="11" t="inlineStr"/>
      <c r="I529" s="11" t="inlineStr">
        <is>
          <t>conciliado</t>
        </is>
      </c>
    </row>
    <row r="530">
      <c r="A530" s="11" t="n">
        <v>699</v>
      </c>
      <c r="B530" s="12" t="n">
        <v>46099</v>
      </c>
      <c r="C530" s="11" t="inlineStr">
        <is>
          <t>mosquera r vargas</t>
        </is>
      </c>
      <c r="D530" s="13" t="n">
        <v>6800</v>
      </c>
      <c r="E530" s="11">
        <f>IF(G530="conciliado","conciliado",I530)</f>
        <v/>
      </c>
      <c r="F530" s="11" t="inlineStr">
        <is>
          <t>624 | 2026-03-18 | 6,800 | andrea mosquera ruby</t>
        </is>
      </c>
      <c r="G530" s="11">
        <f>IF(I530="conciliado","conciliado","por revisar")</f>
        <v/>
      </c>
      <c r="H530" s="11" t="inlineStr"/>
      <c r="I530" s="11" t="inlineStr">
        <is>
          <t>conciliado</t>
        </is>
      </c>
    </row>
    <row r="531">
      <c r="A531" s="11" t="n">
        <v>687</v>
      </c>
      <c r="B531" s="12" t="n">
        <v>46099</v>
      </c>
      <c r="C531" s="11" t="inlineStr">
        <is>
          <t>je mosquera palacios</t>
        </is>
      </c>
      <c r="D531" s="13" t="n">
        <v>11600</v>
      </c>
      <c r="E531" s="11">
        <f>IF(G531="conciliado","conciliado",I531)</f>
        <v/>
      </c>
      <c r="F531" s="11" t="inlineStr">
        <is>
          <t>625 | 2026-03-18 | 11,600 | jennifer mosquera</t>
        </is>
      </c>
      <c r="G531" s="11">
        <f>IF(I531="conciliado","conciliado","por revisar")</f>
        <v/>
      </c>
      <c r="H531" s="11" t="inlineStr"/>
      <c r="I531" s="11" t="inlineStr">
        <is>
          <t>conciliado</t>
        </is>
      </c>
    </row>
    <row r="532">
      <c r="A532" s="11" t="n">
        <v>680</v>
      </c>
      <c r="B532" s="12" t="n">
        <v>46099</v>
      </c>
      <c r="C532" s="11" t="inlineStr">
        <is>
          <t>deen gil mari yandun</t>
        </is>
      </c>
      <c r="D532" s="13" t="n">
        <v>345500</v>
      </c>
      <c r="E532" s="11">
        <f>IF(G532="conciliado","conciliado",I532)</f>
        <v/>
      </c>
      <c r="F532" s="11" t="inlineStr">
        <is>
          <t>626 | 2026-03-18 | 345,500 | b bre deen</t>
        </is>
      </c>
      <c r="G532" s="11">
        <f>IF(I532="conciliado","conciliado","por revisar")</f>
        <v/>
      </c>
      <c r="H532" s="11" t="inlineStr"/>
      <c r="I532" s="11" t="inlineStr">
        <is>
          <t>conciliado</t>
        </is>
      </c>
    </row>
    <row r="533">
      <c r="A533" s="11" t="n">
        <v>667</v>
      </c>
      <c r="B533" s="12" t="n">
        <v>46099</v>
      </c>
      <c r="C533" s="11" t="inlineStr">
        <is>
          <t>floralba martinez</t>
        </is>
      </c>
      <c r="D533" s="13" t="n">
        <v>49400</v>
      </c>
      <c r="E533" s="11">
        <f>IF(G533="conciliado","conciliado",I533)</f>
        <v/>
      </c>
      <c r="F533" s="11" t="inlineStr">
        <is>
          <t>628 | 2026-03-18 | 49,400 | floralba martinez</t>
        </is>
      </c>
      <c r="G533" s="11">
        <f>IF(I533="conciliado","conciliado","por revisar")</f>
        <v/>
      </c>
      <c r="H533" s="11" t="inlineStr"/>
      <c r="I533" s="11" t="inlineStr">
        <is>
          <t>conciliado</t>
        </is>
      </c>
    </row>
    <row r="534">
      <c r="A534" s="11" t="n">
        <v>675</v>
      </c>
      <c r="B534" s="12" t="n">
        <v>46099</v>
      </c>
      <c r="C534" s="11" t="inlineStr">
        <is>
          <t>claud fernandez meza</t>
        </is>
      </c>
      <c r="D534" s="13" t="n">
        <v>10500</v>
      </c>
      <c r="E534" s="11">
        <f>IF(G534="conciliado","conciliado",I534)</f>
        <v/>
      </c>
      <c r="F534" s="11" t="inlineStr">
        <is>
          <t>629 | 2026-03-18 | 10,500 | claudia meza patricia</t>
        </is>
      </c>
      <c r="G534" s="11">
        <f>IF(I534="conciliado","conciliado","por revisar")</f>
        <v/>
      </c>
      <c r="H534" s="11" t="inlineStr"/>
      <c r="I534" s="11" t="inlineStr">
        <is>
          <t>conciliado</t>
        </is>
      </c>
    </row>
    <row r="535">
      <c r="A535" s="11" t="n">
        <v>673</v>
      </c>
      <c r="B535" s="12" t="n">
        <v>46099</v>
      </c>
      <c r="C535" s="11" t="inlineStr">
        <is>
          <t>a anyi lopez pantoja</t>
        </is>
      </c>
      <c r="D535" s="13" t="n">
        <v>9200</v>
      </c>
      <c r="E535" s="11">
        <f>IF(G535="conciliado","conciliado",I535)</f>
        <v/>
      </c>
      <c r="F535" s="11" t="inlineStr">
        <is>
          <t>631 | 2026-03-18 | 9,200 | alexander cruz remisio</t>
        </is>
      </c>
      <c r="G535" s="11">
        <f>IF(I535="conciliado","conciliado","por revisar")</f>
        <v/>
      </c>
      <c r="H535" s="11" t="inlineStr"/>
      <c r="I535" s="11" t="inlineStr">
        <is>
          <t>conciliado</t>
        </is>
      </c>
    </row>
    <row r="536">
      <c r="A536" s="11" t="n">
        <v>684</v>
      </c>
      <c r="B536" s="12" t="n">
        <v>46099</v>
      </c>
      <c r="C536" s="11" t="inlineStr">
        <is>
          <t>carlos eduar mendoza</t>
        </is>
      </c>
      <c r="D536" s="13" t="n">
        <v>24600</v>
      </c>
      <c r="E536" s="11">
        <f>IF(G536="conciliado","conciliado",I536)</f>
        <v/>
      </c>
      <c r="F536" s="11" t="inlineStr">
        <is>
          <t>632 | 2026-03-18 | 24,600 | carlos mendoza</t>
        </is>
      </c>
      <c r="G536" s="11">
        <f>IF(I536="conciliado","conciliado","por revisar")</f>
        <v/>
      </c>
      <c r="H536" s="11" t="inlineStr"/>
      <c r="I536" s="11" t="inlineStr">
        <is>
          <t>conciliado</t>
        </is>
      </c>
    </row>
    <row r="537">
      <c r="A537" s="11" t="n">
        <v>678</v>
      </c>
      <c r="B537" s="12" t="n">
        <v>46099</v>
      </c>
      <c r="C537" s="11" t="inlineStr">
        <is>
          <t>bravo nahomy zuniga</t>
        </is>
      </c>
      <c r="D537" s="13" t="n">
        <v>28400</v>
      </c>
      <c r="E537" s="11">
        <f>IF(G537="conciliado","conciliado",I537)</f>
        <v/>
      </c>
      <c r="F537" s="11" t="inlineStr">
        <is>
          <t>633 | 2026-03-18 | 28,400 | bravo nahomy zuniga</t>
        </is>
      </c>
      <c r="G537" s="11">
        <f>IF(I537="conciliado","conciliado","por revisar")</f>
        <v/>
      </c>
      <c r="H537" s="11" t="inlineStr"/>
      <c r="I537" s="11" t="inlineStr">
        <is>
          <t>conciliado</t>
        </is>
      </c>
    </row>
    <row r="538">
      <c r="A538" s="11" t="n">
        <v>676</v>
      </c>
      <c r="B538" s="12" t="n">
        <v>46099</v>
      </c>
      <c r="C538" s="11" t="inlineStr">
        <is>
          <t>n villamarin villota</t>
        </is>
      </c>
      <c r="D538" s="13" t="n">
        <v>11500</v>
      </c>
      <c r="E538" s="11">
        <f>IF(G538="conciliado","conciliado",I538)</f>
        <v/>
      </c>
      <c r="F538" s="11" t="inlineStr">
        <is>
          <t>634 | 2026-03-18 | 11,500 | b bre narly</t>
        </is>
      </c>
      <c r="G538" s="11">
        <f>IF(I538="conciliado","conciliado","por revisar")</f>
        <v/>
      </c>
      <c r="H538" s="11" t="inlineStr"/>
      <c r="I538" s="11" t="inlineStr">
        <is>
          <t>conciliado</t>
        </is>
      </c>
    </row>
    <row r="539">
      <c r="A539" s="11" t="n">
        <v>679</v>
      </c>
      <c r="B539" s="12" t="n">
        <v>46099</v>
      </c>
      <c r="C539" s="11" t="inlineStr">
        <is>
          <t>laverde lise navarro</t>
        </is>
      </c>
      <c r="D539" s="13" t="n">
        <v>11900</v>
      </c>
      <c r="E539" s="11">
        <f>IF(G539="conciliado","conciliado",I539)</f>
        <v/>
      </c>
      <c r="F539" s="11" t="inlineStr">
        <is>
          <t>635 | 2026-03-18 | 11,900 | liseth navarro stephany</t>
        </is>
      </c>
      <c r="G539" s="11">
        <f>IF(I539="conciliado","conciliado","por revisar")</f>
        <v/>
      </c>
      <c r="H539" s="11" t="inlineStr"/>
      <c r="I539" s="11" t="inlineStr">
        <is>
          <t>conciliado</t>
        </is>
      </c>
    </row>
    <row r="540">
      <c r="A540" s="11" t="n">
        <v>685</v>
      </c>
      <c r="B540" s="12" t="n">
        <v>46099</v>
      </c>
      <c r="C540" s="11" t="inlineStr">
        <is>
          <t>cubillos niv ordones</t>
        </is>
      </c>
      <c r="D540" s="13" t="n">
        <v>24600</v>
      </c>
      <c r="E540" s="11">
        <f>IF(G540="conciliado","conciliado",I540)</f>
        <v/>
      </c>
      <c r="F540" s="11" t="inlineStr">
        <is>
          <t>636 | 2026-03-18 | 24,600 | cubillos nivia ordones</t>
        </is>
      </c>
      <c r="G540" s="11">
        <f>IF(I540="conciliado","conciliado","por revisar")</f>
        <v/>
      </c>
      <c r="H540" s="11" t="inlineStr"/>
      <c r="I540" s="11" t="inlineStr">
        <is>
          <t>conciliado</t>
        </is>
      </c>
    </row>
    <row r="541">
      <c r="A541" s="11" t="n">
        <v>648</v>
      </c>
      <c r="B541" s="12" t="n">
        <v>46098</v>
      </c>
      <c r="C541" s="11" t="inlineStr">
        <is>
          <t>cristhi robles velez</t>
        </is>
      </c>
      <c r="D541" s="13" t="n">
        <v>48400</v>
      </c>
      <c r="E541" s="11">
        <f>IF(G541="conciliado","conciliado",I541)</f>
        <v/>
      </c>
      <c r="F541" s="11" t="inlineStr">
        <is>
          <t>637 | 2026-03-17 | 48,400 | bancolombia desde qr recarga</t>
        </is>
      </c>
      <c r="G541" s="11">
        <f>IF(I541="conciliado","conciliado","por revisar")</f>
        <v/>
      </c>
      <c r="H541" s="11" t="inlineStr"/>
      <c r="I541" s="11" t="inlineStr">
        <is>
          <t>conciliado</t>
        </is>
      </c>
    </row>
    <row r="542">
      <c r="A542" s="11" t="n">
        <v>636</v>
      </c>
      <c r="B542" s="12" t="n">
        <v>46098</v>
      </c>
      <c r="C542" s="11" t="inlineStr">
        <is>
          <t>alegria magd narvaez</t>
        </is>
      </c>
      <c r="D542" s="13" t="n">
        <v>20100</v>
      </c>
      <c r="E542" s="11">
        <f>IF(G542="conciliado","conciliado",I542)</f>
        <v/>
      </c>
      <c r="F542" s="11" t="inlineStr">
        <is>
          <t>638 | 2026-03-17 | 20,100 | alegria liliana magda</t>
        </is>
      </c>
      <c r="G542" s="11">
        <f>IF(I542="conciliado","conciliado","por revisar")</f>
        <v/>
      </c>
      <c r="H542" s="11" t="inlineStr"/>
      <c r="I542" s="11" t="inlineStr">
        <is>
          <t>conciliado</t>
        </is>
      </c>
    </row>
    <row r="543">
      <c r="A543" s="11" t="n">
        <v>646</v>
      </c>
      <c r="B543" s="12" t="n">
        <v>46098</v>
      </c>
      <c r="C543" s="11" t="inlineStr">
        <is>
          <t>bastidas beydi papa</t>
        </is>
      </c>
      <c r="D543" s="13" t="n">
        <v>19000</v>
      </c>
      <c r="E543" s="11">
        <f>IF(G543="conciliado","conciliado",I543)</f>
        <v/>
      </c>
      <c r="F543" s="11" t="inlineStr">
        <is>
          <t>639 | 2026-03-17 | 19,000 | bastidas beydi marcela</t>
        </is>
      </c>
      <c r="G543" s="11">
        <f>IF(I543="conciliado","conciliado","por revisar")</f>
        <v/>
      </c>
      <c r="H543" s="11" t="inlineStr"/>
      <c r="I543" s="11" t="inlineStr">
        <is>
          <t>conciliado</t>
        </is>
      </c>
    </row>
    <row r="544">
      <c r="A544" s="11" t="n">
        <v>641</v>
      </c>
      <c r="B544" s="12" t="n">
        <v>46098</v>
      </c>
      <c r="C544" s="11" t="inlineStr">
        <is>
          <t>na ramirez rodriguez</t>
        </is>
      </c>
      <c r="D544" s="13" t="n">
        <v>22000</v>
      </c>
      <c r="E544" s="11">
        <f>IF(G544="conciliado","conciliado",I544)</f>
        <v/>
      </c>
      <c r="F544" s="11" t="inlineStr">
        <is>
          <t>640 | 2026-03-17 | 22,000 | nasly ramirez valentina</t>
        </is>
      </c>
      <c r="G544" s="11">
        <f>IF(I544="conciliado","conciliado","por revisar")</f>
        <v/>
      </c>
      <c r="H544" s="11" t="inlineStr"/>
      <c r="I544" s="11" t="inlineStr">
        <is>
          <t>conciliado</t>
        </is>
      </c>
    </row>
    <row r="545">
      <c r="A545" s="11" t="n">
        <v>657</v>
      </c>
      <c r="B545" s="12" t="n">
        <v>46098</v>
      </c>
      <c r="C545" s="11" t="inlineStr">
        <is>
          <t>guerrero rivadeneira</t>
        </is>
      </c>
      <c r="D545" s="13" t="n">
        <v>15700</v>
      </c>
      <c r="E545" s="11">
        <f>IF(G545="conciliado","conciliado",I545)</f>
        <v/>
      </c>
      <c r="F545" s="11" t="inlineStr">
        <is>
          <t>641 | 2026-03-17 | 15,700 | guerrero kelly samanta</t>
        </is>
      </c>
      <c r="G545" s="11">
        <f>IF(I545="conciliado","conciliado","por revisar")</f>
        <v/>
      </c>
      <c r="H545" s="11" t="inlineStr"/>
      <c r="I545" s="11" t="inlineStr">
        <is>
          <t>conciliado</t>
        </is>
      </c>
    </row>
    <row r="546">
      <c r="A546" s="11" t="n">
        <v>633</v>
      </c>
      <c r="B546" s="12" t="n">
        <v>46098</v>
      </c>
      <c r="C546" s="11" t="inlineStr">
        <is>
          <t>eraso neiber rosero</t>
        </is>
      </c>
      <c r="D546" s="13" t="n">
        <v>8800</v>
      </c>
      <c r="E546" s="11">
        <f>IF(G546="conciliado","conciliado",I546)</f>
        <v/>
      </c>
      <c r="F546" s="11" t="inlineStr">
        <is>
          <t>642 | 2026-03-17 | 8,800 | antonio eraso neiber</t>
        </is>
      </c>
      <c r="G546" s="11">
        <f>IF(I546="conciliado","conciliado","por revisar")</f>
        <v/>
      </c>
      <c r="H546" s="11" t="inlineStr"/>
      <c r="I546" s="11" t="inlineStr">
        <is>
          <t>conciliado</t>
        </is>
      </c>
    </row>
    <row r="547">
      <c r="A547" s="11" t="n">
        <v>632</v>
      </c>
      <c r="B547" s="12" t="n">
        <v>46098</v>
      </c>
      <c r="C547" s="11" t="inlineStr">
        <is>
          <t>azuce franco rubiano</t>
        </is>
      </c>
      <c r="D547" s="13" t="n">
        <v>17900</v>
      </c>
      <c r="E547" s="11">
        <f>IF(G547="conciliado","conciliado",I547)</f>
        <v/>
      </c>
      <c r="F547" s="11" t="inlineStr">
        <is>
          <t>643 | 2026-03-17 | 17,900 | azucena franco rubiano</t>
        </is>
      </c>
      <c r="G547" s="11">
        <f>IF(I547="conciliado","conciliado","por revisar")</f>
        <v/>
      </c>
      <c r="H547" s="11" t="inlineStr"/>
      <c r="I547" s="11" t="inlineStr">
        <is>
          <t>conciliado</t>
        </is>
      </c>
    </row>
    <row r="548">
      <c r="A548" s="11" t="n">
        <v>652</v>
      </c>
      <c r="B548" s="12" t="n">
        <v>46098</v>
      </c>
      <c r="C548" s="11" t="inlineStr">
        <is>
          <t>ana bolanos caicedo</t>
        </is>
      </c>
      <c r="D548" s="13" t="n">
        <v>32800</v>
      </c>
      <c r="E548" s="11">
        <f>IF(G548="conciliado","conciliado",I548)</f>
        <v/>
      </c>
      <c r="F548" s="11" t="inlineStr">
        <is>
          <t>644 | 2026-03-17 | 32,800 | ana caicedo marcela</t>
        </is>
      </c>
      <c r="G548" s="11">
        <f>IF(I548="conciliado","conciliado","por revisar")</f>
        <v/>
      </c>
      <c r="H548" s="11" t="inlineStr"/>
      <c r="I548" s="11" t="inlineStr">
        <is>
          <t>conciliado</t>
        </is>
      </c>
    </row>
    <row r="549">
      <c r="A549" s="11" t="n">
        <v>661</v>
      </c>
      <c r="B549" s="12" t="n">
        <v>46098</v>
      </c>
      <c r="C549" s="11" t="inlineStr">
        <is>
          <t>bravo carlos merchan</t>
        </is>
      </c>
      <c r="D549" s="13" t="n">
        <v>9100</v>
      </c>
      <c r="E549" s="11">
        <f>IF(G549="conciliado","conciliado",I549)</f>
        <v/>
      </c>
      <c r="F549" s="11" t="inlineStr">
        <is>
          <t>645 | 2026-03-17 | 9,100 | andres carlos merchan</t>
        </is>
      </c>
      <c r="G549" s="11">
        <f>IF(I549="conciliado","conciliado","por revisar")</f>
        <v/>
      </c>
      <c r="H549" s="11" t="inlineStr"/>
      <c r="I549" s="11" t="inlineStr">
        <is>
          <t>conciliado</t>
        </is>
      </c>
    </row>
    <row r="550">
      <c r="A550" s="11" t="n">
        <v>656</v>
      </c>
      <c r="B550" s="12" t="n">
        <v>46098</v>
      </c>
      <c r="C550" s="11" t="inlineStr">
        <is>
          <t>guacales jorj rosas</t>
        </is>
      </c>
      <c r="D550" s="13" t="n">
        <v>27100</v>
      </c>
      <c r="E550" s="11">
        <f>IF(G550="conciliado","conciliado",I550)</f>
        <v/>
      </c>
      <c r="F550" s="11" t="inlineStr">
        <is>
          <t>646 | 2026-03-17 | 27,100 | eduardo jorge</t>
        </is>
      </c>
      <c r="G550" s="11">
        <f>IF(I550="conciliado","conciliado","por revisar")</f>
        <v/>
      </c>
      <c r="H550" s="11" t="inlineStr"/>
      <c r="I550" s="11" t="inlineStr">
        <is>
          <t>conciliado</t>
        </is>
      </c>
    </row>
    <row r="551">
      <c r="A551" s="11" t="n">
        <v>643</v>
      </c>
      <c r="B551" s="12" t="n">
        <v>46098</v>
      </c>
      <c r="C551" s="11" t="inlineStr">
        <is>
          <t>maria martinez munoz</t>
        </is>
      </c>
      <c r="D551" s="13" t="n">
        <v>26800</v>
      </c>
      <c r="E551" s="11">
        <f>IF(G551="conciliado","conciliado",I551)</f>
        <v/>
      </c>
      <c r="F551" s="11" t="inlineStr">
        <is>
          <t>647 | 2026-03-17 | 26,800 | dora emilce martinez</t>
        </is>
      </c>
      <c r="G551" s="11">
        <f>IF(I551="conciliado","conciliado","por revisar")</f>
        <v/>
      </c>
      <c r="H551" s="11" t="inlineStr"/>
      <c r="I551" s="11" t="inlineStr">
        <is>
          <t>conciliado</t>
        </is>
      </c>
    </row>
    <row r="552">
      <c r="A552" s="11" t="n">
        <v>637</v>
      </c>
      <c r="B552" s="12" t="n">
        <v>46098</v>
      </c>
      <c r="C552" s="11" t="inlineStr">
        <is>
          <t>dian grajales osorio</t>
        </is>
      </c>
      <c r="D552" s="13" t="n">
        <v>18800</v>
      </c>
      <c r="E552" s="11">
        <f>IF(G552="conciliado","conciliado",I552)</f>
        <v/>
      </c>
      <c r="F552" s="11" t="inlineStr">
        <is>
          <t>648 | 2026-03-17 | 18,800 | alejandra salome</t>
        </is>
      </c>
      <c r="G552" s="11">
        <f>IF(I552="conciliado","conciliado","por revisar")</f>
        <v/>
      </c>
      <c r="H552" s="11" t="inlineStr"/>
      <c r="I552" s="11" t="inlineStr">
        <is>
          <t>conciliado</t>
        </is>
      </c>
    </row>
    <row r="553">
      <c r="A553" s="11" t="n">
        <v>645</v>
      </c>
      <c r="B553" s="12" t="n">
        <v>46098</v>
      </c>
      <c r="C553" s="11" t="inlineStr">
        <is>
          <t>adr mora nury ruales</t>
        </is>
      </c>
      <c r="D553" s="13" t="n">
        <v>112000</v>
      </c>
      <c r="E553" s="11">
        <f>IF(G553="conciliado","conciliado",I553)</f>
        <v/>
      </c>
      <c r="F553" s="11" t="inlineStr">
        <is>
          <t>649 | 2026-03-17 | 112,000 | adriana mora nury</t>
        </is>
      </c>
      <c r="G553" s="11">
        <f>IF(I553="conciliado","conciliado","por revisar")</f>
        <v/>
      </c>
      <c r="H553" s="11" t="inlineStr"/>
      <c r="I553" s="11" t="inlineStr">
        <is>
          <t>conciliado</t>
        </is>
      </c>
    </row>
    <row r="554">
      <c r="A554" s="11" t="n">
        <v>659</v>
      </c>
      <c r="B554" s="12" t="n">
        <v>46098</v>
      </c>
      <c r="C554" s="11" t="inlineStr">
        <is>
          <t>matabanchoy meneses</t>
        </is>
      </c>
      <c r="D554" s="13" t="n">
        <v>23500</v>
      </c>
      <c r="E554" s="11">
        <f>IF(G554="conciliado","conciliado",I554)</f>
        <v/>
      </c>
      <c r="F554" s="11" t="inlineStr">
        <is>
          <t>650 | 2026-03-17 | 23,500 | marleny matabanchoy</t>
        </is>
      </c>
      <c r="G554" s="11">
        <f>IF(I554="conciliado","conciliado","por revisar")</f>
        <v/>
      </c>
      <c r="H554" s="11" t="inlineStr"/>
      <c r="I554" s="11" t="inlineStr">
        <is>
          <t>conciliado</t>
        </is>
      </c>
    </row>
    <row r="555">
      <c r="A555" s="11" t="n">
        <v>638</v>
      </c>
      <c r="B555" s="12" t="n">
        <v>46098</v>
      </c>
      <c r="C555" s="11" t="inlineStr">
        <is>
          <t>consumidor final</t>
        </is>
      </c>
      <c r="D555" s="13" t="n">
        <v>42700</v>
      </c>
      <c r="E555" s="11">
        <f>IF(G555="conciliado","conciliado",I555)</f>
        <v/>
      </c>
      <c r="F555" s="11" t="inlineStr">
        <is>
          <t>651 | 2026-03-17 | 42,700 | amilo ferney lopez</t>
        </is>
      </c>
      <c r="G555" s="11">
        <f>IF(I555="conciliado","conciliado","por revisar")</f>
        <v/>
      </c>
      <c r="H555" s="11" t="inlineStr"/>
      <c r="I555" s="11" t="inlineStr">
        <is>
          <t>conciliado</t>
        </is>
      </c>
    </row>
    <row r="556">
      <c r="A556" s="11" t="n">
        <v>627</v>
      </c>
      <c r="B556" s="12" t="n">
        <v>46098</v>
      </c>
      <c r="C556" s="11" t="inlineStr">
        <is>
          <t>doly gamboa vargas</t>
        </is>
      </c>
      <c r="D556" s="13" t="n">
        <v>38000</v>
      </c>
      <c r="E556" s="11">
        <f>IF(G556="conciliado","conciliado",I556)</f>
        <v/>
      </c>
      <c r="F556" s="11" t="inlineStr">
        <is>
          <t>652 | 2026-03-17 | 38,000 | doly gamboa vargas</t>
        </is>
      </c>
      <c r="G556" s="11">
        <f>IF(I556="conciliado","conciliado","por revisar")</f>
        <v/>
      </c>
      <c r="H556" s="11" t="inlineStr"/>
      <c r="I556" s="11" t="inlineStr">
        <is>
          <t>conciliado</t>
        </is>
      </c>
    </row>
    <row r="557">
      <c r="A557" s="11" t="n">
        <v>630</v>
      </c>
      <c r="B557" s="12" t="n">
        <v>46098</v>
      </c>
      <c r="C557" s="11" t="inlineStr">
        <is>
          <t>lizet martinez rojas</t>
        </is>
      </c>
      <c r="D557" s="13" t="n">
        <v>44000</v>
      </c>
      <c r="E557" s="11">
        <f>IF(G557="conciliado","conciliado",I557)</f>
        <v/>
      </c>
      <c r="F557" s="11" t="inlineStr">
        <is>
          <t>653 | 2026-03-17 | 44,000 | bancolombia desde recarga</t>
        </is>
      </c>
      <c r="G557" s="11">
        <f>IF(I557="conciliado","conciliado","por revisar")</f>
        <v/>
      </c>
      <c r="H557" s="11" t="inlineStr"/>
      <c r="I557" s="11" t="inlineStr">
        <is>
          <t>conciliado</t>
        </is>
      </c>
    </row>
    <row r="558">
      <c r="A558" s="11" t="n">
        <v>631</v>
      </c>
      <c r="B558" s="12" t="n">
        <v>46098</v>
      </c>
      <c r="C558" s="11" t="inlineStr">
        <is>
          <t>espana natal pantoja</t>
        </is>
      </c>
      <c r="D558" s="13" t="n">
        <v>24000</v>
      </c>
      <c r="E558" s="11">
        <f>IF(G558="conciliado","conciliado",I558)</f>
        <v/>
      </c>
      <c r="F558" s="11" t="inlineStr">
        <is>
          <t>654 | 2026-03-17 | 24,000 | espana lizbeth natalia</t>
        </is>
      </c>
      <c r="G558" s="11">
        <f>IF(I558="conciliado","conciliado","por revisar")</f>
        <v/>
      </c>
      <c r="H558" s="11" t="inlineStr"/>
      <c r="I558" s="11" t="inlineStr">
        <is>
          <t>conciliado</t>
        </is>
      </c>
    </row>
    <row r="559">
      <c r="A559" s="11" t="n">
        <v>660</v>
      </c>
      <c r="B559" s="12" t="n">
        <v>46098</v>
      </c>
      <c r="C559" s="11" t="inlineStr">
        <is>
          <t>kar marroquin nofuya</t>
        </is>
      </c>
      <c r="D559" s="13" t="n">
        <v>9400</v>
      </c>
      <c r="E559" s="11">
        <f>IF(G559="conciliado","conciliado",I559)</f>
        <v/>
      </c>
      <c r="F559" s="11" t="inlineStr">
        <is>
          <t>655 | 2026-03-17 | 9,400 | eilin karen marroquin</t>
        </is>
      </c>
      <c r="G559" s="11">
        <f>IF(I559="conciliado","conciliado","por revisar")</f>
        <v/>
      </c>
      <c r="H559" s="11" t="inlineStr"/>
      <c r="I559" s="11" t="inlineStr">
        <is>
          <t>conciliado</t>
        </is>
      </c>
    </row>
    <row r="560">
      <c r="A560" s="11" t="n">
        <v>664</v>
      </c>
      <c r="B560" s="12" t="n">
        <v>46098</v>
      </c>
      <c r="C560" s="11" t="inlineStr">
        <is>
          <t>cortez e pai tatiana</t>
        </is>
      </c>
      <c r="D560" s="13" t="n">
        <v>11800</v>
      </c>
      <c r="E560" s="11">
        <f>IF(G560="conciliado","conciliado",I560)</f>
        <v/>
      </c>
      <c r="F560" s="11" t="inlineStr">
        <is>
          <t>656 | 2026-03-17 | 11,800 | alfredo bladimir</t>
        </is>
      </c>
      <c r="G560" s="11">
        <f>IF(I560="conciliado","conciliado","por revisar")</f>
        <v/>
      </c>
      <c r="H560" s="11" t="inlineStr"/>
      <c r="I560" s="11" t="inlineStr">
        <is>
          <t>conciliado</t>
        </is>
      </c>
    </row>
    <row r="561">
      <c r="A561" s="11" t="n">
        <v>642</v>
      </c>
      <c r="B561" s="12" t="n">
        <v>46098</v>
      </c>
      <c r="C561" s="11" t="inlineStr">
        <is>
          <t>josa rosales yo yury</t>
        </is>
      </c>
      <c r="D561" s="13" t="n">
        <v>21200</v>
      </c>
      <c r="E561" s="11">
        <f>IF(G561="conciliado","conciliado",I561)</f>
        <v/>
      </c>
      <c r="F561" s="11" t="inlineStr">
        <is>
          <t>657 | 2026-03-17 | 21,200 | josa yolanda yuri</t>
        </is>
      </c>
      <c r="G561" s="11">
        <f>IF(I561="conciliado","conciliado","por revisar")</f>
        <v/>
      </c>
      <c r="H561" s="11" t="inlineStr"/>
      <c r="I561" s="11" t="inlineStr">
        <is>
          <t>conciliado</t>
        </is>
      </c>
    </row>
    <row r="562">
      <c r="A562" s="11" t="n">
        <v>653</v>
      </c>
      <c r="B562" s="12" t="n">
        <v>46098</v>
      </c>
      <c r="C562" s="11" t="inlineStr">
        <is>
          <t>carolina nogera</t>
        </is>
      </c>
      <c r="D562" s="13" t="n">
        <v>9400</v>
      </c>
      <c r="E562" s="11">
        <f>IF(G562="conciliado","conciliado",I562)</f>
        <v/>
      </c>
      <c r="F562" s="11" t="inlineStr">
        <is>
          <t>658 | 2026-03-17 | 9,400 | carolina yulieth</t>
        </is>
      </c>
      <c r="G562" s="11">
        <f>IF(I562="conciliado","conciliado","por revisar")</f>
        <v/>
      </c>
      <c r="H562" s="11" t="inlineStr"/>
      <c r="I562" s="11" t="inlineStr">
        <is>
          <t>conciliado</t>
        </is>
      </c>
    </row>
    <row r="563">
      <c r="A563" s="11" t="n">
        <v>655</v>
      </c>
      <c r="B563" s="12" t="n">
        <v>46098</v>
      </c>
      <c r="C563" s="11" t="inlineStr">
        <is>
          <t>juan rivera zambrano</t>
        </is>
      </c>
      <c r="D563" s="13" t="n">
        <v>15500</v>
      </c>
      <c r="E563" s="11">
        <f>IF(G563="conciliado","conciliado",I563)</f>
        <v/>
      </c>
      <c r="F563" s="11" t="inlineStr">
        <is>
          <t>659 | 2026-03-17 | 15,500 | david juan zambrano</t>
        </is>
      </c>
      <c r="G563" s="11">
        <f>IF(I563="conciliado","conciliado","por revisar")</f>
        <v/>
      </c>
      <c r="H563" s="11" t="inlineStr"/>
      <c r="I563" s="11" t="inlineStr">
        <is>
          <t>conciliado</t>
        </is>
      </c>
    </row>
    <row r="564">
      <c r="A564" s="11" t="n">
        <v>628</v>
      </c>
      <c r="B564" s="12" t="n">
        <v>46098</v>
      </c>
      <c r="C564" s="11" t="inlineStr">
        <is>
          <t>cordero correa diana</t>
        </is>
      </c>
      <c r="D564" s="13" t="n">
        <v>35500</v>
      </c>
      <c r="E564" s="11">
        <f>IF(G564="conciliado","conciliado",I564)</f>
        <v/>
      </c>
      <c r="F564" s="11" t="inlineStr">
        <is>
          <t>660 | 2026-03-17 | 35,500 | cordero diana katerine</t>
        </is>
      </c>
      <c r="G564" s="11">
        <f>IF(I564="conciliado","conciliado","por revisar")</f>
        <v/>
      </c>
      <c r="H564" s="11" t="inlineStr"/>
      <c r="I564" s="11" t="inlineStr">
        <is>
          <t>conciliado</t>
        </is>
      </c>
    </row>
    <row r="565">
      <c r="A565" s="11" t="n">
        <v>647</v>
      </c>
      <c r="B565" s="12" t="n">
        <v>46098</v>
      </c>
      <c r="C565" s="11" t="inlineStr">
        <is>
          <t>cordoba cuasialpud e</t>
        </is>
      </c>
      <c r="D565" s="13" t="n">
        <v>3000</v>
      </c>
      <c r="E565" s="11">
        <f>IF(G565="conciliado","conciliado",I565)</f>
        <v/>
      </c>
      <c r="F565" s="11" t="inlineStr">
        <is>
          <t>661 | 2026-03-17 | 3,000 | cordoba edwar ferney</t>
        </is>
      </c>
      <c r="G565" s="11">
        <f>IF(I565="conciliado","conciliado","por revisar")</f>
        <v/>
      </c>
      <c r="H565" s="11" t="inlineStr"/>
      <c r="I565" s="11" t="inlineStr">
        <is>
          <t>conciliado</t>
        </is>
      </c>
    </row>
    <row r="566">
      <c r="A566" s="11" t="n">
        <v>651</v>
      </c>
      <c r="B566" s="12" t="n">
        <v>46098</v>
      </c>
      <c r="C566" s="11" t="inlineStr">
        <is>
          <t>castillo corrales si</t>
        </is>
      </c>
      <c r="D566" s="13" t="n">
        <v>3000</v>
      </c>
      <c r="E566" s="11">
        <f>IF(G566="conciliado","conciliado",I566)</f>
        <v/>
      </c>
      <c r="F566" s="11" t="inlineStr">
        <is>
          <t>662 | 2026-03-17 | 3,000 | castillo sirlen</t>
        </is>
      </c>
      <c r="G566" s="11">
        <f>IF(I566="conciliado","conciliado","por revisar")</f>
        <v/>
      </c>
      <c r="H566" s="11" t="inlineStr"/>
      <c r="I566" s="11" t="inlineStr">
        <is>
          <t>conciliado</t>
        </is>
      </c>
    </row>
    <row r="567">
      <c r="A567" s="11" t="n">
        <v>663</v>
      </c>
      <c r="B567" s="12" t="n">
        <v>46098</v>
      </c>
      <c r="C567" s="11" t="inlineStr">
        <is>
          <t>cristian marin urrea</t>
        </is>
      </c>
      <c r="D567" s="13" t="n">
        <v>3500</v>
      </c>
      <c r="E567" s="11">
        <f>IF(G567="conciliado","conciliado",I567)</f>
        <v/>
      </c>
      <c r="F567" s="11" t="inlineStr">
        <is>
          <t>663 | 2026-03-17 | 3,500 | andres cristian marin</t>
        </is>
      </c>
      <c r="G567" s="11">
        <f>IF(I567="conciliado","conciliado","por revisar")</f>
        <v/>
      </c>
      <c r="H567" s="11" t="inlineStr"/>
      <c r="I567" s="11" t="inlineStr">
        <is>
          <t>conciliado</t>
        </is>
      </c>
    </row>
    <row r="568">
      <c r="A568" s="11" t="n">
        <v>654</v>
      </c>
      <c r="B568" s="12" t="n">
        <v>46098</v>
      </c>
      <c r="C568" s="11" t="inlineStr">
        <is>
          <t>benavides diego mora</t>
        </is>
      </c>
      <c r="D568" s="13" t="n">
        <v>6400</v>
      </c>
      <c r="E568" s="11">
        <f>IF(G568="conciliado","conciliado",I568)</f>
        <v/>
      </c>
      <c r="F568" s="11" t="inlineStr">
        <is>
          <t>664 | 2026-03-17 | 6,400 | diego felipe mora</t>
        </is>
      </c>
      <c r="G568" s="11">
        <f>IF(I568="conciliado","conciliado","por revisar")</f>
        <v/>
      </c>
      <c r="H568" s="11" t="inlineStr"/>
      <c r="I568" s="11" t="inlineStr">
        <is>
          <t>conciliado</t>
        </is>
      </c>
    </row>
    <row r="569">
      <c r="A569" s="11" t="n">
        <v>658</v>
      </c>
      <c r="B569" s="12" t="n">
        <v>46098</v>
      </c>
      <c r="C569" s="11" t="inlineStr">
        <is>
          <t>cabezas correa karen</t>
        </is>
      </c>
      <c r="D569" s="13" t="n">
        <v>8100</v>
      </c>
      <c r="E569" s="11">
        <f>IF(G569="conciliado","conciliado",I569)</f>
        <v/>
      </c>
      <c r="F569" s="11" t="inlineStr">
        <is>
          <t>665 | 2026-03-17 | 8,100 | adriana nino</t>
        </is>
      </c>
      <c r="G569" s="11">
        <f>IF(I569="conciliado","conciliado","por revisar")</f>
        <v/>
      </c>
      <c r="H569" s="11" t="inlineStr"/>
      <c r="I569" s="11" t="inlineStr">
        <is>
          <t>conciliado</t>
        </is>
      </c>
    </row>
    <row r="570">
      <c r="A570" s="11" t="n">
        <v>662</v>
      </c>
      <c r="B570" s="12" t="n">
        <v>46098</v>
      </c>
      <c r="C570" s="11" t="inlineStr">
        <is>
          <t>buitron garcia melis</t>
        </is>
      </c>
      <c r="D570" s="13" t="n">
        <v>25600</v>
      </c>
      <c r="E570" s="11">
        <f>IF(G570="conciliado","conciliado",I570)</f>
        <v/>
      </c>
      <c r="F570" s="11" t="inlineStr">
        <is>
          <t>666 | 2026-03-17 | 25,600 | buitron esther melissa</t>
        </is>
      </c>
      <c r="G570" s="11">
        <f>IF(I570="conciliado","conciliado","por revisar")</f>
        <v/>
      </c>
      <c r="H570" s="11" t="inlineStr"/>
      <c r="I570" s="11" t="inlineStr">
        <is>
          <t>conciliado</t>
        </is>
      </c>
    </row>
    <row r="571">
      <c r="A571" s="11" t="n">
        <v>650</v>
      </c>
      <c r="B571" s="12" t="n">
        <v>46098</v>
      </c>
      <c r="C571" s="11" t="inlineStr">
        <is>
          <t>ingri vargas velazco</t>
        </is>
      </c>
      <c r="D571" s="13" t="n">
        <v>17500</v>
      </c>
      <c r="E571" s="11">
        <f>IF(G571="conciliado","conciliado",I571)</f>
        <v/>
      </c>
      <c r="F571" s="11" t="inlineStr">
        <is>
          <t>667 | 2026-03-17 | 17,500 | ingrid lorena vargas</t>
        </is>
      </c>
      <c r="G571" s="11">
        <f>IF(I571="conciliado","conciliado","por revisar")</f>
        <v/>
      </c>
      <c r="H571" s="11" t="inlineStr"/>
      <c r="I571" s="11" t="inlineStr">
        <is>
          <t>conciliado</t>
        </is>
      </c>
    </row>
    <row r="572">
      <c r="A572" s="11" t="n">
        <v>639</v>
      </c>
      <c r="B572" s="12" t="n">
        <v>46098</v>
      </c>
      <c r="C572" s="11" t="inlineStr">
        <is>
          <t>millan nataly sousa</t>
        </is>
      </c>
      <c r="D572" s="13" t="n">
        <v>11400</v>
      </c>
      <c r="E572" s="11">
        <f>IF(G572="conciliado","conciliado",I572)</f>
        <v/>
      </c>
      <c r="F572" s="11" t="inlineStr">
        <is>
          <t>668 | 2026-03-17 | 11,400 | alexandra millan nataly</t>
        </is>
      </c>
      <c r="G572" s="11">
        <f>IF(I572="conciliado","conciliado","por revisar")</f>
        <v/>
      </c>
      <c r="H572" s="11" t="inlineStr"/>
      <c r="I572" s="11" t="inlineStr">
        <is>
          <t>conciliado</t>
        </is>
      </c>
    </row>
    <row r="573">
      <c r="A573" s="11" t="n">
        <v>635</v>
      </c>
      <c r="B573" s="12" t="n">
        <v>46098</v>
      </c>
      <c r="C573" s="11" t="inlineStr">
        <is>
          <t>burbano leyd meneses</t>
        </is>
      </c>
      <c r="D573" s="13" t="n">
        <v>24900</v>
      </c>
      <c r="E573" s="11">
        <f>IF(G573="conciliado","conciliado",I573)</f>
        <v/>
      </c>
      <c r="F573" s="11" t="inlineStr">
        <is>
          <t>669 | 2026-03-17 | 24,900 | burbano leydi meneses</t>
        </is>
      </c>
      <c r="G573" s="11">
        <f>IF(I573="conciliado","conciliado","por revisar")</f>
        <v/>
      </c>
      <c r="H573" s="11" t="inlineStr"/>
      <c r="I573" s="11" t="inlineStr">
        <is>
          <t>conciliado</t>
        </is>
      </c>
    </row>
    <row r="574">
      <c r="A574" s="11" t="n">
        <v>640</v>
      </c>
      <c r="B574" s="12" t="n">
        <v>46098</v>
      </c>
      <c r="C574" s="11" t="inlineStr">
        <is>
          <t>benavides d guapucal</t>
        </is>
      </c>
      <c r="D574" s="13" t="n">
        <v>10620</v>
      </c>
      <c r="E574" s="11">
        <f>IF(G574="conciliado","conciliado",I574)</f>
        <v/>
      </c>
      <c r="F574" s="11" t="inlineStr">
        <is>
          <t>670 | 2026-03-17 | 10,620 | dexy esperanza</t>
        </is>
      </c>
      <c r="G574" s="11">
        <f>IF(I574="conciliado","conciliado","por revisar")</f>
        <v/>
      </c>
      <c r="H574" s="11" t="inlineStr"/>
      <c r="I574" s="11" t="inlineStr">
        <is>
          <t>conciliado</t>
        </is>
      </c>
    </row>
    <row r="575">
      <c r="A575" s="11" t="n">
        <v>649</v>
      </c>
      <c r="B575" s="12" t="n">
        <v>46098</v>
      </c>
      <c r="C575" s="11" t="inlineStr">
        <is>
          <t>adriana patino yubel</t>
        </is>
      </c>
      <c r="D575" s="13" t="n">
        <v>15800</v>
      </c>
      <c r="E575" s="11">
        <f>IF(G575="conciliado","conciliado",I575)</f>
        <v/>
      </c>
      <c r="F575" s="11" t="inlineStr">
        <is>
          <t>671 | 2026-03-17 | 15,800 | adriana patino yubeli</t>
        </is>
      </c>
      <c r="G575" s="11">
        <f>IF(I575="conciliado","conciliado","por revisar")</f>
        <v/>
      </c>
      <c r="H575" s="11" t="inlineStr"/>
      <c r="I575" s="11" t="inlineStr">
        <is>
          <t>conciliado</t>
        </is>
      </c>
    </row>
    <row r="576">
      <c r="A576" s="11" t="n">
        <v>629</v>
      </c>
      <c r="B576" s="12" t="n">
        <v>46098</v>
      </c>
      <c r="C576" s="11" t="inlineStr">
        <is>
          <t>benavide manchabajoy</t>
        </is>
      </c>
      <c r="D576" s="13" t="n">
        <v>30000</v>
      </c>
      <c r="E576" s="11">
        <f>IF(G576="conciliado","conciliado",I576)</f>
        <v/>
      </c>
      <c r="F576" s="11" t="inlineStr">
        <is>
          <t>672 | 2026-03-17 | 30,000 | ricardo segundo</t>
        </is>
      </c>
      <c r="G576" s="11">
        <f>IF(I576="conciliado","conciliado","por revisar")</f>
        <v/>
      </c>
      <c r="H576" s="11" t="inlineStr"/>
      <c r="I576" s="11" t="inlineStr">
        <is>
          <t>conciliado</t>
        </is>
      </c>
    </row>
    <row r="577">
      <c r="A577" s="11" t="n">
        <v>634</v>
      </c>
      <c r="B577" s="12" t="n">
        <v>46098</v>
      </c>
      <c r="C577" s="11" t="inlineStr">
        <is>
          <t>jaime manrique paez</t>
        </is>
      </c>
      <c r="D577" s="13" t="n">
        <v>58800</v>
      </c>
      <c r="E577" s="11">
        <f>IF(G577="conciliado","conciliado",I577)</f>
        <v/>
      </c>
      <c r="F577" s="11" t="inlineStr">
        <is>
          <t>673 | 2026-03-17 | 58,800 | jaime manrique paez</t>
        </is>
      </c>
      <c r="G577" s="11">
        <f>IF(I577="conciliado","conciliado","por revisar")</f>
        <v/>
      </c>
      <c r="H577" s="11" t="inlineStr"/>
      <c r="I577" s="11" t="inlineStr">
        <is>
          <t>conciliado</t>
        </is>
      </c>
    </row>
    <row r="578">
      <c r="A578" s="11" t="n">
        <v>644</v>
      </c>
      <c r="B578" s="12" t="n">
        <v>46098</v>
      </c>
      <c r="C578" s="11" t="inlineStr">
        <is>
          <t>cortez jaramillo oma</t>
        </is>
      </c>
      <c r="D578" s="13" t="n">
        <v>6500</v>
      </c>
      <c r="E578" s="11">
        <f>IF(G578="conciliado","conciliado",I578)</f>
        <v/>
      </c>
      <c r="F578" s="11" t="inlineStr">
        <is>
          <t>674 | 2026-03-17 | 6,500 | alejandro omar</t>
        </is>
      </c>
      <c r="G578" s="11">
        <f>IF(I578="conciliado","conciliado","por revisar")</f>
        <v/>
      </c>
      <c r="H578" s="11" t="inlineStr"/>
      <c r="I578" s="11" t="inlineStr">
        <is>
          <t>conciliado</t>
        </is>
      </c>
    </row>
    <row r="579">
      <c r="A579" s="11" t="n">
        <v>600</v>
      </c>
      <c r="B579" s="12" t="n">
        <v>46097</v>
      </c>
      <c r="C579" s="11" t="inlineStr">
        <is>
          <t>alvarez lore vallejo</t>
        </is>
      </c>
      <c r="D579" s="13" t="n">
        <v>98000</v>
      </c>
      <c r="E579" s="11">
        <f>IF(G579="conciliado","conciliado",I579)</f>
        <v/>
      </c>
      <c r="F579" s="11" t="inlineStr">
        <is>
          <t>675 | 2026-03-16 | 98,000 | alvarez lorena vallejo</t>
        </is>
      </c>
      <c r="G579" s="11">
        <f>IF(I579="conciliado","conciliado","por revisar")</f>
        <v/>
      </c>
      <c r="H579" s="11" t="inlineStr"/>
      <c r="I579" s="11" t="inlineStr">
        <is>
          <t>conciliado</t>
        </is>
      </c>
    </row>
    <row r="580">
      <c r="A580" s="11" t="n">
        <v>603</v>
      </c>
      <c r="B580" s="12" t="n">
        <v>46097</v>
      </c>
      <c r="C580" s="11" t="inlineStr">
        <is>
          <t>cubillos niv ordones</t>
        </is>
      </c>
      <c r="D580" s="13" t="n">
        <v>28400</v>
      </c>
      <c r="E580" s="11">
        <f>IF(G580="conciliado","conciliado",I580)</f>
        <v/>
      </c>
      <c r="F580" s="11" t="inlineStr">
        <is>
          <t>676 | 2026-03-16 | 28,400 | cubillos nivia ordones</t>
        </is>
      </c>
      <c r="G580" s="11">
        <f>IF(I580="conciliado","conciliado","por revisar")</f>
        <v/>
      </c>
      <c r="H580" s="11" t="inlineStr"/>
      <c r="I580" s="11" t="inlineStr">
        <is>
          <t>conciliado</t>
        </is>
      </c>
    </row>
    <row r="581">
      <c r="A581" s="11" t="n">
        <v>626</v>
      </c>
      <c r="B581" s="12" t="n">
        <v>46097</v>
      </c>
      <c r="C581" s="11" t="inlineStr">
        <is>
          <t>ang casanova chapuel</t>
        </is>
      </c>
      <c r="D581" s="13" t="n">
        <v>22100</v>
      </c>
      <c r="E581" s="11">
        <f>IF(G581="conciliado","conciliado",I581)</f>
        <v/>
      </c>
      <c r="F581" s="11" t="inlineStr">
        <is>
          <t>677 | 2026-03-16 | 22,100 | angie chapuel tatiana</t>
        </is>
      </c>
      <c r="G581" s="11">
        <f>IF(I581="conciliado","conciliado","por revisar")</f>
        <v/>
      </c>
      <c r="H581" s="11" t="inlineStr"/>
      <c r="I581" s="11" t="inlineStr">
        <is>
          <t>conciliado</t>
        </is>
      </c>
    </row>
    <row r="582">
      <c r="A582" s="11" t="n">
        <v>620</v>
      </c>
      <c r="B582" s="12" t="n">
        <v>46097</v>
      </c>
      <c r="C582" s="11" t="inlineStr">
        <is>
          <t>enriquez mar salcedo</t>
        </is>
      </c>
      <c r="D582" s="13" t="n">
        <v>25800</v>
      </c>
      <c r="E582" s="11">
        <f>IF(G582="conciliado","conciliado",I582)</f>
        <v/>
      </c>
      <c r="F582" s="11" t="inlineStr">
        <is>
          <t>678 | 2026-03-16 | 25,800 | janny marcela salcedo</t>
        </is>
      </c>
      <c r="G582" s="11">
        <f>IF(I582="conciliado","conciliado","por revisar")</f>
        <v/>
      </c>
      <c r="H582" s="11" t="inlineStr"/>
      <c r="I582" s="11" t="inlineStr">
        <is>
          <t>conciliado</t>
        </is>
      </c>
    </row>
    <row r="583">
      <c r="A583" s="11" t="n">
        <v>614</v>
      </c>
      <c r="B583" s="12" t="n">
        <v>46097</v>
      </c>
      <c r="C583" s="11" t="inlineStr">
        <is>
          <t>isabela mejia</t>
        </is>
      </c>
      <c r="D583" s="13" t="n">
        <v>414000</v>
      </c>
      <c r="E583" s="11">
        <f>IF(G583="conciliado","conciliado",I583)</f>
        <v/>
      </c>
      <c r="F583" s="11" t="inlineStr">
        <is>
          <t>679 | 2026-03-16 | 414,000 | bancolombia desde qr recarga</t>
        </is>
      </c>
      <c r="G583" s="11">
        <f>IF(I583="conciliado","conciliado","por revisar")</f>
        <v/>
      </c>
      <c r="H583" s="11" t="inlineStr"/>
      <c r="I583" s="11" t="inlineStr">
        <is>
          <t>conciliado</t>
        </is>
      </c>
    </row>
    <row r="584">
      <c r="A584" s="11" t="n">
        <v>618</v>
      </c>
      <c r="B584" s="12" t="n">
        <v>46097</v>
      </c>
      <c r="C584" s="11" t="inlineStr">
        <is>
          <t>gonsalez ordonez</t>
        </is>
      </c>
      <c r="D584" s="13" t="n">
        <v>12000</v>
      </c>
      <c r="E584" s="11">
        <f>IF(G584="conciliado","conciliado",I584)</f>
        <v/>
      </c>
      <c r="F584" s="11" t="inlineStr">
        <is>
          <t>680 | 2026-03-16 | 12,000 | danier elian gonzalez</t>
        </is>
      </c>
      <c r="G584" s="11">
        <f>IF(I584="conciliado","conciliado","por revisar")</f>
        <v/>
      </c>
      <c r="H584" s="11" t="inlineStr"/>
      <c r="I584" s="11" t="inlineStr">
        <is>
          <t>conciliado</t>
        </is>
      </c>
    </row>
    <row r="585">
      <c r="A585" s="11" t="n">
        <v>615</v>
      </c>
      <c r="B585" s="12" t="n">
        <v>46097</v>
      </c>
      <c r="C585" s="11" t="inlineStr">
        <is>
          <t>acosta edi gutierrez</t>
        </is>
      </c>
      <c r="D585" s="13" t="n">
        <v>28900</v>
      </c>
      <c r="E585" s="11">
        <f>IF(G585="conciliado","conciliado",I585)</f>
        <v/>
      </c>
      <c r="F585" s="11" t="inlineStr">
        <is>
          <t>681 | 2026-03-16 | 28,900 | b bre edier</t>
        </is>
      </c>
      <c r="G585" s="11">
        <f>IF(I585="conciliado","conciliado","por revisar")</f>
        <v/>
      </c>
      <c r="H585" s="11" t="inlineStr"/>
      <c r="I585" s="11" t="inlineStr">
        <is>
          <t>conciliado</t>
        </is>
      </c>
    </row>
    <row r="586">
      <c r="A586" s="11" t="n">
        <v>617</v>
      </c>
      <c r="B586" s="12" t="n">
        <v>46097</v>
      </c>
      <c r="C586" s="11" t="inlineStr">
        <is>
          <t>camil diaz lopez</t>
        </is>
      </c>
      <c r="D586" s="13" t="n">
        <v>19600</v>
      </c>
      <c r="E586" s="11">
        <f>IF(G586="conciliado","conciliado",I586)</f>
        <v/>
      </c>
      <c r="F586" s="11" t="inlineStr">
        <is>
          <t>682 | 2026-03-16 | 19,600 | jasbley jessika</t>
        </is>
      </c>
      <c r="G586" s="11">
        <f>IF(I586="conciliado","conciliado","por revisar")</f>
        <v/>
      </c>
      <c r="H586" s="11" t="inlineStr"/>
      <c r="I586" s="11" t="inlineStr">
        <is>
          <t>conciliado</t>
        </is>
      </c>
    </row>
    <row r="587">
      <c r="A587" s="11" t="n">
        <v>616</v>
      </c>
      <c r="B587" s="12" t="n">
        <v>46097</v>
      </c>
      <c r="C587" s="11" t="inlineStr">
        <is>
          <t>chasoy judy timaran</t>
        </is>
      </c>
      <c r="D587" s="13" t="n">
        <v>15000</v>
      </c>
      <c r="E587" s="11">
        <f>IF(G587="conciliado","conciliado",I587)</f>
        <v/>
      </c>
      <c r="F587" s="11" t="inlineStr">
        <is>
          <t>684 | 2026-03-16 | 15,000 | b bre judy</t>
        </is>
      </c>
      <c r="G587" s="11">
        <f>IF(I587="conciliado","conciliado","por revisar")</f>
        <v/>
      </c>
      <c r="H587" s="11" t="inlineStr"/>
      <c r="I587" s="11" t="inlineStr">
        <is>
          <t>conciliado</t>
        </is>
      </c>
    </row>
    <row r="588">
      <c r="A588" s="11" t="n">
        <v>599</v>
      </c>
      <c r="B588" s="12" t="n">
        <v>46097</v>
      </c>
      <c r="C588" s="11" t="inlineStr">
        <is>
          <t>linda solarte yepes</t>
        </is>
      </c>
      <c r="D588" s="13" t="n">
        <v>31900</v>
      </c>
      <c r="E588" s="11">
        <f>IF(G588="conciliado","conciliado",I588)</f>
        <v/>
      </c>
      <c r="F588" s="11" t="inlineStr">
        <is>
          <t>685 | 2026-03-16 | 31,900 | linda lucia yepes</t>
        </is>
      </c>
      <c r="G588" s="11">
        <f>IF(I588="conciliado","conciliado","por revisar")</f>
        <v/>
      </c>
      <c r="H588" s="11" t="inlineStr"/>
      <c r="I588" s="11" t="inlineStr">
        <is>
          <t>conciliado</t>
        </is>
      </c>
    </row>
    <row r="589">
      <c r="A589" s="11" t="n">
        <v>594</v>
      </c>
      <c r="B589" s="12" t="n">
        <v>46097</v>
      </c>
      <c r="C589" s="11" t="inlineStr">
        <is>
          <t>martha rojas rosero</t>
        </is>
      </c>
      <c r="D589" s="13" t="n">
        <v>61700</v>
      </c>
      <c r="E589" s="11">
        <f>IF(G589="conciliado","conciliado",I589)</f>
        <v/>
      </c>
      <c r="F589" s="11" t="inlineStr">
        <is>
          <t>688 | 2026-03-16 | 61,700 | cecilia martha rosero</t>
        </is>
      </c>
      <c r="G589" s="11">
        <f>IF(I589="conciliado","conciliado","por revisar")</f>
        <v/>
      </c>
      <c r="H589" s="11" t="inlineStr"/>
      <c r="I589" s="11" t="inlineStr">
        <is>
          <t>conciliado</t>
        </is>
      </c>
    </row>
    <row r="590">
      <c r="A590" s="11" t="n">
        <v>593</v>
      </c>
      <c r="B590" s="12" t="n">
        <v>46097</v>
      </c>
      <c r="C590" s="11" t="inlineStr">
        <is>
          <t>angulo botina gustav</t>
        </is>
      </c>
      <c r="D590" s="13" t="n">
        <v>6000</v>
      </c>
      <c r="E590" s="11">
        <f>IF(G590="conciliado","conciliado",I590)</f>
        <v/>
      </c>
      <c r="F590" s="11">
        <f>IF(SUM(COUNTIFS('Conciliacion de compuestos'!$D$2:$D$71,"conciliado",'Conciliacion de compuestos'!$E$2:$E$71,"OK",'Conciliacion de compuestos'!$M$2:$M$71,A590),COUNTIFS('Conciliacion de compuestos'!$D$2:$D$71,"conciliado",'Conciliacion de compuestos'!$E$2:$E$71,"OK",'Conciliacion de compuestos'!$N$2:$N$71,A590),COUNTIFS('Conciliacion de compuestos'!$D$2:$D$71,"conciliado",'Conciliacion de compuestos'!$E$2:$E$71,"OK",'Conciliacion de compuestos'!$O$2:$O$71,A590))&gt;0,IFERROR(TEXTJOIN(CHAR(10),TRUE,FILTER('Conciliacion de compuestos'!$A$2:$A$71,('Conciliacion de compuestos'!$D$2:$D$71="conciliado")*('Conciliacion de compuestos'!$E$2:$E$71="OK")*((('Conciliacion de compuestos'!$M$2:$M$71=A590)+('Conciliacion de compuestos'!$N$2:$N$71=A590)+('Conciliacion de compuestos'!$O$2:$O$71=A590))&gt;0))),""),"")</f>
        <v/>
      </c>
      <c r="G590" s="11">
        <f>IF(I590="conciliado","conciliado","por revisar")</f>
        <v/>
      </c>
      <c r="H590" s="11" t="inlineStr"/>
      <c r="I590" s="11">
        <f>IF(SUM(COUNTIFS('Conciliacion de compuestos'!$D$2:$D$71,"conciliado",'Conciliacion de compuestos'!$E$2:$E$71,"OK",'Conciliacion de compuestos'!$M$2:$M$71,A590),COUNTIFS('Conciliacion de compuestos'!$D$2:$D$71,"conciliado",'Conciliacion de compuestos'!$E$2:$E$71,"OK",'Conciliacion de compuestos'!$N$2:$N$71,A590),COUNTIFS('Conciliacion de compuestos'!$D$2:$D$71,"conciliado",'Conciliacion de compuestos'!$E$2:$E$71,"OK",'Conciliacion de compuestos'!$O$2:$O$71,A590))&gt;0,"conciliado","por revisar")</f>
        <v/>
      </c>
    </row>
    <row r="591">
      <c r="A591" s="11" t="n">
        <v>625</v>
      </c>
      <c r="B591" s="12" t="n">
        <v>46097</v>
      </c>
      <c r="C591" s="11" t="inlineStr">
        <is>
          <t>chico garcia lise</t>
        </is>
      </c>
      <c r="D591" s="13" t="n">
        <v>18900</v>
      </c>
      <c r="E591" s="11">
        <f>IF(G591="conciliado","conciliado",I591)</f>
        <v/>
      </c>
      <c r="F591" s="11" t="inlineStr">
        <is>
          <t>690 | 2026-03-16 | 18,900 | bueno chico eva maria</t>
        </is>
      </c>
      <c r="G591" s="11">
        <f>IF(I591="conciliado","conciliado","por revisar")</f>
        <v/>
      </c>
      <c r="H591" s="11" t="inlineStr"/>
      <c r="I591" s="11" t="inlineStr">
        <is>
          <t>conciliado</t>
        </is>
      </c>
    </row>
    <row r="592">
      <c r="A592" s="11" t="n">
        <v>612</v>
      </c>
      <c r="B592" s="12" t="n">
        <v>46097</v>
      </c>
      <c r="C592" s="11" t="inlineStr">
        <is>
          <t>i maura melo morales</t>
        </is>
      </c>
      <c r="D592" s="13" t="n">
        <v>210000</v>
      </c>
      <c r="E592" s="11">
        <f>IF(G592="conciliado","conciliado",I592)</f>
        <v/>
      </c>
      <c r="F592" s="11" t="inlineStr">
        <is>
          <t>691 | 2026-03-16 | 210,000 | isabel maura morales</t>
        </is>
      </c>
      <c r="G592" s="11">
        <f>IF(I592="conciliado","conciliado","por revisar")</f>
        <v/>
      </c>
      <c r="H592" s="11" t="inlineStr"/>
      <c r="I592" s="11" t="inlineStr">
        <is>
          <t>conciliado</t>
        </is>
      </c>
    </row>
    <row r="593">
      <c r="A593" s="11" t="n">
        <v>605</v>
      </c>
      <c r="B593" s="12" t="n">
        <v>46097</v>
      </c>
      <c r="C593" s="11" t="inlineStr">
        <is>
          <t>benavides fuertes ju</t>
        </is>
      </c>
      <c r="D593" s="13" t="n">
        <v>2000</v>
      </c>
      <c r="E593" s="11">
        <f>IF(G593="conciliado","conciliado",I593)</f>
        <v/>
      </c>
      <c r="F593" s="11" t="inlineStr">
        <is>
          <t>692 | 2026-03-16 | 2,000 | benavides camilo juan</t>
        </is>
      </c>
      <c r="G593" s="11">
        <f>IF(I593="conciliado","conciliado","por revisar")</f>
        <v/>
      </c>
      <c r="H593" s="11" t="inlineStr"/>
      <c r="I593" s="11" t="inlineStr">
        <is>
          <t>conciliado</t>
        </is>
      </c>
    </row>
    <row r="594">
      <c r="A594" s="11" t="n">
        <v>596</v>
      </c>
      <c r="B594" s="12" t="n">
        <v>46097</v>
      </c>
      <c r="C594" s="11" t="inlineStr">
        <is>
          <t>manzano nayibe ortiz</t>
        </is>
      </c>
      <c r="D594" s="13" t="n">
        <v>39900</v>
      </c>
      <c r="E594" s="11">
        <f>IF(G594="conciliado","conciliado",I594)</f>
        <v/>
      </c>
      <c r="F594" s="11" t="inlineStr">
        <is>
          <t>693 | 2026-03-16 | 39,900 | manzano nayibe ortiz</t>
        </is>
      </c>
      <c r="G594" s="11">
        <f>IF(I594="conciliado","conciliado","por revisar")</f>
        <v/>
      </c>
      <c r="H594" s="11" t="inlineStr"/>
      <c r="I594" s="11" t="inlineStr">
        <is>
          <t>conciliado</t>
        </is>
      </c>
    </row>
    <row r="595">
      <c r="A595" s="11" t="n">
        <v>589</v>
      </c>
      <c r="B595" s="12" t="n">
        <v>46097</v>
      </c>
      <c r="C595" s="11" t="inlineStr">
        <is>
          <t>a anyi lopez pantoja</t>
        </is>
      </c>
      <c r="D595" s="13" t="n">
        <v>7600</v>
      </c>
      <c r="E595" s="11">
        <f>IF(G595="conciliado","conciliado",I595)</f>
        <v/>
      </c>
      <c r="F595" s="11" t="inlineStr">
        <is>
          <t>694 | 2026-03-16 | 7,600 | bancolombia desde recarga</t>
        </is>
      </c>
      <c r="G595" s="11">
        <f>IF(I595="conciliado","conciliado","por revisar")</f>
        <v/>
      </c>
      <c r="H595" s="11" t="inlineStr"/>
      <c r="I595" s="11" t="inlineStr">
        <is>
          <t>conciliado</t>
        </is>
      </c>
    </row>
    <row r="596">
      <c r="A596" s="11" t="n">
        <v>607</v>
      </c>
      <c r="B596" s="12" t="n">
        <v>46097</v>
      </c>
      <c r="C596" s="11" t="inlineStr">
        <is>
          <t>benavides edwi marin</t>
        </is>
      </c>
      <c r="D596" s="13" t="n">
        <v>47900</v>
      </c>
      <c r="E596" s="11">
        <f>IF(G596="conciliado","conciliado",I596)</f>
        <v/>
      </c>
      <c r="F596" s="11" t="inlineStr">
        <is>
          <t>695 | 2026-03-16 | 47,900 | bancolombia desde recarga</t>
        </is>
      </c>
      <c r="G596" s="11">
        <f>IF(I596="conciliado","conciliado","por revisar")</f>
        <v/>
      </c>
      <c r="H596" s="11" t="inlineStr"/>
      <c r="I596" s="11" t="inlineStr">
        <is>
          <t>conciliado</t>
        </is>
      </c>
    </row>
    <row r="597">
      <c r="A597" s="11" t="n">
        <v>621</v>
      </c>
      <c r="B597" s="12" t="n">
        <v>46097</v>
      </c>
      <c r="C597" s="11" t="inlineStr">
        <is>
          <t>ana ceron erazo</t>
        </is>
      </c>
      <c r="D597" s="13" t="n">
        <v>16500</v>
      </c>
      <c r="E597" s="11">
        <f>IF(G597="conciliado","conciliado",I597)</f>
        <v/>
      </c>
      <c r="F597" s="11" t="inlineStr">
        <is>
          <t>696 | 2026-03-16 | 16,500 | ana ceron erazo lucia</t>
        </is>
      </c>
      <c r="G597" s="11">
        <f>IF(I597="conciliado","conciliado","por revisar")</f>
        <v/>
      </c>
      <c r="H597" s="11" t="inlineStr"/>
      <c r="I597" s="11" t="inlineStr">
        <is>
          <t>conciliado</t>
        </is>
      </c>
    </row>
    <row r="598">
      <c r="A598" s="11" t="n">
        <v>606</v>
      </c>
      <c r="B598" s="12" t="n">
        <v>46097</v>
      </c>
      <c r="C598" s="11" t="inlineStr">
        <is>
          <t>da gonsalez martinez</t>
        </is>
      </c>
      <c r="D598" s="13" t="n">
        <v>31500</v>
      </c>
      <c r="E598" s="11">
        <f>IF(G598="conciliado","conciliado",I598)</f>
        <v/>
      </c>
      <c r="F598" s="11" t="inlineStr">
        <is>
          <t>697 | 2026-03-16 | 31,500 | daiana martinez</t>
        </is>
      </c>
      <c r="G598" s="11">
        <f>IF(I598="conciliado","conciliado","por revisar")</f>
        <v/>
      </c>
      <c r="H598" s="11" t="inlineStr"/>
      <c r="I598" s="11" t="inlineStr">
        <is>
          <t>conciliado</t>
        </is>
      </c>
    </row>
    <row r="599">
      <c r="A599" s="11" t="n">
        <v>587</v>
      </c>
      <c r="B599" s="12" t="n">
        <v>46097</v>
      </c>
      <c r="C599" s="11" t="inlineStr">
        <is>
          <t>dora ines paguatian</t>
        </is>
      </c>
      <c r="D599" s="13" t="n">
        <v>-1486735</v>
      </c>
      <c r="E599" s="11">
        <f>IF(G599="conciliado","conciliado",I599)</f>
        <v/>
      </c>
      <c r="F599" s="11" t="inlineStr">
        <is>
          <t>699 | 2026-03-16 | -1,486,735 | dora ines paguatian</t>
        </is>
      </c>
      <c r="G599" s="11">
        <f>IF(I599="conciliado","conciliado","por revisar")</f>
        <v/>
      </c>
      <c r="H599" s="11" t="inlineStr"/>
      <c r="I599" s="11" t="inlineStr">
        <is>
          <t>conciliado</t>
        </is>
      </c>
    </row>
    <row r="600">
      <c r="A600" s="11" t="n">
        <v>586</v>
      </c>
      <c r="B600" s="12" t="n">
        <v>46097</v>
      </c>
      <c r="C600" s="11" t="inlineStr">
        <is>
          <t>antoni hermes patino</t>
        </is>
      </c>
      <c r="D600" s="13" t="n">
        <v>-2194495</v>
      </c>
      <c r="E600" s="11">
        <f>IF(G600="conciliado","conciliado",I600)</f>
        <v/>
      </c>
      <c r="F600" s="11" t="inlineStr">
        <is>
          <t>701 | 2026-03-16 | -2,194,495 | ant her pat</t>
        </is>
      </c>
      <c r="G600" s="11">
        <f>IF(I600="conciliado","conciliado","por revisar")</f>
        <v/>
      </c>
      <c r="H600" s="11" t="inlineStr"/>
      <c r="I600" s="11" t="inlineStr">
        <is>
          <t>conciliado</t>
        </is>
      </c>
    </row>
    <row r="601">
      <c r="A601" s="11" t="n">
        <v>601</v>
      </c>
      <c r="B601" s="12" t="n">
        <v>46097</v>
      </c>
      <c r="C601" s="11" t="inlineStr">
        <is>
          <t>benavides hub rosero</t>
        </is>
      </c>
      <c r="D601" s="13" t="n">
        <v>45500</v>
      </c>
      <c r="E601" s="11">
        <f>IF(G601="conciliado","conciliado",I601)</f>
        <v/>
      </c>
      <c r="F601" s="11" t="inlineStr">
        <is>
          <t>702 | 2026-03-16 | 45,500 | gilberto huber rosero</t>
        </is>
      </c>
      <c r="G601" s="11">
        <f>IF(I601="conciliado","conciliado","por revisar")</f>
        <v/>
      </c>
      <c r="H601" s="11" t="inlineStr"/>
      <c r="I601" s="11" t="inlineStr">
        <is>
          <t>conciliado</t>
        </is>
      </c>
    </row>
    <row r="602">
      <c r="A602" s="11" t="n">
        <v>619</v>
      </c>
      <c r="B602" s="12" t="n">
        <v>46097</v>
      </c>
      <c r="C602" s="11" t="inlineStr">
        <is>
          <t>bastidas mar ordonez</t>
        </is>
      </c>
      <c r="D602" s="13" t="n">
        <v>44200</v>
      </c>
      <c r="E602" s="11">
        <f>IF(G602="conciliado","conciliado",I602)</f>
        <v/>
      </c>
      <c r="F602" s="11" t="inlineStr">
        <is>
          <t>703 | 2026-03-16 | 44,200 | frank henao yinner</t>
        </is>
      </c>
      <c r="G602" s="11">
        <f>IF(I602="conciliado","conciliado","por revisar")</f>
        <v/>
      </c>
      <c r="H602" s="11" t="inlineStr"/>
      <c r="I602" s="11" t="inlineStr">
        <is>
          <t>conciliado</t>
        </is>
      </c>
    </row>
    <row r="603">
      <c r="A603" s="11" t="n">
        <v>613</v>
      </c>
      <c r="B603" s="12" t="n">
        <v>46097</v>
      </c>
      <c r="C603" s="11" t="inlineStr">
        <is>
          <t>bolanos celia ibanez</t>
        </is>
      </c>
      <c r="D603" s="13" t="n">
        <v>273800</v>
      </c>
      <c r="E603" s="11">
        <f>IF(G603="conciliado","conciliado",I603)</f>
        <v/>
      </c>
      <c r="F603" s="11" t="inlineStr">
        <is>
          <t>704 | 2026-03-16 | 273,800 | celiano ibanez</t>
        </is>
      </c>
      <c r="G603" s="11">
        <f>IF(I603="conciliado","conciliado","por revisar")</f>
        <v/>
      </c>
      <c r="H603" s="11" t="inlineStr"/>
      <c r="I603" s="11" t="inlineStr">
        <is>
          <t>conciliado</t>
        </is>
      </c>
    </row>
    <row r="604">
      <c r="A604" s="11" t="n">
        <v>611</v>
      </c>
      <c r="B604" s="12" t="n">
        <v>46097</v>
      </c>
      <c r="C604" s="11" t="inlineStr">
        <is>
          <t>agaton cifuentes ing</t>
        </is>
      </c>
      <c r="D604" s="13" t="n">
        <v>8000</v>
      </c>
      <c r="E604" s="11">
        <f>IF(G604="conciliado","conciliado",I604)</f>
        <v/>
      </c>
      <c r="F604" s="11" t="inlineStr">
        <is>
          <t>705 | 2026-03-16 | 8,000 | bancolombia desde recarga</t>
        </is>
      </c>
      <c r="G604" s="11">
        <f>IF(I604="conciliado","conciliado","por revisar")</f>
        <v/>
      </c>
      <c r="H604" s="11" t="inlineStr"/>
      <c r="I604" s="11" t="inlineStr">
        <is>
          <t>conciliado</t>
        </is>
      </c>
    </row>
    <row r="605">
      <c r="A605" s="11" t="n">
        <v>590</v>
      </c>
      <c r="B605" s="12" t="n">
        <v>46097</v>
      </c>
      <c r="C605" s="11" t="inlineStr">
        <is>
          <t>ces gomajoa portilla</t>
        </is>
      </c>
      <c r="D605" s="13" t="n">
        <v>20500</v>
      </c>
      <c r="E605" s="11">
        <f>IF(G605="conciliado","conciliado",I605)</f>
        <v/>
      </c>
      <c r="F605" s="11" t="inlineStr">
        <is>
          <t>706 | 2026-03-16 | 20,500 | camilo cesar portilla</t>
        </is>
      </c>
      <c r="G605" s="11">
        <f>IF(I605="conciliado","conciliado","por revisar")</f>
        <v/>
      </c>
      <c r="H605" s="11" t="inlineStr"/>
      <c r="I605" s="11" t="inlineStr">
        <is>
          <t>conciliado</t>
        </is>
      </c>
    </row>
    <row r="606">
      <c r="A606" s="11" t="n">
        <v>604</v>
      </c>
      <c r="B606" s="12" t="n">
        <v>46097</v>
      </c>
      <c r="C606" s="11" t="inlineStr">
        <is>
          <t>castellanos h zarama</t>
        </is>
      </c>
      <c r="D606" s="13" t="n">
        <v>15400</v>
      </c>
      <c r="E606" s="11">
        <f>IF(G606="conciliado","conciliado",I606)</f>
        <v/>
      </c>
      <c r="F606" s="11" t="inlineStr">
        <is>
          <t>707 | 2026-03-16 | 15,400 | helen tatiana zarama</t>
        </is>
      </c>
      <c r="G606" s="11">
        <f>IF(I606="conciliado","conciliado","por revisar")</f>
        <v/>
      </c>
      <c r="H606" s="11" t="inlineStr"/>
      <c r="I606" s="11" t="inlineStr">
        <is>
          <t>conciliado</t>
        </is>
      </c>
    </row>
    <row r="607">
      <c r="A607" s="11" t="n">
        <v>624</v>
      </c>
      <c r="B607" s="12" t="n">
        <v>46097</v>
      </c>
      <c r="C607" s="11" t="inlineStr">
        <is>
          <t>ca luna penalosa</t>
        </is>
      </c>
      <c r="D607" s="13" t="n">
        <v>3500</v>
      </c>
      <c r="E607" s="11">
        <f>IF(G607="conciliado","conciliado",I607)</f>
        <v/>
      </c>
      <c r="F607" s="11" t="inlineStr">
        <is>
          <t>709 | 2026-03-16 | 3,500 | bancolombia desde qr recarga</t>
        </is>
      </c>
      <c r="G607" s="11">
        <f>IF(I607="conciliado","conciliado","por revisar")</f>
        <v/>
      </c>
      <c r="H607" s="11" t="inlineStr"/>
      <c r="I607" s="11" t="inlineStr">
        <is>
          <t>conciliado</t>
        </is>
      </c>
    </row>
    <row r="608">
      <c r="A608" s="11" t="n">
        <v>623</v>
      </c>
      <c r="B608" s="12" t="n">
        <v>46097</v>
      </c>
      <c r="C608" s="11" t="inlineStr">
        <is>
          <t>cortez pablo</t>
        </is>
      </c>
      <c r="D608" s="13" t="n">
        <v>17800</v>
      </c>
      <c r="E608" s="11">
        <f>IF(G608="conciliado","conciliado",I608)</f>
        <v/>
      </c>
      <c r="F608" s="11" t="inlineStr">
        <is>
          <t>710 | 2026-03-16 | 17,800 | cortes pablo peregrino</t>
        </is>
      </c>
      <c r="G608" s="11">
        <f>IF(I608="conciliado","conciliado","por revisar")</f>
        <v/>
      </c>
      <c r="H608" s="11" t="inlineStr"/>
      <c r="I608" s="11" t="inlineStr">
        <is>
          <t>conciliado</t>
        </is>
      </c>
    </row>
    <row r="609">
      <c r="A609" s="11" t="n">
        <v>608</v>
      </c>
      <c r="B609" s="12" t="n">
        <v>46097</v>
      </c>
      <c r="C609" s="11" t="inlineStr">
        <is>
          <t>baquero isaias olaya</t>
        </is>
      </c>
      <c r="D609" s="13" t="n">
        <v>25000</v>
      </c>
      <c r="E609" s="11">
        <f>IF(G609="conciliado","conciliado",I609)</f>
        <v/>
      </c>
      <c r="F609" s="11" t="inlineStr">
        <is>
          <t>711 | 2026-03-16 | 25,000 | baquero isaias olaya</t>
        </is>
      </c>
      <c r="G609" s="11">
        <f>IF(I609="conciliado","conciliado","por revisar")</f>
        <v/>
      </c>
      <c r="H609" s="11" t="inlineStr"/>
      <c r="I609" s="11" t="inlineStr">
        <is>
          <t>conciliado</t>
        </is>
      </c>
    </row>
    <row r="610">
      <c r="A610" s="11" t="n">
        <v>609</v>
      </c>
      <c r="B610" s="12" t="n">
        <v>46097</v>
      </c>
      <c r="C610" s="11" t="inlineStr">
        <is>
          <t>acosta molina myriam</t>
        </is>
      </c>
      <c r="D610" s="13" t="n">
        <v>20000</v>
      </c>
      <c r="E610" s="11">
        <f>IF(G610="conciliado","conciliado",I610)</f>
        <v/>
      </c>
      <c r="F610" s="11" t="inlineStr">
        <is>
          <t>713 | 2026-03-16 | 20,000 | acosta miriam molina</t>
        </is>
      </c>
      <c r="G610" s="11">
        <f>IF(I610="conciliado","conciliado","por revisar")</f>
        <v/>
      </c>
      <c r="H610" s="11" t="inlineStr"/>
      <c r="I610" s="11" t="inlineStr">
        <is>
          <t>conciliado</t>
        </is>
      </c>
    </row>
    <row r="611">
      <c r="A611" s="11" t="n">
        <v>610</v>
      </c>
      <c r="B611" s="12" t="n">
        <v>46097</v>
      </c>
      <c r="C611" s="11" t="inlineStr">
        <is>
          <t>caes florez kely yoj</t>
        </is>
      </c>
      <c r="D611" s="13" t="n">
        <v>29500</v>
      </c>
      <c r="E611" s="11">
        <f>IF(G611="conciliado","conciliado",I611)</f>
        <v/>
      </c>
      <c r="F611" s="11" t="inlineStr">
        <is>
          <t>714 | 2026-03-16 | 29,500 | caez florez keli yojana</t>
        </is>
      </c>
      <c r="G611" s="11">
        <f>IF(I611="conciliado","conciliado","por revisar")</f>
        <v/>
      </c>
      <c r="H611" s="11" t="inlineStr"/>
      <c r="I611" s="11" t="inlineStr">
        <is>
          <t>conciliado</t>
        </is>
      </c>
    </row>
    <row r="612">
      <c r="A612" s="11" t="n">
        <v>598</v>
      </c>
      <c r="B612" s="12" t="n">
        <v>46097</v>
      </c>
      <c r="C612" s="11" t="inlineStr">
        <is>
          <t>payaguaje pesillo</t>
        </is>
      </c>
      <c r="D612" s="13" t="n">
        <v>5900</v>
      </c>
      <c r="E612" s="11">
        <f>IF(G612="conciliado","conciliado",I612)</f>
        <v/>
      </c>
      <c r="F612" s="11" t="inlineStr">
        <is>
          <t>715 | 2026-03-16 | 5,900 | liliana pesillo sandra</t>
        </is>
      </c>
      <c r="G612" s="11">
        <f>IF(I612="conciliado","conciliado","por revisar")</f>
        <v/>
      </c>
      <c r="H612" s="11" t="inlineStr"/>
      <c r="I612" s="11" t="inlineStr">
        <is>
          <t>conciliado</t>
        </is>
      </c>
    </row>
    <row r="613">
      <c r="A613" s="11" t="n">
        <v>592</v>
      </c>
      <c r="B613" s="12" t="n">
        <v>46097</v>
      </c>
      <c r="C613" s="11" t="inlineStr">
        <is>
          <t>becerra marth zamora</t>
        </is>
      </c>
      <c r="D613" s="13" t="n">
        <v>51500</v>
      </c>
      <c r="E613" s="11">
        <f>IF(G613="conciliado","conciliado",I613)</f>
        <v/>
      </c>
      <c r="F613" s="11" t="inlineStr">
        <is>
          <t>716 | 2026-03-16 | 51,500 | becerra martha zamora</t>
        </is>
      </c>
      <c r="G613" s="11">
        <f>IF(I613="conciliado","conciliado","por revisar")</f>
        <v/>
      </c>
      <c r="H613" s="11" t="inlineStr"/>
      <c r="I613" s="11" t="inlineStr">
        <is>
          <t>conciliado</t>
        </is>
      </c>
    </row>
    <row r="614">
      <c r="A614" s="11" t="n">
        <v>595</v>
      </c>
      <c r="B614" s="12" t="n">
        <v>46097</v>
      </c>
      <c r="C614" s="11" t="inlineStr">
        <is>
          <t>da lesly meza rosero</t>
        </is>
      </c>
      <c r="D614" s="13" t="n">
        <v>19300</v>
      </c>
      <c r="E614" s="11">
        <f>IF(G614="conciliado","conciliado",I614)</f>
        <v/>
      </c>
      <c r="F614" s="11" t="inlineStr">
        <is>
          <t>717 | 2026-03-16 | 19,300 | jackeline rosero</t>
        </is>
      </c>
      <c r="G614" s="11">
        <f>IF(I614="conciliado","conciliado","por revisar")</f>
        <v/>
      </c>
      <c r="H614" s="11" t="inlineStr"/>
      <c r="I614" s="11" t="inlineStr">
        <is>
          <t>conciliado</t>
        </is>
      </c>
    </row>
    <row r="615">
      <c r="A615" s="11" t="n">
        <v>588</v>
      </c>
      <c r="B615" s="12" t="n">
        <v>46097</v>
      </c>
      <c r="C615" s="11" t="inlineStr">
        <is>
          <t>bastidas cordoba nid</t>
        </is>
      </c>
      <c r="D615" s="13" t="n">
        <v>97100</v>
      </c>
      <c r="E615" s="11">
        <f>IF(G615="conciliado","conciliado",I615)</f>
        <v/>
      </c>
      <c r="F615" s="11" t="inlineStr">
        <is>
          <t>718 | 2026-03-16 | 97,100 | bancolombia desde recarga</t>
        </is>
      </c>
      <c r="G615" s="11">
        <f>IF(I615="conciliado","conciliado","por revisar")</f>
        <v/>
      </c>
      <c r="H615" s="11" t="inlineStr"/>
      <c r="I615" s="11" t="inlineStr">
        <is>
          <t>conciliado</t>
        </is>
      </c>
    </row>
    <row r="616">
      <c r="A616" s="11" t="n">
        <v>622</v>
      </c>
      <c r="B616" s="12" t="n">
        <v>46097</v>
      </c>
      <c r="C616" s="11" t="inlineStr">
        <is>
          <t>barragan diana prado</t>
        </is>
      </c>
      <c r="D616" s="13" t="n">
        <v>15000</v>
      </c>
      <c r="E616" s="11">
        <f>IF(G616="conciliado","conciliado",I616)</f>
        <v/>
      </c>
      <c r="F616" s="11" t="inlineStr">
        <is>
          <t>719 | 2026-03-16 | 15,000 | barragan carolina diana</t>
        </is>
      </c>
      <c r="G616" s="11">
        <f>IF(I616="conciliado","conciliado","por revisar")</f>
        <v/>
      </c>
      <c r="H616" s="11" t="inlineStr"/>
      <c r="I616" s="11" t="inlineStr">
        <is>
          <t>conciliado</t>
        </is>
      </c>
    </row>
    <row r="617">
      <c r="A617" s="11" t="n">
        <v>597</v>
      </c>
      <c r="B617" s="12" t="n">
        <v>46097</v>
      </c>
      <c r="C617" s="11" t="inlineStr">
        <is>
          <t>beltran naranjo rein</t>
        </is>
      </c>
      <c r="D617" s="13" t="n">
        <v>17200</v>
      </c>
      <c r="E617" s="11">
        <f>IF(G617="conciliado","conciliado",I617)</f>
        <v/>
      </c>
      <c r="F617" s="11" t="inlineStr">
        <is>
          <t>720 | 2026-03-16 | 17,200 | alexis beltran reinaldo</t>
        </is>
      </c>
      <c r="G617" s="11">
        <f>IF(I617="conciliado","conciliado","por revisar")</f>
        <v/>
      </c>
      <c r="H617" s="11" t="inlineStr"/>
      <c r="I617" s="11" t="inlineStr">
        <is>
          <t>conciliado</t>
        </is>
      </c>
    </row>
    <row r="618">
      <c r="A618" s="11" t="n">
        <v>562</v>
      </c>
      <c r="B618" s="12" t="n">
        <v>46096</v>
      </c>
      <c r="C618" s="11" t="inlineStr">
        <is>
          <t>maria martinez munoz</t>
        </is>
      </c>
      <c r="D618" s="13" t="n">
        <v>26800</v>
      </c>
      <c r="E618" s="11">
        <f>IF(G618="conciliado","conciliado",I618)</f>
        <v/>
      </c>
      <c r="F618" s="11" t="inlineStr">
        <is>
          <t>721 | 2026-03-15 | 26,800 | dora emilce martinez</t>
        </is>
      </c>
      <c r="G618" s="11">
        <f>IF(I618="conciliado","conciliado","por revisar")</f>
        <v/>
      </c>
      <c r="H618" s="11" t="inlineStr"/>
      <c r="I618" s="11" t="inlineStr">
        <is>
          <t>conciliado</t>
        </is>
      </c>
    </row>
    <row r="619">
      <c r="A619" s="11" t="n">
        <v>585</v>
      </c>
      <c r="B619" s="12" t="n">
        <v>46096</v>
      </c>
      <c r="C619" s="11" t="inlineStr">
        <is>
          <t>sofia taquez vela</t>
        </is>
      </c>
      <c r="D619" s="13" t="n">
        <v>8000</v>
      </c>
      <c r="E619" s="11">
        <f>IF(G619="conciliado","conciliado",I619)</f>
        <v/>
      </c>
      <c r="F619" s="11" t="inlineStr">
        <is>
          <t>722 | 2026-03-15 | 8,000 | sofia taquez valentina</t>
        </is>
      </c>
      <c r="G619" s="11">
        <f>IF(I619="conciliado","conciliado","por revisar")</f>
        <v/>
      </c>
      <c r="H619" s="11" t="inlineStr"/>
      <c r="I619" s="11" t="inlineStr">
        <is>
          <t>conciliado</t>
        </is>
      </c>
    </row>
    <row r="620">
      <c r="A620" s="11" t="n">
        <v>557</v>
      </c>
      <c r="B620" s="12" t="n">
        <v>46096</v>
      </c>
      <c r="C620" s="11" t="inlineStr">
        <is>
          <t>imbachi kare rengifo</t>
        </is>
      </c>
      <c r="D620" s="13" t="n">
        <v>12600</v>
      </c>
      <c r="E620" s="11">
        <f>IF(G620="conciliado","conciliado",I620)</f>
        <v/>
      </c>
      <c r="F620" s="11" t="inlineStr">
        <is>
          <t>723 | 2026-03-15 | 12,600 | imbachi karen yadira</t>
        </is>
      </c>
      <c r="G620" s="11">
        <f>IF(I620="conciliado","conciliado","por revisar")</f>
        <v/>
      </c>
      <c r="H620" s="11" t="inlineStr"/>
      <c r="I620" s="11" t="inlineStr">
        <is>
          <t>conciliado</t>
        </is>
      </c>
    </row>
    <row r="621">
      <c r="A621" s="11" t="n">
        <v>563</v>
      </c>
      <c r="B621" s="12" t="n">
        <v>46096</v>
      </c>
      <c r="C621" s="11" t="inlineStr">
        <is>
          <t>cortez jaramillo oma</t>
        </is>
      </c>
      <c r="D621" s="13" t="n">
        <v>6500</v>
      </c>
      <c r="E621" s="11">
        <f>IF(G621="conciliado","conciliado",I621)</f>
        <v/>
      </c>
      <c r="F621" s="11" t="inlineStr">
        <is>
          <t>724 | 2026-03-15 | 6,500 | alejandro omar</t>
        </is>
      </c>
      <c r="G621" s="11">
        <f>IF(I621="conciliado","conciliado","por revisar")</f>
        <v/>
      </c>
      <c r="H621" s="11" t="inlineStr"/>
      <c r="I621" s="11" t="inlineStr">
        <is>
          <t>conciliado</t>
        </is>
      </c>
    </row>
    <row r="622">
      <c r="A622" s="11" t="n">
        <v>559</v>
      </c>
      <c r="B622" s="12" t="n">
        <v>46096</v>
      </c>
      <c r="C622" s="11" t="inlineStr">
        <is>
          <t>guzman hortua victor</t>
        </is>
      </c>
      <c r="D622" s="13" t="n">
        <v>39700</v>
      </c>
      <c r="E622" s="11">
        <f>IF(G622="conciliado","conciliado",I622)</f>
        <v/>
      </c>
      <c r="F622" s="11" t="inlineStr">
        <is>
          <t>725 | 2026-03-15 | 39,700 | arnulfo hortua victor</t>
        </is>
      </c>
      <c r="G622" s="11">
        <f>IF(I622="conciliado","conciliado","por revisar")</f>
        <v/>
      </c>
      <c r="H622" s="11" t="inlineStr"/>
      <c r="I622" s="11" t="inlineStr">
        <is>
          <t>conciliado</t>
        </is>
      </c>
    </row>
    <row r="623">
      <c r="A623" s="11" t="n">
        <v>558</v>
      </c>
      <c r="B623" s="12" t="n">
        <v>46096</v>
      </c>
      <c r="C623" s="11" t="inlineStr">
        <is>
          <t>al enriquez yaguapaz</t>
        </is>
      </c>
      <c r="D623" s="13" t="n">
        <v>25600</v>
      </c>
      <c r="E623" s="11">
        <f>IF(G623="conciliado","conciliado",I623)</f>
        <v/>
      </c>
      <c r="F623" s="11" t="inlineStr">
        <is>
          <t>726 | 2026-03-15 | 25,600 | alex enriquez yaguapaz</t>
        </is>
      </c>
      <c r="G623" s="11">
        <f>IF(I623="conciliado","conciliado","por revisar")</f>
        <v/>
      </c>
      <c r="H623" s="11" t="inlineStr"/>
      <c r="I623" s="11" t="inlineStr">
        <is>
          <t>conciliado</t>
        </is>
      </c>
    </row>
    <row r="624">
      <c r="A624" s="11" t="n">
        <v>567</v>
      </c>
      <c r="B624" s="12" t="n">
        <v>46096</v>
      </c>
      <c r="C624" s="11" t="inlineStr">
        <is>
          <t>chavez dias eva line</t>
        </is>
      </c>
      <c r="D624" s="13" t="n">
        <v>61500</v>
      </c>
      <c r="E624" s="11">
        <f>IF(G624="conciliado","conciliado",I624)</f>
        <v/>
      </c>
      <c r="F624" s="11" t="inlineStr">
        <is>
          <t>727 | 2026-03-15 | 61,500 | diaz eva linet</t>
        </is>
      </c>
      <c r="G624" s="11">
        <f>IF(I624="conciliado","conciliado","por revisar")</f>
        <v/>
      </c>
      <c r="H624" s="11" t="inlineStr"/>
      <c r="I624" s="11" t="inlineStr">
        <is>
          <t>conciliado</t>
        </is>
      </c>
    </row>
    <row r="625">
      <c r="A625" s="11" t="n">
        <v>576</v>
      </c>
      <c r="B625" s="12" t="n">
        <v>46096</v>
      </c>
      <c r="C625" s="11" t="inlineStr">
        <is>
          <t>emir rosero toro yak</t>
        </is>
      </c>
      <c r="D625" s="13" t="n">
        <v>2800</v>
      </c>
      <c r="E625" s="11">
        <f>IF(G625="conciliado","conciliado",I625)</f>
        <v/>
      </c>
      <c r="F625" s="11" t="inlineStr">
        <is>
          <t>728 | 2026-03-15 | 2,800 | emir rosero yaqueline</t>
        </is>
      </c>
      <c r="G625" s="11">
        <f>IF(I625="conciliado","conciliado","por revisar")</f>
        <v/>
      </c>
      <c r="H625" s="11" t="inlineStr"/>
      <c r="I625" s="11" t="inlineStr">
        <is>
          <t>conciliado</t>
        </is>
      </c>
    </row>
    <row r="626">
      <c r="A626" s="11" t="n">
        <v>553</v>
      </c>
      <c r="B626" s="12" t="n">
        <v>46096</v>
      </c>
      <c r="C626" s="11" t="inlineStr">
        <is>
          <t>dian grajales osorio</t>
        </is>
      </c>
      <c r="D626" s="13" t="n">
        <v>12000</v>
      </c>
      <c r="E626" s="11">
        <f>IF(G626="conciliado","conciliado",I626)</f>
        <v/>
      </c>
      <c r="F626" s="11" t="inlineStr">
        <is>
          <t>729 | 2026-03-15 | 12,000 | alejandra salome</t>
        </is>
      </c>
      <c r="G626" s="11">
        <f>IF(I626="conciliado","conciliado","por revisar")</f>
        <v/>
      </c>
      <c r="H626" s="11" t="inlineStr"/>
      <c r="I626" s="11" t="inlineStr">
        <is>
          <t>conciliado</t>
        </is>
      </c>
    </row>
    <row r="627">
      <c r="A627" s="11" t="n">
        <v>584</v>
      </c>
      <c r="B627" s="12" t="n">
        <v>46096</v>
      </c>
      <c r="C627" s="11" t="inlineStr">
        <is>
          <t>efrain gomez paz</t>
        </is>
      </c>
      <c r="D627" s="13" t="n">
        <v>12500</v>
      </c>
      <c r="E627" s="11">
        <f>IF(G627="conciliado","conciliado",I627)</f>
        <v/>
      </c>
      <c r="F627" s="11" t="inlineStr">
        <is>
          <t>730 | 2026-03-15 | 12,500 | efrain gomez</t>
        </is>
      </c>
      <c r="G627" s="11">
        <f>IF(I627="conciliado","conciliado","por revisar")</f>
        <v/>
      </c>
      <c r="H627" s="11" t="inlineStr"/>
      <c r="I627" s="11" t="inlineStr">
        <is>
          <t>conciliado</t>
        </is>
      </c>
    </row>
    <row r="628">
      <c r="A628" s="11" t="n">
        <v>551</v>
      </c>
      <c r="B628" s="12" t="n">
        <v>46096</v>
      </c>
      <c r="C628" s="11" t="inlineStr">
        <is>
          <t>mon obando santacruz</t>
        </is>
      </c>
      <c r="D628" s="13" t="n">
        <v>31500</v>
      </c>
      <c r="E628" s="11">
        <f>IF(G628="conciliado","conciliado",I628)</f>
        <v/>
      </c>
      <c r="F628" s="11" t="inlineStr">
        <is>
          <t>733 | 2026-03-15 | 31,500 | alexandra monica</t>
        </is>
      </c>
      <c r="G628" s="11">
        <f>IF(I628="conciliado","conciliado","por revisar")</f>
        <v/>
      </c>
      <c r="H628" s="11" t="inlineStr"/>
      <c r="I628" s="11" t="inlineStr">
        <is>
          <t>conciliado</t>
        </is>
      </c>
    </row>
    <row r="629">
      <c r="A629" s="11" t="n">
        <v>572</v>
      </c>
      <c r="B629" s="12" t="n">
        <v>46096</v>
      </c>
      <c r="C629" s="11" t="inlineStr">
        <is>
          <t>buesaquillo sanchez</t>
        </is>
      </c>
      <c r="D629" s="13" t="n">
        <v>77913</v>
      </c>
      <c r="E629" s="11">
        <f>IF(G629="conciliado","conciliado",I629)</f>
        <v/>
      </c>
      <c r="F629" s="11" t="inlineStr">
        <is>
          <t>734 | 2026-03-15 | 77,913 | alexander jhon sanchez</t>
        </is>
      </c>
      <c r="G629" s="11">
        <f>IF(I629="conciliado","conciliado","por revisar")</f>
        <v/>
      </c>
      <c r="H629" s="11" t="inlineStr"/>
      <c r="I629" s="11" t="inlineStr">
        <is>
          <t>conciliado</t>
        </is>
      </c>
    </row>
    <row r="630">
      <c r="A630" s="11" t="n">
        <v>583</v>
      </c>
      <c r="B630" s="12" t="n">
        <v>46096</v>
      </c>
      <c r="C630" s="11" t="inlineStr">
        <is>
          <t>angel casanas ortega</t>
        </is>
      </c>
      <c r="D630" s="13" t="n">
        <v>28000</v>
      </c>
      <c r="E630" s="11">
        <f>IF(G630="conciliado","conciliado",I630)</f>
        <v/>
      </c>
      <c r="F630" s="11" t="inlineStr">
        <is>
          <t>736 | 2026-03-15 | 28,000 | anllely ortega</t>
        </is>
      </c>
      <c r="G630" s="11">
        <f>IF(I630="conciliado","conciliado","por revisar")</f>
        <v/>
      </c>
      <c r="H630" s="11" t="inlineStr"/>
      <c r="I630" s="11" t="inlineStr">
        <is>
          <t>conciliado</t>
        </is>
      </c>
    </row>
    <row r="631">
      <c r="A631" s="11" t="n">
        <v>547</v>
      </c>
      <c r="B631" s="12" t="n">
        <v>46096</v>
      </c>
      <c r="C631" s="11" t="inlineStr">
        <is>
          <t>quintero toro yoland</t>
        </is>
      </c>
      <c r="D631" s="13" t="n">
        <v>23500</v>
      </c>
      <c r="E631" s="11">
        <f>IF(G631="conciliado","conciliado",I631)</f>
        <v/>
      </c>
      <c r="F631" s="11" t="inlineStr">
        <is>
          <t>738 | 2026-03-15 | 23,500 | quintero toro yolanda</t>
        </is>
      </c>
      <c r="G631" s="11">
        <f>IF(I631="conciliado","conciliado","por revisar")</f>
        <v/>
      </c>
      <c r="H631" s="11" t="inlineStr"/>
      <c r="I631" s="11" t="inlineStr">
        <is>
          <t>conciliado</t>
        </is>
      </c>
    </row>
    <row r="632">
      <c r="A632" s="11" t="n">
        <v>573</v>
      </c>
      <c r="B632" s="12" t="n">
        <v>46096</v>
      </c>
      <c r="C632" s="11" t="inlineStr">
        <is>
          <t>aida gomez meza</t>
        </is>
      </c>
      <c r="D632" s="13" t="n">
        <v>40000</v>
      </c>
      <c r="E632" s="11">
        <f>IF(G632="conciliado","conciliado",I632)</f>
        <v/>
      </c>
      <c r="F632" s="11" t="inlineStr">
        <is>
          <t>739 | 2026-03-15 | 40,000 | ayda gomez</t>
        </is>
      </c>
      <c r="G632" s="11">
        <f>IF(I632="conciliado","conciliado","por revisar")</f>
        <v/>
      </c>
      <c r="H632" s="11" t="inlineStr"/>
      <c r="I632" s="11" t="inlineStr">
        <is>
          <t>conciliado</t>
        </is>
      </c>
    </row>
    <row r="633">
      <c r="A633" s="11" t="n">
        <v>564</v>
      </c>
      <c r="B633" s="12" t="n">
        <v>46096</v>
      </c>
      <c r="C633" s="11" t="inlineStr">
        <is>
          <t>alej angulo gonzalez</t>
        </is>
      </c>
      <c r="D633" s="13" t="n">
        <v>15900</v>
      </c>
      <c r="E633" s="11">
        <f>IF(G633="conciliado","conciliado",I633)</f>
        <v/>
      </c>
      <c r="F633" s="11" t="inlineStr">
        <is>
          <t>740 | 2026-03-15 | 15,900 | alejandra caterine</t>
        </is>
      </c>
      <c r="G633" s="11">
        <f>IF(I633="conciliado","conciliado","por revisar")</f>
        <v/>
      </c>
      <c r="H633" s="11" t="inlineStr"/>
      <c r="I633" s="11" t="inlineStr">
        <is>
          <t>conciliado</t>
        </is>
      </c>
    </row>
    <row r="634">
      <c r="A634" s="11" t="n">
        <v>582</v>
      </c>
      <c r="B634" s="12" t="n">
        <v>46096</v>
      </c>
      <c r="C634" s="11" t="inlineStr">
        <is>
          <t>cifuentes ka sanchez</t>
        </is>
      </c>
      <c r="D634" s="13" t="n">
        <v>28500</v>
      </c>
      <c r="E634" s="11">
        <f>IF(G634="conciliado","conciliado",I634)</f>
        <v/>
      </c>
      <c r="F634" s="11" t="inlineStr">
        <is>
          <t>742 | 2026-03-15 | 28,500 | cifuentes daniela karen</t>
        </is>
      </c>
      <c r="G634" s="11">
        <f>IF(I634="conciliado","conciliado","por revisar")</f>
        <v/>
      </c>
      <c r="H634" s="11" t="inlineStr"/>
      <c r="I634" s="11" t="inlineStr">
        <is>
          <t>conciliado</t>
        </is>
      </c>
    </row>
    <row r="635">
      <c r="A635" s="11" t="n">
        <v>565</v>
      </c>
      <c r="B635" s="12" t="n">
        <v>46096</v>
      </c>
      <c r="C635" s="11" t="inlineStr">
        <is>
          <t>carlos eduar mendoza</t>
        </is>
      </c>
      <c r="D635" s="13" t="n">
        <v>55374</v>
      </c>
      <c r="E635" s="11">
        <f>IF(G635="conciliado","conciliado",I635)</f>
        <v/>
      </c>
      <c r="F635" s="11" t="inlineStr">
        <is>
          <t>745 | 2026-03-15 | 55,374 | carlos mendoza</t>
        </is>
      </c>
      <c r="G635" s="11">
        <f>IF(I635="conciliado","conciliado","por revisar")</f>
        <v/>
      </c>
      <c r="H635" s="11" t="inlineStr"/>
      <c r="I635" s="11" t="inlineStr">
        <is>
          <t>conciliado</t>
        </is>
      </c>
    </row>
    <row r="636">
      <c r="A636" s="11" t="n">
        <v>549</v>
      </c>
      <c r="B636" s="12" t="n">
        <v>46096</v>
      </c>
      <c r="C636" s="11" t="inlineStr">
        <is>
          <t>lopez motta william</t>
        </is>
      </c>
      <c r="D636" s="13" t="n">
        <v>12500</v>
      </c>
      <c r="E636" s="11">
        <f>IF(G636="conciliado","conciliado",I636)</f>
        <v/>
      </c>
      <c r="F636" s="11" t="inlineStr">
        <is>
          <t>746 | 2026-03-15 | 12,500 | lopez motta william</t>
        </is>
      </c>
      <c r="G636" s="11">
        <f>IF(I636="conciliado","conciliado","por revisar")</f>
        <v/>
      </c>
      <c r="H636" s="11" t="inlineStr"/>
      <c r="I636" s="11" t="inlineStr">
        <is>
          <t>conciliado</t>
        </is>
      </c>
    </row>
    <row r="637">
      <c r="A637" s="11" t="n">
        <v>581</v>
      </c>
      <c r="B637" s="12" t="n">
        <v>46096</v>
      </c>
      <c r="C637" s="11" t="inlineStr">
        <is>
          <t>ana caro diaz ospina</t>
        </is>
      </c>
      <c r="D637" s="13" t="n">
        <v>40000</v>
      </c>
      <c r="E637" s="11">
        <f>IF(G637="conciliado","conciliado",I637)</f>
        <v/>
      </c>
      <c r="F637" s="11" t="inlineStr">
        <is>
          <t>747 | 2026-03-15 | 40,000 | ana carolina diaz ospina</t>
        </is>
      </c>
      <c r="G637" s="11">
        <f>IF(I637="conciliado","conciliado","por revisar")</f>
        <v/>
      </c>
      <c r="H637" s="11" t="inlineStr"/>
      <c r="I637" s="11" t="inlineStr">
        <is>
          <t>conciliado</t>
        </is>
      </c>
    </row>
    <row r="638">
      <c r="A638" s="11" t="n">
        <v>577</v>
      </c>
      <c r="B638" s="12" t="n">
        <v>46096</v>
      </c>
      <c r="C638" s="11" t="inlineStr">
        <is>
          <t>ceron lorena valdes</t>
        </is>
      </c>
      <c r="D638" s="13" t="n">
        <v>43600</v>
      </c>
      <c r="E638" s="11">
        <f>IF(G638="conciliado","conciliado",I638)</f>
        <v/>
      </c>
      <c r="F638" s="11" t="inlineStr">
        <is>
          <t>748 | 2026-03-15 | 43,600 | ceron leydi lorena</t>
        </is>
      </c>
      <c r="G638" s="11">
        <f>IF(I638="conciliado","conciliado","por revisar")</f>
        <v/>
      </c>
      <c r="H638" s="11" t="inlineStr"/>
      <c r="I638" s="11" t="inlineStr">
        <is>
          <t>conciliado</t>
        </is>
      </c>
    </row>
    <row r="639">
      <c r="A639" s="11" t="n">
        <v>571</v>
      </c>
      <c r="B639" s="12" t="n">
        <v>46096</v>
      </c>
      <c r="C639" s="11" t="inlineStr">
        <is>
          <t>chavarro lara luisa</t>
        </is>
      </c>
      <c r="D639" s="13" t="n">
        <v>22100</v>
      </c>
      <c r="E639" s="11">
        <f>IF(G639="conciliado","conciliado",I639)</f>
        <v/>
      </c>
      <c r="F639" s="11" t="inlineStr">
        <is>
          <t>749 | 2026-03-15 | 22,100 | fernanda luisa</t>
        </is>
      </c>
      <c r="G639" s="11">
        <f>IF(I639="conciliado","conciliado","por revisar")</f>
        <v/>
      </c>
      <c r="H639" s="11" t="inlineStr"/>
      <c r="I639" s="11" t="inlineStr">
        <is>
          <t>conciliado</t>
        </is>
      </c>
    </row>
    <row r="640">
      <c r="A640" s="11" t="n">
        <v>546</v>
      </c>
      <c r="B640" s="12" t="n">
        <v>46096</v>
      </c>
      <c r="C640" s="11" t="inlineStr">
        <is>
          <t>ed garcia lopez olga</t>
        </is>
      </c>
      <c r="D640" s="13" t="n">
        <v>39500</v>
      </c>
      <c r="E640" s="11">
        <f>IF(G640="conciliado","conciliado",I640)</f>
        <v/>
      </c>
      <c r="F640" s="11" t="inlineStr">
        <is>
          <t>750 | 2026-03-15 | 39,500 | b bre diana</t>
        </is>
      </c>
      <c r="G640" s="11">
        <f>IF(I640="conciliado","conciliado","por revisar")</f>
        <v/>
      </c>
      <c r="H640" s="11" t="inlineStr"/>
      <c r="I640" s="11" t="inlineStr">
        <is>
          <t>conciliado</t>
        </is>
      </c>
    </row>
    <row r="641">
      <c r="A641" s="11" t="n">
        <v>548</v>
      </c>
      <c r="B641" s="12" t="n">
        <v>46096</v>
      </c>
      <c r="C641" s="11" t="inlineStr">
        <is>
          <t>gloria melo morales</t>
        </is>
      </c>
      <c r="D641" s="13" t="n">
        <v>32100</v>
      </c>
      <c r="E641" s="11">
        <f>IF(G641="conciliado","conciliado",I641)</f>
        <v/>
      </c>
      <c r="F641" s="11" t="inlineStr">
        <is>
          <t>751 | 2026-03-15 | 32,100 | isabel maura morales</t>
        </is>
      </c>
      <c r="G641" s="11">
        <f>IF(I641="conciliado","conciliado","por revisar")</f>
        <v/>
      </c>
      <c r="H641" s="11" t="inlineStr"/>
      <c r="I641" s="11" t="inlineStr">
        <is>
          <t>conciliado</t>
        </is>
      </c>
    </row>
    <row r="642">
      <c r="A642" s="11" t="n">
        <v>580</v>
      </c>
      <c r="B642" s="12" t="n">
        <v>46096</v>
      </c>
      <c r="C642" s="11" t="inlineStr">
        <is>
          <t>escobar kateri palma</t>
        </is>
      </c>
      <c r="D642" s="13" t="n">
        <v>60000</v>
      </c>
      <c r="E642" s="11">
        <f>IF(G642="conciliado","conciliado",I642)</f>
        <v/>
      </c>
      <c r="F642" s="11" t="inlineStr">
        <is>
          <t>752 | 2026-03-15 | 60,000 | escobar jady katherine</t>
        </is>
      </c>
      <c r="G642" s="11">
        <f>IF(I642="conciliado","conciliado","por revisar")</f>
        <v/>
      </c>
      <c r="H642" s="11" t="inlineStr"/>
      <c r="I642" s="11" t="inlineStr">
        <is>
          <t>conciliado</t>
        </is>
      </c>
    </row>
    <row r="643">
      <c r="A643" s="11" t="n">
        <v>556</v>
      </c>
      <c r="B643" s="12" t="n">
        <v>46096</v>
      </c>
      <c r="C643" s="11" t="inlineStr">
        <is>
          <t>benavides d guapucal</t>
        </is>
      </c>
      <c r="D643" s="13" t="n">
        <v>31300</v>
      </c>
      <c r="E643" s="11">
        <f>IF(G643="conciliado","conciliado",I643)</f>
        <v/>
      </c>
      <c r="F643" s="11" t="inlineStr">
        <is>
          <t>753 | 2026-03-15 | 31,300 | dexy esperanza</t>
        </is>
      </c>
      <c r="G643" s="11">
        <f>IF(I643="conciliado","conciliado","por revisar")</f>
        <v/>
      </c>
      <c r="H643" s="11" t="inlineStr"/>
      <c r="I643" s="11" t="inlineStr">
        <is>
          <t>conciliado</t>
        </is>
      </c>
    </row>
    <row r="644">
      <c r="A644" s="11" t="n">
        <v>579</v>
      </c>
      <c r="B644" s="12" t="n">
        <v>46096</v>
      </c>
      <c r="C644" s="11" t="inlineStr">
        <is>
          <t>danie elkin quintero</t>
        </is>
      </c>
      <c r="D644" s="13" t="n">
        <v>41500</v>
      </c>
      <c r="E644" s="11">
        <f>IF(G644="conciliado","conciliado",I644)</f>
        <v/>
      </c>
      <c r="F644" s="11" t="inlineStr">
        <is>
          <t>754 | 2026-03-15 | 41,500 | daniel elkin quintero</t>
        </is>
      </c>
      <c r="G644" s="11">
        <f>IF(I644="conciliado","conciliado","por revisar")</f>
        <v/>
      </c>
      <c r="H644" s="11" t="inlineStr"/>
      <c r="I644" s="11" t="inlineStr">
        <is>
          <t>conciliado</t>
        </is>
      </c>
    </row>
    <row r="645">
      <c r="A645" s="11" t="n">
        <v>575</v>
      </c>
      <c r="B645" s="12" t="n">
        <v>46096</v>
      </c>
      <c r="C645" s="11" t="inlineStr">
        <is>
          <t>pai torres yeferson</t>
        </is>
      </c>
      <c r="D645" s="13" t="n">
        <v>4800</v>
      </c>
      <c r="E645" s="11">
        <f>IF(G645="conciliado","conciliado",I645)</f>
        <v/>
      </c>
      <c r="F645" s="11" t="inlineStr">
        <is>
          <t>755 | 2026-03-15 | 4,800 | burbano dayana merlyn</t>
        </is>
      </c>
      <c r="G645" s="11">
        <f>IF(I645="conciliado","conciliado","por revisar")</f>
        <v/>
      </c>
      <c r="H645" s="11" t="inlineStr"/>
      <c r="I645" s="11" t="inlineStr">
        <is>
          <t>conciliado</t>
        </is>
      </c>
    </row>
    <row r="646">
      <c r="A646" s="11" t="n">
        <v>560</v>
      </c>
      <c r="B646" s="12" t="n">
        <v>46096</v>
      </c>
      <c r="C646" s="11" t="inlineStr">
        <is>
          <t>ca carvajal portilla</t>
        </is>
      </c>
      <c r="D646" s="13" t="n">
        <v>9200</v>
      </c>
      <c r="E646" s="11">
        <f>IF(G646="conciliado","conciliado",I646)</f>
        <v/>
      </c>
      <c r="F646" s="11" t="inlineStr">
        <is>
          <t>757 | 2026-03-15 | 9,200 | carmen carvajal daniela</t>
        </is>
      </c>
      <c r="G646" s="11">
        <f>IF(I646="conciliado","conciliado","por revisar")</f>
        <v/>
      </c>
      <c r="H646" s="11" t="inlineStr"/>
      <c r="I646" s="11" t="inlineStr">
        <is>
          <t>conciliado</t>
        </is>
      </c>
    </row>
    <row r="647">
      <c r="A647" s="11" t="n">
        <v>578</v>
      </c>
      <c r="B647" s="12" t="n">
        <v>46096</v>
      </c>
      <c r="C647" s="11" t="inlineStr">
        <is>
          <t>erazo fer maria melo</t>
        </is>
      </c>
      <c r="D647" s="13" t="n">
        <v>52000</v>
      </c>
      <c r="E647" s="11">
        <f>IF(G647="conciliado","conciliado",I647)</f>
        <v/>
      </c>
      <c r="F647" s="11" t="inlineStr">
        <is>
          <t>758 | 2026-03-15 | 52,000 | aguirre breiner steven</t>
        </is>
      </c>
      <c r="G647" s="11">
        <f>IF(I647="conciliado","conciliado","por revisar")</f>
        <v/>
      </c>
      <c r="H647" s="11" t="inlineStr"/>
      <c r="I647" s="11" t="inlineStr">
        <is>
          <t>conciliado</t>
        </is>
      </c>
    </row>
    <row r="648">
      <c r="A648" s="11" t="n">
        <v>569</v>
      </c>
      <c r="B648" s="12" t="n">
        <v>46096</v>
      </c>
      <c r="C648" s="11" t="inlineStr">
        <is>
          <t>cosa gildo jhonimar</t>
        </is>
      </c>
      <c r="D648" s="13" t="n">
        <v>15400</v>
      </c>
      <c r="E648" s="11">
        <f>IF(G648="conciliado","conciliado",I648)</f>
        <v/>
      </c>
      <c r="F648" s="11" t="inlineStr">
        <is>
          <t>759 | 2026-03-15 | 15,400 | ingri la yajaira</t>
        </is>
      </c>
      <c r="G648" s="11">
        <f>IF(I648="conciliado","conciliado","por revisar")</f>
        <v/>
      </c>
      <c r="H648" s="11" t="inlineStr"/>
      <c r="I648" s="11" t="inlineStr">
        <is>
          <t>conciliado</t>
        </is>
      </c>
    </row>
    <row r="649">
      <c r="A649" s="11" t="n">
        <v>555</v>
      </c>
      <c r="B649" s="12" t="n">
        <v>46096</v>
      </c>
      <c r="C649" s="11" t="inlineStr">
        <is>
          <t>beltran naranjo rein</t>
        </is>
      </c>
      <c r="D649" s="13" t="n">
        <v>22600</v>
      </c>
      <c r="E649" s="11">
        <f>IF(G649="conciliado","conciliado",I649)</f>
        <v/>
      </c>
      <c r="F649" s="11" t="inlineStr">
        <is>
          <t>760 | 2026-03-15 | 22,600 | alexis beltran reinaldo</t>
        </is>
      </c>
      <c r="G649" s="11">
        <f>IF(I649="conciliado","conciliado","por revisar")</f>
        <v/>
      </c>
      <c r="H649" s="11" t="inlineStr"/>
      <c r="I649" s="11" t="inlineStr">
        <is>
          <t>conciliado</t>
        </is>
      </c>
    </row>
    <row r="650">
      <c r="A650" s="11" t="n">
        <v>545</v>
      </c>
      <c r="B650" s="12" t="n">
        <v>46095</v>
      </c>
      <c r="C650" s="11" t="inlineStr">
        <is>
          <t>diaz estupinan maria</t>
        </is>
      </c>
      <c r="D650" s="13" t="n">
        <v>32700</v>
      </c>
      <c r="E650" s="11">
        <f>IF(G650="conciliado","conciliado",I650)</f>
        <v/>
      </c>
      <c r="F650" s="11" t="inlineStr">
        <is>
          <t>761 | 2026-03-14 | 32,700 | diaz fernanda maria</t>
        </is>
      </c>
      <c r="G650" s="11">
        <f>IF(I650="conciliado","conciliado","por revisar")</f>
        <v/>
      </c>
      <c r="H650" s="11" t="inlineStr"/>
      <c r="I650" s="11" t="inlineStr">
        <is>
          <t>conciliado</t>
        </is>
      </c>
    </row>
    <row r="651">
      <c r="A651" s="11" t="n">
        <v>514</v>
      </c>
      <c r="B651" s="12" t="n">
        <v>46095</v>
      </c>
      <c r="C651" s="11" t="inlineStr">
        <is>
          <t>jen melendez ordonez</t>
        </is>
      </c>
      <c r="D651" s="13" t="n">
        <v>3000</v>
      </c>
      <c r="E651" s="11">
        <f>IF(G651="conciliado","conciliado",I651)</f>
        <v/>
      </c>
      <c r="F651" s="11" t="inlineStr">
        <is>
          <t>762 | 2026-03-14 | 3,000 | jennifer yulieth</t>
        </is>
      </c>
      <c r="G651" s="11">
        <f>IF(I651="conciliado","conciliado","por revisar")</f>
        <v/>
      </c>
      <c r="H651" s="11" t="inlineStr"/>
      <c r="I651" s="11" t="inlineStr">
        <is>
          <t>conciliado</t>
        </is>
      </c>
    </row>
    <row r="652">
      <c r="A652" s="11" t="n">
        <v>512</v>
      </c>
      <c r="B652" s="12" t="n">
        <v>46095</v>
      </c>
      <c r="C652" s="11" t="inlineStr">
        <is>
          <t>cadena potosi sandra</t>
        </is>
      </c>
      <c r="D652" s="13" t="n">
        <v>10900</v>
      </c>
      <c r="E652" s="11">
        <f>IF(G652="conciliado","conciliado",I652)</f>
        <v/>
      </c>
      <c r="F652" s="11" t="inlineStr">
        <is>
          <t>763 | 2026-03-14 | 10,900 | dorely potosi sandra</t>
        </is>
      </c>
      <c r="G652" s="11">
        <f>IF(I652="conciliado","conciliado","por revisar")</f>
        <v/>
      </c>
      <c r="H652" s="11" t="inlineStr"/>
      <c r="I652" s="11" t="inlineStr">
        <is>
          <t>conciliado</t>
        </is>
      </c>
    </row>
    <row r="653">
      <c r="A653" s="11" t="n">
        <v>510</v>
      </c>
      <c r="B653" s="12" t="n">
        <v>46095</v>
      </c>
      <c r="C653" s="11" t="inlineStr">
        <is>
          <t>jeimy riascos silva</t>
        </is>
      </c>
      <c r="D653" s="13" t="n">
        <v>15300</v>
      </c>
      <c r="E653" s="11">
        <f>IF(G653="conciliado","conciliado",I653)</f>
        <v/>
      </c>
      <c r="F653" s="11" t="inlineStr">
        <is>
          <t>764 | 2026-03-14 | 15,300 | b bre jeimy</t>
        </is>
      </c>
      <c r="G653" s="11">
        <f>IF(I653="conciliado","conciliado","por revisar")</f>
        <v/>
      </c>
      <c r="H653" s="11" t="inlineStr"/>
      <c r="I653" s="11" t="inlineStr">
        <is>
          <t>conciliado</t>
        </is>
      </c>
    </row>
    <row r="654">
      <c r="A654" s="11" t="n">
        <v>532</v>
      </c>
      <c r="B654" s="12" t="n">
        <v>46095</v>
      </c>
      <c r="C654" s="11" t="inlineStr">
        <is>
          <t>juan mesias perafan</t>
        </is>
      </c>
      <c r="D654" s="13" t="n">
        <v>13800</v>
      </c>
      <c r="E654" s="11">
        <f>IF(G654="conciliado","conciliado",I654)</f>
        <v/>
      </c>
      <c r="F654" s="11" t="inlineStr">
        <is>
          <t>765 | 2026-03-14 | 13,800 | juan manuel perafan</t>
        </is>
      </c>
      <c r="G654" s="11">
        <f>IF(I654="conciliado","conciliado","por revisar")</f>
        <v/>
      </c>
      <c r="H654" s="11" t="inlineStr"/>
      <c r="I654" s="11" t="inlineStr">
        <is>
          <t>conciliado</t>
        </is>
      </c>
    </row>
    <row r="655">
      <c r="A655" s="11" t="n">
        <v>516</v>
      </c>
      <c r="B655" s="12" t="n">
        <v>46095</v>
      </c>
      <c r="C655" s="11" t="inlineStr">
        <is>
          <t>ca carvajal portilla</t>
        </is>
      </c>
      <c r="D655" s="13" t="n">
        <v>10800</v>
      </c>
      <c r="E655" s="11">
        <f>IF(G655="conciliado","conciliado",I655)</f>
        <v/>
      </c>
      <c r="F655" s="11" t="inlineStr">
        <is>
          <t>768 | 2026-03-14 | 10,800 | carmen carvajal daniela</t>
        </is>
      </c>
      <c r="G655" s="11">
        <f>IF(I655="conciliado","conciliado","por revisar")</f>
        <v/>
      </c>
      <c r="H655" s="11" t="inlineStr"/>
      <c r="I655" s="11" t="inlineStr">
        <is>
          <t>conciliado</t>
        </is>
      </c>
    </row>
    <row r="656">
      <c r="A656" s="11" t="n">
        <v>526</v>
      </c>
      <c r="B656" s="12" t="n">
        <v>46095</v>
      </c>
      <c r="C656" s="11" t="inlineStr">
        <is>
          <t>deisi guerrero leon</t>
        </is>
      </c>
      <c r="D656" s="13" t="n">
        <v>50000</v>
      </c>
      <c r="E656" s="11">
        <f>IF(G656="conciliado","conciliado",I656)</f>
        <v/>
      </c>
      <c r="F656" s="11" t="inlineStr">
        <is>
          <t>769 | 2026-03-14 | 50,000 | deysi esperanza</t>
        </is>
      </c>
      <c r="G656" s="11">
        <f>IF(I656="conciliado","conciliado","por revisar")</f>
        <v/>
      </c>
      <c r="H656" s="11" t="inlineStr"/>
      <c r="I656" s="11" t="inlineStr">
        <is>
          <t>conciliado</t>
        </is>
      </c>
    </row>
    <row r="657">
      <c r="A657" s="11" t="n">
        <v>519</v>
      </c>
      <c r="B657" s="12" t="n">
        <v>46095</v>
      </c>
      <c r="C657" s="11" t="inlineStr">
        <is>
          <t>cubillos niv ordones</t>
        </is>
      </c>
      <c r="D657" s="13" t="n">
        <v>32200</v>
      </c>
      <c r="E657" s="11">
        <f>IF(G657="conciliado","conciliado",I657)</f>
        <v/>
      </c>
      <c r="F657" s="11" t="inlineStr">
        <is>
          <t>773 | 2026-03-14 | 32,200 | cubillos nivia ordones</t>
        </is>
      </c>
      <c r="G657" s="11">
        <f>IF(I657="conciliado","conciliado","por revisar")</f>
        <v/>
      </c>
      <c r="H657" s="11" t="inlineStr"/>
      <c r="I657" s="11" t="inlineStr">
        <is>
          <t>conciliado</t>
        </is>
      </c>
    </row>
    <row r="658">
      <c r="A658" s="11" t="n">
        <v>538</v>
      </c>
      <c r="B658" s="12" t="n">
        <v>46095</v>
      </c>
      <c r="C658" s="11" t="inlineStr">
        <is>
          <t>bolanos celia ibanez</t>
        </is>
      </c>
      <c r="D658" s="13" t="n">
        <v>18400</v>
      </c>
      <c r="E658" s="11">
        <f>IF(G658="conciliado","conciliado",I658)</f>
        <v/>
      </c>
      <c r="F658" s="11" t="inlineStr">
        <is>
          <t>774 | 2026-03-14 | 18,400 | celiano ibanez</t>
        </is>
      </c>
      <c r="G658" s="11">
        <f>IF(I658="conciliado","conciliado","por revisar")</f>
        <v/>
      </c>
      <c r="H658" s="11" t="inlineStr"/>
      <c r="I658" s="11" t="inlineStr">
        <is>
          <t>conciliado</t>
        </is>
      </c>
    </row>
    <row r="659">
      <c r="A659" s="11" t="n">
        <v>503</v>
      </c>
      <c r="B659" s="12" t="n">
        <v>46095</v>
      </c>
      <c r="C659" s="11" t="inlineStr">
        <is>
          <t>mar santacruz suarez</t>
        </is>
      </c>
      <c r="D659" s="13" t="n">
        <v>15000</v>
      </c>
      <c r="E659" s="11">
        <f>IF(G659="conciliado","conciliado",I659)</f>
        <v/>
      </c>
      <c r="F659" s="11" t="inlineStr">
        <is>
          <t>775 | 2026-03-14 | 15,000 | b bre faruk</t>
        </is>
      </c>
      <c r="G659" s="11">
        <f>IF(I659="conciliado","conciliado","por revisar")</f>
        <v/>
      </c>
      <c r="H659" s="11" t="inlineStr"/>
      <c r="I659" s="11" t="inlineStr">
        <is>
          <t>conciliado</t>
        </is>
      </c>
    </row>
    <row r="660">
      <c r="A660" s="11" t="n">
        <v>527</v>
      </c>
      <c r="B660" s="12" t="n">
        <v>46095</v>
      </c>
      <c r="C660" s="11" t="inlineStr">
        <is>
          <t>cusis julio ramirez</t>
        </is>
      </c>
      <c r="D660" s="13" t="n">
        <v>121800</v>
      </c>
      <c r="E660" s="11">
        <f>IF(G660="conciliado","conciliado",I660)</f>
        <v/>
      </c>
      <c r="F660" s="11" t="inlineStr">
        <is>
          <t>776 | 2026-03-14 | 121,800 | cesar cusis julio</t>
        </is>
      </c>
      <c r="G660" s="11">
        <f>IF(I660="conciliado","conciliado","por revisar")</f>
        <v/>
      </c>
      <c r="H660" s="11" t="inlineStr"/>
      <c r="I660" s="11" t="inlineStr">
        <is>
          <t>conciliado</t>
        </is>
      </c>
    </row>
    <row r="661">
      <c r="A661" s="11" t="n">
        <v>544</v>
      </c>
      <c r="B661" s="12" t="n">
        <v>46095</v>
      </c>
      <c r="C661" s="11" t="inlineStr">
        <is>
          <t>cuastumal fa tipujan</t>
        </is>
      </c>
      <c r="D661" s="13" t="n">
        <v>12000</v>
      </c>
      <c r="E661" s="11">
        <f>IF(G661="conciliado","conciliado",I661)</f>
        <v/>
      </c>
      <c r="F661" s="11" t="inlineStr">
        <is>
          <t>777 | 2026-03-14 | 12,000 | augusto fabian</t>
        </is>
      </c>
      <c r="G661" s="11">
        <f>IF(I661="conciliado","conciliado","por revisar")</f>
        <v/>
      </c>
      <c r="H661" s="11" t="inlineStr"/>
      <c r="I661" s="11" t="inlineStr">
        <is>
          <t>conciliado</t>
        </is>
      </c>
    </row>
    <row r="662">
      <c r="A662" s="11" t="n">
        <v>523</v>
      </c>
      <c r="B662" s="12" t="n">
        <v>46095</v>
      </c>
      <c r="C662" s="11" t="inlineStr">
        <is>
          <t>caicedo rodrigo yela</t>
        </is>
      </c>
      <c r="D662" s="13" t="n">
        <v>21600</v>
      </c>
      <c r="E662" s="11">
        <f>IF(G662="conciliado","conciliado",I662)</f>
        <v/>
      </c>
      <c r="F662" s="11" t="inlineStr">
        <is>
          <t>778 | 2026-03-14 | 21,600 | julieth maria osorio</t>
        </is>
      </c>
      <c r="G662" s="11">
        <f>IF(I662="conciliado","conciliado","por revisar")</f>
        <v/>
      </c>
      <c r="H662" s="11" t="inlineStr"/>
      <c r="I662" s="11" t="inlineStr">
        <is>
          <t>conciliado</t>
        </is>
      </c>
    </row>
    <row r="663">
      <c r="A663" s="11" t="n">
        <v>543</v>
      </c>
      <c r="B663" s="12" t="n">
        <v>46095</v>
      </c>
      <c r="C663" s="11" t="inlineStr">
        <is>
          <t>caren hernandez yela</t>
        </is>
      </c>
      <c r="D663" s="13" t="n">
        <v>7400</v>
      </c>
      <c r="E663" s="11">
        <f>IF(G663="conciliado","conciliado",I663)</f>
        <v/>
      </c>
      <c r="F663" s="11" t="inlineStr">
        <is>
          <t>779 | 2026-03-14 | 7,400 | karen yela yulisa</t>
        </is>
      </c>
      <c r="G663" s="11">
        <f>IF(I663="conciliado","conciliado","por revisar")</f>
        <v/>
      </c>
      <c r="H663" s="11" t="inlineStr"/>
      <c r="I663" s="11" t="inlineStr">
        <is>
          <t>conciliado</t>
        </is>
      </c>
    </row>
    <row r="664">
      <c r="A664" s="11" t="n">
        <v>531</v>
      </c>
      <c r="B664" s="12" t="n">
        <v>46095</v>
      </c>
      <c r="C664" s="11" t="inlineStr">
        <is>
          <t>caes florez kely yoj</t>
        </is>
      </c>
      <c r="D664" s="13" t="n">
        <v>20000</v>
      </c>
      <c r="E664" s="11">
        <f>IF(G664="conciliado","conciliado",I664)</f>
        <v/>
      </c>
      <c r="F664" s="11" t="inlineStr">
        <is>
          <t>781 | 2026-03-14 | 20,000 | caez florez keli yojana</t>
        </is>
      </c>
      <c r="G664" s="11">
        <f>IF(I664="conciliado","conciliado","por revisar")</f>
        <v/>
      </c>
      <c r="H664" s="11" t="inlineStr"/>
      <c r="I664" s="11" t="inlineStr">
        <is>
          <t>conciliado</t>
        </is>
      </c>
    </row>
    <row r="665">
      <c r="A665" s="11" t="n">
        <v>520</v>
      </c>
      <c r="B665" s="12" t="n">
        <v>46095</v>
      </c>
      <c r="C665" s="11" t="inlineStr">
        <is>
          <t>polanco quintero viv</t>
        </is>
      </c>
      <c r="D665" s="13" t="n">
        <v>20200</v>
      </c>
      <c r="E665" s="11">
        <f>IF(G665="conciliado","conciliado",I665)</f>
        <v/>
      </c>
      <c r="F665" s="11" t="inlineStr">
        <is>
          <t>782 | 2026-03-14 | 20,200 | alexandra viviana</t>
        </is>
      </c>
      <c r="G665" s="11">
        <f>IF(I665="conciliado","conciliado","por revisar")</f>
        <v/>
      </c>
      <c r="H665" s="11" t="inlineStr"/>
      <c r="I665" s="11" t="inlineStr">
        <is>
          <t>conciliado</t>
        </is>
      </c>
    </row>
    <row r="666">
      <c r="A666" s="11" t="n">
        <v>534</v>
      </c>
      <c r="B666" s="12" t="n">
        <v>46095</v>
      </c>
      <c r="C666" s="11" t="inlineStr">
        <is>
          <t>ai riascos tobar</t>
        </is>
      </c>
      <c r="D666" s="13" t="n">
        <v>57600</v>
      </c>
      <c r="E666" s="11">
        <f>IF(G666="conciliado","conciliado",I666)</f>
        <v/>
      </c>
      <c r="F666" s="11" t="inlineStr">
        <is>
          <t>783 | 2026-03-14 | 57,600 | ayda riascos tobar</t>
        </is>
      </c>
      <c r="G666" s="11">
        <f>IF(I666="conciliado","conciliado","por revisar")</f>
        <v/>
      </c>
      <c r="H666" s="11" t="inlineStr"/>
      <c r="I666" s="11" t="inlineStr">
        <is>
          <t>conciliado</t>
        </is>
      </c>
    </row>
    <row r="667">
      <c r="A667" s="11" t="n">
        <v>511</v>
      </c>
      <c r="B667" s="12" t="n">
        <v>46095</v>
      </c>
      <c r="C667" s="11" t="inlineStr">
        <is>
          <t>benavides d guapucal</t>
        </is>
      </c>
      <c r="D667" s="13" t="n">
        <v>32400</v>
      </c>
      <c r="E667" s="11">
        <f>IF(G667="conciliado","conciliado",I667)</f>
        <v/>
      </c>
      <c r="F667" s="11" t="inlineStr">
        <is>
          <t>784 | 2026-03-14 | 32,400 | dexy esperanza</t>
        </is>
      </c>
      <c r="G667" s="11">
        <f>IF(I667="conciliado","conciliado","por revisar")</f>
        <v/>
      </c>
      <c r="H667" s="11" t="inlineStr"/>
      <c r="I667" s="11" t="inlineStr">
        <is>
          <t>conciliado</t>
        </is>
      </c>
    </row>
    <row r="668">
      <c r="A668" s="11" t="n">
        <v>505</v>
      </c>
      <c r="B668" s="12" t="n">
        <v>46095</v>
      </c>
      <c r="C668" s="11" t="inlineStr">
        <is>
          <t>azuce franco rubiano</t>
        </is>
      </c>
      <c r="D668" s="13" t="n">
        <v>12500</v>
      </c>
      <c r="E668" s="11">
        <f>IF(G668="conciliado","conciliado",I668)</f>
        <v/>
      </c>
      <c r="F668" s="11" t="inlineStr">
        <is>
          <t>787 | 2026-03-14 | 12,500 | azucena franco rubiano</t>
        </is>
      </c>
      <c r="G668" s="11">
        <f>IF(I668="conciliado","conciliado","por revisar")</f>
        <v/>
      </c>
      <c r="H668" s="11" t="inlineStr"/>
      <c r="I668" s="11" t="inlineStr">
        <is>
          <t>conciliado</t>
        </is>
      </c>
    </row>
    <row r="669">
      <c r="A669" s="11" t="n">
        <v>535</v>
      </c>
      <c r="B669" s="12" t="n">
        <v>46095</v>
      </c>
      <c r="C669" s="11" t="inlineStr">
        <is>
          <t>alba leo pedro perez</t>
        </is>
      </c>
      <c r="D669" s="13" t="n">
        <v>23200</v>
      </c>
      <c r="E669" s="11">
        <f>IF(G669="conciliado","conciliado",I669)</f>
        <v/>
      </c>
      <c r="F669" s="11" t="inlineStr">
        <is>
          <t>789 | 2026-03-14 | 23,200 | alba leonardo pedro</t>
        </is>
      </c>
      <c r="G669" s="11">
        <f>IF(I669="conciliado","conciliado","por revisar")</f>
        <v/>
      </c>
      <c r="H669" s="11" t="inlineStr"/>
      <c r="I669" s="11" t="inlineStr">
        <is>
          <t>conciliado</t>
        </is>
      </c>
    </row>
    <row r="670">
      <c r="A670" s="11" t="n">
        <v>525</v>
      </c>
      <c r="B670" s="12" t="n">
        <v>46095</v>
      </c>
      <c r="C670" s="11" t="inlineStr">
        <is>
          <t>bravo dani rodriguez</t>
        </is>
      </c>
      <c r="D670" s="13" t="n">
        <v>10100</v>
      </c>
      <c r="E670" s="11">
        <f>IF(G670="conciliado","conciliado",I670)</f>
        <v/>
      </c>
      <c r="F670" s="11" t="inlineStr">
        <is>
          <t>790 | 2026-03-14 | 10,100 | bravo daniel reinaldo</t>
        </is>
      </c>
      <c r="G670" s="11">
        <f>IF(I670="conciliado","conciliado","por revisar")</f>
        <v/>
      </c>
      <c r="H670" s="11" t="inlineStr"/>
      <c r="I670" s="11" t="inlineStr">
        <is>
          <t>conciliado</t>
        </is>
      </c>
    </row>
    <row r="671">
      <c r="A671" s="11" t="n">
        <v>528</v>
      </c>
      <c r="B671" s="12" t="n">
        <v>46095</v>
      </c>
      <c r="C671" s="11" t="inlineStr">
        <is>
          <t>erazo jhonata ruales</t>
        </is>
      </c>
      <c r="D671" s="13" t="n">
        <v>47800</v>
      </c>
      <c r="E671" s="11">
        <f>IF(G671="conciliado","conciliado",I671)</f>
        <v/>
      </c>
      <c r="F671" s="11" t="inlineStr">
        <is>
          <t>791 | 2026-03-14 | 47,800 | jhonatan ruales stiven</t>
        </is>
      </c>
      <c r="G671" s="11">
        <f>IF(I671="conciliado","conciliado","por revisar")</f>
        <v/>
      </c>
      <c r="H671" s="11" t="inlineStr"/>
      <c r="I671" s="11" t="inlineStr">
        <is>
          <t>conciliado</t>
        </is>
      </c>
    </row>
    <row r="672">
      <c r="A672" s="11" t="n">
        <v>502</v>
      </c>
      <c r="B672" s="12" t="n">
        <v>46095</v>
      </c>
      <c r="C672" s="11" t="inlineStr">
        <is>
          <t>ca juan sanchez toro</t>
        </is>
      </c>
      <c r="D672" s="13" t="n">
        <v>11600</v>
      </c>
      <c r="E672" s="11">
        <f>IF(G672="conciliado","conciliado",I672)</f>
        <v/>
      </c>
      <c r="F672" s="11" t="inlineStr">
        <is>
          <t>792 | 2026-03-14 | 11,600 | carlos juan sanchez</t>
        </is>
      </c>
      <c r="G672" s="11">
        <f>IF(I672="conciliado","conciliado","por revisar")</f>
        <v/>
      </c>
      <c r="H672" s="11" t="inlineStr"/>
      <c r="I672" s="11" t="inlineStr">
        <is>
          <t>conciliado</t>
        </is>
      </c>
    </row>
    <row r="673">
      <c r="A673" s="11" t="n">
        <v>537</v>
      </c>
      <c r="B673" s="12" t="n">
        <v>46095</v>
      </c>
      <c r="C673" s="11" t="inlineStr">
        <is>
          <t>gomez sevillano yani</t>
        </is>
      </c>
      <c r="D673" s="13" t="n">
        <v>11800</v>
      </c>
      <c r="E673" s="11">
        <f>IF(G673="conciliado","conciliado",I673)</f>
        <v/>
      </c>
      <c r="F673" s="11" t="inlineStr">
        <is>
          <t>793 | 2026-03-14 | 11,800 | sevillano yanira yurani</t>
        </is>
      </c>
      <c r="G673" s="11">
        <f>IF(I673="conciliado","conciliado","por revisar")</f>
        <v/>
      </c>
      <c r="H673" s="11" t="inlineStr"/>
      <c r="I673" s="11" t="inlineStr">
        <is>
          <t>conciliado</t>
        </is>
      </c>
    </row>
    <row r="674">
      <c r="A674" s="11" t="n">
        <v>513</v>
      </c>
      <c r="B674" s="12" t="n">
        <v>46095</v>
      </c>
      <c r="C674" s="11" t="inlineStr">
        <is>
          <t>jess paredes salazar</t>
        </is>
      </c>
      <c r="D674" s="13" t="n">
        <v>26200</v>
      </c>
      <c r="E674" s="11">
        <f>IF(G674="conciliado","conciliado",I674)</f>
        <v/>
      </c>
      <c r="F674" s="11" t="inlineStr">
        <is>
          <t>794 | 2026-03-14 | 26,200 | jessica paredes salazar</t>
        </is>
      </c>
      <c r="G674" s="11">
        <f>IF(I674="conciliado","conciliado","por revisar")</f>
        <v/>
      </c>
      <c r="H674" s="11" t="inlineStr"/>
      <c r="I674" s="11" t="inlineStr">
        <is>
          <t>conciliado</t>
        </is>
      </c>
    </row>
    <row r="675">
      <c r="A675" s="11" t="n">
        <v>539</v>
      </c>
      <c r="B675" s="12" t="n">
        <v>46095</v>
      </c>
      <c r="C675" s="11" t="inlineStr">
        <is>
          <t>sebastian zambrano</t>
        </is>
      </c>
      <c r="D675" s="13" t="n">
        <v>7800</v>
      </c>
      <c r="E675" s="11">
        <f>IF(G675="conciliado","conciliado",I675)</f>
        <v/>
      </c>
      <c r="F675" s="11" t="inlineStr">
        <is>
          <t>795 | 2026-03-14 | 7,800 | bancolombia desde recarga</t>
        </is>
      </c>
      <c r="G675" s="11">
        <f>IF(I675="conciliado","conciliado","por revisar")</f>
        <v/>
      </c>
      <c r="H675" s="11" t="inlineStr"/>
      <c r="I675" s="11" t="inlineStr">
        <is>
          <t>conciliado</t>
        </is>
      </c>
    </row>
    <row r="676">
      <c r="A676" s="11" t="n">
        <v>509</v>
      </c>
      <c r="B676" s="12" t="n">
        <v>46095</v>
      </c>
      <c r="C676" s="11" t="inlineStr">
        <is>
          <t>an la pava torres</t>
        </is>
      </c>
      <c r="D676" s="13" t="n">
        <v>103500</v>
      </c>
      <c r="E676" s="11">
        <f>IF(G676="conciliado","conciliado",I676)</f>
        <v/>
      </c>
      <c r="F676" s="11" t="inlineStr">
        <is>
          <t>796 | 2026-03-14 | 103,500 | andrea de la victoria</t>
        </is>
      </c>
      <c r="G676" s="11">
        <f>IF(I676="conciliado","conciliado","por revisar")</f>
        <v/>
      </c>
      <c r="H676" s="11" t="inlineStr"/>
      <c r="I676" s="11" t="inlineStr">
        <is>
          <t>conciliado</t>
        </is>
      </c>
    </row>
    <row r="677">
      <c r="A677" s="11" t="n">
        <v>542</v>
      </c>
      <c r="B677" s="12" t="n">
        <v>46095</v>
      </c>
      <c r="C677" s="11" t="inlineStr">
        <is>
          <t>ana ceron erazo</t>
        </is>
      </c>
      <c r="D677" s="13" t="n">
        <v>101800</v>
      </c>
      <c r="E677" s="11">
        <f>IF(G677="conciliado","conciliado",I677)</f>
        <v/>
      </c>
      <c r="F677" s="11" t="inlineStr">
        <is>
          <t>797 | 2026-03-14 | 101,800 | ana ceron erazo lucia</t>
        </is>
      </c>
      <c r="G677" s="11">
        <f>IF(I677="conciliado","conciliado","por revisar")</f>
        <v/>
      </c>
      <c r="H677" s="11" t="inlineStr"/>
      <c r="I677" s="11" t="inlineStr">
        <is>
          <t>conciliado</t>
        </is>
      </c>
    </row>
    <row r="678">
      <c r="A678" s="11" t="n">
        <v>541</v>
      </c>
      <c r="B678" s="12" t="n">
        <v>46095</v>
      </c>
      <c r="C678" s="11" t="inlineStr">
        <is>
          <t>al bastidas betancur</t>
        </is>
      </c>
      <c r="D678" s="13" t="n">
        <v>29700</v>
      </c>
      <c r="E678" s="11">
        <f>IF(G678="conciliado","conciliado",I678)</f>
        <v/>
      </c>
      <c r="F678" s="11" t="inlineStr">
        <is>
          <t>798 | 2026-03-14 | 29,700 | alexander betancur</t>
        </is>
      </c>
      <c r="G678" s="11">
        <f>IF(I678="conciliado","conciliado","por revisar")</f>
        <v/>
      </c>
      <c r="H678" s="11" t="inlineStr"/>
      <c r="I678" s="11" t="inlineStr">
        <is>
          <t>conciliado</t>
        </is>
      </c>
    </row>
    <row r="679">
      <c r="A679" s="11" t="n">
        <v>506</v>
      </c>
      <c r="B679" s="12" t="n">
        <v>46095</v>
      </c>
      <c r="C679" s="11" t="inlineStr">
        <is>
          <t>acosta idaly narvaez</t>
        </is>
      </c>
      <c r="D679" s="13" t="n">
        <v>82300</v>
      </c>
      <c r="E679" s="11">
        <f>IF(G679="conciliado","conciliado",I679)</f>
        <v/>
      </c>
      <c r="F679" s="11" t="inlineStr">
        <is>
          <t>800 | 2026-03-14 | 82,300 | esperanza idaly narvaez</t>
        </is>
      </c>
      <c r="G679" s="11">
        <f>IF(I679="conciliado","conciliado","por revisar")</f>
        <v/>
      </c>
      <c r="H679" s="11" t="inlineStr"/>
      <c r="I679" s="11" t="inlineStr">
        <is>
          <t>conciliado</t>
        </is>
      </c>
    </row>
    <row r="680">
      <c r="A680" s="11" t="n">
        <v>536</v>
      </c>
      <c r="B680" s="12" t="n">
        <v>46095</v>
      </c>
      <c r="C680" s="11" t="inlineStr">
        <is>
          <t>escobar matus paula</t>
        </is>
      </c>
      <c r="D680" s="13" t="n">
        <v>45600</v>
      </c>
      <c r="E680" s="11">
        <f>IF(G680="conciliado","conciliado",I680)</f>
        <v/>
      </c>
      <c r="F680" s="11" t="inlineStr">
        <is>
          <t>801 | 2026-03-14 | 45,600 | bancolombia desde qr recarga</t>
        </is>
      </c>
      <c r="G680" s="11">
        <f>IF(I680="conciliado","conciliado","por revisar")</f>
        <v/>
      </c>
      <c r="H680" s="11" t="inlineStr"/>
      <c r="I680" s="11" t="inlineStr">
        <is>
          <t>conciliado</t>
        </is>
      </c>
    </row>
    <row r="681">
      <c r="A681" s="11" t="n">
        <v>517</v>
      </c>
      <c r="B681" s="12" t="n">
        <v>46095</v>
      </c>
      <c r="C681" s="11" t="inlineStr">
        <is>
          <t>b cueva pinta wilson</t>
        </is>
      </c>
      <c r="D681" s="13" t="n">
        <v>8200</v>
      </c>
      <c r="E681" s="11">
        <f>IF(G681="conciliado","conciliado",I681)</f>
        <v/>
      </c>
      <c r="F681" s="11" t="inlineStr">
        <is>
          <t>802 | 2026-03-14 | 8,200 | bladimir cueva wilson</t>
        </is>
      </c>
      <c r="G681" s="11">
        <f>IF(I681="conciliado","conciliado","por revisar")</f>
        <v/>
      </c>
      <c r="H681" s="11" t="inlineStr"/>
      <c r="I681" s="11" t="inlineStr">
        <is>
          <t>conciliado</t>
        </is>
      </c>
    </row>
    <row r="682">
      <c r="A682" s="11" t="n">
        <v>507</v>
      </c>
      <c r="B682" s="12" t="n">
        <v>46095</v>
      </c>
      <c r="C682" s="11" t="inlineStr">
        <is>
          <t>betancourt cano luz</t>
        </is>
      </c>
      <c r="D682" s="13" t="n">
        <v>48300</v>
      </c>
      <c r="E682" s="11">
        <f>IF(G682="conciliado","conciliado",I682)</f>
        <v/>
      </c>
      <c r="F682" s="11" t="inlineStr">
        <is>
          <t>803 | 2026-03-14 | 48,300 | cano elena luz</t>
        </is>
      </c>
      <c r="G682" s="11">
        <f>IF(I682="conciliado","conciliado","por revisar")</f>
        <v/>
      </c>
      <c r="H682" s="11" t="inlineStr"/>
      <c r="I682" s="11" t="inlineStr">
        <is>
          <t>conciliado</t>
        </is>
      </c>
    </row>
    <row r="683">
      <c r="A683" s="11" t="n">
        <v>540</v>
      </c>
      <c r="B683" s="12" t="n">
        <v>46095</v>
      </c>
      <c r="C683" s="11" t="inlineStr">
        <is>
          <t>bernal scarpeta yesi</t>
        </is>
      </c>
      <c r="D683" s="13" t="n">
        <v>18000</v>
      </c>
      <c r="E683" s="11">
        <f>IF(G683="conciliado","conciliado",I683)</f>
        <v/>
      </c>
      <c r="F683" s="11" t="inlineStr">
        <is>
          <t>804 | 2026-03-14 | 18,000 | jessica paola scarpeta</t>
        </is>
      </c>
      <c r="G683" s="11">
        <f>IF(I683="conciliado","conciliado","por revisar")</f>
        <v/>
      </c>
      <c r="H683" s="11" t="inlineStr"/>
      <c r="I683" s="11" t="inlineStr">
        <is>
          <t>conciliado</t>
        </is>
      </c>
    </row>
    <row r="684">
      <c r="A684" s="11" t="n">
        <v>524</v>
      </c>
      <c r="B684" s="12" t="n">
        <v>46095</v>
      </c>
      <c r="C684" s="11" t="inlineStr">
        <is>
          <t>ceron domingo jose</t>
        </is>
      </c>
      <c r="D684" s="13" t="n">
        <v>13000</v>
      </c>
      <c r="E684" s="11">
        <f>IF(G684="conciliado","conciliado",I684)</f>
        <v/>
      </c>
      <c r="F684" s="11" t="inlineStr">
        <is>
          <t>805 | 2026-03-14 | 13,000 | ceron domingo jose</t>
        </is>
      </c>
      <c r="G684" s="11">
        <f>IF(I684="conciliado","conciliado","por revisar")</f>
        <v/>
      </c>
      <c r="H684" s="11" t="inlineStr"/>
      <c r="I684" s="11" t="inlineStr">
        <is>
          <t>conciliado</t>
        </is>
      </c>
    </row>
    <row r="685">
      <c r="A685" s="11" t="n">
        <v>521</v>
      </c>
      <c r="B685" s="12" t="n">
        <v>46095</v>
      </c>
      <c r="C685" s="11" t="inlineStr">
        <is>
          <t>carlos coime torres</t>
        </is>
      </c>
      <c r="D685" s="13" t="n">
        <v>4500</v>
      </c>
      <c r="E685" s="11">
        <f>IF(G685="conciliado","conciliado",I685)</f>
        <v/>
      </c>
      <c r="F685" s="11" t="inlineStr">
        <is>
          <t>807 | 2026-03-14 | 4,500 | carlos coime eduardo</t>
        </is>
      </c>
      <c r="G685" s="11">
        <f>IF(I685="conciliado","conciliado","por revisar")</f>
        <v/>
      </c>
      <c r="H685" s="11" t="inlineStr"/>
      <c r="I685" s="11" t="inlineStr">
        <is>
          <t>conciliado</t>
        </is>
      </c>
    </row>
    <row r="686">
      <c r="A686" s="11" t="n">
        <v>533</v>
      </c>
      <c r="B686" s="12" t="n">
        <v>46095</v>
      </c>
      <c r="C686" s="11" t="inlineStr">
        <is>
          <t>an prado velasco</t>
        </is>
      </c>
      <c r="D686" s="13" t="n">
        <v>20000</v>
      </c>
      <c r="E686" s="11">
        <f>IF(G686="conciliado","conciliado",I686)</f>
        <v/>
      </c>
      <c r="F686" s="11" t="inlineStr">
        <is>
          <t>808 | 2026-03-14 | 20,000 | anyi lorena prado</t>
        </is>
      </c>
      <c r="G686" s="11">
        <f>IF(I686="conciliado","conciliado","por revisar")</f>
        <v/>
      </c>
      <c r="H686" s="11" t="inlineStr"/>
      <c r="I686" s="11" t="inlineStr">
        <is>
          <t>conciliado</t>
        </is>
      </c>
    </row>
    <row r="687">
      <c r="A687" s="11" t="n">
        <v>508</v>
      </c>
      <c r="B687" s="12" t="n">
        <v>46095</v>
      </c>
      <c r="C687" s="11" t="inlineStr">
        <is>
          <t>leid portilla urbano</t>
        </is>
      </c>
      <c r="D687" s="13" t="n">
        <v>24600</v>
      </c>
      <c r="E687" s="11">
        <f>IF(G687="conciliado","conciliado",I687)</f>
        <v/>
      </c>
      <c r="F687" s="11" t="inlineStr">
        <is>
          <t>809 | 2026-03-14 | 24,600 | leidy liliana urbano</t>
        </is>
      </c>
      <c r="G687" s="11">
        <f>IF(I687="conciliado","conciliado","por revisar")</f>
        <v/>
      </c>
      <c r="H687" s="11" t="inlineStr"/>
      <c r="I687" s="11" t="inlineStr">
        <is>
          <t>conciliado</t>
        </is>
      </c>
    </row>
    <row r="688">
      <c r="A688" s="11" t="n">
        <v>466</v>
      </c>
      <c r="B688" s="12" t="n">
        <v>46094</v>
      </c>
      <c r="C688" s="11" t="inlineStr">
        <is>
          <t>alvaro prado salazar</t>
        </is>
      </c>
      <c r="D688" s="13" t="n">
        <v>76000</v>
      </c>
      <c r="E688" s="11">
        <f>IF(G688="conciliado","conciliado",I688)</f>
        <v/>
      </c>
      <c r="F688" s="11" t="inlineStr">
        <is>
          <t>813 | 2026-03-13 | 76,000 | alvaro asnoraldo</t>
        </is>
      </c>
      <c r="G688" s="11">
        <f>IF(I688="conciliado","conciliado","por revisar")</f>
        <v/>
      </c>
      <c r="H688" s="11" t="inlineStr"/>
      <c r="I688" s="11" t="inlineStr">
        <is>
          <t>conciliado</t>
        </is>
      </c>
    </row>
    <row r="689">
      <c r="A689" s="11" t="n">
        <v>476</v>
      </c>
      <c r="B689" s="12" t="n">
        <v>46094</v>
      </c>
      <c r="C689" s="11" t="inlineStr">
        <is>
          <t>ca carvajal portilla</t>
        </is>
      </c>
      <c r="D689" s="13" t="n">
        <v>10000</v>
      </c>
      <c r="E689" s="11">
        <f>IF(G689="conciliado","conciliado",I689)</f>
        <v/>
      </c>
      <c r="F689" s="11" t="inlineStr">
        <is>
          <t>814 | 2026-03-13 | 10,000 | carmen carvajal daniela</t>
        </is>
      </c>
      <c r="G689" s="11">
        <f>IF(I689="conciliado","conciliado","por revisar")</f>
        <v/>
      </c>
      <c r="H689" s="11" t="inlineStr"/>
      <c r="I689" s="11" t="inlineStr">
        <is>
          <t>conciliado</t>
        </is>
      </c>
    </row>
    <row r="690">
      <c r="A690" s="11" t="n">
        <v>501</v>
      </c>
      <c r="B690" s="12" t="n">
        <v>46094</v>
      </c>
      <c r="C690" s="11" t="inlineStr">
        <is>
          <t>caicedo sarmiento yo</t>
        </is>
      </c>
      <c r="D690" s="13" t="n">
        <v>19000</v>
      </c>
      <c r="E690" s="11">
        <f>IF(G690="conciliado","conciliado",I690)</f>
        <v/>
      </c>
      <c r="F690" s="11" t="inlineStr">
        <is>
          <t>815 | 2026-03-13 | 19,000 | dary luz yolanda</t>
        </is>
      </c>
      <c r="G690" s="11">
        <f>IF(I690="conciliado","conciliado","por revisar")</f>
        <v/>
      </c>
      <c r="H690" s="11" t="inlineStr"/>
      <c r="I690" s="11" t="inlineStr">
        <is>
          <t>conciliado</t>
        </is>
      </c>
    </row>
    <row r="691">
      <c r="A691" s="11" t="n">
        <v>500</v>
      </c>
      <c r="B691" s="12" t="n">
        <v>46094</v>
      </c>
      <c r="C691" s="11" t="inlineStr">
        <is>
          <t>ceron lorena valdes</t>
        </is>
      </c>
      <c r="D691" s="13" t="n">
        <v>34000</v>
      </c>
      <c r="E691" s="11">
        <f>IF(G691="conciliado","conciliado",I691)</f>
        <v/>
      </c>
      <c r="F691" s="11" t="inlineStr">
        <is>
          <t>816 | 2026-03-13 | 34,000 | ceron leydi lorena</t>
        </is>
      </c>
      <c r="G691" s="11">
        <f>IF(I691="conciliado","conciliado","por revisar")</f>
        <v/>
      </c>
      <c r="H691" s="11" t="inlineStr"/>
      <c r="I691" s="11" t="inlineStr">
        <is>
          <t>conciliado</t>
        </is>
      </c>
    </row>
    <row r="692">
      <c r="A692" s="11" t="n">
        <v>484</v>
      </c>
      <c r="B692" s="12" t="n">
        <v>46094</v>
      </c>
      <c r="C692" s="11" t="inlineStr">
        <is>
          <t>je mosquera palacios</t>
        </is>
      </c>
      <c r="D692" s="13" t="n">
        <v>17800</v>
      </c>
      <c r="E692" s="11">
        <f>IF(G692="conciliado","conciliado",I692)</f>
        <v/>
      </c>
      <c r="F692" s="11" t="inlineStr">
        <is>
          <t>817 | 2026-03-13 | 17,800 | jennifer mosquera</t>
        </is>
      </c>
      <c r="G692" s="11">
        <f>IF(I692="conciliado","conciliado","por revisar")</f>
        <v/>
      </c>
      <c r="H692" s="11" t="inlineStr"/>
      <c r="I692" s="11" t="inlineStr">
        <is>
          <t>conciliado</t>
        </is>
      </c>
    </row>
    <row r="693">
      <c r="A693" s="11" t="n">
        <v>487</v>
      </c>
      <c r="B693" s="12" t="n">
        <v>46094</v>
      </c>
      <c r="C693" s="11" t="inlineStr">
        <is>
          <t>benavides dani guaca</t>
        </is>
      </c>
      <c r="D693" s="13" t="n">
        <v>48100</v>
      </c>
      <c r="E693" s="11">
        <f>IF(G693="conciliado","conciliado",I693)</f>
        <v/>
      </c>
      <c r="F693" s="11" t="inlineStr">
        <is>
          <t>818 | 2026-03-13 | 48,100 | andres benavides daniel</t>
        </is>
      </c>
      <c r="G693" s="11">
        <f>IF(I693="conciliado","conciliado","por revisar")</f>
        <v/>
      </c>
      <c r="H693" s="11" t="inlineStr"/>
      <c r="I693" s="11" t="inlineStr">
        <is>
          <t>conciliado</t>
        </is>
      </c>
    </row>
    <row r="694">
      <c r="A694" s="11" t="n">
        <v>464</v>
      </c>
      <c r="B694" s="12" t="n">
        <v>46094</v>
      </c>
      <c r="C694" s="11" t="inlineStr">
        <is>
          <t>anyela diaz meneses</t>
        </is>
      </c>
      <c r="D694" s="13" t="n">
        <v>30000</v>
      </c>
      <c r="E694" s="11">
        <f>IF(G694="conciliado","conciliado",I694)</f>
        <v/>
      </c>
      <c r="F694" s="11" t="inlineStr">
        <is>
          <t>819 | 2026-03-13 | 30,000 | anyela diaz patricia</t>
        </is>
      </c>
      <c r="G694" s="11">
        <f>IF(I694="conciliado","conciliado","por revisar")</f>
        <v/>
      </c>
      <c r="H694" s="11" t="inlineStr"/>
      <c r="I694" s="11" t="inlineStr">
        <is>
          <t>conciliado</t>
        </is>
      </c>
    </row>
    <row r="695">
      <c r="A695" s="11" t="n">
        <v>482</v>
      </c>
      <c r="B695" s="12" t="n">
        <v>46094</v>
      </c>
      <c r="C695" s="11" t="inlineStr">
        <is>
          <t>ce chavez david rosa</t>
        </is>
      </c>
      <c r="D695" s="13" t="n">
        <v>155700</v>
      </c>
      <c r="E695" s="11">
        <f>IF(G695="conciliado","conciliado",I695)</f>
        <v/>
      </c>
      <c r="F695" s="11" t="inlineStr">
        <is>
          <t>820 | 2026-03-13 | 155,700 | cenaida david</t>
        </is>
      </c>
      <c r="G695" s="11">
        <f>IF(I695="conciliado","conciliado","por revisar")</f>
        <v/>
      </c>
      <c r="H695" s="11" t="inlineStr"/>
      <c r="I695" s="11" t="inlineStr">
        <is>
          <t>conciliado</t>
        </is>
      </c>
    </row>
    <row r="696">
      <c r="A696" s="11" t="n">
        <v>490</v>
      </c>
      <c r="B696" s="12" t="n">
        <v>46094</v>
      </c>
      <c r="C696" s="11" t="inlineStr">
        <is>
          <t>aida gomez meza</t>
        </is>
      </c>
      <c r="D696" s="13" t="n">
        <v>30700</v>
      </c>
      <c r="E696" s="11">
        <f>IF(G696="conciliado","conciliado",I696)</f>
        <v/>
      </c>
      <c r="F696" s="11" t="inlineStr">
        <is>
          <t>821 | 2026-03-13 | 30,700 | ayda gomez</t>
        </is>
      </c>
      <c r="G696" s="11">
        <f>IF(I696="conciliado","conciliado","por revisar")</f>
        <v/>
      </c>
      <c r="H696" s="11" t="inlineStr"/>
      <c r="I696" s="11" t="inlineStr">
        <is>
          <t>conciliado</t>
        </is>
      </c>
    </row>
    <row r="697">
      <c r="A697" s="11" t="n">
        <v>499</v>
      </c>
      <c r="B697" s="12" t="n">
        <v>46094</v>
      </c>
      <c r="C697" s="11" t="inlineStr">
        <is>
          <t>enriquez mar salcedo</t>
        </is>
      </c>
      <c r="D697" s="13" t="n">
        <v>17500</v>
      </c>
      <c r="E697" s="11">
        <f>IF(G697="conciliado","conciliado",I697)</f>
        <v/>
      </c>
      <c r="F697" s="11" t="inlineStr">
        <is>
          <t>822 | 2026-03-13 | 17,500 | janny marcela salcedo</t>
        </is>
      </c>
      <c r="G697" s="11">
        <f>IF(I697="conciliado","conciliado","por revisar")</f>
        <v/>
      </c>
      <c r="H697" s="11" t="inlineStr"/>
      <c r="I697" s="11" t="inlineStr">
        <is>
          <t>conciliado</t>
        </is>
      </c>
    </row>
    <row r="698">
      <c r="A698" s="11" t="n">
        <v>493</v>
      </c>
      <c r="B698" s="12" t="n">
        <v>46094</v>
      </c>
      <c r="C698" s="11" t="inlineStr">
        <is>
          <t>chasoy judy timaran</t>
        </is>
      </c>
      <c r="D698" s="13" t="n">
        <v>45400</v>
      </c>
      <c r="E698" s="11">
        <f>IF(G698="conciliado","conciliado",I698)</f>
        <v/>
      </c>
      <c r="F698" s="11" t="inlineStr">
        <is>
          <t>823 | 2026-03-13 | 45,400 | b bre judy</t>
        </is>
      </c>
      <c r="G698" s="11">
        <f>IF(I698="conciliado","conciliado","por revisar")</f>
        <v/>
      </c>
      <c r="H698" s="11" t="inlineStr"/>
      <c r="I698" s="11" t="inlineStr">
        <is>
          <t>conciliado</t>
        </is>
      </c>
    </row>
    <row r="699">
      <c r="A699" s="11" t="n">
        <v>477</v>
      </c>
      <c r="B699" s="12" t="n">
        <v>46094</v>
      </c>
      <c r="C699" s="11" t="inlineStr">
        <is>
          <t>b cueva pinta wilson</t>
        </is>
      </c>
      <c r="D699" s="13" t="n">
        <v>3000</v>
      </c>
      <c r="E699" s="11">
        <f>IF(G699="conciliado","conciliado",I699)</f>
        <v/>
      </c>
      <c r="F699" s="11" t="inlineStr">
        <is>
          <t>824 | 2026-03-13 | 3,000 | bladimir cueva wilson</t>
        </is>
      </c>
      <c r="G699" s="11">
        <f>IF(I699="conciliado","conciliado","por revisar")</f>
        <v/>
      </c>
      <c r="H699" s="11" t="inlineStr"/>
      <c r="I699" s="11" t="inlineStr">
        <is>
          <t>conciliado</t>
        </is>
      </c>
    </row>
    <row r="700">
      <c r="A700" s="11" t="n">
        <v>492</v>
      </c>
      <c r="B700" s="12" t="n">
        <v>46094</v>
      </c>
      <c r="C700" s="11" t="inlineStr">
        <is>
          <t>omar y zambrano zuin</t>
        </is>
      </c>
      <c r="D700" s="13" t="n">
        <v>3200</v>
      </c>
      <c r="E700" s="11">
        <f>IF(G700="conciliado","conciliado",I700)</f>
        <v/>
      </c>
      <c r="F700" s="11" t="inlineStr">
        <is>
          <t>825 | 2026-03-13 | 3,200 | bancolombia desde qr recarga</t>
        </is>
      </c>
      <c r="G700" s="11">
        <f>IF(I700="conciliado","conciliado","por revisar")</f>
        <v/>
      </c>
      <c r="H700" s="11" t="inlineStr"/>
      <c r="I700" s="11" t="inlineStr">
        <is>
          <t>conciliado</t>
        </is>
      </c>
    </row>
    <row r="701">
      <c r="A701" s="11" t="n">
        <v>473</v>
      </c>
      <c r="B701" s="12" t="n">
        <v>46094</v>
      </c>
      <c r="C701" s="11" t="inlineStr">
        <is>
          <t>linda solarte yepes</t>
        </is>
      </c>
      <c r="D701" s="13" t="n">
        <v>25500</v>
      </c>
      <c r="E701" s="11">
        <f>IF(G701="conciliado","conciliado",I701)</f>
        <v/>
      </c>
      <c r="F701" s="11" t="inlineStr">
        <is>
          <t>826 | 2026-03-13 | 25,500 | linda lucia yepes</t>
        </is>
      </c>
      <c r="G701" s="11">
        <f>IF(I701="conciliado","conciliado","por revisar")</f>
        <v/>
      </c>
      <c r="H701" s="11" t="inlineStr"/>
      <c r="I701" s="11" t="inlineStr">
        <is>
          <t>conciliado</t>
        </is>
      </c>
    </row>
    <row r="702">
      <c r="A702" s="11" t="n">
        <v>467</v>
      </c>
      <c r="B702" s="12" t="n">
        <v>46094</v>
      </c>
      <c r="C702" s="11" t="inlineStr">
        <is>
          <t>arias f maria mueses</t>
        </is>
      </c>
      <c r="D702" s="13" t="n">
        <v>14700</v>
      </c>
      <c r="E702" s="11">
        <f>IF(G702="conciliado","conciliado",I702)</f>
        <v/>
      </c>
      <c r="F702" s="11" t="inlineStr">
        <is>
          <t>827 | 2026-03-13 | 14,700 | b bre maria</t>
        </is>
      </c>
      <c r="G702" s="11">
        <f>IF(I702="conciliado","conciliado","por revisar")</f>
        <v/>
      </c>
      <c r="H702" s="11" t="inlineStr"/>
      <c r="I702" s="11" t="inlineStr">
        <is>
          <t>conciliado</t>
        </is>
      </c>
    </row>
    <row r="703">
      <c r="A703" s="11" t="n">
        <v>483</v>
      </c>
      <c r="B703" s="12" t="n">
        <v>46094</v>
      </c>
      <c r="C703" s="11" t="inlineStr">
        <is>
          <t>angie casanova ojeda</t>
        </is>
      </c>
      <c r="D703" s="13" t="n">
        <v>32800</v>
      </c>
      <c r="E703" s="11">
        <f>IF(G703="conciliado","conciliado",I703)</f>
        <v/>
      </c>
      <c r="F703" s="11" t="inlineStr">
        <is>
          <t>828 | 2026-03-13 | 32,800 | caicedo patricinio</t>
        </is>
      </c>
      <c r="G703" s="11">
        <f>IF(I703="conciliado","conciliado","por revisar")</f>
        <v/>
      </c>
      <c r="H703" s="11" t="inlineStr"/>
      <c r="I703" s="11" t="inlineStr">
        <is>
          <t>conciliado</t>
        </is>
      </c>
    </row>
    <row r="704">
      <c r="A704" s="11" t="n">
        <v>463</v>
      </c>
      <c r="B704" s="12" t="n">
        <v>46094</v>
      </c>
      <c r="C704" s="11" t="inlineStr">
        <is>
          <t>a ajover darnel s s</t>
        </is>
      </c>
      <c r="D704" s="13" t="n">
        <v>-621894</v>
      </c>
      <c r="E704" s="11">
        <f>IF(G704="conciliado","conciliado",I704)</f>
        <v/>
      </c>
      <c r="F704" s="11" t="inlineStr">
        <is>
          <t>830 | 2026-03-13 | -621,894 | ajover compra en pse sas</t>
        </is>
      </c>
      <c r="G704" s="11">
        <f>IF(I704="conciliado","conciliado","por revisar")</f>
        <v/>
      </c>
      <c r="H704" s="11" t="inlineStr"/>
      <c r="I704" s="11" t="inlineStr">
        <is>
          <t>conciliado</t>
        </is>
      </c>
    </row>
    <row r="705">
      <c r="A705" s="11" t="n">
        <v>486</v>
      </c>
      <c r="B705" s="12" t="n">
        <v>46094</v>
      </c>
      <c r="C705" s="11" t="inlineStr">
        <is>
          <t>moreno ramirez yeni</t>
        </is>
      </c>
      <c r="D705" s="13" t="n">
        <v>6000</v>
      </c>
      <c r="E705" s="11">
        <f>IF(G705="conciliado","conciliado",I705)</f>
        <v/>
      </c>
      <c r="F705" s="11">
        <f>IF(SUM(COUNTIFS('Conciliacion de compuestos'!$D$2:$D$71,"conciliado",'Conciliacion de compuestos'!$E$2:$E$71,"OK",'Conciliacion de compuestos'!$M$2:$M$71,A705),COUNTIFS('Conciliacion de compuestos'!$D$2:$D$71,"conciliado",'Conciliacion de compuestos'!$E$2:$E$71,"OK",'Conciliacion de compuestos'!$N$2:$N$71,A705),COUNTIFS('Conciliacion de compuestos'!$D$2:$D$71,"conciliado",'Conciliacion de compuestos'!$E$2:$E$71,"OK",'Conciliacion de compuestos'!$O$2:$O$71,A705))&gt;0,IFERROR(TEXTJOIN(CHAR(10),TRUE,FILTER('Conciliacion de compuestos'!$A$2:$A$71,('Conciliacion de compuestos'!$D$2:$D$71="conciliado")*('Conciliacion de compuestos'!$E$2:$E$71="OK")*((('Conciliacion de compuestos'!$M$2:$M$71=A705)+('Conciliacion de compuestos'!$N$2:$N$71=A705)+('Conciliacion de compuestos'!$O$2:$O$71=A705))&gt;0))),""),"")</f>
        <v/>
      </c>
      <c r="G705" s="11">
        <f>IF(I705="conciliado","conciliado","por revisar")</f>
        <v/>
      </c>
      <c r="H705" s="11" t="inlineStr"/>
      <c r="I705" s="11">
        <f>IF(SUM(COUNTIFS('Conciliacion de compuestos'!$D$2:$D$71,"conciliado",'Conciliacion de compuestos'!$E$2:$E$71,"OK",'Conciliacion de compuestos'!$M$2:$M$71,A705),COUNTIFS('Conciliacion de compuestos'!$D$2:$D$71,"conciliado",'Conciliacion de compuestos'!$E$2:$E$71,"OK",'Conciliacion de compuestos'!$N$2:$N$71,A705),COUNTIFS('Conciliacion de compuestos'!$D$2:$D$71,"conciliado",'Conciliacion de compuestos'!$E$2:$E$71,"OK",'Conciliacion de compuestos'!$O$2:$O$71,A705))&gt;0,"conciliado","por revisar")</f>
        <v/>
      </c>
    </row>
    <row r="706">
      <c r="A706" s="11" t="n">
        <v>462</v>
      </c>
      <c r="B706" s="12" t="n">
        <v>46094</v>
      </c>
      <c r="C706" s="11" t="inlineStr">
        <is>
          <t>axa distribuciones s</t>
        </is>
      </c>
      <c r="D706" s="13" t="n">
        <v>-1333688</v>
      </c>
      <c r="E706" s="11">
        <f>IF(G706="conciliado","conciliado",I706)</f>
        <v/>
      </c>
      <c r="F706" s="11" t="inlineStr">
        <is>
          <t>832 | 2026-03-13 | -1,333,688 | axa distribuciones sas</t>
        </is>
      </c>
      <c r="G706" s="11">
        <f>IF(I706="conciliado","conciliado","por revisar")</f>
        <v/>
      </c>
      <c r="H706" s="11" t="inlineStr"/>
      <c r="I706" s="11" t="inlineStr">
        <is>
          <t>conciliado</t>
        </is>
      </c>
    </row>
    <row r="707">
      <c r="A707" s="11" t="n">
        <v>461</v>
      </c>
      <c r="B707" s="12" t="n">
        <v>46094</v>
      </c>
      <c r="C707" s="11" t="inlineStr">
        <is>
          <t>del harinera s valle</t>
        </is>
      </c>
      <c r="D707" s="13" t="n">
        <v>-493585</v>
      </c>
      <c r="E707" s="11">
        <f>IF(G707="conciliado","conciliado",I707)</f>
        <v/>
      </c>
      <c r="F707" s="11" t="inlineStr">
        <is>
          <t>834 | 2026-03-13 | -493,585 | del harinera valle</t>
        </is>
      </c>
      <c r="G707" s="11">
        <f>IF(I707="conciliado","conciliado","por revisar")</f>
        <v/>
      </c>
      <c r="H707" s="11" t="inlineStr"/>
      <c r="I707" s="11" t="inlineStr">
        <is>
          <t>conciliado</t>
        </is>
      </c>
    </row>
    <row r="708">
      <c r="A708" s="11" t="n">
        <v>495</v>
      </c>
      <c r="B708" s="12" t="n">
        <v>46094</v>
      </c>
      <c r="C708" s="11" t="inlineStr">
        <is>
          <t>bravo carlos merchan</t>
        </is>
      </c>
      <c r="D708" s="13" t="n">
        <v>3900</v>
      </c>
      <c r="E708" s="11">
        <f>IF(G708="conciliado","conciliado",I708)</f>
        <v/>
      </c>
      <c r="F708" s="11" t="inlineStr">
        <is>
          <t>837 | 2026-03-13 | 3,900 | andres carlos merchan</t>
        </is>
      </c>
      <c r="G708" s="11">
        <f>IF(I708="conciliado","conciliado","por revisar")</f>
        <v/>
      </c>
      <c r="H708" s="11" t="inlineStr"/>
      <c r="I708" s="11" t="inlineStr">
        <is>
          <t>conciliado</t>
        </is>
      </c>
    </row>
    <row r="709">
      <c r="A709" s="11" t="n">
        <v>479</v>
      </c>
      <c r="B709" s="12" t="n">
        <v>46094</v>
      </c>
      <c r="C709" s="11" t="inlineStr">
        <is>
          <t>carlos eduar mendoza</t>
        </is>
      </c>
      <c r="D709" s="13" t="n">
        <v>16500</v>
      </c>
      <c r="E709" s="11">
        <f>IF(G709="conciliado","conciliado",I709)</f>
        <v/>
      </c>
      <c r="F709" s="11" t="inlineStr">
        <is>
          <t>838 | 2026-03-13 | 16,500 | carlos mendoza</t>
        </is>
      </c>
      <c r="G709" s="11">
        <f>IF(I709="conciliado","conciliado","por revisar")</f>
        <v/>
      </c>
      <c r="H709" s="11" t="inlineStr"/>
      <c r="I709" s="11" t="inlineStr">
        <is>
          <t>conciliado</t>
        </is>
      </c>
    </row>
    <row r="710">
      <c r="A710" s="11" t="n">
        <v>488</v>
      </c>
      <c r="B710" s="12" t="n">
        <v>46094</v>
      </c>
      <c r="C710" s="11" t="inlineStr">
        <is>
          <t>moreno rubi sanchez</t>
        </is>
      </c>
      <c r="D710" s="13" t="n">
        <v>21000</v>
      </c>
      <c r="E710" s="11">
        <f>IF(G710="conciliado","conciliado",I710)</f>
        <v/>
      </c>
      <c r="F710" s="11" t="inlineStr">
        <is>
          <t>839 | 2026-03-13 | 21,000 | moreno ruby viviana</t>
        </is>
      </c>
      <c r="G710" s="11">
        <f>IF(I710="conciliado","conciliado","por revisar")</f>
        <v/>
      </c>
      <c r="H710" s="11" t="inlineStr"/>
      <c r="I710" s="11" t="inlineStr">
        <is>
          <t>conciliado</t>
        </is>
      </c>
    </row>
    <row r="711">
      <c r="A711" s="11" t="n">
        <v>491</v>
      </c>
      <c r="B711" s="12" t="n">
        <v>46094</v>
      </c>
      <c r="C711" s="11" t="inlineStr">
        <is>
          <t>gomez sevillano yani</t>
        </is>
      </c>
      <c r="D711" s="13" t="n">
        <v>14000</v>
      </c>
      <c r="E711" s="11">
        <f>IF(G711="conciliado","conciliado",I711)</f>
        <v/>
      </c>
      <c r="F711" s="11" t="inlineStr">
        <is>
          <t>840 | 2026-03-13 | 14,000 | sevillano yanira yurani</t>
        </is>
      </c>
      <c r="G711" s="11">
        <f>IF(I711="conciliado","conciliado","por revisar")</f>
        <v/>
      </c>
      <c r="H711" s="11" t="inlineStr"/>
      <c r="I711" s="11" t="inlineStr">
        <is>
          <t>conciliado</t>
        </is>
      </c>
    </row>
    <row r="712">
      <c r="A712" s="11" t="n">
        <v>472</v>
      </c>
      <c r="B712" s="12" t="n">
        <v>46094</v>
      </c>
      <c r="C712" s="11" t="inlineStr">
        <is>
          <t>beltran naranjo rein</t>
        </is>
      </c>
      <c r="D712" s="13" t="n">
        <v>12700</v>
      </c>
      <c r="E712" s="11">
        <f>IF(G712="conciliado","conciliado",I712)</f>
        <v/>
      </c>
      <c r="F712" s="11" t="inlineStr">
        <is>
          <t>841 | 2026-03-13 | 12,700 | alexis beltran reinaldo</t>
        </is>
      </c>
      <c r="G712" s="11">
        <f>IF(I712="conciliado","conciliado","por revisar")</f>
        <v/>
      </c>
      <c r="H712" s="11" t="inlineStr"/>
      <c r="I712" s="11" t="inlineStr">
        <is>
          <t>conciliado</t>
        </is>
      </c>
    </row>
    <row r="713">
      <c r="A713" s="11" t="n">
        <v>474</v>
      </c>
      <c r="B713" s="12" t="n">
        <v>46094</v>
      </c>
      <c r="C713" s="11" t="inlineStr">
        <is>
          <t>millan nataly sousa</t>
        </is>
      </c>
      <c r="D713" s="13" t="n">
        <v>15600</v>
      </c>
      <c r="E713" s="11">
        <f>IF(G713="conciliado","conciliado",I713)</f>
        <v/>
      </c>
      <c r="F713" s="11" t="inlineStr">
        <is>
          <t>842 | 2026-03-13 | 15,600 | alexandra millan nataly</t>
        </is>
      </c>
      <c r="G713" s="11">
        <f>IF(I713="conciliado","conciliado","por revisar")</f>
        <v/>
      </c>
      <c r="H713" s="11" t="inlineStr"/>
      <c r="I713" s="11" t="inlineStr">
        <is>
          <t>conciliado</t>
        </is>
      </c>
    </row>
    <row r="714">
      <c r="A714" s="11" t="n">
        <v>480</v>
      </c>
      <c r="B714" s="12" t="n">
        <v>46094</v>
      </c>
      <c r="C714" s="11" t="inlineStr">
        <is>
          <t>cortes elsa pinto</t>
        </is>
      </c>
      <c r="D714" s="13" t="n">
        <v>29100</v>
      </c>
      <c r="E714" s="11">
        <f>IF(G714="conciliado","conciliado",I714)</f>
        <v/>
      </c>
      <c r="F714" s="11" t="inlineStr">
        <is>
          <t>843 | 2026-03-13 | 29,100 | cortes elsa pinto</t>
        </is>
      </c>
      <c r="G714" s="11">
        <f>IF(I714="conciliado","conciliado","por revisar")</f>
        <v/>
      </c>
      <c r="H714" s="11" t="inlineStr"/>
      <c r="I714" s="11" t="inlineStr">
        <is>
          <t>conciliado</t>
        </is>
      </c>
    </row>
    <row r="715">
      <c r="A715" s="11" t="n">
        <v>469</v>
      </c>
      <c r="B715" s="12" t="n">
        <v>46094</v>
      </c>
      <c r="C715" s="11" t="inlineStr">
        <is>
          <t>anton segura timaran</t>
        </is>
      </c>
      <c r="D715" s="13" t="n">
        <v>18000</v>
      </c>
      <c r="E715" s="11">
        <f>IF(G715="conciliado","conciliado",I715)</f>
        <v/>
      </c>
      <c r="F715" s="11" t="inlineStr">
        <is>
          <t>845 | 2026-03-13 | 18,000 | antony durley segura</t>
        </is>
      </c>
      <c r="G715" s="11">
        <f>IF(I715="conciliado","conciliado","por revisar")</f>
        <v/>
      </c>
      <c r="H715" s="11" t="inlineStr"/>
      <c r="I715" s="11" t="inlineStr">
        <is>
          <t>conciliado</t>
        </is>
      </c>
    </row>
    <row r="716">
      <c r="A716" s="11" t="n">
        <v>498</v>
      </c>
      <c r="B716" s="12" t="n">
        <v>46094</v>
      </c>
      <c r="C716" s="11" t="inlineStr">
        <is>
          <t>coquinche sebas vera</t>
        </is>
      </c>
      <c r="D716" s="13" t="n">
        <v>11900</v>
      </c>
      <c r="E716" s="11">
        <f>IF(G716="conciliado","conciliado",I716)</f>
        <v/>
      </c>
      <c r="F716" s="11" t="inlineStr">
        <is>
          <t>846 | 2026-03-13 | 11,900 | angel sebastian vera</t>
        </is>
      </c>
      <c r="G716" s="11">
        <f>IF(I716="conciliado","conciliado","por revisar")</f>
        <v/>
      </c>
      <c r="H716" s="11" t="inlineStr"/>
      <c r="I716" s="11" t="inlineStr">
        <is>
          <t>conciliado</t>
        </is>
      </c>
    </row>
    <row r="717">
      <c r="A717" s="11" t="n">
        <v>475</v>
      </c>
      <c r="B717" s="12" t="n">
        <v>46094</v>
      </c>
      <c r="C717" s="11" t="inlineStr">
        <is>
          <t>leid montiel pantoja</t>
        </is>
      </c>
      <c r="D717" s="13" t="n">
        <v>14000</v>
      </c>
      <c r="E717" s="11">
        <f>IF(G717="conciliado","conciliado",I717)</f>
        <v/>
      </c>
      <c r="F717" s="11" t="inlineStr">
        <is>
          <t>847 | 2026-03-13 | 14,000 | leidy pantoja paola</t>
        </is>
      </c>
      <c r="G717" s="11">
        <f>IF(I717="conciliado","conciliado","por revisar")</f>
        <v/>
      </c>
      <c r="H717" s="11" t="inlineStr"/>
      <c r="I717" s="11" t="inlineStr">
        <is>
          <t>conciliado</t>
        </is>
      </c>
    </row>
    <row r="718">
      <c r="A718" s="11" t="n">
        <v>497</v>
      </c>
      <c r="B718" s="12" t="n">
        <v>46094</v>
      </c>
      <c r="C718" s="11" t="inlineStr">
        <is>
          <t>acosta mora yuliana</t>
        </is>
      </c>
      <c r="D718" s="13" t="n">
        <v>7800</v>
      </c>
      <c r="E718" s="11">
        <f>IF(G718="conciliado","conciliado",I718)</f>
        <v/>
      </c>
      <c r="F718" s="11" t="inlineStr">
        <is>
          <t>848 | 2026-03-13 | 7,800 | valentina yuliana</t>
        </is>
      </c>
      <c r="G718" s="11">
        <f>IF(I718="conciliado","conciliado","por revisar")</f>
        <v/>
      </c>
      <c r="H718" s="11" t="inlineStr"/>
      <c r="I718" s="11" t="inlineStr">
        <is>
          <t>conciliado</t>
        </is>
      </c>
    </row>
    <row r="719">
      <c r="A719" s="11" t="n">
        <v>489</v>
      </c>
      <c r="B719" s="12" t="n">
        <v>46094</v>
      </c>
      <c r="C719" s="11" t="inlineStr">
        <is>
          <t>arboleda arias jhon</t>
        </is>
      </c>
      <c r="D719" s="13" t="n">
        <v>37300</v>
      </c>
      <c r="E719" s="11">
        <f>IF(G719="conciliado","conciliado",I719)</f>
        <v/>
      </c>
      <c r="F719" s="11" t="inlineStr">
        <is>
          <t>849 | 2026-03-13 | 37,300 | alexaander arias jhon</t>
        </is>
      </c>
      <c r="G719" s="11">
        <f>IF(I719="conciliado","conciliado","por revisar")</f>
        <v/>
      </c>
      <c r="H719" s="11" t="inlineStr"/>
      <c r="I719" s="11" t="inlineStr">
        <is>
          <t>conciliado</t>
        </is>
      </c>
    </row>
    <row r="720">
      <c r="A720" s="11" t="n">
        <v>496</v>
      </c>
      <c r="B720" s="12" t="n">
        <v>46094</v>
      </c>
      <c r="C720" s="11" t="inlineStr">
        <is>
          <t>daniela delgado diaz</t>
        </is>
      </c>
      <c r="D720" s="13" t="n">
        <v>8200</v>
      </c>
      <c r="E720" s="11">
        <f>IF(G720="conciliado","conciliado",I720)</f>
        <v/>
      </c>
      <c r="F720" s="11" t="inlineStr">
        <is>
          <t>850 | 2026-03-13 | 8,200 | forero mora yolanda</t>
        </is>
      </c>
      <c r="G720" s="11">
        <f>IF(I720="conciliado","conciliado","por revisar")</f>
        <v/>
      </c>
      <c r="H720" s="11" t="inlineStr"/>
      <c r="I720" s="11" t="inlineStr">
        <is>
          <t>conciliado</t>
        </is>
      </c>
    </row>
    <row r="721">
      <c r="A721" s="11" t="n">
        <v>478</v>
      </c>
      <c r="B721" s="12" t="n">
        <v>46094</v>
      </c>
      <c r="C721" s="11" t="inlineStr">
        <is>
          <t>jos linda palma romo</t>
        </is>
      </c>
      <c r="D721" s="13" t="n">
        <v>86000</v>
      </c>
      <c r="E721" s="11">
        <f>IF(G721="conciliado","conciliado",I721)</f>
        <v/>
      </c>
      <c r="F721" s="11" t="inlineStr">
        <is>
          <t>853 | 2026-03-13 | 86,000 | joshira linda romo</t>
        </is>
      </c>
      <c r="G721" s="11">
        <f>IF(I721="conciliado","conciliado","por revisar")</f>
        <v/>
      </c>
      <c r="H721" s="11" t="inlineStr"/>
      <c r="I721" s="11" t="inlineStr">
        <is>
          <t>conciliado</t>
        </is>
      </c>
    </row>
    <row r="722">
      <c r="A722" s="11" t="n">
        <v>468</v>
      </c>
      <c r="B722" s="12" t="n">
        <v>46094</v>
      </c>
      <c r="C722" s="11" t="inlineStr">
        <is>
          <t>angulo botina gustav</t>
        </is>
      </c>
      <c r="D722" s="13" t="n">
        <v>5900</v>
      </c>
      <c r="E722" s="11">
        <f>IF(G722="conciliado","conciliado",I722)</f>
        <v/>
      </c>
      <c r="F722" s="11" t="inlineStr">
        <is>
          <t>854 | 2026-03-13 | 5,900 | bancolombia desde qr recarga</t>
        </is>
      </c>
      <c r="G722" s="11">
        <f>IF(I722="conciliado","conciliado","por revisar")</f>
        <v/>
      </c>
      <c r="H722" s="11" t="inlineStr"/>
      <c r="I722" s="11" t="inlineStr">
        <is>
          <t>conciliado</t>
        </is>
      </c>
    </row>
    <row r="723">
      <c r="A723" s="11" t="n">
        <v>481</v>
      </c>
      <c r="B723" s="12" t="n">
        <v>46094</v>
      </c>
      <c r="C723" s="11" t="inlineStr">
        <is>
          <t>cubillos niv ordones</t>
        </is>
      </c>
      <c r="D723" s="13" t="n">
        <v>18500</v>
      </c>
      <c r="E723" s="11">
        <f>IF(G723="conciliado","conciliado",I723)</f>
        <v/>
      </c>
      <c r="F723" s="11" t="inlineStr">
        <is>
          <t>855 | 2026-03-13 | 18,500 | cubillos nivia ordones</t>
        </is>
      </c>
      <c r="G723" s="11">
        <f>IF(I723="conciliado","conciliado","por revisar")</f>
        <v/>
      </c>
      <c r="H723" s="11" t="inlineStr"/>
      <c r="I723" s="11" t="inlineStr">
        <is>
          <t>conciliado</t>
        </is>
      </c>
    </row>
    <row r="724">
      <c r="A724" s="11" t="n">
        <v>494</v>
      </c>
      <c r="B724" s="12" t="n">
        <v>46094</v>
      </c>
      <c r="C724" s="11" t="inlineStr">
        <is>
          <t>jeiner mena pai</t>
        </is>
      </c>
      <c r="D724" s="13" t="n">
        <v>16800</v>
      </c>
      <c r="E724" s="11">
        <f>IF(G724="conciliado","conciliado",I724)</f>
        <v/>
      </c>
      <c r="F724" s="11" t="inlineStr">
        <is>
          <t>856 | 2026-03-13 | 16,800 | jeifrey jeiner mena pai</t>
        </is>
      </c>
      <c r="G724" s="11">
        <f>IF(I724="conciliado","conciliado","por revisar")</f>
        <v/>
      </c>
      <c r="H724" s="11" t="inlineStr"/>
      <c r="I724" s="11" t="inlineStr">
        <is>
          <t>conciliado</t>
        </is>
      </c>
    </row>
    <row r="725">
      <c r="A725" s="11" t="n">
        <v>451</v>
      </c>
      <c r="B725" s="12" t="n">
        <v>46093</v>
      </c>
      <c r="C725" s="11" t="inlineStr">
        <is>
          <t>arle caicedo zuluaga</t>
        </is>
      </c>
      <c r="D725" s="13" t="n">
        <v>60000</v>
      </c>
      <c r="E725" s="11">
        <f>IF(G725="conciliado","conciliado",I725)</f>
        <v/>
      </c>
      <c r="F725" s="11" t="inlineStr">
        <is>
          <t>858 | 2026-03-12 | 60,000 | arlenson caicedo</t>
        </is>
      </c>
      <c r="G725" s="11">
        <f>IF(I725="conciliado","conciliado","por revisar")</f>
        <v/>
      </c>
      <c r="H725" s="11" t="inlineStr"/>
      <c r="I725" s="11" t="inlineStr">
        <is>
          <t>conciliado</t>
        </is>
      </c>
    </row>
    <row r="726">
      <c r="A726" s="11" t="n">
        <v>447</v>
      </c>
      <c r="B726" s="12" t="n">
        <v>46093</v>
      </c>
      <c r="C726" s="11" t="inlineStr">
        <is>
          <t>f luligo nirson yule</t>
        </is>
      </c>
      <c r="D726" s="13" t="n">
        <v>11000</v>
      </c>
      <c r="E726" s="11">
        <f>IF(G726="conciliado","conciliado",I726)</f>
        <v/>
      </c>
      <c r="F726" s="11" t="inlineStr">
        <is>
          <t>859 | 2026-03-12 | 11,000 | fabian nirson yule</t>
        </is>
      </c>
      <c r="G726" s="11">
        <f>IF(I726="conciliado","conciliado","por revisar")</f>
        <v/>
      </c>
      <c r="H726" s="11" t="inlineStr"/>
      <c r="I726" s="11" t="inlineStr">
        <is>
          <t>conciliado</t>
        </is>
      </c>
    </row>
    <row r="727">
      <c r="A727" s="11" t="n">
        <v>455</v>
      </c>
      <c r="B727" s="12" t="n">
        <v>46093</v>
      </c>
      <c r="C727" s="11" t="inlineStr">
        <is>
          <t>alexa alvarez correa</t>
        </is>
      </c>
      <c r="D727" s="13" t="n">
        <v>121400</v>
      </c>
      <c r="E727" s="11">
        <f>IF(G727="conciliado","conciliado",I727)</f>
        <v/>
      </c>
      <c r="F727" s="11" t="inlineStr">
        <is>
          <t>861 | 2026-03-12 | 121,400 | alexander correa</t>
        </is>
      </c>
      <c r="G727" s="11">
        <f>IF(I727="conciliado","conciliado","por revisar")</f>
        <v/>
      </c>
      <c r="H727" s="11" t="inlineStr"/>
      <c r="I727" s="11" t="inlineStr">
        <is>
          <t>conciliado</t>
        </is>
      </c>
    </row>
    <row r="728">
      <c r="A728" s="11" t="n">
        <v>452</v>
      </c>
      <c r="B728" s="12" t="n">
        <v>46093</v>
      </c>
      <c r="C728" s="11" t="inlineStr">
        <is>
          <t>cesar melo mendez</t>
        </is>
      </c>
      <c r="D728" s="13" t="n">
        <v>41400</v>
      </c>
      <c r="E728" s="11">
        <f>IF(G728="conciliado","conciliado",I728)</f>
        <v/>
      </c>
      <c r="F728" s="11" t="inlineStr">
        <is>
          <t>862 | 2026-03-12 | 41,400 | cesar melo otoniel</t>
        </is>
      </c>
      <c r="G728" s="11">
        <f>IF(I728="conciliado","conciliado","por revisar")</f>
        <v/>
      </c>
      <c r="H728" s="11" t="inlineStr"/>
      <c r="I728" s="11" t="inlineStr">
        <is>
          <t>conciliado</t>
        </is>
      </c>
    </row>
    <row r="729">
      <c r="A729" s="11" t="n">
        <v>445</v>
      </c>
      <c r="B729" s="12" t="n">
        <v>46093</v>
      </c>
      <c r="C729" s="11" t="inlineStr">
        <is>
          <t>delgadillo palacios</t>
        </is>
      </c>
      <c r="D729" s="13" t="n">
        <v>15000</v>
      </c>
      <c r="E729" s="11">
        <f>IF(G729="conciliado","conciliado",I729)</f>
        <v/>
      </c>
      <c r="F729" s="11" t="inlineStr">
        <is>
          <t>865 | 2026-03-12 | 15,000 | everyng lesly</t>
        </is>
      </c>
      <c r="G729" s="11">
        <f>IF(I729="conciliado","conciliado","por revisar")</f>
        <v/>
      </c>
      <c r="H729" s="11" t="inlineStr"/>
      <c r="I729" s="11" t="inlineStr">
        <is>
          <t>conciliado</t>
        </is>
      </c>
    </row>
    <row r="730">
      <c r="A730" s="11" t="n">
        <v>441</v>
      </c>
      <c r="B730" s="12" t="n">
        <v>46093</v>
      </c>
      <c r="C730" s="11" t="inlineStr">
        <is>
          <t>jos linda palma romo</t>
        </is>
      </c>
      <c r="D730" s="13" t="n">
        <v>18900</v>
      </c>
      <c r="E730" s="11">
        <f>IF(G730="conciliado","conciliado",I730)</f>
        <v/>
      </c>
      <c r="F730" s="11" t="inlineStr">
        <is>
          <t>866 | 2026-03-12 | 18,900 | joshira linda romo</t>
        </is>
      </c>
      <c r="G730" s="11">
        <f>IF(I730="conciliado","conciliado","por revisar")</f>
        <v/>
      </c>
      <c r="H730" s="11" t="inlineStr"/>
      <c r="I730" s="11" t="inlineStr">
        <is>
          <t>conciliado</t>
        </is>
      </c>
    </row>
    <row r="731">
      <c r="A731" s="11" t="n">
        <v>438</v>
      </c>
      <c r="B731" s="12" t="n">
        <v>46093</v>
      </c>
      <c r="C731" s="11" t="inlineStr">
        <is>
          <t>ma mosquera quinonez</t>
        </is>
      </c>
      <c r="D731" s="13" t="n">
        <v>16500</v>
      </c>
      <c r="E731" s="11">
        <f>IF(G731="conciliado","conciliado",I731)</f>
        <v/>
      </c>
      <c r="F731" s="11" t="inlineStr">
        <is>
          <t>869 | 2026-03-12 | 16,500 | maryury mosquera</t>
        </is>
      </c>
      <c r="G731" s="11">
        <f>IF(I731="conciliado","conciliado","por revisar")</f>
        <v/>
      </c>
      <c r="H731" s="11" t="inlineStr"/>
      <c r="I731" s="11" t="inlineStr">
        <is>
          <t>conciliado</t>
        </is>
      </c>
    </row>
    <row r="732">
      <c r="A732" s="11" t="n">
        <v>443</v>
      </c>
      <c r="B732" s="12" t="n">
        <v>46093</v>
      </c>
      <c r="C732" s="11" t="inlineStr">
        <is>
          <t>cordoba moreno neira</t>
        </is>
      </c>
      <c r="D732" s="13" t="n">
        <v>23200</v>
      </c>
      <c r="E732" s="11">
        <f>IF(G732="conciliado","conciliado",I732)</f>
        <v/>
      </c>
      <c r="F732" s="11" t="inlineStr">
        <is>
          <t>870 | 2026-03-12 | 23,200 | cordoba neira yuwissa</t>
        </is>
      </c>
      <c r="G732" s="11">
        <f>IF(I732="conciliado","conciliado","por revisar")</f>
        <v/>
      </c>
      <c r="H732" s="11" t="inlineStr"/>
      <c r="I732" s="11" t="inlineStr">
        <is>
          <t>conciliado</t>
        </is>
      </c>
    </row>
    <row r="733">
      <c r="A733" s="11" t="n">
        <v>453</v>
      </c>
      <c r="B733" s="12" t="n">
        <v>46093</v>
      </c>
      <c r="C733" s="11" t="inlineStr">
        <is>
          <t>chaguezac ordonez vi</t>
        </is>
      </c>
      <c r="D733" s="13" t="n">
        <v>47200</v>
      </c>
      <c r="E733" s="11">
        <f>IF(G733="conciliado","conciliado",I733)</f>
        <v/>
      </c>
      <c r="F733" s="11" t="inlineStr">
        <is>
          <t>872 | 2026-03-12 | 47,200 | judy ordonez viviana</t>
        </is>
      </c>
      <c r="G733" s="11">
        <f>IF(I733="conciliado","conciliado","por revisar")</f>
        <v/>
      </c>
      <c r="H733" s="11" t="inlineStr"/>
      <c r="I733" s="11" t="inlineStr">
        <is>
          <t>conciliado</t>
        </is>
      </c>
    </row>
    <row r="734">
      <c r="A734" s="11" t="n">
        <v>446</v>
      </c>
      <c r="B734" s="12" t="n">
        <v>46093</v>
      </c>
      <c r="C734" s="11" t="inlineStr">
        <is>
          <t>angi cortes quinones</t>
        </is>
      </c>
      <c r="D734" s="13" t="n">
        <v>9000</v>
      </c>
      <c r="E734" s="11">
        <f>IF(G734="conciliado","conciliado",I734)</f>
        <v/>
      </c>
      <c r="F734" s="11" t="inlineStr">
        <is>
          <t>873 | 2026-03-12 | 9,000 | angie cortes marisol</t>
        </is>
      </c>
      <c r="G734" s="11">
        <f>IF(I734="conciliado","conciliado","por revisar")</f>
        <v/>
      </c>
      <c r="H734" s="11" t="inlineStr"/>
      <c r="I734" s="11" t="inlineStr">
        <is>
          <t>conciliado</t>
        </is>
      </c>
    </row>
    <row r="735">
      <c r="A735" s="11" t="n">
        <v>460</v>
      </c>
      <c r="B735" s="12" t="n">
        <v>46093</v>
      </c>
      <c r="C735" s="11" t="inlineStr">
        <is>
          <t>cabezas perea victor</t>
        </is>
      </c>
      <c r="D735" s="13" t="n">
        <v>5900</v>
      </c>
      <c r="E735" s="11">
        <f>IF(G735="conciliado","conciliado",I735)</f>
        <v/>
      </c>
      <c r="F735" s="11" t="inlineStr">
        <is>
          <t>874 | 2026-03-12 | 5,900 | cabezas hugo victor</t>
        </is>
      </c>
      <c r="G735" s="11">
        <f>IF(I735="conciliado","conciliado","por revisar")</f>
        <v/>
      </c>
      <c r="H735" s="11" t="inlineStr"/>
      <c r="I735" s="11" t="inlineStr">
        <is>
          <t>conciliado</t>
        </is>
      </c>
    </row>
    <row r="736">
      <c r="A736" s="11" t="n">
        <v>459</v>
      </c>
      <c r="B736" s="12" t="n">
        <v>46093</v>
      </c>
      <c r="C736" s="11" t="inlineStr">
        <is>
          <t>artega buitron diana</t>
        </is>
      </c>
      <c r="D736" s="13" t="n">
        <v>5400</v>
      </c>
      <c r="E736" s="11">
        <f>IF(G736="conciliado","conciliado",I736)</f>
        <v/>
      </c>
      <c r="F736" s="11" t="inlineStr">
        <is>
          <t>875 | 2026-03-12 | 5,400 | arteaga diana katerine</t>
        </is>
      </c>
      <c r="G736" s="11">
        <f>IF(I736="conciliado","conciliado","por revisar")</f>
        <v/>
      </c>
      <c r="H736" s="11" t="inlineStr"/>
      <c r="I736" s="11" t="inlineStr">
        <is>
          <t>conciliado</t>
        </is>
      </c>
    </row>
    <row r="737">
      <c r="A737" s="11" t="n">
        <v>444</v>
      </c>
      <c r="B737" s="12" t="n">
        <v>46093</v>
      </c>
      <c r="C737" s="11" t="inlineStr">
        <is>
          <t>d marciales quenguan</t>
        </is>
      </c>
      <c r="D737" s="13" t="n">
        <v>7100</v>
      </c>
      <c r="E737" s="11">
        <f>IF(G737="conciliado","conciliado",I737)</f>
        <v/>
      </c>
      <c r="F737" s="11" t="inlineStr">
        <is>
          <t>876 | 2026-03-12 | 7,100 | b bre diana</t>
        </is>
      </c>
      <c r="G737" s="11">
        <f>IF(I737="conciliado","conciliado","por revisar")</f>
        <v/>
      </c>
      <c r="H737" s="11" t="inlineStr"/>
      <c r="I737" s="11" t="inlineStr">
        <is>
          <t>conciliado</t>
        </is>
      </c>
    </row>
    <row r="738">
      <c r="A738" s="11" t="n">
        <v>432</v>
      </c>
      <c r="B738" s="12" t="n">
        <v>46093</v>
      </c>
      <c r="C738" s="11" t="inlineStr">
        <is>
          <t>m nequirucamo yagari</t>
        </is>
      </c>
      <c r="D738" s="13" t="n">
        <v>16000</v>
      </c>
      <c r="E738" s="11">
        <f>IF(G738="conciliado","conciliado",I738)</f>
        <v/>
      </c>
      <c r="F738" s="11" t="inlineStr">
        <is>
          <t>877 | 2026-03-12 | 16,000 | fernando mario</t>
        </is>
      </c>
      <c r="G738" s="11">
        <f>IF(I738="conciliado","conciliado","por revisar")</f>
        <v/>
      </c>
      <c r="H738" s="11" t="inlineStr"/>
      <c r="I738" s="11" t="inlineStr">
        <is>
          <t>conciliado</t>
        </is>
      </c>
    </row>
    <row r="739">
      <c r="A739" s="11" t="n">
        <v>454</v>
      </c>
      <c r="B739" s="12" t="n">
        <v>46093</v>
      </c>
      <c r="C739" s="11" t="inlineStr">
        <is>
          <t>agaton cifuentes ing</t>
        </is>
      </c>
      <c r="D739" s="13" t="n">
        <v>22700</v>
      </c>
      <c r="E739" s="11">
        <f>IF(G739="conciliado","conciliado",I739)</f>
        <v/>
      </c>
      <c r="F739" s="11" t="inlineStr">
        <is>
          <t>879 | 2026-03-12 | 22,700 | bancolombia desde recarga</t>
        </is>
      </c>
      <c r="G739" s="11">
        <f>IF(I739="conciliado","conciliado","por revisar")</f>
        <v/>
      </c>
      <c r="H739" s="11" t="inlineStr"/>
      <c r="I739" s="11" t="inlineStr">
        <is>
          <t>conciliado</t>
        </is>
      </c>
    </row>
    <row r="740">
      <c r="A740" s="11" t="n">
        <v>449</v>
      </c>
      <c r="B740" s="12" t="n">
        <v>46093</v>
      </c>
      <c r="C740" s="11" t="inlineStr">
        <is>
          <t>lisbeth pa pena pena</t>
        </is>
      </c>
      <c r="D740" s="13" t="n">
        <v>9300</v>
      </c>
      <c r="E740" s="11">
        <f>IF(G740="conciliado","conciliado",I740)</f>
        <v/>
      </c>
      <c r="F740" s="11" t="inlineStr">
        <is>
          <t>880 | 2026-03-12 | 9,300 | lisbeth paola pena</t>
        </is>
      </c>
      <c r="G740" s="11">
        <f>IF(I740="conciliado","conciliado","por revisar")</f>
        <v/>
      </c>
      <c r="H740" s="11" t="inlineStr"/>
      <c r="I740" s="11" t="inlineStr">
        <is>
          <t>conciliado</t>
        </is>
      </c>
    </row>
    <row r="741">
      <c r="A741" s="11" t="n">
        <v>431</v>
      </c>
      <c r="B741" s="12" t="n">
        <v>46093</v>
      </c>
      <c r="C741" s="11" t="inlineStr">
        <is>
          <t>cifuentes daniels di</t>
        </is>
      </c>
      <c r="D741" s="13" t="n">
        <v>8700</v>
      </c>
      <c r="E741" s="11">
        <f>IF(G741="conciliado","conciliado",I741)</f>
        <v/>
      </c>
      <c r="F741" s="11" t="inlineStr">
        <is>
          <t>882 | 2026-03-12 | 8,700 | daniels dixie veronica</t>
        </is>
      </c>
      <c r="G741" s="11">
        <f>IF(I741="conciliado","conciliado","por revisar")</f>
        <v/>
      </c>
      <c r="H741" s="11" t="inlineStr"/>
      <c r="I741" s="11" t="inlineStr">
        <is>
          <t>conciliado</t>
        </is>
      </c>
    </row>
    <row r="742">
      <c r="A742" s="11" t="n">
        <v>437</v>
      </c>
      <c r="B742" s="12" t="n">
        <v>46093</v>
      </c>
      <c r="C742" s="11" t="inlineStr">
        <is>
          <t>cabrera gutierrez lu</t>
        </is>
      </c>
      <c r="D742" s="13" t="n">
        <v>6000</v>
      </c>
      <c r="E742" s="11">
        <f>IF(G742="conciliado","conciliado",I742)</f>
        <v/>
      </c>
      <c r="F742" s="11" t="inlineStr">
        <is>
          <t>883 | 2026-03-12 | 6,000 | bancolombia desde qr recarga</t>
        </is>
      </c>
      <c r="G742" s="11">
        <f>IF(I742="conciliado","conciliado","por revisar")</f>
        <v/>
      </c>
      <c r="H742" s="11" t="inlineStr"/>
      <c r="I742" s="11" t="inlineStr">
        <is>
          <t>conciliado</t>
        </is>
      </c>
    </row>
    <row r="743">
      <c r="A743" s="11" t="n">
        <v>439</v>
      </c>
      <c r="B743" s="12" t="n">
        <v>46093</v>
      </c>
      <c r="C743" s="11" t="inlineStr">
        <is>
          <t>jen melendez ordonez</t>
        </is>
      </c>
      <c r="D743" s="13" t="n">
        <v>11400</v>
      </c>
      <c r="E743" s="11">
        <f>IF(G743="conciliado","conciliado",I743)</f>
        <v/>
      </c>
      <c r="F743" s="11" t="inlineStr">
        <is>
          <t>884 | 2026-03-12 | 11,400 | jennifer yulieth</t>
        </is>
      </c>
      <c r="G743" s="11">
        <f>IF(I743="conciliado","conciliado","por revisar")</f>
        <v/>
      </c>
      <c r="H743" s="11" t="inlineStr"/>
      <c r="I743" s="11" t="inlineStr">
        <is>
          <t>conciliado</t>
        </is>
      </c>
    </row>
    <row r="744">
      <c r="A744" s="11" t="n">
        <v>457</v>
      </c>
      <c r="B744" s="12" t="n">
        <v>46093</v>
      </c>
      <c r="C744" s="11" t="inlineStr">
        <is>
          <t>arevalo jhon riascos</t>
        </is>
      </c>
      <c r="D744" s="13" t="n">
        <v>6200</v>
      </c>
      <c r="E744" s="11">
        <f>IF(G744="conciliado","conciliado",I744)</f>
        <v/>
      </c>
      <c r="F744" s="11" t="inlineStr">
        <is>
          <t>885 | 2026-03-12 | 6,200 | jhon lido riascos</t>
        </is>
      </c>
      <c r="G744" s="11">
        <f>IF(I744="conciliado","conciliado","por revisar")</f>
        <v/>
      </c>
      <c r="H744" s="11" t="inlineStr"/>
      <c r="I744" s="11" t="inlineStr">
        <is>
          <t>conciliado</t>
        </is>
      </c>
    </row>
    <row r="745">
      <c r="A745" s="11" t="n">
        <v>428</v>
      </c>
      <c r="B745" s="12" t="n">
        <v>46093</v>
      </c>
      <c r="C745" s="11" t="inlineStr">
        <is>
          <t>claudia diaz ortega</t>
        </is>
      </c>
      <c r="D745" s="13" t="n">
        <v>26000</v>
      </c>
      <c r="E745" s="11">
        <f>IF(G745="conciliado","conciliado",I745)</f>
        <v/>
      </c>
      <c r="F745" s="11" t="inlineStr">
        <is>
          <t>886 | 2026-03-12 | 26,000 | bancolombia desde recarga</t>
        </is>
      </c>
      <c r="G745" s="11">
        <f>IF(I745="conciliado","conciliado","por revisar")</f>
        <v/>
      </c>
      <c r="H745" s="11" t="inlineStr"/>
      <c r="I745" s="11" t="inlineStr">
        <is>
          <t>conciliado</t>
        </is>
      </c>
    </row>
    <row r="746">
      <c r="A746" s="11" t="n">
        <v>433</v>
      </c>
      <c r="B746" s="12" t="n">
        <v>46093</v>
      </c>
      <c r="C746" s="11" t="inlineStr">
        <is>
          <t>carvajal le portilla</t>
        </is>
      </c>
      <c r="D746" s="13" t="n">
        <v>16600</v>
      </c>
      <c r="E746" s="11">
        <f>IF(G746="conciliado","conciliado",I746)</f>
        <v/>
      </c>
      <c r="F746" s="11" t="inlineStr">
        <is>
          <t>887 | 2026-03-12 | 16,600 | carvajal leidy portilla</t>
        </is>
      </c>
      <c r="G746" s="11">
        <f>IF(I746="conciliado","conciliado","por revisar")</f>
        <v/>
      </c>
      <c r="H746" s="11" t="inlineStr"/>
      <c r="I746" s="11" t="inlineStr">
        <is>
          <t>conciliado</t>
        </is>
      </c>
    </row>
    <row r="747">
      <c r="A747" s="11" t="n">
        <v>436</v>
      </c>
      <c r="B747" s="12" t="n">
        <v>46093</v>
      </c>
      <c r="C747" s="11" t="inlineStr">
        <is>
          <t>becerra patric perez</t>
        </is>
      </c>
      <c r="D747" s="13" t="n">
        <v>15720</v>
      </c>
      <c r="E747" s="11">
        <f>IF(G747="conciliado","conciliado",I747)</f>
        <v/>
      </c>
      <c r="F747" s="11" t="inlineStr">
        <is>
          <t>888 | 2026-03-12 | 15,720 | becerra patricia perez</t>
        </is>
      </c>
      <c r="G747" s="11">
        <f>IF(I747="conciliado","conciliado","por revisar")</f>
        <v/>
      </c>
      <c r="H747" s="11" t="inlineStr"/>
      <c r="I747" s="11" t="inlineStr">
        <is>
          <t>conciliado</t>
        </is>
      </c>
    </row>
    <row r="748">
      <c r="A748" s="11" t="n">
        <v>450</v>
      </c>
      <c r="B748" s="12" t="n">
        <v>46093</v>
      </c>
      <c r="C748" s="11" t="inlineStr">
        <is>
          <t>batero cortes maria</t>
        </is>
      </c>
      <c r="D748" s="13" t="n">
        <v>25700</v>
      </c>
      <c r="E748" s="11">
        <f>IF(G748="conciliado","conciliado",I748)</f>
        <v/>
      </c>
      <c r="F748" s="11" t="inlineStr">
        <is>
          <t>889 | 2026-03-12 | 25,700 | guzman jennifer julieth</t>
        </is>
      </c>
      <c r="G748" s="11">
        <f>IF(I748="conciliado","conciliado","por revisar")</f>
        <v/>
      </c>
      <c r="H748" s="11" t="inlineStr"/>
      <c r="I748" s="11" t="inlineStr">
        <is>
          <t>conciliado</t>
        </is>
      </c>
    </row>
    <row r="749">
      <c r="A749" s="11" t="n">
        <v>434</v>
      </c>
      <c r="B749" s="12" t="n">
        <v>46093</v>
      </c>
      <c r="C749" s="11" t="inlineStr">
        <is>
          <t>gomez henr sevillano</t>
        </is>
      </c>
      <c r="D749" s="13" t="n">
        <v>40000</v>
      </c>
      <c r="E749" s="11">
        <f>IF(G749="conciliado","conciliado",I749)</f>
        <v/>
      </c>
      <c r="F749" s="11" t="inlineStr">
        <is>
          <t>890 | 2026-03-12 | 40,000 | henry herique sevillano</t>
        </is>
      </c>
      <c r="G749" s="11">
        <f>IF(I749="conciliado","conciliado","por revisar")</f>
        <v/>
      </c>
      <c r="H749" s="11" t="inlineStr"/>
      <c r="I749" s="11" t="inlineStr">
        <is>
          <t>conciliado</t>
        </is>
      </c>
    </row>
    <row r="750">
      <c r="A750" s="11" t="n">
        <v>448</v>
      </c>
      <c r="B750" s="12" t="n">
        <v>46093</v>
      </c>
      <c r="C750" s="11" t="inlineStr">
        <is>
          <t>je mosquera palacios</t>
        </is>
      </c>
      <c r="D750" s="13" t="n">
        <v>12900</v>
      </c>
      <c r="E750" s="11">
        <f>IF(G750="conciliado","conciliado",I750)</f>
        <v/>
      </c>
      <c r="F750" s="11" t="inlineStr">
        <is>
          <t>891 | 2026-03-12 | 12,900 | jennifer mosquera</t>
        </is>
      </c>
      <c r="G750" s="11">
        <f>IF(I750="conciliado","conciliado","por revisar")</f>
        <v/>
      </c>
      <c r="H750" s="11" t="inlineStr"/>
      <c r="I750" s="11" t="inlineStr">
        <is>
          <t>conciliado</t>
        </is>
      </c>
    </row>
    <row r="751">
      <c r="A751" s="11" t="n">
        <v>429</v>
      </c>
      <c r="B751" s="12" t="n">
        <v>46093</v>
      </c>
      <c r="C751" s="11" t="inlineStr">
        <is>
          <t>chavez galarza luis</t>
        </is>
      </c>
      <c r="D751" s="13" t="n">
        <v>21000</v>
      </c>
      <c r="E751" s="11">
        <f>IF(G751="conciliado","conciliado",I751)</f>
        <v/>
      </c>
      <c r="F751" s="11" t="inlineStr">
        <is>
          <t>892 | 2026-03-12 | 21,000 | chavez fernando luis</t>
        </is>
      </c>
      <c r="G751" s="11">
        <f>IF(I751="conciliado","conciliado","por revisar")</f>
        <v/>
      </c>
      <c r="H751" s="11" t="inlineStr"/>
      <c r="I751" s="11" t="inlineStr">
        <is>
          <t>conciliado</t>
        </is>
      </c>
    </row>
    <row r="752">
      <c r="A752" s="11" t="n">
        <v>442</v>
      </c>
      <c r="B752" s="12" t="n">
        <v>46093</v>
      </c>
      <c r="C752" s="11" t="inlineStr">
        <is>
          <t>carlos eduar mendoza</t>
        </is>
      </c>
      <c r="D752" s="13" t="n">
        <v>16300</v>
      </c>
      <c r="E752" s="11">
        <f>IF(G752="conciliado","conciliado",I752)</f>
        <v/>
      </c>
      <c r="F752" s="11" t="inlineStr">
        <is>
          <t>893 | 2026-03-12 | 16,300 | carlos mendoza</t>
        </is>
      </c>
      <c r="G752" s="11">
        <f>IF(I752="conciliado","conciliado","por revisar")</f>
        <v/>
      </c>
      <c r="H752" s="11" t="inlineStr"/>
      <c r="I752" s="11" t="inlineStr">
        <is>
          <t>conciliado</t>
        </is>
      </c>
    </row>
    <row r="753">
      <c r="A753" s="11" t="n">
        <v>419</v>
      </c>
      <c r="B753" s="12" t="n">
        <v>46092</v>
      </c>
      <c r="C753" s="11" t="inlineStr">
        <is>
          <t>alexa alvarez correa</t>
        </is>
      </c>
      <c r="D753" s="13" t="n">
        <v>52900</v>
      </c>
      <c r="E753" s="11">
        <f>IF(G753="conciliado","conciliado",I753)</f>
        <v/>
      </c>
      <c r="F753" s="11" t="inlineStr">
        <is>
          <t>894 | 2026-03-11 | 52,900 | alexander correa</t>
        </is>
      </c>
      <c r="G753" s="11">
        <f>IF(I753="conciliado","conciliado","por revisar")</f>
        <v/>
      </c>
      <c r="H753" s="11" t="inlineStr"/>
      <c r="I753" s="11" t="inlineStr">
        <is>
          <t>conciliado</t>
        </is>
      </c>
    </row>
    <row r="754">
      <c r="A754" s="11" t="n">
        <v>389</v>
      </c>
      <c r="B754" s="12" t="n">
        <v>46092</v>
      </c>
      <c r="C754" s="11" t="inlineStr">
        <is>
          <t>ana navarro samboni</t>
        </is>
      </c>
      <c r="D754" s="13" t="n">
        <v>26300</v>
      </c>
      <c r="E754" s="11">
        <f>IF(G754="conciliado","conciliado",I754)</f>
        <v/>
      </c>
      <c r="F754" s="11" t="inlineStr">
        <is>
          <t>895 | 2026-03-11 | 26,300 | ana milena navarro</t>
        </is>
      </c>
      <c r="G754" s="11">
        <f>IF(I754="conciliado","conciliado","por revisar")</f>
        <v/>
      </c>
      <c r="H754" s="11" t="inlineStr"/>
      <c r="I754" s="11" t="inlineStr">
        <is>
          <t>conciliado</t>
        </is>
      </c>
    </row>
    <row r="755">
      <c r="A755" s="11" t="n">
        <v>403</v>
      </c>
      <c r="B755" s="12" t="n">
        <v>46092</v>
      </c>
      <c r="C755" s="11" t="inlineStr">
        <is>
          <t>cubillos niv ordones</t>
        </is>
      </c>
      <c r="D755" s="13" t="n">
        <v>22800</v>
      </c>
      <c r="E755" s="11">
        <f>IF(G755="conciliado","conciliado",I755)</f>
        <v/>
      </c>
      <c r="F755" s="11" t="inlineStr">
        <is>
          <t>896 | 2026-03-11 | 22,800 | cubillos nivia ordones</t>
        </is>
      </c>
      <c r="G755" s="11">
        <f>IF(I755="conciliado","conciliado","por revisar")</f>
        <v/>
      </c>
      <c r="H755" s="11" t="inlineStr"/>
      <c r="I755" s="11" t="inlineStr">
        <is>
          <t>conciliado</t>
        </is>
      </c>
    </row>
    <row r="756">
      <c r="A756" s="11" t="n">
        <v>392</v>
      </c>
      <c r="B756" s="12" t="n">
        <v>46092</v>
      </c>
      <c r="C756" s="11" t="inlineStr">
        <is>
          <t>azuce franco rubiano</t>
        </is>
      </c>
      <c r="D756" s="13" t="n">
        <v>28900</v>
      </c>
      <c r="E756" s="11">
        <f>IF(G756="conciliado","conciliado",I756)</f>
        <v/>
      </c>
      <c r="F756" s="11" t="inlineStr">
        <is>
          <t>897 | 2026-03-11 | 28,900 | azucena franco rubiano</t>
        </is>
      </c>
      <c r="G756" s="11">
        <f>IF(I756="conciliado","conciliado","por revisar")</f>
        <v/>
      </c>
      <c r="H756" s="11" t="inlineStr"/>
      <c r="I756" s="11" t="inlineStr">
        <is>
          <t>conciliado</t>
        </is>
      </c>
    </row>
    <row r="757">
      <c r="A757" s="11" t="n">
        <v>427</v>
      </c>
      <c r="B757" s="12" t="n">
        <v>46092</v>
      </c>
      <c r="C757" s="11" t="inlineStr">
        <is>
          <t>alfonso j ruiz tapia</t>
        </is>
      </c>
      <c r="D757" s="13" t="n">
        <v>15400</v>
      </c>
      <c r="E757" s="11">
        <f>IF(G757="conciliado","conciliado",I757)</f>
        <v/>
      </c>
      <c r="F757" s="11" t="inlineStr">
        <is>
          <t>898 | 2026-03-11 | 15,400 | alfonso jhovani ruiz</t>
        </is>
      </c>
      <c r="G757" s="11">
        <f>IF(I757="conciliado","conciliado","por revisar")</f>
        <v/>
      </c>
      <c r="H757" s="11" t="inlineStr"/>
      <c r="I757" s="11" t="inlineStr">
        <is>
          <t>conciliado</t>
        </is>
      </c>
    </row>
    <row r="758">
      <c r="A758" s="11" t="n">
        <v>426</v>
      </c>
      <c r="B758" s="12" t="n">
        <v>46092</v>
      </c>
      <c r="C758" s="11" t="inlineStr">
        <is>
          <t>camilo esteban rojas</t>
        </is>
      </c>
      <c r="D758" s="13" t="n">
        <v>155700</v>
      </c>
      <c r="E758" s="11">
        <f>IF(G758="conciliado","conciliado",I758)</f>
        <v/>
      </c>
      <c r="F758" s="11" t="inlineStr">
        <is>
          <t>899 | 2026-03-11 | 155,700 | bancolombia desde qr recarga</t>
        </is>
      </c>
      <c r="G758" s="11">
        <f>IF(I758="conciliado","conciliado","por revisar")</f>
        <v/>
      </c>
      <c r="H758" s="11" t="inlineStr"/>
      <c r="I758" s="11" t="inlineStr">
        <is>
          <t>conciliado</t>
        </is>
      </c>
    </row>
    <row r="759">
      <c r="A759" s="11" t="n">
        <v>425</v>
      </c>
      <c r="B759" s="12" t="n">
        <v>46092</v>
      </c>
      <c r="C759" s="11" t="inlineStr">
        <is>
          <t>delgado hernadez iva</t>
        </is>
      </c>
      <c r="D759" s="13" t="n">
        <v>40000</v>
      </c>
      <c r="E759" s="11">
        <f>IF(G759="conciliado","conciliado",I759)</f>
        <v/>
      </c>
      <c r="F759" s="11" t="inlineStr">
        <is>
          <t>900 | 2026-03-11 | 40,000 | gerardo hernandez ivan</t>
        </is>
      </c>
      <c r="G759" s="11">
        <f>IF(I759="conciliado","conciliado","por revisar")</f>
        <v/>
      </c>
      <c r="H759" s="11" t="inlineStr"/>
      <c r="I759" s="11" t="inlineStr">
        <is>
          <t>conciliado</t>
        </is>
      </c>
    </row>
    <row r="760">
      <c r="A760" s="11" t="n">
        <v>406</v>
      </c>
      <c r="B760" s="12" t="n">
        <v>46092</v>
      </c>
      <c r="C760" s="11" t="inlineStr">
        <is>
          <t>guerra nelcy ya zura</t>
        </is>
      </c>
      <c r="D760" s="13" t="n">
        <v>27600</v>
      </c>
      <c r="E760" s="11">
        <f>IF(G760="conciliado","conciliado",I760)</f>
        <v/>
      </c>
      <c r="F760" s="11" t="inlineStr">
        <is>
          <t>901 | 2026-03-11 | 27,600 | b bre nelcy</t>
        </is>
      </c>
      <c r="G760" s="11">
        <f>IF(I760="conciliado","conciliado","por revisar")</f>
        <v/>
      </c>
      <c r="H760" s="11" t="inlineStr"/>
      <c r="I760" s="11" t="inlineStr">
        <is>
          <t>conciliado</t>
        </is>
      </c>
    </row>
    <row r="761">
      <c r="A761" s="11" t="n">
        <v>405</v>
      </c>
      <c r="B761" s="12" t="n">
        <v>46092</v>
      </c>
      <c r="C761" s="11" t="inlineStr">
        <is>
          <t>marin valent zuluaga</t>
        </is>
      </c>
      <c r="D761" s="13" t="n">
        <v>30800</v>
      </c>
      <c r="E761" s="11">
        <f>IF(G761="conciliado","conciliado",I761)</f>
        <v/>
      </c>
      <c r="F761" s="11" t="inlineStr">
        <is>
          <t>902 | 2026-03-11 | 30,800 | bancolombia desde qr recarga</t>
        </is>
      </c>
      <c r="G761" s="11">
        <f>IF(I761="conciliado","conciliado","por revisar")</f>
        <v/>
      </c>
      <c r="H761" s="11" t="inlineStr"/>
      <c r="I761" s="11" t="inlineStr">
        <is>
          <t>conciliado</t>
        </is>
      </c>
    </row>
    <row r="762">
      <c r="A762" s="11" t="n">
        <v>407</v>
      </c>
      <c r="B762" s="12" t="n">
        <v>46092</v>
      </c>
      <c r="C762" s="11" t="inlineStr">
        <is>
          <t>johan leydi quintero</t>
        </is>
      </c>
      <c r="D762" s="13" t="n">
        <v>5900</v>
      </c>
      <c r="E762" s="11">
        <f>IF(G762="conciliado","conciliado",I762)</f>
        <v/>
      </c>
      <c r="F762" s="11" t="inlineStr">
        <is>
          <t>903 | 2026-03-11 | 5,900 | b bre leidy</t>
        </is>
      </c>
      <c r="G762" s="11">
        <f>IF(I762="conciliado","conciliado","por revisar")</f>
        <v/>
      </c>
      <c r="H762" s="11" t="inlineStr"/>
      <c r="I762" s="11" t="inlineStr">
        <is>
          <t>conciliado</t>
        </is>
      </c>
    </row>
    <row r="763">
      <c r="A763" s="11" t="n">
        <v>420</v>
      </c>
      <c r="B763" s="12" t="n">
        <v>46092</v>
      </c>
      <c r="C763" s="11" t="inlineStr">
        <is>
          <t>omar y zambrano zuin</t>
        </is>
      </c>
      <c r="D763" s="13" t="n">
        <v>24000</v>
      </c>
      <c r="E763" s="11">
        <f>IF(G763="conciliado","conciliado",I763)</f>
        <v/>
      </c>
      <c r="F763" s="11" t="inlineStr">
        <is>
          <t>904 | 2026-03-11 | 24,000 | bancolombia desde qr recarga</t>
        </is>
      </c>
      <c r="G763" s="11">
        <f>IF(I763="conciliado","conciliado","por revisar")</f>
        <v/>
      </c>
      <c r="H763" s="11" t="inlineStr"/>
      <c r="I763" s="11" t="inlineStr">
        <is>
          <t>conciliado</t>
        </is>
      </c>
    </row>
    <row r="764">
      <c r="A764" s="11" t="n">
        <v>409</v>
      </c>
      <c r="B764" s="12" t="n">
        <v>46092</v>
      </c>
      <c r="C764" s="11" t="inlineStr">
        <is>
          <t>cuchala evi marcillo</t>
        </is>
      </c>
      <c r="D764" s="13" t="n">
        <v>4500</v>
      </c>
      <c r="E764" s="11">
        <f>IF(G764="conciliado","conciliado",I764)</f>
        <v/>
      </c>
      <c r="F764" s="11" t="inlineStr">
        <is>
          <t>905 | 2026-03-11 | 4,500 | daniel evin marcillo</t>
        </is>
      </c>
      <c r="G764" s="11">
        <f>IF(I764="conciliado","conciliado","por revisar")</f>
        <v/>
      </c>
      <c r="H764" s="11" t="inlineStr"/>
      <c r="I764" s="11" t="inlineStr">
        <is>
          <t>conciliado</t>
        </is>
      </c>
    </row>
    <row r="765">
      <c r="A765" s="11" t="n">
        <v>398</v>
      </c>
      <c r="B765" s="12" t="n">
        <v>46092</v>
      </c>
      <c r="C765" s="11" t="inlineStr">
        <is>
          <t>angulo cahuasa ismen</t>
        </is>
      </c>
      <c r="D765" s="13" t="n">
        <v>20000</v>
      </c>
      <c r="E765" s="11">
        <f>IF(G765="conciliado","conciliado",I765)</f>
        <v/>
      </c>
      <c r="F765" s="11" t="inlineStr">
        <is>
          <t>906 | 2026-03-11 | 20,000 | angulo cahuasa ismenia</t>
        </is>
      </c>
      <c r="G765" s="11">
        <f>IF(I765="conciliado","conciliado","por revisar")</f>
        <v/>
      </c>
      <c r="H765" s="11" t="inlineStr"/>
      <c r="I765" s="11" t="inlineStr">
        <is>
          <t>conciliado</t>
        </is>
      </c>
    </row>
    <row r="766">
      <c r="A766" s="11" t="n">
        <v>390</v>
      </c>
      <c r="B766" s="12" t="n">
        <v>46092</v>
      </c>
      <c r="C766" s="11" t="inlineStr">
        <is>
          <t>andr botina patascoy</t>
        </is>
      </c>
      <c r="D766" s="13" t="n">
        <v>12200</v>
      </c>
      <c r="E766" s="11">
        <f>IF(G766="conciliado","conciliado",I766)</f>
        <v/>
      </c>
      <c r="F766" s="11" t="inlineStr">
        <is>
          <t>907 | 2026-03-11 | 12,200 | andres francisco</t>
        </is>
      </c>
      <c r="G766" s="11">
        <f>IF(I766="conciliado","conciliado","por revisar")</f>
        <v/>
      </c>
      <c r="H766" s="11" t="inlineStr"/>
      <c r="I766" s="11" t="inlineStr">
        <is>
          <t>conciliado</t>
        </is>
      </c>
    </row>
    <row r="767">
      <c r="A767" s="11" t="n">
        <v>408</v>
      </c>
      <c r="B767" s="12" t="n">
        <v>46092</v>
      </c>
      <c r="C767" s="11" t="inlineStr">
        <is>
          <t>chavez dias eva line</t>
        </is>
      </c>
      <c r="D767" s="13" t="n">
        <v>20400</v>
      </c>
      <c r="E767" s="11">
        <f>IF(G767="conciliado","conciliado",I767)</f>
        <v/>
      </c>
      <c r="F767" s="11" t="inlineStr">
        <is>
          <t>908 | 2026-03-11 | 20,400 | diaz eva linet</t>
        </is>
      </c>
      <c r="G767" s="11">
        <f>IF(I767="conciliado","conciliado","por revisar")</f>
        <v/>
      </c>
      <c r="H767" s="11" t="inlineStr"/>
      <c r="I767" s="11" t="inlineStr">
        <is>
          <t>conciliado</t>
        </is>
      </c>
    </row>
    <row r="768">
      <c r="A768" s="11" t="n">
        <v>417</v>
      </c>
      <c r="B768" s="12" t="n">
        <v>46092</v>
      </c>
      <c r="C768" s="11" t="inlineStr">
        <is>
          <t>gueniz herrera sherl</t>
        </is>
      </c>
      <c r="D768" s="13" t="n">
        <v>30600</v>
      </c>
      <c r="E768" s="11">
        <f>IF(G768="conciliado","conciliado",I768)</f>
        <v/>
      </c>
      <c r="F768" s="11" t="inlineStr">
        <is>
          <t>909 | 2026-03-11 | 30,600 | gueniz sherlyn</t>
        </is>
      </c>
      <c r="G768" s="11">
        <f>IF(I768="conciliado","conciliado","por revisar")</f>
        <v/>
      </c>
      <c r="H768" s="11" t="inlineStr"/>
      <c r="I768" s="11" t="inlineStr">
        <is>
          <t>conciliado</t>
        </is>
      </c>
    </row>
    <row r="769">
      <c r="A769" s="11" t="n">
        <v>421</v>
      </c>
      <c r="B769" s="12" t="n">
        <v>46092</v>
      </c>
      <c r="C769" s="11" t="inlineStr">
        <is>
          <t>camil diaz lopez</t>
        </is>
      </c>
      <c r="D769" s="13" t="n">
        <v>21200</v>
      </c>
      <c r="E769" s="11">
        <f>IF(G769="conciliado","conciliado",I769)</f>
        <v/>
      </c>
      <c r="F769" s="11" t="inlineStr">
        <is>
          <t>910 | 2026-03-11 | 21,200 | amilo ferney lopez</t>
        </is>
      </c>
      <c r="G769" s="11">
        <f>IF(I769="conciliado","conciliado","por revisar")</f>
        <v/>
      </c>
      <c r="H769" s="11" t="inlineStr"/>
      <c r="I769" s="11" t="inlineStr">
        <is>
          <t>conciliado</t>
        </is>
      </c>
    </row>
    <row r="770">
      <c r="A770" s="11" t="n">
        <v>424</v>
      </c>
      <c r="B770" s="12" t="n">
        <v>46092</v>
      </c>
      <c r="C770" s="11" t="inlineStr">
        <is>
          <t>diaz diaz victor</t>
        </is>
      </c>
      <c r="D770" s="13" t="n">
        <v>5600</v>
      </c>
      <c r="E770" s="11">
        <f>IF(G770="conciliado","conciliado",I770)</f>
        <v/>
      </c>
      <c r="F770" s="11" t="inlineStr">
        <is>
          <t>911 | 2026-03-11 | 5,600 | diaz diaz manuel victor</t>
        </is>
      </c>
      <c r="G770" s="11">
        <f>IF(I770="conciliado","conciliado","por revisar")</f>
        <v/>
      </c>
      <c r="H770" s="11" t="inlineStr"/>
      <c r="I770" s="11" t="inlineStr">
        <is>
          <t>conciliado</t>
        </is>
      </c>
    </row>
    <row r="771">
      <c r="A771" s="11" t="n">
        <v>395</v>
      </c>
      <c r="B771" s="12" t="n">
        <v>46092</v>
      </c>
      <c r="C771" s="11" t="inlineStr">
        <is>
          <t>chaves imbachi tatia</t>
        </is>
      </c>
      <c r="D771" s="13" t="n">
        <v>58500</v>
      </c>
      <c r="E771" s="11">
        <f>IF(G771="conciliado","conciliado",I771)</f>
        <v/>
      </c>
      <c r="F771" s="11" t="inlineStr">
        <is>
          <t>913 | 2026-03-11 | 58,500 | chaves imbachi tatiana</t>
        </is>
      </c>
      <c r="G771" s="11">
        <f>IF(I771="conciliado","conciliado","por revisar")</f>
        <v/>
      </c>
      <c r="H771" s="11" t="inlineStr"/>
      <c r="I771" s="11" t="inlineStr">
        <is>
          <t>conciliado</t>
        </is>
      </c>
    </row>
    <row r="772">
      <c r="A772" s="11" t="n">
        <v>394</v>
      </c>
      <c r="B772" s="12" t="n">
        <v>46092</v>
      </c>
      <c r="C772" s="11" t="inlineStr">
        <is>
          <t>acosta idaly narvaez</t>
        </is>
      </c>
      <c r="D772" s="13" t="n">
        <v>32600</v>
      </c>
      <c r="E772" s="11">
        <f>IF(G772="conciliado","conciliado",I772)</f>
        <v/>
      </c>
      <c r="F772" s="11" t="inlineStr">
        <is>
          <t>914 | 2026-03-11 | 32,600 | esperanza idaly narvaez</t>
        </is>
      </c>
      <c r="G772" s="11">
        <f>IF(I772="conciliado","conciliado","por revisar")</f>
        <v/>
      </c>
      <c r="H772" s="11" t="inlineStr"/>
      <c r="I772" s="11" t="inlineStr">
        <is>
          <t>conciliado</t>
        </is>
      </c>
    </row>
    <row r="773">
      <c r="A773" s="11" t="n">
        <v>399</v>
      </c>
      <c r="B773" s="12" t="n">
        <v>46092</v>
      </c>
      <c r="C773" s="11" t="inlineStr">
        <is>
          <t>burbano cano john se</t>
        </is>
      </c>
      <c r="D773" s="13" t="n">
        <v>14000</v>
      </c>
      <c r="E773" s="11">
        <f>IF(G773="conciliado","conciliado",I773)</f>
        <v/>
      </c>
      <c r="F773" s="11" t="inlineStr">
        <is>
          <t>915 | 2026-03-11 | 14,000 | bancolombia desde qr recarga</t>
        </is>
      </c>
      <c r="G773" s="11">
        <f>IF(I773="conciliado","conciliado","por revisar")</f>
        <v/>
      </c>
      <c r="H773" s="11" t="inlineStr"/>
      <c r="I773" s="11" t="inlineStr">
        <is>
          <t>conciliado</t>
        </is>
      </c>
    </row>
    <row r="774">
      <c r="A774" s="11" t="n">
        <v>418</v>
      </c>
      <c r="B774" s="12" t="n">
        <v>46092</v>
      </c>
      <c r="C774" s="11" t="inlineStr">
        <is>
          <t>alvarez ana del melo</t>
        </is>
      </c>
      <c r="D774" s="13" t="n">
        <v>12300</v>
      </c>
      <c r="E774" s="11">
        <f>IF(G774="conciliado","conciliado",I774)</f>
        <v/>
      </c>
      <c r="F774" s="11" t="inlineStr">
        <is>
          <t>916 | 2026-03-11 | 12,300 | alvarez ana carmen del</t>
        </is>
      </c>
      <c r="G774" s="11">
        <f>IF(I774="conciliado","conciliado","por revisar")</f>
        <v/>
      </c>
      <c r="H774" s="11" t="inlineStr"/>
      <c r="I774" s="11" t="inlineStr">
        <is>
          <t>conciliado</t>
        </is>
      </c>
    </row>
    <row r="775">
      <c r="A775" s="11" t="n">
        <v>413</v>
      </c>
      <c r="B775" s="12" t="n">
        <v>46092</v>
      </c>
      <c r="C775" s="11" t="inlineStr">
        <is>
          <t>cuaces kenet salazar</t>
        </is>
      </c>
      <c r="D775" s="13" t="n">
        <v>7000</v>
      </c>
      <c r="E775" s="11">
        <f>IF(G775="conciliado","conciliado",I775)</f>
        <v/>
      </c>
      <c r="F775" s="11" t="inlineStr">
        <is>
          <t>917 | 2026-03-11 | 7,000 | keneth sebastian</t>
        </is>
      </c>
      <c r="G775" s="11">
        <f>IF(I775="conciliado","conciliado","por revisar")</f>
        <v/>
      </c>
      <c r="H775" s="11" t="inlineStr"/>
      <c r="I775" s="11" t="inlineStr">
        <is>
          <t>conciliado</t>
        </is>
      </c>
    </row>
    <row r="776">
      <c r="A776" s="11" t="n">
        <v>393</v>
      </c>
      <c r="B776" s="12" t="n">
        <v>46092</v>
      </c>
      <c r="C776" s="11" t="inlineStr">
        <is>
          <t>angie cagua car cruz</t>
        </is>
      </c>
      <c r="D776" s="13" t="n">
        <v>26100</v>
      </c>
      <c r="E776" s="11">
        <f>IF(G776="conciliado","conciliado",I776)</f>
        <v/>
      </c>
      <c r="F776" s="11" t="inlineStr">
        <is>
          <t>918 | 2026-03-11 | 26,100 | angie cagua carolina</t>
        </is>
      </c>
      <c r="G776" s="11">
        <f>IF(I776="conciliado","conciliado","por revisar")</f>
        <v/>
      </c>
      <c r="H776" s="11" t="inlineStr"/>
      <c r="I776" s="11" t="inlineStr">
        <is>
          <t>conciliado</t>
        </is>
      </c>
    </row>
    <row r="777">
      <c r="A777" s="11" t="n">
        <v>415</v>
      </c>
      <c r="B777" s="12" t="n">
        <v>46092</v>
      </c>
      <c r="C777" s="11" t="inlineStr">
        <is>
          <t>alejandr diaz espana</t>
        </is>
      </c>
      <c r="D777" s="13" t="n">
        <v>12900</v>
      </c>
      <c r="E777" s="11">
        <f>IF(G777="conciliado","conciliado",I777)</f>
        <v/>
      </c>
      <c r="F777" s="11" t="inlineStr">
        <is>
          <t>919 | 2026-03-11 | 12,900 | alejandra loreny</t>
        </is>
      </c>
      <c r="G777" s="11">
        <f>IF(I777="conciliado","conciliado","por revisar")</f>
        <v/>
      </c>
      <c r="H777" s="11" t="inlineStr"/>
      <c r="I777" s="11" t="inlineStr">
        <is>
          <t>conciliado</t>
        </is>
      </c>
    </row>
    <row r="778">
      <c r="A778" s="11" t="n">
        <v>416</v>
      </c>
      <c r="B778" s="12" t="n">
        <v>46092</v>
      </c>
      <c r="C778" s="11" t="inlineStr">
        <is>
          <t>diaz herrera leyd</t>
        </is>
      </c>
      <c r="D778" s="13" t="n">
        <v>25700</v>
      </c>
      <c r="E778" s="11">
        <f>IF(G778="conciliado","conciliado",I778)</f>
        <v/>
      </c>
      <c r="F778" s="11" t="inlineStr">
        <is>
          <t>920 | 2026-03-11 | 25,700 | carolina diaz leidy</t>
        </is>
      </c>
      <c r="G778" s="11">
        <f>IF(I778="conciliado","conciliado","por revisar")</f>
        <v/>
      </c>
      <c r="H778" s="11" t="inlineStr"/>
      <c r="I778" s="11" t="inlineStr">
        <is>
          <t>conciliado</t>
        </is>
      </c>
    </row>
    <row r="779">
      <c r="A779" s="11" t="n">
        <v>397</v>
      </c>
      <c r="B779" s="12" t="n">
        <v>46092</v>
      </c>
      <c r="C779" s="11" t="inlineStr">
        <is>
          <t>arboleda congotte da</t>
        </is>
      </c>
      <c r="D779" s="13" t="n">
        <v>6300</v>
      </c>
      <c r="E779" s="11">
        <f>IF(G779="conciliado","conciliado",I779)</f>
        <v/>
      </c>
      <c r="F779" s="11" t="inlineStr">
        <is>
          <t>921 | 2026-03-11 | 6,300 | congotte dayan liseth</t>
        </is>
      </c>
      <c r="G779" s="11">
        <f>IF(I779="conciliado","conciliado","por revisar")</f>
        <v/>
      </c>
      <c r="H779" s="11" t="inlineStr"/>
      <c r="I779" s="11" t="inlineStr">
        <is>
          <t>conciliado</t>
        </is>
      </c>
    </row>
    <row r="780">
      <c r="A780" s="11" t="n">
        <v>412</v>
      </c>
      <c r="B780" s="12" t="n">
        <v>46092</v>
      </c>
      <c r="C780" s="11" t="inlineStr">
        <is>
          <t>angie perdomo tapia</t>
        </is>
      </c>
      <c r="D780" s="13" t="n">
        <v>10700</v>
      </c>
      <c r="E780" s="11">
        <f>IF(G780="conciliado","conciliado",I780)</f>
        <v/>
      </c>
      <c r="F780" s="11" t="inlineStr">
        <is>
          <t>922 | 2026-03-11 | 10,700 | anyi cataleya tapia</t>
        </is>
      </c>
      <c r="G780" s="11">
        <f>IF(I780="conciliado","conciliado","por revisar")</f>
        <v/>
      </c>
      <c r="H780" s="11" t="inlineStr"/>
      <c r="I780" s="11" t="inlineStr">
        <is>
          <t>conciliado</t>
        </is>
      </c>
    </row>
    <row r="781">
      <c r="A781" s="11" t="n">
        <v>414</v>
      </c>
      <c r="B781" s="12" t="n">
        <v>46092</v>
      </c>
      <c r="C781" s="11" t="inlineStr">
        <is>
          <t>chaves gonzalez shir</t>
        </is>
      </c>
      <c r="D781" s="13" t="n">
        <v>16800</v>
      </c>
      <c r="E781" s="11">
        <f>IF(G781="conciliado","conciliado",I781)</f>
        <v/>
      </c>
      <c r="F781" s="11" t="inlineStr">
        <is>
          <t>923 | 2026-03-11 | 16,800 | chaves gonzalez shirley</t>
        </is>
      </c>
      <c r="G781" s="11">
        <f>IF(I781="conciliado","conciliado","por revisar")</f>
        <v/>
      </c>
      <c r="H781" s="11" t="inlineStr"/>
      <c r="I781" s="11" t="inlineStr">
        <is>
          <t>conciliado</t>
        </is>
      </c>
    </row>
    <row r="782">
      <c r="A782" s="11" t="n">
        <v>401</v>
      </c>
      <c r="B782" s="12" t="n">
        <v>46092</v>
      </c>
      <c r="C782" s="11" t="inlineStr">
        <is>
          <t>guzman hortua victor</t>
        </is>
      </c>
      <c r="D782" s="13" t="n">
        <v>59600</v>
      </c>
      <c r="E782" s="11">
        <f>IF(G782="conciliado","conciliado",I782)</f>
        <v/>
      </c>
      <c r="F782" s="11" t="inlineStr">
        <is>
          <t>924 | 2026-03-11 | 59,600 | bancolombia desde qr recarga</t>
        </is>
      </c>
      <c r="G782" s="11">
        <f>IF(I782="conciliado","conciliado","por revisar")</f>
        <v/>
      </c>
      <c r="H782" s="11" t="inlineStr"/>
      <c r="I782" s="11" t="inlineStr">
        <is>
          <t>conciliado</t>
        </is>
      </c>
    </row>
    <row r="783">
      <c r="A783" s="11" t="n">
        <v>404</v>
      </c>
      <c r="B783" s="12" t="n">
        <v>46092</v>
      </c>
      <c r="C783" s="11" t="inlineStr">
        <is>
          <t>castellanos h zarama</t>
        </is>
      </c>
      <c r="D783" s="13" t="n">
        <v>32800</v>
      </c>
      <c r="E783" s="11">
        <f>IF(G783="conciliado","conciliado",I783)</f>
        <v/>
      </c>
      <c r="F783" s="11" t="inlineStr">
        <is>
          <t>925 | 2026-03-11 | 32,800 | helen tatiana zarama</t>
        </is>
      </c>
      <c r="G783" s="11">
        <f>IF(I783="conciliado","conciliado","por revisar")</f>
        <v/>
      </c>
      <c r="H783" s="11" t="inlineStr"/>
      <c r="I783" s="11" t="inlineStr">
        <is>
          <t>conciliado</t>
        </is>
      </c>
    </row>
    <row r="784">
      <c r="A784" s="11" t="n">
        <v>391</v>
      </c>
      <c r="B784" s="12" t="n">
        <v>46092</v>
      </c>
      <c r="C784" s="11" t="inlineStr">
        <is>
          <t>erazo munoz richard</t>
        </is>
      </c>
      <c r="D784" s="13" t="n">
        <v>164600</v>
      </c>
      <c r="E784" s="11">
        <f>IF(G784="conciliado","conciliado",I784)</f>
        <v/>
      </c>
      <c r="F784" s="11" t="inlineStr">
        <is>
          <t>927 | 2026-03-11 | 164,600 | bancolombia desde qr recarga</t>
        </is>
      </c>
      <c r="G784" s="11">
        <f>IF(I784="conciliado","conciliado","por revisar")</f>
        <v/>
      </c>
      <c r="H784" s="11" t="inlineStr"/>
      <c r="I784" s="11" t="inlineStr">
        <is>
          <t>conciliado</t>
        </is>
      </c>
    </row>
    <row r="785">
      <c r="A785" s="11" t="n">
        <v>423</v>
      </c>
      <c r="B785" s="12" t="n">
        <v>46092</v>
      </c>
      <c r="C785" s="11" t="inlineStr">
        <is>
          <t>bastidas mar ordonez</t>
        </is>
      </c>
      <c r="D785" s="13" t="n">
        <v>45000</v>
      </c>
      <c r="E785" s="11">
        <f>IF(G785="conciliado","conciliado",I785)</f>
        <v/>
      </c>
      <c r="F785" s="11" t="inlineStr">
        <is>
          <t>928 | 2026-03-11 | 45,000 | frank henao yinner</t>
        </is>
      </c>
      <c r="G785" s="11">
        <f>IF(I785="conciliado","conciliado","por revisar")</f>
        <v/>
      </c>
      <c r="H785" s="11" t="inlineStr"/>
      <c r="I785" s="11" t="inlineStr">
        <is>
          <t>conciliado</t>
        </is>
      </c>
    </row>
    <row r="786">
      <c r="A786" s="11" t="n">
        <v>388</v>
      </c>
      <c r="B786" s="12" t="n">
        <v>46092</v>
      </c>
      <c r="C786" s="11" t="inlineStr">
        <is>
          <t>aldan distribuciones</t>
        </is>
      </c>
      <c r="D786" s="13" t="n">
        <v>-2098494</v>
      </c>
      <c r="E786" s="11">
        <f>IF(G786="conciliado","conciliado",I786)</f>
        <v/>
      </c>
      <c r="F786" s="11" t="inlineStr">
        <is>
          <t>930 | 2026-03-11 | -2,098,494 | aldana cia distribuciones y</t>
        </is>
      </c>
      <c r="G786" s="11">
        <f>IF(I786="conciliado","conciliado","por revisar")</f>
        <v/>
      </c>
      <c r="H786" s="11" t="inlineStr"/>
      <c r="I786" s="11" t="inlineStr">
        <is>
          <t>conciliado</t>
        </is>
      </c>
    </row>
    <row r="787">
      <c r="A787" s="11" t="n">
        <v>402</v>
      </c>
      <c r="B787" s="12" t="n">
        <v>46092</v>
      </c>
      <c r="C787" s="11" t="inlineStr">
        <is>
          <t>jos linda palma romo</t>
        </is>
      </c>
      <c r="D787" s="13" t="n">
        <v>19600</v>
      </c>
      <c r="E787" s="11">
        <f>IF(G787="conciliado","conciliado",I787)</f>
        <v/>
      </c>
      <c r="F787" s="11" t="inlineStr">
        <is>
          <t>931 | 2026-03-11 | 19,600 | joshira linda romo</t>
        </is>
      </c>
      <c r="G787" s="11">
        <f>IF(I787="conciliado","conciliado","por revisar")</f>
        <v/>
      </c>
      <c r="H787" s="11" t="inlineStr"/>
      <c r="I787" s="11" t="inlineStr">
        <is>
          <t>conciliado</t>
        </is>
      </c>
    </row>
    <row r="788">
      <c r="A788" s="11" t="n">
        <v>387</v>
      </c>
      <c r="B788" s="12" t="n">
        <v>46092</v>
      </c>
      <c r="C788" s="11" t="inlineStr">
        <is>
          <t>alimentos de masivos</t>
        </is>
      </c>
      <c r="D788" s="13" t="n">
        <v>-840273</v>
      </c>
      <c r="E788" s="11">
        <f>IF(G788="conciliado","conciliado",I788)</f>
        <v/>
      </c>
      <c r="F788" s="11" t="inlineStr">
        <is>
          <t>933 | 2026-03-11 | -840,273 | b bre en pago qr</t>
        </is>
      </c>
      <c r="G788" s="11">
        <f>IF(I788="conciliado","conciliado","por revisar")</f>
        <v/>
      </c>
      <c r="H788" s="11" t="inlineStr"/>
      <c r="I788" s="11" t="inlineStr">
        <is>
          <t>conciliado</t>
        </is>
      </c>
    </row>
    <row r="789">
      <c r="A789" s="11" t="n">
        <v>400</v>
      </c>
      <c r="B789" s="12" t="n">
        <v>46092</v>
      </c>
      <c r="C789" s="11" t="inlineStr">
        <is>
          <t>joh saavedra vallejo</t>
        </is>
      </c>
      <c r="D789" s="13" t="n">
        <v>61510</v>
      </c>
      <c r="E789" s="11">
        <f>IF(G789="conciliado","conciliado",I789)</f>
        <v/>
      </c>
      <c r="F789" s="11" t="inlineStr">
        <is>
          <t>936 | 2026-03-11 | 61,510 | daniela fernanda tique</t>
        </is>
      </c>
      <c r="G789" s="11">
        <f>IF(I789="conciliado","conciliado","por revisar")</f>
        <v/>
      </c>
      <c r="H789" s="11" t="inlineStr"/>
      <c r="I789" s="11" t="inlineStr">
        <is>
          <t>conciliado</t>
        </is>
      </c>
    </row>
    <row r="790">
      <c r="A790" s="11" t="n">
        <v>410</v>
      </c>
      <c r="B790" s="12" t="n">
        <v>46092</v>
      </c>
      <c r="C790" s="11" t="inlineStr">
        <is>
          <t>cuaran fe villamarin</t>
        </is>
      </c>
      <c r="D790" s="13" t="n">
        <v>21900</v>
      </c>
      <c r="E790" s="11">
        <f>IF(G790="conciliado","conciliado",I790)</f>
        <v/>
      </c>
      <c r="F790" s="11" t="inlineStr">
        <is>
          <t>937 | 2026-03-11 | 21,900 | cuaran fernanda glinis</t>
        </is>
      </c>
      <c r="G790" s="11">
        <f>IF(I790="conciliado","conciliado","por revisar")</f>
        <v/>
      </c>
      <c r="H790" s="11" t="inlineStr"/>
      <c r="I790" s="11" t="inlineStr">
        <is>
          <t>conciliado</t>
        </is>
      </c>
    </row>
    <row r="791">
      <c r="A791" s="11" t="n">
        <v>422</v>
      </c>
      <c r="B791" s="12" t="n">
        <v>46092</v>
      </c>
      <c r="C791" s="11" t="inlineStr">
        <is>
          <t>jeiner mena pai</t>
        </is>
      </c>
      <c r="D791" s="13" t="n">
        <v>28700</v>
      </c>
      <c r="E791" s="11">
        <f>IF(G791="conciliado","conciliado",I791)</f>
        <v/>
      </c>
      <c r="F791" s="11" t="inlineStr">
        <is>
          <t>938 | 2026-03-11 | 28,700 | jeifrey jeiner mena pai</t>
        </is>
      </c>
      <c r="G791" s="11">
        <f>IF(I791="conciliado","conciliado","por revisar")</f>
        <v/>
      </c>
      <c r="H791" s="11" t="inlineStr"/>
      <c r="I791" s="11" t="inlineStr">
        <is>
          <t>conciliado</t>
        </is>
      </c>
    </row>
    <row r="792">
      <c r="A792" s="11" t="n">
        <v>396</v>
      </c>
      <c r="B792" s="12" t="n">
        <v>46092</v>
      </c>
      <c r="C792" s="11" t="inlineStr">
        <is>
          <t>betancourt cano luz</t>
        </is>
      </c>
      <c r="D792" s="13" t="n">
        <v>33100</v>
      </c>
      <c r="E792" s="11">
        <f>IF(G792="conciliado","conciliado",I792)</f>
        <v/>
      </c>
      <c r="F792" s="11" t="inlineStr">
        <is>
          <t>939 | 2026-03-11 | 33,100 | cano elena luz</t>
        </is>
      </c>
      <c r="G792" s="11">
        <f>IF(I792="conciliado","conciliado","por revisar")</f>
        <v/>
      </c>
      <c r="H792" s="11" t="inlineStr"/>
      <c r="I792" s="11" t="inlineStr">
        <is>
          <t>conciliado</t>
        </is>
      </c>
    </row>
    <row r="793">
      <c r="A793" s="11" t="n">
        <v>374</v>
      </c>
      <c r="B793" s="12" t="n">
        <v>46091</v>
      </c>
      <c r="C793" s="11" t="inlineStr">
        <is>
          <t>benavides edwi marin</t>
        </is>
      </c>
      <c r="D793" s="13" t="n">
        <v>18500</v>
      </c>
      <c r="E793" s="11">
        <f>IF(G793="conciliado","conciliado",I793)</f>
        <v/>
      </c>
      <c r="F793" s="11" t="inlineStr">
        <is>
          <t>940 | 2026-03-10 | 18,500 | bancolombia desde recarga</t>
        </is>
      </c>
      <c r="G793" s="11">
        <f>IF(I793="conciliado","conciliado","por revisar")</f>
        <v/>
      </c>
      <c r="H793" s="11" t="inlineStr"/>
      <c r="I793" s="11" t="inlineStr">
        <is>
          <t>conciliado</t>
        </is>
      </c>
    </row>
    <row r="794">
      <c r="A794" s="11" t="n">
        <v>386</v>
      </c>
      <c r="B794" s="12" t="n">
        <v>46091</v>
      </c>
      <c r="C794" s="11" t="inlineStr">
        <is>
          <t>lizbeth piedraita</t>
        </is>
      </c>
      <c r="D794" s="13" t="n">
        <v>23400</v>
      </c>
      <c r="E794" s="11">
        <f>IF(G794="conciliado","conciliado",I794)</f>
        <v/>
      </c>
      <c r="F794" s="11" t="inlineStr">
        <is>
          <t>941 | 2026-03-10 | 23,400 | lagos lisbeth yurany</t>
        </is>
      </c>
      <c r="G794" s="11">
        <f>IF(I794="conciliado","conciliado","por revisar")</f>
        <v/>
      </c>
      <c r="H794" s="11" t="inlineStr"/>
      <c r="I794" s="11" t="inlineStr">
        <is>
          <t>conciliado</t>
        </is>
      </c>
    </row>
    <row r="795">
      <c r="A795" s="11" t="n">
        <v>371</v>
      </c>
      <c r="B795" s="12" t="n">
        <v>46091</v>
      </c>
      <c r="C795" s="11" t="inlineStr">
        <is>
          <t>chamorro garcia jeis</t>
        </is>
      </c>
      <c r="D795" s="13" t="n">
        <v>23700</v>
      </c>
      <c r="E795" s="11">
        <f>IF(G795="conciliado","conciliado",I795)</f>
        <v/>
      </c>
      <c r="F795" s="11" t="inlineStr">
        <is>
          <t>942 | 2026-03-10 | 23,700 | chamorro jeisson orlin</t>
        </is>
      </c>
      <c r="G795" s="11">
        <f>IF(I795="conciliado","conciliado","por revisar")</f>
        <v/>
      </c>
      <c r="H795" s="11" t="inlineStr"/>
      <c r="I795" s="11" t="inlineStr">
        <is>
          <t>conciliado</t>
        </is>
      </c>
    </row>
    <row r="796">
      <c r="A796" s="11" t="n">
        <v>354</v>
      </c>
      <c r="B796" s="12" t="n">
        <v>46091</v>
      </c>
      <c r="C796" s="11" t="inlineStr">
        <is>
          <t>sanchez sandoval yes</t>
        </is>
      </c>
      <c r="D796" s="13" t="n">
        <v>28700</v>
      </c>
      <c r="E796" s="11">
        <f>IF(G796="conciliado","conciliado",I796)</f>
        <v/>
      </c>
      <c r="F796" s="11" t="inlineStr">
        <is>
          <t>943 | 2026-03-10 | 28,700 | paola sandoval yesica</t>
        </is>
      </c>
      <c r="G796" s="11">
        <f>IF(I796="conciliado","conciliado","por revisar")</f>
        <v/>
      </c>
      <c r="H796" s="11" t="inlineStr"/>
      <c r="I796" s="11" t="inlineStr">
        <is>
          <t>conciliado</t>
        </is>
      </c>
    </row>
    <row r="797">
      <c r="A797" s="11" t="n">
        <v>368</v>
      </c>
      <c r="B797" s="12" t="n">
        <v>46091</v>
      </c>
      <c r="C797" s="11" t="inlineStr">
        <is>
          <t>silva willi zambrano</t>
        </is>
      </c>
      <c r="D797" s="13" t="n">
        <v>113700</v>
      </c>
      <c r="E797" s="11">
        <f>IF(G797="conciliado","conciliado",I797)</f>
        <v/>
      </c>
      <c r="F797" s="11" t="inlineStr">
        <is>
          <t>944 | 2026-03-10 | 113,700 | hernando silva william</t>
        </is>
      </c>
      <c r="G797" s="11">
        <f>IF(I797="conciliado","conciliado","por revisar")</f>
        <v/>
      </c>
      <c r="H797" s="11" t="inlineStr"/>
      <c r="I797" s="11" t="inlineStr">
        <is>
          <t>conciliado</t>
        </is>
      </c>
    </row>
    <row r="798">
      <c r="A798" s="11" t="n">
        <v>356</v>
      </c>
      <c r="B798" s="12" t="n">
        <v>46091</v>
      </c>
      <c r="C798" s="11" t="inlineStr">
        <is>
          <t>cruz enriquez yesica</t>
        </is>
      </c>
      <c r="D798" s="13" t="n">
        <v>90000</v>
      </c>
      <c r="E798" s="11">
        <f>IF(G798="conciliado","conciliado",I798)</f>
        <v/>
      </c>
      <c r="F798" s="11" t="inlineStr">
        <is>
          <t>945 | 2026-03-10 | 90,000 | helena ramos sandra</t>
        </is>
      </c>
      <c r="G798" s="11">
        <f>IF(I798="conciliado","conciliado","por revisar")</f>
        <v/>
      </c>
      <c r="H798" s="11" t="inlineStr"/>
      <c r="I798" s="11" t="inlineStr">
        <is>
          <t>conciliado</t>
        </is>
      </c>
    </row>
    <row r="799">
      <c r="A799" s="11" t="n">
        <v>372</v>
      </c>
      <c r="B799" s="12" t="n">
        <v>46091</v>
      </c>
      <c r="C799" s="11" t="inlineStr">
        <is>
          <t>benavides diego mora</t>
        </is>
      </c>
      <c r="D799" s="13" t="n">
        <v>9600</v>
      </c>
      <c r="E799" s="11">
        <f>IF(G799="conciliado","conciliado",I799)</f>
        <v/>
      </c>
      <c r="F799" s="11" t="inlineStr">
        <is>
          <t>947 | 2026-03-10 | 9,600 | diego felipe mora</t>
        </is>
      </c>
      <c r="G799" s="11">
        <f>IF(I799="conciliado","conciliado","por revisar")</f>
        <v/>
      </c>
      <c r="H799" s="11" t="inlineStr"/>
      <c r="I799" s="11" t="inlineStr">
        <is>
          <t>conciliado</t>
        </is>
      </c>
    </row>
    <row r="800">
      <c r="A800" s="11" t="n">
        <v>361</v>
      </c>
      <c r="B800" s="12" t="n">
        <v>46091</v>
      </c>
      <c r="C800" s="11" t="inlineStr">
        <is>
          <t>guanga kevin timaran</t>
        </is>
      </c>
      <c r="D800" s="13" t="n">
        <v>6500</v>
      </c>
      <c r="E800" s="11">
        <f>IF(G800="conciliado","conciliado",I800)</f>
        <v/>
      </c>
      <c r="F800" s="11" t="inlineStr">
        <is>
          <t>948 | 2026-03-10 | 6,500 | guanga kevin</t>
        </is>
      </c>
      <c r="G800" s="11">
        <f>IF(I800="conciliado","conciliado","por revisar")</f>
        <v/>
      </c>
      <c r="H800" s="11" t="inlineStr"/>
      <c r="I800" s="11" t="inlineStr">
        <is>
          <t>conciliado</t>
        </is>
      </c>
    </row>
    <row r="801">
      <c r="A801" s="11" t="n">
        <v>366</v>
      </c>
      <c r="B801" s="12" t="n">
        <v>46091</v>
      </c>
      <c r="C801" s="11" t="inlineStr">
        <is>
          <t>chana edisson potosi</t>
        </is>
      </c>
      <c r="D801" s="13" t="n">
        <v>41800</v>
      </c>
      <c r="E801" s="11">
        <f>IF(G801="conciliado","conciliado",I801)</f>
        <v/>
      </c>
      <c r="F801" s="11" t="inlineStr">
        <is>
          <t>949 | 2026-03-10 | 41,800 | b bre edisson</t>
        </is>
      </c>
      <c r="G801" s="11">
        <f>IF(I801="conciliado","conciliado","por revisar")</f>
        <v/>
      </c>
      <c r="H801" s="11" t="inlineStr"/>
      <c r="I801" s="11" t="inlineStr">
        <is>
          <t>conciliado</t>
        </is>
      </c>
    </row>
    <row r="802">
      <c r="A802" s="11" t="n">
        <v>359</v>
      </c>
      <c r="B802" s="12" t="n">
        <v>46091</v>
      </c>
      <c r="C802" s="11" t="inlineStr">
        <is>
          <t>millan nataly sousa</t>
        </is>
      </c>
      <c r="D802" s="13" t="n">
        <v>17100</v>
      </c>
      <c r="E802" s="11">
        <f>IF(G802="conciliado","conciliado",I802)</f>
        <v/>
      </c>
      <c r="F802" s="11" t="inlineStr">
        <is>
          <t>950 | 2026-03-10 | 17,100 | alexandra millan nataly</t>
        </is>
      </c>
      <c r="G802" s="11">
        <f>IF(I802="conciliado","conciliado","por revisar")</f>
        <v/>
      </c>
      <c r="H802" s="11" t="inlineStr"/>
      <c r="I802" s="11" t="inlineStr">
        <is>
          <t>conciliado</t>
        </is>
      </c>
    </row>
    <row r="803">
      <c r="A803" s="11" t="n">
        <v>360</v>
      </c>
      <c r="B803" s="12" t="n">
        <v>46091</v>
      </c>
      <c r="C803" s="11" t="inlineStr">
        <is>
          <t>luna munoz pa sandra</t>
        </is>
      </c>
      <c r="D803" s="13" t="n">
        <v>173600</v>
      </c>
      <c r="E803" s="11">
        <f>IF(G803="conciliado","conciliado",I803)</f>
        <v/>
      </c>
      <c r="F803" s="11" t="inlineStr">
        <is>
          <t>953 | 2026-03-10 | 173,600 | munoz patricia sandra</t>
        </is>
      </c>
      <c r="G803" s="11">
        <f>IF(I803="conciliado","conciliado","por revisar")</f>
        <v/>
      </c>
      <c r="H803" s="11" t="inlineStr"/>
      <c r="I803" s="11" t="inlineStr">
        <is>
          <t>conciliado</t>
        </is>
      </c>
    </row>
    <row r="804">
      <c r="A804" s="11" t="n">
        <v>377</v>
      </c>
      <c r="B804" s="12" t="n">
        <v>46091</v>
      </c>
      <c r="C804" s="11" t="inlineStr">
        <is>
          <t>beltran urrego yeni</t>
        </is>
      </c>
      <c r="D804" s="13" t="n">
        <v>14300</v>
      </c>
      <c r="E804" s="11">
        <f>IF(G804="conciliado","conciliado",I804)</f>
        <v/>
      </c>
      <c r="F804" s="11" t="inlineStr">
        <is>
          <t>954 | 2026-03-10 | 14,300 | beltran paola urrego</t>
        </is>
      </c>
      <c r="G804" s="11">
        <f>IF(I804="conciliado","conciliado","por revisar")</f>
        <v/>
      </c>
      <c r="H804" s="11" t="inlineStr"/>
      <c r="I804" s="11" t="inlineStr">
        <is>
          <t>conciliado</t>
        </is>
      </c>
    </row>
    <row r="805">
      <c r="A805" s="11" t="n">
        <v>353</v>
      </c>
      <c r="B805" s="12" t="n">
        <v>46091</v>
      </c>
      <c r="C805" s="11" t="inlineStr">
        <is>
          <t>betancurth ro zapata</t>
        </is>
      </c>
      <c r="D805" s="13" t="n">
        <v>33900</v>
      </c>
      <c r="E805" s="11">
        <f>IF(G805="conciliado","conciliado",I805)</f>
        <v/>
      </c>
      <c r="F805" s="11" t="inlineStr">
        <is>
          <t>955 | 2026-03-10 | 33,900 | rodrigo zapata</t>
        </is>
      </c>
      <c r="G805" s="11">
        <f>IF(I805="conciliado","conciliado","por revisar")</f>
        <v/>
      </c>
      <c r="H805" s="11" t="inlineStr"/>
      <c r="I805" s="11" t="inlineStr">
        <is>
          <t>conciliado</t>
        </is>
      </c>
    </row>
    <row r="806">
      <c r="A806" s="11" t="n">
        <v>363</v>
      </c>
      <c r="B806" s="12" t="n">
        <v>46091</v>
      </c>
      <c r="C806" s="11" t="inlineStr">
        <is>
          <t>gomez guerra maribel</t>
        </is>
      </c>
      <c r="D806" s="13" t="n">
        <v>20100</v>
      </c>
      <c r="E806" s="11">
        <f>IF(G806="conciliado","conciliado",I806)</f>
        <v/>
      </c>
      <c r="F806" s="11" t="inlineStr">
        <is>
          <t>956 | 2026-03-10 | 20,100 | gomez guerra maribel</t>
        </is>
      </c>
      <c r="G806" s="11">
        <f>IF(I806="conciliado","conciliado","por revisar")</f>
        <v/>
      </c>
      <c r="H806" s="11" t="inlineStr"/>
      <c r="I806" s="11" t="inlineStr">
        <is>
          <t>conciliado</t>
        </is>
      </c>
    </row>
    <row r="807">
      <c r="A807" s="11" t="n">
        <v>351</v>
      </c>
      <c r="B807" s="12" t="n">
        <v>46091</v>
      </c>
      <c r="C807" s="11" t="inlineStr">
        <is>
          <t>acosta jaiber rosero</t>
        </is>
      </c>
      <c r="D807" s="13" t="n">
        <v>15500</v>
      </c>
      <c r="E807" s="11">
        <f>IF(G807="conciliado","conciliado",I807)</f>
        <v/>
      </c>
      <c r="F807" s="11" t="inlineStr">
        <is>
          <t>957 | 2026-03-10 | 15,500 | bancolombia desde qr recarga</t>
        </is>
      </c>
      <c r="G807" s="11">
        <f>IF(I807="conciliado","conciliado","por revisar")</f>
        <v/>
      </c>
      <c r="H807" s="11" t="inlineStr"/>
      <c r="I807" s="11" t="inlineStr">
        <is>
          <t>conciliado</t>
        </is>
      </c>
    </row>
    <row r="808">
      <c r="A808" s="11" t="n">
        <v>365</v>
      </c>
      <c r="B808" s="12" t="n">
        <v>46091</v>
      </c>
      <c r="C808" s="11" t="inlineStr">
        <is>
          <t>ahu barreto martinez</t>
        </is>
      </c>
      <c r="D808" s="13" t="n">
        <v>74900</v>
      </c>
      <c r="E808" s="11">
        <f>IF(G808="conciliado","conciliado",I808)</f>
        <v/>
      </c>
      <c r="F808" s="11" t="inlineStr">
        <is>
          <t>958 | 2026-03-10 | 74,900 | augusto jose martinez</t>
        </is>
      </c>
      <c r="G808" s="11">
        <f>IF(I808="conciliado","conciliado","por revisar")</f>
        <v/>
      </c>
      <c r="H808" s="11" t="inlineStr"/>
      <c r="I808" s="11" t="inlineStr">
        <is>
          <t>conciliado</t>
        </is>
      </c>
    </row>
    <row r="809">
      <c r="A809" s="11" t="n">
        <v>362</v>
      </c>
      <c r="B809" s="12" t="n">
        <v>46091</v>
      </c>
      <c r="C809" s="11" t="inlineStr">
        <is>
          <t>cortes elsa pinto</t>
        </is>
      </c>
      <c r="D809" s="13" t="n">
        <v>10300</v>
      </c>
      <c r="E809" s="11">
        <f>IF(G809="conciliado","conciliado",I809)</f>
        <v/>
      </c>
      <c r="F809" s="11" t="inlineStr">
        <is>
          <t>959 | 2026-03-10 | 10,300 | cortes elsa pinto</t>
        </is>
      </c>
      <c r="G809" s="11">
        <f>IF(I809="conciliado","conciliado","por revisar")</f>
        <v/>
      </c>
      <c r="H809" s="11" t="inlineStr"/>
      <c r="I809" s="11" t="inlineStr">
        <is>
          <t>conciliado</t>
        </is>
      </c>
    </row>
    <row r="810">
      <c r="A810" s="11" t="n">
        <v>384</v>
      </c>
      <c r="B810" s="12" t="n">
        <v>46091</v>
      </c>
      <c r="C810" s="11" t="inlineStr">
        <is>
          <t>altamiranda arroyo k</t>
        </is>
      </c>
      <c r="D810" s="13" t="n">
        <v>10200</v>
      </c>
      <c r="E810" s="11">
        <f>IF(G810="conciliado","conciliado",I810)</f>
        <v/>
      </c>
      <c r="F810" s="11" t="inlineStr">
        <is>
          <t>961 | 2026-03-10 | 10,200 | altamiranda kevin yesid</t>
        </is>
      </c>
      <c r="G810" s="11">
        <f>IF(I810="conciliado","conciliado","por revisar")</f>
        <v/>
      </c>
      <c r="H810" s="11" t="inlineStr"/>
      <c r="I810" s="11" t="inlineStr">
        <is>
          <t>conciliado</t>
        </is>
      </c>
    </row>
    <row r="811">
      <c r="A811" s="11" t="n">
        <v>375</v>
      </c>
      <c r="B811" s="12" t="n">
        <v>46091</v>
      </c>
      <c r="C811" s="11" t="inlineStr">
        <is>
          <t>garcia loren narvaez</t>
        </is>
      </c>
      <c r="D811" s="13" t="n">
        <v>34400</v>
      </c>
      <c r="E811" s="11">
        <f>IF(G811="conciliado","conciliado",I811)</f>
        <v/>
      </c>
      <c r="F811" s="11" t="inlineStr">
        <is>
          <t>962 | 2026-03-10 | 34,400 | garcia lorena yeimy</t>
        </is>
      </c>
      <c r="G811" s="11">
        <f>IF(I811="conciliado","conciliado","por revisar")</f>
        <v/>
      </c>
      <c r="H811" s="11" t="inlineStr"/>
      <c r="I811" s="11" t="inlineStr">
        <is>
          <t>conciliado</t>
        </is>
      </c>
    </row>
    <row r="812">
      <c r="A812" s="11" t="n">
        <v>383</v>
      </c>
      <c r="B812" s="12" t="n">
        <v>46091</v>
      </c>
      <c r="C812" s="11" t="inlineStr">
        <is>
          <t>amalia e garcia ruiz</t>
        </is>
      </c>
      <c r="D812" s="13" t="n">
        <v>8000</v>
      </c>
      <c r="E812" s="11">
        <f>IF(G812="conciliado","conciliado",I812)</f>
        <v/>
      </c>
      <c r="F812" s="11" t="inlineStr">
        <is>
          <t>963 | 2026-03-10 | 8,000 | amalia edilma garcia ruiz</t>
        </is>
      </c>
      <c r="G812" s="11">
        <f>IF(I812="conciliado","conciliado","por revisar")</f>
        <v/>
      </c>
      <c r="H812" s="11" t="inlineStr"/>
      <c r="I812" s="11" t="inlineStr">
        <is>
          <t>conciliado</t>
        </is>
      </c>
    </row>
    <row r="813">
      <c r="A813" s="11" t="n">
        <v>382</v>
      </c>
      <c r="B813" s="12" t="n">
        <v>46091</v>
      </c>
      <c r="C813" s="11" t="inlineStr">
        <is>
          <t>alexi ortiz ruales y</t>
        </is>
      </c>
      <c r="D813" s="13" t="n">
        <v>22000</v>
      </c>
      <c r="E813" s="11">
        <f>IF(G813="conciliado","conciliado",I813)</f>
        <v/>
      </c>
      <c r="F813" s="11" t="inlineStr">
        <is>
          <t>964 | 2026-03-10 | 22,000 | alexi ortiz yurany</t>
        </is>
      </c>
      <c r="G813" s="11">
        <f>IF(I813="conciliado","conciliado","por revisar")</f>
        <v/>
      </c>
      <c r="H813" s="11" t="inlineStr"/>
      <c r="I813" s="11" t="inlineStr">
        <is>
          <t>conciliado</t>
        </is>
      </c>
    </row>
    <row r="814">
      <c r="A814" s="11" t="n">
        <v>370</v>
      </c>
      <c r="B814" s="12" t="n">
        <v>46091</v>
      </c>
      <c r="C814" s="11" t="inlineStr">
        <is>
          <t>castillo corrales si</t>
        </is>
      </c>
      <c r="D814" s="13" t="n">
        <v>15700</v>
      </c>
      <c r="E814" s="11">
        <f>IF(G814="conciliado","conciliado",I814)</f>
        <v/>
      </c>
      <c r="F814" s="11" t="inlineStr">
        <is>
          <t>966 | 2026-03-10 | 15,700 | jaiver jose portilla</t>
        </is>
      </c>
      <c r="G814" s="11">
        <f>IF(I814="conciliado","conciliado","por revisar")</f>
        <v/>
      </c>
      <c r="H814" s="11" t="inlineStr"/>
      <c r="I814" s="11" t="inlineStr">
        <is>
          <t>conciliado</t>
        </is>
      </c>
    </row>
    <row r="815">
      <c r="A815" s="11" t="n">
        <v>364</v>
      </c>
      <c r="B815" s="12" t="n">
        <v>46091</v>
      </c>
      <c r="C815" s="11" t="inlineStr">
        <is>
          <t>cuaran deisy murillo</t>
        </is>
      </c>
      <c r="D815" s="13" t="n">
        <v>23000</v>
      </c>
      <c r="E815" s="11">
        <f>IF(G815="conciliado","conciliado",I815)</f>
        <v/>
      </c>
      <c r="F815" s="11" t="inlineStr">
        <is>
          <t>968 | 2026-03-10 | 23,000 | cuaran deisy murillo</t>
        </is>
      </c>
      <c r="G815" s="11">
        <f>IF(I815="conciliado","conciliado","por revisar")</f>
        <v/>
      </c>
      <c r="H815" s="11" t="inlineStr"/>
      <c r="I815" s="11" t="inlineStr">
        <is>
          <t>conciliado</t>
        </is>
      </c>
    </row>
    <row r="816">
      <c r="A816" s="11" t="n">
        <v>350</v>
      </c>
      <c r="B816" s="12" t="n">
        <v>46091</v>
      </c>
      <c r="C816" s="11" t="inlineStr">
        <is>
          <t>cordoba orl portilla</t>
        </is>
      </c>
      <c r="D816" s="13" t="n">
        <v>23500</v>
      </c>
      <c r="E816" s="11">
        <f>IF(G816="conciliado","conciliado",I816)</f>
        <v/>
      </c>
      <c r="F816" s="11" t="inlineStr">
        <is>
          <t>969 | 2026-03-10 | 23,500 | cordoba elias orlando</t>
        </is>
      </c>
      <c r="G816" s="11">
        <f>IF(I816="conciliado","conciliado","por revisar")</f>
        <v/>
      </c>
      <c r="H816" s="11" t="inlineStr"/>
      <c r="I816" s="11" t="inlineStr">
        <is>
          <t>conciliado</t>
        </is>
      </c>
    </row>
    <row r="817">
      <c r="A817" s="11" t="n">
        <v>378</v>
      </c>
      <c r="B817" s="12" t="n">
        <v>46091</v>
      </c>
      <c r="C817" s="11" t="inlineStr">
        <is>
          <t>muriel nicola pulido</t>
        </is>
      </c>
      <c r="D817" s="13" t="n">
        <v>3900</v>
      </c>
      <c r="E817" s="11">
        <f>IF(G817="conciliado","conciliado",I817)</f>
        <v/>
      </c>
      <c r="F817" s="11" t="inlineStr">
        <is>
          <t>970 | 2026-03-10 | 3,900 | daniel muriel nicolas</t>
        </is>
      </c>
      <c r="G817" s="11">
        <f>IF(I817="conciliado","conciliado","por revisar")</f>
        <v/>
      </c>
      <c r="H817" s="11" t="inlineStr"/>
      <c r="I817" s="11" t="inlineStr">
        <is>
          <t>conciliado</t>
        </is>
      </c>
    </row>
    <row r="818">
      <c r="A818" s="11" t="n">
        <v>355</v>
      </c>
      <c r="B818" s="12" t="n">
        <v>46091</v>
      </c>
      <c r="C818" s="11" t="inlineStr">
        <is>
          <t>angulo cahuasa ismen</t>
        </is>
      </c>
      <c r="D818" s="13" t="n">
        <v>3300</v>
      </c>
      <c r="E818" s="11">
        <f>IF(G818="conciliado","conciliado",I818)</f>
        <v/>
      </c>
      <c r="F818" s="11" t="inlineStr">
        <is>
          <t>971 | 2026-03-10 | 3,300 | angulo cahuasa ismenia</t>
        </is>
      </c>
      <c r="G818" s="11">
        <f>IF(I818="conciliado","conciliado","por revisar")</f>
        <v/>
      </c>
      <c r="H818" s="11" t="inlineStr"/>
      <c r="I818" s="11" t="inlineStr">
        <is>
          <t>conciliado</t>
        </is>
      </c>
    </row>
    <row r="819">
      <c r="A819" s="11" t="n">
        <v>385</v>
      </c>
      <c r="B819" s="12" t="n">
        <v>46091</v>
      </c>
      <c r="C819" s="11" t="inlineStr">
        <is>
          <t>catalina vallejo</t>
        </is>
      </c>
      <c r="D819" s="13" t="n">
        <v>37500</v>
      </c>
      <c r="E819" s="11">
        <f>IF(G819="conciliado","conciliado",I819)</f>
        <v/>
      </c>
      <c r="F819" s="11" t="inlineStr">
        <is>
          <t>972 | 2026-03-10 | 37,500 | andres carlos trujillo</t>
        </is>
      </c>
      <c r="G819" s="11">
        <f>IF(I819="conciliado","conciliado","por revisar")</f>
        <v/>
      </c>
      <c r="H819" s="11" t="inlineStr"/>
      <c r="I819" s="11" t="inlineStr">
        <is>
          <t>conciliado</t>
        </is>
      </c>
    </row>
    <row r="820">
      <c r="A820" s="11" t="n">
        <v>367</v>
      </c>
      <c r="B820" s="12" t="n">
        <v>46091</v>
      </c>
      <c r="C820" s="11" t="inlineStr">
        <is>
          <t>correa narvaes nata</t>
        </is>
      </c>
      <c r="D820" s="13" t="n">
        <v>10800</v>
      </c>
      <c r="E820" s="11">
        <f>IF(G820="conciliado","conciliado",I820)</f>
        <v/>
      </c>
      <c r="F820" s="11" t="inlineStr">
        <is>
          <t>973 | 2026-03-10 | 10,800 | narvaez nataly yoleyda</t>
        </is>
      </c>
      <c r="G820" s="11">
        <f>IF(I820="conciliado","conciliado","por revisar")</f>
        <v/>
      </c>
      <c r="H820" s="11" t="inlineStr"/>
      <c r="I820" s="11" t="inlineStr">
        <is>
          <t>conciliado</t>
        </is>
      </c>
    </row>
    <row r="821">
      <c r="A821" s="11" t="n">
        <v>373</v>
      </c>
      <c r="B821" s="12" t="n">
        <v>46091</v>
      </c>
      <c r="C821" s="11" t="inlineStr">
        <is>
          <t>adriana josa l ortiz</t>
        </is>
      </c>
      <c r="D821" s="13" t="n">
        <v>9400</v>
      </c>
      <c r="E821" s="11">
        <f>IF(G821="conciliado","conciliado",I821)</f>
        <v/>
      </c>
      <c r="F821" s="11" t="inlineStr">
        <is>
          <t>974 | 2026-03-10 | 9,400 | adriana josa liceth</t>
        </is>
      </c>
      <c r="G821" s="11">
        <f>IF(I821="conciliado","conciliado","por revisar")</f>
        <v/>
      </c>
      <c r="H821" s="11" t="inlineStr"/>
      <c r="I821" s="11" t="inlineStr">
        <is>
          <t>conciliado</t>
        </is>
      </c>
    </row>
    <row r="822">
      <c r="A822" s="11" t="n">
        <v>352</v>
      </c>
      <c r="B822" s="12" t="n">
        <v>46091</v>
      </c>
      <c r="C822" s="11" t="inlineStr">
        <is>
          <t>jeffer nupan pesillo</t>
        </is>
      </c>
      <c r="D822" s="13" t="n">
        <v>30000</v>
      </c>
      <c r="E822" s="11">
        <f>IF(G822="conciliado","conciliado",I822)</f>
        <v/>
      </c>
      <c r="F822" s="11" t="inlineStr">
        <is>
          <t>975 | 2026-03-10 | 30,000 | jefferson nupan</t>
        </is>
      </c>
      <c r="G822" s="11">
        <f>IF(I822="conciliado","conciliado","por revisar")</f>
        <v/>
      </c>
      <c r="H822" s="11" t="inlineStr"/>
      <c r="I822" s="11" t="inlineStr">
        <is>
          <t>conciliado</t>
        </is>
      </c>
    </row>
    <row r="823">
      <c r="A823" s="11" t="n">
        <v>379</v>
      </c>
      <c r="B823" s="12" t="n">
        <v>46091</v>
      </c>
      <c r="C823" s="11" t="inlineStr">
        <is>
          <t>caicedo cardoso marc</t>
        </is>
      </c>
      <c r="D823" s="13" t="n">
        <v>9800</v>
      </c>
      <c r="E823" s="11">
        <f>IF(G823="conciliado","conciliado",I823)</f>
        <v/>
      </c>
      <c r="F823" s="11" t="inlineStr">
        <is>
          <t>976 | 2026-03-10 | 9,800 | cardoso marcela yudi</t>
        </is>
      </c>
      <c r="G823" s="11">
        <f>IF(I823="conciliado","conciliado","por revisar")</f>
        <v/>
      </c>
      <c r="H823" s="11" t="inlineStr"/>
      <c r="I823" s="11" t="inlineStr">
        <is>
          <t>conciliado</t>
        </is>
      </c>
    </row>
    <row r="824">
      <c r="A824" s="11" t="n">
        <v>358</v>
      </c>
      <c r="B824" s="12" t="n">
        <v>46091</v>
      </c>
      <c r="C824" s="11" t="inlineStr">
        <is>
          <t>consumidor final</t>
        </is>
      </c>
      <c r="D824" s="13" t="n">
        <v>15000</v>
      </c>
      <c r="E824" s="11">
        <f>IF(G824="conciliado","conciliado",I824)</f>
        <v/>
      </c>
      <c r="F824" s="11" t="inlineStr">
        <is>
          <t>977 | 2026-03-10 | 15,000 | jefferson nupan</t>
        </is>
      </c>
      <c r="G824" s="11">
        <f>IF(I824="conciliado","conciliado","por revisar")</f>
        <v/>
      </c>
      <c r="H824" s="11" t="inlineStr"/>
      <c r="I824" s="11" t="inlineStr">
        <is>
          <t>conciliado</t>
        </is>
      </c>
    </row>
    <row r="825">
      <c r="A825" s="11" t="n">
        <v>380</v>
      </c>
      <c r="B825" s="12" t="n">
        <v>46091</v>
      </c>
      <c r="C825" s="11" t="inlineStr">
        <is>
          <t>a hernandez portilla</t>
        </is>
      </c>
      <c r="D825" s="13" t="n">
        <v>31100</v>
      </c>
      <c r="E825" s="11">
        <f>IF(G825="conciliado","conciliado",I825)</f>
        <v/>
      </c>
      <c r="F825" s="11" t="inlineStr">
        <is>
          <t>978 | 2026-03-10 | 31,100 | alexander portilla</t>
        </is>
      </c>
      <c r="G825" s="11">
        <f>IF(I825="conciliado","conciliado","por revisar")</f>
        <v/>
      </c>
      <c r="H825" s="11" t="inlineStr"/>
      <c r="I825" s="11" t="inlineStr">
        <is>
          <t>conciliado</t>
        </is>
      </c>
    </row>
    <row r="826">
      <c r="A826" s="11" t="n">
        <v>319</v>
      </c>
      <c r="B826" s="12" t="n">
        <v>46090</v>
      </c>
      <c r="C826" s="11" t="inlineStr">
        <is>
          <t>calles martinez yuli</t>
        </is>
      </c>
      <c r="D826" s="13" t="n">
        <v>22600</v>
      </c>
      <c r="E826" s="11">
        <f>IF(G826="conciliado","conciliado",I826)</f>
        <v/>
      </c>
      <c r="F826" s="11" t="inlineStr">
        <is>
          <t>979 | 2026-03-09 | 22,600 | calles martinez yuli</t>
        </is>
      </c>
      <c r="G826" s="11">
        <f>IF(I826="conciliado","conciliado","por revisar")</f>
        <v/>
      </c>
      <c r="H826" s="11" t="inlineStr"/>
      <c r="I826" s="11" t="inlineStr">
        <is>
          <t>conciliado</t>
        </is>
      </c>
    </row>
    <row r="827">
      <c r="A827" s="11" t="n">
        <v>342</v>
      </c>
      <c r="B827" s="12" t="n">
        <v>46090</v>
      </c>
      <c r="C827" s="11" t="inlineStr">
        <is>
          <t>agaton cifuentes ing</t>
        </is>
      </c>
      <c r="D827" s="13" t="n">
        <v>19900</v>
      </c>
      <c r="E827" s="11">
        <f>IF(G827="conciliado","conciliado",I827)</f>
        <v/>
      </c>
      <c r="F827" s="11" t="inlineStr">
        <is>
          <t>980 | 2026-03-09 | 19,900 | bancolombia desde recarga</t>
        </is>
      </c>
      <c r="G827" s="11">
        <f>IF(I827="conciliado","conciliado","por revisar")</f>
        <v/>
      </c>
      <c r="H827" s="11" t="inlineStr"/>
      <c r="I827" s="11" t="inlineStr">
        <is>
          <t>conciliado</t>
        </is>
      </c>
    </row>
    <row r="828">
      <c r="A828" s="11" t="n">
        <v>344</v>
      </c>
      <c r="B828" s="12" t="n">
        <v>46090</v>
      </c>
      <c r="C828" s="11" t="inlineStr">
        <is>
          <t>omar y zambrano zuin</t>
        </is>
      </c>
      <c r="D828" s="13" t="n">
        <v>12300</v>
      </c>
      <c r="E828" s="11">
        <f>IF(G828="conciliado","conciliado",I828)</f>
        <v/>
      </c>
      <c r="F828" s="11" t="inlineStr">
        <is>
          <t>981 | 2026-03-09 | 12,300 | bancolombia desde qr recarga</t>
        </is>
      </c>
      <c r="G828" s="11">
        <f>IF(I828="conciliado","conciliado","por revisar")</f>
        <v/>
      </c>
      <c r="H828" s="11" t="inlineStr"/>
      <c r="I828" s="11" t="inlineStr">
        <is>
          <t>conciliado</t>
        </is>
      </c>
    </row>
    <row r="829">
      <c r="A829" s="11" t="n">
        <v>335</v>
      </c>
      <c r="B829" s="12" t="n">
        <v>46090</v>
      </c>
      <c r="C829" s="11" t="inlineStr">
        <is>
          <t>cuchala evi marcillo</t>
        </is>
      </c>
      <c r="D829" s="13" t="n">
        <v>16200</v>
      </c>
      <c r="E829" s="11">
        <f>IF(G829="conciliado","conciliado",I829)</f>
        <v/>
      </c>
      <c r="F829" s="11" t="inlineStr">
        <is>
          <t>982 | 2026-03-09 | 16,200 | daniel evin marcillo</t>
        </is>
      </c>
      <c r="G829" s="11">
        <f>IF(I829="conciliado","conciliado","por revisar")</f>
        <v/>
      </c>
      <c r="H829" s="11" t="inlineStr"/>
      <c r="I829" s="11" t="inlineStr">
        <is>
          <t>conciliado</t>
        </is>
      </c>
    </row>
    <row r="830">
      <c r="A830" s="11" t="n">
        <v>348</v>
      </c>
      <c r="B830" s="12" t="n">
        <v>46090</v>
      </c>
      <c r="C830" s="11" t="inlineStr">
        <is>
          <t>altamiranda arroyo k</t>
        </is>
      </c>
      <c r="D830" s="13" t="n">
        <v>43300</v>
      </c>
      <c r="E830" s="11">
        <f>IF(G830="conciliado","conciliado",I830)</f>
        <v/>
      </c>
      <c r="F830" s="11" t="inlineStr">
        <is>
          <t>983 | 2026-03-09 | 43,300 | altamiranda kevin yesid</t>
        </is>
      </c>
      <c r="G830" s="11">
        <f>IF(I830="conciliado","conciliado","por revisar")</f>
        <v/>
      </c>
      <c r="H830" s="11" t="inlineStr"/>
      <c r="I830" s="11" t="inlineStr">
        <is>
          <t>conciliado</t>
        </is>
      </c>
    </row>
    <row r="831">
      <c r="A831" s="11" t="n">
        <v>327</v>
      </c>
      <c r="B831" s="12" t="n">
        <v>46090</v>
      </c>
      <c r="C831" s="11" t="inlineStr">
        <is>
          <t>dayerly ingrid quint</t>
        </is>
      </c>
      <c r="D831" s="13" t="n">
        <v>1000</v>
      </c>
      <c r="E831" s="11">
        <f>IF(G831="conciliado","conciliado",I831)</f>
        <v/>
      </c>
      <c r="F831" s="11" t="inlineStr">
        <is>
          <t>984 | 2026-03-09 | 1,000 | dayerli ingrid quintero</t>
        </is>
      </c>
      <c r="G831" s="11">
        <f>IF(I831="conciliado","conciliado","por revisar")</f>
        <v/>
      </c>
      <c r="H831" s="11" t="inlineStr"/>
      <c r="I831" s="11" t="inlineStr">
        <is>
          <t>conciliado</t>
        </is>
      </c>
    </row>
    <row r="832">
      <c r="A832" s="11" t="n">
        <v>330</v>
      </c>
      <c r="B832" s="12" t="n">
        <v>46090</v>
      </c>
      <c r="C832" s="11" t="inlineStr">
        <is>
          <t>gomez gomez jimena</t>
        </is>
      </c>
      <c r="D832" s="13" t="n">
        <v>8000</v>
      </c>
      <c r="E832" s="11">
        <f>IF(G832="conciliado","conciliado",I832)</f>
        <v/>
      </c>
      <c r="F832" s="11" t="inlineStr">
        <is>
          <t>985 | 2026-03-09 | 8,000 | gomez gomez ximena</t>
        </is>
      </c>
      <c r="G832" s="11">
        <f>IF(I832="conciliado","conciliado","por revisar")</f>
        <v/>
      </c>
      <c r="H832" s="11" t="inlineStr"/>
      <c r="I832" s="11" t="inlineStr">
        <is>
          <t>conciliado</t>
        </is>
      </c>
    </row>
    <row r="833">
      <c r="A833" s="11" t="n">
        <v>456</v>
      </c>
      <c r="B833" s="12" t="n">
        <v>46093</v>
      </c>
      <c r="C833" s="11" t="inlineStr">
        <is>
          <t>omar y zambrano zuin</t>
        </is>
      </c>
      <c r="D833" s="13" t="n">
        <v>46000</v>
      </c>
      <c r="E833" s="11">
        <f>IF(G833="conciliado","conciliado",I833)</f>
        <v/>
      </c>
      <c r="F833" s="11">
        <f>IF(SUM(COUNTIFS('Conciliacion de compuestos'!$D$2:$D$71,"conciliado",'Conciliacion de compuestos'!$E$2:$E$71,"OK",'Conciliacion de compuestos'!$M$2:$M$71,A833),COUNTIFS('Conciliacion de compuestos'!$D$2:$D$71,"conciliado",'Conciliacion de compuestos'!$E$2:$E$71,"OK",'Conciliacion de compuestos'!$N$2:$N$71,A833),COUNTIFS('Conciliacion de compuestos'!$D$2:$D$71,"conciliado",'Conciliacion de compuestos'!$E$2:$E$71,"OK",'Conciliacion de compuestos'!$O$2:$O$71,A833))&gt;0,IFERROR(TEXTJOIN(CHAR(10),TRUE,FILTER('Conciliacion de compuestos'!$A$2:$A$71,('Conciliacion de compuestos'!$D$2:$D$71="conciliado")*('Conciliacion de compuestos'!$E$2:$E$71="OK")*((('Conciliacion de compuestos'!$M$2:$M$71=A833)+('Conciliacion de compuestos'!$N$2:$N$71=A833)+('Conciliacion de compuestos'!$O$2:$O$71=A833))&gt;0))),""),"")</f>
        <v/>
      </c>
      <c r="G833" s="11">
        <f>IF(I833="conciliado","conciliado","por revisar")</f>
        <v/>
      </c>
      <c r="H833" s="11" t="inlineStr"/>
      <c r="I833" s="11">
        <f>IF(SUM(COUNTIFS('Conciliacion de compuestos'!$D$2:$D$71,"conciliado",'Conciliacion de compuestos'!$E$2:$E$71,"OK",'Conciliacion de compuestos'!$M$2:$M$71,A833),COUNTIFS('Conciliacion de compuestos'!$D$2:$D$71,"conciliado",'Conciliacion de compuestos'!$E$2:$E$71,"OK",'Conciliacion de compuestos'!$N$2:$N$71,A833),COUNTIFS('Conciliacion de compuestos'!$D$2:$D$71,"conciliado",'Conciliacion de compuestos'!$E$2:$E$71,"OK",'Conciliacion de compuestos'!$O$2:$O$71,A833))&gt;0,"conciliado","por revisar")</f>
        <v/>
      </c>
    </row>
    <row r="834">
      <c r="A834" s="11" t="n">
        <v>333</v>
      </c>
      <c r="B834" s="12" t="n">
        <v>46090</v>
      </c>
      <c r="C834" s="11" t="inlineStr">
        <is>
          <t>juaqui rodriguez yes</t>
        </is>
      </c>
      <c r="D834" s="13" t="n">
        <v>25300</v>
      </c>
      <c r="E834" s="11">
        <f>IF(G834="conciliado","conciliado",I834)</f>
        <v/>
      </c>
      <c r="F834" s="11" t="inlineStr">
        <is>
          <t>988 | 2026-03-09 | 25,300 | fernanda jessica joaqui</t>
        </is>
      </c>
      <c r="G834" s="11">
        <f>IF(I834="conciliado","conciliado","por revisar")</f>
        <v/>
      </c>
      <c r="H834" s="11" t="inlineStr"/>
      <c r="I834" s="11" t="inlineStr">
        <is>
          <t>conciliado</t>
        </is>
      </c>
    </row>
    <row r="835">
      <c r="A835" s="11" t="n">
        <v>322</v>
      </c>
      <c r="B835" s="12" t="n">
        <v>46090</v>
      </c>
      <c r="C835" s="11" t="inlineStr">
        <is>
          <t>millan nataly sousa</t>
        </is>
      </c>
      <c r="D835" s="13" t="n">
        <v>19600</v>
      </c>
      <c r="E835" s="11">
        <f>IF(G835="conciliado","conciliado",I835)</f>
        <v/>
      </c>
      <c r="F835" s="11" t="inlineStr">
        <is>
          <t>989 | 2026-03-09 | 19,600 | alexandra millan nataly</t>
        </is>
      </c>
      <c r="G835" s="11">
        <f>IF(I835="conciliado","conciliado","por revisar")</f>
        <v/>
      </c>
      <c r="H835" s="11" t="inlineStr"/>
      <c r="I835" s="11" t="inlineStr">
        <is>
          <t>conciliado</t>
        </is>
      </c>
    </row>
    <row r="836">
      <c r="A836" s="11" t="n">
        <v>320</v>
      </c>
      <c r="B836" s="12" t="n">
        <v>46090</v>
      </c>
      <c r="C836" s="11" t="inlineStr">
        <is>
          <t>dian grajales osorio</t>
        </is>
      </c>
      <c r="D836" s="13" t="n">
        <v>124800</v>
      </c>
      <c r="E836" s="11">
        <f>IF(G836="conciliado","conciliado",I836)</f>
        <v/>
      </c>
      <c r="F836" s="11" t="inlineStr">
        <is>
          <t>990 | 2026-03-09 | 124,800 | bancolombia desde qr recarga</t>
        </is>
      </c>
      <c r="G836" s="11">
        <f>IF(I836="conciliado","conciliado","por revisar")</f>
        <v/>
      </c>
      <c r="H836" s="11" t="inlineStr"/>
      <c r="I836" s="11" t="inlineStr">
        <is>
          <t>conciliado</t>
        </is>
      </c>
    </row>
    <row r="837">
      <c r="A837" s="11" t="n">
        <v>315</v>
      </c>
      <c r="B837" s="12" t="n">
        <v>46090</v>
      </c>
      <c r="C837" s="11" t="inlineStr">
        <is>
          <t>narky ricalde rosero</t>
        </is>
      </c>
      <c r="D837" s="13" t="n">
        <v>18500</v>
      </c>
      <c r="E837" s="11">
        <f>IF(G837="conciliado","conciliado",I837)</f>
        <v/>
      </c>
      <c r="F837" s="11" t="inlineStr">
        <is>
          <t>991 | 2026-03-09 | 18,500 | alexandra narky</t>
        </is>
      </c>
      <c r="G837" s="11">
        <f>IF(I837="conciliado","conciliado","por revisar")</f>
        <v/>
      </c>
      <c r="H837" s="11" t="inlineStr"/>
      <c r="I837" s="11" t="inlineStr">
        <is>
          <t>conciliado</t>
        </is>
      </c>
    </row>
    <row r="838">
      <c r="A838" s="11" t="n">
        <v>324</v>
      </c>
      <c r="B838" s="12" t="n">
        <v>46090</v>
      </c>
      <c r="C838" s="11" t="inlineStr">
        <is>
          <t>mari mayorga sabogal</t>
        </is>
      </c>
      <c r="D838" s="13" t="n">
        <v>15600</v>
      </c>
      <c r="E838" s="11">
        <f>IF(G838="conciliado","conciliado",I838)</f>
        <v/>
      </c>
      <c r="F838" s="11" t="inlineStr">
        <is>
          <t>992 | 2026-03-09 | 15,600 | fernanda maria mayorga</t>
        </is>
      </c>
      <c r="G838" s="11">
        <f>IF(I838="conciliado","conciliado","por revisar")</f>
        <v/>
      </c>
      <c r="H838" s="11" t="inlineStr"/>
      <c r="I838" s="11" t="inlineStr">
        <is>
          <t>conciliado</t>
        </is>
      </c>
    </row>
    <row r="839">
      <c r="A839" s="11" t="n">
        <v>317</v>
      </c>
      <c r="B839" s="12" t="n">
        <v>46090</v>
      </c>
      <c r="C839" s="11" t="inlineStr">
        <is>
          <t>burbano dora garcia</t>
        </is>
      </c>
      <c r="D839" s="13" t="n">
        <v>6000</v>
      </c>
      <c r="E839" s="11">
        <f>IF(G839="conciliado","conciliado",I839)</f>
        <v/>
      </c>
      <c r="F839" s="11" t="inlineStr">
        <is>
          <t>993 | 2026-03-09 | 6,000 | angela burbano dora</t>
        </is>
      </c>
      <c r="G839" s="11">
        <f>IF(I839="conciliado","conciliado","por revisar")</f>
        <v/>
      </c>
      <c r="H839" s="11" t="inlineStr"/>
      <c r="I839" s="11" t="inlineStr">
        <is>
          <t>conciliado</t>
        </is>
      </c>
    </row>
    <row r="840">
      <c r="A840" s="11" t="n">
        <v>313</v>
      </c>
      <c r="B840" s="12" t="n">
        <v>46090</v>
      </c>
      <c r="C840" s="11" t="inlineStr">
        <is>
          <t>antoni hermes patino</t>
        </is>
      </c>
      <c r="D840" s="13" t="n">
        <v>-2168575</v>
      </c>
      <c r="E840" s="11">
        <f>IF(G840="conciliado","conciliado",I840)</f>
        <v/>
      </c>
      <c r="F840" s="11" t="inlineStr">
        <is>
          <t>994 | 2026-03-09 | -2,168,575 | ant her pat</t>
        </is>
      </c>
      <c r="G840" s="11">
        <f>IF(I840="conciliado","conciliado","por revisar")</f>
        <v/>
      </c>
      <c r="H840" s="11" t="inlineStr"/>
      <c r="I840" s="11" t="inlineStr">
        <is>
          <t>conciliado</t>
        </is>
      </c>
    </row>
    <row r="841">
      <c r="A841" s="11" t="n">
        <v>341</v>
      </c>
      <c r="B841" s="12" t="n">
        <v>46090</v>
      </c>
      <c r="C841" s="11" t="inlineStr">
        <is>
          <t>luz medina mosquera</t>
        </is>
      </c>
      <c r="D841" s="13" t="n">
        <v>7700</v>
      </c>
      <c r="E841" s="11">
        <f>IF(G841="conciliado","conciliado",I841)</f>
        <v/>
      </c>
      <c r="F841" s="11" t="inlineStr">
        <is>
          <t>997 | 2026-03-09 | 7,700 | amparo luz medina pino</t>
        </is>
      </c>
      <c r="G841" s="11">
        <f>IF(I841="conciliado","conciliado","por revisar")</f>
        <v/>
      </c>
      <c r="H841" s="11" t="inlineStr"/>
      <c r="I841" s="11" t="inlineStr">
        <is>
          <t>conciliado</t>
        </is>
      </c>
    </row>
    <row r="842">
      <c r="A842" s="11" t="n">
        <v>332</v>
      </c>
      <c r="B842" s="12" t="n">
        <v>46090</v>
      </c>
      <c r="C842" s="11" t="inlineStr">
        <is>
          <t>anacona melva ortiz</t>
        </is>
      </c>
      <c r="D842" s="13" t="n">
        <v>5200</v>
      </c>
      <c r="E842" s="11">
        <f>IF(G842="conciliado","conciliado",I842)</f>
        <v/>
      </c>
      <c r="F842" s="11" t="inlineStr">
        <is>
          <t>998 | 2026-03-09 | 5,200 | elisa melba ortiz</t>
        </is>
      </c>
      <c r="G842" s="11">
        <f>IF(I842="conciliado","conciliado","por revisar")</f>
        <v/>
      </c>
      <c r="H842" s="11" t="inlineStr"/>
      <c r="I842" s="11" t="inlineStr">
        <is>
          <t>conciliado</t>
        </is>
      </c>
    </row>
    <row r="843">
      <c r="A843" s="11" t="n">
        <v>318</v>
      </c>
      <c r="B843" s="12" t="n">
        <v>46090</v>
      </c>
      <c r="C843" s="11" t="inlineStr">
        <is>
          <t>heidy restrepo rojas</t>
        </is>
      </c>
      <c r="D843" s="13" t="n">
        <v>48300</v>
      </c>
      <c r="E843" s="11">
        <f>IF(G843="conciliado","conciliado",I843)</f>
        <v/>
      </c>
      <c r="F843" s="11" t="inlineStr">
        <is>
          <t>1000 | 2026-03-09 | 48,300 | heidy rojas tatiana</t>
        </is>
      </c>
      <c r="G843" s="11">
        <f>IF(I843="conciliado","conciliado","por revisar")</f>
        <v/>
      </c>
      <c r="H843" s="11" t="inlineStr"/>
      <c r="I843" s="11" t="inlineStr">
        <is>
          <t>conciliado</t>
        </is>
      </c>
    </row>
    <row r="844">
      <c r="A844" s="11" t="n">
        <v>340</v>
      </c>
      <c r="B844" s="12" t="n">
        <v>46090</v>
      </c>
      <c r="C844" s="11" t="inlineStr">
        <is>
          <t>beltran urrego yeni</t>
        </is>
      </c>
      <c r="D844" s="13" t="n">
        <v>17600</v>
      </c>
      <c r="E844" s="11">
        <f>IF(G844="conciliado","conciliado",I844)</f>
        <v/>
      </c>
      <c r="F844" s="11" t="inlineStr">
        <is>
          <t>1001 | 2026-03-09 | 17,600 | beltran paola urrego</t>
        </is>
      </c>
      <c r="G844" s="11">
        <f>IF(I844="conciliado","conciliado","por revisar")</f>
        <v/>
      </c>
      <c r="H844" s="11" t="inlineStr"/>
      <c r="I844" s="11" t="inlineStr">
        <is>
          <t>conciliado</t>
        </is>
      </c>
    </row>
    <row r="845">
      <c r="A845" s="11" t="n">
        <v>325</v>
      </c>
      <c r="B845" s="12" t="n">
        <v>46090</v>
      </c>
      <c r="C845" s="11" t="inlineStr">
        <is>
          <t>cortez jaramillo oma</t>
        </is>
      </c>
      <c r="D845" s="13" t="n">
        <v>6500</v>
      </c>
      <c r="E845" s="11">
        <f>IF(G845="conciliado","conciliado",I845)</f>
        <v/>
      </c>
      <c r="F845" s="11" t="inlineStr">
        <is>
          <t>1002 | 2026-03-09 | 6,500 | alejandro omar</t>
        </is>
      </c>
      <c r="G845" s="11">
        <f>IF(I845="conciliado","conciliado","por revisar")</f>
        <v/>
      </c>
      <c r="H845" s="11" t="inlineStr"/>
      <c r="I845" s="11" t="inlineStr">
        <is>
          <t>conciliado</t>
        </is>
      </c>
    </row>
    <row r="846">
      <c r="A846" s="11" t="n">
        <v>326</v>
      </c>
      <c r="B846" s="12" t="n">
        <v>46090</v>
      </c>
      <c r="C846" s="11" t="inlineStr">
        <is>
          <t>aldana joha renteria</t>
        </is>
      </c>
      <c r="D846" s="13" t="n">
        <v>5600</v>
      </c>
      <c r="E846" s="11">
        <f>IF(G846="conciliado","conciliado",I846)</f>
        <v/>
      </c>
      <c r="F846" s="11" t="inlineStr">
        <is>
          <t>1003 | 2026-03-09 | 5,600 | aldana johan renteria</t>
        </is>
      </c>
      <c r="G846" s="11">
        <f>IF(I846="conciliado","conciliado","por revisar")</f>
        <v/>
      </c>
      <c r="H846" s="11" t="inlineStr"/>
      <c r="I846" s="11" t="inlineStr">
        <is>
          <t>conciliado</t>
        </is>
      </c>
    </row>
    <row r="847">
      <c r="A847" s="11" t="n">
        <v>339</v>
      </c>
      <c r="B847" s="12" t="n">
        <v>46090</v>
      </c>
      <c r="C847" s="11" t="inlineStr">
        <is>
          <t>buitron ka rodriguez</t>
        </is>
      </c>
      <c r="D847" s="13" t="n">
        <v>18300</v>
      </c>
      <c r="E847" s="11">
        <f>IF(G847="conciliado","conciliado",I847)</f>
        <v/>
      </c>
      <c r="F847" s="11" t="inlineStr">
        <is>
          <t>1004 | 2026-03-09 | 18,300 | karen rodriguez tatiana</t>
        </is>
      </c>
      <c r="G847" s="11">
        <f>IF(I847="conciliado","conciliado","por revisar")</f>
        <v/>
      </c>
      <c r="H847" s="11" t="inlineStr"/>
      <c r="I847" s="11" t="inlineStr">
        <is>
          <t>conciliado</t>
        </is>
      </c>
    </row>
    <row r="848">
      <c r="A848" s="11" t="n">
        <v>338</v>
      </c>
      <c r="B848" s="12" t="n">
        <v>46090</v>
      </c>
      <c r="C848" s="11" t="inlineStr">
        <is>
          <t>arenas garcia luisa</t>
        </is>
      </c>
      <c r="D848" s="13" t="n">
        <v>103100</v>
      </c>
      <c r="E848" s="11">
        <f>IF(G848="conciliado","conciliado",I848)</f>
        <v/>
      </c>
      <c r="F848" s="11" t="inlineStr">
        <is>
          <t>1005 | 2026-03-09 | 103,100 | arenas fernanda luisa</t>
        </is>
      </c>
      <c r="G848" s="11">
        <f>IF(I848="conciliado","conciliado","por revisar")</f>
        <v/>
      </c>
      <c r="H848" s="11" t="inlineStr"/>
      <c r="I848" s="11" t="inlineStr">
        <is>
          <t>conciliado</t>
        </is>
      </c>
    </row>
    <row r="849">
      <c r="A849" s="11" t="n">
        <v>347</v>
      </c>
      <c r="B849" s="12" t="n">
        <v>46090</v>
      </c>
      <c r="C849" s="11" t="inlineStr">
        <is>
          <t>calvache yesinia</t>
        </is>
      </c>
      <c r="D849" s="13" t="n">
        <v>13500</v>
      </c>
      <c r="E849" s="11">
        <f>IF(G849="conciliado","conciliado",I849)</f>
        <v/>
      </c>
      <c r="F849" s="11" t="inlineStr">
        <is>
          <t>1006 | 2026-03-09 | 13,500 | b bre</t>
        </is>
      </c>
      <c r="G849" s="11">
        <f>IF(I849="conciliado","conciliado","por revisar")</f>
        <v/>
      </c>
      <c r="H849" s="11" t="inlineStr"/>
      <c r="I849" s="11" t="inlineStr">
        <is>
          <t>conciliado</t>
        </is>
      </c>
    </row>
    <row r="850">
      <c r="A850" s="11" t="n">
        <v>328</v>
      </c>
      <c r="B850" s="12" t="n">
        <v>46090</v>
      </c>
      <c r="C850" s="11" t="inlineStr">
        <is>
          <t>je mosquera palacios</t>
        </is>
      </c>
      <c r="D850" s="13" t="n">
        <v>19500</v>
      </c>
      <c r="E850" s="11">
        <f>IF(G850="conciliado","conciliado",I850)</f>
        <v/>
      </c>
      <c r="F850" s="11" t="inlineStr">
        <is>
          <t>1008 | 2026-03-09 | 19,500 | jennifer mosquera</t>
        </is>
      </c>
      <c r="G850" s="11">
        <f>IF(I850="conciliado","conciliado","por revisar")</f>
        <v/>
      </c>
      <c r="H850" s="11" t="inlineStr"/>
      <c r="I850" s="11" t="inlineStr">
        <is>
          <t>conciliado</t>
        </is>
      </c>
    </row>
    <row r="851">
      <c r="A851" s="11" t="n">
        <v>316</v>
      </c>
      <c r="B851" s="12" t="n">
        <v>46090</v>
      </c>
      <c r="C851" s="11" t="inlineStr">
        <is>
          <t>n villamarin villota</t>
        </is>
      </c>
      <c r="D851" s="13" t="n">
        <v>23800</v>
      </c>
      <c r="E851" s="11">
        <f>IF(G851="conciliado","conciliado",I851)</f>
        <v/>
      </c>
      <c r="F851" s="11" t="inlineStr">
        <is>
          <t>1009 | 2026-03-09 | 23,800 | b bre narly</t>
        </is>
      </c>
      <c r="G851" s="11">
        <f>IF(I851="conciliado","conciliado","por revisar")</f>
        <v/>
      </c>
      <c r="H851" s="11" t="inlineStr"/>
      <c r="I851" s="11" t="inlineStr">
        <is>
          <t>conciliado</t>
        </is>
      </c>
    </row>
    <row r="852">
      <c r="A852" s="11" t="n">
        <v>349</v>
      </c>
      <c r="B852" s="12" t="n">
        <v>46090</v>
      </c>
      <c r="C852" s="11" t="inlineStr">
        <is>
          <t>bolanos lopez sandra</t>
        </is>
      </c>
      <c r="D852" s="13" t="n">
        <v>278800</v>
      </c>
      <c r="E852" s="11">
        <f>IF(G852="conciliado","conciliado",I852)</f>
        <v/>
      </c>
      <c r="F852" s="11" t="inlineStr">
        <is>
          <t>1010 | 2026-03-09 | 278,800 | carvajal wilson yesid</t>
        </is>
      </c>
      <c r="G852" s="11">
        <f>IF(I852="conciliado","conciliado","por revisar")</f>
        <v/>
      </c>
      <c r="H852" s="11" t="inlineStr"/>
      <c r="I852" s="11" t="inlineStr">
        <is>
          <t>conciliado</t>
        </is>
      </c>
    </row>
    <row r="853">
      <c r="A853" s="11" t="n">
        <v>337</v>
      </c>
      <c r="B853" s="12" t="n">
        <v>46090</v>
      </c>
      <c r="C853" s="11" t="inlineStr">
        <is>
          <t>benavides edwi marin</t>
        </is>
      </c>
      <c r="D853" s="13" t="n">
        <v>4000</v>
      </c>
      <c r="E853" s="11">
        <f>IF(G853="conciliado","conciliado",I853)</f>
        <v/>
      </c>
      <c r="F853" s="11" t="inlineStr">
        <is>
          <t>1011 | 2026-03-09 | 4,000 | bancolombia desde recarga</t>
        </is>
      </c>
      <c r="G853" s="11">
        <f>IF(I853="conciliado","conciliado","por revisar")</f>
        <v/>
      </c>
      <c r="H853" s="11" t="inlineStr"/>
      <c r="I853" s="11" t="inlineStr">
        <is>
          <t>conciliado</t>
        </is>
      </c>
    </row>
    <row r="854">
      <c r="A854" s="11" t="n">
        <v>314</v>
      </c>
      <c r="B854" s="12" t="n">
        <v>46090</v>
      </c>
      <c r="C854" s="11" t="inlineStr">
        <is>
          <t>chamorro jess rendon</t>
        </is>
      </c>
      <c r="D854" s="13" t="n">
        <v>14200</v>
      </c>
      <c r="E854" s="11">
        <f>IF(G854="conciliado","conciliado",I854)</f>
        <v/>
      </c>
      <c r="F854" s="11" t="inlineStr">
        <is>
          <t>1012 | 2026-03-09 | 14,200 | andrea jessica rendon</t>
        </is>
      </c>
      <c r="G854" s="11">
        <f>IF(I854="conciliado","conciliado","por revisar")</f>
        <v/>
      </c>
      <c r="H854" s="11" t="inlineStr"/>
      <c r="I854" s="11" t="inlineStr">
        <is>
          <t>conciliado</t>
        </is>
      </c>
    </row>
    <row r="855">
      <c r="A855" s="11" t="n">
        <v>346</v>
      </c>
      <c r="B855" s="12" t="n">
        <v>46090</v>
      </c>
      <c r="C855" s="11" t="inlineStr">
        <is>
          <t>fede garcia pantoja</t>
        </is>
      </c>
      <c r="D855" s="13" t="n">
        <v>5200</v>
      </c>
      <c r="E855" s="11">
        <f>IF(G855="conciliado","conciliado",I855)</f>
        <v/>
      </c>
      <c r="F855" s="11" t="inlineStr">
        <is>
          <t>1013 | 2026-03-09 | 5,200 | febe garcia maygle</t>
        </is>
      </c>
      <c r="G855" s="11">
        <f>IF(I855="conciliado","conciliado","por revisar")</f>
        <v/>
      </c>
      <c r="H855" s="11" t="inlineStr"/>
      <c r="I855" s="11" t="inlineStr">
        <is>
          <t>conciliado</t>
        </is>
      </c>
    </row>
    <row r="856">
      <c r="A856" s="11" t="n">
        <v>323</v>
      </c>
      <c r="B856" s="12" t="n">
        <v>46090</v>
      </c>
      <c r="C856" s="11" t="inlineStr">
        <is>
          <t>aco consorcio obras</t>
        </is>
      </c>
      <c r="D856" s="13" t="n">
        <v>20000</v>
      </c>
      <c r="E856" s="11">
        <f>IF(G856="conciliado","conciliado",I856)</f>
        <v/>
      </c>
      <c r="F856" s="11" t="inlineStr">
        <is>
          <t>1014 | 2026-03-09 | 20,000 | b bre daniela</t>
        </is>
      </c>
      <c r="G856" s="11">
        <f>IF(I856="conciliado","conciliado","por revisar")</f>
        <v/>
      </c>
      <c r="H856" s="11" t="inlineStr"/>
      <c r="I856" s="11" t="inlineStr">
        <is>
          <t>conciliado</t>
        </is>
      </c>
    </row>
    <row r="857">
      <c r="A857" s="11" t="n">
        <v>345</v>
      </c>
      <c r="B857" s="12" t="n">
        <v>46090</v>
      </c>
      <c r="C857" s="11" t="inlineStr">
        <is>
          <t>gonsalez montenegro</t>
        </is>
      </c>
      <c r="D857" s="13" t="n">
        <v>48100</v>
      </c>
      <c r="E857" s="11">
        <f>IF(G857="conciliado","conciliado",I857)</f>
        <v/>
      </c>
      <c r="F857" s="11" t="inlineStr">
        <is>
          <t>1015 | 2026-03-09 | 48,100 | lucila maria</t>
        </is>
      </c>
      <c r="G857" s="11">
        <f>IF(I857="conciliado","conciliado","por revisar")</f>
        <v/>
      </c>
      <c r="H857" s="11" t="inlineStr"/>
      <c r="I857" s="11" t="inlineStr">
        <is>
          <t>conciliado</t>
        </is>
      </c>
    </row>
    <row r="858">
      <c r="A858" s="11" t="n">
        <v>329</v>
      </c>
      <c r="B858" s="12" t="n">
        <v>46090</v>
      </c>
      <c r="C858" s="11" t="inlineStr">
        <is>
          <t>benavides santander</t>
        </is>
      </c>
      <c r="D858" s="13" t="n">
        <v>2500</v>
      </c>
      <c r="E858" s="11">
        <f>IF(G858="conciliado","conciliado",I858)</f>
        <v/>
      </c>
      <c r="F858" s="11" t="inlineStr">
        <is>
          <t>1016 | 2026-03-09 | 2,500 | jhoana niny santander</t>
        </is>
      </c>
      <c r="G858" s="11">
        <f>IF(I858="conciliado","conciliado","por revisar")</f>
        <v/>
      </c>
      <c r="H858" s="11" t="inlineStr"/>
      <c r="I858" s="11" t="inlineStr">
        <is>
          <t>conciliado</t>
        </is>
      </c>
    </row>
    <row r="859">
      <c r="A859" s="11" t="n">
        <v>321</v>
      </c>
      <c r="B859" s="12" t="n">
        <v>46090</v>
      </c>
      <c r="C859" s="11" t="inlineStr">
        <is>
          <t>cabrera gutierrez lu</t>
        </is>
      </c>
      <c r="D859" s="13" t="n">
        <v>44000</v>
      </c>
      <c r="E859" s="11">
        <f>IF(G859="conciliado","conciliado",I859)</f>
        <v/>
      </c>
      <c r="F859" s="11" t="inlineStr">
        <is>
          <t>1017 | 2026-03-09 | 44,000 | bancolombia desde qr recarga</t>
        </is>
      </c>
      <c r="G859" s="11">
        <f>IF(I859="conciliado","conciliado","por revisar")</f>
        <v/>
      </c>
      <c r="H859" s="11" t="inlineStr"/>
      <c r="I859" s="11" t="inlineStr">
        <is>
          <t>conciliado</t>
        </is>
      </c>
    </row>
    <row r="860">
      <c r="A860" s="11" t="n">
        <v>334</v>
      </c>
      <c r="B860" s="12" t="n">
        <v>46090</v>
      </c>
      <c r="C860" s="11" t="inlineStr">
        <is>
          <t>chavez dias eva line</t>
        </is>
      </c>
      <c r="D860" s="13" t="n">
        <v>16000</v>
      </c>
      <c r="E860" s="11">
        <f>IF(G860="conciliado","conciliado",I860)</f>
        <v/>
      </c>
      <c r="F860" s="11" t="inlineStr">
        <is>
          <t>1019 | 2026-03-09 | 16,000 | diaz eva linet</t>
        </is>
      </c>
      <c r="G860" s="11">
        <f>IF(I860="conciliado","conciliado","por revisar")</f>
        <v/>
      </c>
      <c r="H860" s="11" t="inlineStr"/>
      <c r="I860" s="11" t="inlineStr">
        <is>
          <t>conciliado</t>
        </is>
      </c>
    </row>
    <row r="861">
      <c r="A861" s="11" t="n">
        <v>286</v>
      </c>
      <c r="B861" s="12" t="n">
        <v>46089</v>
      </c>
      <c r="C861" s="11" t="inlineStr">
        <is>
          <t>guzman hortua victor</t>
        </is>
      </c>
      <c r="D861" s="13" t="n">
        <v>80000</v>
      </c>
      <c r="E861" s="11">
        <f>IF(G861="conciliado","conciliado",I861)</f>
        <v/>
      </c>
      <c r="F861" s="11" t="inlineStr">
        <is>
          <t>1020 | 2026-03-08 | 80,000 | bancolombia desde qr recarga</t>
        </is>
      </c>
      <c r="G861" s="11">
        <f>IF(I861="conciliado","conciliado","por revisar")</f>
        <v/>
      </c>
      <c r="H861" s="11" t="inlineStr"/>
      <c r="I861" s="11" t="inlineStr">
        <is>
          <t>conciliado</t>
        </is>
      </c>
    </row>
    <row r="862">
      <c r="A862" s="11" t="n">
        <v>312</v>
      </c>
      <c r="B862" s="12" t="n">
        <v>46089</v>
      </c>
      <c r="C862" s="11" t="inlineStr">
        <is>
          <t>andrea malla pantoja</t>
        </is>
      </c>
      <c r="D862" s="13" t="n">
        <v>10300</v>
      </c>
      <c r="E862" s="11">
        <f>IF(G862="conciliado","conciliado",I862)</f>
        <v/>
      </c>
      <c r="F862" s="11" t="inlineStr">
        <is>
          <t>1021 | 2026-03-08 | 10,300 | evelin palma yajhaira</t>
        </is>
      </c>
      <c r="G862" s="11">
        <f>IF(I862="conciliado","conciliado","por revisar")</f>
        <v/>
      </c>
      <c r="H862" s="11" t="inlineStr"/>
      <c r="I862" s="11" t="inlineStr">
        <is>
          <t>conciliado</t>
        </is>
      </c>
    </row>
    <row r="863">
      <c r="A863" s="11" t="n">
        <v>297</v>
      </c>
      <c r="B863" s="12" t="n">
        <v>46089</v>
      </c>
      <c r="C863" s="11" t="inlineStr">
        <is>
          <t>cuchala jes patascoy</t>
        </is>
      </c>
      <c r="D863" s="13" t="n">
        <v>25000</v>
      </c>
      <c r="E863" s="11">
        <f>IF(G863="conciliado","conciliado",I863)</f>
        <v/>
      </c>
      <c r="F863" s="11" t="inlineStr">
        <is>
          <t>1022 | 2026-03-08 | 25,000 | arley jesus patascoy</t>
        </is>
      </c>
      <c r="G863" s="11">
        <f>IF(I863="conciliado","conciliado","por revisar")</f>
        <v/>
      </c>
      <c r="H863" s="11" t="inlineStr"/>
      <c r="I863" s="11" t="inlineStr">
        <is>
          <t>conciliado</t>
        </is>
      </c>
    </row>
    <row r="864">
      <c r="A864" s="11" t="n">
        <v>298</v>
      </c>
      <c r="B864" s="12" t="n">
        <v>46089</v>
      </c>
      <c r="C864" s="11" t="inlineStr">
        <is>
          <t>cueltan dani escobar</t>
        </is>
      </c>
      <c r="D864" s="13" t="n">
        <v>10000</v>
      </c>
      <c r="E864" s="11">
        <f>IF(G864="conciliado","conciliado",I864)</f>
        <v/>
      </c>
      <c r="F864" s="11" t="inlineStr">
        <is>
          <t>1023 | 2026-03-08 | 10,000 | escobar lizeth</t>
        </is>
      </c>
      <c r="G864" s="11">
        <f>IF(I864="conciliado","conciliado","por revisar")</f>
        <v/>
      </c>
      <c r="H864" s="11" t="inlineStr"/>
      <c r="I864" s="11" t="inlineStr">
        <is>
          <t>conciliado</t>
        </is>
      </c>
    </row>
    <row r="865">
      <c r="A865" s="11" t="n">
        <v>311</v>
      </c>
      <c r="B865" s="12" t="n">
        <v>46089</v>
      </c>
      <c r="C865" s="11" t="inlineStr">
        <is>
          <t>ale casas dana perez</t>
        </is>
      </c>
      <c r="D865" s="13" t="n">
        <v>4200</v>
      </c>
      <c r="E865" s="11">
        <f>IF(G865="conciliado","conciliado",I865)</f>
        <v/>
      </c>
      <c r="F865" s="11" t="inlineStr">
        <is>
          <t>1024 | 2026-03-08 | 4,200 | casas johanna kelly</t>
        </is>
      </c>
      <c r="G865" s="11">
        <f>IF(I865="conciliado","conciliado","por revisar")</f>
        <v/>
      </c>
      <c r="H865" s="11" t="inlineStr"/>
      <c r="I865" s="11" t="inlineStr">
        <is>
          <t>conciliado</t>
        </is>
      </c>
    </row>
    <row r="866">
      <c r="A866" s="11" t="n">
        <v>285</v>
      </c>
      <c r="B866" s="12" t="n">
        <v>46089</v>
      </c>
      <c r="C866" s="11" t="inlineStr">
        <is>
          <t>crist jurado morales</t>
        </is>
      </c>
      <c r="D866" s="13" t="n">
        <v>93200</v>
      </c>
      <c r="E866" s="11">
        <f>IF(G866="conciliado","conciliado",I866)</f>
        <v/>
      </c>
      <c r="F866" s="11" t="inlineStr">
        <is>
          <t>1025 | 2026-03-08 | 93,200 | cristian david morales</t>
        </is>
      </c>
      <c r="G866" s="11">
        <f>IF(I866="conciliado","conciliado","por revisar")</f>
        <v/>
      </c>
      <c r="H866" s="11" t="inlineStr"/>
      <c r="I866" s="11" t="inlineStr">
        <is>
          <t>conciliado</t>
        </is>
      </c>
    </row>
    <row r="867">
      <c r="A867" s="11" t="n">
        <v>300</v>
      </c>
      <c r="B867" s="12" t="n">
        <v>46089</v>
      </c>
      <c r="C867" s="11" t="inlineStr">
        <is>
          <t>juan mesias perafan</t>
        </is>
      </c>
      <c r="D867" s="13" t="n">
        <v>25700</v>
      </c>
      <c r="E867" s="11">
        <f>IF(G867="conciliado","conciliado",I867)</f>
        <v/>
      </c>
      <c r="F867" s="11" t="inlineStr">
        <is>
          <t>1026 | 2026-03-08 | 25,700 | juan manuel perafan</t>
        </is>
      </c>
      <c r="G867" s="11">
        <f>IF(I867="conciliado","conciliado","por revisar")</f>
        <v/>
      </c>
      <c r="H867" s="11" t="inlineStr"/>
      <c r="I867" s="11" t="inlineStr">
        <is>
          <t>conciliado</t>
        </is>
      </c>
    </row>
    <row r="868">
      <c r="A868" s="11" t="n">
        <v>302</v>
      </c>
      <c r="B868" s="12" t="n">
        <v>46089</v>
      </c>
      <c r="C868" s="11" t="inlineStr">
        <is>
          <t>agaton cifuentes ing</t>
        </is>
      </c>
      <c r="D868" s="13" t="n">
        <v>43600</v>
      </c>
      <c r="E868" s="11">
        <f>IF(G868="conciliado","conciliado",I868)</f>
        <v/>
      </c>
      <c r="F868" s="11" t="inlineStr">
        <is>
          <t>1027 | 2026-03-08 | 43,600 | bancolombia desde recarga</t>
        </is>
      </c>
      <c r="G868" s="11">
        <f>IF(I868="conciliado","conciliado","por revisar")</f>
        <v/>
      </c>
      <c r="H868" s="11" t="inlineStr"/>
      <c r="I868" s="11" t="inlineStr">
        <is>
          <t>conciliado</t>
        </is>
      </c>
    </row>
    <row r="869">
      <c r="A869" s="11" t="n">
        <v>301</v>
      </c>
      <c r="B869" s="12" t="n">
        <v>46089</v>
      </c>
      <c r="C869" s="11" t="inlineStr">
        <is>
          <t>caicedo cardoso marc</t>
        </is>
      </c>
      <c r="D869" s="13" t="n">
        <v>6500</v>
      </c>
      <c r="E869" s="11">
        <f>IF(G869="conciliado","conciliado",I869)</f>
        <v/>
      </c>
      <c r="F869" s="11" t="inlineStr">
        <is>
          <t>1028 | 2026-03-08 | 6,500 | cardoso marcela yudi</t>
        </is>
      </c>
      <c r="G869" s="11">
        <f>IF(I869="conciliado","conciliado","por revisar")</f>
        <v/>
      </c>
      <c r="H869" s="11" t="inlineStr"/>
      <c r="I869" s="11" t="inlineStr">
        <is>
          <t>conciliado</t>
        </is>
      </c>
    </row>
    <row r="870">
      <c r="A870" s="11" t="n">
        <v>283</v>
      </c>
      <c r="B870" s="12" t="n">
        <v>46089</v>
      </c>
      <c r="C870" s="11" t="inlineStr">
        <is>
          <t>becerra marth zamora</t>
        </is>
      </c>
      <c r="D870" s="13" t="n">
        <v>79800</v>
      </c>
      <c r="E870" s="11">
        <f>IF(G870="conciliado","conciliado",I870)</f>
        <v/>
      </c>
      <c r="F870" s="11" t="inlineStr">
        <is>
          <t>1031 | 2026-03-08 | 79,800 | becerra martha zamora</t>
        </is>
      </c>
      <c r="G870" s="11">
        <f>IF(I870="conciliado","conciliado","por revisar")</f>
        <v/>
      </c>
      <c r="H870" s="11" t="inlineStr"/>
      <c r="I870" s="11" t="inlineStr">
        <is>
          <t>conciliado</t>
        </is>
      </c>
    </row>
    <row r="871">
      <c r="A871" s="11" t="n">
        <v>280</v>
      </c>
      <c r="B871" s="12" t="n">
        <v>46089</v>
      </c>
      <c r="C871" s="11" t="inlineStr">
        <is>
          <t>chavez galarza luis</t>
        </is>
      </c>
      <c r="D871" s="13" t="n">
        <v>45000</v>
      </c>
      <c r="E871" s="11">
        <f>IF(G871="conciliado","conciliado",I871)</f>
        <v/>
      </c>
      <c r="F871" s="11" t="inlineStr">
        <is>
          <t>1033 | 2026-03-08 | 45,000 | chavez fernando luis</t>
        </is>
      </c>
      <c r="G871" s="11">
        <f>IF(I871="conciliado","conciliado","por revisar")</f>
        <v/>
      </c>
      <c r="H871" s="11" t="inlineStr"/>
      <c r="I871" s="11" t="inlineStr">
        <is>
          <t>conciliado</t>
        </is>
      </c>
    </row>
    <row r="872">
      <c r="A872" s="11" t="n">
        <v>292</v>
      </c>
      <c r="B872" s="12" t="n">
        <v>46089</v>
      </c>
      <c r="C872" s="11" t="inlineStr">
        <is>
          <t>cubillos niv ordones</t>
        </is>
      </c>
      <c r="D872" s="13" t="n">
        <v>38700</v>
      </c>
      <c r="E872" s="11">
        <f>IF(G872="conciliado","conciliado",I872)</f>
        <v/>
      </c>
      <c r="F872" s="11" t="inlineStr">
        <is>
          <t>1034 | 2026-03-08 | 38,700 | denier fernando</t>
        </is>
      </c>
      <c r="G872" s="11">
        <f>IF(I872="conciliado","conciliado","por revisar")</f>
        <v/>
      </c>
      <c r="H872" s="11" t="inlineStr"/>
      <c r="I872" s="11" t="inlineStr">
        <is>
          <t>conciliado</t>
        </is>
      </c>
    </row>
    <row r="873">
      <c r="A873" s="11" t="n">
        <v>303</v>
      </c>
      <c r="B873" s="12" t="n">
        <v>46089</v>
      </c>
      <c r="C873" s="11" t="inlineStr">
        <is>
          <t>alexi ortiz ruales y</t>
        </is>
      </c>
      <c r="D873" s="13" t="n">
        <v>24800</v>
      </c>
      <c r="E873" s="11">
        <f>IF(G873="conciliado","conciliado",I873)</f>
        <v/>
      </c>
      <c r="F873" s="11" t="inlineStr">
        <is>
          <t>1035 | 2026-03-08 | 24,800 | alexi ortiz yurany</t>
        </is>
      </c>
      <c r="G873" s="11">
        <f>IF(I873="conciliado","conciliado","por revisar")</f>
        <v/>
      </c>
      <c r="H873" s="11" t="inlineStr"/>
      <c r="I873" s="11" t="inlineStr">
        <is>
          <t>conciliado</t>
        </is>
      </c>
    </row>
    <row r="874">
      <c r="A874" s="11" t="n">
        <v>309</v>
      </c>
      <c r="B874" s="12" t="n">
        <v>46089</v>
      </c>
      <c r="C874" s="11" t="inlineStr">
        <is>
          <t>criollo geni pantoja</t>
        </is>
      </c>
      <c r="D874" s="13" t="n">
        <v>109000</v>
      </c>
      <c r="E874" s="11">
        <f>IF(G874="conciliado","conciliado",I874)</f>
        <v/>
      </c>
      <c r="F874" s="11" t="inlineStr">
        <is>
          <t>1036 | 2026-03-08 | 109,000 | criollo genith marily</t>
        </is>
      </c>
      <c r="G874" s="11">
        <f>IF(I874="conciliado","conciliado","por revisar")</f>
        <v/>
      </c>
      <c r="H874" s="11" t="inlineStr"/>
      <c r="I874" s="11" t="inlineStr">
        <is>
          <t>conciliado</t>
        </is>
      </c>
    </row>
    <row r="875">
      <c r="A875" s="11" t="n">
        <v>282</v>
      </c>
      <c r="B875" s="12" t="n">
        <v>46089</v>
      </c>
      <c r="C875" s="11" t="inlineStr">
        <is>
          <t>gamboa m olga vargas</t>
        </is>
      </c>
      <c r="D875" s="13" t="n">
        <v>100000</v>
      </c>
      <c r="E875" s="11">
        <f>IF(G875="conciliado","conciliado",I875)</f>
        <v/>
      </c>
      <c r="F875" s="11" t="inlineStr">
        <is>
          <t>1037 | 2026-03-08 | 100,000 | doly gamboa vargas</t>
        </is>
      </c>
      <c r="G875" s="11">
        <f>IF(I875="conciliado","conciliado","por revisar")</f>
        <v/>
      </c>
      <c r="H875" s="11" t="inlineStr"/>
      <c r="I875" s="11" t="inlineStr">
        <is>
          <t>conciliado</t>
        </is>
      </c>
    </row>
    <row r="876">
      <c r="A876" s="11" t="n">
        <v>308</v>
      </c>
      <c r="B876" s="12" t="n">
        <v>46089</v>
      </c>
      <c r="C876" s="11" t="inlineStr">
        <is>
          <t>araujo cadena johana</t>
        </is>
      </c>
      <c r="D876" s="13" t="n">
        <v>31000</v>
      </c>
      <c r="E876" s="11">
        <f>IF(G876="conciliado","conciliado",I876)</f>
        <v/>
      </c>
      <c r="F876" s="11" t="inlineStr">
        <is>
          <t>1038 | 2026-03-08 | 31,000 | alba araujo joana</t>
        </is>
      </c>
      <c r="G876" s="11">
        <f>IF(I876="conciliado","conciliado","por revisar")</f>
        <v/>
      </c>
      <c r="H876" s="11" t="inlineStr"/>
      <c r="I876" s="11" t="inlineStr">
        <is>
          <t>conciliado</t>
        </is>
      </c>
    </row>
    <row r="877">
      <c r="A877" s="11" t="n">
        <v>306</v>
      </c>
      <c r="B877" s="12" t="n">
        <v>46089</v>
      </c>
      <c r="C877" s="11" t="inlineStr">
        <is>
          <t>marta narvaez torres</t>
        </is>
      </c>
      <c r="D877" s="13" t="n">
        <v>118800</v>
      </c>
      <c r="E877" s="11">
        <f>IF(G877="conciliado","conciliado",I877)</f>
        <v/>
      </c>
      <c r="F877" s="11" t="inlineStr">
        <is>
          <t>1041 | 2026-03-08 | 118,800 | dioney jose torres</t>
        </is>
      </c>
      <c r="G877" s="11">
        <f>IF(I877="conciliado","conciliado","por revisar")</f>
        <v/>
      </c>
      <c r="H877" s="11" t="inlineStr"/>
      <c r="I877" s="11" t="inlineStr">
        <is>
          <t>conciliado</t>
        </is>
      </c>
    </row>
    <row r="878">
      <c r="A878" s="11" t="n">
        <v>291</v>
      </c>
      <c r="B878" s="12" t="n">
        <v>46089</v>
      </c>
      <c r="C878" s="11" t="inlineStr">
        <is>
          <t>b cueva pinta wilson</t>
        </is>
      </c>
      <c r="D878" s="13" t="n">
        <v>20200</v>
      </c>
      <c r="E878" s="11">
        <f>IF(G878="conciliado","conciliado",I878)</f>
        <v/>
      </c>
      <c r="F878" s="11" t="inlineStr">
        <is>
          <t>1042 | 2026-03-08 | 20,200 | b bre wilson</t>
        </is>
      </c>
      <c r="G878" s="11">
        <f>IF(I878="conciliado","conciliado","por revisar")</f>
        <v/>
      </c>
      <c r="H878" s="11" t="inlineStr"/>
      <c r="I878" s="11" t="inlineStr">
        <is>
          <t>conciliado</t>
        </is>
      </c>
    </row>
    <row r="879">
      <c r="A879" s="11" t="n">
        <v>299</v>
      </c>
      <c r="B879" s="12" t="n">
        <v>46089</v>
      </c>
      <c r="C879" s="11" t="inlineStr">
        <is>
          <t>na ramirez velasquez</t>
        </is>
      </c>
      <c r="D879" s="13" t="n">
        <v>51800</v>
      </c>
      <c r="E879" s="11">
        <f>IF(G879="conciliado","conciliado",I879)</f>
        <v/>
      </c>
      <c r="F879" s="11" t="inlineStr">
        <is>
          <t>1043 | 2026-03-08 | 51,800 | norida patricia ramirez</t>
        </is>
      </c>
      <c r="G879" s="11">
        <f>IF(I879="conciliado","conciliado","por revisar")</f>
        <v/>
      </c>
      <c r="H879" s="11" t="inlineStr"/>
      <c r="I879" s="11" t="inlineStr">
        <is>
          <t>conciliado</t>
        </is>
      </c>
    </row>
    <row r="880">
      <c r="A880" s="11" t="n">
        <v>279</v>
      </c>
      <c r="B880" s="12" t="n">
        <v>46089</v>
      </c>
      <c r="C880" s="11" t="inlineStr">
        <is>
          <t>borja fresle vergara</t>
        </is>
      </c>
      <c r="D880" s="13" t="n">
        <v>148300</v>
      </c>
      <c r="E880" s="11">
        <f>IF(G880="conciliado","conciliado",I880)</f>
        <v/>
      </c>
      <c r="F880" s="11" t="inlineStr">
        <is>
          <t>1044 | 2026-03-08 | 148,300 | b bre fresley</t>
        </is>
      </c>
      <c r="G880" s="11">
        <f>IF(I880="conciliado","conciliado","por revisar")</f>
        <v/>
      </c>
      <c r="H880" s="11" t="inlineStr"/>
      <c r="I880" s="11" t="inlineStr">
        <is>
          <t>conciliado</t>
        </is>
      </c>
    </row>
    <row r="881">
      <c r="A881" s="11" t="n">
        <v>293</v>
      </c>
      <c r="B881" s="12" t="n">
        <v>46089</v>
      </c>
      <c r="C881" s="11" t="inlineStr">
        <is>
          <t>jh kelly ortiz perez</t>
        </is>
      </c>
      <c r="D881" s="13" t="n">
        <v>25700</v>
      </c>
      <c r="E881" s="11">
        <f>IF(G881="conciliado","conciliado",I881)</f>
        <v/>
      </c>
      <c r="F881" s="11" t="inlineStr">
        <is>
          <t>1045 | 2026-03-08 | 25,700 | johana kelly ortiz perez</t>
        </is>
      </c>
      <c r="G881" s="11">
        <f>IF(I881="conciliado","conciliado","por revisar")</f>
        <v/>
      </c>
      <c r="H881" s="11" t="inlineStr"/>
      <c r="I881" s="11" t="inlineStr">
        <is>
          <t>conciliado</t>
        </is>
      </c>
    </row>
    <row r="882">
      <c r="A882" s="11" t="n">
        <v>288</v>
      </c>
      <c r="B882" s="12" t="n">
        <v>46089</v>
      </c>
      <c r="C882" s="11" t="inlineStr">
        <is>
          <t>acosta ma villarreal</t>
        </is>
      </c>
      <c r="D882" s="13" t="n">
        <v>11600</v>
      </c>
      <c r="E882" s="11">
        <f>IF(G882="conciliado","conciliado",I882)</f>
        <v/>
      </c>
      <c r="F882" s="11" t="inlineStr">
        <is>
          <t>1046 | 2026-03-08 | 11,600 | acosta marlenir</t>
        </is>
      </c>
      <c r="G882" s="11">
        <f>IF(I882="conciliado","conciliado","por revisar")</f>
        <v/>
      </c>
      <c r="H882" s="11" t="inlineStr"/>
      <c r="I882" s="11" t="inlineStr">
        <is>
          <t>conciliado</t>
        </is>
      </c>
    </row>
    <row r="883">
      <c r="A883" s="11" t="n">
        <v>307</v>
      </c>
      <c r="B883" s="12" t="n">
        <v>46089</v>
      </c>
      <c r="C883" s="11" t="inlineStr">
        <is>
          <t>caicedo jasleid yela</t>
        </is>
      </c>
      <c r="D883" s="13" t="n">
        <v>27900</v>
      </c>
      <c r="E883" s="11">
        <f>IF(G883="conciliado","conciliado",I883)</f>
        <v/>
      </c>
      <c r="F883" s="11" t="inlineStr">
        <is>
          <t>1047 | 2026-03-08 | 27,900 | alejandra asleidy</t>
        </is>
      </c>
      <c r="G883" s="11">
        <f>IF(I883="conciliado","conciliado","por revisar")</f>
        <v/>
      </c>
      <c r="H883" s="11" t="inlineStr"/>
      <c r="I883" s="11" t="inlineStr">
        <is>
          <t>conciliado</t>
        </is>
      </c>
    </row>
    <row r="884">
      <c r="A884" s="11" t="n">
        <v>305</v>
      </c>
      <c r="B884" s="12" t="n">
        <v>46089</v>
      </c>
      <c r="C884" s="11" t="inlineStr">
        <is>
          <t>ceron torres yeison</t>
        </is>
      </c>
      <c r="D884" s="13" t="n">
        <v>12900</v>
      </c>
      <c r="E884" s="11">
        <f>IF(G884="conciliado","conciliado",I884)</f>
        <v/>
      </c>
      <c r="F884" s="11" t="inlineStr">
        <is>
          <t>1048 | 2026-03-08 | 12,900 | andres torres yeison</t>
        </is>
      </c>
      <c r="G884" s="11">
        <f>IF(I884="conciliado","conciliado","por revisar")</f>
        <v/>
      </c>
      <c r="H884" s="11" t="inlineStr"/>
      <c r="I884" s="11" t="inlineStr">
        <is>
          <t>conciliado</t>
        </is>
      </c>
    </row>
    <row r="885">
      <c r="A885" s="11" t="n">
        <v>289</v>
      </c>
      <c r="B885" s="12" t="n">
        <v>46089</v>
      </c>
      <c r="C885" s="11" t="inlineStr">
        <is>
          <t>guanga kevin timaran</t>
        </is>
      </c>
      <c r="D885" s="13" t="n">
        <v>69100</v>
      </c>
      <c r="E885" s="11">
        <f>IF(G885="conciliado","conciliado",I885)</f>
        <v/>
      </c>
      <c r="F885" s="11" t="inlineStr">
        <is>
          <t>1049 | 2026-03-08 | 69,100 | guanga kevin</t>
        </is>
      </c>
      <c r="G885" s="11">
        <f>IF(I885="conciliado","conciliado","por revisar")</f>
        <v/>
      </c>
      <c r="H885" s="11" t="inlineStr"/>
      <c r="I885" s="11" t="inlineStr">
        <is>
          <t>conciliado</t>
        </is>
      </c>
    </row>
    <row r="886">
      <c r="A886" s="11" t="n">
        <v>296</v>
      </c>
      <c r="B886" s="12" t="n">
        <v>46089</v>
      </c>
      <c r="C886" s="11" t="inlineStr">
        <is>
          <t>alejandro jonier mos</t>
        </is>
      </c>
      <c r="D886" s="13" t="n">
        <v>9200</v>
      </c>
      <c r="E886" s="11">
        <f>IF(G886="conciliado","conciliado",I886)</f>
        <v/>
      </c>
      <c r="F886" s="11" t="inlineStr">
        <is>
          <t>1050 | 2026-03-08 | 9,200 | elisa jaramillo marisol</t>
        </is>
      </c>
      <c r="G886" s="11">
        <f>IF(I886="conciliado","conciliado","por revisar")</f>
        <v/>
      </c>
      <c r="H886" s="11" t="inlineStr"/>
      <c r="I886" s="11" t="inlineStr">
        <is>
          <t>conciliado</t>
        </is>
      </c>
    </row>
    <row r="887">
      <c r="A887" s="11" t="n">
        <v>281</v>
      </c>
      <c r="B887" s="12" t="n">
        <v>46089</v>
      </c>
      <c r="C887" s="11" t="inlineStr">
        <is>
          <t>alejandr claros loza</t>
        </is>
      </c>
      <c r="D887" s="13" t="n">
        <v>24500</v>
      </c>
      <c r="E887" s="11">
        <f>IF(G887="conciliado","conciliado",I887)</f>
        <v/>
      </c>
      <c r="F887" s="11" t="inlineStr">
        <is>
          <t>1051 | 2026-03-08 | 24,500 | b bre</t>
        </is>
      </c>
      <c r="G887" s="11">
        <f>IF(I887="conciliado","conciliado","por revisar")</f>
        <v/>
      </c>
      <c r="H887" s="11" t="inlineStr"/>
      <c r="I887" s="11" t="inlineStr">
        <is>
          <t>conciliado</t>
        </is>
      </c>
    </row>
    <row r="888">
      <c r="A888" s="11" t="n">
        <v>284</v>
      </c>
      <c r="B888" s="12" t="n">
        <v>46089</v>
      </c>
      <c r="C888" s="11" t="inlineStr">
        <is>
          <t>burbano dora garcia</t>
        </is>
      </c>
      <c r="D888" s="13" t="n">
        <v>19300</v>
      </c>
      <c r="E888" s="11">
        <f>IF(G888="conciliado","conciliado",I888)</f>
        <v/>
      </c>
      <c r="F888" s="11" t="inlineStr">
        <is>
          <t>1052 | 2026-03-08 | 19,300 | angela burbano dora</t>
        </is>
      </c>
      <c r="G888" s="11">
        <f>IF(I888="conciliado","conciliado","por revisar")</f>
        <v/>
      </c>
      <c r="H888" s="11" t="inlineStr"/>
      <c r="I888" s="11" t="inlineStr">
        <is>
          <t>conciliado</t>
        </is>
      </c>
    </row>
    <row r="889">
      <c r="A889" s="11" t="n">
        <v>278</v>
      </c>
      <c r="B889" s="12" t="n">
        <v>46089</v>
      </c>
      <c r="C889" s="11" t="inlineStr">
        <is>
          <t>avila en luis rivera</t>
        </is>
      </c>
      <c r="D889" s="13" t="n">
        <v>11600</v>
      </c>
      <c r="E889" s="11">
        <f>IF(G889="conciliado","conciliado",I889)</f>
        <v/>
      </c>
      <c r="F889" s="11" t="inlineStr">
        <is>
          <t>1053 | 2026-03-08 | 11,600 | avila enrique luis rivera</t>
        </is>
      </c>
      <c r="G889" s="11">
        <f>IF(I889="conciliado","conciliado","por revisar")</f>
        <v/>
      </c>
      <c r="H889" s="11" t="inlineStr"/>
      <c r="I889" s="11" t="inlineStr">
        <is>
          <t>conciliado</t>
        </is>
      </c>
    </row>
    <row r="890">
      <c r="A890" s="11" t="n">
        <v>294</v>
      </c>
      <c r="B890" s="12" t="n">
        <v>46089</v>
      </c>
      <c r="C890" s="11" t="inlineStr">
        <is>
          <t>angi cortes quinones</t>
        </is>
      </c>
      <c r="D890" s="13" t="n">
        <v>13700</v>
      </c>
      <c r="E890" s="11">
        <f>IF(G890="conciliado","conciliado",I890)</f>
        <v/>
      </c>
      <c r="F890" s="11" t="inlineStr">
        <is>
          <t>1054 | 2026-03-08 | 13,700 | angie cortes marisol</t>
        </is>
      </c>
      <c r="G890" s="11">
        <f>IF(I890="conciliado","conciliado","por revisar")</f>
        <v/>
      </c>
      <c r="H890" s="11" t="inlineStr"/>
      <c r="I890" s="11" t="inlineStr">
        <is>
          <t>conciliado</t>
        </is>
      </c>
    </row>
    <row r="891">
      <c r="A891" s="11" t="n">
        <v>295</v>
      </c>
      <c r="B891" s="12" t="n">
        <v>46089</v>
      </c>
      <c r="C891" s="11" t="inlineStr">
        <is>
          <t>carla moreano palma</t>
        </is>
      </c>
      <c r="D891" s="13" t="n">
        <v>60300</v>
      </c>
      <c r="E891" s="11">
        <f>IF(G891="conciliado","conciliado",I891)</f>
        <v/>
      </c>
      <c r="F891" s="11" t="inlineStr">
        <is>
          <t>1055 | 2026-03-08 | 60,300 | carla moriano patricia</t>
        </is>
      </c>
      <c r="G891" s="11">
        <f>IF(I891="conciliado","conciliado","por revisar")</f>
        <v/>
      </c>
      <c r="H891" s="11" t="inlineStr"/>
      <c r="I891" s="11" t="inlineStr">
        <is>
          <t>conciliado</t>
        </is>
      </c>
    </row>
    <row r="892">
      <c r="A892" s="11" t="n">
        <v>304</v>
      </c>
      <c r="B892" s="12" t="n">
        <v>46089</v>
      </c>
      <c r="C892" s="11" t="inlineStr">
        <is>
          <t>sebastian zambrano</t>
        </is>
      </c>
      <c r="D892" s="13" t="n">
        <v>15000</v>
      </c>
      <c r="E892" s="11">
        <f>IF(G892="conciliado","conciliado",I892)</f>
        <v/>
      </c>
      <c r="F892" s="11" t="inlineStr">
        <is>
          <t>1056 | 2026-03-08 | 15,000 | arley david velasquez</t>
        </is>
      </c>
      <c r="G892" s="11">
        <f>IF(I892="conciliado","conciliado","por revisar")</f>
        <v/>
      </c>
      <c r="H892" s="11" t="inlineStr"/>
      <c r="I892" s="11" t="inlineStr">
        <is>
          <t>conciliado</t>
        </is>
      </c>
    </row>
    <row r="893">
      <c r="A893" s="11" t="n">
        <v>260</v>
      </c>
      <c r="B893" s="12" t="n">
        <v>46088</v>
      </c>
      <c r="C893" s="11" t="inlineStr">
        <is>
          <t>e quinonez rodrigues</t>
        </is>
      </c>
      <c r="D893" s="13" t="n">
        <v>2000</v>
      </c>
      <c r="E893" s="11">
        <f>IF(G893="conciliado","conciliado",I893)</f>
        <v/>
      </c>
      <c r="F893" s="11" t="inlineStr">
        <is>
          <t>1057 | 2026-03-07 | 2,000 | edgar enrique quinonez</t>
        </is>
      </c>
      <c r="G893" s="11">
        <f>IF(I893="conciliado","conciliado","por revisar")</f>
        <v/>
      </c>
      <c r="H893" s="11" t="inlineStr"/>
      <c r="I893" s="11" t="inlineStr">
        <is>
          <t>conciliado</t>
        </is>
      </c>
    </row>
    <row r="894">
      <c r="A894" s="11" t="n">
        <v>263</v>
      </c>
      <c r="B894" s="12" t="n">
        <v>46088</v>
      </c>
      <c r="C894" s="11" t="inlineStr">
        <is>
          <t>campos rodriguez tan</t>
        </is>
      </c>
      <c r="D894" s="13" t="n">
        <v>18900</v>
      </c>
      <c r="E894" s="11">
        <f>IF(G894="conciliado","conciliado",I894)</f>
        <v/>
      </c>
      <c r="F894" s="11" t="inlineStr">
        <is>
          <t>1058 | 2026-03-07 | 18,900 | campo maria tania</t>
        </is>
      </c>
      <c r="G894" s="11">
        <f>IF(I894="conciliado","conciliado","por revisar")</f>
        <v/>
      </c>
      <c r="H894" s="11" t="inlineStr"/>
      <c r="I894" s="11" t="inlineStr">
        <is>
          <t>conciliado</t>
        </is>
      </c>
    </row>
    <row r="895">
      <c r="A895" s="11" t="n">
        <v>268</v>
      </c>
      <c r="B895" s="12" t="n">
        <v>46088</v>
      </c>
      <c r="C895" s="11" t="inlineStr">
        <is>
          <t>david marino segura</t>
        </is>
      </c>
      <c r="D895" s="13" t="n">
        <v>12000</v>
      </c>
      <c r="E895" s="11">
        <f>IF(G895="conciliado","conciliado",I895)</f>
        <v/>
      </c>
      <c r="F895" s="11" t="inlineStr">
        <is>
          <t>1060 | 2026-03-07 | 12,000 | bancolombia desde qr recarga</t>
        </is>
      </c>
      <c r="G895" s="11">
        <f>IF(I895="conciliado","conciliado","por revisar")</f>
        <v/>
      </c>
      <c r="H895" s="11" t="inlineStr"/>
      <c r="I895" s="11" t="inlineStr">
        <is>
          <t>conciliado</t>
        </is>
      </c>
    </row>
    <row r="896">
      <c r="A896" s="11" t="n">
        <v>237</v>
      </c>
      <c r="B896" s="12" t="n">
        <v>46088</v>
      </c>
      <c r="C896" s="11" t="inlineStr">
        <is>
          <t>a gomez jimenez john</t>
        </is>
      </c>
      <c r="D896" s="13" t="n">
        <v>120000</v>
      </c>
      <c r="E896" s="11">
        <f>IF(G896="conciliado","conciliado",I896)</f>
        <v/>
      </c>
      <c r="F896" s="11" t="inlineStr">
        <is>
          <t>1061 | 2026-03-07 | 120,000 | castillo hernan wilian</t>
        </is>
      </c>
      <c r="G896" s="11">
        <f>IF(I896="conciliado","conciliado","por revisar")</f>
        <v/>
      </c>
      <c r="H896" s="11" t="inlineStr"/>
      <c r="I896" s="11" t="inlineStr">
        <is>
          <t>conciliado</t>
        </is>
      </c>
    </row>
    <row r="897">
      <c r="A897" s="11" t="n">
        <v>244</v>
      </c>
      <c r="B897" s="12" t="n">
        <v>46088</v>
      </c>
      <c r="C897" s="11" t="inlineStr">
        <is>
          <t>arteaga franc suarez</t>
        </is>
      </c>
      <c r="D897" s="13" t="n">
        <v>41100</v>
      </c>
      <c r="E897" s="11">
        <f>IF(G897="conciliado","conciliado",I897)</f>
        <v/>
      </c>
      <c r="F897" s="11" t="inlineStr">
        <is>
          <t>1062 | 2026-03-07 | 41,100 | bancolombia desde qr recarga</t>
        </is>
      </c>
      <c r="G897" s="11">
        <f>IF(I897="conciliado","conciliado","por revisar")</f>
        <v/>
      </c>
      <c r="H897" s="11" t="inlineStr"/>
      <c r="I897" s="11" t="inlineStr">
        <is>
          <t>conciliado</t>
        </is>
      </c>
    </row>
    <row r="898">
      <c r="A898" s="11" t="n">
        <v>266</v>
      </c>
      <c r="B898" s="12" t="n">
        <v>46088</v>
      </c>
      <c r="C898" s="11" t="inlineStr">
        <is>
          <t>gasca keyny martinez</t>
        </is>
      </c>
      <c r="D898" s="13" t="n">
        <v>40400</v>
      </c>
      <c r="E898" s="11">
        <f>IF(G898="conciliado","conciliado",I898)</f>
        <v/>
      </c>
      <c r="F898" s="11" t="inlineStr">
        <is>
          <t>1063 | 2026-03-07 | 40,400 | keiny lorena martinez</t>
        </is>
      </c>
      <c r="G898" s="11">
        <f>IF(I898="conciliado","conciliado","por revisar")</f>
        <v/>
      </c>
      <c r="H898" s="11" t="inlineStr"/>
      <c r="I898" s="11" t="inlineStr">
        <is>
          <t>conciliado</t>
        </is>
      </c>
    </row>
    <row r="899">
      <c r="A899" s="11" t="n">
        <v>248</v>
      </c>
      <c r="B899" s="12" t="n">
        <v>46088</v>
      </c>
      <c r="C899" s="11" t="inlineStr">
        <is>
          <t>je mosquera palacios</t>
        </is>
      </c>
      <c r="D899" s="13" t="n">
        <v>11800</v>
      </c>
      <c r="E899" s="11">
        <f>IF(G899="conciliado","conciliado",I899)</f>
        <v/>
      </c>
      <c r="F899" s="11" t="inlineStr">
        <is>
          <t>1064 | 2026-03-07 | 11,800 | jennifer mosquera</t>
        </is>
      </c>
      <c r="G899" s="11">
        <f>IF(I899="conciliado","conciliado","por revisar")</f>
        <v/>
      </c>
      <c r="H899" s="11" t="inlineStr"/>
      <c r="I899" s="11" t="inlineStr">
        <is>
          <t>conciliado</t>
        </is>
      </c>
    </row>
    <row r="900">
      <c r="A900" s="11" t="n">
        <v>247</v>
      </c>
      <c r="B900" s="12" t="n">
        <v>46088</v>
      </c>
      <c r="C900" s="11" t="inlineStr">
        <is>
          <t>castellanos pantoja</t>
        </is>
      </c>
      <c r="D900" s="13" t="n">
        <v>9800</v>
      </c>
      <c r="E900" s="11">
        <f>IF(G900="conciliado","conciliado",I900)</f>
        <v/>
      </c>
      <c r="F900" s="11" t="inlineStr">
        <is>
          <t>1065 | 2026-03-07 | 9,800 | gomajoa ivonne patricia</t>
        </is>
      </c>
      <c r="G900" s="11">
        <f>IF(I900="conciliado","conciliado","por revisar")</f>
        <v/>
      </c>
      <c r="H900" s="11" t="inlineStr"/>
      <c r="I900" s="11" t="inlineStr">
        <is>
          <t>conciliado</t>
        </is>
      </c>
    </row>
    <row r="901">
      <c r="A901" s="11" t="n">
        <v>241</v>
      </c>
      <c r="B901" s="12" t="n">
        <v>46088</v>
      </c>
      <c r="C901" s="11" t="inlineStr">
        <is>
          <t>ju marroquin pantoja</t>
        </is>
      </c>
      <c r="D901" s="13" t="n">
        <v>12700</v>
      </c>
      <c r="E901" s="11">
        <f>IF(G901="conciliado","conciliado",I901)</f>
        <v/>
      </c>
      <c r="F901" s="11" t="inlineStr">
        <is>
          <t>1066 | 2026-03-07 | 12,700 | chirley julieth</t>
        </is>
      </c>
      <c r="G901" s="11">
        <f>IF(I901="conciliado","conciliado","por revisar")</f>
        <v/>
      </c>
      <c r="H901" s="11" t="inlineStr"/>
      <c r="I901" s="11" t="inlineStr">
        <is>
          <t>conciliado</t>
        </is>
      </c>
    </row>
    <row r="902">
      <c r="A902" s="11" t="n">
        <v>261</v>
      </c>
      <c r="B902" s="12" t="n">
        <v>46088</v>
      </c>
      <c r="C902" s="11" t="inlineStr">
        <is>
          <t>castillo hern patino</t>
        </is>
      </c>
      <c r="D902" s="13" t="n">
        <v>75000</v>
      </c>
      <c r="E902" s="11">
        <f>IF(G902="conciliado","conciliado",I902)</f>
        <v/>
      </c>
      <c r="F902" s="11" t="inlineStr">
        <is>
          <t>1067 | 2026-03-07 | 75,000 | castillo hernan wilian</t>
        </is>
      </c>
      <c r="G902" s="11">
        <f>IF(I902="conciliado","conciliado","por revisar")</f>
        <v/>
      </c>
      <c r="H902" s="11" t="inlineStr"/>
      <c r="I902" s="11" t="inlineStr">
        <is>
          <t>conciliado</t>
        </is>
      </c>
    </row>
    <row r="903">
      <c r="A903" s="11" t="n">
        <v>256</v>
      </c>
      <c r="B903" s="12" t="n">
        <v>46088</v>
      </c>
      <c r="C903" s="11" t="inlineStr">
        <is>
          <t>coral valeria</t>
        </is>
      </c>
      <c r="D903" s="13" t="n">
        <v>5500</v>
      </c>
      <c r="E903" s="11">
        <f>IF(G903="conciliado","conciliado",I903)</f>
        <v/>
      </c>
      <c r="F903" s="11" t="inlineStr">
        <is>
          <t>1068 | 2026-03-07 | 5,500 | coral delcy valeria</t>
        </is>
      </c>
      <c r="G903" s="11">
        <f>IF(I903="conciliado","conciliado","por revisar")</f>
        <v/>
      </c>
      <c r="H903" s="11" t="inlineStr"/>
      <c r="I903" s="11" t="inlineStr">
        <is>
          <t>conciliado</t>
        </is>
      </c>
    </row>
    <row r="904">
      <c r="A904" s="11" t="n">
        <v>267</v>
      </c>
      <c r="B904" s="12" t="n">
        <v>46088</v>
      </c>
      <c r="C904" s="11" t="inlineStr">
        <is>
          <t>alderete dani obando</t>
        </is>
      </c>
      <c r="D904" s="13" t="n">
        <v>10400</v>
      </c>
      <c r="E904" s="11">
        <f>IF(G904="conciliado","conciliado",I904)</f>
        <v/>
      </c>
      <c r="F904" s="11" t="inlineStr">
        <is>
          <t>1069 | 2026-03-07 | 10,400 | alfredo daniel obando</t>
        </is>
      </c>
      <c r="G904" s="11">
        <f>IF(I904="conciliado","conciliado","por revisar")</f>
        <v/>
      </c>
      <c r="H904" s="11" t="inlineStr"/>
      <c r="I904" s="11" t="inlineStr">
        <is>
          <t>conciliado</t>
        </is>
      </c>
    </row>
    <row r="905">
      <c r="A905" s="11" t="n">
        <v>277</v>
      </c>
      <c r="B905" s="12" t="n">
        <v>46088</v>
      </c>
      <c r="C905" s="11" t="inlineStr">
        <is>
          <t>a jose meneses tapia</t>
        </is>
      </c>
      <c r="D905" s="13" t="n">
        <v>52500</v>
      </c>
      <c r="E905" s="11">
        <f>IF(G905="conciliado","conciliado",I905)</f>
        <v/>
      </c>
      <c r="F905" s="11" t="inlineStr">
        <is>
          <t>1070 | 2026-03-07 | 52,500 | b bre jose</t>
        </is>
      </c>
      <c r="G905" s="11">
        <f>IF(I905="conciliado","conciliado","por revisar")</f>
        <v/>
      </c>
      <c r="H905" s="11" t="inlineStr"/>
      <c r="I905" s="11" t="inlineStr">
        <is>
          <t>conciliado</t>
        </is>
      </c>
    </row>
    <row r="906">
      <c r="A906" s="11" t="n">
        <v>276</v>
      </c>
      <c r="B906" s="12" t="n">
        <v>46088</v>
      </c>
      <c r="C906" s="11" t="inlineStr">
        <is>
          <t>bastidas c diaz juan</t>
        </is>
      </c>
      <c r="D906" s="13" t="n">
        <v>111800</v>
      </c>
      <c r="E906" s="11">
        <f>IF(G906="conciliado","conciliado",I906)</f>
        <v/>
      </c>
      <c r="F906" s="11" t="inlineStr">
        <is>
          <t>1071 | 2026-03-07 | 111,800 | carlos diaz juan</t>
        </is>
      </c>
      <c r="G906" s="11">
        <f>IF(I906="conciliado","conciliado","por revisar")</f>
        <v/>
      </c>
      <c r="H906" s="11" t="inlineStr"/>
      <c r="I906" s="11" t="inlineStr">
        <is>
          <t>conciliado</t>
        </is>
      </c>
    </row>
    <row r="907">
      <c r="A907" s="11" t="n">
        <v>275</v>
      </c>
      <c r="B907" s="12" t="n">
        <v>46088</v>
      </c>
      <c r="C907" s="11" t="inlineStr">
        <is>
          <t>br campo jaramillo</t>
        </is>
      </c>
      <c r="D907" s="13" t="n">
        <v>63500</v>
      </c>
      <c r="E907" s="11">
        <f>IF(G907="conciliado","conciliado",I907)</f>
        <v/>
      </c>
      <c r="F907" s="11" t="inlineStr">
        <is>
          <t>1072 | 2026-03-07 | 63,500 | andres brayan campos</t>
        </is>
      </c>
      <c r="G907" s="11">
        <f>IF(I907="conciliado","conciliado","por revisar")</f>
        <v/>
      </c>
      <c r="H907" s="11" t="inlineStr"/>
      <c r="I907" s="11" t="inlineStr">
        <is>
          <t>conciliado</t>
        </is>
      </c>
    </row>
    <row r="908">
      <c r="A908" s="11" t="n">
        <v>235</v>
      </c>
      <c r="B908" s="12" t="n">
        <v>46088</v>
      </c>
      <c r="C908" s="11" t="inlineStr">
        <is>
          <t>alvarez quintero yis</t>
        </is>
      </c>
      <c r="D908" s="13" t="n">
        <v>53400</v>
      </c>
      <c r="E908" s="11">
        <f>IF(G908="conciliado","conciliado",I908)</f>
        <v/>
      </c>
      <c r="F908" s="11" t="inlineStr">
        <is>
          <t>1073 | 2026-03-07 | 53,400 | b bre yisself</t>
        </is>
      </c>
      <c r="G908" s="11">
        <f>IF(I908="conciliado","conciliado","por revisar")</f>
        <v/>
      </c>
      <c r="H908" s="11" t="inlineStr"/>
      <c r="I908" s="11" t="inlineStr">
        <is>
          <t>conciliado</t>
        </is>
      </c>
    </row>
    <row r="909">
      <c r="A909" s="11" t="n">
        <v>250</v>
      </c>
      <c r="B909" s="12" t="n">
        <v>46088</v>
      </c>
      <c r="C909" s="11" t="inlineStr">
        <is>
          <t>cordoba cuasialpud e</t>
        </is>
      </c>
      <c r="D909" s="13" t="n">
        <v>33200</v>
      </c>
      <c r="E909" s="11">
        <f>IF(G909="conciliado","conciliado",I909)</f>
        <v/>
      </c>
      <c r="F909" s="11" t="inlineStr">
        <is>
          <t>1074 | 2026-03-07 | 33,200 | cordoba edwar ferney</t>
        </is>
      </c>
      <c r="G909" s="11">
        <f>IF(I909="conciliado","conciliado","por revisar")</f>
        <v/>
      </c>
      <c r="H909" s="11" t="inlineStr"/>
      <c r="I909" s="11" t="inlineStr">
        <is>
          <t>conciliado</t>
        </is>
      </c>
    </row>
    <row r="910">
      <c r="A910" s="11" t="n">
        <v>234</v>
      </c>
      <c r="B910" s="12" t="n">
        <v>46088</v>
      </c>
      <c r="C910" s="11" t="inlineStr">
        <is>
          <t>anggie lili mosquera</t>
        </is>
      </c>
      <c r="D910" s="13" t="n">
        <v>58800</v>
      </c>
      <c r="E910" s="11">
        <f>IF(G910="conciliado","conciliado",I910)</f>
        <v/>
      </c>
      <c r="F910" s="11" t="inlineStr">
        <is>
          <t>1075 | 2026-03-07 | 58,800 | anggie liliana mosquera</t>
        </is>
      </c>
      <c r="G910" s="11">
        <f>IF(I910="conciliado","conciliado","por revisar")</f>
        <v/>
      </c>
      <c r="H910" s="11" t="inlineStr"/>
      <c r="I910" s="11" t="inlineStr">
        <is>
          <t>conciliado</t>
        </is>
      </c>
    </row>
    <row r="911">
      <c r="A911" s="11" t="n">
        <v>238</v>
      </c>
      <c r="B911" s="12" t="n">
        <v>46088</v>
      </c>
      <c r="C911" s="11" t="inlineStr">
        <is>
          <t>acosta idaly narvaez</t>
        </is>
      </c>
      <c r="D911" s="13" t="n">
        <v>2200</v>
      </c>
      <c r="E911" s="11">
        <f>IF(G911="conciliado","conciliado",I911)</f>
        <v/>
      </c>
      <c r="F911" s="11" t="inlineStr">
        <is>
          <t>1076 | 2026-03-07 | 2,200 | esperanza idaly narvaez</t>
        </is>
      </c>
      <c r="G911" s="11">
        <f>IF(I911="conciliado","conciliado","por revisar")</f>
        <v/>
      </c>
      <c r="H911" s="11" t="inlineStr"/>
      <c r="I911" s="11" t="inlineStr">
        <is>
          <t>conciliado</t>
        </is>
      </c>
    </row>
    <row r="912">
      <c r="A912" s="11" t="n">
        <v>239</v>
      </c>
      <c r="B912" s="12" t="n">
        <v>46088</v>
      </c>
      <c r="C912" s="11" t="inlineStr">
        <is>
          <t>alegria magd narvaez</t>
        </is>
      </c>
      <c r="D912" s="13" t="n">
        <v>11100</v>
      </c>
      <c r="E912" s="11">
        <f>IF(G912="conciliado","conciliado",I912)</f>
        <v/>
      </c>
      <c r="F912" s="11" t="inlineStr">
        <is>
          <t>1077 | 2026-03-07 | 11,100 | alegria liliana magda</t>
        </is>
      </c>
      <c r="G912" s="11">
        <f>IF(I912="conciliado","conciliado","por revisar")</f>
        <v/>
      </c>
      <c r="H912" s="11" t="inlineStr"/>
      <c r="I912" s="11" t="inlineStr">
        <is>
          <t>conciliado</t>
        </is>
      </c>
    </row>
    <row r="913">
      <c r="A913" s="11" t="n">
        <v>258</v>
      </c>
      <c r="B913" s="12" t="n">
        <v>46088</v>
      </c>
      <c r="C913" s="11" t="inlineStr">
        <is>
          <t>juan rivera zambrano</t>
        </is>
      </c>
      <c r="D913" s="13" t="n">
        <v>36058</v>
      </c>
      <c r="E913" s="11">
        <f>IF(G913="conciliado","conciliado",I913)</f>
        <v/>
      </c>
      <c r="F913" s="11" t="inlineStr">
        <is>
          <t>1078 | 2026-03-07 | 36,058 | david juan zambrano</t>
        </is>
      </c>
      <c r="G913" s="11">
        <f>IF(I913="conciliado","conciliado","por revisar")</f>
        <v/>
      </c>
      <c r="H913" s="11" t="inlineStr"/>
      <c r="I913" s="11" t="inlineStr">
        <is>
          <t>conciliado</t>
        </is>
      </c>
    </row>
    <row r="914">
      <c r="A914" s="11" t="n">
        <v>264</v>
      </c>
      <c r="B914" s="12" t="n">
        <v>46088</v>
      </c>
      <c r="C914" s="11" t="inlineStr">
        <is>
          <t>carol florez guerron</t>
        </is>
      </c>
      <c r="D914" s="13" t="n">
        <v>1800</v>
      </c>
      <c r="E914" s="11">
        <f>IF(G914="conciliado","conciliado",I914)</f>
        <v/>
      </c>
      <c r="F914" s="11" t="inlineStr">
        <is>
          <t>1079 | 2026-03-07 | 1,800 | florez karol lizeth</t>
        </is>
      </c>
      <c r="G914" s="11">
        <f>IF(I914="conciliado","conciliado","por revisar")</f>
        <v/>
      </c>
      <c r="H914" s="11" t="inlineStr"/>
      <c r="I914" s="11" t="inlineStr">
        <is>
          <t>conciliado</t>
        </is>
      </c>
    </row>
    <row r="915">
      <c r="A915" s="11" t="n">
        <v>274</v>
      </c>
      <c r="B915" s="12" t="n">
        <v>46088</v>
      </c>
      <c r="C915" s="11" t="inlineStr">
        <is>
          <t>dar paladines pineda</t>
        </is>
      </c>
      <c r="D915" s="13" t="n">
        <v>21400</v>
      </c>
      <c r="E915" s="11">
        <f>IF(G915="conciliado","conciliado",I915)</f>
        <v/>
      </c>
      <c r="F915" s="11" t="inlineStr">
        <is>
          <t>1080 | 2026-03-07 | 21,400 | darwin fabian paladines</t>
        </is>
      </c>
      <c r="G915" s="11">
        <f>IF(I915="conciliado","conciliado","por revisar")</f>
        <v/>
      </c>
      <c r="H915" s="11" t="inlineStr"/>
      <c r="I915" s="11" t="inlineStr">
        <is>
          <t>conciliado</t>
        </is>
      </c>
    </row>
    <row r="916">
      <c r="A916" s="11" t="n">
        <v>273</v>
      </c>
      <c r="B916" s="12" t="n">
        <v>46088</v>
      </c>
      <c r="C916" s="11" t="inlineStr">
        <is>
          <t>bolanos omair rosero</t>
        </is>
      </c>
      <c r="D916" s="13" t="n">
        <v>20000</v>
      </c>
      <c r="E916" s="11">
        <f>IF(G916="conciliado","conciliado",I916)</f>
        <v/>
      </c>
      <c r="F916" s="11" t="inlineStr">
        <is>
          <t>1081 | 2026-03-07 | 20,000 | bolanos omaira rosero</t>
        </is>
      </c>
      <c r="G916" s="11">
        <f>IF(I916="conciliado","conciliado","por revisar")</f>
        <v/>
      </c>
      <c r="H916" s="11" t="inlineStr"/>
      <c r="I916" s="11" t="inlineStr">
        <is>
          <t>conciliado</t>
        </is>
      </c>
    </row>
    <row r="917">
      <c r="A917" s="11" t="n">
        <v>240</v>
      </c>
      <c r="B917" s="12" t="n">
        <v>46088</v>
      </c>
      <c r="C917" s="11" t="inlineStr">
        <is>
          <t>dian grajales osorio</t>
        </is>
      </c>
      <c r="D917" s="13" t="n">
        <v>18000</v>
      </c>
      <c r="E917" s="11">
        <f>IF(G917="conciliado","conciliado",I917)</f>
        <v/>
      </c>
      <c r="F917" s="11" t="inlineStr">
        <is>
          <t>1082 | 2026-03-07 | 18,000 | alejandra salome</t>
        </is>
      </c>
      <c r="G917" s="11">
        <f>IF(I917="conciliado","conciliado","por revisar")</f>
        <v/>
      </c>
      <c r="H917" s="11" t="inlineStr"/>
      <c r="I917" s="11" t="inlineStr">
        <is>
          <t>conciliado</t>
        </is>
      </c>
    </row>
    <row r="918">
      <c r="A918" s="11" t="n">
        <v>272</v>
      </c>
      <c r="B918" s="12" t="n">
        <v>46088</v>
      </c>
      <c r="C918" s="11" t="inlineStr">
        <is>
          <t>farfan quisial</t>
        </is>
      </c>
      <c r="D918" s="13" t="n">
        <v>8000</v>
      </c>
      <c r="E918" s="11">
        <f>IF(G918="conciliado","conciliado",I918)</f>
        <v/>
      </c>
      <c r="F918" s="11" t="inlineStr">
        <is>
          <t>1083 | 2026-03-07 | 8,000 | farfan halley hellen</t>
        </is>
      </c>
      <c r="G918" s="11">
        <f>IF(I918="conciliado","conciliado","por revisar")</f>
        <v/>
      </c>
      <c r="H918" s="11" t="inlineStr"/>
      <c r="I918" s="11" t="inlineStr">
        <is>
          <t>conciliado</t>
        </is>
      </c>
    </row>
    <row r="919">
      <c r="A919" s="11" t="n">
        <v>252</v>
      </c>
      <c r="B919" s="12" t="n">
        <v>46088</v>
      </c>
      <c r="C919" s="11" t="inlineStr">
        <is>
          <t>a ceballos cuastumal</t>
        </is>
      </c>
      <c r="D919" s="13" t="n">
        <v>19400</v>
      </c>
      <c r="E919" s="11">
        <f>IF(G919="conciliado","conciliado",I919)</f>
        <v/>
      </c>
      <c r="F919" s="11" t="inlineStr">
        <is>
          <t>1084 | 2026-03-07 | 19,400 | alexis b bre</t>
        </is>
      </c>
      <c r="G919" s="11">
        <f>IF(I919="conciliado","conciliado","por revisar")</f>
        <v/>
      </c>
      <c r="H919" s="11" t="inlineStr"/>
      <c r="I919" s="11" t="inlineStr">
        <is>
          <t>conciliado</t>
        </is>
      </c>
    </row>
    <row r="920">
      <c r="A920" s="11" t="n">
        <v>236</v>
      </c>
      <c r="B920" s="12" t="n">
        <v>46088</v>
      </c>
      <c r="C920" s="11" t="inlineStr">
        <is>
          <t>benavide manchabajoy</t>
        </is>
      </c>
      <c r="D920" s="13" t="n">
        <v>3000</v>
      </c>
      <c r="E920" s="11">
        <f>IF(G920="conciliado","conciliado",I920)</f>
        <v/>
      </c>
      <c r="F920" s="11" t="inlineStr">
        <is>
          <t>1085 | 2026-03-07 | 3,000 | ricardo segundo</t>
        </is>
      </c>
      <c r="G920" s="11">
        <f>IF(I920="conciliado","conciliado","por revisar")</f>
        <v/>
      </c>
      <c r="H920" s="11" t="inlineStr"/>
      <c r="I920" s="11" t="inlineStr">
        <is>
          <t>conciliado</t>
        </is>
      </c>
    </row>
    <row r="921">
      <c r="A921" s="11" t="n">
        <v>265</v>
      </c>
      <c r="B921" s="12" t="n">
        <v>46088</v>
      </c>
      <c r="C921" s="11" t="inlineStr">
        <is>
          <t>higuita lucidi manco</t>
        </is>
      </c>
      <c r="D921" s="13" t="n">
        <v>25000</v>
      </c>
      <c r="E921" s="11">
        <f>IF(G921="conciliado","conciliado",I921)</f>
        <v/>
      </c>
      <c r="F921" s="11" t="inlineStr">
        <is>
          <t>1086 | 2026-03-07 | 25,000 | gomez manco santiago</t>
        </is>
      </c>
      <c r="G921" s="11">
        <f>IF(I921="conciliado","conciliado","por revisar")</f>
        <v/>
      </c>
      <c r="H921" s="11" t="inlineStr"/>
      <c r="I921" s="11" t="inlineStr">
        <is>
          <t>conciliado</t>
        </is>
      </c>
    </row>
    <row r="922">
      <c r="A922" s="11" t="n">
        <v>245</v>
      </c>
      <c r="B922" s="12" t="n">
        <v>46088</v>
      </c>
      <c r="C922" s="11" t="inlineStr">
        <is>
          <t>acosta geid oliveros</t>
        </is>
      </c>
      <c r="D922" s="13" t="n">
        <v>17000</v>
      </c>
      <c r="E922" s="11">
        <f>IF(G922="conciliado","conciliado",I922)</f>
        <v/>
      </c>
      <c r="F922" s="11" t="inlineStr">
        <is>
          <t>1087 | 2026-03-07 | 17,000 | bancolombia desde recarga</t>
        </is>
      </c>
      <c r="G922" s="11">
        <f>IF(I922="conciliado","conciliado","por revisar")</f>
        <v/>
      </c>
      <c r="H922" s="11" t="inlineStr"/>
      <c r="I922" s="11" t="inlineStr">
        <is>
          <t>conciliado</t>
        </is>
      </c>
    </row>
    <row r="923">
      <c r="A923" s="11" t="n">
        <v>271</v>
      </c>
      <c r="B923" s="12" t="n">
        <v>46088</v>
      </c>
      <c r="C923" s="11" t="inlineStr">
        <is>
          <t>aragon fanco ye</t>
        </is>
      </c>
      <c r="D923" s="13" t="n">
        <v>24000</v>
      </c>
      <c r="E923" s="11">
        <f>IF(G923="conciliado","conciliado",I923)</f>
        <v/>
      </c>
      <c r="F923" s="11" t="inlineStr">
        <is>
          <t>1088 | 2026-03-07 | 24,000 | aragon katherine yesica</t>
        </is>
      </c>
      <c r="G923" s="11">
        <f>IF(I923="conciliado","conciliado","por revisar")</f>
        <v/>
      </c>
      <c r="H923" s="11" t="inlineStr"/>
      <c r="I923" s="11" t="inlineStr">
        <is>
          <t>conciliado</t>
        </is>
      </c>
    </row>
    <row r="924">
      <c r="A924" s="11" t="n">
        <v>254</v>
      </c>
      <c r="B924" s="12" t="n">
        <v>46088</v>
      </c>
      <c r="C924" s="11" t="inlineStr">
        <is>
          <t>alvarez karo molina</t>
        </is>
      </c>
      <c r="D924" s="13" t="n">
        <v>20600</v>
      </c>
      <c r="E924" s="11">
        <f>IF(G924="conciliado","conciliado",I924)</f>
        <v/>
      </c>
      <c r="F924" s="11" t="inlineStr">
        <is>
          <t>1089 | 2026-03-07 | 20,600 | dayanna karol molina</t>
        </is>
      </c>
      <c r="G924" s="11">
        <f>IF(I924="conciliado","conciliado","por revisar")</f>
        <v/>
      </c>
      <c r="H924" s="11" t="inlineStr"/>
      <c r="I924" s="11" t="inlineStr">
        <is>
          <t>conciliado</t>
        </is>
      </c>
    </row>
    <row r="925">
      <c r="A925" s="11" t="n">
        <v>269</v>
      </c>
      <c r="B925" s="12" t="n">
        <v>46088</v>
      </c>
      <c r="C925" s="11" t="inlineStr">
        <is>
          <t>chasoy judy timaran</t>
        </is>
      </c>
      <c r="D925" s="13" t="n">
        <v>64800</v>
      </c>
      <c r="E925" s="11">
        <f>IF(G925="conciliado","conciliado",I925)</f>
        <v/>
      </c>
      <c r="F925" s="11" t="inlineStr">
        <is>
          <t>1091 | 2026-03-07 | 64,800 | b bre judy</t>
        </is>
      </c>
      <c r="G925" s="11">
        <f>IF(I925="conciliado","conciliado","por revisar")</f>
        <v/>
      </c>
      <c r="H925" s="11" t="inlineStr"/>
      <c r="I925" s="11" t="inlineStr">
        <is>
          <t>conciliado</t>
        </is>
      </c>
    </row>
    <row r="926">
      <c r="A926" s="11" t="n">
        <v>262</v>
      </c>
      <c r="B926" s="12" t="n">
        <v>46088</v>
      </c>
      <c r="C926" s="11" t="inlineStr">
        <is>
          <t>luz medina mosquera</t>
        </is>
      </c>
      <c r="D926" s="13" t="n">
        <v>17100</v>
      </c>
      <c r="E926" s="11">
        <f>IF(G926="conciliado","conciliado",I926)</f>
        <v/>
      </c>
      <c r="F926" s="11" t="inlineStr">
        <is>
          <t>1092 | 2026-03-07 | 17,100 | amparo luz medina pino</t>
        </is>
      </c>
      <c r="G926" s="11">
        <f>IF(I926="conciliado","conciliado","por revisar")</f>
        <v/>
      </c>
      <c r="H926" s="11" t="inlineStr"/>
      <c r="I926" s="11" t="inlineStr">
        <is>
          <t>conciliado</t>
        </is>
      </c>
    </row>
    <row r="927">
      <c r="A927" s="11" t="n">
        <v>253</v>
      </c>
      <c r="B927" s="12" t="n">
        <v>46088</v>
      </c>
      <c r="C927" s="11" t="inlineStr">
        <is>
          <t>cuchala jes patascoy</t>
        </is>
      </c>
      <c r="D927" s="13" t="n">
        <v>27600</v>
      </c>
      <c r="E927" s="11">
        <f>IF(G927="conciliado","conciliado",I927)</f>
        <v/>
      </c>
      <c r="F927" s="11" t="inlineStr">
        <is>
          <t>1093 | 2026-03-07 | 27,600 | arley jesus patascoy</t>
        </is>
      </c>
      <c r="G927" s="11">
        <f>IF(I927="conciliado","conciliado","por revisar")</f>
        <v/>
      </c>
      <c r="H927" s="11" t="inlineStr"/>
      <c r="I927" s="11" t="inlineStr">
        <is>
          <t>conciliado</t>
        </is>
      </c>
    </row>
    <row r="928">
      <c r="A928" s="11" t="n">
        <v>249</v>
      </c>
      <c r="B928" s="12" t="n">
        <v>46088</v>
      </c>
      <c r="C928" s="11" t="inlineStr">
        <is>
          <t>din mendez velasquez</t>
        </is>
      </c>
      <c r="D928" s="13" t="n">
        <v>10000</v>
      </c>
      <c r="E928" s="11">
        <f>IF(G928="conciliado","conciliado",I928)</f>
        <v/>
      </c>
      <c r="F928" s="11" t="inlineStr">
        <is>
          <t>1094 | 2026-03-07 | 10,000 | dina luz mendez</t>
        </is>
      </c>
      <c r="G928" s="11">
        <f>IF(I928="conciliado","conciliado","por revisar")</f>
        <v/>
      </c>
      <c r="H928" s="11" t="inlineStr"/>
      <c r="I928" s="11" t="inlineStr">
        <is>
          <t>conciliado</t>
        </is>
      </c>
    </row>
    <row r="929">
      <c r="A929" s="11" t="n">
        <v>259</v>
      </c>
      <c r="B929" s="12" t="n">
        <v>46088</v>
      </c>
      <c r="C929" s="11" t="inlineStr">
        <is>
          <t>cueltan dani escobar</t>
        </is>
      </c>
      <c r="D929" s="13" t="n">
        <v>7600</v>
      </c>
      <c r="E929" s="11">
        <f>IF(G929="conciliado","conciliado",I929)</f>
        <v/>
      </c>
      <c r="F929" s="11" t="inlineStr">
        <is>
          <t>1095 | 2026-03-07 | 7,600 | escobar lizeth</t>
        </is>
      </c>
      <c r="G929" s="11">
        <f>IF(I929="conciliado","conciliado","por revisar")</f>
        <v/>
      </c>
      <c r="H929" s="11" t="inlineStr"/>
      <c r="I929" s="11" t="inlineStr">
        <is>
          <t>conciliado</t>
        </is>
      </c>
    </row>
    <row r="930">
      <c r="A930" s="11" t="n">
        <v>231</v>
      </c>
      <c r="B930" s="12" t="n">
        <v>46088</v>
      </c>
      <c r="C930" s="11" t="inlineStr">
        <is>
          <t>a s s sky</t>
        </is>
      </c>
      <c r="D930" s="13" t="n">
        <v>-906629</v>
      </c>
      <c r="E930" s="11">
        <f>IF(G930="conciliado","conciliado",I930)</f>
        <v/>
      </c>
      <c r="F930" s="11" t="inlineStr">
        <is>
          <t>1096 | 2026-03-07 | -906,629 | sas sky</t>
        </is>
      </c>
      <c r="G930" s="11">
        <f>IF(I930="conciliado","conciliado","por revisar")</f>
        <v/>
      </c>
      <c r="H930" s="11" t="inlineStr"/>
      <c r="I930" s="11" t="inlineStr">
        <is>
          <t>conciliado</t>
        </is>
      </c>
    </row>
    <row r="931">
      <c r="A931" s="11" t="n">
        <v>257</v>
      </c>
      <c r="B931" s="12" t="n">
        <v>46088</v>
      </c>
      <c r="C931" s="11" t="inlineStr">
        <is>
          <t>al carrero gutierrez</t>
        </is>
      </c>
      <c r="D931" s="13" t="n">
        <v>22000</v>
      </c>
      <c r="E931" s="11">
        <f>IF(G931="conciliado","conciliado",I931)</f>
        <v/>
      </c>
      <c r="F931" s="11" t="inlineStr">
        <is>
          <t>1098 | 2026-03-07 | 22,000 | alexis gutierrez</t>
        </is>
      </c>
      <c r="G931" s="11">
        <f>IF(I931="conciliado","conciliado","por revisar")</f>
        <v/>
      </c>
      <c r="H931" s="11" t="inlineStr"/>
      <c r="I931" s="11" t="inlineStr">
        <is>
          <t>conciliado</t>
        </is>
      </c>
    </row>
    <row r="932">
      <c r="A932" s="11" t="n">
        <v>242</v>
      </c>
      <c r="B932" s="12" t="n">
        <v>46088</v>
      </c>
      <c r="C932" s="11" t="inlineStr">
        <is>
          <t>cruz guazaquillo nid</t>
        </is>
      </c>
      <c r="D932" s="13" t="n">
        <v>19600</v>
      </c>
      <c r="E932" s="11">
        <f>IF(G932="conciliado","conciliado",I932)</f>
        <v/>
      </c>
      <c r="F932" s="11" t="inlineStr">
        <is>
          <t>1099 | 2026-03-07 | 19,600 | cruz guazaquillo nidia</t>
        </is>
      </c>
      <c r="G932" s="11">
        <f>IF(I932="conciliado","conciliado","por revisar")</f>
        <v/>
      </c>
      <c r="H932" s="11" t="inlineStr"/>
      <c r="I932" s="11" t="inlineStr">
        <is>
          <t>conciliado</t>
        </is>
      </c>
    </row>
    <row r="933">
      <c r="A933" s="11" t="n">
        <v>233</v>
      </c>
      <c r="B933" s="12" t="n">
        <v>46088</v>
      </c>
      <c r="C933" s="11" t="inlineStr">
        <is>
          <t>a cardona maria rayo</t>
        </is>
      </c>
      <c r="D933" s="13" t="n">
        <v>15000</v>
      </c>
      <c r="E933" s="11">
        <f>IF(G933="conciliado","conciliado",I933)</f>
        <v/>
      </c>
      <c r="F933" s="11" t="inlineStr">
        <is>
          <t>1100 | 2026-03-07 | 15,000 | araceli maria rayo</t>
        </is>
      </c>
      <c r="G933" s="11">
        <f>IF(I933="conciliado","conciliado","por revisar")</f>
        <v/>
      </c>
      <c r="H933" s="11" t="inlineStr"/>
      <c r="I933" s="11" t="inlineStr">
        <is>
          <t>conciliado</t>
        </is>
      </c>
    </row>
    <row r="934">
      <c r="A934" s="11" t="n">
        <v>251</v>
      </c>
      <c r="B934" s="12" t="n">
        <v>46088</v>
      </c>
      <c r="C934" s="11" t="inlineStr">
        <is>
          <t>jiraldo pao valencia</t>
        </is>
      </c>
      <c r="D934" s="13" t="n">
        <v>21300</v>
      </c>
      <c r="E934" s="11">
        <f>IF(G934="conciliado","conciliado",I934)</f>
        <v/>
      </c>
      <c r="F934" s="11" t="inlineStr">
        <is>
          <t>1101 | 2026-03-07 | 21,300 | andrea giraldo paola</t>
        </is>
      </c>
      <c r="G934" s="11">
        <f>IF(I934="conciliado","conciliado","por revisar")</f>
        <v/>
      </c>
      <c r="H934" s="11" t="inlineStr"/>
      <c r="I934" s="11" t="inlineStr">
        <is>
          <t>conciliado</t>
        </is>
      </c>
    </row>
    <row r="935">
      <c r="A935" s="11" t="n">
        <v>246</v>
      </c>
      <c r="B935" s="12" t="n">
        <v>46088</v>
      </c>
      <c r="C935" s="11" t="inlineStr">
        <is>
          <t>jos linda palma romo</t>
        </is>
      </c>
      <c r="D935" s="13" t="n">
        <v>10000</v>
      </c>
      <c r="E935" s="11">
        <f>IF(G935="conciliado","conciliado",I935)</f>
        <v/>
      </c>
      <c r="F935" s="11" t="inlineStr">
        <is>
          <t>1102 | 2026-03-07 | 10,000 | joshira linda romo</t>
        </is>
      </c>
      <c r="G935" s="11">
        <f>IF(I935="conciliado","conciliado","por revisar")</f>
        <v/>
      </c>
      <c r="H935" s="11" t="inlineStr"/>
      <c r="I935" s="11" t="inlineStr">
        <is>
          <t>conciliado</t>
        </is>
      </c>
    </row>
    <row r="936">
      <c r="A936" s="11" t="n">
        <v>255</v>
      </c>
      <c r="B936" s="12" t="n">
        <v>46088</v>
      </c>
      <c r="C936" s="11" t="inlineStr">
        <is>
          <t>alvaro diaz vuelvas</t>
        </is>
      </c>
      <c r="D936" s="13" t="n">
        <v>30300</v>
      </c>
      <c r="E936" s="11">
        <f>IF(G936="conciliado","conciliado",I936)</f>
        <v/>
      </c>
      <c r="F936" s="11" t="inlineStr">
        <is>
          <t>1104 | 2026-03-07 | 30,300 | alvaro buelvas german</t>
        </is>
      </c>
      <c r="G936" s="11">
        <f>IF(I936="conciliado","conciliado","por revisar")</f>
        <v/>
      </c>
      <c r="H936" s="11" t="inlineStr"/>
      <c r="I936" s="11" t="inlineStr">
        <is>
          <t>conciliado</t>
        </is>
      </c>
    </row>
    <row r="937">
      <c r="A937" s="11" t="n">
        <v>205</v>
      </c>
      <c r="B937" s="12" t="n">
        <v>46087</v>
      </c>
      <c r="C937" s="11" t="inlineStr">
        <is>
          <t>angulo cahuasa ismen</t>
        </is>
      </c>
      <c r="D937" s="13" t="n">
        <v>12900</v>
      </c>
      <c r="E937" s="11">
        <f>IF(G937="conciliado","conciliado",I937)</f>
        <v/>
      </c>
      <c r="F937" s="11" t="inlineStr">
        <is>
          <t>1105 | 2026-03-06 | 12,900 | rivera ruby sirley</t>
        </is>
      </c>
      <c r="G937" s="11">
        <f>IF(I937="conciliado","conciliado","por revisar")</f>
        <v/>
      </c>
      <c r="H937" s="11" t="inlineStr"/>
      <c r="I937" s="11" t="inlineStr">
        <is>
          <t>conciliado</t>
        </is>
      </c>
    </row>
    <row r="938">
      <c r="A938" s="11" t="n">
        <v>209</v>
      </c>
      <c r="B938" s="12" t="n">
        <v>46087</v>
      </c>
      <c r="C938" s="11" t="inlineStr">
        <is>
          <t>anny arteaga pena s</t>
        </is>
      </c>
      <c r="D938" s="13" t="n">
        <v>11400</v>
      </c>
      <c r="E938" s="11">
        <f>IF(G938="conciliado","conciliado",I938)</f>
        <v/>
      </c>
      <c r="F938" s="11" t="inlineStr">
        <is>
          <t>1107 | 2026-03-06 | 11,400 | agudelo estiven kevin</t>
        </is>
      </c>
      <c r="G938" s="11">
        <f>IF(I938="conciliado","conciliado","por revisar")</f>
        <v/>
      </c>
      <c r="H938" s="11" t="inlineStr"/>
      <c r="I938" s="11" t="inlineStr">
        <is>
          <t>conciliado</t>
        </is>
      </c>
    </row>
    <row r="939">
      <c r="A939" s="11" t="n">
        <v>229</v>
      </c>
      <c r="B939" s="12" t="n">
        <v>46087</v>
      </c>
      <c r="C939" s="11" t="inlineStr">
        <is>
          <t>camil rodriguez yela</t>
        </is>
      </c>
      <c r="D939" s="13" t="n">
        <v>6000</v>
      </c>
      <c r="E939" s="11">
        <f>IF(G939="conciliado","conciliado",I939)</f>
        <v/>
      </c>
      <c r="F939" s="11" t="inlineStr">
        <is>
          <t>1108 | 2026-03-06 | 6,000 | alejandra camila</t>
        </is>
      </c>
      <c r="G939" s="11">
        <f>IF(I939="conciliado","conciliado","por revisar")</f>
        <v/>
      </c>
      <c r="H939" s="11" t="inlineStr"/>
      <c r="I939" s="11" t="inlineStr">
        <is>
          <t>conciliado</t>
        </is>
      </c>
    </row>
    <row r="940">
      <c r="A940" s="11" t="n">
        <v>207</v>
      </c>
      <c r="B940" s="12" t="n">
        <v>46087</v>
      </c>
      <c r="C940" s="11" t="inlineStr">
        <is>
          <t>dian grajales osorio</t>
        </is>
      </c>
      <c r="D940" s="13" t="n">
        <v>18000</v>
      </c>
      <c r="E940" s="11">
        <f>IF(G940="conciliado","conciliado",I940)</f>
        <v/>
      </c>
      <c r="F940" s="11" t="inlineStr">
        <is>
          <t>1109 | 2026-03-06 | 18,000 | alejandra salome</t>
        </is>
      </c>
      <c r="G940" s="11">
        <f>IF(I940="conciliado","conciliado","por revisar")</f>
        <v/>
      </c>
      <c r="H940" s="11" t="inlineStr"/>
      <c r="I940" s="11" t="inlineStr">
        <is>
          <t>conciliado</t>
        </is>
      </c>
    </row>
    <row r="941">
      <c r="A941" s="11" t="n">
        <v>202</v>
      </c>
      <c r="B941" s="12" t="n">
        <v>46087</v>
      </c>
      <c r="C941" s="11" t="inlineStr">
        <is>
          <t>erazo leid rodriguez</t>
        </is>
      </c>
      <c r="D941" s="13" t="n">
        <v>30700</v>
      </c>
      <c r="E941" s="11">
        <f>IF(G941="conciliado","conciliado",I941)</f>
        <v/>
      </c>
      <c r="F941" s="11" t="inlineStr">
        <is>
          <t>1110 | 2026-03-06 | 30,700 | leidy rodriguez viviana</t>
        </is>
      </c>
      <c r="G941" s="11">
        <f>IF(I941="conciliado","conciliado","por revisar")</f>
        <v/>
      </c>
      <c r="H941" s="11" t="inlineStr"/>
      <c r="I941" s="11" t="inlineStr">
        <is>
          <t>conciliado</t>
        </is>
      </c>
    </row>
    <row r="942">
      <c r="A942" s="11" t="n">
        <v>208</v>
      </c>
      <c r="B942" s="12" t="n">
        <v>46087</v>
      </c>
      <c r="C942" s="11" t="inlineStr">
        <is>
          <t>jaramillo valvuena w</t>
        </is>
      </c>
      <c r="D942" s="13" t="n">
        <v>66848</v>
      </c>
      <c r="E942" s="11">
        <f>IF(G942="conciliado","conciliado",I942)</f>
        <v/>
      </c>
      <c r="F942" s="11" t="inlineStr">
        <is>
          <t>1111 | 2026-03-06 | 66,848 | ismael valbuena william</t>
        </is>
      </c>
      <c r="G942" s="11">
        <f>IF(I942="conciliado","conciliado","por revisar")</f>
        <v/>
      </c>
      <c r="H942" s="11" t="inlineStr"/>
      <c r="I942" s="11" t="inlineStr">
        <is>
          <t>conciliado</t>
        </is>
      </c>
    </row>
    <row r="943">
      <c r="A943" s="11" t="n">
        <v>210</v>
      </c>
      <c r="B943" s="12" t="n">
        <v>46087</v>
      </c>
      <c r="C943" s="11" t="inlineStr">
        <is>
          <t>an la pava torres</t>
        </is>
      </c>
      <c r="D943" s="13" t="n">
        <v>108300</v>
      </c>
      <c r="E943" s="11">
        <f>IF(G943="conciliado","conciliado",I943)</f>
        <v/>
      </c>
      <c r="F943" s="11" t="inlineStr">
        <is>
          <t>1112 | 2026-03-06 | 108,300 | andrea de la victoria</t>
        </is>
      </c>
      <c r="G943" s="11">
        <f>IF(I943="conciliado","conciliado","por revisar")</f>
        <v/>
      </c>
      <c r="H943" s="11" t="inlineStr"/>
      <c r="I943" s="11" t="inlineStr">
        <is>
          <t>conciliado</t>
        </is>
      </c>
    </row>
    <row r="944">
      <c r="A944" s="11" t="n">
        <v>212</v>
      </c>
      <c r="B944" s="12" t="n">
        <v>46087</v>
      </c>
      <c r="C944" s="11" t="inlineStr">
        <is>
          <t>aco consorcio obras</t>
        </is>
      </c>
      <c r="D944" s="13" t="n">
        <v>16400</v>
      </c>
      <c r="E944" s="11">
        <f>IF(G944="conciliado","conciliado",I944)</f>
        <v/>
      </c>
      <c r="F944" s="11" t="inlineStr">
        <is>
          <t>1113 | 2026-03-06 | 16,400 | bancolombia desde recarga</t>
        </is>
      </c>
      <c r="G944" s="11">
        <f>IF(I944="conciliado","conciliado","por revisar")</f>
        <v/>
      </c>
      <c r="H944" s="11" t="inlineStr"/>
      <c r="I944" s="11" t="inlineStr">
        <is>
          <t>conciliado</t>
        </is>
      </c>
    </row>
    <row r="945">
      <c r="A945" s="11" t="n">
        <v>203</v>
      </c>
      <c r="B945" s="12" t="n">
        <v>46087</v>
      </c>
      <c r="C945" s="11" t="inlineStr">
        <is>
          <t>betancurth ro zapata</t>
        </is>
      </c>
      <c r="D945" s="13" t="n">
        <v>13800</v>
      </c>
      <c r="E945" s="11">
        <f>IF(G945="conciliado","conciliado",I945)</f>
        <v/>
      </c>
      <c r="F945" s="11" t="inlineStr">
        <is>
          <t>1114 | 2026-03-06 | 13,800 | rodrigo zapata</t>
        </is>
      </c>
      <c r="G945" s="11">
        <f>IF(I945="conciliado","conciliado","por revisar")</f>
        <v/>
      </c>
      <c r="H945" s="11" t="inlineStr"/>
      <c r="I945" s="11" t="inlineStr">
        <is>
          <t>conciliado</t>
        </is>
      </c>
    </row>
    <row r="946">
      <c r="A946" s="11" t="n">
        <v>270</v>
      </c>
      <c r="B946" s="12" t="n">
        <v>46088</v>
      </c>
      <c r="C946" s="11" t="inlineStr">
        <is>
          <t>bastidas mar ordonez</t>
        </is>
      </c>
      <c r="D946" s="13" t="n">
        <v>27000</v>
      </c>
      <c r="E946" s="11">
        <f>IF(G946="conciliado","conciliado",I946)</f>
        <v/>
      </c>
      <c r="F946" s="11">
        <f>IF(SUM(COUNTIFS('Conciliacion de compuestos'!$D$2:$D$71,"conciliado",'Conciliacion de compuestos'!$E$2:$E$71,"OK",'Conciliacion de compuestos'!$M$2:$M$71,A946),COUNTIFS('Conciliacion de compuestos'!$D$2:$D$71,"conciliado",'Conciliacion de compuestos'!$E$2:$E$71,"OK",'Conciliacion de compuestos'!$N$2:$N$71,A946),COUNTIFS('Conciliacion de compuestos'!$D$2:$D$71,"conciliado",'Conciliacion de compuestos'!$E$2:$E$71,"OK",'Conciliacion de compuestos'!$O$2:$O$71,A946))&gt;0,IFERROR(TEXTJOIN(CHAR(10),TRUE,FILTER('Conciliacion de compuestos'!$A$2:$A$71,('Conciliacion de compuestos'!$D$2:$D$71="conciliado")*('Conciliacion de compuestos'!$E$2:$E$71="OK")*((('Conciliacion de compuestos'!$M$2:$M$71=A946)+('Conciliacion de compuestos'!$N$2:$N$71=A946)+('Conciliacion de compuestos'!$O$2:$O$71=A946))&gt;0))),""),"")</f>
        <v/>
      </c>
      <c r="G946" s="11">
        <f>IF(I946="conciliado","conciliado","por revisar")</f>
        <v/>
      </c>
      <c r="H946" s="11" t="inlineStr"/>
      <c r="I946" s="11">
        <f>IF(SUM(COUNTIFS('Conciliacion de compuestos'!$D$2:$D$71,"conciliado",'Conciliacion de compuestos'!$E$2:$E$71,"OK",'Conciliacion de compuestos'!$M$2:$M$71,A946),COUNTIFS('Conciliacion de compuestos'!$D$2:$D$71,"conciliado",'Conciliacion de compuestos'!$E$2:$E$71,"OK",'Conciliacion de compuestos'!$N$2:$N$71,A946),COUNTIFS('Conciliacion de compuestos'!$D$2:$D$71,"conciliado",'Conciliacion de compuestos'!$E$2:$E$71,"OK",'Conciliacion de compuestos'!$O$2:$O$71,A946))&gt;0,"conciliado","por revisar")</f>
        <v/>
      </c>
    </row>
    <row r="947">
      <c r="A947" s="11" t="n">
        <v>224</v>
      </c>
      <c r="B947" s="12" t="n">
        <v>46087</v>
      </c>
      <c r="C947" s="11" t="inlineStr">
        <is>
          <t>aida gomez meza</t>
        </is>
      </c>
      <c r="D947" s="13" t="n">
        <v>20000</v>
      </c>
      <c r="E947" s="11">
        <f>IF(G947="conciliado","conciliado",I947)</f>
        <v/>
      </c>
      <c r="F947" s="11" t="inlineStr">
        <is>
          <t>1116 | 2026-03-06 | 20,000 | ayda gomez</t>
        </is>
      </c>
      <c r="G947" s="11">
        <f>IF(I947="conciliado","conciliado","por revisar")</f>
        <v/>
      </c>
      <c r="H947" s="11" t="inlineStr"/>
      <c r="I947" s="11" t="inlineStr">
        <is>
          <t>conciliado</t>
        </is>
      </c>
    </row>
    <row r="948">
      <c r="A948" s="11" t="n">
        <v>198</v>
      </c>
      <c r="B948" s="12" t="n">
        <v>46087</v>
      </c>
      <c r="C948" s="11" t="inlineStr">
        <is>
          <t>dora ines paguatian</t>
        </is>
      </c>
      <c r="D948" s="13" t="n">
        <v>-1859910</v>
      </c>
      <c r="E948" s="11">
        <f>IF(G948="conciliado","conciliado",I948)</f>
        <v/>
      </c>
      <c r="F948" s="11" t="inlineStr">
        <is>
          <t>1117 | 2026-03-06 | -1,859,910 | dora ines paguatian</t>
        </is>
      </c>
      <c r="G948" s="11">
        <f>IF(I948="conciliado","conciliado","por revisar")</f>
        <v/>
      </c>
      <c r="H948" s="11" t="inlineStr"/>
      <c r="I948" s="11" t="inlineStr">
        <is>
          <t>conciliado</t>
        </is>
      </c>
    </row>
    <row r="949">
      <c r="A949" s="11" t="n">
        <v>200</v>
      </c>
      <c r="B949" s="12" t="n">
        <v>46087</v>
      </c>
      <c r="C949" s="11" t="inlineStr">
        <is>
          <t>eid garavito jimenez</t>
        </is>
      </c>
      <c r="D949" s="13" t="n">
        <v>49000</v>
      </c>
      <c r="E949" s="11">
        <f>IF(G949="conciliado","conciliado",I949)</f>
        <v/>
      </c>
      <c r="F949" s="11" t="inlineStr">
        <is>
          <t>1119 | 2026-03-06 | 49,000 | bancolombia desde recarga</t>
        </is>
      </c>
      <c r="G949" s="11">
        <f>IF(I949="conciliado","conciliado","por revisar")</f>
        <v/>
      </c>
      <c r="H949" s="11" t="inlineStr"/>
      <c r="I949" s="11" t="inlineStr">
        <is>
          <t>conciliado</t>
        </is>
      </c>
    </row>
    <row r="950">
      <c r="A950" s="11" t="n">
        <v>215</v>
      </c>
      <c r="B950" s="12" t="n">
        <v>46087</v>
      </c>
      <c r="C950" s="11" t="inlineStr">
        <is>
          <t>aldana joha renteria</t>
        </is>
      </c>
      <c r="D950" s="13" t="n">
        <v>7100</v>
      </c>
      <c r="E950" s="11">
        <f>IF(G950="conciliado","conciliado",I950)</f>
        <v/>
      </c>
      <c r="F950" s="11" t="inlineStr">
        <is>
          <t>1120 | 2026-03-06 | 7,100 | b bre johan</t>
        </is>
      </c>
      <c r="G950" s="11">
        <f>IF(I950="conciliado","conciliado","por revisar")</f>
        <v/>
      </c>
      <c r="H950" s="11" t="inlineStr"/>
      <c r="I950" s="11" t="inlineStr">
        <is>
          <t>conciliado</t>
        </is>
      </c>
    </row>
    <row r="951">
      <c r="A951" s="11" t="n">
        <v>199</v>
      </c>
      <c r="B951" s="12" t="n">
        <v>46087</v>
      </c>
      <c r="C951" s="11" t="inlineStr">
        <is>
          <t>caycedo cortez helid</t>
        </is>
      </c>
      <c r="D951" s="13" t="n">
        <v>10000</v>
      </c>
      <c r="E951" s="11">
        <f>IF(G951="conciliado","conciliado",I951)</f>
        <v/>
      </c>
      <c r="F951" s="11" t="inlineStr">
        <is>
          <t>1121 | 2026-03-06 | 10,000 | cortez franca helida</t>
        </is>
      </c>
      <c r="G951" s="11">
        <f>IF(I951="conciliado","conciliado","por revisar")</f>
        <v/>
      </c>
      <c r="H951" s="11" t="inlineStr"/>
      <c r="I951" s="11" t="inlineStr">
        <is>
          <t>conciliado</t>
        </is>
      </c>
    </row>
    <row r="952">
      <c r="A952" s="11" t="n">
        <v>228</v>
      </c>
      <c r="B952" s="12" t="n">
        <v>46087</v>
      </c>
      <c r="C952" s="11" t="inlineStr">
        <is>
          <t>ena estupinan perea</t>
        </is>
      </c>
      <c r="D952" s="13" t="n">
        <v>60000</v>
      </c>
      <c r="E952" s="11">
        <f>IF(G952="conciliado","conciliado",I952)</f>
        <v/>
      </c>
      <c r="F952" s="11" t="inlineStr">
        <is>
          <t>1122 | 2026-03-06 | 60,000 | enar estupinan jose</t>
        </is>
      </c>
      <c r="G952" s="11">
        <f>IF(I952="conciliado","conciliado","por revisar")</f>
        <v/>
      </c>
      <c r="H952" s="11" t="inlineStr"/>
      <c r="I952" s="11" t="inlineStr">
        <is>
          <t>conciliado</t>
        </is>
      </c>
    </row>
    <row r="953">
      <c r="A953" s="11" t="n">
        <v>223</v>
      </c>
      <c r="B953" s="12" t="n">
        <v>46087</v>
      </c>
      <c r="C953" s="11" t="inlineStr">
        <is>
          <t>estefani rivadeneira</t>
        </is>
      </c>
      <c r="D953" s="13" t="n">
        <v>14600</v>
      </c>
      <c r="E953" s="11">
        <f>IF(G953="conciliado","conciliado",I953)</f>
        <v/>
      </c>
      <c r="F953" s="11" t="inlineStr">
        <is>
          <t>1123 | 2026-03-06 | 14,600 | esneda stefania</t>
        </is>
      </c>
      <c r="G953" s="11">
        <f>IF(I953="conciliado","conciliado","por revisar")</f>
        <v/>
      </c>
      <c r="H953" s="11" t="inlineStr"/>
      <c r="I953" s="11" t="inlineStr">
        <is>
          <t>conciliado</t>
        </is>
      </c>
    </row>
    <row r="954">
      <c r="A954" s="11" t="n">
        <v>213</v>
      </c>
      <c r="B954" s="12" t="n">
        <v>46087</v>
      </c>
      <c r="C954" s="11" t="inlineStr">
        <is>
          <t>ca carvajal portilla</t>
        </is>
      </c>
      <c r="D954" s="13" t="n">
        <v>10000</v>
      </c>
      <c r="E954" s="11">
        <f>IF(G954="conciliado","conciliado",I954)</f>
        <v/>
      </c>
      <c r="F954" s="11" t="inlineStr">
        <is>
          <t>1124 | 2026-03-06 | 10,000 | carmen carvajal daniela</t>
        </is>
      </c>
      <c r="G954" s="11">
        <f>IF(I954="conciliado","conciliado","por revisar")</f>
        <v/>
      </c>
      <c r="H954" s="11" t="inlineStr"/>
      <c r="I954" s="11" t="inlineStr">
        <is>
          <t>conciliado</t>
        </is>
      </c>
    </row>
    <row r="955">
      <c r="A955" s="11" t="n">
        <v>227</v>
      </c>
      <c r="B955" s="12" t="n">
        <v>46087</v>
      </c>
      <c r="C955" s="11" t="inlineStr">
        <is>
          <t>briyith e paez perea</t>
        </is>
      </c>
      <c r="D955" s="13" t="n">
        <v>10700</v>
      </c>
      <c r="E955" s="11">
        <f>IF(G955="conciliado","conciliado",I955)</f>
        <v/>
      </c>
      <c r="F955" s="11" t="inlineStr">
        <is>
          <t>1125 | 2026-03-06 | 10,700 | briyith estefany perea</t>
        </is>
      </c>
      <c r="G955" s="11">
        <f>IF(I955="conciliado","conciliado","por revisar")</f>
        <v/>
      </c>
      <c r="H955" s="11" t="inlineStr"/>
      <c r="I955" s="11" t="inlineStr">
        <is>
          <t>conciliado</t>
        </is>
      </c>
    </row>
    <row r="956">
      <c r="A956" s="11" t="n">
        <v>219</v>
      </c>
      <c r="B956" s="12" t="n">
        <v>46087</v>
      </c>
      <c r="C956" s="11" t="inlineStr">
        <is>
          <t>giraldo gre polanias</t>
        </is>
      </c>
      <c r="D956" s="13" t="n">
        <v>17700</v>
      </c>
      <c r="E956" s="11">
        <f>IF(G956="conciliado","conciliado",I956)</f>
        <v/>
      </c>
      <c r="F956" s="11" t="inlineStr">
        <is>
          <t>1126 | 2026-03-06 | 17,700 | giraldo greisy polanias</t>
        </is>
      </c>
      <c r="G956" s="11">
        <f>IF(I956="conciliado","conciliado","por revisar")</f>
        <v/>
      </c>
      <c r="H956" s="11" t="inlineStr"/>
      <c r="I956" s="11" t="inlineStr">
        <is>
          <t>conciliado</t>
        </is>
      </c>
    </row>
    <row r="957">
      <c r="A957" s="11" t="n">
        <v>222</v>
      </c>
      <c r="B957" s="12" t="n">
        <v>46087</v>
      </c>
      <c r="C957" s="11" t="inlineStr">
        <is>
          <t>cosa gildo jhonimar</t>
        </is>
      </c>
      <c r="D957" s="13" t="n">
        <v>37100</v>
      </c>
      <c r="E957" s="11">
        <f>IF(G957="conciliado","conciliado",I957)</f>
        <v/>
      </c>
      <c r="F957" s="11" t="inlineStr">
        <is>
          <t>1127 | 2026-03-06 | 37,100 | ingri la yajaira</t>
        </is>
      </c>
      <c r="G957" s="11">
        <f>IF(I957="conciliado","conciliado","por revisar")</f>
        <v/>
      </c>
      <c r="H957" s="11" t="inlineStr"/>
      <c r="I957" s="11" t="inlineStr">
        <is>
          <t>conciliado</t>
        </is>
      </c>
    </row>
    <row r="958">
      <c r="A958" s="11" t="n">
        <v>204</v>
      </c>
      <c r="B958" s="12" t="n">
        <v>46087</v>
      </c>
      <c r="C958" s="11" t="inlineStr">
        <is>
          <t>acosta idaly narvaez</t>
        </is>
      </c>
      <c r="D958" s="13" t="n">
        <v>19300</v>
      </c>
      <c r="E958" s="11">
        <f>IF(G958="conciliado","conciliado",I958)</f>
        <v/>
      </c>
      <c r="F958" s="11" t="inlineStr">
        <is>
          <t>1128 | 2026-03-06 | 19,300 | esperanza idaly narvaez</t>
        </is>
      </c>
      <c r="G958" s="11">
        <f>IF(I958="conciliado","conciliado","por revisar")</f>
        <v/>
      </c>
      <c r="H958" s="11" t="inlineStr"/>
      <c r="I958" s="11" t="inlineStr">
        <is>
          <t>conciliado</t>
        </is>
      </c>
    </row>
    <row r="959">
      <c r="A959" s="11" t="n">
        <v>218</v>
      </c>
      <c r="B959" s="12" t="n">
        <v>46087</v>
      </c>
      <c r="C959" s="11" t="inlineStr">
        <is>
          <t>gutierrez j tamaniza</t>
        </is>
      </c>
      <c r="D959" s="13" t="n">
        <v>11200</v>
      </c>
      <c r="E959" s="11">
        <f>IF(G959="conciliado","conciliado",I959)</f>
        <v/>
      </c>
      <c r="F959" s="11" t="inlineStr">
        <is>
          <t>1129 | 2026-03-06 | 11,200 | ancizar gutierrez jose</t>
        </is>
      </c>
      <c r="G959" s="11">
        <f>IF(I959="conciliado","conciliado","por revisar")</f>
        <v/>
      </c>
      <c r="H959" s="11" t="inlineStr"/>
      <c r="I959" s="11" t="inlineStr">
        <is>
          <t>conciliado</t>
        </is>
      </c>
    </row>
    <row r="960">
      <c r="A960" s="11" t="n">
        <v>211</v>
      </c>
      <c r="B960" s="12" t="n">
        <v>46087</v>
      </c>
      <c r="C960" s="11" t="inlineStr">
        <is>
          <t>linda solarte yepes</t>
        </is>
      </c>
      <c r="D960" s="13" t="n">
        <v>31800</v>
      </c>
      <c r="E960" s="11">
        <f>IF(G960="conciliado","conciliado",I960)</f>
        <v/>
      </c>
      <c r="F960" s="11" t="inlineStr">
        <is>
          <t>1130 | 2026-03-06 | 31,800 | linda lucia yepes</t>
        </is>
      </c>
      <c r="G960" s="11">
        <f>IF(I960="conciliado","conciliado","por revisar")</f>
        <v/>
      </c>
      <c r="H960" s="11" t="inlineStr"/>
      <c r="I960" s="11" t="inlineStr">
        <is>
          <t>conciliado</t>
        </is>
      </c>
    </row>
    <row r="961">
      <c r="A961" s="11" t="n">
        <v>216</v>
      </c>
      <c r="B961" s="12" t="n">
        <v>46087</v>
      </c>
      <c r="C961" s="11" t="inlineStr">
        <is>
          <t>clara fuentes helena</t>
        </is>
      </c>
      <c r="D961" s="13" t="n">
        <v>17500</v>
      </c>
      <c r="E961" s="11">
        <f>IF(G961="conciliado","conciliado",I961)</f>
        <v/>
      </c>
      <c r="F961" s="11" t="inlineStr">
        <is>
          <t>1131 | 2026-03-06 | 17,500 | clara fuentes helena</t>
        </is>
      </c>
      <c r="G961" s="11">
        <f>IF(I961="conciliado","conciliado","por revisar")</f>
        <v/>
      </c>
      <c r="H961" s="11" t="inlineStr"/>
      <c r="I961" s="11" t="inlineStr">
        <is>
          <t>conciliado</t>
        </is>
      </c>
    </row>
    <row r="962">
      <c r="A962" s="11" t="n">
        <v>230</v>
      </c>
      <c r="B962" s="12" t="n">
        <v>46087</v>
      </c>
      <c r="C962" s="11" t="inlineStr">
        <is>
          <t>cortez lonseria rodr</t>
        </is>
      </c>
      <c r="D962" s="13" t="n">
        <v>304030</v>
      </c>
      <c r="E962" s="11">
        <f>IF(G962="conciliado","conciliado",I962)</f>
        <v/>
      </c>
      <c r="F962" s="11" t="inlineStr">
        <is>
          <t>1133 | 2026-03-06 | 304,030 | janeth jimenez judith</t>
        </is>
      </c>
      <c r="G962" s="11">
        <f>IF(I962="conciliado","conciliado","por revisar")</f>
        <v/>
      </c>
      <c r="H962" s="11" t="inlineStr"/>
      <c r="I962" s="11" t="inlineStr">
        <is>
          <t>conciliado</t>
        </is>
      </c>
    </row>
    <row r="963">
      <c r="A963" s="11" t="n">
        <v>217</v>
      </c>
      <c r="B963" s="12" t="n">
        <v>46087</v>
      </c>
      <c r="C963" s="11" t="inlineStr">
        <is>
          <t>linares nanc vergara</t>
        </is>
      </c>
      <c r="D963" s="13" t="n">
        <v>40000</v>
      </c>
      <c r="E963" s="11">
        <f>IF(G963="conciliado","conciliado",I963)</f>
        <v/>
      </c>
      <c r="F963" s="11" t="inlineStr">
        <is>
          <t>1134 | 2026-03-06 | 40,000 | linares nancy</t>
        </is>
      </c>
      <c r="G963" s="11">
        <f>IF(I963="conciliado","conciliado","por revisar")</f>
        <v/>
      </c>
      <c r="H963" s="11" t="inlineStr"/>
      <c r="I963" s="11" t="inlineStr">
        <is>
          <t>conciliado</t>
        </is>
      </c>
    </row>
    <row r="964">
      <c r="A964" s="11" t="n">
        <v>225</v>
      </c>
      <c r="B964" s="12" t="n">
        <v>46087</v>
      </c>
      <c r="C964" s="11" t="inlineStr">
        <is>
          <t>alva bernal palacios</t>
        </is>
      </c>
      <c r="D964" s="13" t="n">
        <v>13500</v>
      </c>
      <c r="E964" s="11">
        <f>IF(G964="conciliado","conciliado",I964)</f>
        <v/>
      </c>
      <c r="F964" s="11" t="inlineStr">
        <is>
          <t>1135 | 2026-03-06 | 13,500 | alvaro bernal livaniel</t>
        </is>
      </c>
      <c r="G964" s="11">
        <f>IF(I964="conciliado","conciliado","por revisar")</f>
        <v/>
      </c>
      <c r="H964" s="11" t="inlineStr"/>
      <c r="I964" s="11" t="inlineStr">
        <is>
          <t>conciliado</t>
        </is>
      </c>
    </row>
    <row r="965">
      <c r="A965" s="11" t="n">
        <v>206</v>
      </c>
      <c r="B965" s="12" t="n">
        <v>46087</v>
      </c>
      <c r="C965" s="11" t="inlineStr">
        <is>
          <t>burbano monica ossa</t>
        </is>
      </c>
      <c r="D965" s="13" t="n">
        <v>49600</v>
      </c>
      <c r="E965" s="11">
        <f>IF(G965="conciliado","conciliado",I965)</f>
        <v/>
      </c>
      <c r="F965" s="11" t="inlineStr">
        <is>
          <t>1136 | 2026-03-06 | 49,600 | burbano leineth monica</t>
        </is>
      </c>
      <c r="G965" s="11">
        <f>IF(I965="conciliado","conciliado","por revisar")</f>
        <v/>
      </c>
      <c r="H965" s="11" t="inlineStr"/>
      <c r="I965" s="11" t="inlineStr">
        <is>
          <t>conciliado</t>
        </is>
      </c>
    </row>
    <row r="966">
      <c r="A966" s="11" t="n">
        <v>214</v>
      </c>
      <c r="B966" s="12" t="n">
        <v>46087</v>
      </c>
      <c r="C966" s="11" t="inlineStr">
        <is>
          <t>carlos eduar mendoza</t>
        </is>
      </c>
      <c r="D966" s="13" t="n">
        <v>10000</v>
      </c>
      <c r="E966" s="11">
        <f>IF(G966="conciliado","conciliado",I966)</f>
        <v/>
      </c>
      <c r="F966" s="11" t="inlineStr">
        <is>
          <t>1137 | 2026-03-06 | 10,000 | carlos mendoza</t>
        </is>
      </c>
      <c r="G966" s="11">
        <f>IF(I966="conciliado","conciliado","por revisar")</f>
        <v/>
      </c>
      <c r="H966" s="11" t="inlineStr"/>
      <c r="I966" s="11" t="inlineStr">
        <is>
          <t>conciliado</t>
        </is>
      </c>
    </row>
    <row r="967">
      <c r="A967" s="11" t="n">
        <v>221</v>
      </c>
      <c r="B967" s="12" t="n">
        <v>46087</v>
      </c>
      <c r="C967" s="11" t="inlineStr">
        <is>
          <t>deisi guerrero leon</t>
        </is>
      </c>
      <c r="D967" s="13" t="n">
        <v>210600</v>
      </c>
      <c r="E967" s="11">
        <f>IF(G967="conciliado","conciliado",I967)</f>
        <v/>
      </c>
      <c r="F967" s="11" t="inlineStr">
        <is>
          <t>1140 | 2026-03-06 | 210,600 | deysi esperanza</t>
        </is>
      </c>
      <c r="G967" s="11">
        <f>IF(I967="conciliado","conciliado","por revisar")</f>
        <v/>
      </c>
      <c r="H967" s="11" t="inlineStr"/>
      <c r="I967" s="11" t="inlineStr">
        <is>
          <t>conciliado</t>
        </is>
      </c>
    </row>
    <row r="968">
      <c r="A968" s="11" t="n">
        <v>201</v>
      </c>
      <c r="B968" s="12" t="n">
        <v>46087</v>
      </c>
      <c r="C968" s="11" t="inlineStr">
        <is>
          <t>cordoba deiv escobar</t>
        </is>
      </c>
      <c r="D968" s="13" t="n">
        <v>2700</v>
      </c>
      <c r="E968" s="11">
        <f>IF(G968="conciliado","conciliado",I968)</f>
        <v/>
      </c>
      <c r="F968" s="11" t="inlineStr">
        <is>
          <t>1141 | 2026-03-06 | 2,700 | anderson deivid</t>
        </is>
      </c>
      <c r="G968" s="11">
        <f>IF(I968="conciliado","conciliado","por revisar")</f>
        <v/>
      </c>
      <c r="H968" s="11" t="inlineStr"/>
      <c r="I968" s="11" t="inlineStr">
        <is>
          <t>conciliado</t>
        </is>
      </c>
    </row>
    <row r="969">
      <c r="A969" s="11" t="n">
        <v>196</v>
      </c>
      <c r="B969" s="12" t="n">
        <v>46086</v>
      </c>
      <c r="C969" s="11" t="inlineStr">
        <is>
          <t>daniel duarte mora</t>
        </is>
      </c>
      <c r="D969" s="13" t="n">
        <v>20400</v>
      </c>
      <c r="E969" s="11">
        <f>IF(G969="conciliado","conciliado",I969)</f>
        <v/>
      </c>
      <c r="F969" s="11" t="inlineStr">
        <is>
          <t>1142 | 2026-03-05 | 20,400 | daniel daniel mora</t>
        </is>
      </c>
      <c r="G969" s="11">
        <f>IF(I969="conciliado","conciliado","por revisar")</f>
        <v/>
      </c>
      <c r="H969" s="11" t="inlineStr"/>
      <c r="I969" s="11" t="inlineStr">
        <is>
          <t>conciliado</t>
        </is>
      </c>
    </row>
    <row r="970">
      <c r="A970" s="11" t="n">
        <v>195</v>
      </c>
      <c r="B970" s="12" t="n">
        <v>46086</v>
      </c>
      <c r="C970" s="11" t="inlineStr">
        <is>
          <t>correa cuellar wu</t>
        </is>
      </c>
      <c r="D970" s="13" t="n">
        <v>34500</v>
      </c>
      <c r="E970" s="11">
        <f>IF(G970="conciliado","conciliado",I970)</f>
        <v/>
      </c>
      <c r="F970" s="11" t="inlineStr">
        <is>
          <t>1143 | 2026-03-05 | 34,500 | correa estiven walter</t>
        </is>
      </c>
      <c r="G970" s="11">
        <f>IF(I970="conciliado","conciliado","por revisar")</f>
        <v/>
      </c>
      <c r="H970" s="11" t="inlineStr"/>
      <c r="I970" s="11" t="inlineStr">
        <is>
          <t>conciliado</t>
        </is>
      </c>
    </row>
    <row r="971">
      <c r="A971" s="11" t="n">
        <v>178</v>
      </c>
      <c r="B971" s="12" t="n">
        <v>46086</v>
      </c>
      <c r="C971" s="11" t="inlineStr">
        <is>
          <t>arteaga giraldo hele</t>
        </is>
      </c>
      <c r="D971" s="13" t="n">
        <v>157200</v>
      </c>
      <c r="E971" s="11">
        <f>IF(G971="conciliado","conciliado",I971)</f>
        <v/>
      </c>
      <c r="F971" s="11" t="inlineStr">
        <is>
          <t>1144 | 2026-03-05 | 157,200 | bancolombia desde qr recarga</t>
        </is>
      </c>
      <c r="G971" s="11">
        <f>IF(I971="conciliado","conciliado","por revisar")</f>
        <v/>
      </c>
      <c r="H971" s="11" t="inlineStr"/>
      <c r="I971" s="11" t="inlineStr">
        <is>
          <t>conciliado</t>
        </is>
      </c>
    </row>
    <row r="972">
      <c r="A972" s="11" t="n">
        <v>187</v>
      </c>
      <c r="B972" s="12" t="n">
        <v>46086</v>
      </c>
      <c r="C972" s="11" t="inlineStr">
        <is>
          <t>campo omar rodriguez</t>
        </is>
      </c>
      <c r="D972" s="13" t="n">
        <v>30400</v>
      </c>
      <c r="E972" s="11">
        <f>IF(G972="conciliado","conciliado",I972)</f>
        <v/>
      </c>
      <c r="F972" s="11" t="inlineStr">
        <is>
          <t>1145 | 2026-03-05 | 30,400 | elena martha rodriguez</t>
        </is>
      </c>
      <c r="G972" s="11">
        <f>IF(I972="conciliado","conciliado","por revisar")</f>
        <v/>
      </c>
      <c r="H972" s="11" t="inlineStr"/>
      <c r="I972" s="11" t="inlineStr">
        <is>
          <t>conciliado</t>
        </is>
      </c>
    </row>
    <row r="973">
      <c r="A973" s="11" t="n">
        <v>179</v>
      </c>
      <c r="B973" s="12" t="n">
        <v>46086</v>
      </c>
      <c r="C973" s="11" t="inlineStr">
        <is>
          <t>je mosquera palacios</t>
        </is>
      </c>
      <c r="D973" s="13" t="n">
        <v>79200</v>
      </c>
      <c r="E973" s="11">
        <f>IF(G973="conciliado","conciliado",I973)</f>
        <v/>
      </c>
      <c r="F973" s="11" t="inlineStr">
        <is>
          <t>1146 | 2026-03-05 | 79,200 | jennifer mosquera</t>
        </is>
      </c>
      <c r="G973" s="11">
        <f>IF(I973="conciliado","conciliado","por revisar")</f>
        <v/>
      </c>
      <c r="H973" s="11" t="inlineStr"/>
      <c r="I973" s="11" t="inlineStr">
        <is>
          <t>conciliado</t>
        </is>
      </c>
    </row>
    <row r="974">
      <c r="A974" s="11" t="n">
        <v>164</v>
      </c>
      <c r="B974" s="12" t="n">
        <v>46086</v>
      </c>
      <c r="C974" s="11" t="inlineStr">
        <is>
          <t>cordero correa diana</t>
        </is>
      </c>
      <c r="D974" s="13" t="n">
        <v>105700</v>
      </c>
      <c r="E974" s="11">
        <f>IF(G974="conciliado","conciliado",I974)</f>
        <v/>
      </c>
      <c r="F974" s="11" t="inlineStr">
        <is>
          <t>1147 | 2026-03-05 | 105,700 | cordero diana katerine</t>
        </is>
      </c>
      <c r="G974" s="11">
        <f>IF(I974="conciliado","conciliado","por revisar")</f>
        <v/>
      </c>
      <c r="H974" s="11" t="inlineStr"/>
      <c r="I974" s="11" t="inlineStr">
        <is>
          <t>conciliado</t>
        </is>
      </c>
    </row>
    <row r="975">
      <c r="A975" s="11" t="n">
        <v>186</v>
      </c>
      <c r="B975" s="12" t="n">
        <v>46086</v>
      </c>
      <c r="C975" s="11" t="inlineStr">
        <is>
          <t>benavides edwi marin</t>
        </is>
      </c>
      <c r="D975" s="13" t="n">
        <v>26800</v>
      </c>
      <c r="E975" s="11">
        <f>IF(G975="conciliado","conciliado",I975)</f>
        <v/>
      </c>
      <c r="F975" s="11" t="inlineStr">
        <is>
          <t>1148 | 2026-03-05 | 26,800 | bancolombia desde recarga</t>
        </is>
      </c>
      <c r="G975" s="11">
        <f>IF(I975="conciliado","conciliado","por revisar")</f>
        <v/>
      </c>
      <c r="H975" s="11" t="inlineStr"/>
      <c r="I975" s="11" t="inlineStr">
        <is>
          <t>conciliado</t>
        </is>
      </c>
    </row>
    <row r="976">
      <c r="A976" s="11" t="n">
        <v>192</v>
      </c>
      <c r="B976" s="12" t="n">
        <v>46086</v>
      </c>
      <c r="C976" s="11" t="inlineStr">
        <is>
          <t>getial preciado seba</t>
        </is>
      </c>
      <c r="D976" s="13" t="n">
        <v>9500</v>
      </c>
      <c r="E976" s="11">
        <f>IF(G976="conciliado","conciliado",I976)</f>
        <v/>
      </c>
      <c r="F976" s="11" t="inlineStr">
        <is>
          <t>1149 | 2026-03-05 | 9,500 | getial jhon sebas</t>
        </is>
      </c>
      <c r="G976" s="11">
        <f>IF(I976="conciliado","conciliado","por revisar")</f>
        <v/>
      </c>
      <c r="H976" s="11" t="inlineStr"/>
      <c r="I976" s="11" t="inlineStr">
        <is>
          <t>conciliado</t>
        </is>
      </c>
    </row>
    <row r="977">
      <c r="A977" s="11" t="n">
        <v>191</v>
      </c>
      <c r="B977" s="12" t="n">
        <v>46086</v>
      </c>
      <c r="C977" s="11" t="inlineStr">
        <is>
          <t>chamorro duarte narh</t>
        </is>
      </c>
      <c r="D977" s="13" t="n">
        <v>33600</v>
      </c>
      <c r="E977" s="11">
        <f>IF(G977="conciliado","conciliado",I977)</f>
        <v/>
      </c>
      <c r="F977" s="11" t="inlineStr">
        <is>
          <t>1150 | 2026-03-05 | 33,600 | chamorro narhen yair</t>
        </is>
      </c>
      <c r="G977" s="11">
        <f>IF(I977="conciliado","conciliado","por revisar")</f>
        <v/>
      </c>
      <c r="H977" s="11" t="inlineStr"/>
      <c r="I977" s="11" t="inlineStr">
        <is>
          <t>conciliado</t>
        </is>
      </c>
    </row>
    <row r="978">
      <c r="A978" s="11" t="n">
        <v>181</v>
      </c>
      <c r="B978" s="12" t="n">
        <v>46086</v>
      </c>
      <c r="C978" s="11" t="inlineStr">
        <is>
          <t>jiraldo pao valencia</t>
        </is>
      </c>
      <c r="D978" s="13" t="n">
        <v>24600</v>
      </c>
      <c r="E978" s="11">
        <f>IF(G978="conciliado","conciliado",I978)</f>
        <v/>
      </c>
      <c r="F978" s="11" t="inlineStr">
        <is>
          <t>1152 | 2026-03-05 | 24,600 | andrea giraldo paola</t>
        </is>
      </c>
      <c r="G978" s="11">
        <f>IF(I978="conciliado","conciliado","por revisar")</f>
        <v/>
      </c>
      <c r="H978" s="11" t="inlineStr"/>
      <c r="I978" s="11" t="inlineStr">
        <is>
          <t>conciliado</t>
        </is>
      </c>
    </row>
    <row r="979">
      <c r="A979" s="11" t="n">
        <v>170</v>
      </c>
      <c r="B979" s="12" t="n">
        <v>46086</v>
      </c>
      <c r="C979" s="11" t="inlineStr">
        <is>
          <t>jhon morales ruales</t>
        </is>
      </c>
      <c r="D979" s="13" t="n">
        <v>10800</v>
      </c>
      <c r="E979" s="11">
        <f>IF(G979="conciliado","conciliado",I979)</f>
        <v/>
      </c>
      <c r="F979" s="11" t="inlineStr">
        <is>
          <t>1153 | 2026-03-05 | 10,800 | jairo jhon morales</t>
        </is>
      </c>
      <c r="G979" s="11">
        <f>IF(I979="conciliado","conciliado","por revisar")</f>
        <v/>
      </c>
      <c r="H979" s="11" t="inlineStr"/>
      <c r="I979" s="11" t="inlineStr">
        <is>
          <t>conciliado</t>
        </is>
      </c>
    </row>
    <row r="980">
      <c r="A980" s="11" t="n">
        <v>161</v>
      </c>
      <c r="B980" s="12" t="n">
        <v>46086</v>
      </c>
      <c r="C980" s="11" t="inlineStr">
        <is>
          <t>castaneda j portilla</t>
        </is>
      </c>
      <c r="D980" s="13" t="n">
        <v>11600</v>
      </c>
      <c r="E980" s="11">
        <f>IF(G980="conciliado","conciliado",I980)</f>
        <v/>
      </c>
      <c r="F980" s="11" t="inlineStr">
        <is>
          <t>1154 | 2026-03-05 | 11,600 | avila marisol</t>
        </is>
      </c>
      <c r="G980" s="11">
        <f>IF(I980="conciliado","conciliado","por revisar")</f>
        <v/>
      </c>
      <c r="H980" s="11" t="inlineStr"/>
      <c r="I980" s="11" t="inlineStr">
        <is>
          <t>conciliado</t>
        </is>
      </c>
    </row>
    <row r="981">
      <c r="A981" s="11" t="n">
        <v>194</v>
      </c>
      <c r="B981" s="12" t="n">
        <v>46086</v>
      </c>
      <c r="C981" s="11" t="inlineStr">
        <is>
          <t>diaz diego</t>
        </is>
      </c>
      <c r="D981" s="13" t="n">
        <v>15000</v>
      </c>
      <c r="E981" s="11">
        <f>IF(G981="conciliado","conciliado",I981)</f>
        <v/>
      </c>
      <c r="F981" s="11" t="inlineStr">
        <is>
          <t>1155 | 2026-03-05 | 15,000 | diaz diego fabricio</t>
        </is>
      </c>
      <c r="G981" s="11">
        <f>IF(I981="conciliado","conciliado","por revisar")</f>
        <v/>
      </c>
      <c r="H981" s="11" t="inlineStr"/>
      <c r="I981" s="11" t="inlineStr">
        <is>
          <t>conciliado</t>
        </is>
      </c>
    </row>
    <row r="982">
      <c r="A982" s="11" t="n">
        <v>182</v>
      </c>
      <c r="B982" s="12" t="n">
        <v>46086</v>
      </c>
      <c r="C982" s="11" t="inlineStr">
        <is>
          <t>burbano ca diaz juan</t>
        </is>
      </c>
      <c r="D982" s="13" t="n">
        <v>86000</v>
      </c>
      <c r="E982" s="11">
        <f>IF(G982="conciliado","conciliado",I982)</f>
        <v/>
      </c>
      <c r="F982" s="11" t="inlineStr">
        <is>
          <t>1156 | 2026-03-05 | 86,000 | carlos diaz juan</t>
        </is>
      </c>
      <c r="G982" s="11">
        <f>IF(I982="conciliado","conciliado","por revisar")</f>
        <v/>
      </c>
      <c r="H982" s="11" t="inlineStr"/>
      <c r="I982" s="11" t="inlineStr">
        <is>
          <t>conciliado</t>
        </is>
      </c>
    </row>
    <row r="983">
      <c r="A983" s="11" t="n">
        <v>188</v>
      </c>
      <c r="B983" s="12" t="n">
        <v>46086</v>
      </c>
      <c r="C983" s="11" t="inlineStr">
        <is>
          <t>guacales jorj rosas</t>
        </is>
      </c>
      <c r="D983" s="13" t="n">
        <v>42500</v>
      </c>
      <c r="E983" s="11">
        <f>IF(G983="conciliado","conciliado",I983)</f>
        <v/>
      </c>
      <c r="F983" s="11" t="inlineStr">
        <is>
          <t>1157 | 2026-03-05 | 42,500 | eduardo jorge</t>
        </is>
      </c>
      <c r="G983" s="11">
        <f>IF(I983="conciliado","conciliado","por revisar")</f>
        <v/>
      </c>
      <c r="H983" s="11" t="inlineStr"/>
      <c r="I983" s="11" t="inlineStr">
        <is>
          <t>conciliado</t>
        </is>
      </c>
    </row>
    <row r="984">
      <c r="A984" s="11" t="n">
        <v>197</v>
      </c>
      <c r="B984" s="12" t="n">
        <v>46086</v>
      </c>
      <c r="C984" s="11" t="inlineStr">
        <is>
          <t>alvarez chavez crist</t>
        </is>
      </c>
      <c r="D984" s="13" t="n">
        <v>443500</v>
      </c>
      <c r="E984" s="11">
        <f>IF(G984="conciliado","conciliado",I984)</f>
        <v/>
      </c>
      <c r="F984" s="11" t="inlineStr">
        <is>
          <t>1158 | 2026-03-05 | 443,500 | alvarez cristian david</t>
        </is>
      </c>
      <c r="G984" s="11">
        <f>IF(I984="conciliado","conciliado","por revisar")</f>
        <v/>
      </c>
      <c r="H984" s="11" t="inlineStr"/>
      <c r="I984" s="11" t="inlineStr">
        <is>
          <t>conciliado</t>
        </is>
      </c>
    </row>
    <row r="985">
      <c r="A985" s="11" t="n">
        <v>163</v>
      </c>
      <c r="B985" s="12" t="n">
        <v>46086</v>
      </c>
      <c r="C985" s="11" t="inlineStr">
        <is>
          <t>quintero toro yoland</t>
        </is>
      </c>
      <c r="D985" s="13" t="n">
        <v>30500</v>
      </c>
      <c r="E985" s="11">
        <f>IF(G985="conciliado","conciliado",I985)</f>
        <v/>
      </c>
      <c r="F985" s="11" t="inlineStr">
        <is>
          <t>1160 | 2026-03-05 | 30,500 | quintero toro yolanda</t>
        </is>
      </c>
      <c r="G985" s="11">
        <f>IF(I985="conciliado","conciliado","por revisar")</f>
        <v/>
      </c>
      <c r="H985" s="11" t="inlineStr"/>
      <c r="I985" s="11" t="inlineStr">
        <is>
          <t>conciliado</t>
        </is>
      </c>
    </row>
    <row r="986">
      <c r="A986" s="11" t="n">
        <v>162</v>
      </c>
      <c r="B986" s="12" t="n">
        <v>46086</v>
      </c>
      <c r="C986" s="11" t="inlineStr">
        <is>
          <t>doly gamboa vargas</t>
        </is>
      </c>
      <c r="D986" s="13" t="n">
        <v>70000</v>
      </c>
      <c r="E986" s="11">
        <f>IF(G986="conciliado","conciliado",I986)</f>
        <v/>
      </c>
      <c r="F986" s="11" t="inlineStr">
        <is>
          <t>1162 | 2026-03-05 | 70,000 | doly gamboa vargas</t>
        </is>
      </c>
      <c r="G986" s="11">
        <f>IF(I986="conciliado","conciliado","por revisar")</f>
        <v/>
      </c>
      <c r="H986" s="11" t="inlineStr"/>
      <c r="I986" s="11" t="inlineStr">
        <is>
          <t>conciliado</t>
        </is>
      </c>
    </row>
    <row r="987">
      <c r="A987" s="11" t="n">
        <v>184</v>
      </c>
      <c r="B987" s="12" t="n">
        <v>46086</v>
      </c>
      <c r="C987" s="11" t="inlineStr">
        <is>
          <t>chavez dias eva line</t>
        </is>
      </c>
      <c r="D987" s="13" t="n">
        <v>26300</v>
      </c>
      <c r="E987" s="11">
        <f>IF(G987="conciliado","conciliado",I987)</f>
        <v/>
      </c>
      <c r="F987" s="11" t="inlineStr">
        <is>
          <t>1163 | 2026-03-05 | 26,300 | diaz eva linet</t>
        </is>
      </c>
      <c r="G987" s="11">
        <f>IF(I987="conciliado","conciliado","por revisar")</f>
        <v/>
      </c>
      <c r="H987" s="11" t="inlineStr"/>
      <c r="I987" s="11" t="inlineStr">
        <is>
          <t>conciliado</t>
        </is>
      </c>
    </row>
    <row r="988">
      <c r="A988" s="11" t="n">
        <v>172</v>
      </c>
      <c r="B988" s="12" t="n">
        <v>46086</v>
      </c>
      <c r="C988" s="11" t="inlineStr">
        <is>
          <t>bedoya de maria mina</t>
        </is>
      </c>
      <c r="D988" s="13" t="n">
        <v>244900</v>
      </c>
      <c r="E988" s="11">
        <f>IF(G988="conciliado","conciliado",I988)</f>
        <v/>
      </c>
      <c r="F988" s="11" t="inlineStr">
        <is>
          <t>1164 | 2026-03-05 | 244,900 | angeles de los maria</t>
        </is>
      </c>
      <c r="G988" s="11">
        <f>IF(I988="conciliado","conciliado","por revisar")</f>
        <v/>
      </c>
      <c r="H988" s="11" t="inlineStr"/>
      <c r="I988" s="11" t="inlineStr">
        <is>
          <t>conciliado</t>
        </is>
      </c>
    </row>
    <row r="989">
      <c r="A989" s="11" t="n">
        <v>175</v>
      </c>
      <c r="B989" s="12" t="n">
        <v>46086</v>
      </c>
      <c r="C989" s="11" t="inlineStr">
        <is>
          <t>alderete jor salazar</t>
        </is>
      </c>
      <c r="D989" s="13" t="n">
        <v>4000</v>
      </c>
      <c r="E989" s="11">
        <f>IF(G989="conciliado","conciliado",I989)</f>
        <v/>
      </c>
      <c r="F989" s="11" t="inlineStr">
        <is>
          <t>1165 | 2026-03-05 | 4,000 | elias jorge salazar</t>
        </is>
      </c>
      <c r="G989" s="11">
        <f>IF(I989="conciliado","conciliado","por revisar")</f>
        <v/>
      </c>
      <c r="H989" s="11" t="inlineStr"/>
      <c r="I989" s="11" t="inlineStr">
        <is>
          <t>conciliado</t>
        </is>
      </c>
    </row>
    <row r="990">
      <c r="A990" s="11" t="n">
        <v>166</v>
      </c>
      <c r="B990" s="12" t="n">
        <v>46086</v>
      </c>
      <c r="C990" s="11" t="inlineStr">
        <is>
          <t>benavide manchabajoy</t>
        </is>
      </c>
      <c r="D990" s="13" t="n">
        <v>4400</v>
      </c>
      <c r="E990" s="11">
        <f>IF(G990="conciliado","conciliado",I990)</f>
        <v/>
      </c>
      <c r="F990" s="11" t="inlineStr">
        <is>
          <t>1166 | 2026-03-05 | 4,400 | ricardo segundo</t>
        </is>
      </c>
      <c r="G990" s="11">
        <f>IF(I990="conciliado","conciliado","por revisar")</f>
        <v/>
      </c>
      <c r="H990" s="11" t="inlineStr"/>
      <c r="I990" s="11" t="inlineStr">
        <is>
          <t>conciliado</t>
        </is>
      </c>
    </row>
    <row r="991">
      <c r="A991" s="11" t="n">
        <v>171</v>
      </c>
      <c r="B991" s="12" t="n">
        <v>46086</v>
      </c>
      <c r="C991" s="11" t="inlineStr">
        <is>
          <t>mon obando santacruz</t>
        </is>
      </c>
      <c r="D991" s="13" t="n">
        <v>15100</v>
      </c>
      <c r="E991" s="11">
        <f>IF(G991="conciliado","conciliado",I991)</f>
        <v/>
      </c>
      <c r="F991" s="11" t="inlineStr">
        <is>
          <t>1167 | 2026-03-05 | 15,100 | alexandra monica</t>
        </is>
      </c>
      <c r="G991" s="11">
        <f>IF(I991="conciliado","conciliado","por revisar")</f>
        <v/>
      </c>
      <c r="H991" s="11" t="inlineStr"/>
      <c r="I991" s="11" t="inlineStr">
        <is>
          <t>conciliado</t>
        </is>
      </c>
    </row>
    <row r="992">
      <c r="A992" s="11" t="n">
        <v>180</v>
      </c>
      <c r="B992" s="12" t="n">
        <v>46086</v>
      </c>
      <c r="C992" s="11" t="inlineStr">
        <is>
          <t>marin valent zuluaga</t>
        </is>
      </c>
      <c r="D992" s="13" t="n">
        <v>220900</v>
      </c>
      <c r="E992" s="11">
        <f>IF(G992="conciliado","conciliado",I992)</f>
        <v/>
      </c>
      <c r="F992" s="11" t="inlineStr">
        <is>
          <t>1168 | 2026-03-05 | 220,900 | bancolombia desde qr recarga</t>
        </is>
      </c>
      <c r="G992" s="11">
        <f>IF(I992="conciliado","conciliado","por revisar")</f>
        <v/>
      </c>
      <c r="H992" s="11" t="inlineStr"/>
      <c r="I992" s="11" t="inlineStr">
        <is>
          <t>conciliado</t>
        </is>
      </c>
    </row>
    <row r="993">
      <c r="A993" s="11" t="n">
        <v>173</v>
      </c>
      <c r="B993" s="12" t="n">
        <v>46086</v>
      </c>
      <c r="C993" s="11" t="inlineStr">
        <is>
          <t>claud fernandez meza</t>
        </is>
      </c>
      <c r="D993" s="13" t="n">
        <v>4800</v>
      </c>
      <c r="E993" s="11">
        <f>IF(G993="conciliado","conciliado",I993)</f>
        <v/>
      </c>
      <c r="F993" s="11" t="inlineStr">
        <is>
          <t>1169 | 2026-03-05 | 4,800 | claudia meza patricia</t>
        </is>
      </c>
      <c r="G993" s="11">
        <f>IF(I993="conciliado","conciliado","por revisar")</f>
        <v/>
      </c>
      <c r="H993" s="11" t="inlineStr"/>
      <c r="I993" s="11" t="inlineStr">
        <is>
          <t>conciliado</t>
        </is>
      </c>
    </row>
    <row r="994">
      <c r="A994" s="11" t="n">
        <v>189</v>
      </c>
      <c r="B994" s="12" t="n">
        <v>46086</v>
      </c>
      <c r="C994" s="11" t="inlineStr">
        <is>
          <t>adriana narvaez nino</t>
        </is>
      </c>
      <c r="D994" s="13" t="n">
        <v>32200</v>
      </c>
      <c r="E994" s="11">
        <f>IF(G994="conciliado","conciliado",I994)</f>
        <v/>
      </c>
      <c r="F994" s="11" t="inlineStr">
        <is>
          <t>1170 | 2026-03-05 | 32,200 | adriana nino</t>
        </is>
      </c>
      <c r="G994" s="11">
        <f>IF(I994="conciliado","conciliado","por revisar")</f>
        <v/>
      </c>
      <c r="H994" s="11" t="inlineStr"/>
      <c r="I994" s="11" t="inlineStr">
        <is>
          <t>conciliado</t>
        </is>
      </c>
    </row>
    <row r="995">
      <c r="A995" s="11" t="n">
        <v>177</v>
      </c>
      <c r="B995" s="12" t="n">
        <v>46086</v>
      </c>
      <c r="C995" s="11" t="inlineStr">
        <is>
          <t>a bernal coral paula</t>
        </is>
      </c>
      <c r="D995" s="13" t="n">
        <v>14800</v>
      </c>
      <c r="E995" s="11">
        <f>IF(G995="conciliado","conciliado",I995)</f>
        <v/>
      </c>
      <c r="F995" s="11" t="inlineStr">
        <is>
          <t>1171 | 2026-03-05 | 14,800 | andrea bernal paula</t>
        </is>
      </c>
      <c r="G995" s="11">
        <f>IF(I995="conciliado","conciliado","por revisar")</f>
        <v/>
      </c>
      <c r="H995" s="11" t="inlineStr"/>
      <c r="I995" s="11" t="inlineStr">
        <is>
          <t>conciliado</t>
        </is>
      </c>
    </row>
    <row r="996">
      <c r="A996" s="11" t="n">
        <v>165</v>
      </c>
      <c r="B996" s="12" t="n">
        <v>46086</v>
      </c>
      <c r="C996" s="11" t="inlineStr">
        <is>
          <t>figueroa jhonn mafla</t>
        </is>
      </c>
      <c r="D996" s="13" t="n">
        <v>10000</v>
      </c>
      <c r="E996" s="11">
        <f>IF(G996="conciliado","conciliado",I996)</f>
        <v/>
      </c>
      <c r="F996" s="11" t="inlineStr">
        <is>
          <t>1172 | 2026-03-05 | 10,000 | anderson jhonn</t>
        </is>
      </c>
      <c r="G996" s="11">
        <f>IF(I996="conciliado","conciliado","por revisar")</f>
        <v/>
      </c>
      <c r="H996" s="11" t="inlineStr"/>
      <c r="I996" s="11" t="inlineStr">
        <is>
          <t>conciliado</t>
        </is>
      </c>
    </row>
    <row r="997">
      <c r="A997" s="11" t="n">
        <v>193</v>
      </c>
      <c r="B997" s="12" t="n">
        <v>46086</v>
      </c>
      <c r="C997" s="11" t="inlineStr">
        <is>
          <t>aullon galindez heri</t>
        </is>
      </c>
      <c r="D997" s="13" t="n">
        <v>37200</v>
      </c>
      <c r="E997" s="11">
        <f>IF(G997="conciliado","conciliado",I997)</f>
        <v/>
      </c>
      <c r="F997" s="11" t="inlineStr">
        <is>
          <t>1173 | 2026-03-05 | 37,200 | galindez heriberto</t>
        </is>
      </c>
      <c r="G997" s="11">
        <f>IF(I997="conciliado","conciliado","por revisar")</f>
        <v/>
      </c>
      <c r="H997" s="11" t="inlineStr"/>
      <c r="I997" s="11" t="inlineStr">
        <is>
          <t>conciliado</t>
        </is>
      </c>
    </row>
    <row r="998">
      <c r="A998" s="11" t="n">
        <v>168</v>
      </c>
      <c r="B998" s="12" t="n">
        <v>46086</v>
      </c>
      <c r="C998" s="11" t="inlineStr">
        <is>
          <t>argoty gomez rodrigo</t>
        </is>
      </c>
      <c r="D998" s="13" t="n">
        <v>4000</v>
      </c>
      <c r="E998" s="11">
        <f>IF(G998="conciliado","conciliado",I998)</f>
        <v/>
      </c>
      <c r="F998" s="11" t="inlineStr">
        <is>
          <t>1174 | 2026-03-05 | 4,000 | antonio gomez rodrigo</t>
        </is>
      </c>
      <c r="G998" s="11">
        <f>IF(I998="conciliado","conciliado","por revisar")</f>
        <v/>
      </c>
      <c r="H998" s="11" t="inlineStr"/>
      <c r="I998" s="11" t="inlineStr">
        <is>
          <t>conciliado</t>
        </is>
      </c>
    </row>
    <row r="999">
      <c r="A999" s="11" t="n">
        <v>174</v>
      </c>
      <c r="B999" s="12" t="n">
        <v>46086</v>
      </c>
      <c r="C999" s="11" t="inlineStr">
        <is>
          <t>becerra patric perez</t>
        </is>
      </c>
      <c r="D999" s="13" t="n">
        <v>20500</v>
      </c>
      <c r="E999" s="11">
        <f>IF(G999="conciliado","conciliado",I999)</f>
        <v/>
      </c>
      <c r="F999" s="11" t="inlineStr">
        <is>
          <t>1177 | 2026-03-05 | 20,500 | becerra patricia perez</t>
        </is>
      </c>
      <c r="G999" s="11">
        <f>IF(I999="conciliado","conciliado","por revisar")</f>
        <v/>
      </c>
      <c r="H999" s="11" t="inlineStr"/>
      <c r="I999" s="11" t="inlineStr">
        <is>
          <t>conciliado</t>
        </is>
      </c>
    </row>
    <row r="1000">
      <c r="A1000" s="11" t="n">
        <v>190</v>
      </c>
      <c r="B1000" s="12" t="n">
        <v>46086</v>
      </c>
      <c r="C1000" s="11" t="inlineStr">
        <is>
          <t>jho montenegro ortiz</t>
        </is>
      </c>
      <c r="D1000" s="13" t="n">
        <v>10200</v>
      </c>
      <c r="E1000" s="11">
        <f>IF(G1000="conciliado","conciliado",I1000)</f>
        <v/>
      </c>
      <c r="F1000" s="11" t="inlineStr">
        <is>
          <t>1178 | 2026-03-05 | 10,200 | alexander jonathan</t>
        </is>
      </c>
      <c r="G1000" s="11">
        <f>IF(I1000="conciliado","conciliado","por revisar")</f>
        <v/>
      </c>
      <c r="H1000" s="11" t="inlineStr"/>
      <c r="I1000" s="11" t="inlineStr">
        <is>
          <t>conciliado</t>
        </is>
      </c>
    </row>
    <row r="1001">
      <c r="A1001" s="11" t="n">
        <v>185</v>
      </c>
      <c r="B1001" s="12" t="n">
        <v>46086</v>
      </c>
      <c r="C1001" s="11" t="inlineStr">
        <is>
          <t>benavides diego mora</t>
        </is>
      </c>
      <c r="D1001" s="13" t="n">
        <v>23800</v>
      </c>
      <c r="E1001" s="11">
        <f>IF(G1001="conciliado","conciliado",I1001)</f>
        <v/>
      </c>
      <c r="F1001" s="11" t="inlineStr">
        <is>
          <t>1179 | 2026-03-05 | 23,800 | diego felipe mora</t>
        </is>
      </c>
      <c r="G1001" s="11">
        <f>IF(I1001="conciliado","conciliado","por revisar")</f>
        <v/>
      </c>
      <c r="H1001" s="11" t="inlineStr"/>
      <c r="I1001" s="11" t="inlineStr">
        <is>
          <t>conciliado</t>
        </is>
      </c>
    </row>
    <row r="1002">
      <c r="A1002" s="11" t="n">
        <v>169</v>
      </c>
      <c r="B1002" s="12" t="n">
        <v>46086</v>
      </c>
      <c r="C1002" s="11" t="inlineStr">
        <is>
          <t>eraso neiber rosero</t>
        </is>
      </c>
      <c r="D1002" s="13" t="n">
        <v>11500</v>
      </c>
      <c r="E1002" s="11">
        <f>IF(G1002="conciliado","conciliado",I1002)</f>
        <v/>
      </c>
      <c r="F1002" s="11" t="inlineStr">
        <is>
          <t>1180 | 2026-03-05 | 11,500 | antonio eraso neiber</t>
        </is>
      </c>
      <c r="G1002" s="11">
        <f>IF(I1002="conciliado","conciliado","por revisar")</f>
        <v/>
      </c>
      <c r="H1002" s="11" t="inlineStr"/>
      <c r="I1002" s="11" t="inlineStr">
        <is>
          <t>conciliado</t>
        </is>
      </c>
    </row>
    <row r="1003">
      <c r="A1003" s="11" t="n">
        <v>135</v>
      </c>
      <c r="B1003" s="12" t="n">
        <v>46085</v>
      </c>
      <c r="C1003" s="11" t="inlineStr">
        <is>
          <t>hernandez jaramillo</t>
        </is>
      </c>
      <c r="D1003" s="13" t="n">
        <v>177800</v>
      </c>
      <c r="E1003" s="11">
        <f>IF(G1003="conciliado","conciliado",I1003)</f>
        <v/>
      </c>
      <c r="F1003" s="11" t="inlineStr">
        <is>
          <t>1182 | 2026-03-04 | 177,800 | hernandez jinneth</t>
        </is>
      </c>
      <c r="G1003" s="11">
        <f>IF(I1003="conciliado","conciliado","por revisar")</f>
        <v/>
      </c>
      <c r="H1003" s="11" t="inlineStr"/>
      <c r="I1003" s="11" t="inlineStr">
        <is>
          <t>conciliado</t>
        </is>
      </c>
    </row>
    <row r="1004">
      <c r="A1004" s="11" t="n">
        <v>151</v>
      </c>
      <c r="B1004" s="12" t="n">
        <v>46085</v>
      </c>
      <c r="C1004" s="11" t="inlineStr">
        <is>
          <t>alvarez chavez crist</t>
        </is>
      </c>
      <c r="D1004" s="13" t="n">
        <v>10900</v>
      </c>
      <c r="E1004" s="11">
        <f>IF(G1004="conciliado","conciliado",I1004)</f>
        <v/>
      </c>
      <c r="F1004" s="11" t="inlineStr">
        <is>
          <t>1183 | 2026-03-04 | 10,900 | alvarez cristian david</t>
        </is>
      </c>
      <c r="G1004" s="11">
        <f>IF(I1004="conciliado","conciliado","por revisar")</f>
        <v/>
      </c>
      <c r="H1004" s="11" t="inlineStr"/>
      <c r="I1004" s="11" t="inlineStr">
        <is>
          <t>conciliado</t>
        </is>
      </c>
    </row>
    <row r="1005">
      <c r="A1005" s="11" t="n">
        <v>146</v>
      </c>
      <c r="B1005" s="12" t="n">
        <v>46085</v>
      </c>
      <c r="C1005" s="11" t="inlineStr">
        <is>
          <t>delgadillo palacios</t>
        </is>
      </c>
      <c r="D1005" s="13" t="n">
        <v>10600</v>
      </c>
      <c r="E1005" s="11">
        <f>IF(G1005="conciliado","conciliado",I1005)</f>
        <v/>
      </c>
      <c r="F1005" s="11" t="inlineStr">
        <is>
          <t>1184 | 2026-03-04 | 10,600 | everyng lesly</t>
        </is>
      </c>
      <c r="G1005" s="11">
        <f>IF(I1005="conciliado","conciliado","por revisar")</f>
        <v/>
      </c>
      <c r="H1005" s="11" t="inlineStr"/>
      <c r="I1005" s="11" t="inlineStr">
        <is>
          <t>conciliado</t>
        </is>
      </c>
    </row>
    <row r="1006">
      <c r="A1006" s="11" t="n">
        <v>159</v>
      </c>
      <c r="B1006" s="12" t="n">
        <v>46085</v>
      </c>
      <c r="C1006" s="11" t="inlineStr">
        <is>
          <t>a luis obando ortega</t>
        </is>
      </c>
      <c r="D1006" s="13" t="n">
        <v>26500</v>
      </c>
      <c r="E1006" s="11">
        <f>IF(G1006="conciliado","conciliado",I1006)</f>
        <v/>
      </c>
      <c r="F1006" s="11" t="inlineStr">
        <is>
          <t>1187 | 2026-03-04 | 26,500 | alfonso luis obando</t>
        </is>
      </c>
      <c r="G1006" s="11">
        <f>IF(I1006="conciliado","conciliado","por revisar")</f>
        <v/>
      </c>
      <c r="H1006" s="11" t="inlineStr"/>
      <c r="I1006" s="11" t="inlineStr">
        <is>
          <t>conciliado</t>
        </is>
      </c>
    </row>
    <row r="1007">
      <c r="A1007" s="11" t="n">
        <v>142</v>
      </c>
      <c r="B1007" s="12" t="n">
        <v>46085</v>
      </c>
      <c r="C1007" s="11" t="inlineStr">
        <is>
          <t>jho orellano vergara</t>
        </is>
      </c>
      <c r="D1007" s="13" t="n">
        <v>73000</v>
      </c>
      <c r="E1007" s="11">
        <f>IF(G1007="conciliado","conciliado",I1007)</f>
        <v/>
      </c>
      <c r="F1007" s="11" t="inlineStr">
        <is>
          <t>1188 | 2026-03-04 | 73,000 | bancolombia desde qr recarga</t>
        </is>
      </c>
      <c r="G1007" s="11">
        <f>IF(I1007="conciliado","conciliado","por revisar")</f>
        <v/>
      </c>
      <c r="H1007" s="11" t="inlineStr"/>
      <c r="I1007" s="11" t="inlineStr">
        <is>
          <t>conciliado</t>
        </is>
      </c>
    </row>
    <row r="1008">
      <c r="A1008" s="11" t="n">
        <v>143</v>
      </c>
      <c r="B1008" s="12" t="n">
        <v>46085</v>
      </c>
      <c r="C1008" s="11" t="inlineStr">
        <is>
          <t>maria martinez munoz</t>
        </is>
      </c>
      <c r="D1008" s="13" t="n">
        <v>13900</v>
      </c>
      <c r="E1008" s="11">
        <f>IF(G1008="conciliado","conciliado",I1008)</f>
        <v/>
      </c>
      <c r="F1008" s="11" t="inlineStr">
        <is>
          <t>1189 | 2026-03-04 | 13,900 | dora emilce martinez</t>
        </is>
      </c>
      <c r="G1008" s="11">
        <f>IF(I1008="conciliado","conciliado","por revisar")</f>
        <v/>
      </c>
      <c r="H1008" s="11" t="inlineStr"/>
      <c r="I1008" s="11" t="inlineStr">
        <is>
          <t>conciliado</t>
        </is>
      </c>
    </row>
    <row r="1009">
      <c r="A1009" s="11" t="n">
        <v>149</v>
      </c>
      <c r="B1009" s="12" t="n">
        <v>46085</v>
      </c>
      <c r="C1009" s="11" t="inlineStr">
        <is>
          <t>a ceballos cuastumal</t>
        </is>
      </c>
      <c r="D1009" s="13" t="n">
        <v>11900</v>
      </c>
      <c r="E1009" s="11">
        <f>IF(G1009="conciliado","conciliado",I1009)</f>
        <v/>
      </c>
      <c r="F1009" s="11" t="inlineStr">
        <is>
          <t>1190 | 2026-03-04 | 11,900 | alexis sebastian</t>
        </is>
      </c>
      <c r="G1009" s="11">
        <f>IF(I1009="conciliado","conciliado","por revisar")</f>
        <v/>
      </c>
      <c r="H1009" s="11" t="inlineStr"/>
      <c r="I1009" s="11" t="inlineStr">
        <is>
          <t>conciliado</t>
        </is>
      </c>
    </row>
    <row r="1010">
      <c r="A1010" s="11" t="n">
        <v>140</v>
      </c>
      <c r="B1010" s="12" t="n">
        <v>46085</v>
      </c>
      <c r="C1010" s="11" t="inlineStr">
        <is>
          <t>claud fernandez meza</t>
        </is>
      </c>
      <c r="D1010" s="13" t="n">
        <v>35800</v>
      </c>
      <c r="E1010" s="11">
        <f>IF(G1010="conciliado","conciliado",I1010)</f>
        <v/>
      </c>
      <c r="F1010" s="11" t="inlineStr">
        <is>
          <t>1191 | 2026-03-04 | 35,800 | claudia meza patricia</t>
        </is>
      </c>
      <c r="G1010" s="11">
        <f>IF(I1010="conciliado","conciliado","por revisar")</f>
        <v/>
      </c>
      <c r="H1010" s="11" t="inlineStr"/>
      <c r="I1010" s="11" t="inlineStr">
        <is>
          <t>conciliado</t>
        </is>
      </c>
    </row>
    <row r="1011">
      <c r="A1011" s="11" t="n">
        <v>145</v>
      </c>
      <c r="B1011" s="12" t="n">
        <v>46085</v>
      </c>
      <c r="C1011" s="11" t="inlineStr">
        <is>
          <t>bravo jheimy rosero</t>
        </is>
      </c>
      <c r="D1011" s="13" t="n">
        <v>24000</v>
      </c>
      <c r="E1011" s="11">
        <f>IF(G1011="conciliado","conciliado",I1011)</f>
        <v/>
      </c>
      <c r="F1011" s="11" t="inlineStr">
        <is>
          <t>1192 | 2026-03-04 | 24,000 | catherine jheimy rosero</t>
        </is>
      </c>
      <c r="G1011" s="11">
        <f>IF(I1011="conciliado","conciliado","por revisar")</f>
        <v/>
      </c>
      <c r="H1011" s="11" t="inlineStr"/>
      <c r="I1011" s="11" t="inlineStr">
        <is>
          <t>conciliado</t>
        </is>
      </c>
    </row>
    <row r="1012">
      <c r="A1012" s="11" t="n">
        <v>158</v>
      </c>
      <c r="B1012" s="12" t="n">
        <v>46085</v>
      </c>
      <c r="C1012" s="11" t="inlineStr">
        <is>
          <t>guisa jhona</t>
        </is>
      </c>
      <c r="D1012" s="13" t="n">
        <v>23900</v>
      </c>
      <c r="E1012" s="11">
        <f>IF(G1012="conciliado","conciliado",I1012)</f>
        <v/>
      </c>
      <c r="F1012" s="11" t="inlineStr">
        <is>
          <t>1193 | 2026-03-04 | 23,900 | diley guisa johanna</t>
        </is>
      </c>
      <c r="G1012" s="11">
        <f>IF(I1012="conciliado","conciliado","por revisar")</f>
        <v/>
      </c>
      <c r="H1012" s="11" t="inlineStr"/>
      <c r="I1012" s="11" t="inlineStr">
        <is>
          <t>conciliado</t>
        </is>
      </c>
    </row>
    <row r="1013">
      <c r="A1013" s="11" t="n">
        <v>137</v>
      </c>
      <c r="B1013" s="12" t="n">
        <v>46085</v>
      </c>
      <c r="C1013" s="11" t="inlineStr">
        <is>
          <t>angela cruz sanchez</t>
        </is>
      </c>
      <c r="D1013" s="13" t="n">
        <v>22500</v>
      </c>
      <c r="E1013" s="11">
        <f>IF(G1013="conciliado","conciliado",I1013)</f>
        <v/>
      </c>
      <c r="F1013" s="11" t="inlineStr">
        <is>
          <t>1194 | 2026-03-04 | 22,500 | angela b bre</t>
        </is>
      </c>
      <c r="G1013" s="11">
        <f>IF(I1013="conciliado","conciliado","por revisar")</f>
        <v/>
      </c>
      <c r="H1013" s="11" t="inlineStr"/>
      <c r="I1013" s="11" t="inlineStr">
        <is>
          <t>conciliado</t>
        </is>
      </c>
    </row>
    <row r="1014">
      <c r="A1014" s="11" t="n">
        <v>157</v>
      </c>
      <c r="B1014" s="12" t="n">
        <v>46085</v>
      </c>
      <c r="C1014" s="11" t="inlineStr">
        <is>
          <t>ayerve jairo jhon</t>
        </is>
      </c>
      <c r="D1014" s="13" t="n">
        <v>22800</v>
      </c>
      <c r="E1014" s="11">
        <f>IF(G1014="conciliado","conciliado",I1014)</f>
        <v/>
      </c>
      <c r="F1014" s="11" t="inlineStr">
        <is>
          <t>1195 | 2026-03-04 | 22,800 | ayerve jairo jhon</t>
        </is>
      </c>
      <c r="G1014" s="11">
        <f>IF(I1014="conciliado","conciliado","por revisar")</f>
        <v/>
      </c>
      <c r="H1014" s="11" t="inlineStr"/>
      <c r="I1014" s="11" t="inlineStr">
        <is>
          <t>conciliado</t>
        </is>
      </c>
    </row>
    <row r="1015">
      <c r="A1015" s="11" t="n">
        <v>133</v>
      </c>
      <c r="B1015" s="12" t="n">
        <v>46085</v>
      </c>
      <c r="C1015" s="11" t="inlineStr">
        <is>
          <t>alimentos de masivos</t>
        </is>
      </c>
      <c r="D1015" s="13" t="n">
        <v>-2762002</v>
      </c>
      <c r="E1015" s="11">
        <f>IF(G1015="conciliado","conciliado",I1015)</f>
        <v/>
      </c>
      <c r="F1015" s="11" t="inlineStr">
        <is>
          <t>1197 | 2026-03-04 | -2,762,002 | b bre en pago qr</t>
        </is>
      </c>
      <c r="G1015" s="11">
        <f>IF(I1015="conciliado","conciliado","por revisar")</f>
        <v/>
      </c>
      <c r="H1015" s="11" t="inlineStr"/>
      <c r="I1015" s="11" t="inlineStr">
        <is>
          <t>conciliado</t>
        </is>
      </c>
    </row>
    <row r="1016">
      <c r="A1016" s="11" t="n">
        <v>132</v>
      </c>
      <c r="B1016" s="12" t="n">
        <v>46085</v>
      </c>
      <c r="C1016" s="11" t="inlineStr">
        <is>
          <t>san velas velones y</t>
        </is>
      </c>
      <c r="D1016" s="13" t="n">
        <v>-366168</v>
      </c>
      <c r="E1016" s="11">
        <f>IF(G1016="conciliado","conciliado",I1016)</f>
        <v/>
      </c>
      <c r="F1016" s="11" t="inlineStr">
        <is>
          <t>1198 | 2026-03-04 | -366,168 | jorge san velas velones y</t>
        </is>
      </c>
      <c r="G1016" s="11">
        <f>IF(I1016="conciliado","conciliado","por revisar")</f>
        <v/>
      </c>
      <c r="H1016" s="11" t="inlineStr"/>
      <c r="I1016" s="11" t="inlineStr">
        <is>
          <t>conciliado</t>
        </is>
      </c>
    </row>
    <row r="1017">
      <c r="A1017" s="11" t="n">
        <v>148</v>
      </c>
      <c r="B1017" s="12" t="n">
        <v>46085</v>
      </c>
      <c r="C1017" s="11" t="inlineStr">
        <is>
          <t>benavides santander</t>
        </is>
      </c>
      <c r="D1017" s="13" t="n">
        <v>12000</v>
      </c>
      <c r="E1017" s="11">
        <f>IF(G1017="conciliado","conciliado",I1017)</f>
        <v/>
      </c>
      <c r="F1017" s="11" t="inlineStr">
        <is>
          <t>1200 | 2026-03-04 | 12,000 | jhoana niny santander</t>
        </is>
      </c>
      <c r="G1017" s="11">
        <f>IF(I1017="conciliado","conciliado","por revisar")</f>
        <v/>
      </c>
      <c r="H1017" s="11" t="inlineStr"/>
      <c r="I1017" s="11" t="inlineStr">
        <is>
          <t>conciliado</t>
        </is>
      </c>
    </row>
    <row r="1018">
      <c r="A1018" s="11" t="n">
        <v>156</v>
      </c>
      <c r="B1018" s="12" t="n">
        <v>46085</v>
      </c>
      <c r="C1018" s="11" t="inlineStr">
        <is>
          <t>hernandez magda ruiz</t>
        </is>
      </c>
      <c r="D1018" s="13" t="n">
        <v>12100</v>
      </c>
      <c r="E1018" s="11">
        <f>IF(G1018="conciliado","conciliado",I1018)</f>
        <v/>
      </c>
      <c r="F1018" s="11" t="inlineStr">
        <is>
          <t>1201 | 2026-03-04 | 12,100 | jineth magda ruiz</t>
        </is>
      </c>
      <c r="G1018" s="11">
        <f>IF(I1018="conciliado","conciliado","por revisar")</f>
        <v/>
      </c>
      <c r="H1018" s="11" t="inlineStr"/>
      <c r="I1018" s="11" t="inlineStr">
        <is>
          <t>conciliado</t>
        </is>
      </c>
    </row>
    <row r="1019">
      <c r="A1019" s="11" t="n">
        <v>134</v>
      </c>
      <c r="B1019" s="12" t="n">
        <v>46085</v>
      </c>
      <c r="C1019" s="11" t="inlineStr">
        <is>
          <t>avila en luis rivera</t>
        </is>
      </c>
      <c r="D1019" s="13" t="n">
        <v>6000</v>
      </c>
      <c r="E1019" s="11">
        <f>IF(G1019="conciliado","conciliado",I1019)</f>
        <v/>
      </c>
      <c r="F1019" s="11" t="inlineStr">
        <is>
          <t>1202 | 2026-03-04 | 6,000 | avila enrique luis rivera</t>
        </is>
      </c>
      <c r="G1019" s="11">
        <f>IF(I1019="conciliado","conciliado","por revisar")</f>
        <v/>
      </c>
      <c r="H1019" s="11" t="inlineStr"/>
      <c r="I1019" s="11" t="inlineStr">
        <is>
          <t>conciliado</t>
        </is>
      </c>
    </row>
    <row r="1020">
      <c r="A1020" s="11" t="n">
        <v>155</v>
      </c>
      <c r="B1020" s="12" t="n">
        <v>46085</v>
      </c>
      <c r="C1020" s="11" t="inlineStr">
        <is>
          <t>lara martinez narly</t>
        </is>
      </c>
      <c r="D1020" s="13" t="n">
        <v>3800</v>
      </c>
      <c r="E1020" s="11">
        <f>IF(G1020="conciliado","conciliado",I1020)</f>
        <v/>
      </c>
      <c r="F1020" s="11" t="inlineStr">
        <is>
          <t>1205 | 2026-03-04 | 3,800 | martinez nasly yulieth</t>
        </is>
      </c>
      <c r="G1020" s="11">
        <f>IF(I1020="conciliado","conciliado","por revisar")</f>
        <v/>
      </c>
      <c r="H1020" s="11" t="inlineStr"/>
      <c r="I1020" s="11" t="inlineStr">
        <is>
          <t>conciliado</t>
        </is>
      </c>
    </row>
    <row r="1021">
      <c r="A1021" s="11" t="n">
        <v>144</v>
      </c>
      <c r="B1021" s="12" t="n">
        <v>46085</v>
      </c>
      <c r="C1021" s="11" t="inlineStr">
        <is>
          <t>aldana joha renteria</t>
        </is>
      </c>
      <c r="D1021" s="13" t="n">
        <v>3000</v>
      </c>
      <c r="E1021" s="11">
        <f>IF(G1021="conciliado","conciliado",I1021)</f>
        <v/>
      </c>
      <c r="F1021" s="11" t="inlineStr">
        <is>
          <t>1206 | 2026-03-04 | 3,000 | aldana johan renteria</t>
        </is>
      </c>
      <c r="G1021" s="11">
        <f>IF(I1021="conciliado","conciliado","por revisar")</f>
        <v/>
      </c>
      <c r="H1021" s="11" t="inlineStr"/>
      <c r="I1021" s="11" t="inlineStr">
        <is>
          <t>conciliado</t>
        </is>
      </c>
    </row>
    <row r="1022">
      <c r="A1022" s="11" t="n">
        <v>136</v>
      </c>
      <c r="B1022" s="12" t="n">
        <v>46085</v>
      </c>
      <c r="C1022" s="11" t="inlineStr">
        <is>
          <t>al bolanos madronero</t>
        </is>
      </c>
      <c r="D1022" s="13" t="n">
        <v>17400</v>
      </c>
      <c r="E1022" s="11">
        <f>IF(G1022="conciliado","conciliado",I1022)</f>
        <v/>
      </c>
      <c r="F1022" s="11" t="inlineStr">
        <is>
          <t>1207 | 2026-03-04 | 17,400 | alison bolanos meliza</t>
        </is>
      </c>
      <c r="G1022" s="11">
        <f>IF(I1022="conciliado","conciliado","por revisar")</f>
        <v/>
      </c>
      <c r="H1022" s="11" t="inlineStr"/>
      <c r="I1022" s="11" t="inlineStr">
        <is>
          <t>conciliado</t>
        </is>
      </c>
    </row>
    <row r="1023">
      <c r="A1023" s="11" t="n">
        <v>138</v>
      </c>
      <c r="B1023" s="12" t="n">
        <v>46085</v>
      </c>
      <c r="C1023" s="11" t="inlineStr">
        <is>
          <t>alvarez espinosa fab</t>
        </is>
      </c>
      <c r="D1023" s="13" t="n">
        <v>16400</v>
      </c>
      <c r="E1023" s="11">
        <f>IF(G1023="conciliado","conciliado",I1023)</f>
        <v/>
      </c>
      <c r="F1023" s="11" t="inlineStr">
        <is>
          <t>1208 | 2026-03-04 | 16,400 | bancolombia desde qr recarga</t>
        </is>
      </c>
      <c r="G1023" s="11">
        <f>IF(I1023="conciliado","conciliado","por revisar")</f>
        <v/>
      </c>
      <c r="H1023" s="11" t="inlineStr"/>
      <c r="I1023" s="11" t="inlineStr">
        <is>
          <t>conciliado</t>
        </is>
      </c>
    </row>
    <row r="1024">
      <c r="A1024" s="11" t="n">
        <v>147</v>
      </c>
      <c r="B1024" s="12" t="n">
        <v>46085</v>
      </c>
      <c r="C1024" s="11" t="inlineStr">
        <is>
          <t>correa cubillos luis</t>
        </is>
      </c>
      <c r="D1024" s="13" t="n">
        <v>6400</v>
      </c>
      <c r="E1024" s="11">
        <f>IF(G1024="conciliado","conciliado",I1024)</f>
        <v/>
      </c>
      <c r="F1024" s="11" t="inlineStr">
        <is>
          <t>1209 | 2026-03-04 | 6,400 | andres correa luis</t>
        </is>
      </c>
      <c r="G1024" s="11">
        <f>IF(I1024="conciliado","conciliado","por revisar")</f>
        <v/>
      </c>
      <c r="H1024" s="11" t="inlineStr"/>
      <c r="I1024" s="11" t="inlineStr">
        <is>
          <t>conciliado</t>
        </is>
      </c>
    </row>
    <row r="1025">
      <c r="A1025" s="11" t="n">
        <v>139</v>
      </c>
      <c r="B1025" s="12" t="n">
        <v>46085</v>
      </c>
      <c r="C1025" s="11" t="inlineStr">
        <is>
          <t>jhonatan melo salas</t>
        </is>
      </c>
      <c r="D1025" s="13" t="n">
        <v>28800</v>
      </c>
      <c r="E1025" s="11">
        <f>IF(G1025="conciliado","conciliado",I1025)</f>
        <v/>
      </c>
      <c r="F1025" s="11" t="inlineStr">
        <is>
          <t>1210 | 2026-03-04 | 28,800 | arley jhonatan melo</t>
        </is>
      </c>
      <c r="G1025" s="11">
        <f>IF(I1025="conciliado","conciliado","por revisar")</f>
        <v/>
      </c>
      <c r="H1025" s="11" t="inlineStr"/>
      <c r="I1025" s="11" t="inlineStr">
        <is>
          <t>conciliado</t>
        </is>
      </c>
    </row>
    <row r="1026">
      <c r="A1026" s="11" t="n">
        <v>141</v>
      </c>
      <c r="B1026" s="12" t="n">
        <v>46085</v>
      </c>
      <c r="C1026" s="11" t="inlineStr">
        <is>
          <t>alba cam maria perez</t>
        </is>
      </c>
      <c r="D1026" s="13" t="n">
        <v>8000</v>
      </c>
      <c r="E1026" s="11">
        <f>IF(G1026="conciliado","conciliado",I1026)</f>
        <v/>
      </c>
      <c r="F1026" s="11" t="inlineStr">
        <is>
          <t>1211 | 2026-03-04 | 8,000 | b bre maria</t>
        </is>
      </c>
      <c r="G1026" s="11">
        <f>IF(I1026="conciliado","conciliado","por revisar")</f>
        <v/>
      </c>
      <c r="H1026" s="11" t="inlineStr"/>
      <c r="I1026" s="11" t="inlineStr">
        <is>
          <t>conciliado</t>
        </is>
      </c>
    </row>
    <row r="1027">
      <c r="A1027" s="11" t="n">
        <v>154</v>
      </c>
      <c r="B1027" s="12" t="n">
        <v>46085</v>
      </c>
      <c r="C1027" s="11" t="inlineStr">
        <is>
          <t>danna moran moreno</t>
        </is>
      </c>
      <c r="D1027" s="13" t="n">
        <v>3000</v>
      </c>
      <c r="E1027" s="11">
        <f>IF(G1027="conciliado","conciliado",I1027)</f>
        <v/>
      </c>
      <c r="F1027" s="11" t="inlineStr">
        <is>
          <t>1212 | 2026-03-04 | 3,000 | danna moreno yulethzy</t>
        </is>
      </c>
      <c r="G1027" s="11">
        <f>IF(I1027="conciliado","conciliado","por revisar")</f>
        <v/>
      </c>
      <c r="H1027" s="11" t="inlineStr"/>
      <c r="I1027" s="11" t="inlineStr">
        <is>
          <t>conciliado</t>
        </is>
      </c>
    </row>
    <row r="1028">
      <c r="A1028" s="11" t="n">
        <v>153</v>
      </c>
      <c r="B1028" s="12" t="n">
        <v>46085</v>
      </c>
      <c r="C1028" s="11" t="inlineStr">
        <is>
          <t>aullon galindez heri</t>
        </is>
      </c>
      <c r="D1028" s="13" t="n">
        <v>43500</v>
      </c>
      <c r="E1028" s="11">
        <f>IF(G1028="conciliado","conciliado",I1028)</f>
        <v/>
      </c>
      <c r="F1028" s="11" t="inlineStr">
        <is>
          <t>1213 | 2026-03-04 | 43,500 | galindez heriberto</t>
        </is>
      </c>
      <c r="G1028" s="11">
        <f>IF(I1028="conciliado","conciliado","por revisar")</f>
        <v/>
      </c>
      <c r="H1028" s="11" t="inlineStr"/>
      <c r="I1028" s="11" t="inlineStr">
        <is>
          <t>conciliado</t>
        </is>
      </c>
    </row>
    <row r="1029">
      <c r="A1029" s="11" t="n">
        <v>116</v>
      </c>
      <c r="B1029" s="12" t="n">
        <v>46084</v>
      </c>
      <c r="C1029" s="11" t="inlineStr">
        <is>
          <t>cristhi robles velez</t>
        </is>
      </c>
      <c r="D1029" s="13" t="n">
        <v>62400</v>
      </c>
      <c r="E1029" s="11">
        <f>IF(G1029="conciliado","conciliado",I1029)</f>
        <v/>
      </c>
      <c r="F1029" s="11" t="inlineStr">
        <is>
          <t>1214 | 2026-03-03 | 62,400 | bancolombia desde qr recarga</t>
        </is>
      </c>
      <c r="G1029" s="11">
        <f>IF(I1029="conciliado","conciliado","por revisar")</f>
        <v/>
      </c>
      <c r="H1029" s="11" t="inlineStr"/>
      <c r="I1029" s="11" t="inlineStr">
        <is>
          <t>conciliado</t>
        </is>
      </c>
    </row>
    <row r="1030">
      <c r="A1030" s="11" t="n">
        <v>131</v>
      </c>
      <c r="B1030" s="12" t="n">
        <v>46084</v>
      </c>
      <c r="C1030" s="11" t="inlineStr">
        <is>
          <t>getial preciado seba</t>
        </is>
      </c>
      <c r="D1030" s="13" t="n">
        <v>4000</v>
      </c>
      <c r="E1030" s="11">
        <f>IF(G1030="conciliado","conciliado",I1030)</f>
        <v/>
      </c>
      <c r="F1030" s="11" t="inlineStr">
        <is>
          <t>1215 | 2026-03-03 | 4,000 | getial jhon sebas</t>
        </is>
      </c>
      <c r="G1030" s="11">
        <f>IF(I1030="conciliado","conciliado","por revisar")</f>
        <v/>
      </c>
      <c r="H1030" s="11" t="inlineStr"/>
      <c r="I1030" s="11" t="inlineStr">
        <is>
          <t>conciliado</t>
        </is>
      </c>
    </row>
    <row r="1031">
      <c r="A1031" s="11" t="n">
        <v>119</v>
      </c>
      <c r="B1031" s="12" t="n">
        <v>46084</v>
      </c>
      <c r="C1031" s="11" t="inlineStr">
        <is>
          <t>benavides edwi marin</t>
        </is>
      </c>
      <c r="D1031" s="13" t="n">
        <v>55900</v>
      </c>
      <c r="E1031" s="11">
        <f>IF(G1031="conciliado","conciliado",I1031)</f>
        <v/>
      </c>
      <c r="F1031" s="11" t="inlineStr">
        <is>
          <t>1216 | 2026-03-03 | 55,900 | bancolombia desde recarga</t>
        </is>
      </c>
      <c r="G1031" s="11">
        <f>IF(I1031="conciliado","conciliado","por revisar")</f>
        <v/>
      </c>
      <c r="H1031" s="11" t="inlineStr"/>
      <c r="I1031" s="11" t="inlineStr">
        <is>
          <t>conciliado</t>
        </is>
      </c>
    </row>
    <row r="1032">
      <c r="A1032" s="11" t="n">
        <v>111</v>
      </c>
      <c r="B1032" s="12" t="n">
        <v>46084</v>
      </c>
      <c r="C1032" s="11" t="inlineStr">
        <is>
          <t>je mosquera palacios</t>
        </is>
      </c>
      <c r="D1032" s="13" t="n">
        <v>38000</v>
      </c>
      <c r="E1032" s="11">
        <f>IF(G1032="conciliado","conciliado",I1032)</f>
        <v/>
      </c>
      <c r="F1032" s="11" t="inlineStr">
        <is>
          <t>1217 | 2026-03-03 | 38,000 | jennifer mosquera</t>
        </is>
      </c>
      <c r="G1032" s="11">
        <f>IF(I1032="conciliado","conciliado","por revisar")</f>
        <v/>
      </c>
      <c r="H1032" s="11" t="inlineStr"/>
      <c r="I1032" s="11" t="inlineStr">
        <is>
          <t>conciliado</t>
        </is>
      </c>
    </row>
    <row r="1033">
      <c r="A1033" s="11" t="n">
        <v>113</v>
      </c>
      <c r="B1033" s="12" t="n">
        <v>46084</v>
      </c>
      <c r="C1033" s="11" t="inlineStr">
        <is>
          <t>a cortes diaz miguel</t>
        </is>
      </c>
      <c r="D1033" s="13" t="n">
        <v>32500</v>
      </c>
      <c r="E1033" s="11">
        <f>IF(G1033="conciliado","conciliado",I1033)</f>
        <v/>
      </c>
      <c r="F1033" s="11" t="inlineStr">
        <is>
          <t>1218 | 2026-03-03 | 32,500 | angel diaz miguel</t>
        </is>
      </c>
      <c r="G1033" s="11">
        <f>IF(I1033="conciliado","conciliado","por revisar")</f>
        <v/>
      </c>
      <c r="H1033" s="11" t="inlineStr"/>
      <c r="I1033" s="11" t="inlineStr">
        <is>
          <t>conciliado</t>
        </is>
      </c>
    </row>
    <row r="1034">
      <c r="A1034" s="11" t="n">
        <v>94</v>
      </c>
      <c r="B1034" s="12" t="n">
        <v>46084</v>
      </c>
      <c r="C1034" s="11" t="inlineStr">
        <is>
          <t>chavez galarza luis</t>
        </is>
      </c>
      <c r="D1034" s="13" t="n">
        <v>2000</v>
      </c>
      <c r="E1034" s="11">
        <f>IF(G1034="conciliado","conciliado",I1034)</f>
        <v/>
      </c>
      <c r="F1034" s="11" t="inlineStr">
        <is>
          <t>1219 | 2026-03-03 | 2,000 | chavez fernando luis</t>
        </is>
      </c>
      <c r="G1034" s="11">
        <f>IF(I1034="conciliado","conciliado","por revisar")</f>
        <v/>
      </c>
      <c r="H1034" s="11" t="inlineStr"/>
      <c r="I1034" s="11" t="inlineStr">
        <is>
          <t>conciliado</t>
        </is>
      </c>
    </row>
    <row r="1035">
      <c r="A1035" s="11" t="n">
        <v>98</v>
      </c>
      <c r="B1035" s="12" t="n">
        <v>46084</v>
      </c>
      <c r="C1035" s="11" t="inlineStr">
        <is>
          <t>cifuentes daniels di</t>
        </is>
      </c>
      <c r="D1035" s="13" t="n">
        <v>20600</v>
      </c>
      <c r="E1035" s="11">
        <f>IF(G1035="conciliado","conciliado",I1035)</f>
        <v/>
      </c>
      <c r="F1035" s="11" t="inlineStr">
        <is>
          <t>1221 | 2026-03-03 | 20,600 | daniels dixie veronica</t>
        </is>
      </c>
      <c r="G1035" s="11">
        <f>IF(I1035="conciliado","conciliado","por revisar")</f>
        <v/>
      </c>
      <c r="H1035" s="11" t="inlineStr"/>
      <c r="I1035" s="11" t="inlineStr">
        <is>
          <t>conciliado</t>
        </is>
      </c>
    </row>
    <row r="1036">
      <c r="A1036" s="11" t="n">
        <v>130</v>
      </c>
      <c r="B1036" s="12" t="n">
        <v>46084</v>
      </c>
      <c r="C1036" s="11" t="inlineStr">
        <is>
          <t>adria andrade medina</t>
        </is>
      </c>
      <c r="D1036" s="13" t="n">
        <v>5900</v>
      </c>
      <c r="E1036" s="11">
        <f>IF(G1036="conciliado","conciliado",I1036)</f>
        <v/>
      </c>
      <c r="F1036" s="11" t="inlineStr">
        <is>
          <t>1222 | 2026-03-03 | 5,900 | adriana marcela medina</t>
        </is>
      </c>
      <c r="G1036" s="11">
        <f>IF(I1036="conciliado","conciliado","por revisar")</f>
        <v/>
      </c>
      <c r="H1036" s="11" t="inlineStr"/>
      <c r="I1036" s="11" t="inlineStr">
        <is>
          <t>conciliado</t>
        </is>
      </c>
    </row>
    <row r="1037">
      <c r="A1037" s="11" t="n">
        <v>108</v>
      </c>
      <c r="B1037" s="12" t="n">
        <v>46084</v>
      </c>
      <c r="C1037" s="11" t="inlineStr">
        <is>
          <t>b cueva pinta wilson</t>
        </is>
      </c>
      <c r="D1037" s="13" t="n">
        <v>15200</v>
      </c>
      <c r="E1037" s="11">
        <f>IF(G1037="conciliado","conciliado",I1037)</f>
        <v/>
      </c>
      <c r="F1037" s="11" t="inlineStr">
        <is>
          <t>1223 | 2026-03-03 | 15,200 | b bre wilson</t>
        </is>
      </c>
      <c r="G1037" s="11">
        <f>IF(I1037="conciliado","conciliado","por revisar")</f>
        <v/>
      </c>
      <c r="H1037" s="11" t="inlineStr"/>
      <c r="I1037" s="11" t="inlineStr">
        <is>
          <t>conciliado</t>
        </is>
      </c>
    </row>
    <row r="1038">
      <c r="A1038" s="11" t="n">
        <v>106</v>
      </c>
      <c r="B1038" s="12" t="n">
        <v>46084</v>
      </c>
      <c r="C1038" s="11" t="inlineStr">
        <is>
          <t>manuel mora sanchez</t>
        </is>
      </c>
      <c r="D1038" s="13" t="n">
        <v>49500</v>
      </c>
      <c r="E1038" s="11">
        <f>IF(G1038="conciliado","conciliado",I1038)</f>
        <v/>
      </c>
      <c r="F1038" s="11" t="inlineStr">
        <is>
          <t>1224 | 2026-03-03 | 49,500 | antonio manuel mora</t>
        </is>
      </c>
      <c r="G1038" s="11">
        <f>IF(I1038="conciliado","conciliado","por revisar")</f>
        <v/>
      </c>
      <c r="H1038" s="11" t="inlineStr"/>
      <c r="I1038" s="11" t="inlineStr">
        <is>
          <t>conciliado</t>
        </is>
      </c>
    </row>
    <row r="1039">
      <c r="A1039" s="11" t="n">
        <v>123</v>
      </c>
      <c r="B1039" s="12" t="n">
        <v>46084</v>
      </c>
      <c r="C1039" s="11" t="inlineStr">
        <is>
          <t>alvarez chavez crist</t>
        </is>
      </c>
      <c r="D1039" s="13" t="n">
        <v>15000</v>
      </c>
      <c r="E1039" s="11">
        <f>IF(G1039="conciliado","conciliado",I1039)</f>
        <v/>
      </c>
      <c r="F1039" s="11" t="inlineStr">
        <is>
          <t>1225 | 2026-03-03 | 15,000 | alvarez cristian david</t>
        </is>
      </c>
      <c r="G1039" s="11">
        <f>IF(I1039="conciliado","conciliado","por revisar")</f>
        <v/>
      </c>
      <c r="H1039" s="11" t="inlineStr"/>
      <c r="I1039" s="11" t="inlineStr">
        <is>
          <t>conciliado</t>
        </is>
      </c>
    </row>
    <row r="1040">
      <c r="A1040" s="11" t="n">
        <v>105</v>
      </c>
      <c r="B1040" s="12" t="n">
        <v>46084</v>
      </c>
      <c r="C1040" s="11" t="inlineStr">
        <is>
          <t>d luis ruiz tarapuez</t>
        </is>
      </c>
      <c r="D1040" s="13" t="n">
        <v>17500</v>
      </c>
      <c r="E1040" s="11">
        <f>IF(G1040="conciliado","conciliado",I1040)</f>
        <v/>
      </c>
      <c r="F1040" s="11" t="inlineStr">
        <is>
          <t>1226 | 2026-03-03 | 17,500 | daniel luis ruiz tarapuez</t>
        </is>
      </c>
      <c r="G1040" s="11">
        <f>IF(I1040="conciliado","conciliado","por revisar")</f>
        <v/>
      </c>
      <c r="H1040" s="11" t="inlineStr"/>
      <c r="I1040" s="11" t="inlineStr">
        <is>
          <t>conciliado</t>
        </is>
      </c>
    </row>
    <row r="1041">
      <c r="A1041" s="11" t="n">
        <v>126</v>
      </c>
      <c r="B1041" s="12" t="n">
        <v>46084</v>
      </c>
      <c r="C1041" s="11" t="inlineStr">
        <is>
          <t>mosquera nil vallejo</t>
        </is>
      </c>
      <c r="D1041" s="13" t="n">
        <v>6400</v>
      </c>
      <c r="E1041" s="11">
        <f>IF(G1041="conciliado","conciliado",I1041)</f>
        <v/>
      </c>
      <c r="F1041" s="11" t="inlineStr">
        <is>
          <t>1227 | 2026-03-03 | 6,400 | mosquera nilson</t>
        </is>
      </c>
      <c r="G1041" s="11">
        <f>IF(I1041="conciliado","conciliado","por revisar")</f>
        <v/>
      </c>
      <c r="H1041" s="11" t="inlineStr"/>
      <c r="I1041" s="11" t="inlineStr">
        <is>
          <t>conciliado</t>
        </is>
      </c>
    </row>
    <row r="1042">
      <c r="A1042" s="11" t="n">
        <v>104</v>
      </c>
      <c r="B1042" s="12" t="n">
        <v>46084</v>
      </c>
      <c r="C1042" s="11" t="inlineStr">
        <is>
          <t>bastidas ma mosquera</t>
        </is>
      </c>
      <c r="D1042" s="13" t="n">
        <v>60200</v>
      </c>
      <c r="E1042" s="11">
        <f>IF(G1042="conciliado","conciliado",I1042)</f>
        <v/>
      </c>
      <c r="F1042" s="11" t="inlineStr">
        <is>
          <t>1229 | 2026-03-03 | 60,200 | bastidas marley</t>
        </is>
      </c>
      <c r="G1042" s="11">
        <f>IF(I1042="conciliado","conciliado","por revisar")</f>
        <v/>
      </c>
      <c r="H1042" s="11" t="inlineStr"/>
      <c r="I1042" s="11" t="inlineStr">
        <is>
          <t>conciliado</t>
        </is>
      </c>
    </row>
    <row r="1043">
      <c r="A1043" s="11" t="n">
        <v>90</v>
      </c>
      <c r="B1043" s="12" t="n">
        <v>46084</v>
      </c>
      <c r="C1043" s="11" t="inlineStr">
        <is>
          <t>doly gamboa vargas</t>
        </is>
      </c>
      <c r="D1043" s="13" t="n">
        <v>5800</v>
      </c>
      <c r="E1043" s="11">
        <f>IF(G1043="conciliado","conciliado",I1043)</f>
        <v/>
      </c>
      <c r="F1043" s="11" t="inlineStr">
        <is>
          <t>1231 | 2026-03-03 | 5,800 | doly gamboa vargas</t>
        </is>
      </c>
      <c r="G1043" s="11">
        <f>IF(I1043="conciliado","conciliado","por revisar")</f>
        <v/>
      </c>
      <c r="H1043" s="11" t="inlineStr"/>
      <c r="I1043" s="11" t="inlineStr">
        <is>
          <t>conciliado</t>
        </is>
      </c>
    </row>
    <row r="1044">
      <c r="A1044" s="11" t="n">
        <v>95</v>
      </c>
      <c r="B1044" s="12" t="n">
        <v>46084</v>
      </c>
      <c r="C1044" s="11" t="inlineStr">
        <is>
          <t>ciro daniela f leiva</t>
        </is>
      </c>
      <c r="D1044" s="13" t="n">
        <v>27200</v>
      </c>
      <c r="E1044" s="11">
        <f>IF(G1044="conciliado","conciliado",I1044)</f>
        <v/>
      </c>
      <c r="F1044" s="11" t="inlineStr">
        <is>
          <t>1232 | 2026-03-03 | 27,200 | daniela fernanda leiva</t>
        </is>
      </c>
      <c r="G1044" s="11">
        <f>IF(I1044="conciliado","conciliado","por revisar")</f>
        <v/>
      </c>
      <c r="H1044" s="11" t="inlineStr"/>
      <c r="I1044" s="11" t="inlineStr">
        <is>
          <t>conciliado</t>
        </is>
      </c>
    </row>
    <row r="1045">
      <c r="A1045" s="11" t="n">
        <v>118</v>
      </c>
      <c r="B1045" s="12" t="n">
        <v>46084</v>
      </c>
      <c r="C1045" s="11" t="inlineStr">
        <is>
          <t>estibe recalde tello</t>
        </is>
      </c>
      <c r="D1045" s="13" t="n">
        <v>22400</v>
      </c>
      <c r="E1045" s="11">
        <f>IF(G1045="conciliado","conciliado",I1045)</f>
        <v/>
      </c>
      <c r="F1045" s="11" t="inlineStr">
        <is>
          <t>1233 | 2026-03-03 | 22,400 | mauricio recalde steven</t>
        </is>
      </c>
      <c r="G1045" s="11">
        <f>IF(I1045="conciliado","conciliado","por revisar")</f>
        <v/>
      </c>
      <c r="H1045" s="11" t="inlineStr"/>
      <c r="I1045" s="11" t="inlineStr">
        <is>
          <t>conciliado</t>
        </is>
      </c>
    </row>
    <row r="1046">
      <c r="A1046" s="11" t="n">
        <v>91</v>
      </c>
      <c r="B1046" s="12" t="n">
        <v>46084</v>
      </c>
      <c r="C1046" s="11" t="inlineStr">
        <is>
          <t>quintero toro yoland</t>
        </is>
      </c>
      <c r="D1046" s="13" t="n">
        <v>31800</v>
      </c>
      <c r="E1046" s="11">
        <f>IF(G1046="conciliado","conciliado",I1046)</f>
        <v/>
      </c>
      <c r="F1046" s="11" t="inlineStr">
        <is>
          <t>1234 | 2026-03-03 | 31,800 | quintero toro yolanda</t>
        </is>
      </c>
      <c r="G1046" s="11">
        <f>IF(I1046="conciliado","conciliado","por revisar")</f>
        <v/>
      </c>
      <c r="H1046" s="11" t="inlineStr"/>
      <c r="I1046" s="11" t="inlineStr">
        <is>
          <t>conciliado</t>
        </is>
      </c>
    </row>
    <row r="1047">
      <c r="A1047" s="11" t="n">
        <v>96</v>
      </c>
      <c r="B1047" s="12" t="n">
        <v>46084</v>
      </c>
      <c r="C1047" s="11" t="inlineStr">
        <is>
          <t>angela cruz sanchez</t>
        </is>
      </c>
      <c r="D1047" s="13" t="n">
        <v>13800</v>
      </c>
      <c r="E1047" s="11">
        <f>IF(G1047="conciliado","conciliado",I1047)</f>
        <v/>
      </c>
      <c r="F1047" s="11" t="inlineStr">
        <is>
          <t>1235 | 2026-03-03 | 13,800 | angela milady sanchez</t>
        </is>
      </c>
      <c r="G1047" s="11">
        <f>IF(I1047="conciliado","conciliado","por revisar")</f>
        <v/>
      </c>
      <c r="H1047" s="11" t="inlineStr"/>
      <c r="I1047" s="11" t="inlineStr">
        <is>
          <t>conciliado</t>
        </is>
      </c>
    </row>
    <row r="1048">
      <c r="A1048" s="11" t="n">
        <v>110</v>
      </c>
      <c r="B1048" s="12" t="n">
        <v>46084</v>
      </c>
      <c r="C1048" s="11" t="inlineStr">
        <is>
          <t>granobles jhimm toro</t>
        </is>
      </c>
      <c r="D1048" s="13" t="n">
        <v>6500</v>
      </c>
      <c r="E1048" s="11">
        <f>IF(G1048="conciliado","conciliado",I1048)</f>
        <v/>
      </c>
      <c r="F1048" s="11" t="inlineStr">
        <is>
          <t>1236 | 2026-03-03 | 6,500 | geovani jhimmy toro</t>
        </is>
      </c>
      <c r="G1048" s="11">
        <f>IF(I1048="conciliado","conciliado","por revisar")</f>
        <v/>
      </c>
      <c r="H1048" s="11" t="inlineStr"/>
      <c r="I1048" s="11" t="inlineStr">
        <is>
          <t>conciliado</t>
        </is>
      </c>
    </row>
    <row r="1049">
      <c r="A1049" s="11" t="n">
        <v>160</v>
      </c>
      <c r="B1049" s="12" t="n">
        <v>46086</v>
      </c>
      <c r="C1049" s="11" t="inlineStr">
        <is>
          <t>cuacialpud hernandez</t>
        </is>
      </c>
      <c r="D1049" s="13" t="n">
        <v>-1000000</v>
      </c>
      <c r="E1049" s="11">
        <f>IF(G1049="conciliado","conciliado",I1049)</f>
        <v/>
      </c>
      <c r="F1049" s="11">
        <f>IF(SUM(COUNTIFS('Conciliacion de compuestos'!$D$2:$D$71,"conciliado",'Conciliacion de compuestos'!$E$2:$E$71,"OK",'Conciliacion de compuestos'!$M$2:$M$71,A1049),COUNTIFS('Conciliacion de compuestos'!$D$2:$D$71,"conciliado",'Conciliacion de compuestos'!$E$2:$E$71,"OK",'Conciliacion de compuestos'!$N$2:$N$71,A1049),COUNTIFS('Conciliacion de compuestos'!$D$2:$D$71,"conciliado",'Conciliacion de compuestos'!$E$2:$E$71,"OK",'Conciliacion de compuestos'!$O$2:$O$71,A1049))&gt;0,IFERROR(TEXTJOIN(CHAR(10),TRUE,FILTER('Conciliacion de compuestos'!$A$2:$A$71,('Conciliacion de compuestos'!$D$2:$D$71="conciliado")*('Conciliacion de compuestos'!$E$2:$E$71="OK")*((('Conciliacion de compuestos'!$M$2:$M$71=A1049)+('Conciliacion de compuestos'!$N$2:$N$71=A1049)+('Conciliacion de compuestos'!$O$2:$O$71=A1049))&gt;0))),""),"")</f>
        <v/>
      </c>
      <c r="G1049" s="11">
        <f>IF(I1049="conciliado","conciliado","por revisar")</f>
        <v/>
      </c>
      <c r="H1049" s="11" t="inlineStr"/>
      <c r="I1049" s="11">
        <f>IF(SUM(COUNTIFS('Conciliacion de compuestos'!$D$2:$D$71,"conciliado",'Conciliacion de compuestos'!$E$2:$E$71,"OK",'Conciliacion de compuestos'!$M$2:$M$71,A1049),COUNTIFS('Conciliacion de compuestos'!$D$2:$D$71,"conciliado",'Conciliacion de compuestos'!$E$2:$E$71,"OK",'Conciliacion de compuestos'!$N$2:$N$71,A1049),COUNTIFS('Conciliacion de compuestos'!$D$2:$D$71,"conciliado",'Conciliacion de compuestos'!$E$2:$E$71,"OK",'Conciliacion de compuestos'!$O$2:$O$71,A1049))&gt;0,"conciliado","por revisar")</f>
        <v/>
      </c>
    </row>
    <row r="1050">
      <c r="A1050" s="11" t="n">
        <v>92</v>
      </c>
      <c r="B1050" s="12" t="n">
        <v>46084</v>
      </c>
      <c r="C1050" s="11" t="inlineStr">
        <is>
          <t>ca juan sanchez toro</t>
        </is>
      </c>
      <c r="D1050" s="13" t="n">
        <v>3200</v>
      </c>
      <c r="E1050" s="11">
        <f>IF(G1050="conciliado","conciliado",I1050)</f>
        <v/>
      </c>
      <c r="F1050" s="11" t="inlineStr">
        <is>
          <t>1239 | 2026-03-03 | 3,200 | carlos juan sanchez</t>
        </is>
      </c>
      <c r="G1050" s="11">
        <f>IF(I1050="conciliado","conciliado","por revisar")</f>
        <v/>
      </c>
      <c r="H1050" s="11" t="inlineStr"/>
      <c r="I1050" s="11" t="inlineStr">
        <is>
          <t>conciliado</t>
        </is>
      </c>
    </row>
    <row r="1051">
      <c r="A1051" s="11" t="n">
        <v>124</v>
      </c>
      <c r="B1051" s="12" t="n">
        <v>46084</v>
      </c>
      <c r="C1051" s="11" t="inlineStr">
        <is>
          <t>alva bernal palacios</t>
        </is>
      </c>
      <c r="D1051" s="13" t="n">
        <v>21900</v>
      </c>
      <c r="E1051" s="11">
        <f>IF(G1051="conciliado","conciliado",I1051)</f>
        <v/>
      </c>
      <c r="F1051" s="11" t="inlineStr">
        <is>
          <t>1241 | 2026-03-03 | 21,900 | alvaro bernal livaniel</t>
        </is>
      </c>
      <c r="G1051" s="11">
        <f>IF(I1051="conciliado","conciliado","por revisar")</f>
        <v/>
      </c>
      <c r="H1051" s="11" t="inlineStr"/>
      <c r="I1051" s="11" t="inlineStr">
        <is>
          <t>conciliado</t>
        </is>
      </c>
    </row>
    <row r="1052">
      <c r="A1052" s="11" t="n">
        <v>114</v>
      </c>
      <c r="B1052" s="12" t="n">
        <v>46084</v>
      </c>
      <c r="C1052" s="11" t="inlineStr">
        <is>
          <t>moreno ramirez yeni</t>
        </is>
      </c>
      <c r="D1052" s="13" t="n">
        <v>36400</v>
      </c>
      <c r="E1052" s="11">
        <f>IF(G1052="conciliado","conciliado",I1052)</f>
        <v/>
      </c>
      <c r="F1052" s="11" t="inlineStr">
        <is>
          <t>1242 | 2026-03-03 | 36,400 | jenny ramirez renata</t>
        </is>
      </c>
      <c r="G1052" s="11">
        <f>IF(I1052="conciliado","conciliado","por revisar")</f>
        <v/>
      </c>
      <c r="H1052" s="11" t="inlineStr"/>
      <c r="I1052" s="11" t="inlineStr">
        <is>
          <t>conciliado</t>
        </is>
      </c>
    </row>
    <row r="1053">
      <c r="A1053" s="11" t="n">
        <v>99</v>
      </c>
      <c r="B1053" s="12" t="n">
        <v>46084</v>
      </c>
      <c r="C1053" s="11" t="inlineStr">
        <is>
          <t>mon obando santacruz</t>
        </is>
      </c>
      <c r="D1053" s="13" t="n">
        <v>14300</v>
      </c>
      <c r="E1053" s="11">
        <f>IF(G1053="conciliado","conciliado",I1053)</f>
        <v/>
      </c>
      <c r="F1053" s="11" t="inlineStr">
        <is>
          <t>1243 | 2026-03-03 | 14,300 | alexandra monica</t>
        </is>
      </c>
      <c r="G1053" s="11">
        <f>IF(I1053="conciliado","conciliado","por revisar")</f>
        <v/>
      </c>
      <c r="H1053" s="11" t="inlineStr"/>
      <c r="I1053" s="11" t="inlineStr">
        <is>
          <t>conciliado</t>
        </is>
      </c>
    </row>
    <row r="1054">
      <c r="A1054" s="11" t="n">
        <v>129</v>
      </c>
      <c r="B1054" s="12" t="n">
        <v>46084</v>
      </c>
      <c r="C1054" s="11" t="inlineStr">
        <is>
          <t>erika velazquez</t>
        </is>
      </c>
      <c r="D1054" s="13" t="n">
        <v>26000</v>
      </c>
      <c r="E1054" s="11">
        <f>IF(G1054="conciliado","conciliado",I1054)</f>
        <v/>
      </c>
      <c r="F1054" s="11" t="inlineStr">
        <is>
          <t>1244 | 2026-03-03 | 26,000 | alexander dovigama luis</t>
        </is>
      </c>
      <c r="G1054" s="11">
        <f>IF(I1054="conciliado","conciliado","por revisar")</f>
        <v/>
      </c>
      <c r="H1054" s="11" t="inlineStr"/>
      <c r="I1054" s="11" t="inlineStr">
        <is>
          <t>conciliado</t>
        </is>
      </c>
    </row>
    <row r="1055">
      <c r="A1055" s="11" t="n">
        <v>121</v>
      </c>
      <c r="B1055" s="12" t="n">
        <v>46084</v>
      </c>
      <c r="C1055" s="11" t="inlineStr">
        <is>
          <t>caro castro nancy</t>
        </is>
      </c>
      <c r="D1055" s="13" t="n">
        <v>22500</v>
      </c>
      <c r="E1055" s="11">
        <f>IF(G1055="conciliado","conciliado",I1055)</f>
        <v/>
      </c>
      <c r="F1055" s="11" t="inlineStr">
        <is>
          <t>1245 | 2026-03-03 | 22,500 | caro castro nancy</t>
        </is>
      </c>
      <c r="G1055" s="11">
        <f>IF(I1055="conciliado","conciliado","por revisar")</f>
        <v/>
      </c>
      <c r="H1055" s="11" t="inlineStr"/>
      <c r="I1055" s="11" t="inlineStr">
        <is>
          <t>conciliado</t>
        </is>
      </c>
    </row>
    <row r="1056">
      <c r="A1056" s="11" t="n">
        <v>103</v>
      </c>
      <c r="B1056" s="12" t="n">
        <v>46084</v>
      </c>
      <c r="C1056" s="11" t="inlineStr">
        <is>
          <t>linda solarte yepes</t>
        </is>
      </c>
      <c r="D1056" s="13" t="n">
        <v>21100</v>
      </c>
      <c r="E1056" s="11">
        <f>IF(G1056="conciliado","conciliado",I1056)</f>
        <v/>
      </c>
      <c r="F1056" s="11" t="inlineStr">
        <is>
          <t>1246 | 2026-03-03 | 21,100 | linda lucia yepes</t>
        </is>
      </c>
      <c r="G1056" s="11">
        <f>IF(I1056="conciliado","conciliado","por revisar")</f>
        <v/>
      </c>
      <c r="H1056" s="11" t="inlineStr"/>
      <c r="I1056" s="11" t="inlineStr">
        <is>
          <t>conciliado</t>
        </is>
      </c>
    </row>
    <row r="1057">
      <c r="A1057" s="11" t="n">
        <v>120</v>
      </c>
      <c r="B1057" s="12" t="n">
        <v>46084</v>
      </c>
      <c r="C1057" s="11" t="inlineStr">
        <is>
          <t>aguirre davi londono</t>
        </is>
      </c>
      <c r="D1057" s="13" t="n">
        <v>41800</v>
      </c>
      <c r="E1057" s="11">
        <f>IF(G1057="conciliado","conciliado",I1057)</f>
        <v/>
      </c>
      <c r="F1057" s="11" t="inlineStr">
        <is>
          <t>1247 | 2026-03-03 | 41,800 | bancolombia desde qr recarga</t>
        </is>
      </c>
      <c r="G1057" s="11">
        <f>IF(I1057="conciliado","conciliado","por revisar")</f>
        <v/>
      </c>
      <c r="H1057" s="11" t="inlineStr"/>
      <c r="I1057" s="11" t="inlineStr">
        <is>
          <t>conciliado</t>
        </is>
      </c>
    </row>
    <row r="1058">
      <c r="A1058" s="11" t="n">
        <v>117</v>
      </c>
      <c r="B1058" s="12" t="n">
        <v>46084</v>
      </c>
      <c r="C1058" s="11" t="inlineStr">
        <is>
          <t>arias burbano erika</t>
        </is>
      </c>
      <c r="D1058" s="13" t="n">
        <v>7700</v>
      </c>
      <c r="E1058" s="11">
        <f>IF(G1058="conciliado","conciliado",I1058)</f>
        <v/>
      </c>
      <c r="F1058" s="11" t="inlineStr">
        <is>
          <t>1248 | 2026-03-03 | 7,700 | burbano erika nayely</t>
        </is>
      </c>
      <c r="G1058" s="11">
        <f>IF(I1058="conciliado","conciliado","por revisar")</f>
        <v/>
      </c>
      <c r="H1058" s="11" t="inlineStr"/>
      <c r="I1058" s="11" t="inlineStr">
        <is>
          <t>conciliado</t>
        </is>
      </c>
    </row>
    <row r="1059">
      <c r="A1059" s="11" t="n">
        <v>115</v>
      </c>
      <c r="B1059" s="12" t="n">
        <v>46084</v>
      </c>
      <c r="C1059" s="11" t="inlineStr">
        <is>
          <t>caroli garcia rendon</t>
        </is>
      </c>
      <c r="D1059" s="13" t="n">
        <v>8000</v>
      </c>
      <c r="E1059" s="11">
        <f>IF(G1059="conciliado","conciliado",I1059)</f>
        <v/>
      </c>
      <c r="F1059" s="11" t="inlineStr">
        <is>
          <t>1249 | 2026-03-03 | 8,000 | carolina garcia rendon</t>
        </is>
      </c>
      <c r="G1059" s="11">
        <f>IF(I1059="conciliado","conciliado","por revisar")</f>
        <v/>
      </c>
      <c r="H1059" s="11" t="inlineStr"/>
      <c r="I1059" s="11" t="inlineStr">
        <is>
          <t>conciliado</t>
        </is>
      </c>
    </row>
    <row r="1060">
      <c r="A1060" s="11" t="n">
        <v>97</v>
      </c>
      <c r="B1060" s="12" t="n">
        <v>46084</v>
      </c>
      <c r="C1060" s="11" t="inlineStr">
        <is>
          <t>eraso neiber rosero</t>
        </is>
      </c>
      <c r="D1060" s="13" t="n">
        <v>26200</v>
      </c>
      <c r="E1060" s="11">
        <f>IF(G1060="conciliado","conciliado",I1060)</f>
        <v/>
      </c>
      <c r="F1060" s="11" t="inlineStr">
        <is>
          <t>1250 | 2026-03-03 | 26,200 | antonio eraso neiber</t>
        </is>
      </c>
      <c r="G1060" s="11">
        <f>IF(I1060="conciliado","conciliado","por revisar")</f>
        <v/>
      </c>
      <c r="H1060" s="11" t="inlineStr"/>
      <c r="I1060" s="11" t="inlineStr">
        <is>
          <t>conciliado</t>
        </is>
      </c>
    </row>
    <row r="1061">
      <c r="A1061" s="11" t="n">
        <v>128</v>
      </c>
      <c r="B1061" s="12" t="n">
        <v>46084</v>
      </c>
      <c r="C1061" s="11" t="inlineStr">
        <is>
          <t>fr rodriguez sanchez</t>
        </is>
      </c>
      <c r="D1061" s="13" t="n">
        <v>23000</v>
      </c>
      <c r="E1061" s="11">
        <f>IF(G1061="conciliado","conciliado",I1061)</f>
        <v/>
      </c>
      <c r="F1061" s="11" t="inlineStr">
        <is>
          <t>1251 | 2026-03-03 | 23,000 | frayder sanchez</t>
        </is>
      </c>
      <c r="G1061" s="11">
        <f>IF(I1061="conciliado","conciliado","por revisar")</f>
        <v/>
      </c>
      <c r="H1061" s="11" t="inlineStr"/>
      <c r="I1061" s="11" t="inlineStr">
        <is>
          <t>conciliado</t>
        </is>
      </c>
    </row>
    <row r="1062">
      <c r="A1062" s="11" t="n">
        <v>89</v>
      </c>
      <c r="B1062" s="12" t="n">
        <v>46084</v>
      </c>
      <c r="C1062" s="11" t="inlineStr">
        <is>
          <t>cardona carlo lozano</t>
        </is>
      </c>
      <c r="D1062" s="13" t="n">
        <v>-211365</v>
      </c>
      <c r="E1062" s="11">
        <f>IF(G1062="conciliado","conciliado",I1062)</f>
        <v/>
      </c>
      <c r="F1062" s="11" t="inlineStr">
        <is>
          <t>1253 | 2026-03-03 | -211,365 | cardona carlos hernan lozano</t>
        </is>
      </c>
      <c r="G1062" s="11">
        <f>IF(I1062="conciliado","conciliado","por revisar")</f>
        <v/>
      </c>
      <c r="H1062" s="11" t="inlineStr"/>
      <c r="I1062" s="11" t="inlineStr">
        <is>
          <t>conciliado</t>
        </is>
      </c>
    </row>
    <row r="1063">
      <c r="A1063" s="11" t="n">
        <v>109</v>
      </c>
      <c r="B1063" s="12" t="n">
        <v>46084</v>
      </c>
      <c r="C1063" s="11" t="inlineStr">
        <is>
          <t>carlos eduar mendoza</t>
        </is>
      </c>
      <c r="D1063" s="13" t="n">
        <v>20100</v>
      </c>
      <c r="E1063" s="11">
        <f>IF(G1063="conciliado","conciliado",I1063)</f>
        <v/>
      </c>
      <c r="F1063" s="11" t="inlineStr">
        <is>
          <t>1254 | 2026-03-03 | 20,100 | carlos mendoza</t>
        </is>
      </c>
      <c r="G1063" s="11">
        <f>IF(I1063="conciliado","conciliado","por revisar")</f>
        <v/>
      </c>
      <c r="H1063" s="11" t="inlineStr"/>
      <c r="I1063" s="11" t="inlineStr">
        <is>
          <t>conciliado</t>
        </is>
      </c>
    </row>
    <row r="1064">
      <c r="A1064" s="11" t="n">
        <v>112</v>
      </c>
      <c r="B1064" s="12" t="n">
        <v>46084</v>
      </c>
      <c r="C1064" s="11" t="inlineStr">
        <is>
          <t>ada bermeo zambrano</t>
        </is>
      </c>
      <c r="D1064" s="13" t="n">
        <v>16800</v>
      </c>
      <c r="E1064" s="11">
        <f>IF(G1064="conciliado","conciliado",I1064)</f>
        <v/>
      </c>
      <c r="F1064" s="11" t="inlineStr">
        <is>
          <t>1255 | 2026-03-03 | 16,800 | ada sulan zambrano</t>
        </is>
      </c>
      <c r="G1064" s="11">
        <f>IF(I1064="conciliado","conciliado","por revisar")</f>
        <v/>
      </c>
      <c r="H1064" s="11" t="inlineStr"/>
      <c r="I1064" s="11" t="inlineStr">
        <is>
          <t>conciliado</t>
        </is>
      </c>
    </row>
    <row r="1065">
      <c r="A1065" s="11" t="n">
        <v>125</v>
      </c>
      <c r="B1065" s="12" t="n">
        <v>46084</v>
      </c>
      <c r="C1065" s="11" t="inlineStr">
        <is>
          <t>ediso jurado villota</t>
        </is>
      </c>
      <c r="D1065" s="13" t="n">
        <v>13200</v>
      </c>
      <c r="E1065" s="11">
        <f>IF(G1065="conciliado","conciliado",I1065)</f>
        <v/>
      </c>
      <c r="F1065" s="11" t="inlineStr">
        <is>
          <t>1256 | 2026-03-03 | 13,200 | bancolombia desde qr recarga</t>
        </is>
      </c>
      <c r="G1065" s="11">
        <f>IF(I1065="conciliado","conciliado","por revisar")</f>
        <v/>
      </c>
      <c r="H1065" s="11" t="inlineStr"/>
      <c r="I1065" s="11" t="inlineStr">
        <is>
          <t>conciliado</t>
        </is>
      </c>
    </row>
    <row r="1066">
      <c r="A1066" s="11" t="n">
        <v>107</v>
      </c>
      <c r="B1066" s="12" t="n">
        <v>46084</v>
      </c>
      <c r="C1066" s="11" t="inlineStr">
        <is>
          <t>bl bohorquez giraldo</t>
        </is>
      </c>
      <c r="D1066" s="13" t="n">
        <v>30000</v>
      </c>
      <c r="E1066" s="11">
        <f>IF(G1066="conciliado","conciliado",I1066)</f>
        <v/>
      </c>
      <c r="F1066" s="11" t="inlineStr">
        <is>
          <t>1257 | 2026-03-03 | 30,000 | blanca cecilia giraldo</t>
        </is>
      </c>
      <c r="G1066" s="11">
        <f>IF(I1066="conciliado","conciliado","por revisar")</f>
        <v/>
      </c>
      <c r="H1066" s="11" t="inlineStr"/>
      <c r="I1066" s="11" t="inlineStr">
        <is>
          <t>conciliado</t>
        </is>
      </c>
    </row>
    <row r="1067">
      <c r="A1067" s="11" t="n">
        <v>101</v>
      </c>
      <c r="B1067" s="12" t="n">
        <v>46084</v>
      </c>
      <c r="C1067" s="11" t="inlineStr">
        <is>
          <t>burbano monica ossa</t>
        </is>
      </c>
      <c r="D1067" s="13" t="n">
        <v>49100</v>
      </c>
      <c r="E1067" s="11">
        <f>IF(G1067="conciliado","conciliado",I1067)</f>
        <v/>
      </c>
      <c r="F1067" s="11" t="inlineStr">
        <is>
          <t>1258 | 2026-03-03 | 49,100 | burbano leineth monica</t>
        </is>
      </c>
      <c r="G1067" s="11">
        <f>IF(I1067="conciliado","conciliado","por revisar")</f>
        <v/>
      </c>
      <c r="H1067" s="11" t="inlineStr"/>
      <c r="I1067" s="11" t="inlineStr">
        <is>
          <t>conciliado</t>
        </is>
      </c>
    </row>
    <row r="1068">
      <c r="A1068" s="11" t="n">
        <v>127</v>
      </c>
      <c r="B1068" s="12" t="n">
        <v>46084</v>
      </c>
      <c r="C1068" s="11" t="inlineStr">
        <is>
          <t>daniela paez yulieth</t>
        </is>
      </c>
      <c r="D1068" s="13" t="n">
        <v>5100</v>
      </c>
      <c r="E1068" s="11">
        <f>IF(G1068="conciliado","conciliado",I1068)</f>
        <v/>
      </c>
      <c r="F1068" s="11" t="inlineStr">
        <is>
          <t>1259 | 2026-03-03 | 5,100 | daniela paez yulieth</t>
        </is>
      </c>
      <c r="G1068" s="11">
        <f>IF(I1068="conciliado","conciliado","por revisar")</f>
        <v/>
      </c>
      <c r="H1068" s="11" t="inlineStr"/>
      <c r="I1068" s="11" t="inlineStr">
        <is>
          <t>conciliado</t>
        </is>
      </c>
    </row>
    <row r="1069">
      <c r="A1069" s="11" t="n">
        <v>100</v>
      </c>
      <c r="B1069" s="12" t="n">
        <v>46084</v>
      </c>
      <c r="C1069" s="11" t="inlineStr">
        <is>
          <t>becerra marth zamora</t>
        </is>
      </c>
      <c r="D1069" s="13" t="n">
        <v>34000</v>
      </c>
      <c r="E1069" s="11">
        <f>IF(G1069="conciliado","conciliado",I1069)</f>
        <v/>
      </c>
      <c r="F1069" s="11" t="inlineStr">
        <is>
          <t>1260 | 2026-03-03 | 34,000 | becerra martha zamora</t>
        </is>
      </c>
      <c r="G1069" s="11">
        <f>IF(I1069="conciliado","conciliado","por revisar")</f>
        <v/>
      </c>
      <c r="H1069" s="11" t="inlineStr"/>
      <c r="I1069" s="11" t="inlineStr">
        <is>
          <t>conciliado</t>
        </is>
      </c>
    </row>
    <row r="1070">
      <c r="A1070" s="11" t="n">
        <v>102</v>
      </c>
      <c r="B1070" s="12" t="n">
        <v>46084</v>
      </c>
      <c r="C1070" s="11" t="inlineStr">
        <is>
          <t>becerra patric perez</t>
        </is>
      </c>
      <c r="D1070" s="13" t="n">
        <v>7800</v>
      </c>
      <c r="E1070" s="11">
        <f>IF(G1070="conciliado","conciliado",I1070)</f>
        <v/>
      </c>
      <c r="F1070" s="11" t="inlineStr">
        <is>
          <t>1261 | 2026-03-03 | 7,800 | b bre maria</t>
        </is>
      </c>
      <c r="G1070" s="11">
        <f>IF(I1070="conciliado","conciliado","por revisar")</f>
        <v/>
      </c>
      <c r="H1070" s="11" t="inlineStr"/>
      <c r="I1070" s="11" t="inlineStr">
        <is>
          <t>conciliado</t>
        </is>
      </c>
    </row>
    <row r="1071">
      <c r="A1071" s="11" t="n">
        <v>72</v>
      </c>
      <c r="B1071" s="12" t="n">
        <v>46083</v>
      </c>
      <c r="C1071" s="11" t="inlineStr">
        <is>
          <t>ande botina chazatar</t>
        </is>
      </c>
      <c r="D1071" s="13" t="n">
        <v>14000</v>
      </c>
      <c r="E1071" s="11">
        <f>IF(G1071="conciliado","conciliado",I1071)</f>
        <v/>
      </c>
      <c r="F1071" s="11" t="inlineStr">
        <is>
          <t>1262 | 2026-03-02 | 14,000 | botina chazatar karen</t>
        </is>
      </c>
      <c r="G1071" s="11">
        <f>IF(I1071="conciliado","conciliado","por revisar")</f>
        <v/>
      </c>
      <c r="H1071" s="11" t="inlineStr"/>
      <c r="I1071" s="11" t="inlineStr">
        <is>
          <t>conciliado</t>
        </is>
      </c>
    </row>
    <row r="1072">
      <c r="A1072" s="11" t="n">
        <v>68</v>
      </c>
      <c r="B1072" s="12" t="n">
        <v>46083</v>
      </c>
      <c r="C1072" s="11" t="inlineStr">
        <is>
          <t>luc mirta ortiz ruiz</t>
        </is>
      </c>
      <c r="D1072" s="13" t="n">
        <v>39600</v>
      </c>
      <c r="E1072" s="11">
        <f>IF(G1072="conciliado","conciliado",I1072)</f>
        <v/>
      </c>
      <c r="F1072" s="11" t="inlineStr">
        <is>
          <t>1263 | 2026-03-02 | 39,600 | bancolombia desde qr recarga</t>
        </is>
      </c>
      <c r="G1072" s="11">
        <f>IF(I1072="conciliado","conciliado","por revisar")</f>
        <v/>
      </c>
      <c r="H1072" s="11" t="inlineStr"/>
      <c r="I1072" s="11" t="inlineStr">
        <is>
          <t>conciliado</t>
        </is>
      </c>
    </row>
    <row r="1073">
      <c r="A1073" s="11" t="n">
        <v>48</v>
      </c>
      <c r="B1073" s="12" t="n">
        <v>46083</v>
      </c>
      <c r="C1073" s="11" t="inlineStr">
        <is>
          <t>angel cabrera cadena</t>
        </is>
      </c>
      <c r="D1073" s="13" t="n">
        <v>36500</v>
      </c>
      <c r="E1073" s="11">
        <f>IF(G1073="conciliado","conciliado",I1073)</f>
        <v/>
      </c>
      <c r="F1073" s="11" t="inlineStr">
        <is>
          <t>1264 | 2026-03-02 | 36,500 | angel barney cabrera</t>
        </is>
      </c>
      <c r="G1073" s="11">
        <f>IF(I1073="conciliado","conciliado","por revisar")</f>
        <v/>
      </c>
      <c r="H1073" s="11" t="inlineStr"/>
      <c r="I1073" s="11" t="inlineStr">
        <is>
          <t>conciliado</t>
        </is>
      </c>
    </row>
    <row r="1074">
      <c r="A1074" s="11" t="n">
        <v>71</v>
      </c>
      <c r="B1074" s="12" t="n">
        <v>46083</v>
      </c>
      <c r="C1074" s="11" t="inlineStr">
        <is>
          <t>estacio rodriguez y</t>
        </is>
      </c>
      <c r="D1074" s="13" t="n">
        <v>33800</v>
      </c>
      <c r="E1074" s="11">
        <f>IF(G1074="conciliado","conciliado",I1074)</f>
        <v/>
      </c>
      <c r="F1074" s="11" t="inlineStr">
        <is>
          <t>1265 | 2026-03-02 | 33,800 | estacio yeison</t>
        </is>
      </c>
      <c r="G1074" s="11">
        <f>IF(I1074="conciliado","conciliado","por revisar")</f>
        <v/>
      </c>
      <c r="H1074" s="11" t="inlineStr"/>
      <c r="I1074" s="11" t="inlineStr">
        <is>
          <t>conciliado</t>
        </is>
      </c>
    </row>
    <row r="1075">
      <c r="A1075" s="11" t="n">
        <v>81</v>
      </c>
      <c r="B1075" s="12" t="n">
        <v>46083</v>
      </c>
      <c r="C1075" s="11" t="inlineStr">
        <is>
          <t>alexi ortiz ruales y</t>
        </is>
      </c>
      <c r="D1075" s="13" t="n">
        <v>40300</v>
      </c>
      <c r="E1075" s="11">
        <f>IF(G1075="conciliado","conciliado",I1075)</f>
        <v/>
      </c>
      <c r="F1075" s="11" t="inlineStr">
        <is>
          <t>1267 | 2026-03-02 | 40,300 | alexi ortiz yurany</t>
        </is>
      </c>
      <c r="G1075" s="11">
        <f>IF(I1075="conciliado","conciliado","por revisar")</f>
        <v/>
      </c>
      <c r="H1075" s="11" t="inlineStr"/>
      <c r="I1075" s="11" t="inlineStr">
        <is>
          <t>conciliado</t>
        </is>
      </c>
    </row>
    <row r="1076">
      <c r="A1076" s="11" t="n">
        <v>1114</v>
      </c>
      <c r="B1076" s="12" t="n">
        <v>46109</v>
      </c>
      <c r="C1076" s="11" t="inlineStr">
        <is>
          <t>jein morales morales</t>
        </is>
      </c>
      <c r="D1076" s="13" t="n">
        <v>46500</v>
      </c>
      <c r="E1076" s="11">
        <f>IF(G1076="conciliado","conciliado",I1076)</f>
        <v/>
      </c>
      <c r="F1076" s="11">
        <f>IF(SUM(COUNTIFS('Conciliacion de compuestos'!$D$2:$D$71,"conciliado",'Conciliacion de compuestos'!$E$2:$E$71,"OK",'Conciliacion de compuestos'!$M$2:$M$71,A1076),COUNTIFS('Conciliacion de compuestos'!$D$2:$D$71,"conciliado",'Conciliacion de compuestos'!$E$2:$E$71,"OK",'Conciliacion de compuestos'!$N$2:$N$71,A1076),COUNTIFS('Conciliacion de compuestos'!$D$2:$D$71,"conciliado",'Conciliacion de compuestos'!$E$2:$E$71,"OK",'Conciliacion de compuestos'!$O$2:$O$71,A1076))&gt;0,IFERROR(TEXTJOIN(CHAR(10),TRUE,FILTER('Conciliacion de compuestos'!$A$2:$A$71,('Conciliacion de compuestos'!$D$2:$D$71="conciliado")*('Conciliacion de compuestos'!$E$2:$E$71="OK")*((('Conciliacion de compuestos'!$M$2:$M$71=A1076)+('Conciliacion de compuestos'!$N$2:$N$71=A1076)+('Conciliacion de compuestos'!$O$2:$O$71=A1076))&gt;0))),""),"")</f>
        <v/>
      </c>
      <c r="G1076" s="11">
        <f>IF(I1076="conciliado","conciliado","por revisar")</f>
        <v/>
      </c>
      <c r="H1076" s="11" t="inlineStr"/>
      <c r="I1076" s="11">
        <f>IF(SUM(COUNTIFS('Conciliacion de compuestos'!$D$2:$D$71,"conciliado",'Conciliacion de compuestos'!$E$2:$E$71,"OK",'Conciliacion de compuestos'!$M$2:$M$71,A1076),COUNTIFS('Conciliacion de compuestos'!$D$2:$D$71,"conciliado",'Conciliacion de compuestos'!$E$2:$E$71,"OK",'Conciliacion de compuestos'!$N$2:$N$71,A1076),COUNTIFS('Conciliacion de compuestos'!$D$2:$D$71,"conciliado",'Conciliacion de compuestos'!$E$2:$E$71,"OK",'Conciliacion de compuestos'!$O$2:$O$71,A1076))&gt;0,"conciliado","por revisar")</f>
        <v/>
      </c>
    </row>
    <row r="1077">
      <c r="A1077" s="11" t="n">
        <v>87</v>
      </c>
      <c r="B1077" s="12" t="n">
        <v>46083</v>
      </c>
      <c r="C1077" s="11" t="inlineStr">
        <is>
          <t>grajales sal velasco</t>
        </is>
      </c>
      <c r="D1077" s="13" t="n">
        <v>23200</v>
      </c>
      <c r="E1077" s="11">
        <f>IF(G1077="conciliado","conciliado",I1077)</f>
        <v/>
      </c>
      <c r="F1077" s="11" t="inlineStr">
        <is>
          <t>1269 | 2026-03-02 | 23,200 | alejandra salome</t>
        </is>
      </c>
      <c r="G1077" s="11">
        <f>IF(I1077="conciliado","conciliado","por revisar")</f>
        <v/>
      </c>
      <c r="H1077" s="11" t="inlineStr"/>
      <c r="I1077" s="11" t="inlineStr">
        <is>
          <t>conciliado</t>
        </is>
      </c>
    </row>
    <row r="1078">
      <c r="A1078" s="11" t="n">
        <v>67</v>
      </c>
      <c r="B1078" s="12" t="n">
        <v>46083</v>
      </c>
      <c r="C1078" s="11" t="inlineStr">
        <is>
          <t>dani melo real villa</t>
        </is>
      </c>
      <c r="D1078" s="13" t="n">
        <v>93100</v>
      </c>
      <c r="E1078" s="11">
        <f>IF(G1078="conciliado","conciliado",I1078)</f>
        <v/>
      </c>
      <c r="F1078" s="11" t="inlineStr">
        <is>
          <t>1270 | 2026-03-02 | 93,100 | anguie b bre</t>
        </is>
      </c>
      <c r="G1078" s="11">
        <f>IF(I1078="conciliado","conciliado","por revisar")</f>
        <v/>
      </c>
      <c r="H1078" s="11" t="inlineStr"/>
      <c r="I1078" s="11" t="inlineStr">
        <is>
          <t>conciliado</t>
        </is>
      </c>
    </row>
    <row r="1079">
      <c r="A1079" s="11" t="n">
        <v>52</v>
      </c>
      <c r="B1079" s="12" t="n">
        <v>46083</v>
      </c>
      <c r="C1079" s="11" t="inlineStr">
        <is>
          <t>castro licet linares</t>
        </is>
      </c>
      <c r="D1079" s="13" t="n">
        <v>17200</v>
      </c>
      <c r="E1079" s="11">
        <f>IF(G1079="conciliado","conciliado",I1079)</f>
        <v/>
      </c>
      <c r="F1079" s="11" t="inlineStr">
        <is>
          <t>1271 | 2026-03-02 | 17,200 | castro licet yaely</t>
        </is>
      </c>
      <c r="G1079" s="11">
        <f>IF(I1079="conciliado","conciliado","por revisar")</f>
        <v/>
      </c>
      <c r="H1079" s="11" t="inlineStr"/>
      <c r="I1079" s="11" t="inlineStr">
        <is>
          <t>conciliado</t>
        </is>
      </c>
    </row>
    <row r="1080">
      <c r="A1080" s="11" t="n">
        <v>45</v>
      </c>
      <c r="B1080" s="12" t="n">
        <v>46083</v>
      </c>
      <c r="C1080" s="11" t="inlineStr">
        <is>
          <t>florez londono yesid</t>
        </is>
      </c>
      <c r="D1080" s="13" t="n">
        <v>24700</v>
      </c>
      <c r="E1080" s="11">
        <f>IF(G1080="conciliado","conciliado",I1080)</f>
        <v/>
      </c>
      <c r="F1080" s="11" t="inlineStr">
        <is>
          <t>1272 | 2026-03-02 | 24,700 | florez londono yesid</t>
        </is>
      </c>
      <c r="G1080" s="11">
        <f>IF(I1080="conciliado","conciliado","por revisar")</f>
        <v/>
      </c>
      <c r="H1080" s="11" t="inlineStr"/>
      <c r="I1080" s="11" t="inlineStr">
        <is>
          <t>conciliado</t>
        </is>
      </c>
    </row>
    <row r="1081">
      <c r="A1081" s="11" t="n">
        <v>49</v>
      </c>
      <c r="B1081" s="12" t="n">
        <v>46083</v>
      </c>
      <c r="C1081" s="11" t="inlineStr">
        <is>
          <t>cruz jaci luna mario</t>
        </is>
      </c>
      <c r="D1081" s="13" t="n">
        <v>20500</v>
      </c>
      <c r="E1081" s="11">
        <f>IF(G1081="conciliado","conciliado",I1081)</f>
        <v/>
      </c>
      <c r="F1081" s="11" t="inlineStr">
        <is>
          <t>1273 | 2026-03-02 | 20,500 | cruz jacinto luna mario</t>
        </is>
      </c>
      <c r="G1081" s="11">
        <f>IF(I1081="conciliado","conciliado","por revisar")</f>
        <v/>
      </c>
      <c r="H1081" s="11" t="inlineStr"/>
      <c r="I1081" s="11" t="inlineStr">
        <is>
          <t>conciliado</t>
        </is>
      </c>
    </row>
    <row r="1082">
      <c r="A1082" s="11" t="n">
        <v>42</v>
      </c>
      <c r="B1082" s="12" t="n">
        <v>46083</v>
      </c>
      <c r="C1082" s="11" t="inlineStr">
        <is>
          <t>bastidas cordoba nid</t>
        </is>
      </c>
      <c r="D1082" s="13" t="n">
        <v>51300</v>
      </c>
      <c r="E1082" s="11">
        <f>IF(G1082="conciliado","conciliado",I1082)</f>
        <v/>
      </c>
      <c r="F1082" s="11" t="inlineStr">
        <is>
          <t>1274 | 2026-03-02 | 51,300 | bancolombia desde recarga</t>
        </is>
      </c>
      <c r="G1082" s="11">
        <f>IF(I1082="conciliado","conciliado","por revisar")</f>
        <v/>
      </c>
      <c r="H1082" s="11" t="inlineStr"/>
      <c r="I1082" s="11" t="inlineStr">
        <is>
          <t>conciliado</t>
        </is>
      </c>
    </row>
    <row r="1083">
      <c r="A1083" s="11" t="n">
        <v>50</v>
      </c>
      <c r="B1083" s="12" t="n">
        <v>46083</v>
      </c>
      <c r="C1083" s="11" t="inlineStr">
        <is>
          <t>arboleda congotte da</t>
        </is>
      </c>
      <c r="D1083" s="13" t="n">
        <v>55636</v>
      </c>
      <c r="E1083" s="11">
        <f>IF(G1083="conciliado","conciliado",I1083)</f>
        <v/>
      </c>
      <c r="F1083" s="11" t="inlineStr">
        <is>
          <t>1275 | 2026-03-02 | 55,636 | congotte dayan liseth</t>
        </is>
      </c>
      <c r="G1083" s="11">
        <f>IF(I1083="conciliado","conciliado","por revisar")</f>
        <v/>
      </c>
      <c r="H1083" s="11" t="inlineStr"/>
      <c r="I1083" s="11" t="inlineStr">
        <is>
          <t>conciliado</t>
        </is>
      </c>
    </row>
    <row r="1084">
      <c r="A1084" s="11" t="n">
        <v>73</v>
      </c>
      <c r="B1084" s="12" t="n">
        <v>46083</v>
      </c>
      <c r="C1084" s="11" t="inlineStr">
        <is>
          <t>silva willi zambrano</t>
        </is>
      </c>
      <c r="D1084" s="13" t="n">
        <v>51435</v>
      </c>
      <c r="E1084" s="11">
        <f>IF(G1084="conciliado","conciliado",I1084)</f>
        <v/>
      </c>
      <c r="F1084" s="11" t="inlineStr">
        <is>
          <t>1276 | 2026-03-02 | 51,435 | hernando silva william</t>
        </is>
      </c>
      <c r="G1084" s="11">
        <f>IF(I1084="conciliado","conciliado","por revisar")</f>
        <v/>
      </c>
      <c r="H1084" s="11" t="inlineStr"/>
      <c r="I1084" s="11" t="inlineStr">
        <is>
          <t>conciliado</t>
        </is>
      </c>
    </row>
    <row r="1085">
      <c r="A1085" s="11" t="n">
        <v>40</v>
      </c>
      <c r="B1085" s="12" t="n">
        <v>46083</v>
      </c>
      <c r="C1085" s="11" t="inlineStr">
        <is>
          <t>antoni hermes patino</t>
        </is>
      </c>
      <c r="D1085" s="13" t="n">
        <v>-2377939</v>
      </c>
      <c r="E1085" s="11">
        <f>IF(G1085="conciliado","conciliado",I1085)</f>
        <v/>
      </c>
      <c r="F1085" s="11" t="inlineStr">
        <is>
          <t>1278 | 2026-03-02 | -2,377,939 | ant her pat</t>
        </is>
      </c>
      <c r="G1085" s="11">
        <f>IF(I1085="conciliado","conciliado","por revisar")</f>
        <v/>
      </c>
      <c r="H1085" s="11" t="inlineStr"/>
      <c r="I1085" s="11" t="inlineStr">
        <is>
          <t>conciliado</t>
        </is>
      </c>
    </row>
    <row r="1086">
      <c r="A1086" s="11" t="n">
        <v>51</v>
      </c>
      <c r="B1086" s="12" t="n">
        <v>46083</v>
      </c>
      <c r="C1086" s="11" t="inlineStr">
        <is>
          <t>diana garcia noguera</t>
        </is>
      </c>
      <c r="D1086" s="13" t="n">
        <v>24800</v>
      </c>
      <c r="E1086" s="11">
        <f>IF(G1086="conciliado","conciliado",I1086)</f>
        <v/>
      </c>
      <c r="F1086" s="11" t="inlineStr">
        <is>
          <t>1279 | 2026-03-02 | 24,800 | hugo imbacuan victor</t>
        </is>
      </c>
      <c r="G1086" s="11">
        <f>IF(I1086="conciliado","conciliado","por revisar")</f>
        <v/>
      </c>
      <c r="H1086" s="11" t="inlineStr"/>
      <c r="I1086" s="11" t="inlineStr">
        <is>
          <t>conciliado</t>
        </is>
      </c>
    </row>
    <row r="1087">
      <c r="A1087" s="11" t="n">
        <v>47</v>
      </c>
      <c r="B1087" s="12" t="n">
        <v>46083</v>
      </c>
      <c r="C1087" s="11" t="inlineStr">
        <is>
          <t>forero gonzalez jenn</t>
        </is>
      </c>
      <c r="D1087" s="13" t="n">
        <v>47700</v>
      </c>
      <c r="E1087" s="11">
        <f>IF(G1087="conciliado","conciliado",I1087)</f>
        <v/>
      </c>
      <c r="F1087" s="11" t="inlineStr">
        <is>
          <t>1280 | 2026-03-02 | 47,700 | fernanda jenny</t>
        </is>
      </c>
      <c r="G1087" s="11">
        <f>IF(I1087="conciliado","conciliado","por revisar")</f>
        <v/>
      </c>
      <c r="H1087" s="11" t="inlineStr"/>
      <c r="I1087" s="11" t="inlineStr">
        <is>
          <t>conciliado</t>
        </is>
      </c>
    </row>
    <row r="1088">
      <c r="A1088" s="11" t="n">
        <v>63</v>
      </c>
      <c r="B1088" s="12" t="n">
        <v>46083</v>
      </c>
      <c r="C1088" s="11" t="inlineStr">
        <is>
          <t>cruz maryory sanchez</t>
        </is>
      </c>
      <c r="D1088" s="13" t="n">
        <v>17200</v>
      </c>
      <c r="E1088" s="11">
        <f>IF(G1088="conciliado","conciliado",I1088)</f>
        <v/>
      </c>
      <c r="F1088" s="11" t="inlineStr">
        <is>
          <t>1281 | 2026-03-02 | 17,200 | cruz maryory sanchez</t>
        </is>
      </c>
      <c r="G1088" s="11">
        <f>IF(I1088="conciliado","conciliado","por revisar")</f>
        <v/>
      </c>
      <c r="H1088" s="11" t="inlineStr"/>
      <c r="I1088" s="11" t="inlineStr">
        <is>
          <t>conciliado</t>
        </is>
      </c>
    </row>
    <row r="1089">
      <c r="A1089" s="11" t="n">
        <v>82</v>
      </c>
      <c r="B1089" s="12" t="n">
        <v>46083</v>
      </c>
      <c r="C1089" s="11" t="inlineStr">
        <is>
          <t>diaz e edwin pantoja</t>
        </is>
      </c>
      <c r="D1089" s="13" t="n">
        <v>36500</v>
      </c>
      <c r="E1089" s="11">
        <f>IF(G1089="conciliado","conciliado",I1089)</f>
        <v/>
      </c>
      <c r="F1089" s="11" t="inlineStr">
        <is>
          <t>1284 | 2026-03-02 | 36,500 | b bre edwin</t>
        </is>
      </c>
      <c r="G1089" s="11">
        <f>IF(I1089="conciliado","conciliado","por revisar")</f>
        <v/>
      </c>
      <c r="H1089" s="11" t="inlineStr"/>
      <c r="I1089" s="11" t="inlineStr">
        <is>
          <t>conciliado</t>
        </is>
      </c>
    </row>
    <row r="1090">
      <c r="A1090" s="11" t="n">
        <v>62</v>
      </c>
      <c r="B1090" s="12" t="n">
        <v>46083</v>
      </c>
      <c r="C1090" s="11" t="inlineStr">
        <is>
          <t>aldana joha renteria</t>
        </is>
      </c>
      <c r="D1090" s="13" t="n">
        <v>6000</v>
      </c>
      <c r="E1090" s="11">
        <f>IF(G1090="conciliado","conciliado",I1090)</f>
        <v/>
      </c>
      <c r="F1090" s="11" t="inlineStr">
        <is>
          <t>1285 | 2026-03-02 | 6,000 | aldana johan renteria</t>
        </is>
      </c>
      <c r="G1090" s="11">
        <f>IF(I1090="conciliado","conciliado","por revisar")</f>
        <v/>
      </c>
      <c r="H1090" s="11" t="inlineStr"/>
      <c r="I1090" s="11" t="inlineStr">
        <is>
          <t>conciliado</t>
        </is>
      </c>
    </row>
    <row r="1091">
      <c r="A1091" s="11" t="n">
        <v>70</v>
      </c>
      <c r="B1091" s="12" t="n">
        <v>46083</v>
      </c>
      <c r="C1091" s="11" t="inlineStr">
        <is>
          <t>chana edisson potosi</t>
        </is>
      </c>
      <c r="D1091" s="13" t="n">
        <v>33000</v>
      </c>
      <c r="E1091" s="11">
        <f>IF(G1091="conciliado","conciliado",I1091)</f>
        <v/>
      </c>
      <c r="F1091" s="11" t="inlineStr">
        <is>
          <t>1286 | 2026-03-02 | 33,000 | chana edisson junior</t>
        </is>
      </c>
      <c r="G1091" s="11">
        <f>IF(I1091="conciliado","conciliado","por revisar")</f>
        <v/>
      </c>
      <c r="H1091" s="11" t="inlineStr"/>
      <c r="I1091" s="11" t="inlineStr">
        <is>
          <t>conciliado</t>
        </is>
      </c>
    </row>
    <row r="1092">
      <c r="A1092" s="11" t="n">
        <v>43</v>
      </c>
      <c r="B1092" s="12" t="n">
        <v>46083</v>
      </c>
      <c r="C1092" s="11" t="inlineStr">
        <is>
          <t>capera ingri ortega</t>
        </is>
      </c>
      <c r="D1092" s="13" t="n">
        <v>17400</v>
      </c>
      <c r="E1092" s="11">
        <f>IF(G1092="conciliado","conciliado",I1092)</f>
        <v/>
      </c>
      <c r="F1092" s="11" t="inlineStr">
        <is>
          <t>1287 | 2026-03-02 | 17,400 | gissel ingri ortega</t>
        </is>
      </c>
      <c r="G1092" s="11">
        <f>IF(I1092="conciliado","conciliado","por revisar")</f>
        <v/>
      </c>
      <c r="H1092" s="11" t="inlineStr"/>
      <c r="I1092" s="11" t="inlineStr">
        <is>
          <t>conciliado</t>
        </is>
      </c>
    </row>
    <row r="1093">
      <c r="A1093" s="11" t="n">
        <v>79</v>
      </c>
      <c r="B1093" s="12" t="n">
        <v>46083</v>
      </c>
      <c r="C1093" s="11" t="inlineStr">
        <is>
          <t>gasca keyny martinez</t>
        </is>
      </c>
      <c r="D1093" s="13" t="n">
        <v>14000</v>
      </c>
      <c r="E1093" s="11">
        <f>IF(G1093="conciliado","conciliado",I1093)</f>
        <v/>
      </c>
      <c r="F1093" s="11" t="inlineStr">
        <is>
          <t>1288 | 2026-03-02 | 14,000 | keiny lorena martinez</t>
        </is>
      </c>
      <c r="G1093" s="11">
        <f>IF(I1093="conciliado","conciliado","por revisar")</f>
        <v/>
      </c>
      <c r="H1093" s="11" t="inlineStr"/>
      <c r="I1093" s="11" t="inlineStr">
        <is>
          <t>conciliado</t>
        </is>
      </c>
    </row>
    <row r="1094">
      <c r="A1094" s="11" t="n">
        <v>54</v>
      </c>
      <c r="B1094" s="12" t="n">
        <v>46083</v>
      </c>
      <c r="C1094" s="11" t="inlineStr">
        <is>
          <t>ka maturana renteria</t>
        </is>
      </c>
      <c r="D1094" s="13" t="n">
        <v>25100</v>
      </c>
      <c r="E1094" s="11">
        <f>IF(G1094="conciliado","conciliado",I1094)</f>
        <v/>
      </c>
      <c r="F1094" s="11" t="inlineStr">
        <is>
          <t>1289 | 2026-03-02 | 25,100 | jissela karen renteria</t>
        </is>
      </c>
      <c r="G1094" s="11">
        <f>IF(I1094="conciliado","conciliado","por revisar")</f>
        <v/>
      </c>
      <c r="H1094" s="11" t="inlineStr"/>
      <c r="I1094" s="11" t="inlineStr">
        <is>
          <t>conciliado</t>
        </is>
      </c>
    </row>
    <row r="1095">
      <c r="A1095" s="11" t="n">
        <v>76</v>
      </c>
      <c r="B1095" s="12" t="n">
        <v>46083</v>
      </c>
      <c r="C1095" s="11" t="inlineStr">
        <is>
          <t>castro mart quistial</t>
        </is>
      </c>
      <c r="D1095" s="13" t="n">
        <v>14300</v>
      </c>
      <c r="E1095" s="11">
        <f>IF(G1095="conciliado","conciliado",I1095)</f>
        <v/>
      </c>
      <c r="F1095" s="11" t="inlineStr">
        <is>
          <t>1290 | 2026-03-02 | 14,300 | liliana martha quistial</t>
        </is>
      </c>
      <c r="G1095" s="11">
        <f>IF(I1095="conciliado","conciliado","por revisar")</f>
        <v/>
      </c>
      <c r="H1095" s="11" t="inlineStr"/>
      <c r="I1095" s="11" t="inlineStr">
        <is>
          <t>conciliado</t>
        </is>
      </c>
    </row>
    <row r="1096">
      <c r="A1096" s="11" t="n">
        <v>58</v>
      </c>
      <c r="B1096" s="12" t="n">
        <v>46083</v>
      </c>
      <c r="C1096" s="11" t="inlineStr">
        <is>
          <t>cuartas egas katheri</t>
        </is>
      </c>
      <c r="D1096" s="13" t="n">
        <v>10000</v>
      </c>
      <c r="E1096" s="11">
        <f>IF(G1096="conciliado","conciliado",I1096)</f>
        <v/>
      </c>
      <c r="F1096" s="11" t="inlineStr">
        <is>
          <t>1291 | 2026-03-02 | 10,000 | cuartas egas katherine</t>
        </is>
      </c>
      <c r="G1096" s="11">
        <f>IF(I1096="conciliado","conciliado","por revisar")</f>
        <v/>
      </c>
      <c r="H1096" s="11" t="inlineStr"/>
      <c r="I1096" s="11" t="inlineStr">
        <is>
          <t>conciliado</t>
        </is>
      </c>
    </row>
    <row r="1097">
      <c r="A1097" s="11" t="n">
        <v>69</v>
      </c>
      <c r="B1097" s="12" t="n">
        <v>46083</v>
      </c>
      <c r="C1097" s="11" t="inlineStr">
        <is>
          <t>egas rosales vivian</t>
        </is>
      </c>
      <c r="D1097" s="13" t="n">
        <v>52100</v>
      </c>
      <c r="E1097" s="11">
        <f>IF(G1097="conciliado","conciliado",I1097)</f>
        <v/>
      </c>
      <c r="F1097" s="11" t="inlineStr">
        <is>
          <t>1292 | 2026-03-02 | 52,100 | bancolombia desde qr recarga</t>
        </is>
      </c>
      <c r="G1097" s="11">
        <f>IF(I1097="conciliado","conciliado","por revisar")</f>
        <v/>
      </c>
      <c r="H1097" s="11" t="inlineStr"/>
      <c r="I1097" s="11" t="inlineStr">
        <is>
          <t>conciliado</t>
        </is>
      </c>
    </row>
    <row r="1098">
      <c r="A1098" s="11" t="n">
        <v>88</v>
      </c>
      <c r="B1098" s="12" t="n">
        <v>46083</v>
      </c>
      <c r="C1098" s="11" t="inlineStr">
        <is>
          <t>gamboa m olga vargas</t>
        </is>
      </c>
      <c r="D1098" s="13" t="n">
        <v>335000</v>
      </c>
      <c r="E1098" s="11">
        <f>IF(G1098="conciliado","conciliado",I1098)</f>
        <v/>
      </c>
      <c r="F1098" s="11" t="inlineStr">
        <is>
          <t>1293 | 2026-03-02 | 335,000 | doly gamboa vargas</t>
        </is>
      </c>
      <c r="G1098" s="11">
        <f>IF(I1098="conciliado","conciliado","por revisar")</f>
        <v/>
      </c>
      <c r="H1098" s="11" t="inlineStr"/>
      <c r="I1098" s="11" t="inlineStr">
        <is>
          <t>conciliado</t>
        </is>
      </c>
    </row>
    <row r="1099">
      <c r="A1099" s="11" t="n">
        <v>78</v>
      </c>
      <c r="B1099" s="12" t="n">
        <v>46083</v>
      </c>
      <c r="C1099" s="11" t="inlineStr">
        <is>
          <t>delgado guerrero nel</t>
        </is>
      </c>
      <c r="D1099" s="13" t="n">
        <v>137500</v>
      </c>
      <c r="E1099" s="11">
        <f>IF(G1099="conciliado","conciliado",I1099)</f>
        <v/>
      </c>
      <c r="F1099" s="11" t="inlineStr">
        <is>
          <t>1296 | 2026-03-02 | 137,500 | delgado gladis nelci</t>
        </is>
      </c>
      <c r="G1099" s="11">
        <f>IF(I1099="conciliado","conciliado","por revisar")</f>
        <v/>
      </c>
      <c r="H1099" s="11" t="inlineStr"/>
      <c r="I1099" s="11" t="inlineStr">
        <is>
          <t>conciliado</t>
        </is>
      </c>
    </row>
    <row r="1100">
      <c r="A1100" s="11" t="n">
        <v>74</v>
      </c>
      <c r="B1100" s="12" t="n">
        <v>46083</v>
      </c>
      <c r="C1100" s="11" t="inlineStr">
        <is>
          <t>buitron ka rodriguez</t>
        </is>
      </c>
      <c r="D1100" s="13" t="n">
        <v>2800</v>
      </c>
      <c r="E1100" s="11">
        <f>IF(G1100="conciliado","conciliado",I1100)</f>
        <v/>
      </c>
      <c r="F1100" s="11" t="inlineStr">
        <is>
          <t>1297 | 2026-03-02 | 2,800 | karen rodriguez tatiana</t>
        </is>
      </c>
      <c r="G1100" s="11">
        <f>IF(I1100="conciliado","conciliado","por revisar")</f>
        <v/>
      </c>
      <c r="H1100" s="11" t="inlineStr"/>
      <c r="I1100" s="11" t="inlineStr">
        <is>
          <t>conciliado</t>
        </is>
      </c>
    </row>
    <row r="1101">
      <c r="A1101" s="11" t="n">
        <v>86</v>
      </c>
      <c r="B1101" s="12" t="n">
        <v>46083</v>
      </c>
      <c r="C1101" s="11" t="inlineStr">
        <is>
          <t>luna magali ruiz</t>
        </is>
      </c>
      <c r="D1101" s="13" t="n">
        <v>60000</v>
      </c>
      <c r="E1101" s="11">
        <f>IF(G1101="conciliado","conciliado",I1101)</f>
        <v/>
      </c>
      <c r="F1101" s="11" t="inlineStr">
        <is>
          <t>1299 | 2026-03-02 | 60,000 | luna magaly ruiz</t>
        </is>
      </c>
      <c r="G1101" s="11">
        <f>IF(I1101="conciliado","conciliado","por revisar")</f>
        <v/>
      </c>
      <c r="H1101" s="11" t="inlineStr"/>
      <c r="I1101" s="11" t="inlineStr">
        <is>
          <t>conciliado</t>
        </is>
      </c>
    </row>
    <row r="1102">
      <c r="A1102" s="11" t="n">
        <v>53</v>
      </c>
      <c r="B1102" s="12" t="n">
        <v>46083</v>
      </c>
      <c r="C1102" s="11" t="inlineStr">
        <is>
          <t>herrera ruales victo</t>
        </is>
      </c>
      <c r="D1102" s="13" t="n">
        <v>39500</v>
      </c>
      <c r="E1102" s="11">
        <f>IF(G1102="conciliado","conciliado",I1102)</f>
        <v/>
      </c>
      <c r="F1102" s="11" t="inlineStr">
        <is>
          <t>1304 | 2026-03-02 | 39,500 | b bre victor</t>
        </is>
      </c>
      <c r="G1102" s="11">
        <f>IF(I1102="conciliado","conciliado","por revisar")</f>
        <v/>
      </c>
      <c r="H1102" s="11" t="inlineStr"/>
      <c r="I1102" s="11" t="inlineStr">
        <is>
          <t>conciliado</t>
        </is>
      </c>
    </row>
    <row r="1103">
      <c r="A1103" s="11" t="n">
        <v>59</v>
      </c>
      <c r="B1103" s="12" t="n">
        <v>46083</v>
      </c>
      <c r="C1103" s="11" t="inlineStr">
        <is>
          <t>lara sanchez weytman</t>
        </is>
      </c>
      <c r="D1103" s="13" t="n">
        <v>15900</v>
      </c>
      <c r="E1103" s="11">
        <f>IF(G1103="conciliado","conciliado",I1103)</f>
        <v/>
      </c>
      <c r="F1103" s="11" t="inlineStr">
        <is>
          <t>1305 | 2026-03-02 | 15,900 | hernan weytman</t>
        </is>
      </c>
      <c r="G1103" s="11">
        <f>IF(I1103="conciliado","conciliado","por revisar")</f>
        <v/>
      </c>
      <c r="H1103" s="11" t="inlineStr"/>
      <c r="I1103" s="11" t="inlineStr">
        <is>
          <t>conciliado</t>
        </is>
      </c>
    </row>
    <row r="1104">
      <c r="A1104" s="11" t="n">
        <v>65</v>
      </c>
      <c r="B1104" s="12" t="n">
        <v>46083</v>
      </c>
      <c r="C1104" s="11" t="inlineStr">
        <is>
          <t>je mosquera palacios</t>
        </is>
      </c>
      <c r="D1104" s="13" t="n">
        <v>15000</v>
      </c>
      <c r="E1104" s="11">
        <f>IF(G1104="conciliado","conciliado",I1104)</f>
        <v/>
      </c>
      <c r="F1104" s="11" t="inlineStr">
        <is>
          <t>1306 | 2026-03-02 | 15,000 | jennifer mosquera</t>
        </is>
      </c>
      <c r="G1104" s="11">
        <f>IF(I1104="conciliado","conciliado","por revisar")</f>
        <v/>
      </c>
      <c r="H1104" s="11" t="inlineStr"/>
      <c r="I1104" s="11" t="inlineStr">
        <is>
          <t>conciliado</t>
        </is>
      </c>
    </row>
    <row r="1105">
      <c r="A1105" s="11" t="n">
        <v>61</v>
      </c>
      <c r="B1105" s="12" t="n">
        <v>46083</v>
      </c>
      <c r="C1105" s="11" t="inlineStr">
        <is>
          <t>a bernal coral paula</t>
        </is>
      </c>
      <c r="D1105" s="13" t="n">
        <v>44600</v>
      </c>
      <c r="E1105" s="11">
        <f>IF(G1105="conciliado","conciliado",I1105)</f>
        <v/>
      </c>
      <c r="F1105" s="11" t="inlineStr">
        <is>
          <t>1307 | 2026-03-02 | 44,600 | andrea bernal paula</t>
        </is>
      </c>
      <c r="G1105" s="11">
        <f>IF(I1105="conciliado","conciliado","por revisar")</f>
        <v/>
      </c>
      <c r="H1105" s="11" t="inlineStr"/>
      <c r="I1105" s="11" t="inlineStr">
        <is>
          <t>conciliado</t>
        </is>
      </c>
    </row>
    <row r="1106">
      <c r="A1106" s="11" t="n">
        <v>41</v>
      </c>
      <c r="B1106" s="12" t="n">
        <v>46083</v>
      </c>
      <c r="C1106" s="11" t="inlineStr">
        <is>
          <t>ca juan sanchez toro</t>
        </is>
      </c>
      <c r="D1106" s="13" t="n">
        <v>14300</v>
      </c>
      <c r="E1106" s="11">
        <f>IF(G1106="conciliado","conciliado",I1106)</f>
        <v/>
      </c>
      <c r="F1106" s="11" t="inlineStr">
        <is>
          <t>1308 | 2026-03-02 | 14,300 | carlos juan sanchez</t>
        </is>
      </c>
      <c r="G1106" s="11">
        <f>IF(I1106="conciliado","conciliado","por revisar")</f>
        <v/>
      </c>
      <c r="H1106" s="11" t="inlineStr"/>
      <c r="I1106" s="11" t="inlineStr">
        <is>
          <t>conciliado</t>
        </is>
      </c>
    </row>
    <row r="1107">
      <c r="A1107" s="11" t="n">
        <v>83</v>
      </c>
      <c r="B1107" s="12" t="n">
        <v>46083</v>
      </c>
      <c r="C1107" s="11" t="inlineStr">
        <is>
          <t>camil diaz lopez</t>
        </is>
      </c>
      <c r="D1107" s="13" t="n">
        <v>20000</v>
      </c>
      <c r="E1107" s="11">
        <f>IF(G1107="conciliado","conciliado",I1107)</f>
        <v/>
      </c>
      <c r="F1107" s="11" t="inlineStr">
        <is>
          <t>1309 | 2026-03-02 | 20,000 | amilo ferney lopez</t>
        </is>
      </c>
      <c r="G1107" s="11">
        <f>IF(I1107="conciliado","conciliado","por revisar")</f>
        <v/>
      </c>
      <c r="H1107" s="11" t="inlineStr"/>
      <c r="I1107" s="11" t="inlineStr">
        <is>
          <t>conciliado</t>
        </is>
      </c>
    </row>
    <row r="1108">
      <c r="A1108" s="11" t="n">
        <v>44</v>
      </c>
      <c r="B1108" s="12" t="n">
        <v>46083</v>
      </c>
      <c r="C1108" s="11" t="inlineStr">
        <is>
          <t>arboleda arias leidy</t>
        </is>
      </c>
      <c r="D1108" s="13" t="n">
        <v>16800</v>
      </c>
      <c r="E1108" s="11">
        <f>IF(G1108="conciliado","conciliado",I1108)</f>
        <v/>
      </c>
      <c r="F1108" s="11" t="inlineStr">
        <is>
          <t>1310 | 2026-03-02 | 16,800 | arias leidy vanessa</t>
        </is>
      </c>
      <c r="G1108" s="11">
        <f>IF(I1108="conciliado","conciliado","por revisar")</f>
        <v/>
      </c>
      <c r="H1108" s="11" t="inlineStr"/>
      <c r="I1108" s="11" t="inlineStr">
        <is>
          <t>conciliado</t>
        </is>
      </c>
    </row>
    <row r="1109">
      <c r="A1109" s="11" t="n">
        <v>64</v>
      </c>
      <c r="B1109" s="12" t="n">
        <v>46083</v>
      </c>
      <c r="C1109" s="11" t="inlineStr">
        <is>
          <t>gaviria martha munoz</t>
        </is>
      </c>
      <c r="D1109" s="13" t="n">
        <v>3000</v>
      </c>
      <c r="E1109" s="11">
        <f>IF(G1109="conciliado","conciliado",I1109)</f>
        <v/>
      </c>
      <c r="F1109" s="11" t="inlineStr">
        <is>
          <t>1311 | 2026-03-02 | 3,000 | lucia martha munoz</t>
        </is>
      </c>
      <c r="G1109" s="11">
        <f>IF(I1109="conciliado","conciliado","por revisar")</f>
        <v/>
      </c>
      <c r="H1109" s="11" t="inlineStr"/>
      <c r="I1109" s="11" t="inlineStr">
        <is>
          <t>conciliado</t>
        </is>
      </c>
    </row>
    <row r="1110">
      <c r="A1110" s="11" t="n">
        <v>66</v>
      </c>
      <c r="B1110" s="12" t="n">
        <v>46083</v>
      </c>
      <c r="C1110" s="11" t="inlineStr">
        <is>
          <t>linares nanc vergara</t>
        </is>
      </c>
      <c r="D1110" s="13" t="n">
        <v>22200</v>
      </c>
      <c r="E1110" s="11">
        <f>IF(G1110="conciliado","conciliado",I1110)</f>
        <v/>
      </c>
      <c r="F1110" s="11" t="inlineStr">
        <is>
          <t>1312 | 2026-03-02 | 22,200 | linares nancy</t>
        </is>
      </c>
      <c r="G1110" s="11">
        <f>IF(I1110="conciliado","conciliado","por revisar")</f>
        <v/>
      </c>
      <c r="H1110" s="11" t="inlineStr"/>
      <c r="I1110" s="11" t="inlineStr">
        <is>
          <t>conciliado</t>
        </is>
      </c>
    </row>
    <row r="1111">
      <c r="A1111" s="11" t="n">
        <v>55</v>
      </c>
      <c r="B1111" s="12" t="n">
        <v>46083</v>
      </c>
      <c r="C1111" s="11" t="inlineStr">
        <is>
          <t>becerra patric perez</t>
        </is>
      </c>
      <c r="D1111" s="13" t="n">
        <v>30000</v>
      </c>
      <c r="E1111" s="11">
        <f>IF(G1111="conciliado","conciliado",I1111)</f>
        <v/>
      </c>
      <c r="F1111" s="11" t="inlineStr">
        <is>
          <t>1313 | 2026-03-02 | 30,000 | becerra patricia perez</t>
        </is>
      </c>
      <c r="G1111" s="11">
        <f>IF(I1111="conciliado","conciliado","por revisar")</f>
        <v/>
      </c>
      <c r="H1111" s="11" t="inlineStr"/>
      <c r="I1111" s="11" t="inlineStr">
        <is>
          <t>conciliado</t>
        </is>
      </c>
    </row>
    <row r="1112">
      <c r="A1112" s="11" t="n">
        <v>60</v>
      </c>
      <c r="B1112" s="12" t="n">
        <v>46083</v>
      </c>
      <c r="C1112" s="11" t="inlineStr">
        <is>
          <t>cortez jaramillo oma</t>
        </is>
      </c>
      <c r="D1112" s="13" t="n">
        <v>6500</v>
      </c>
      <c r="E1112" s="11">
        <f>IF(G1112="conciliado","conciliado",I1112)</f>
        <v/>
      </c>
      <c r="F1112" s="11" t="inlineStr">
        <is>
          <t>1314 | 2026-03-02 | 6,500 | alejandro omar</t>
        </is>
      </c>
      <c r="G1112" s="11">
        <f>IF(I1112="conciliado","conciliado","por revisar")</f>
        <v/>
      </c>
      <c r="H1112" s="11" t="inlineStr"/>
      <c r="I1112" s="11" t="inlineStr">
        <is>
          <t>conciliado</t>
        </is>
      </c>
    </row>
    <row r="1113">
      <c r="A1113" s="11" t="n">
        <v>85</v>
      </c>
      <c r="B1113" s="12" t="n">
        <v>46083</v>
      </c>
      <c r="C1113" s="11" t="inlineStr">
        <is>
          <t>angelica toro toro</t>
        </is>
      </c>
      <c r="D1113" s="13" t="n">
        <v>14600</v>
      </c>
      <c r="E1113" s="11">
        <f>IF(G1113="conciliado","conciliado",I1113)</f>
        <v/>
      </c>
      <c r="F1113" s="11" t="inlineStr">
        <is>
          <t>1315 | 2026-03-02 | 14,600 | angelica janeth toro</t>
        </is>
      </c>
      <c r="G1113" s="11">
        <f>IF(I1113="conciliado","conciliado","por revisar")</f>
        <v/>
      </c>
      <c r="H1113" s="11" t="inlineStr"/>
      <c r="I1113" s="11" t="inlineStr">
        <is>
          <t>conciliado</t>
        </is>
      </c>
    </row>
    <row r="1114">
      <c r="A1114" s="11" t="n">
        <v>39</v>
      </c>
      <c r="B1114" s="12" t="n">
        <v>46082</v>
      </c>
      <c r="C1114" s="11" t="inlineStr">
        <is>
          <t>maria moncayo pastas</t>
        </is>
      </c>
      <c r="D1114" s="13" t="n">
        <v>5800</v>
      </c>
      <c r="E1114" s="11">
        <f>IF(G1114="conciliado","conciliado",I1114)</f>
        <v/>
      </c>
      <c r="F1114" s="11" t="inlineStr">
        <is>
          <t>1316 | 2026-03-01 | 5,800 | camila maria moncayo</t>
        </is>
      </c>
      <c r="G1114" s="11">
        <f>IF(I1114="conciliado","conciliado","por revisar")</f>
        <v/>
      </c>
      <c r="H1114" s="11" t="inlineStr"/>
      <c r="I1114" s="11" t="inlineStr">
        <is>
          <t>conciliado</t>
        </is>
      </c>
    </row>
    <row r="1115">
      <c r="A1115" s="11" t="n">
        <v>32</v>
      </c>
      <c r="B1115" s="12" t="n">
        <v>46082</v>
      </c>
      <c r="C1115" s="11" t="inlineStr">
        <is>
          <t>alva bernal palacios</t>
        </is>
      </c>
      <c r="D1115" s="13" t="n">
        <v>22500</v>
      </c>
      <c r="E1115" s="11">
        <f>IF(G1115="conciliado","conciliado",I1115)</f>
        <v/>
      </c>
      <c r="F1115" s="11" t="inlineStr">
        <is>
          <t>1317 | 2026-03-01 | 22,500 | alvaro bernal livaniel</t>
        </is>
      </c>
      <c r="G1115" s="11">
        <f>IF(I1115="conciliado","conciliado","por revisar")</f>
        <v/>
      </c>
      <c r="H1115" s="11" t="inlineStr"/>
      <c r="I1115" s="11" t="inlineStr">
        <is>
          <t>conciliado</t>
        </is>
      </c>
    </row>
    <row r="1116">
      <c r="A1116" s="11" t="n">
        <v>24</v>
      </c>
      <c r="B1116" s="12" t="n">
        <v>46082</v>
      </c>
      <c r="C1116" s="11" t="inlineStr">
        <is>
          <t>daza diaz jhon</t>
        </is>
      </c>
      <c r="D1116" s="13" t="n">
        <v>6400</v>
      </c>
      <c r="E1116" s="11">
        <f>IF(G1116="conciliado","conciliado",I1116)</f>
        <v/>
      </c>
      <c r="F1116" s="11" t="inlineStr">
        <is>
          <t>1318 | 2026-03-01 | 6,400 | daza diaz jairo jhon</t>
        </is>
      </c>
      <c r="G1116" s="11">
        <f>IF(I1116="conciliado","conciliado","por revisar")</f>
        <v/>
      </c>
      <c r="H1116" s="11" t="inlineStr"/>
      <c r="I1116" s="11" t="inlineStr">
        <is>
          <t>conciliado</t>
        </is>
      </c>
    </row>
    <row r="1117">
      <c r="A1117" s="11" t="n">
        <v>27</v>
      </c>
      <c r="B1117" s="12" t="n">
        <v>46082</v>
      </c>
      <c r="C1117" s="11" t="inlineStr">
        <is>
          <t>criollo dor perez</t>
        </is>
      </c>
      <c r="D1117" s="13" t="n">
        <v>19100</v>
      </c>
      <c r="E1117" s="11">
        <f>IF(G1117="conciliado","conciliado",I1117)</f>
        <v/>
      </c>
      <c r="F1117" s="11" t="inlineStr">
        <is>
          <t>1319 | 2026-03-01 | 19,100 | doris oneyda perez</t>
        </is>
      </c>
      <c r="G1117" s="11">
        <f>IF(I1117="conciliado","conciliado","por revisar")</f>
        <v/>
      </c>
      <c r="H1117" s="11" t="inlineStr"/>
      <c r="I1117" s="11" t="inlineStr">
        <is>
          <t>conciliado</t>
        </is>
      </c>
    </row>
    <row r="1118">
      <c r="A1118" s="11" t="n">
        <v>38</v>
      </c>
      <c r="B1118" s="12" t="n">
        <v>46082</v>
      </c>
      <c r="C1118" s="11" t="inlineStr">
        <is>
          <t>canago paola</t>
        </is>
      </c>
      <c r="D1118" s="13" t="n">
        <v>8210</v>
      </c>
      <c r="E1118" s="11">
        <f>IF(G1118="conciliado","conciliado",I1118)</f>
        <v/>
      </c>
      <c r="F1118" s="11" t="inlineStr">
        <is>
          <t>1320 | 2026-03-01 | 8,210 | angie morales paola</t>
        </is>
      </c>
      <c r="G1118" s="11">
        <f>IF(I1118="conciliado","conciliado","por revisar")</f>
        <v/>
      </c>
      <c r="H1118" s="11" t="inlineStr"/>
      <c r="I1118" s="11" t="inlineStr">
        <is>
          <t>conciliado</t>
        </is>
      </c>
    </row>
    <row r="1119">
      <c r="A1119" s="11" t="n">
        <v>7</v>
      </c>
      <c r="B1119" s="12" t="n">
        <v>46082</v>
      </c>
      <c r="C1119" s="11" t="inlineStr">
        <is>
          <t>benavides enriquez n</t>
        </is>
      </c>
      <c r="D1119" s="13" t="n">
        <v>18000</v>
      </c>
      <c r="E1119" s="11">
        <f>IF(G1119="conciliado","conciliado",I1119)</f>
        <v/>
      </c>
      <c r="F1119" s="11" t="inlineStr">
        <is>
          <t>1321 | 2026-03-01 | 18,000 | enriquez nelson norvey</t>
        </is>
      </c>
      <c r="G1119" s="11">
        <f>IF(I1119="conciliado","conciliado","por revisar")</f>
        <v/>
      </c>
      <c r="H1119" s="11" t="inlineStr"/>
      <c r="I1119" s="11" t="inlineStr">
        <is>
          <t>conciliado</t>
        </is>
      </c>
    </row>
    <row r="1120">
      <c r="A1120" s="11" t="n">
        <v>4</v>
      </c>
      <c r="B1120" s="12" t="n">
        <v>46082</v>
      </c>
      <c r="C1120" s="11" t="inlineStr">
        <is>
          <t>bre delgado quinones</t>
        </is>
      </c>
      <c r="D1120" s="13" t="n">
        <v>33000</v>
      </c>
      <c r="E1120" s="11">
        <f>IF(G1120="conciliado","conciliado",I1120)</f>
        <v/>
      </c>
      <c r="F1120" s="11" t="inlineStr">
        <is>
          <t>1322 | 2026-03-01 | 33,000 | brenda marcela</t>
        </is>
      </c>
      <c r="G1120" s="11">
        <f>IF(I1120="conciliado","conciliado","por revisar")</f>
        <v/>
      </c>
      <c r="H1120" s="11" t="inlineStr"/>
      <c r="I1120" s="11" t="inlineStr">
        <is>
          <t>conciliado</t>
        </is>
      </c>
    </row>
    <row r="1121">
      <c r="A1121" s="11" t="n">
        <v>26</v>
      </c>
      <c r="B1121" s="12" t="n">
        <v>46082</v>
      </c>
      <c r="C1121" s="11" t="inlineStr">
        <is>
          <t>alvarez chavez crist</t>
        </is>
      </c>
      <c r="D1121" s="13" t="n">
        <v>38800</v>
      </c>
      <c r="E1121" s="11">
        <f>IF(G1121="conciliado","conciliado",I1121)</f>
        <v/>
      </c>
      <c r="F1121" s="11" t="inlineStr">
        <is>
          <t>1323 | 2026-03-01 | 38,800 | alvarez cristian david</t>
        </is>
      </c>
      <c r="G1121" s="11">
        <f>IF(I1121="conciliado","conciliado","por revisar")</f>
        <v/>
      </c>
      <c r="H1121" s="11" t="inlineStr"/>
      <c r="I1121" s="11" t="inlineStr">
        <is>
          <t>conciliado</t>
        </is>
      </c>
    </row>
    <row r="1122">
      <c r="A1122" s="11" t="n">
        <v>6</v>
      </c>
      <c r="B1122" s="12" t="n">
        <v>46082</v>
      </c>
      <c r="C1122" s="11" t="inlineStr">
        <is>
          <t>chito jorge trujillo</t>
        </is>
      </c>
      <c r="D1122" s="13" t="n">
        <v>5900</v>
      </c>
      <c r="E1122" s="11">
        <f>IF(G1122="conciliado","conciliado",I1122)</f>
        <v/>
      </c>
      <c r="F1122" s="11" t="inlineStr">
        <is>
          <t>1324 | 2026-03-01 | 5,900 | chito jorge trujillo</t>
        </is>
      </c>
      <c r="G1122" s="11">
        <f>IF(I1122="conciliado","conciliado","por revisar")</f>
        <v/>
      </c>
      <c r="H1122" s="11" t="inlineStr"/>
      <c r="I1122" s="11" t="inlineStr">
        <is>
          <t>conciliado</t>
        </is>
      </c>
    </row>
    <row r="1123">
      <c r="A1123" s="11" t="n">
        <v>21</v>
      </c>
      <c r="B1123" s="12" t="n">
        <v>46082</v>
      </c>
      <c r="C1123" s="11" t="inlineStr">
        <is>
          <t>chana edisson potosi</t>
        </is>
      </c>
      <c r="D1123" s="13" t="n">
        <v>30600</v>
      </c>
      <c r="E1123" s="11">
        <f>IF(G1123="conciliado","conciliado",I1123)</f>
        <v/>
      </c>
      <c r="F1123" s="11" t="inlineStr">
        <is>
          <t>1325 | 2026-03-01 | 30,600 | b bre edisson</t>
        </is>
      </c>
      <c r="G1123" s="11">
        <f>IF(I1123="conciliado","conciliado","por revisar")</f>
        <v/>
      </c>
      <c r="H1123" s="11" t="inlineStr"/>
      <c r="I1123" s="11" t="inlineStr">
        <is>
          <t>conciliado</t>
        </is>
      </c>
    </row>
    <row r="1124">
      <c r="A1124" s="11" t="n">
        <v>16</v>
      </c>
      <c r="B1124" s="12" t="n">
        <v>46082</v>
      </c>
      <c r="C1124" s="11" t="inlineStr">
        <is>
          <t>carlos eduar mendoza</t>
        </is>
      </c>
      <c r="D1124" s="13" t="n">
        <v>14800</v>
      </c>
      <c r="E1124" s="11">
        <f>IF(G1124="conciliado","conciliado",I1124)</f>
        <v/>
      </c>
      <c r="F1124" s="11" t="inlineStr">
        <is>
          <t>1326 | 2026-03-01 | 14,800 | carlos mendoza</t>
        </is>
      </c>
      <c r="G1124" s="11">
        <f>IF(I1124="conciliado","conciliado","por revisar")</f>
        <v/>
      </c>
      <c r="H1124" s="11" t="inlineStr"/>
      <c r="I1124" s="11" t="inlineStr">
        <is>
          <t>conciliado</t>
        </is>
      </c>
    </row>
    <row r="1125">
      <c r="A1125" s="11" t="n">
        <v>11</v>
      </c>
      <c r="B1125" s="12" t="n">
        <v>46082</v>
      </c>
      <c r="C1125" s="11" t="inlineStr">
        <is>
          <t>ja martinez nolberto</t>
        </is>
      </c>
      <c r="D1125" s="13" t="n">
        <v>12400</v>
      </c>
      <c r="E1125" s="11">
        <f>IF(G1125="conciliado","conciliado",I1125)</f>
        <v/>
      </c>
      <c r="F1125" s="11" t="inlineStr">
        <is>
          <t>1327 | 2026-03-01 | 12,400 | jenifer scarlet</t>
        </is>
      </c>
      <c r="G1125" s="11">
        <f>IF(I1125="conciliado","conciliado","por revisar")</f>
        <v/>
      </c>
      <c r="H1125" s="11" t="inlineStr"/>
      <c r="I1125" s="11" t="inlineStr">
        <is>
          <t>conciliado</t>
        </is>
      </c>
    </row>
    <row r="1126">
      <c r="A1126" s="11" t="n">
        <v>28</v>
      </c>
      <c r="B1126" s="12" t="n">
        <v>46082</v>
      </c>
      <c r="C1126" s="11" t="inlineStr">
        <is>
          <t>cuaran jos morales</t>
        </is>
      </c>
      <c r="D1126" s="13" t="n">
        <v>6500</v>
      </c>
      <c r="E1126" s="11">
        <f>IF(G1126="conciliado","conciliado",I1126)</f>
        <v/>
      </c>
      <c r="F1126" s="11" t="inlineStr">
        <is>
          <t>1328 | 2026-03-01 | 6,500 | cuaran jose luis</t>
        </is>
      </c>
      <c r="G1126" s="11">
        <f>IF(I1126="conciliado","conciliado","por revisar")</f>
        <v/>
      </c>
      <c r="H1126" s="11" t="inlineStr"/>
      <c r="I1126" s="11" t="inlineStr">
        <is>
          <t>conciliado</t>
        </is>
      </c>
    </row>
    <row r="1127">
      <c r="A1127" s="11" t="n">
        <v>10</v>
      </c>
      <c r="B1127" s="12" t="n">
        <v>46082</v>
      </c>
      <c r="C1127" s="11" t="inlineStr">
        <is>
          <t>grisales melo zulma</t>
        </is>
      </c>
      <c r="D1127" s="13" t="n">
        <v>19400</v>
      </c>
      <c r="E1127" s="11">
        <f>IF(G1127="conciliado","conciliado",I1127)</f>
        <v/>
      </c>
      <c r="F1127" s="11" t="inlineStr">
        <is>
          <t>1329 | 2026-03-01 | 19,400 | b bre zulma</t>
        </is>
      </c>
      <c r="G1127" s="11">
        <f>IF(I1127="conciliado","conciliado","por revisar")</f>
        <v/>
      </c>
      <c r="H1127" s="11" t="inlineStr"/>
      <c r="I1127" s="11" t="inlineStr">
        <is>
          <t>conciliado</t>
        </is>
      </c>
    </row>
    <row r="1128">
      <c r="A1128" s="11" t="n">
        <v>37</v>
      </c>
      <c r="B1128" s="12" t="n">
        <v>46082</v>
      </c>
      <c r="C1128" s="11" t="inlineStr">
        <is>
          <t>lore tulcacha tulcan</t>
        </is>
      </c>
      <c r="D1128" s="13" t="n">
        <v>11600</v>
      </c>
      <c r="E1128" s="11">
        <f>IF(G1128="conciliado","conciliado",I1128)</f>
        <v/>
      </c>
      <c r="F1128" s="11" t="inlineStr">
        <is>
          <t>1330 | 2026-03-01 | 11,600 | lorena luzfani tulcan</t>
        </is>
      </c>
      <c r="G1128" s="11">
        <f>IF(I1128="conciliado","conciliado","por revisar")</f>
        <v/>
      </c>
      <c r="H1128" s="11" t="inlineStr"/>
      <c r="I1128" s="11" t="inlineStr">
        <is>
          <t>conciliado</t>
        </is>
      </c>
    </row>
    <row r="1129">
      <c r="A1129" s="11" t="n">
        <v>17</v>
      </c>
      <c r="B1129" s="12" t="n">
        <v>46082</v>
      </c>
      <c r="C1129" s="11" t="inlineStr">
        <is>
          <t>alexan ferro macuace</t>
        </is>
      </c>
      <c r="D1129" s="13" t="n">
        <v>30000</v>
      </c>
      <c r="E1129" s="11">
        <f>IF(G1129="conciliado","conciliado",I1129)</f>
        <v/>
      </c>
      <c r="F1129" s="11" t="inlineStr">
        <is>
          <t>1331 | 2026-03-01 | 30,000 | alexander macuace</t>
        </is>
      </c>
      <c r="G1129" s="11">
        <f>IF(I1129="conciliado","conciliado","por revisar")</f>
        <v/>
      </c>
      <c r="H1129" s="11" t="inlineStr"/>
      <c r="I1129" s="11" t="inlineStr">
        <is>
          <t>conciliado</t>
        </is>
      </c>
    </row>
    <row r="1130">
      <c r="A1130" s="11" t="n">
        <v>30</v>
      </c>
      <c r="B1130" s="12" t="n">
        <v>46082</v>
      </c>
      <c r="C1130" s="11" t="inlineStr">
        <is>
          <t>jhoa rojas sevillano</t>
        </is>
      </c>
      <c r="D1130" s="13" t="n">
        <v>40000</v>
      </c>
      <c r="E1130" s="11">
        <f>IF(G1130="conciliado","conciliado",I1130)</f>
        <v/>
      </c>
      <c r="F1130" s="11" t="inlineStr">
        <is>
          <t>1332 | 2026-03-01 | 40,000 | estiven jhoan sevillano</t>
        </is>
      </c>
      <c r="G1130" s="11">
        <f>IF(I1130="conciliado","conciliado","por revisar")</f>
        <v/>
      </c>
      <c r="H1130" s="11" t="inlineStr"/>
      <c r="I1130" s="11" t="inlineStr">
        <is>
          <t>conciliado</t>
        </is>
      </c>
    </row>
    <row r="1131">
      <c r="A1131" s="11" t="n">
        <v>3</v>
      </c>
      <c r="B1131" s="12" t="n">
        <v>46082</v>
      </c>
      <c r="C1131" s="11" t="inlineStr">
        <is>
          <t>ciro daniela f leiva</t>
        </is>
      </c>
      <c r="D1131" s="13" t="n">
        <v>39100</v>
      </c>
      <c r="E1131" s="11">
        <f>IF(G1131="conciliado","conciliado",I1131)</f>
        <v/>
      </c>
      <c r="F1131" s="11" t="inlineStr">
        <is>
          <t>1333 | 2026-03-01 | 39,100 | cristian hernando vega</t>
        </is>
      </c>
      <c r="G1131" s="11">
        <f>IF(I1131="conciliado","conciliado","por revisar")</f>
        <v/>
      </c>
      <c r="H1131" s="11" t="inlineStr"/>
      <c r="I1131" s="11" t="inlineStr">
        <is>
          <t>conciliado</t>
        </is>
      </c>
    </row>
    <row r="1132">
      <c r="A1132" s="11" t="n">
        <v>22</v>
      </c>
      <c r="B1132" s="12" t="n">
        <v>46082</v>
      </c>
      <c r="C1132" s="11" t="inlineStr">
        <is>
          <t>lina mota ortiiz pao</t>
        </is>
      </c>
      <c r="D1132" s="13" t="n">
        <v>21120</v>
      </c>
      <c r="E1132" s="11">
        <f>IF(G1132="conciliado","conciliado",I1132)</f>
        <v/>
      </c>
      <c r="F1132" s="11" t="inlineStr">
        <is>
          <t>1334 | 2026-03-01 | 21,120 | motta paola yina</t>
        </is>
      </c>
      <c r="G1132" s="11">
        <f>IF(I1132="conciliado","conciliado","por revisar")</f>
        <v/>
      </c>
      <c r="H1132" s="11" t="inlineStr"/>
      <c r="I1132" s="11" t="inlineStr">
        <is>
          <t>conciliado</t>
        </is>
      </c>
    </row>
    <row r="1133">
      <c r="A1133" s="11" t="n">
        <v>12</v>
      </c>
      <c r="B1133" s="12" t="n">
        <v>46082</v>
      </c>
      <c r="C1133" s="11" t="inlineStr">
        <is>
          <t>her jose patino vega</t>
        </is>
      </c>
      <c r="D1133" s="13" t="n">
        <v>62000</v>
      </c>
      <c r="E1133" s="11">
        <f>IF(G1133="conciliado","conciliado",I1133)</f>
        <v/>
      </c>
      <c r="F1133" s="11" t="inlineStr">
        <is>
          <t>1335 | 2026-03-01 | 62,000 | jose patino vega</t>
        </is>
      </c>
      <c r="G1133" s="11">
        <f>IF(I1133="conciliado","conciliado","por revisar")</f>
        <v/>
      </c>
      <c r="H1133" s="11" t="inlineStr"/>
      <c r="I1133" s="11" t="inlineStr">
        <is>
          <t>conciliado</t>
        </is>
      </c>
    </row>
    <row r="1134">
      <c r="A1134" s="11" t="n">
        <v>18</v>
      </c>
      <c r="B1134" s="12" t="n">
        <v>46082</v>
      </c>
      <c r="C1134" s="11" t="inlineStr">
        <is>
          <t>je mosquera palacios</t>
        </is>
      </c>
      <c r="D1134" s="13" t="n">
        <v>36000</v>
      </c>
      <c r="E1134" s="11">
        <f>IF(G1134="conciliado","conciliado",I1134)</f>
        <v/>
      </c>
      <c r="F1134" s="11" t="inlineStr">
        <is>
          <t>1336 | 2026-03-01 | 36,000 | jennifer mosquera</t>
        </is>
      </c>
      <c r="G1134" s="11">
        <f>IF(I1134="conciliado","conciliado","por revisar")</f>
        <v/>
      </c>
      <c r="H1134" s="11" t="inlineStr"/>
      <c r="I1134" s="11" t="inlineStr">
        <is>
          <t>conciliado</t>
        </is>
      </c>
    </row>
    <row r="1135">
      <c r="A1135" s="11" t="n">
        <v>23</v>
      </c>
      <c r="B1135" s="12" t="n">
        <v>46082</v>
      </c>
      <c r="C1135" s="11" t="inlineStr">
        <is>
          <t>jon ly perez tandioy</t>
        </is>
      </c>
      <c r="D1135" s="13" t="n">
        <v>38400</v>
      </c>
      <c r="E1135" s="11">
        <f>IF(G1135="conciliado","conciliado",I1135)</f>
        <v/>
      </c>
      <c r="F1135" s="11" t="inlineStr">
        <is>
          <t>1337 | 2026-03-01 | 38,400 | jonaitis ly perez tandioy</t>
        </is>
      </c>
      <c r="G1135" s="11">
        <f>IF(I1135="conciliado","conciliado","por revisar")</f>
        <v/>
      </c>
      <c r="H1135" s="11" t="inlineStr"/>
      <c r="I1135" s="11" t="inlineStr">
        <is>
          <t>conciliado</t>
        </is>
      </c>
    </row>
    <row r="1136">
      <c r="A1136" s="11" t="n">
        <v>8</v>
      </c>
      <c r="B1136" s="12" t="n">
        <v>46082</v>
      </c>
      <c r="C1136" s="11" t="inlineStr">
        <is>
          <t>gonzalez herrera viv</t>
        </is>
      </c>
      <c r="D1136" s="13" t="n">
        <v>14800</v>
      </c>
      <c r="E1136" s="11">
        <f>IF(G1136="conciliado","conciliado",I1136)</f>
        <v/>
      </c>
      <c r="F1136" s="11" t="inlineStr">
        <is>
          <t>1338 | 2026-03-01 | 14,800 | herrera sandra viviana</t>
        </is>
      </c>
      <c r="G1136" s="11">
        <f>IF(I1136="conciliado","conciliado","por revisar")</f>
        <v/>
      </c>
      <c r="H1136" s="11" t="inlineStr"/>
      <c r="I1136" s="11" t="inlineStr">
        <is>
          <t>conciliado</t>
        </is>
      </c>
    </row>
    <row r="1137">
      <c r="A1137" s="11" t="n">
        <v>15</v>
      </c>
      <c r="B1137" s="12" t="n">
        <v>46082</v>
      </c>
      <c r="C1137" s="11" t="inlineStr">
        <is>
          <t>james munoz pipicano</t>
        </is>
      </c>
      <c r="D1137" s="13" t="n">
        <v>65000</v>
      </c>
      <c r="E1137" s="11">
        <f>IF(G1137="conciliado","conciliado",I1137)</f>
        <v/>
      </c>
      <c r="F1137" s="11" t="inlineStr">
        <is>
          <t>1339 | 2026-03-01 | 65,000 | james munoz pipicano</t>
        </is>
      </c>
      <c r="G1137" s="11">
        <f>IF(I1137="conciliado","conciliado","por revisar")</f>
        <v/>
      </c>
      <c r="H1137" s="11" t="inlineStr"/>
      <c r="I1137" s="11" t="inlineStr">
        <is>
          <t>conciliado</t>
        </is>
      </c>
    </row>
    <row r="1138">
      <c r="A1138" s="11" t="n">
        <v>25</v>
      </c>
      <c r="B1138" s="12" t="n">
        <v>46082</v>
      </c>
      <c r="C1138" s="11" t="inlineStr">
        <is>
          <t>aura santacruz serna</t>
        </is>
      </c>
      <c r="D1138" s="13" t="n">
        <v>22000</v>
      </c>
      <c r="E1138" s="11">
        <f>IF(G1138="conciliado","conciliado",I1138)</f>
        <v/>
      </c>
      <c r="F1138" s="11" t="inlineStr">
        <is>
          <t>1340 | 2026-03-01 | 22,000 | aura rosa serna</t>
        </is>
      </c>
      <c r="G1138" s="11">
        <f>IF(I1138="conciliado","conciliado","por revisar")</f>
        <v/>
      </c>
      <c r="H1138" s="11" t="inlineStr"/>
      <c r="I1138" s="11" t="inlineStr">
        <is>
          <t>conciliado</t>
        </is>
      </c>
    </row>
    <row r="1139">
      <c r="A1139" s="11" t="n">
        <v>31</v>
      </c>
      <c r="B1139" s="12" t="n">
        <v>46082</v>
      </c>
      <c r="C1139" s="11" t="inlineStr">
        <is>
          <t>dinasco jhon murcia</t>
        </is>
      </c>
      <c r="D1139" s="13" t="n">
        <v>17500</v>
      </c>
      <c r="E1139" s="11">
        <f>IF(G1139="conciliado","conciliado",I1139)</f>
        <v/>
      </c>
      <c r="F1139" s="11" t="inlineStr">
        <is>
          <t>1341 | 2026-03-01 | 17,500 | anderson jhon murcia</t>
        </is>
      </c>
      <c r="G1139" s="11">
        <f>IF(I1139="conciliado","conciliado","por revisar")</f>
        <v/>
      </c>
      <c r="H1139" s="11" t="inlineStr"/>
      <c r="I1139" s="11" t="inlineStr">
        <is>
          <t>conciliado</t>
        </is>
      </c>
    </row>
    <row r="1140">
      <c r="A1140" s="11" t="n">
        <v>36</v>
      </c>
      <c r="B1140" s="12" t="n">
        <v>46082</v>
      </c>
      <c r="C1140" s="11" t="inlineStr">
        <is>
          <t>diana ipiales</t>
        </is>
      </c>
      <c r="D1140" s="13" t="n">
        <v>15500</v>
      </c>
      <c r="E1140" s="11">
        <f>IF(G1140="conciliado","conciliado",I1140)</f>
        <v/>
      </c>
      <c r="F1140" s="11" t="inlineStr">
        <is>
          <t>1342 | 2026-03-01 | 15,500 | diana ipiales marcela</t>
        </is>
      </c>
      <c r="G1140" s="11">
        <f>IF(I1140="conciliado","conciliado","por revisar")</f>
        <v/>
      </c>
      <c r="H1140" s="11" t="inlineStr"/>
      <c r="I1140" s="11" t="inlineStr">
        <is>
          <t>conciliado</t>
        </is>
      </c>
    </row>
    <row r="1141">
      <c r="A1141" s="11" t="n">
        <v>33</v>
      </c>
      <c r="B1141" s="12" t="n">
        <v>46082</v>
      </c>
      <c r="C1141" s="11" t="inlineStr">
        <is>
          <t>acosta edi gutierrez</t>
        </is>
      </c>
      <c r="D1141" s="13" t="n">
        <v>10000</v>
      </c>
      <c r="E1141" s="11">
        <f>IF(G1141="conciliado","conciliado",I1141)</f>
        <v/>
      </c>
      <c r="F1141" s="11" t="inlineStr">
        <is>
          <t>1343 | 2026-03-01 | 10,000 | b bre edier</t>
        </is>
      </c>
      <c r="G1141" s="11">
        <f>IF(I1141="conciliado","conciliado","por revisar")</f>
        <v/>
      </c>
      <c r="H1141" s="11" t="inlineStr"/>
      <c r="I1141" s="11" t="inlineStr">
        <is>
          <t>conciliado</t>
        </is>
      </c>
    </row>
    <row r="1142">
      <c r="A1142" s="11" t="n">
        <v>19</v>
      </c>
      <c r="B1142" s="12" t="n">
        <v>46082</v>
      </c>
      <c r="C1142" s="11" t="inlineStr">
        <is>
          <t>ocampo sindy tovar</t>
        </is>
      </c>
      <c r="D1142" s="13" t="n">
        <v>19800</v>
      </c>
      <c r="E1142" s="11">
        <f>IF(G1142="conciliado","conciliado",I1142)</f>
        <v/>
      </c>
      <c r="F1142" s="11" t="inlineStr">
        <is>
          <t>1345 | 2026-03-01 | 19,800 | ocampo sindy vanesa</t>
        </is>
      </c>
      <c r="G1142" s="11">
        <f>IF(I1142="conciliado","conciliado","por revisar")</f>
        <v/>
      </c>
      <c r="H1142" s="11" t="inlineStr"/>
      <c r="I1142" s="11" t="inlineStr">
        <is>
          <t>conciliado</t>
        </is>
      </c>
    </row>
    <row r="1143">
      <c r="A1143" s="11" t="n">
        <v>29</v>
      </c>
      <c r="B1143" s="12" t="n">
        <v>46082</v>
      </c>
      <c r="C1143" s="11" t="inlineStr">
        <is>
          <t>estacio mar yela</t>
        </is>
      </c>
      <c r="D1143" s="13" t="n">
        <v>8900</v>
      </c>
      <c r="E1143" s="11">
        <f>IF(G1143="conciliado","conciliado",I1143)</f>
        <v/>
      </c>
      <c r="F1143" s="11" t="inlineStr">
        <is>
          <t>1346 | 2026-03-01 | 8,900 | estacio luisa maria yela</t>
        </is>
      </c>
      <c r="G1143" s="11">
        <f>IF(I1143="conciliado","conciliado","por revisar")</f>
        <v/>
      </c>
      <c r="H1143" s="11" t="inlineStr"/>
      <c r="I1143" s="11" t="inlineStr">
        <is>
          <t>conciliado</t>
        </is>
      </c>
    </row>
    <row r="1144">
      <c r="A1144" s="11" t="n">
        <v>5</v>
      </c>
      <c r="B1144" s="12" t="n">
        <v>46082</v>
      </c>
      <c r="C1144" s="11" t="inlineStr">
        <is>
          <t>cifuentes daniels di</t>
        </is>
      </c>
      <c r="D1144" s="13" t="n">
        <v>20000</v>
      </c>
      <c r="E1144" s="11">
        <f>IF(G1144="conciliado","conciliado",I1144)</f>
        <v/>
      </c>
      <c r="F1144" s="11" t="inlineStr">
        <is>
          <t>1347 | 2026-03-01 | 20,000 | daniels dixie veronica</t>
        </is>
      </c>
      <c r="G1144" s="11">
        <f>IF(I1144="conciliado","conciliado","por revisar")</f>
        <v/>
      </c>
      <c r="H1144" s="11" t="inlineStr"/>
      <c r="I1144" s="11" t="inlineStr">
        <is>
          <t>conciliado</t>
        </is>
      </c>
    </row>
    <row r="1145">
      <c r="A1145" s="11" t="n">
        <v>35</v>
      </c>
      <c r="B1145" s="12" t="n">
        <v>46082</v>
      </c>
      <c r="C1145" s="11" t="inlineStr">
        <is>
          <t>anny isa lopez ramos</t>
        </is>
      </c>
      <c r="D1145" s="13" t="n">
        <v>14000</v>
      </c>
      <c r="E1145" s="11">
        <f>IF(G1145="conciliado","conciliado",I1145)</f>
        <v/>
      </c>
      <c r="F1145" s="11" t="inlineStr">
        <is>
          <t>1348 | 2026-03-01 | 14,000 | anny isabel lopez ramos</t>
        </is>
      </c>
      <c r="G1145" s="11">
        <f>IF(I1145="conciliado","conciliado","por revisar")</f>
        <v/>
      </c>
      <c r="H1145" s="11" t="inlineStr"/>
      <c r="I1145" s="11" t="inlineStr">
        <is>
          <t>conciliado</t>
        </is>
      </c>
    </row>
    <row r="1146">
      <c r="A1146" s="11" t="n">
        <v>20</v>
      </c>
      <c r="B1146" s="12" t="n">
        <v>46082</v>
      </c>
      <c r="C1146" s="11" t="inlineStr">
        <is>
          <t>ahu barreto martinez</t>
        </is>
      </c>
      <c r="D1146" s="13" t="n">
        <v>32500</v>
      </c>
      <c r="E1146" s="11">
        <f>IF(G1146="conciliado","conciliado",I1146)</f>
        <v/>
      </c>
      <c r="F1146" s="11" t="inlineStr">
        <is>
          <t>1349 | 2026-03-01 | 32,500 | augusto jose martinez</t>
        </is>
      </c>
      <c r="G1146" s="11">
        <f>IF(I1146="conciliado","conciliado","por revisar")</f>
        <v/>
      </c>
      <c r="H1146" s="11" t="inlineStr"/>
      <c r="I1146" s="11" t="inlineStr">
        <is>
          <t>conciliado</t>
        </is>
      </c>
    </row>
    <row r="1147">
      <c r="A1147" s="11" t="n">
        <v>1</v>
      </c>
      <c r="B1147" s="12" t="n">
        <v>46082</v>
      </c>
      <c r="C1147" s="11" t="inlineStr">
        <is>
          <t>jacanamejoy ordonez</t>
        </is>
      </c>
      <c r="D1147" s="13" t="n">
        <v>5600</v>
      </c>
      <c r="E1147" s="11">
        <f>IF(G1147="conciliado","conciliado",I1147)</f>
        <v/>
      </c>
      <c r="F1147" s="11" t="inlineStr">
        <is>
          <t>1350 | 2026-03-01 | 5,600 | carolina diana ordonez</t>
        </is>
      </c>
      <c r="G1147" s="11">
        <f>IF(I1147="conciliado","conciliado","por revisar")</f>
        <v/>
      </c>
      <c r="H1147" s="11" t="inlineStr"/>
      <c r="I1147" s="11" t="inlineStr">
        <is>
          <t>conciliado</t>
        </is>
      </c>
    </row>
    <row r="1148">
      <c r="A1148" s="11" t="n">
        <v>34</v>
      </c>
      <c r="B1148" s="12" t="n">
        <v>46082</v>
      </c>
      <c r="C1148" s="11" t="inlineStr">
        <is>
          <t>arias jaramillo jona</t>
        </is>
      </c>
      <c r="D1148" s="13" t="n">
        <v>21800</v>
      </c>
      <c r="E1148" s="11">
        <f>IF(G1148="conciliado","conciliado",I1148)</f>
        <v/>
      </c>
      <c r="F1148" s="11" t="inlineStr">
        <is>
          <t>1351 | 2026-03-01 | 21,800 | alexis arias jhonatan</t>
        </is>
      </c>
      <c r="G1148" s="11">
        <f>IF(I1148="conciliado","conciliado","por revisar")</f>
        <v/>
      </c>
      <c r="H1148" s="11" t="inlineStr"/>
      <c r="I1148" s="11" t="inlineStr">
        <is>
          <t>conciliado</t>
        </is>
      </c>
    </row>
    <row r="1149">
      <c r="A1149" s="11" t="n">
        <v>9</v>
      </c>
      <c r="B1149" s="12" t="n">
        <v>46082</v>
      </c>
      <c r="C1149" s="11" t="inlineStr">
        <is>
          <t>arboleda congotte da</t>
        </is>
      </c>
      <c r="D1149" s="13" t="n">
        <v>42100</v>
      </c>
      <c r="E1149" s="11">
        <f>IF(G1149="conciliado","conciliado",I1149)</f>
        <v/>
      </c>
      <c r="F1149" s="11" t="inlineStr">
        <is>
          <t>1352 | 2026-03-01 | 42,100 | congotte dayan liseth</t>
        </is>
      </c>
      <c r="G1149" s="11">
        <f>IF(I1149="conciliado","conciliado","por revisar")</f>
        <v/>
      </c>
      <c r="H1149" s="11" t="inlineStr"/>
      <c r="I1149" s="11" t="inlineStr">
        <is>
          <t>conciliado</t>
        </is>
      </c>
    </row>
    <row r="1150">
      <c r="A1150" s="11" t="n">
        <v>14</v>
      </c>
      <c r="B1150" s="12" t="n">
        <v>46082</v>
      </c>
      <c r="C1150" s="11" t="inlineStr">
        <is>
          <t>jho orellano vergara</t>
        </is>
      </c>
      <c r="D1150" s="13" t="n">
        <v>28640</v>
      </c>
      <c r="E1150" s="11">
        <f>IF(G1150="conciliado","conciliado",I1150)</f>
        <v/>
      </c>
      <c r="F1150" s="11" t="inlineStr">
        <is>
          <t>1353 | 2026-03-01 | 28,640 | bancolombia desde recarga</t>
        </is>
      </c>
      <c r="G1150" s="11">
        <f>IF(I1150="conciliado","conciliado","por revisar")</f>
        <v/>
      </c>
      <c r="H1150" s="11" t="inlineStr"/>
      <c r="I1150" s="11" t="inlineStr">
        <is>
          <t>conciliado</t>
        </is>
      </c>
    </row>
    <row r="1151">
      <c r="A1151" s="11" t="n">
        <v>2</v>
      </c>
      <c r="B1151" s="12" t="n">
        <v>46082</v>
      </c>
      <c r="C1151" s="11" t="inlineStr">
        <is>
          <t>betancurth ro zapata</t>
        </is>
      </c>
      <c r="D1151" s="13" t="n">
        <v>100000</v>
      </c>
      <c r="E1151" s="11">
        <f>IF(G1151="conciliado","conciliado",I1151)</f>
        <v/>
      </c>
      <c r="F1151" s="11" t="inlineStr">
        <is>
          <t>1354 | 2026-03-01 | 100,000 | rodrigo zapata</t>
        </is>
      </c>
      <c r="G1151" s="11">
        <f>IF(I1151="conciliado","conciliado","por revisar")</f>
        <v/>
      </c>
      <c r="H1151" s="11" t="inlineStr"/>
      <c r="I1151" s="11" t="inlineStr">
        <is>
          <t>conciliado</t>
        </is>
      </c>
    </row>
    <row r="1152">
      <c r="A1152" s="11" t="n">
        <v>13</v>
      </c>
      <c r="B1152" s="12" t="n">
        <v>46082</v>
      </c>
      <c r="C1152" s="11" t="inlineStr">
        <is>
          <t>consumidor final</t>
        </is>
      </c>
      <c r="D1152" s="13" t="n">
        <v>100000</v>
      </c>
      <c r="E1152" s="11">
        <f>IF(G1152="conciliado","conciliado",I1152)</f>
        <v/>
      </c>
      <c r="F1152" s="11">
        <f>IF(SUM(COUNTIFS('Conciliacion de compuestos'!$D$2:$D$71,"conciliado",'Conciliacion de compuestos'!$E$2:$E$71,"OK",'Conciliacion de compuestos'!$M$2:$M$71,A1152),COUNTIFS('Conciliacion de compuestos'!$D$2:$D$71,"conciliado",'Conciliacion de compuestos'!$E$2:$E$71,"OK",'Conciliacion de compuestos'!$N$2:$N$71,A1152),COUNTIFS('Conciliacion de compuestos'!$D$2:$D$71,"conciliado",'Conciliacion de compuestos'!$E$2:$E$71,"OK",'Conciliacion de compuestos'!$O$2:$O$71,A1152))&gt;0,IFERROR(TEXTJOIN(CHAR(10),TRUE,FILTER('Conciliacion de compuestos'!$A$2:$A$71,('Conciliacion de compuestos'!$D$2:$D$71="conciliado")*('Conciliacion de compuestos'!$E$2:$E$71="OK")*((('Conciliacion de compuestos'!$M$2:$M$71=A1152)+('Conciliacion de compuestos'!$N$2:$N$71=A1152)+('Conciliacion de compuestos'!$O$2:$O$71=A1152))&gt;0))),""),"")</f>
        <v/>
      </c>
      <c r="G1152" s="11">
        <f>IF(I1152="conciliado","conciliado","por revisar")</f>
        <v/>
      </c>
      <c r="H1152" s="11" t="inlineStr"/>
      <c r="I1152" s="11">
        <f>IF(SUM(COUNTIFS('Conciliacion de compuestos'!$D$2:$D$71,"conciliado",'Conciliacion de compuestos'!$E$2:$E$71,"OK",'Conciliacion de compuestos'!$M$2:$M$71,A1152),COUNTIFS('Conciliacion de compuestos'!$D$2:$D$71,"conciliado",'Conciliacion de compuestos'!$E$2:$E$71,"OK",'Conciliacion de compuestos'!$N$2:$N$71,A1152),COUNTIFS('Conciliacion de compuestos'!$D$2:$D$71,"conciliado",'Conciliacion de compuestos'!$E$2:$E$71,"OK",'Conciliacion de compuestos'!$O$2:$O$71,A1152))&gt;0,"conciliado","por revisar")</f>
        <v/>
      </c>
    </row>
    <row r="1153">
      <c r="A1153" s="11" t="n">
        <v>46</v>
      </c>
      <c r="B1153" s="12" t="n">
        <v>46083</v>
      </c>
      <c r="C1153" s="11" t="inlineStr">
        <is>
          <t>casanas cazanas jame</t>
        </is>
      </c>
      <c r="D1153" s="13" t="n">
        <v>10000</v>
      </c>
      <c r="E1153" s="11">
        <f>IF(G1153="conciliado","conciliado",I1153)</f>
        <v/>
      </c>
      <c r="F1153" s="11">
        <f>IF(SUM(COUNTIFS('Conciliacion de compuestos'!$D$2:$D$71,"conciliado",'Conciliacion de compuestos'!$E$2:$E$71,"OK",'Conciliacion de compuestos'!$M$2:$M$71,A1153),COUNTIFS('Conciliacion de compuestos'!$D$2:$D$71,"conciliado",'Conciliacion de compuestos'!$E$2:$E$71,"OK",'Conciliacion de compuestos'!$N$2:$N$71,A1153),COUNTIFS('Conciliacion de compuestos'!$D$2:$D$71,"conciliado",'Conciliacion de compuestos'!$E$2:$E$71,"OK",'Conciliacion de compuestos'!$O$2:$O$71,A1153))&gt;0,IFERROR(TEXTJOIN(CHAR(10),TRUE,FILTER('Conciliacion de compuestos'!$A$2:$A$71,('Conciliacion de compuestos'!$D$2:$D$71="conciliado")*('Conciliacion de compuestos'!$E$2:$E$71="OK")*((('Conciliacion de compuestos'!$M$2:$M$71=A1153)+('Conciliacion de compuestos'!$N$2:$N$71=A1153)+('Conciliacion de compuestos'!$O$2:$O$71=A1153))&gt;0))),""),"")</f>
        <v/>
      </c>
      <c r="G1153" s="11">
        <f>IF(I1153="conciliado","conciliado","por revisar")</f>
        <v/>
      </c>
      <c r="H1153" s="11" t="inlineStr"/>
      <c r="I1153" s="11">
        <f>IF(SUM(COUNTIFS('Conciliacion de compuestos'!$D$2:$D$71,"conciliado",'Conciliacion de compuestos'!$E$2:$E$71,"OK",'Conciliacion de compuestos'!$M$2:$M$71,A1153),COUNTIFS('Conciliacion de compuestos'!$D$2:$D$71,"conciliado",'Conciliacion de compuestos'!$E$2:$E$71,"OK",'Conciliacion de compuestos'!$N$2:$N$71,A1153),COUNTIFS('Conciliacion de compuestos'!$D$2:$D$71,"conciliado",'Conciliacion de compuestos'!$E$2:$E$71,"OK",'Conciliacion de compuestos'!$O$2:$O$71,A1153))&gt;0,"conciliado","por revisar")</f>
        <v/>
      </c>
    </row>
    <row r="1154">
      <c r="A1154" s="11" t="n">
        <v>56</v>
      </c>
      <c r="B1154" s="12" t="n">
        <v>46083</v>
      </c>
      <c r="C1154" s="11" t="inlineStr">
        <is>
          <t>cr maturana renteria</t>
        </is>
      </c>
      <c r="D1154" s="13" t="n">
        <v>51000</v>
      </c>
      <c r="E1154" s="11">
        <f>IF(G1154="conciliado","conciliado",I1154)</f>
        <v/>
      </c>
      <c r="F1154" s="11">
        <f>IF(SUM(COUNTIFS('Conciliacion de compuestos'!$D$2:$D$71,"conciliado",'Conciliacion de compuestos'!$E$2:$E$71,"OK",'Conciliacion de compuestos'!$M$2:$M$71,A1154),COUNTIFS('Conciliacion de compuestos'!$D$2:$D$71,"conciliado",'Conciliacion de compuestos'!$E$2:$E$71,"OK",'Conciliacion de compuestos'!$N$2:$N$71,A1154),COUNTIFS('Conciliacion de compuestos'!$D$2:$D$71,"conciliado",'Conciliacion de compuestos'!$E$2:$E$71,"OK",'Conciliacion de compuestos'!$O$2:$O$71,A1154))&gt;0,IFERROR(TEXTJOIN(CHAR(10),TRUE,FILTER('Conciliacion de compuestos'!$A$2:$A$71,('Conciliacion de compuestos'!$D$2:$D$71="conciliado")*('Conciliacion de compuestos'!$E$2:$E$71="OK")*((('Conciliacion de compuestos'!$M$2:$M$71=A1154)+('Conciliacion de compuestos'!$N$2:$N$71=A1154)+('Conciliacion de compuestos'!$O$2:$O$71=A1154))&gt;0))),""),"")</f>
        <v/>
      </c>
      <c r="G1154" s="11">
        <f>IF(I1154="conciliado","conciliado","por revisar")</f>
        <v/>
      </c>
      <c r="H1154" s="11" t="inlineStr"/>
      <c r="I1154" s="11">
        <f>IF(SUM(COUNTIFS('Conciliacion de compuestos'!$D$2:$D$71,"conciliado",'Conciliacion de compuestos'!$E$2:$E$71,"OK",'Conciliacion de compuestos'!$M$2:$M$71,A1154),COUNTIFS('Conciliacion de compuestos'!$D$2:$D$71,"conciliado",'Conciliacion de compuestos'!$E$2:$E$71,"OK",'Conciliacion de compuestos'!$N$2:$N$71,A1154),COUNTIFS('Conciliacion de compuestos'!$D$2:$D$71,"conciliado",'Conciliacion de compuestos'!$E$2:$E$71,"OK",'Conciliacion de compuestos'!$O$2:$O$71,A1154))&gt;0,"conciliado","por revisar")</f>
        <v/>
      </c>
    </row>
    <row r="1155">
      <c r="A1155" s="11" t="n">
        <v>57</v>
      </c>
      <c r="B1155" s="12" t="n">
        <v>46083</v>
      </c>
      <c r="C1155" s="11" t="inlineStr">
        <is>
          <t>aco consorcio obras</t>
        </is>
      </c>
      <c r="D1155" s="13" t="n">
        <v>15000</v>
      </c>
      <c r="E1155" s="11">
        <f>IF(G1155="conciliado","conciliado",I1155)</f>
        <v/>
      </c>
      <c r="F1155" s="11">
        <f>IF(SUM(COUNTIFS('Conciliacion de compuestos'!$D$2:$D$71,"conciliado",'Conciliacion de compuestos'!$E$2:$E$71,"OK",'Conciliacion de compuestos'!$M$2:$M$71,A1155),COUNTIFS('Conciliacion de compuestos'!$D$2:$D$71,"conciliado",'Conciliacion de compuestos'!$E$2:$E$71,"OK",'Conciliacion de compuestos'!$N$2:$N$71,A1155),COUNTIFS('Conciliacion de compuestos'!$D$2:$D$71,"conciliado",'Conciliacion de compuestos'!$E$2:$E$71,"OK",'Conciliacion de compuestos'!$O$2:$O$71,A1155))&gt;0,IFERROR(TEXTJOIN(CHAR(10),TRUE,FILTER('Conciliacion de compuestos'!$A$2:$A$71,('Conciliacion de compuestos'!$D$2:$D$71="conciliado")*('Conciliacion de compuestos'!$E$2:$E$71="OK")*((('Conciliacion de compuestos'!$M$2:$M$71=A1155)+('Conciliacion de compuestos'!$N$2:$N$71=A1155)+('Conciliacion de compuestos'!$O$2:$O$71=A1155))&gt;0))),""),"")</f>
        <v/>
      </c>
      <c r="G1155" s="11">
        <f>IF(I1155="conciliado","conciliado","por revisar")</f>
        <v/>
      </c>
      <c r="H1155" s="11" t="inlineStr"/>
      <c r="I1155" s="11">
        <f>IF(SUM(COUNTIFS('Conciliacion de compuestos'!$D$2:$D$71,"conciliado",'Conciliacion de compuestos'!$E$2:$E$71,"OK",'Conciliacion de compuestos'!$M$2:$M$71,A1155),COUNTIFS('Conciliacion de compuestos'!$D$2:$D$71,"conciliado",'Conciliacion de compuestos'!$E$2:$E$71,"OK",'Conciliacion de compuestos'!$N$2:$N$71,A1155),COUNTIFS('Conciliacion de compuestos'!$D$2:$D$71,"conciliado",'Conciliacion de compuestos'!$E$2:$E$71,"OK",'Conciliacion de compuestos'!$O$2:$O$71,A1155))&gt;0,"conciliado","por revisar")</f>
        <v/>
      </c>
    </row>
    <row r="1156">
      <c r="A1156" s="11" t="n">
        <v>75</v>
      </c>
      <c r="B1156" s="12" t="n">
        <v>46083</v>
      </c>
      <c r="C1156" s="11" t="inlineStr">
        <is>
          <t>moncayo portilla sai</t>
        </is>
      </c>
      <c r="D1156" s="13" t="n">
        <v>6000</v>
      </c>
      <c r="E1156" s="11">
        <f>IF(G1156="conciliado","conciliado",I1156)</f>
        <v/>
      </c>
      <c r="F1156" s="11">
        <f>IF(SUM(COUNTIFS('Conciliacion de compuestos'!$D$2:$D$71,"conciliado",'Conciliacion de compuestos'!$E$2:$E$71,"OK",'Conciliacion de compuestos'!$M$2:$M$71,A1156),COUNTIFS('Conciliacion de compuestos'!$D$2:$D$71,"conciliado",'Conciliacion de compuestos'!$E$2:$E$71,"OK",'Conciliacion de compuestos'!$N$2:$N$71,A1156),COUNTIFS('Conciliacion de compuestos'!$D$2:$D$71,"conciliado",'Conciliacion de compuestos'!$E$2:$E$71,"OK",'Conciliacion de compuestos'!$O$2:$O$71,A1156))&gt;0,IFERROR(TEXTJOIN(CHAR(10),TRUE,FILTER('Conciliacion de compuestos'!$A$2:$A$71,('Conciliacion de compuestos'!$D$2:$D$71="conciliado")*('Conciliacion de compuestos'!$E$2:$E$71="OK")*((('Conciliacion de compuestos'!$M$2:$M$71=A1156)+('Conciliacion de compuestos'!$N$2:$N$71=A1156)+('Conciliacion de compuestos'!$O$2:$O$71=A1156))&gt;0))),""),"")</f>
        <v/>
      </c>
      <c r="G1156" s="11">
        <f>IF(I1156="conciliado","conciliado","por revisar")</f>
        <v/>
      </c>
      <c r="H1156" s="11" t="inlineStr"/>
      <c r="I1156" s="11">
        <f>IF(SUM(COUNTIFS('Conciliacion de compuestos'!$D$2:$D$71,"conciliado",'Conciliacion de compuestos'!$E$2:$E$71,"OK",'Conciliacion de compuestos'!$M$2:$M$71,A1156),COUNTIFS('Conciliacion de compuestos'!$D$2:$D$71,"conciliado",'Conciliacion de compuestos'!$E$2:$E$71,"OK",'Conciliacion de compuestos'!$N$2:$N$71,A1156),COUNTIFS('Conciliacion de compuestos'!$D$2:$D$71,"conciliado",'Conciliacion de compuestos'!$E$2:$E$71,"OK",'Conciliacion de compuestos'!$O$2:$O$71,A1156))&gt;0,"conciliado","por revisar")</f>
        <v/>
      </c>
    </row>
    <row r="1157">
      <c r="A1157" s="11" t="n">
        <v>77</v>
      </c>
      <c r="B1157" s="12" t="n">
        <v>46083</v>
      </c>
      <c r="C1157" s="11" t="inlineStr">
        <is>
          <t>muriel nicola pulido</t>
        </is>
      </c>
      <c r="D1157" s="13" t="n">
        <v>14600</v>
      </c>
      <c r="E1157" s="11">
        <f>IF(G1157="conciliado","conciliado",I1157)</f>
        <v/>
      </c>
      <c r="F1157" s="11">
        <f>IF(SUM(COUNTIFS('Conciliacion de compuestos'!$D$2:$D$71,"conciliado",'Conciliacion de compuestos'!$E$2:$E$71,"OK",'Conciliacion de compuestos'!$M$2:$M$71,A1157),COUNTIFS('Conciliacion de compuestos'!$D$2:$D$71,"conciliado",'Conciliacion de compuestos'!$E$2:$E$71,"OK",'Conciliacion de compuestos'!$N$2:$N$71,A1157),COUNTIFS('Conciliacion de compuestos'!$D$2:$D$71,"conciliado",'Conciliacion de compuestos'!$E$2:$E$71,"OK",'Conciliacion de compuestos'!$O$2:$O$71,A1157))&gt;0,IFERROR(TEXTJOIN(CHAR(10),TRUE,FILTER('Conciliacion de compuestos'!$A$2:$A$71,('Conciliacion de compuestos'!$D$2:$D$71="conciliado")*('Conciliacion de compuestos'!$E$2:$E$71="OK")*((('Conciliacion de compuestos'!$M$2:$M$71=A1157)+('Conciliacion de compuestos'!$N$2:$N$71=A1157)+('Conciliacion de compuestos'!$O$2:$O$71=A1157))&gt;0))),""),"")</f>
        <v/>
      </c>
      <c r="G1157" s="11">
        <f>IF(I1157="conciliado","conciliado","por revisar")</f>
        <v/>
      </c>
      <c r="H1157" s="11" t="inlineStr"/>
      <c r="I1157" s="11">
        <f>IF(SUM(COUNTIFS('Conciliacion de compuestos'!$D$2:$D$71,"conciliado",'Conciliacion de compuestos'!$E$2:$E$71,"OK",'Conciliacion de compuestos'!$M$2:$M$71,A1157),COUNTIFS('Conciliacion de compuestos'!$D$2:$D$71,"conciliado",'Conciliacion de compuestos'!$E$2:$E$71,"OK",'Conciliacion de compuestos'!$N$2:$N$71,A1157),COUNTIFS('Conciliacion de compuestos'!$D$2:$D$71,"conciliado",'Conciliacion de compuestos'!$E$2:$E$71,"OK",'Conciliacion de compuestos'!$O$2:$O$71,A1157))&gt;0,"conciliado","por revisar")</f>
        <v/>
      </c>
    </row>
    <row r="1158">
      <c r="A1158" s="11" t="n">
        <v>80</v>
      </c>
      <c r="B1158" s="12" t="n">
        <v>46083</v>
      </c>
      <c r="C1158" s="11" t="inlineStr">
        <is>
          <t>martinez sofia</t>
        </is>
      </c>
      <c r="D1158" s="13" t="n">
        <v>50000</v>
      </c>
      <c r="E1158" s="11">
        <f>IF(G1158="conciliado","conciliado",I1158)</f>
        <v/>
      </c>
      <c r="F1158" s="11">
        <f>IF(SUM(COUNTIFS('Conciliacion de compuestos'!$D$2:$D$71,"conciliado",'Conciliacion de compuestos'!$E$2:$E$71,"OK",'Conciliacion de compuestos'!$M$2:$M$71,A1158),COUNTIFS('Conciliacion de compuestos'!$D$2:$D$71,"conciliado",'Conciliacion de compuestos'!$E$2:$E$71,"OK",'Conciliacion de compuestos'!$N$2:$N$71,A1158),COUNTIFS('Conciliacion de compuestos'!$D$2:$D$71,"conciliado",'Conciliacion de compuestos'!$E$2:$E$71,"OK",'Conciliacion de compuestos'!$O$2:$O$71,A1158))&gt;0,IFERROR(TEXTJOIN(CHAR(10),TRUE,FILTER('Conciliacion de compuestos'!$A$2:$A$71,('Conciliacion de compuestos'!$D$2:$D$71="conciliado")*('Conciliacion de compuestos'!$E$2:$E$71="OK")*((('Conciliacion de compuestos'!$M$2:$M$71=A1158)+('Conciliacion de compuestos'!$N$2:$N$71=A1158)+('Conciliacion de compuestos'!$O$2:$O$71=A1158))&gt;0))),""),"")</f>
        <v/>
      </c>
      <c r="G1158" s="11">
        <f>IF(I1158="conciliado","conciliado","por revisar")</f>
        <v/>
      </c>
      <c r="H1158" s="11" t="inlineStr"/>
      <c r="I1158" s="11">
        <f>IF(SUM(COUNTIFS('Conciliacion de compuestos'!$D$2:$D$71,"conciliado",'Conciliacion de compuestos'!$E$2:$E$71,"OK",'Conciliacion de compuestos'!$M$2:$M$71,A1158),COUNTIFS('Conciliacion de compuestos'!$D$2:$D$71,"conciliado",'Conciliacion de compuestos'!$E$2:$E$71,"OK",'Conciliacion de compuestos'!$N$2:$N$71,A1158),COUNTIFS('Conciliacion de compuestos'!$D$2:$D$71,"conciliado",'Conciliacion de compuestos'!$E$2:$E$71,"OK",'Conciliacion de compuestos'!$O$2:$O$71,A1158))&gt;0,"conciliado","por revisar")</f>
        <v/>
      </c>
    </row>
    <row r="1159">
      <c r="A1159" s="11" t="n">
        <v>84</v>
      </c>
      <c r="B1159" s="12" t="n">
        <v>46083</v>
      </c>
      <c r="C1159" s="11" t="inlineStr">
        <is>
          <t>emir rosero toro yak</t>
        </is>
      </c>
      <c r="D1159" s="13" t="n">
        <v>19000</v>
      </c>
      <c r="E1159" s="11">
        <f>IF(G1159="conciliado","conciliado",I1159)</f>
        <v/>
      </c>
      <c r="F1159" s="11">
        <f>IF(SUM(COUNTIFS('Conciliacion de compuestos'!$D$2:$D$71,"conciliado",'Conciliacion de compuestos'!$E$2:$E$71,"OK",'Conciliacion de compuestos'!$M$2:$M$71,A1159),COUNTIFS('Conciliacion de compuestos'!$D$2:$D$71,"conciliado",'Conciliacion de compuestos'!$E$2:$E$71,"OK",'Conciliacion de compuestos'!$N$2:$N$71,A1159),COUNTIFS('Conciliacion de compuestos'!$D$2:$D$71,"conciliado",'Conciliacion de compuestos'!$E$2:$E$71,"OK",'Conciliacion de compuestos'!$O$2:$O$71,A1159))&gt;0,IFERROR(TEXTJOIN(CHAR(10),TRUE,FILTER('Conciliacion de compuestos'!$A$2:$A$71,('Conciliacion de compuestos'!$D$2:$D$71="conciliado")*('Conciliacion de compuestos'!$E$2:$E$71="OK")*((('Conciliacion de compuestos'!$M$2:$M$71=A1159)+('Conciliacion de compuestos'!$N$2:$N$71=A1159)+('Conciliacion de compuestos'!$O$2:$O$71=A1159))&gt;0))),""),"")</f>
        <v/>
      </c>
      <c r="G1159" s="11">
        <f>IF(I1159="conciliado","conciliado","por revisar")</f>
        <v/>
      </c>
      <c r="H1159" s="11" t="inlineStr"/>
      <c r="I1159" s="11">
        <f>IF(SUM(COUNTIFS('Conciliacion de compuestos'!$D$2:$D$71,"conciliado",'Conciliacion de compuestos'!$E$2:$E$71,"OK",'Conciliacion de compuestos'!$M$2:$M$71,A1159),COUNTIFS('Conciliacion de compuestos'!$D$2:$D$71,"conciliado",'Conciliacion de compuestos'!$E$2:$E$71,"OK",'Conciliacion de compuestos'!$N$2:$N$71,A1159),COUNTIFS('Conciliacion de compuestos'!$D$2:$D$71,"conciliado",'Conciliacion de compuestos'!$E$2:$E$71,"OK",'Conciliacion de compuestos'!$O$2:$O$71,A1159))&gt;0,"conciliado","por revisar")</f>
        <v/>
      </c>
    </row>
    <row r="1160">
      <c r="A1160" s="11" t="n">
        <v>93</v>
      </c>
      <c r="B1160" s="12" t="n">
        <v>46084</v>
      </c>
      <c r="C1160" s="11" t="inlineStr">
        <is>
          <t>buelvas diaz jose mi</t>
        </is>
      </c>
      <c r="D1160" s="13" t="n">
        <v>15200</v>
      </c>
      <c r="E1160" s="11">
        <f>IF(G1160="conciliado","conciliado",I1160)</f>
        <v/>
      </c>
      <c r="F1160" s="11">
        <f>IF(SUM(COUNTIFS('Conciliacion de compuestos'!$D$2:$D$71,"conciliado",'Conciliacion de compuestos'!$E$2:$E$71,"OK",'Conciliacion de compuestos'!$M$2:$M$71,A1160),COUNTIFS('Conciliacion de compuestos'!$D$2:$D$71,"conciliado",'Conciliacion de compuestos'!$E$2:$E$71,"OK",'Conciliacion de compuestos'!$N$2:$N$71,A1160),COUNTIFS('Conciliacion de compuestos'!$D$2:$D$71,"conciliado",'Conciliacion de compuestos'!$E$2:$E$71,"OK",'Conciliacion de compuestos'!$O$2:$O$71,A1160))&gt;0,IFERROR(TEXTJOIN(CHAR(10),TRUE,FILTER('Conciliacion de compuestos'!$A$2:$A$71,('Conciliacion de compuestos'!$D$2:$D$71="conciliado")*('Conciliacion de compuestos'!$E$2:$E$71="OK")*((('Conciliacion de compuestos'!$M$2:$M$71=A1160)+('Conciliacion de compuestos'!$N$2:$N$71=A1160)+('Conciliacion de compuestos'!$O$2:$O$71=A1160))&gt;0))),""),"")</f>
        <v/>
      </c>
      <c r="G1160" s="11">
        <f>IF(I1160="conciliado","conciliado","por revisar")</f>
        <v/>
      </c>
      <c r="H1160" s="11" t="inlineStr"/>
      <c r="I1160" s="11">
        <f>IF(SUM(COUNTIFS('Conciliacion de compuestos'!$D$2:$D$71,"conciliado",'Conciliacion de compuestos'!$E$2:$E$71,"OK",'Conciliacion de compuestos'!$M$2:$M$71,A1160),COUNTIFS('Conciliacion de compuestos'!$D$2:$D$71,"conciliado",'Conciliacion de compuestos'!$E$2:$E$71,"OK",'Conciliacion de compuestos'!$N$2:$N$71,A1160),COUNTIFS('Conciliacion de compuestos'!$D$2:$D$71,"conciliado",'Conciliacion de compuestos'!$E$2:$E$71,"OK",'Conciliacion de compuestos'!$O$2:$O$71,A1160))&gt;0,"conciliado","por revisar")</f>
        <v/>
      </c>
    </row>
    <row r="1161">
      <c r="A1161" s="11" t="n">
        <v>122</v>
      </c>
      <c r="B1161" s="12" t="n">
        <v>46084</v>
      </c>
      <c r="C1161" s="11" t="inlineStr">
        <is>
          <t>nequirucama yagarin</t>
        </is>
      </c>
      <c r="D1161" s="13" t="n">
        <v>95100</v>
      </c>
      <c r="E1161" s="11">
        <f>IF(G1161="conciliado","conciliado",I1161)</f>
        <v/>
      </c>
      <c r="F1161" s="11">
        <f>IF(SUM(COUNTIFS('Conciliacion de compuestos'!$D$2:$D$71,"conciliado",'Conciliacion de compuestos'!$E$2:$E$71,"OK",'Conciliacion de compuestos'!$M$2:$M$71,A1161),COUNTIFS('Conciliacion de compuestos'!$D$2:$D$71,"conciliado",'Conciliacion de compuestos'!$E$2:$E$71,"OK",'Conciliacion de compuestos'!$N$2:$N$71,A1161),COUNTIFS('Conciliacion de compuestos'!$D$2:$D$71,"conciliado",'Conciliacion de compuestos'!$E$2:$E$71,"OK",'Conciliacion de compuestos'!$O$2:$O$71,A1161))&gt;0,IFERROR(TEXTJOIN(CHAR(10),TRUE,FILTER('Conciliacion de compuestos'!$A$2:$A$71,('Conciliacion de compuestos'!$D$2:$D$71="conciliado")*('Conciliacion de compuestos'!$E$2:$E$71="OK")*((('Conciliacion de compuestos'!$M$2:$M$71=A1161)+('Conciliacion de compuestos'!$N$2:$N$71=A1161)+('Conciliacion de compuestos'!$O$2:$O$71=A1161))&gt;0))),""),"")</f>
        <v/>
      </c>
      <c r="G1161" s="11">
        <f>IF(I1161="conciliado","conciliado","por revisar")</f>
        <v/>
      </c>
      <c r="H1161" s="11" t="inlineStr"/>
      <c r="I1161" s="11">
        <f>IF(SUM(COUNTIFS('Conciliacion de compuestos'!$D$2:$D$71,"conciliado",'Conciliacion de compuestos'!$E$2:$E$71,"OK",'Conciliacion de compuestos'!$M$2:$M$71,A1161),COUNTIFS('Conciliacion de compuestos'!$D$2:$D$71,"conciliado",'Conciliacion de compuestos'!$E$2:$E$71,"OK",'Conciliacion de compuestos'!$N$2:$N$71,A1161),COUNTIFS('Conciliacion de compuestos'!$D$2:$D$71,"conciliado",'Conciliacion de compuestos'!$E$2:$E$71,"OK",'Conciliacion de compuestos'!$O$2:$O$71,A1161))&gt;0,"conciliado","por revisar")</f>
        <v/>
      </c>
    </row>
    <row r="1162">
      <c r="A1162" s="11" t="n">
        <v>150</v>
      </c>
      <c r="B1162" s="12" t="n">
        <v>46085</v>
      </c>
      <c r="C1162" s="11" t="inlineStr">
        <is>
          <t>chana edisson potosi</t>
        </is>
      </c>
      <c r="D1162" s="13" t="n">
        <v>70100</v>
      </c>
      <c r="E1162" s="11">
        <f>IF(G1162="conciliado","conciliado",I1162)</f>
        <v/>
      </c>
      <c r="F1162" s="11">
        <f>IF(SUM(COUNTIFS('Conciliacion de compuestos'!$D$2:$D$71,"conciliado",'Conciliacion de compuestos'!$E$2:$E$71,"OK",'Conciliacion de compuestos'!$M$2:$M$71,A1162),COUNTIFS('Conciliacion de compuestos'!$D$2:$D$71,"conciliado",'Conciliacion de compuestos'!$E$2:$E$71,"OK",'Conciliacion de compuestos'!$N$2:$N$71,A1162),COUNTIFS('Conciliacion de compuestos'!$D$2:$D$71,"conciliado",'Conciliacion de compuestos'!$E$2:$E$71,"OK",'Conciliacion de compuestos'!$O$2:$O$71,A1162))&gt;0,IFERROR(TEXTJOIN(CHAR(10),TRUE,FILTER('Conciliacion de compuestos'!$A$2:$A$71,('Conciliacion de compuestos'!$D$2:$D$71="conciliado")*('Conciliacion de compuestos'!$E$2:$E$71="OK")*((('Conciliacion de compuestos'!$M$2:$M$71=A1162)+('Conciliacion de compuestos'!$N$2:$N$71=A1162)+('Conciliacion de compuestos'!$O$2:$O$71=A1162))&gt;0))),""),"")</f>
        <v/>
      </c>
      <c r="G1162" s="11">
        <f>IF(I1162="conciliado","conciliado","por revisar")</f>
        <v/>
      </c>
      <c r="H1162" s="11" t="inlineStr"/>
      <c r="I1162" s="11">
        <f>IF(SUM(COUNTIFS('Conciliacion de compuestos'!$D$2:$D$71,"conciliado",'Conciliacion de compuestos'!$E$2:$E$71,"OK",'Conciliacion de compuestos'!$M$2:$M$71,A1162),COUNTIFS('Conciliacion de compuestos'!$D$2:$D$71,"conciliado",'Conciliacion de compuestos'!$E$2:$E$71,"OK",'Conciliacion de compuestos'!$N$2:$N$71,A1162),COUNTIFS('Conciliacion de compuestos'!$D$2:$D$71,"conciliado",'Conciliacion de compuestos'!$E$2:$E$71,"OK",'Conciliacion de compuestos'!$O$2:$O$71,A1162))&gt;0,"conciliado","por revisar")</f>
        <v/>
      </c>
    </row>
    <row r="1163">
      <c r="A1163" s="11" t="n">
        <v>152</v>
      </c>
      <c r="B1163" s="12" t="n">
        <v>46085</v>
      </c>
      <c r="C1163" s="11" t="inlineStr">
        <is>
          <t>fr rodriguez sanchez</t>
        </is>
      </c>
      <c r="D1163" s="13" t="n">
        <v>10500</v>
      </c>
      <c r="E1163" s="11">
        <f>IF(G1163="conciliado","conciliado",I1163)</f>
        <v/>
      </c>
      <c r="F1163" s="11">
        <f>IF(SUM(COUNTIFS('Conciliacion de compuestos'!$D$2:$D$71,"conciliado",'Conciliacion de compuestos'!$E$2:$E$71,"OK",'Conciliacion de compuestos'!$M$2:$M$71,A1163),COUNTIFS('Conciliacion de compuestos'!$D$2:$D$71,"conciliado",'Conciliacion de compuestos'!$E$2:$E$71,"OK",'Conciliacion de compuestos'!$N$2:$N$71,A1163),COUNTIFS('Conciliacion de compuestos'!$D$2:$D$71,"conciliado",'Conciliacion de compuestos'!$E$2:$E$71,"OK",'Conciliacion de compuestos'!$O$2:$O$71,A1163))&gt;0,IFERROR(TEXTJOIN(CHAR(10),TRUE,FILTER('Conciliacion de compuestos'!$A$2:$A$71,('Conciliacion de compuestos'!$D$2:$D$71="conciliado")*('Conciliacion de compuestos'!$E$2:$E$71="OK")*((('Conciliacion de compuestos'!$M$2:$M$71=A1163)+('Conciliacion de compuestos'!$N$2:$N$71=A1163)+('Conciliacion de compuestos'!$O$2:$O$71=A1163))&gt;0))),""),"")</f>
        <v/>
      </c>
      <c r="G1163" s="11">
        <f>IF(I1163="conciliado","conciliado","por revisar")</f>
        <v/>
      </c>
      <c r="H1163" s="11" t="inlineStr"/>
      <c r="I1163" s="11">
        <f>IF(SUM(COUNTIFS('Conciliacion de compuestos'!$D$2:$D$71,"conciliado",'Conciliacion de compuestos'!$E$2:$E$71,"OK",'Conciliacion de compuestos'!$M$2:$M$71,A1163),COUNTIFS('Conciliacion de compuestos'!$D$2:$D$71,"conciliado",'Conciliacion de compuestos'!$E$2:$E$71,"OK",'Conciliacion de compuestos'!$N$2:$N$71,A1163),COUNTIFS('Conciliacion de compuestos'!$D$2:$D$71,"conciliado",'Conciliacion de compuestos'!$E$2:$E$71,"OK",'Conciliacion de compuestos'!$O$2:$O$71,A1163))&gt;0,"conciliado","por revisar")</f>
        <v/>
      </c>
    </row>
    <row r="1164">
      <c r="A1164" s="11" t="n">
        <v>167</v>
      </c>
      <c r="B1164" s="12" t="n">
        <v>46086</v>
      </c>
      <c r="C1164" s="11" t="inlineStr">
        <is>
          <t>florez londono yesid</t>
        </is>
      </c>
      <c r="D1164" s="13" t="n">
        <v>140100</v>
      </c>
      <c r="E1164" s="11">
        <f>IF(G1164="conciliado","conciliado",I1164)</f>
        <v/>
      </c>
      <c r="F1164" s="11">
        <f>IF(SUM(COUNTIFS('Conciliacion de compuestos'!$D$2:$D$71,"conciliado",'Conciliacion de compuestos'!$E$2:$E$71,"OK",'Conciliacion de compuestos'!$M$2:$M$71,A1164),COUNTIFS('Conciliacion de compuestos'!$D$2:$D$71,"conciliado",'Conciliacion de compuestos'!$E$2:$E$71,"OK",'Conciliacion de compuestos'!$N$2:$N$71,A1164),COUNTIFS('Conciliacion de compuestos'!$D$2:$D$71,"conciliado",'Conciliacion de compuestos'!$E$2:$E$71,"OK",'Conciliacion de compuestos'!$O$2:$O$71,A1164))&gt;0,IFERROR(TEXTJOIN(CHAR(10),TRUE,FILTER('Conciliacion de compuestos'!$A$2:$A$71,('Conciliacion de compuestos'!$D$2:$D$71="conciliado")*('Conciliacion de compuestos'!$E$2:$E$71="OK")*((('Conciliacion de compuestos'!$M$2:$M$71=A1164)+('Conciliacion de compuestos'!$N$2:$N$71=A1164)+('Conciliacion de compuestos'!$O$2:$O$71=A1164))&gt;0))),""),"")</f>
        <v/>
      </c>
      <c r="G1164" s="11">
        <f>IF(I1164="conciliado","conciliado","por revisar")</f>
        <v/>
      </c>
      <c r="H1164" s="11" t="inlineStr"/>
      <c r="I1164" s="11">
        <f>IF(SUM(COUNTIFS('Conciliacion de compuestos'!$D$2:$D$71,"conciliado",'Conciliacion de compuestos'!$E$2:$E$71,"OK",'Conciliacion de compuestos'!$M$2:$M$71,A1164),COUNTIFS('Conciliacion de compuestos'!$D$2:$D$71,"conciliado",'Conciliacion de compuestos'!$E$2:$E$71,"OK",'Conciliacion de compuestos'!$N$2:$N$71,A1164),COUNTIFS('Conciliacion de compuestos'!$D$2:$D$71,"conciliado",'Conciliacion de compuestos'!$E$2:$E$71,"OK",'Conciliacion de compuestos'!$O$2:$O$71,A1164))&gt;0,"conciliado","por revisar")</f>
        <v/>
      </c>
    </row>
    <row r="1165">
      <c r="A1165" s="11" t="n">
        <v>176</v>
      </c>
      <c r="B1165" s="12" t="n">
        <v>46086</v>
      </c>
      <c r="C1165" s="11" t="inlineStr">
        <is>
          <t>millan nataly sousa</t>
        </is>
      </c>
      <c r="D1165" s="13" t="n">
        <v>19700</v>
      </c>
      <c r="E1165" s="11">
        <f>IF(G1165="conciliado","conciliado",I1165)</f>
        <v/>
      </c>
      <c r="F1165" s="11">
        <f>IF(SUM(COUNTIFS('Conciliacion de compuestos'!$D$2:$D$71,"conciliado",'Conciliacion de compuestos'!$E$2:$E$71,"OK",'Conciliacion de compuestos'!$M$2:$M$71,A1165),COUNTIFS('Conciliacion de compuestos'!$D$2:$D$71,"conciliado",'Conciliacion de compuestos'!$E$2:$E$71,"OK",'Conciliacion de compuestos'!$N$2:$N$71,A1165),COUNTIFS('Conciliacion de compuestos'!$D$2:$D$71,"conciliado",'Conciliacion de compuestos'!$E$2:$E$71,"OK",'Conciliacion de compuestos'!$O$2:$O$71,A1165))&gt;0,IFERROR(TEXTJOIN(CHAR(10),TRUE,FILTER('Conciliacion de compuestos'!$A$2:$A$71,('Conciliacion de compuestos'!$D$2:$D$71="conciliado")*('Conciliacion de compuestos'!$E$2:$E$71="OK")*((('Conciliacion de compuestos'!$M$2:$M$71=A1165)+('Conciliacion de compuestos'!$N$2:$N$71=A1165)+('Conciliacion de compuestos'!$O$2:$O$71=A1165))&gt;0))),""),"")</f>
        <v/>
      </c>
      <c r="G1165" s="11">
        <f>IF(I1165="conciliado","conciliado","por revisar")</f>
        <v/>
      </c>
      <c r="H1165" s="11" t="inlineStr"/>
      <c r="I1165" s="11">
        <f>IF(SUM(COUNTIFS('Conciliacion de compuestos'!$D$2:$D$71,"conciliado",'Conciliacion de compuestos'!$E$2:$E$71,"OK",'Conciliacion de compuestos'!$M$2:$M$71,A1165),COUNTIFS('Conciliacion de compuestos'!$D$2:$D$71,"conciliado",'Conciliacion de compuestos'!$E$2:$E$71,"OK",'Conciliacion de compuestos'!$N$2:$N$71,A1165),COUNTIFS('Conciliacion de compuestos'!$D$2:$D$71,"conciliado",'Conciliacion de compuestos'!$E$2:$E$71,"OK",'Conciliacion de compuestos'!$O$2:$O$71,A1165))&gt;0,"conciliado","por revisar")</f>
        <v/>
      </c>
    </row>
    <row r="1166">
      <c r="A1166" s="11" t="n">
        <v>183</v>
      </c>
      <c r="B1166" s="12" t="n">
        <v>46086</v>
      </c>
      <c r="C1166" s="11" t="inlineStr">
        <is>
          <t>ceron domingo jose</t>
        </is>
      </c>
      <c r="D1166" s="13" t="n">
        <v>34900</v>
      </c>
      <c r="E1166" s="11">
        <f>IF(G1166="conciliado","conciliado",I1166)</f>
        <v/>
      </c>
      <c r="F1166" s="11">
        <f>IF(SUM(COUNTIFS('Conciliacion de compuestos'!$D$2:$D$71,"conciliado",'Conciliacion de compuestos'!$E$2:$E$71,"OK",'Conciliacion de compuestos'!$M$2:$M$71,A1166),COUNTIFS('Conciliacion de compuestos'!$D$2:$D$71,"conciliado",'Conciliacion de compuestos'!$E$2:$E$71,"OK",'Conciliacion de compuestos'!$N$2:$N$71,A1166),COUNTIFS('Conciliacion de compuestos'!$D$2:$D$71,"conciliado",'Conciliacion de compuestos'!$E$2:$E$71,"OK",'Conciliacion de compuestos'!$O$2:$O$71,A1166))&gt;0,IFERROR(TEXTJOIN(CHAR(10),TRUE,FILTER('Conciliacion de compuestos'!$A$2:$A$71,('Conciliacion de compuestos'!$D$2:$D$71="conciliado")*('Conciliacion de compuestos'!$E$2:$E$71="OK")*((('Conciliacion de compuestos'!$M$2:$M$71=A1166)+('Conciliacion de compuestos'!$N$2:$N$71=A1166)+('Conciliacion de compuestos'!$O$2:$O$71=A1166))&gt;0))),""),"")</f>
        <v/>
      </c>
      <c r="G1166" s="11">
        <f>IF(I1166="conciliado","conciliado","por revisar")</f>
        <v/>
      </c>
      <c r="H1166" s="11" t="inlineStr"/>
      <c r="I1166" s="11">
        <f>IF(SUM(COUNTIFS('Conciliacion de compuestos'!$D$2:$D$71,"conciliado",'Conciliacion de compuestos'!$E$2:$E$71,"OK",'Conciliacion de compuestos'!$M$2:$M$71,A1166),COUNTIFS('Conciliacion de compuestos'!$D$2:$D$71,"conciliado",'Conciliacion de compuestos'!$E$2:$E$71,"OK",'Conciliacion de compuestos'!$N$2:$N$71,A1166),COUNTIFS('Conciliacion de compuestos'!$D$2:$D$71,"conciliado",'Conciliacion de compuestos'!$E$2:$E$71,"OK",'Conciliacion de compuestos'!$O$2:$O$71,A1166))&gt;0,"conciliado","por revisar")</f>
        <v/>
      </c>
    </row>
    <row r="1167">
      <c r="A1167" s="11" t="n">
        <v>220</v>
      </c>
      <c r="B1167" s="12" t="n">
        <v>46087</v>
      </c>
      <c r="C1167" s="11" t="inlineStr">
        <is>
          <t>andrade den galindez</t>
        </is>
      </c>
      <c r="D1167" s="13" t="n">
        <v>97100</v>
      </c>
      <c r="E1167" s="11">
        <f>IF(G1167="conciliado","conciliado",I1167)</f>
        <v/>
      </c>
      <c r="F1167" s="11">
        <f>IF(SUM(COUNTIFS('Conciliacion de compuestos'!$D$2:$D$71,"conciliado",'Conciliacion de compuestos'!$E$2:$E$71,"OK",'Conciliacion de compuestos'!$M$2:$M$71,A1167),COUNTIFS('Conciliacion de compuestos'!$D$2:$D$71,"conciliado",'Conciliacion de compuestos'!$E$2:$E$71,"OK",'Conciliacion de compuestos'!$N$2:$N$71,A1167),COUNTIFS('Conciliacion de compuestos'!$D$2:$D$71,"conciliado",'Conciliacion de compuestos'!$E$2:$E$71,"OK",'Conciliacion de compuestos'!$O$2:$O$71,A1167))&gt;0,IFERROR(TEXTJOIN(CHAR(10),TRUE,FILTER('Conciliacion de compuestos'!$A$2:$A$71,('Conciliacion de compuestos'!$D$2:$D$71="conciliado")*('Conciliacion de compuestos'!$E$2:$E$71="OK")*((('Conciliacion de compuestos'!$M$2:$M$71=A1167)+('Conciliacion de compuestos'!$N$2:$N$71=A1167)+('Conciliacion de compuestos'!$O$2:$O$71=A1167))&gt;0))),""),"")</f>
        <v/>
      </c>
      <c r="G1167" s="11">
        <f>IF(I1167="conciliado","conciliado","por revisar")</f>
        <v/>
      </c>
      <c r="H1167" s="11" t="inlineStr"/>
      <c r="I1167" s="11">
        <f>IF(SUM(COUNTIFS('Conciliacion de compuestos'!$D$2:$D$71,"conciliado",'Conciliacion de compuestos'!$E$2:$E$71,"OK",'Conciliacion de compuestos'!$M$2:$M$71,A1167),COUNTIFS('Conciliacion de compuestos'!$D$2:$D$71,"conciliado",'Conciliacion de compuestos'!$E$2:$E$71,"OK",'Conciliacion de compuestos'!$N$2:$N$71,A1167),COUNTIFS('Conciliacion de compuestos'!$D$2:$D$71,"conciliado",'Conciliacion de compuestos'!$E$2:$E$71,"OK",'Conciliacion de compuestos'!$O$2:$O$71,A1167))&gt;0,"conciliado","por revisar")</f>
        <v/>
      </c>
    </row>
    <row r="1168">
      <c r="A1168" s="11" t="n">
        <v>226</v>
      </c>
      <c r="B1168" s="12" t="n">
        <v>46087</v>
      </c>
      <c r="C1168" s="11" t="inlineStr">
        <is>
          <t>e lara maria viveros</t>
        </is>
      </c>
      <c r="D1168" s="13" t="n">
        <v>90800</v>
      </c>
      <c r="E1168" s="11">
        <f>IF(G1168="conciliado","conciliado",I1168)</f>
        <v/>
      </c>
      <c r="F1168" s="11">
        <f>IF(SUM(COUNTIFS('Conciliacion de compuestos'!$D$2:$D$71,"conciliado",'Conciliacion de compuestos'!$E$2:$E$71,"OK",'Conciliacion de compuestos'!$M$2:$M$71,A1168),COUNTIFS('Conciliacion de compuestos'!$D$2:$D$71,"conciliado",'Conciliacion de compuestos'!$E$2:$E$71,"OK",'Conciliacion de compuestos'!$N$2:$N$71,A1168),COUNTIFS('Conciliacion de compuestos'!$D$2:$D$71,"conciliado",'Conciliacion de compuestos'!$E$2:$E$71,"OK",'Conciliacion de compuestos'!$O$2:$O$71,A1168))&gt;0,IFERROR(TEXTJOIN(CHAR(10),TRUE,FILTER('Conciliacion de compuestos'!$A$2:$A$71,('Conciliacion de compuestos'!$D$2:$D$71="conciliado")*('Conciliacion de compuestos'!$E$2:$E$71="OK")*((('Conciliacion de compuestos'!$M$2:$M$71=A1168)+('Conciliacion de compuestos'!$N$2:$N$71=A1168)+('Conciliacion de compuestos'!$O$2:$O$71=A1168))&gt;0))),""),"")</f>
        <v/>
      </c>
      <c r="G1168" s="11">
        <f>IF(I1168="conciliado","conciliado","por revisar")</f>
        <v/>
      </c>
      <c r="H1168" s="11" t="inlineStr"/>
      <c r="I1168" s="11">
        <f>IF(SUM(COUNTIFS('Conciliacion de compuestos'!$D$2:$D$71,"conciliado",'Conciliacion de compuestos'!$E$2:$E$71,"OK",'Conciliacion de compuestos'!$M$2:$M$71,A1168),COUNTIFS('Conciliacion de compuestos'!$D$2:$D$71,"conciliado",'Conciliacion de compuestos'!$E$2:$E$71,"OK",'Conciliacion de compuestos'!$N$2:$N$71,A1168),COUNTIFS('Conciliacion de compuestos'!$D$2:$D$71,"conciliado",'Conciliacion de compuestos'!$E$2:$E$71,"OK",'Conciliacion de compuestos'!$O$2:$O$71,A1168))&gt;0,"conciliado","por revisar")</f>
        <v/>
      </c>
    </row>
    <row r="1169">
      <c r="A1169" s="11" t="n">
        <v>232</v>
      </c>
      <c r="B1169" s="12" t="n">
        <v>46088</v>
      </c>
      <c r="C1169" s="11" t="inlineStr">
        <is>
          <t>anyela diaz meneses</t>
        </is>
      </c>
      <c r="D1169" s="13" t="n">
        <v>19600</v>
      </c>
      <c r="E1169" s="11">
        <f>IF(G1169="conciliado","conciliado",I1169)</f>
        <v/>
      </c>
      <c r="F1169" s="11">
        <f>IF(SUM(COUNTIFS('Conciliacion de compuestos'!$D$2:$D$71,"conciliado",'Conciliacion de compuestos'!$E$2:$E$71,"OK",'Conciliacion de compuestos'!$M$2:$M$71,A1169),COUNTIFS('Conciliacion de compuestos'!$D$2:$D$71,"conciliado",'Conciliacion de compuestos'!$E$2:$E$71,"OK",'Conciliacion de compuestos'!$N$2:$N$71,A1169),COUNTIFS('Conciliacion de compuestos'!$D$2:$D$71,"conciliado",'Conciliacion de compuestos'!$E$2:$E$71,"OK",'Conciliacion de compuestos'!$O$2:$O$71,A1169))&gt;0,IFERROR(TEXTJOIN(CHAR(10),TRUE,FILTER('Conciliacion de compuestos'!$A$2:$A$71,('Conciliacion de compuestos'!$D$2:$D$71="conciliado")*('Conciliacion de compuestos'!$E$2:$E$71="OK")*((('Conciliacion de compuestos'!$M$2:$M$71=A1169)+('Conciliacion de compuestos'!$N$2:$N$71=A1169)+('Conciliacion de compuestos'!$O$2:$O$71=A1169))&gt;0))),""),"")</f>
        <v/>
      </c>
      <c r="G1169" s="11">
        <f>IF(I1169="conciliado","conciliado","por revisar")</f>
        <v/>
      </c>
      <c r="H1169" s="11" t="inlineStr"/>
      <c r="I1169" s="11">
        <f>IF(SUM(COUNTIFS('Conciliacion de compuestos'!$D$2:$D$71,"conciliado",'Conciliacion de compuestos'!$E$2:$E$71,"OK",'Conciliacion de compuestos'!$M$2:$M$71,A1169),COUNTIFS('Conciliacion de compuestos'!$D$2:$D$71,"conciliado",'Conciliacion de compuestos'!$E$2:$E$71,"OK",'Conciliacion de compuestos'!$N$2:$N$71,A1169),COUNTIFS('Conciliacion de compuestos'!$D$2:$D$71,"conciliado",'Conciliacion de compuestos'!$E$2:$E$71,"OK",'Conciliacion de compuestos'!$O$2:$O$71,A1169))&gt;0,"conciliado","por revisar")</f>
        <v/>
      </c>
    </row>
    <row r="1170">
      <c r="A1170" s="11" t="n">
        <v>243</v>
      </c>
      <c r="B1170" s="12" t="n">
        <v>46088</v>
      </c>
      <c r="C1170" s="11" t="inlineStr">
        <is>
          <t>aco consorcio obras</t>
        </is>
      </c>
      <c r="D1170" s="13" t="n">
        <v>25300</v>
      </c>
      <c r="E1170" s="11">
        <f>IF(G1170="conciliado","conciliado",I1170)</f>
        <v/>
      </c>
      <c r="F1170" s="11">
        <f>IF(SUM(COUNTIFS('Conciliacion de compuestos'!$D$2:$D$71,"conciliado",'Conciliacion de compuestos'!$E$2:$E$71,"OK",'Conciliacion de compuestos'!$M$2:$M$71,A1170),COUNTIFS('Conciliacion de compuestos'!$D$2:$D$71,"conciliado",'Conciliacion de compuestos'!$E$2:$E$71,"OK",'Conciliacion de compuestos'!$N$2:$N$71,A1170),COUNTIFS('Conciliacion de compuestos'!$D$2:$D$71,"conciliado",'Conciliacion de compuestos'!$E$2:$E$71,"OK",'Conciliacion de compuestos'!$O$2:$O$71,A1170))&gt;0,IFERROR(TEXTJOIN(CHAR(10),TRUE,FILTER('Conciliacion de compuestos'!$A$2:$A$71,('Conciliacion de compuestos'!$D$2:$D$71="conciliado")*('Conciliacion de compuestos'!$E$2:$E$71="OK")*((('Conciliacion de compuestos'!$M$2:$M$71=A1170)+('Conciliacion de compuestos'!$N$2:$N$71=A1170)+('Conciliacion de compuestos'!$O$2:$O$71=A1170))&gt;0))),""),"")</f>
        <v/>
      </c>
      <c r="G1170" s="11">
        <f>IF(I1170="conciliado","conciliado","por revisar")</f>
        <v/>
      </c>
      <c r="H1170" s="11" t="inlineStr"/>
      <c r="I1170" s="11">
        <f>IF(SUM(COUNTIFS('Conciliacion de compuestos'!$D$2:$D$71,"conciliado",'Conciliacion de compuestos'!$E$2:$E$71,"OK",'Conciliacion de compuestos'!$M$2:$M$71,A1170),COUNTIFS('Conciliacion de compuestos'!$D$2:$D$71,"conciliado",'Conciliacion de compuestos'!$E$2:$E$71,"OK",'Conciliacion de compuestos'!$N$2:$N$71,A1170),COUNTIFS('Conciliacion de compuestos'!$D$2:$D$71,"conciliado",'Conciliacion de compuestos'!$E$2:$E$71,"OK",'Conciliacion de compuestos'!$O$2:$O$71,A1170))&gt;0,"conciliado","por revisar")</f>
        <v/>
      </c>
    </row>
    <row r="1171">
      <c r="A1171" s="11" t="n">
        <v>287</v>
      </c>
      <c r="B1171" s="12" t="n">
        <v>46089</v>
      </c>
      <c r="C1171" s="11" t="inlineStr">
        <is>
          <t>acosta geid oliveros</t>
        </is>
      </c>
      <c r="D1171" s="13" t="n">
        <v>32000</v>
      </c>
      <c r="E1171" s="11">
        <f>IF(G1171="conciliado","conciliado",I1171)</f>
        <v/>
      </c>
      <c r="F1171" s="11">
        <f>IF(SUM(COUNTIFS('Conciliacion de compuestos'!$D$2:$D$71,"conciliado",'Conciliacion de compuestos'!$E$2:$E$71,"OK",'Conciliacion de compuestos'!$M$2:$M$71,A1171),COUNTIFS('Conciliacion de compuestos'!$D$2:$D$71,"conciliado",'Conciliacion de compuestos'!$E$2:$E$71,"OK",'Conciliacion de compuestos'!$N$2:$N$71,A1171),COUNTIFS('Conciliacion de compuestos'!$D$2:$D$71,"conciliado",'Conciliacion de compuestos'!$E$2:$E$71,"OK",'Conciliacion de compuestos'!$O$2:$O$71,A1171))&gt;0,IFERROR(TEXTJOIN(CHAR(10),TRUE,FILTER('Conciliacion de compuestos'!$A$2:$A$71,('Conciliacion de compuestos'!$D$2:$D$71="conciliado")*('Conciliacion de compuestos'!$E$2:$E$71="OK")*((('Conciliacion de compuestos'!$M$2:$M$71=A1171)+('Conciliacion de compuestos'!$N$2:$N$71=A1171)+('Conciliacion de compuestos'!$O$2:$O$71=A1171))&gt;0))),""),"")</f>
        <v/>
      </c>
      <c r="G1171" s="11">
        <f>IF(I1171="conciliado","conciliado","por revisar")</f>
        <v/>
      </c>
      <c r="H1171" s="11" t="inlineStr"/>
      <c r="I1171" s="11">
        <f>IF(SUM(COUNTIFS('Conciliacion de compuestos'!$D$2:$D$71,"conciliado",'Conciliacion de compuestos'!$E$2:$E$71,"OK",'Conciliacion de compuestos'!$M$2:$M$71,A1171),COUNTIFS('Conciliacion de compuestos'!$D$2:$D$71,"conciliado",'Conciliacion de compuestos'!$E$2:$E$71,"OK",'Conciliacion de compuestos'!$N$2:$N$71,A1171),COUNTIFS('Conciliacion de compuestos'!$D$2:$D$71,"conciliado",'Conciliacion de compuestos'!$E$2:$E$71,"OK",'Conciliacion de compuestos'!$O$2:$O$71,A1171))&gt;0,"conciliado","por revisar")</f>
        <v/>
      </c>
    </row>
    <row r="1172">
      <c r="A1172" s="11" t="n">
        <v>290</v>
      </c>
      <c r="B1172" s="12" t="n">
        <v>46089</v>
      </c>
      <c r="C1172" s="11" t="inlineStr">
        <is>
          <t>cortez jaramillo oma</t>
        </is>
      </c>
      <c r="D1172" s="13" t="n">
        <v>6500</v>
      </c>
      <c r="E1172" s="11">
        <f>IF(G1172="conciliado","conciliado",I1172)</f>
        <v/>
      </c>
      <c r="F1172" s="11">
        <f>IF(SUM(COUNTIFS('Conciliacion de compuestos'!$D$2:$D$71,"conciliado",'Conciliacion de compuestos'!$E$2:$E$71,"OK",'Conciliacion de compuestos'!$M$2:$M$71,A1172),COUNTIFS('Conciliacion de compuestos'!$D$2:$D$71,"conciliado",'Conciliacion de compuestos'!$E$2:$E$71,"OK",'Conciliacion de compuestos'!$N$2:$N$71,A1172),COUNTIFS('Conciliacion de compuestos'!$D$2:$D$71,"conciliado",'Conciliacion de compuestos'!$E$2:$E$71,"OK",'Conciliacion de compuestos'!$O$2:$O$71,A1172))&gt;0,IFERROR(TEXTJOIN(CHAR(10),TRUE,FILTER('Conciliacion de compuestos'!$A$2:$A$71,('Conciliacion de compuestos'!$D$2:$D$71="conciliado")*('Conciliacion de compuestos'!$E$2:$E$71="OK")*((('Conciliacion de compuestos'!$M$2:$M$71=A1172)+('Conciliacion de compuestos'!$N$2:$N$71=A1172)+('Conciliacion de compuestos'!$O$2:$O$71=A1172))&gt;0))),""),"")</f>
        <v/>
      </c>
      <c r="G1172" s="11">
        <f>IF(I1172="conciliado","conciliado","por revisar")</f>
        <v/>
      </c>
      <c r="H1172" s="11" t="inlineStr"/>
      <c r="I1172" s="11">
        <f>IF(SUM(COUNTIFS('Conciliacion de compuestos'!$D$2:$D$71,"conciliado",'Conciliacion de compuestos'!$E$2:$E$71,"OK",'Conciliacion de compuestos'!$M$2:$M$71,A1172),COUNTIFS('Conciliacion de compuestos'!$D$2:$D$71,"conciliado",'Conciliacion de compuestos'!$E$2:$E$71,"OK",'Conciliacion de compuestos'!$N$2:$N$71,A1172),COUNTIFS('Conciliacion de compuestos'!$D$2:$D$71,"conciliado",'Conciliacion de compuestos'!$E$2:$E$71,"OK",'Conciliacion de compuestos'!$O$2:$O$71,A1172))&gt;0,"conciliado","por revisar")</f>
        <v/>
      </c>
    </row>
    <row r="1173">
      <c r="A1173" s="11" t="n">
        <v>310</v>
      </c>
      <c r="B1173" s="12" t="n">
        <v>46089</v>
      </c>
      <c r="C1173" s="11" t="inlineStr">
        <is>
          <t>m salas santacruz</t>
        </is>
      </c>
      <c r="D1173" s="13" t="n">
        <v>35700</v>
      </c>
      <c r="E1173" s="11">
        <f>IF(G1173="conciliado","conciliado",I1173)</f>
        <v/>
      </c>
      <c r="F1173" s="11">
        <f>IF(SUM(COUNTIFS('Conciliacion de compuestos'!$D$2:$D$71,"conciliado",'Conciliacion de compuestos'!$E$2:$E$71,"OK",'Conciliacion de compuestos'!$M$2:$M$71,A1173),COUNTIFS('Conciliacion de compuestos'!$D$2:$D$71,"conciliado",'Conciliacion de compuestos'!$E$2:$E$71,"OK",'Conciliacion de compuestos'!$N$2:$N$71,A1173),COUNTIFS('Conciliacion de compuestos'!$D$2:$D$71,"conciliado",'Conciliacion de compuestos'!$E$2:$E$71,"OK",'Conciliacion de compuestos'!$O$2:$O$71,A1173))&gt;0,IFERROR(TEXTJOIN(CHAR(10),TRUE,FILTER('Conciliacion de compuestos'!$A$2:$A$71,('Conciliacion de compuestos'!$D$2:$D$71="conciliado")*('Conciliacion de compuestos'!$E$2:$E$71="OK")*((('Conciliacion de compuestos'!$M$2:$M$71=A1173)+('Conciliacion de compuestos'!$N$2:$N$71=A1173)+('Conciliacion de compuestos'!$O$2:$O$71=A1173))&gt;0))),""),"")</f>
        <v/>
      </c>
      <c r="G1173" s="11">
        <f>IF(I1173="conciliado","conciliado","por revisar")</f>
        <v/>
      </c>
      <c r="H1173" s="11" t="inlineStr"/>
      <c r="I1173" s="11">
        <f>IF(SUM(COUNTIFS('Conciliacion de compuestos'!$D$2:$D$71,"conciliado",'Conciliacion de compuestos'!$E$2:$E$71,"OK",'Conciliacion de compuestos'!$M$2:$M$71,A1173),COUNTIFS('Conciliacion de compuestos'!$D$2:$D$71,"conciliado",'Conciliacion de compuestos'!$E$2:$E$71,"OK",'Conciliacion de compuestos'!$N$2:$N$71,A1173),COUNTIFS('Conciliacion de compuestos'!$D$2:$D$71,"conciliado",'Conciliacion de compuestos'!$E$2:$E$71,"OK",'Conciliacion de compuestos'!$O$2:$O$71,A1173))&gt;0,"conciliado","por revisar")</f>
        <v/>
      </c>
    </row>
    <row r="1174">
      <c r="A1174" s="11" t="n">
        <v>331</v>
      </c>
      <c r="B1174" s="12" t="n">
        <v>46090</v>
      </c>
      <c r="C1174" s="11" t="inlineStr">
        <is>
          <t>chana edisson potosi</t>
        </is>
      </c>
      <c r="D1174" s="13" t="n">
        <v>62400</v>
      </c>
      <c r="E1174" s="11">
        <f>IF(G1174="conciliado","conciliado",I1174)</f>
        <v/>
      </c>
      <c r="F1174" s="11">
        <f>IF(SUM(COUNTIFS('Conciliacion de compuestos'!$D$2:$D$71,"conciliado",'Conciliacion de compuestos'!$E$2:$E$71,"OK",'Conciliacion de compuestos'!$M$2:$M$71,A1174),COUNTIFS('Conciliacion de compuestos'!$D$2:$D$71,"conciliado",'Conciliacion de compuestos'!$E$2:$E$71,"OK",'Conciliacion de compuestos'!$N$2:$N$71,A1174),COUNTIFS('Conciliacion de compuestos'!$D$2:$D$71,"conciliado",'Conciliacion de compuestos'!$E$2:$E$71,"OK",'Conciliacion de compuestos'!$O$2:$O$71,A1174))&gt;0,IFERROR(TEXTJOIN(CHAR(10),TRUE,FILTER('Conciliacion de compuestos'!$A$2:$A$71,('Conciliacion de compuestos'!$D$2:$D$71="conciliado")*('Conciliacion de compuestos'!$E$2:$E$71="OK")*((('Conciliacion de compuestos'!$M$2:$M$71=A1174)+('Conciliacion de compuestos'!$N$2:$N$71=A1174)+('Conciliacion de compuestos'!$O$2:$O$71=A1174))&gt;0))),""),"")</f>
        <v/>
      </c>
      <c r="G1174" s="11">
        <f>IF(I1174="conciliado","conciliado","por revisar")</f>
        <v/>
      </c>
      <c r="H1174" s="11" t="inlineStr"/>
      <c r="I1174" s="11">
        <f>IF(SUM(COUNTIFS('Conciliacion de compuestos'!$D$2:$D$71,"conciliado",'Conciliacion de compuestos'!$E$2:$E$71,"OK",'Conciliacion de compuestos'!$M$2:$M$71,A1174),COUNTIFS('Conciliacion de compuestos'!$D$2:$D$71,"conciliado",'Conciliacion de compuestos'!$E$2:$E$71,"OK",'Conciliacion de compuestos'!$N$2:$N$71,A1174),COUNTIFS('Conciliacion de compuestos'!$D$2:$D$71,"conciliado",'Conciliacion de compuestos'!$E$2:$E$71,"OK",'Conciliacion de compuestos'!$O$2:$O$71,A1174))&gt;0,"conciliado","por revisar")</f>
        <v/>
      </c>
    </row>
    <row r="1175">
      <c r="A1175" s="11" t="n">
        <v>336</v>
      </c>
      <c r="B1175" s="12" t="n">
        <v>46090</v>
      </c>
      <c r="C1175" s="11" t="inlineStr">
        <is>
          <t>castillo corrales si</t>
        </is>
      </c>
      <c r="D1175" s="13" t="n">
        <v>16000</v>
      </c>
      <c r="E1175" s="11">
        <f>IF(G1175="conciliado","conciliado",I1175)</f>
        <v/>
      </c>
      <c r="F1175" s="11">
        <f>IF(SUM(COUNTIFS('Conciliacion de compuestos'!$D$2:$D$71,"conciliado",'Conciliacion de compuestos'!$E$2:$E$71,"OK",'Conciliacion de compuestos'!$M$2:$M$71,A1175),COUNTIFS('Conciliacion de compuestos'!$D$2:$D$71,"conciliado",'Conciliacion de compuestos'!$E$2:$E$71,"OK",'Conciliacion de compuestos'!$N$2:$N$71,A1175),COUNTIFS('Conciliacion de compuestos'!$D$2:$D$71,"conciliado",'Conciliacion de compuestos'!$E$2:$E$71,"OK",'Conciliacion de compuestos'!$O$2:$O$71,A1175))&gt;0,IFERROR(TEXTJOIN(CHAR(10),TRUE,FILTER('Conciliacion de compuestos'!$A$2:$A$71,('Conciliacion de compuestos'!$D$2:$D$71="conciliado")*('Conciliacion de compuestos'!$E$2:$E$71="OK")*((('Conciliacion de compuestos'!$M$2:$M$71=A1175)+('Conciliacion de compuestos'!$N$2:$N$71=A1175)+('Conciliacion de compuestos'!$O$2:$O$71=A1175))&gt;0))),""),"")</f>
        <v/>
      </c>
      <c r="G1175" s="11">
        <f>IF(I1175="conciliado","conciliado","por revisar")</f>
        <v/>
      </c>
      <c r="H1175" s="11" t="inlineStr"/>
      <c r="I1175" s="11">
        <f>IF(SUM(COUNTIFS('Conciliacion de compuestos'!$D$2:$D$71,"conciliado",'Conciliacion de compuestos'!$E$2:$E$71,"OK",'Conciliacion de compuestos'!$M$2:$M$71,A1175),COUNTIFS('Conciliacion de compuestos'!$D$2:$D$71,"conciliado",'Conciliacion de compuestos'!$E$2:$E$71,"OK",'Conciliacion de compuestos'!$N$2:$N$71,A1175),COUNTIFS('Conciliacion de compuestos'!$D$2:$D$71,"conciliado",'Conciliacion de compuestos'!$E$2:$E$71,"OK",'Conciliacion de compuestos'!$O$2:$O$71,A1175))&gt;0,"conciliado","por revisar")</f>
        <v/>
      </c>
    </row>
    <row r="1176">
      <c r="A1176" s="11" t="n">
        <v>343</v>
      </c>
      <c r="B1176" s="12" t="n">
        <v>46090</v>
      </c>
      <c r="C1176" s="11" t="inlineStr">
        <is>
          <t>sebastian zambrano</t>
        </is>
      </c>
      <c r="D1176" s="13" t="n">
        <v>90000</v>
      </c>
      <c r="E1176" s="11">
        <f>IF(G1176="conciliado","conciliado",I1176)</f>
        <v/>
      </c>
      <c r="F1176" s="11">
        <f>IF(SUM(COUNTIFS('Conciliacion de compuestos'!$D$2:$D$71,"conciliado",'Conciliacion de compuestos'!$E$2:$E$71,"OK",'Conciliacion de compuestos'!$M$2:$M$71,A1176),COUNTIFS('Conciliacion de compuestos'!$D$2:$D$71,"conciliado",'Conciliacion de compuestos'!$E$2:$E$71,"OK",'Conciliacion de compuestos'!$N$2:$N$71,A1176),COUNTIFS('Conciliacion de compuestos'!$D$2:$D$71,"conciliado",'Conciliacion de compuestos'!$E$2:$E$71,"OK",'Conciliacion de compuestos'!$O$2:$O$71,A1176))&gt;0,IFERROR(TEXTJOIN(CHAR(10),TRUE,FILTER('Conciliacion de compuestos'!$A$2:$A$71,('Conciliacion de compuestos'!$D$2:$D$71="conciliado")*('Conciliacion de compuestos'!$E$2:$E$71="OK")*((('Conciliacion de compuestos'!$M$2:$M$71=A1176)+('Conciliacion de compuestos'!$N$2:$N$71=A1176)+('Conciliacion de compuestos'!$O$2:$O$71=A1176))&gt;0))),""),"")</f>
        <v/>
      </c>
      <c r="G1176" s="11">
        <f>IF(I1176="conciliado","conciliado","por revisar")</f>
        <v/>
      </c>
      <c r="H1176" s="11" t="inlineStr"/>
      <c r="I1176" s="11">
        <f>IF(SUM(COUNTIFS('Conciliacion de compuestos'!$D$2:$D$71,"conciliado",'Conciliacion de compuestos'!$E$2:$E$71,"OK",'Conciliacion de compuestos'!$M$2:$M$71,A1176),COUNTIFS('Conciliacion de compuestos'!$D$2:$D$71,"conciliado",'Conciliacion de compuestos'!$E$2:$E$71,"OK",'Conciliacion de compuestos'!$N$2:$N$71,A1176),COUNTIFS('Conciliacion de compuestos'!$D$2:$D$71,"conciliado",'Conciliacion de compuestos'!$E$2:$E$71,"OK",'Conciliacion de compuestos'!$O$2:$O$71,A1176))&gt;0,"conciliado","por revisar")</f>
        <v/>
      </c>
    </row>
    <row r="1177">
      <c r="A1177" s="11" t="n">
        <v>357</v>
      </c>
      <c r="B1177" s="12" t="n">
        <v>46091</v>
      </c>
      <c r="C1177" s="11" t="inlineStr">
        <is>
          <t>da delgado paladines</t>
        </is>
      </c>
      <c r="D1177" s="13" t="n">
        <v>63500</v>
      </c>
      <c r="E1177" s="11">
        <f>IF(G1177="conciliado","conciliado",I1177)</f>
        <v/>
      </c>
      <c r="F1177" s="11">
        <f>IF(SUM(COUNTIFS('Conciliacion de compuestos'!$D$2:$D$71,"conciliado",'Conciliacion de compuestos'!$E$2:$E$71,"OK",'Conciliacion de compuestos'!$M$2:$M$71,A1177),COUNTIFS('Conciliacion de compuestos'!$D$2:$D$71,"conciliado",'Conciliacion de compuestos'!$E$2:$E$71,"OK",'Conciliacion de compuestos'!$N$2:$N$71,A1177),COUNTIFS('Conciliacion de compuestos'!$D$2:$D$71,"conciliado",'Conciliacion de compuestos'!$E$2:$E$71,"OK",'Conciliacion de compuestos'!$O$2:$O$71,A1177))&gt;0,IFERROR(TEXTJOIN(CHAR(10),TRUE,FILTER('Conciliacion de compuestos'!$A$2:$A$71,('Conciliacion de compuestos'!$D$2:$D$71="conciliado")*('Conciliacion de compuestos'!$E$2:$E$71="OK")*((('Conciliacion de compuestos'!$M$2:$M$71=A1177)+('Conciliacion de compuestos'!$N$2:$N$71=A1177)+('Conciliacion de compuestos'!$O$2:$O$71=A1177))&gt;0))),""),"")</f>
        <v/>
      </c>
      <c r="G1177" s="11">
        <f>IF(I1177="conciliado","conciliado","por revisar")</f>
        <v/>
      </c>
      <c r="H1177" s="11" t="inlineStr"/>
      <c r="I1177" s="11">
        <f>IF(SUM(COUNTIFS('Conciliacion de compuestos'!$D$2:$D$71,"conciliado",'Conciliacion de compuestos'!$E$2:$E$71,"OK",'Conciliacion de compuestos'!$M$2:$M$71,A1177),COUNTIFS('Conciliacion de compuestos'!$D$2:$D$71,"conciliado",'Conciliacion de compuestos'!$E$2:$E$71,"OK",'Conciliacion de compuestos'!$N$2:$N$71,A1177),COUNTIFS('Conciliacion de compuestos'!$D$2:$D$71,"conciliado",'Conciliacion de compuestos'!$E$2:$E$71,"OK",'Conciliacion de compuestos'!$O$2:$O$71,A1177))&gt;0,"conciliado","por revisar")</f>
        <v/>
      </c>
    </row>
    <row r="1178">
      <c r="A1178" s="11" t="n">
        <v>369</v>
      </c>
      <c r="B1178" s="12" t="n">
        <v>46091</v>
      </c>
      <c r="C1178" s="11" t="inlineStr">
        <is>
          <t>alvaro diaz vuelvas</t>
        </is>
      </c>
      <c r="D1178" s="13" t="n">
        <v>25300</v>
      </c>
      <c r="E1178" s="11">
        <f>IF(G1178="conciliado","conciliado",I1178)</f>
        <v/>
      </c>
      <c r="F1178" s="11">
        <f>IF(SUM(COUNTIFS('Conciliacion de compuestos'!$D$2:$D$71,"conciliado",'Conciliacion de compuestos'!$E$2:$E$71,"OK",'Conciliacion de compuestos'!$M$2:$M$71,A1178),COUNTIFS('Conciliacion de compuestos'!$D$2:$D$71,"conciliado",'Conciliacion de compuestos'!$E$2:$E$71,"OK",'Conciliacion de compuestos'!$N$2:$N$71,A1178),COUNTIFS('Conciliacion de compuestos'!$D$2:$D$71,"conciliado",'Conciliacion de compuestos'!$E$2:$E$71,"OK",'Conciliacion de compuestos'!$O$2:$O$71,A1178))&gt;0,IFERROR(TEXTJOIN(CHAR(10),TRUE,FILTER('Conciliacion de compuestos'!$A$2:$A$71,('Conciliacion de compuestos'!$D$2:$D$71="conciliado")*('Conciliacion de compuestos'!$E$2:$E$71="OK")*((('Conciliacion de compuestos'!$M$2:$M$71=A1178)+('Conciliacion de compuestos'!$N$2:$N$71=A1178)+('Conciliacion de compuestos'!$O$2:$O$71=A1178))&gt;0))),""),"")</f>
        <v/>
      </c>
      <c r="G1178" s="11">
        <f>IF(I1178="conciliado","conciliado","por revisar")</f>
        <v/>
      </c>
      <c r="H1178" s="11" t="inlineStr"/>
      <c r="I1178" s="11">
        <f>IF(SUM(COUNTIFS('Conciliacion de compuestos'!$D$2:$D$71,"conciliado",'Conciliacion de compuestos'!$E$2:$E$71,"OK",'Conciliacion de compuestos'!$M$2:$M$71,A1178),COUNTIFS('Conciliacion de compuestos'!$D$2:$D$71,"conciliado",'Conciliacion de compuestos'!$E$2:$E$71,"OK",'Conciliacion de compuestos'!$N$2:$N$71,A1178),COUNTIFS('Conciliacion de compuestos'!$D$2:$D$71,"conciliado",'Conciliacion de compuestos'!$E$2:$E$71,"OK",'Conciliacion de compuestos'!$O$2:$O$71,A1178))&gt;0,"conciliado","por revisar")</f>
        <v/>
      </c>
    </row>
    <row r="1179">
      <c r="A1179" s="11" t="n">
        <v>376</v>
      </c>
      <c r="B1179" s="12" t="n">
        <v>46091</v>
      </c>
      <c r="C1179" s="11" t="inlineStr">
        <is>
          <t>cuaces kenet salazar</t>
        </is>
      </c>
      <c r="D1179" s="13" t="n">
        <v>7000</v>
      </c>
      <c r="E1179" s="11">
        <f>IF(G1179="conciliado","conciliado",I1179)</f>
        <v/>
      </c>
      <c r="F1179" s="11">
        <f>IF(SUM(COUNTIFS('Conciliacion de compuestos'!$D$2:$D$71,"conciliado",'Conciliacion de compuestos'!$E$2:$E$71,"OK",'Conciliacion de compuestos'!$M$2:$M$71,A1179),COUNTIFS('Conciliacion de compuestos'!$D$2:$D$71,"conciliado",'Conciliacion de compuestos'!$E$2:$E$71,"OK",'Conciliacion de compuestos'!$N$2:$N$71,A1179),COUNTIFS('Conciliacion de compuestos'!$D$2:$D$71,"conciliado",'Conciliacion de compuestos'!$E$2:$E$71,"OK",'Conciliacion de compuestos'!$O$2:$O$71,A1179))&gt;0,IFERROR(TEXTJOIN(CHAR(10),TRUE,FILTER('Conciliacion de compuestos'!$A$2:$A$71,('Conciliacion de compuestos'!$D$2:$D$71="conciliado")*('Conciliacion de compuestos'!$E$2:$E$71="OK")*((('Conciliacion de compuestos'!$M$2:$M$71=A1179)+('Conciliacion de compuestos'!$N$2:$N$71=A1179)+('Conciliacion de compuestos'!$O$2:$O$71=A1179))&gt;0))),""),"")</f>
        <v/>
      </c>
      <c r="G1179" s="11">
        <f>IF(I1179="conciliado","conciliado","por revisar")</f>
        <v/>
      </c>
      <c r="H1179" s="11" t="inlineStr"/>
      <c r="I1179" s="11">
        <f>IF(SUM(COUNTIFS('Conciliacion de compuestos'!$D$2:$D$71,"conciliado",'Conciliacion de compuestos'!$E$2:$E$71,"OK",'Conciliacion de compuestos'!$M$2:$M$71,A1179),COUNTIFS('Conciliacion de compuestos'!$D$2:$D$71,"conciliado",'Conciliacion de compuestos'!$E$2:$E$71,"OK",'Conciliacion de compuestos'!$N$2:$N$71,A1179),COUNTIFS('Conciliacion de compuestos'!$D$2:$D$71,"conciliado",'Conciliacion de compuestos'!$E$2:$E$71,"OK",'Conciliacion de compuestos'!$O$2:$O$71,A1179))&gt;0,"conciliado","por revisar")</f>
        <v/>
      </c>
    </row>
    <row r="1180">
      <c r="A1180" s="11" t="n">
        <v>381</v>
      </c>
      <c r="B1180" s="12" t="n">
        <v>46091</v>
      </c>
      <c r="C1180" s="11" t="inlineStr">
        <is>
          <t>agaton cifuentes ing</t>
        </is>
      </c>
      <c r="D1180" s="13" t="n">
        <v>7000</v>
      </c>
      <c r="E1180" s="11">
        <f>IF(G1180="conciliado","conciliado",I1180)</f>
        <v/>
      </c>
      <c r="F1180" s="11">
        <f>IF(SUM(COUNTIFS('Conciliacion de compuestos'!$D$2:$D$71,"conciliado",'Conciliacion de compuestos'!$E$2:$E$71,"OK",'Conciliacion de compuestos'!$M$2:$M$71,A1180),COUNTIFS('Conciliacion de compuestos'!$D$2:$D$71,"conciliado",'Conciliacion de compuestos'!$E$2:$E$71,"OK",'Conciliacion de compuestos'!$N$2:$N$71,A1180),COUNTIFS('Conciliacion de compuestos'!$D$2:$D$71,"conciliado",'Conciliacion de compuestos'!$E$2:$E$71,"OK",'Conciliacion de compuestos'!$O$2:$O$71,A1180))&gt;0,IFERROR(TEXTJOIN(CHAR(10),TRUE,FILTER('Conciliacion de compuestos'!$A$2:$A$71,('Conciliacion de compuestos'!$D$2:$D$71="conciliado")*('Conciliacion de compuestos'!$E$2:$E$71="OK")*((('Conciliacion de compuestos'!$M$2:$M$71=A1180)+('Conciliacion de compuestos'!$N$2:$N$71=A1180)+('Conciliacion de compuestos'!$O$2:$O$71=A1180))&gt;0))),""),"")</f>
        <v/>
      </c>
      <c r="G1180" s="11">
        <f>IF(I1180="conciliado","conciliado","por revisar")</f>
        <v/>
      </c>
      <c r="H1180" s="11" t="inlineStr"/>
      <c r="I1180" s="11">
        <f>IF(SUM(COUNTIFS('Conciliacion de compuestos'!$D$2:$D$71,"conciliado",'Conciliacion de compuestos'!$E$2:$E$71,"OK",'Conciliacion de compuestos'!$M$2:$M$71,A1180),COUNTIFS('Conciliacion de compuestos'!$D$2:$D$71,"conciliado",'Conciliacion de compuestos'!$E$2:$E$71,"OK",'Conciliacion de compuestos'!$N$2:$N$71,A1180),COUNTIFS('Conciliacion de compuestos'!$D$2:$D$71,"conciliado",'Conciliacion de compuestos'!$E$2:$E$71,"OK",'Conciliacion de compuestos'!$O$2:$O$71,A1180))&gt;0,"conciliado","por revisar")</f>
        <v/>
      </c>
    </row>
    <row r="1181">
      <c r="A1181" s="11" t="n">
        <v>411</v>
      </c>
      <c r="B1181" s="12" t="n">
        <v>46092</v>
      </c>
      <c r="C1181" s="11" t="inlineStr">
        <is>
          <t>chamorro garcia jeis</t>
        </is>
      </c>
      <c r="D1181" s="13" t="n">
        <v>35600</v>
      </c>
      <c r="E1181" s="11">
        <f>IF(G1181="conciliado","conciliado",I1181)</f>
        <v/>
      </c>
      <c r="F1181" s="11">
        <f>IF(SUM(COUNTIFS('Conciliacion de compuestos'!$D$2:$D$71,"conciliado",'Conciliacion de compuestos'!$E$2:$E$71,"OK",'Conciliacion de compuestos'!$M$2:$M$71,A1181),COUNTIFS('Conciliacion de compuestos'!$D$2:$D$71,"conciliado",'Conciliacion de compuestos'!$E$2:$E$71,"OK",'Conciliacion de compuestos'!$N$2:$N$71,A1181),COUNTIFS('Conciliacion de compuestos'!$D$2:$D$71,"conciliado",'Conciliacion de compuestos'!$E$2:$E$71,"OK",'Conciliacion de compuestos'!$O$2:$O$71,A1181))&gt;0,IFERROR(TEXTJOIN(CHAR(10),TRUE,FILTER('Conciliacion de compuestos'!$A$2:$A$71,('Conciliacion de compuestos'!$D$2:$D$71="conciliado")*('Conciliacion de compuestos'!$E$2:$E$71="OK")*((('Conciliacion de compuestos'!$M$2:$M$71=A1181)+('Conciliacion de compuestos'!$N$2:$N$71=A1181)+('Conciliacion de compuestos'!$O$2:$O$71=A1181))&gt;0))),""),"")</f>
        <v/>
      </c>
      <c r="G1181" s="11">
        <f>IF(I1181="conciliado","conciliado","por revisar")</f>
        <v/>
      </c>
      <c r="H1181" s="11" t="inlineStr"/>
      <c r="I1181" s="11">
        <f>IF(SUM(COUNTIFS('Conciliacion de compuestos'!$D$2:$D$71,"conciliado",'Conciliacion de compuestos'!$E$2:$E$71,"OK",'Conciliacion de compuestos'!$M$2:$M$71,A1181),COUNTIFS('Conciliacion de compuestos'!$D$2:$D$71,"conciliado",'Conciliacion de compuestos'!$E$2:$E$71,"OK",'Conciliacion de compuestos'!$N$2:$N$71,A1181),COUNTIFS('Conciliacion de compuestos'!$D$2:$D$71,"conciliado",'Conciliacion de compuestos'!$E$2:$E$71,"OK",'Conciliacion de compuestos'!$O$2:$O$71,A1181))&gt;0,"conciliado","por revisar")</f>
        <v/>
      </c>
    </row>
    <row r="1182">
      <c r="A1182" s="11" t="n">
        <v>430</v>
      </c>
      <c r="B1182" s="12" t="n">
        <v>46093</v>
      </c>
      <c r="C1182" s="11" t="inlineStr">
        <is>
          <t>betancurth ro zapata</t>
        </is>
      </c>
      <c r="D1182" s="13" t="n">
        <v>36800</v>
      </c>
      <c r="E1182" s="11">
        <f>IF(G1182="conciliado","conciliado",I1182)</f>
        <v/>
      </c>
      <c r="F1182" s="11">
        <f>IF(SUM(COUNTIFS('Conciliacion de compuestos'!$D$2:$D$71,"conciliado",'Conciliacion de compuestos'!$E$2:$E$71,"OK",'Conciliacion de compuestos'!$M$2:$M$71,A1182),COUNTIFS('Conciliacion de compuestos'!$D$2:$D$71,"conciliado",'Conciliacion de compuestos'!$E$2:$E$71,"OK",'Conciliacion de compuestos'!$N$2:$N$71,A1182),COUNTIFS('Conciliacion de compuestos'!$D$2:$D$71,"conciliado",'Conciliacion de compuestos'!$E$2:$E$71,"OK",'Conciliacion de compuestos'!$O$2:$O$71,A1182))&gt;0,IFERROR(TEXTJOIN(CHAR(10),TRUE,FILTER('Conciliacion de compuestos'!$A$2:$A$71,('Conciliacion de compuestos'!$D$2:$D$71="conciliado")*('Conciliacion de compuestos'!$E$2:$E$71="OK")*((('Conciliacion de compuestos'!$M$2:$M$71=A1182)+('Conciliacion de compuestos'!$N$2:$N$71=A1182)+('Conciliacion de compuestos'!$O$2:$O$71=A1182))&gt;0))),""),"")</f>
        <v/>
      </c>
      <c r="G1182" s="11">
        <f>IF(I1182="conciliado","conciliado","por revisar")</f>
        <v/>
      </c>
      <c r="H1182" s="11" t="inlineStr"/>
      <c r="I1182" s="11">
        <f>IF(SUM(COUNTIFS('Conciliacion de compuestos'!$D$2:$D$71,"conciliado",'Conciliacion de compuestos'!$E$2:$E$71,"OK",'Conciliacion de compuestos'!$M$2:$M$71,A1182),COUNTIFS('Conciliacion de compuestos'!$D$2:$D$71,"conciliado",'Conciliacion de compuestos'!$E$2:$E$71,"OK",'Conciliacion de compuestos'!$N$2:$N$71,A1182),COUNTIFS('Conciliacion de compuestos'!$D$2:$D$71,"conciliado",'Conciliacion de compuestos'!$E$2:$E$71,"OK",'Conciliacion de compuestos'!$O$2:$O$71,A1182))&gt;0,"conciliado","por revisar")</f>
        <v/>
      </c>
    </row>
    <row r="1183">
      <c r="A1183" s="11" t="n">
        <v>435</v>
      </c>
      <c r="B1183" s="12" t="n">
        <v>46093</v>
      </c>
      <c r="C1183" s="11" t="inlineStr">
        <is>
          <t>angulo botina gustav</t>
        </is>
      </c>
      <c r="D1183" s="13" t="n">
        <v>11000</v>
      </c>
      <c r="E1183" s="11">
        <f>IF(G1183="conciliado","conciliado",I1183)</f>
        <v/>
      </c>
      <c r="F1183" s="11">
        <f>IF(SUM(COUNTIFS('Conciliacion de compuestos'!$D$2:$D$71,"conciliado",'Conciliacion de compuestos'!$E$2:$E$71,"OK",'Conciliacion de compuestos'!$M$2:$M$71,A1183),COUNTIFS('Conciliacion de compuestos'!$D$2:$D$71,"conciliado",'Conciliacion de compuestos'!$E$2:$E$71,"OK",'Conciliacion de compuestos'!$N$2:$N$71,A1183),COUNTIFS('Conciliacion de compuestos'!$D$2:$D$71,"conciliado",'Conciliacion de compuestos'!$E$2:$E$71,"OK",'Conciliacion de compuestos'!$O$2:$O$71,A1183))&gt;0,IFERROR(TEXTJOIN(CHAR(10),TRUE,FILTER('Conciliacion de compuestos'!$A$2:$A$71,('Conciliacion de compuestos'!$D$2:$D$71="conciliado")*('Conciliacion de compuestos'!$E$2:$E$71="OK")*((('Conciliacion de compuestos'!$M$2:$M$71=A1183)+('Conciliacion de compuestos'!$N$2:$N$71=A1183)+('Conciliacion de compuestos'!$O$2:$O$71=A1183))&gt;0))),""),"")</f>
        <v/>
      </c>
      <c r="G1183" s="11">
        <f>IF(I1183="conciliado","conciliado","por revisar")</f>
        <v/>
      </c>
      <c r="H1183" s="11" t="inlineStr"/>
      <c r="I1183" s="11">
        <f>IF(SUM(COUNTIFS('Conciliacion de compuestos'!$D$2:$D$71,"conciliado",'Conciliacion de compuestos'!$E$2:$E$71,"OK",'Conciliacion de compuestos'!$M$2:$M$71,A1183),COUNTIFS('Conciliacion de compuestos'!$D$2:$D$71,"conciliado",'Conciliacion de compuestos'!$E$2:$E$71,"OK",'Conciliacion de compuestos'!$N$2:$N$71,A1183),COUNTIFS('Conciliacion de compuestos'!$D$2:$D$71,"conciliado",'Conciliacion de compuestos'!$E$2:$E$71,"OK",'Conciliacion de compuestos'!$O$2:$O$71,A1183))&gt;0,"conciliado","por revisar")</f>
        <v/>
      </c>
    </row>
    <row r="1184">
      <c r="A1184" s="11" t="n">
        <v>440</v>
      </c>
      <c r="B1184" s="12" t="n">
        <v>46093</v>
      </c>
      <c r="C1184" s="11" t="inlineStr">
        <is>
          <t>b cueva pinta wilson</t>
        </is>
      </c>
      <c r="D1184" s="13" t="n">
        <v>36000</v>
      </c>
      <c r="E1184" s="11">
        <f>IF(G1184="conciliado","conciliado",I1184)</f>
        <v/>
      </c>
      <c r="F1184" s="11">
        <f>IF(SUM(COUNTIFS('Conciliacion de compuestos'!$D$2:$D$71,"conciliado",'Conciliacion de compuestos'!$E$2:$E$71,"OK",'Conciliacion de compuestos'!$M$2:$M$71,A1184),COUNTIFS('Conciliacion de compuestos'!$D$2:$D$71,"conciliado",'Conciliacion de compuestos'!$E$2:$E$71,"OK",'Conciliacion de compuestos'!$N$2:$N$71,A1184),COUNTIFS('Conciliacion de compuestos'!$D$2:$D$71,"conciliado",'Conciliacion de compuestos'!$E$2:$E$71,"OK",'Conciliacion de compuestos'!$O$2:$O$71,A1184))&gt;0,IFERROR(TEXTJOIN(CHAR(10),TRUE,FILTER('Conciliacion de compuestos'!$A$2:$A$71,('Conciliacion de compuestos'!$D$2:$D$71="conciliado")*('Conciliacion de compuestos'!$E$2:$E$71="OK")*((('Conciliacion de compuestos'!$M$2:$M$71=A1184)+('Conciliacion de compuestos'!$N$2:$N$71=A1184)+('Conciliacion de compuestos'!$O$2:$O$71=A1184))&gt;0))),""),"")</f>
        <v/>
      </c>
      <c r="G1184" s="11">
        <f>IF(I1184="conciliado","conciliado","por revisar")</f>
        <v/>
      </c>
      <c r="H1184" s="11" t="inlineStr"/>
      <c r="I1184" s="11">
        <f>IF(SUM(COUNTIFS('Conciliacion de compuestos'!$D$2:$D$71,"conciliado",'Conciliacion de compuestos'!$E$2:$E$71,"OK",'Conciliacion de compuestos'!$M$2:$M$71,A1184),COUNTIFS('Conciliacion de compuestos'!$D$2:$D$71,"conciliado",'Conciliacion de compuestos'!$E$2:$E$71,"OK",'Conciliacion de compuestos'!$N$2:$N$71,A1184),COUNTIFS('Conciliacion de compuestos'!$D$2:$D$71,"conciliado",'Conciliacion de compuestos'!$E$2:$E$71,"OK",'Conciliacion de compuestos'!$O$2:$O$71,A1184))&gt;0,"conciliado","por revisar")</f>
        <v/>
      </c>
    </row>
    <row r="1185">
      <c r="A1185" s="11" t="n">
        <v>458</v>
      </c>
      <c r="B1185" s="12" t="n">
        <v>46093</v>
      </c>
      <c r="C1185" s="11" t="inlineStr">
        <is>
          <t>gonzales pimentel</t>
        </is>
      </c>
      <c r="D1185" s="13" t="n">
        <v>9000</v>
      </c>
      <c r="E1185" s="11">
        <f>IF(G1185="conciliado","conciliado",I1185)</f>
        <v/>
      </c>
      <c r="F1185" s="11">
        <f>IF(SUM(COUNTIFS('Conciliacion de compuestos'!$D$2:$D$71,"conciliado",'Conciliacion de compuestos'!$E$2:$E$71,"OK",'Conciliacion de compuestos'!$M$2:$M$71,A1185),COUNTIFS('Conciliacion de compuestos'!$D$2:$D$71,"conciliado",'Conciliacion de compuestos'!$E$2:$E$71,"OK",'Conciliacion de compuestos'!$N$2:$N$71,A1185),COUNTIFS('Conciliacion de compuestos'!$D$2:$D$71,"conciliado",'Conciliacion de compuestos'!$E$2:$E$71,"OK",'Conciliacion de compuestos'!$O$2:$O$71,A1185))&gt;0,IFERROR(TEXTJOIN(CHAR(10),TRUE,FILTER('Conciliacion de compuestos'!$A$2:$A$71,('Conciliacion de compuestos'!$D$2:$D$71="conciliado")*('Conciliacion de compuestos'!$E$2:$E$71="OK")*((('Conciliacion de compuestos'!$M$2:$M$71=A1185)+('Conciliacion de compuestos'!$N$2:$N$71=A1185)+('Conciliacion de compuestos'!$O$2:$O$71=A1185))&gt;0))),""),"")</f>
        <v/>
      </c>
      <c r="G1185" s="11">
        <f>IF(I1185="conciliado","conciliado","por revisar")</f>
        <v/>
      </c>
      <c r="H1185" s="11" t="inlineStr"/>
      <c r="I1185" s="11">
        <f>IF(SUM(COUNTIFS('Conciliacion de compuestos'!$D$2:$D$71,"conciliado",'Conciliacion de compuestos'!$E$2:$E$71,"OK",'Conciliacion de compuestos'!$M$2:$M$71,A1185),COUNTIFS('Conciliacion de compuestos'!$D$2:$D$71,"conciliado",'Conciliacion de compuestos'!$E$2:$E$71,"OK",'Conciliacion de compuestos'!$N$2:$N$71,A1185),COUNTIFS('Conciliacion de compuestos'!$D$2:$D$71,"conciliado",'Conciliacion de compuestos'!$E$2:$E$71,"OK",'Conciliacion de compuestos'!$O$2:$O$71,A1185))&gt;0,"conciliado","por revisar")</f>
        <v/>
      </c>
    </row>
    <row r="1186">
      <c r="A1186" s="11" t="n">
        <v>465</v>
      </c>
      <c r="B1186" s="12" t="n">
        <v>46094</v>
      </c>
      <c r="C1186" s="11" t="inlineStr">
        <is>
          <t>ar buelvas caro rubi</t>
        </is>
      </c>
      <c r="D1186" s="13" t="n">
        <v>24900</v>
      </c>
      <c r="E1186" s="11">
        <f>IF(G1186="conciliado","conciliado",I1186)</f>
        <v/>
      </c>
      <c r="F1186" s="11">
        <f>IF(SUM(COUNTIFS('Conciliacion de compuestos'!$D$2:$D$71,"conciliado",'Conciliacion de compuestos'!$E$2:$E$71,"OK",'Conciliacion de compuestos'!$M$2:$M$71,A1186),COUNTIFS('Conciliacion de compuestos'!$D$2:$D$71,"conciliado",'Conciliacion de compuestos'!$E$2:$E$71,"OK",'Conciliacion de compuestos'!$N$2:$N$71,A1186),COUNTIFS('Conciliacion de compuestos'!$D$2:$D$71,"conciliado",'Conciliacion de compuestos'!$E$2:$E$71,"OK",'Conciliacion de compuestos'!$O$2:$O$71,A1186))&gt;0,IFERROR(TEXTJOIN(CHAR(10),TRUE,FILTER('Conciliacion de compuestos'!$A$2:$A$71,('Conciliacion de compuestos'!$D$2:$D$71="conciliado")*('Conciliacion de compuestos'!$E$2:$E$71="OK")*((('Conciliacion de compuestos'!$M$2:$M$71=A1186)+('Conciliacion de compuestos'!$N$2:$N$71=A1186)+('Conciliacion de compuestos'!$O$2:$O$71=A1186))&gt;0))),""),"")</f>
        <v/>
      </c>
      <c r="G1186" s="11">
        <f>IF(I1186="conciliado","conciliado","por revisar")</f>
        <v/>
      </c>
      <c r="H1186" s="11" t="inlineStr"/>
      <c r="I1186" s="11">
        <f>IF(SUM(COUNTIFS('Conciliacion de compuestos'!$D$2:$D$71,"conciliado",'Conciliacion de compuestos'!$E$2:$E$71,"OK",'Conciliacion de compuestos'!$M$2:$M$71,A1186),COUNTIFS('Conciliacion de compuestos'!$D$2:$D$71,"conciliado",'Conciliacion de compuestos'!$E$2:$E$71,"OK",'Conciliacion de compuestos'!$N$2:$N$71,A1186),COUNTIFS('Conciliacion de compuestos'!$D$2:$D$71,"conciliado",'Conciliacion de compuestos'!$E$2:$E$71,"OK",'Conciliacion de compuestos'!$O$2:$O$71,A1186))&gt;0,"conciliado","por revisar")</f>
        <v/>
      </c>
    </row>
    <row r="1187">
      <c r="A1187" s="11" t="n">
        <v>470</v>
      </c>
      <c r="B1187" s="12" t="n">
        <v>46094</v>
      </c>
      <c r="C1187" s="11" t="inlineStr">
        <is>
          <t>consumidor final</t>
        </is>
      </c>
      <c r="D1187" s="13" t="n">
        <v>33600</v>
      </c>
      <c r="E1187" s="11">
        <f>IF(G1187="conciliado","conciliado",I1187)</f>
        <v/>
      </c>
      <c r="F1187" s="11">
        <f>IF(SUM(COUNTIFS('Conciliacion de compuestos'!$D$2:$D$71,"conciliado",'Conciliacion de compuestos'!$E$2:$E$71,"OK",'Conciliacion de compuestos'!$M$2:$M$71,A1187),COUNTIFS('Conciliacion de compuestos'!$D$2:$D$71,"conciliado",'Conciliacion de compuestos'!$E$2:$E$71,"OK",'Conciliacion de compuestos'!$N$2:$N$71,A1187),COUNTIFS('Conciliacion de compuestos'!$D$2:$D$71,"conciliado",'Conciliacion de compuestos'!$E$2:$E$71,"OK",'Conciliacion de compuestos'!$O$2:$O$71,A1187))&gt;0,IFERROR(TEXTJOIN(CHAR(10),TRUE,FILTER('Conciliacion de compuestos'!$A$2:$A$71,('Conciliacion de compuestos'!$D$2:$D$71="conciliado")*('Conciliacion de compuestos'!$E$2:$E$71="OK")*((('Conciliacion de compuestos'!$M$2:$M$71=A1187)+('Conciliacion de compuestos'!$N$2:$N$71=A1187)+('Conciliacion de compuestos'!$O$2:$O$71=A1187))&gt;0))),""),"")</f>
        <v/>
      </c>
      <c r="G1187" s="11">
        <f>IF(I1187="conciliado","conciliado","por revisar")</f>
        <v/>
      </c>
      <c r="H1187" s="11" t="inlineStr"/>
      <c r="I1187" s="11">
        <f>IF(SUM(COUNTIFS('Conciliacion de compuestos'!$D$2:$D$71,"conciliado",'Conciliacion de compuestos'!$E$2:$E$71,"OK",'Conciliacion de compuestos'!$M$2:$M$71,A1187),COUNTIFS('Conciliacion de compuestos'!$D$2:$D$71,"conciliado",'Conciliacion de compuestos'!$E$2:$E$71,"OK",'Conciliacion de compuestos'!$N$2:$N$71,A1187),COUNTIFS('Conciliacion de compuestos'!$D$2:$D$71,"conciliado",'Conciliacion de compuestos'!$E$2:$E$71,"OK",'Conciliacion de compuestos'!$O$2:$O$71,A1187))&gt;0,"conciliado","por revisar")</f>
        <v/>
      </c>
    </row>
    <row r="1188">
      <c r="A1188" s="11" t="n">
        <v>471</v>
      </c>
      <c r="B1188" s="12" t="n">
        <v>46094</v>
      </c>
      <c r="C1188" s="11" t="inlineStr">
        <is>
          <t>er huertas rodriguez</t>
        </is>
      </c>
      <c r="D1188" s="13" t="n">
        <v>10500</v>
      </c>
      <c r="E1188" s="11">
        <f>IF(G1188="conciliado","conciliado",I1188)</f>
        <v/>
      </c>
      <c r="F1188" s="11">
        <f>IF(SUM(COUNTIFS('Conciliacion de compuestos'!$D$2:$D$71,"conciliado",'Conciliacion de compuestos'!$E$2:$E$71,"OK",'Conciliacion de compuestos'!$M$2:$M$71,A1188),COUNTIFS('Conciliacion de compuestos'!$D$2:$D$71,"conciliado",'Conciliacion de compuestos'!$E$2:$E$71,"OK",'Conciliacion de compuestos'!$N$2:$N$71,A1188),COUNTIFS('Conciliacion de compuestos'!$D$2:$D$71,"conciliado",'Conciliacion de compuestos'!$E$2:$E$71,"OK",'Conciliacion de compuestos'!$O$2:$O$71,A1188))&gt;0,IFERROR(TEXTJOIN(CHAR(10),TRUE,FILTER('Conciliacion de compuestos'!$A$2:$A$71,('Conciliacion de compuestos'!$D$2:$D$71="conciliado")*('Conciliacion de compuestos'!$E$2:$E$71="OK")*((('Conciliacion de compuestos'!$M$2:$M$71=A1188)+('Conciliacion de compuestos'!$N$2:$N$71=A1188)+('Conciliacion de compuestos'!$O$2:$O$71=A1188))&gt;0))),""),"")</f>
        <v/>
      </c>
      <c r="G1188" s="11">
        <f>IF(I1188="conciliado","conciliado","por revisar")</f>
        <v/>
      </c>
      <c r="H1188" s="11" t="inlineStr"/>
      <c r="I1188" s="11">
        <f>IF(SUM(COUNTIFS('Conciliacion de compuestos'!$D$2:$D$71,"conciliado",'Conciliacion de compuestos'!$E$2:$E$71,"OK",'Conciliacion de compuestos'!$M$2:$M$71,A1188),COUNTIFS('Conciliacion de compuestos'!$D$2:$D$71,"conciliado",'Conciliacion de compuestos'!$E$2:$E$71,"OK",'Conciliacion de compuestos'!$N$2:$N$71,A1188),COUNTIFS('Conciliacion de compuestos'!$D$2:$D$71,"conciliado",'Conciliacion de compuestos'!$E$2:$E$71,"OK",'Conciliacion de compuestos'!$O$2:$O$71,A1188))&gt;0,"conciliado","por revisar")</f>
        <v/>
      </c>
    </row>
    <row r="1189">
      <c r="A1189" s="11" t="n">
        <v>485</v>
      </c>
      <c r="B1189" s="12" t="n">
        <v>46094</v>
      </c>
      <c r="C1189" s="11" t="inlineStr">
        <is>
          <t>benavides santander</t>
        </is>
      </c>
      <c r="D1189" s="13" t="n">
        <v>24600</v>
      </c>
      <c r="E1189" s="11">
        <f>IF(G1189="conciliado","conciliado",I1189)</f>
        <v/>
      </c>
      <c r="F1189" s="11">
        <f>IF(SUM(COUNTIFS('Conciliacion de compuestos'!$D$2:$D$71,"conciliado",'Conciliacion de compuestos'!$E$2:$E$71,"OK",'Conciliacion de compuestos'!$M$2:$M$71,A1189),COUNTIFS('Conciliacion de compuestos'!$D$2:$D$71,"conciliado",'Conciliacion de compuestos'!$E$2:$E$71,"OK",'Conciliacion de compuestos'!$N$2:$N$71,A1189),COUNTIFS('Conciliacion de compuestos'!$D$2:$D$71,"conciliado",'Conciliacion de compuestos'!$E$2:$E$71,"OK",'Conciliacion de compuestos'!$O$2:$O$71,A1189))&gt;0,IFERROR(TEXTJOIN(CHAR(10),TRUE,FILTER('Conciliacion de compuestos'!$A$2:$A$71,('Conciliacion de compuestos'!$D$2:$D$71="conciliado")*('Conciliacion de compuestos'!$E$2:$E$71="OK")*((('Conciliacion de compuestos'!$M$2:$M$71=A1189)+('Conciliacion de compuestos'!$N$2:$N$71=A1189)+('Conciliacion de compuestos'!$O$2:$O$71=A1189))&gt;0))),""),"")</f>
        <v/>
      </c>
      <c r="G1189" s="11">
        <f>IF(I1189="conciliado","conciliado","por revisar")</f>
        <v/>
      </c>
      <c r="H1189" s="11" t="inlineStr"/>
      <c r="I1189" s="11">
        <f>IF(SUM(COUNTIFS('Conciliacion de compuestos'!$D$2:$D$71,"conciliado",'Conciliacion de compuestos'!$E$2:$E$71,"OK",'Conciliacion de compuestos'!$M$2:$M$71,A1189),COUNTIFS('Conciliacion de compuestos'!$D$2:$D$71,"conciliado",'Conciliacion de compuestos'!$E$2:$E$71,"OK",'Conciliacion de compuestos'!$N$2:$N$71,A1189),COUNTIFS('Conciliacion de compuestos'!$D$2:$D$71,"conciliado",'Conciliacion de compuestos'!$E$2:$E$71,"OK",'Conciliacion de compuestos'!$O$2:$O$71,A1189))&gt;0,"conciliado","por revisar")</f>
        <v/>
      </c>
    </row>
    <row r="1190">
      <c r="A1190" s="11" t="n">
        <v>504</v>
      </c>
      <c r="B1190" s="12" t="n">
        <v>46095</v>
      </c>
      <c r="C1190" s="11" t="inlineStr">
        <is>
          <t>benavide manchabajoy</t>
        </is>
      </c>
      <c r="D1190" s="13" t="n">
        <v>20000</v>
      </c>
      <c r="E1190" s="11">
        <f>IF(G1190="conciliado","conciliado",I1190)</f>
        <v/>
      </c>
      <c r="F1190" s="11">
        <f>IF(SUM(COUNTIFS('Conciliacion de compuestos'!$D$2:$D$71,"conciliado",'Conciliacion de compuestos'!$E$2:$E$71,"OK",'Conciliacion de compuestos'!$M$2:$M$71,A1190),COUNTIFS('Conciliacion de compuestos'!$D$2:$D$71,"conciliado",'Conciliacion de compuestos'!$E$2:$E$71,"OK",'Conciliacion de compuestos'!$N$2:$N$71,A1190),COUNTIFS('Conciliacion de compuestos'!$D$2:$D$71,"conciliado",'Conciliacion de compuestos'!$E$2:$E$71,"OK",'Conciliacion de compuestos'!$O$2:$O$71,A1190))&gt;0,IFERROR(TEXTJOIN(CHAR(10),TRUE,FILTER('Conciliacion de compuestos'!$A$2:$A$71,('Conciliacion de compuestos'!$D$2:$D$71="conciliado")*('Conciliacion de compuestos'!$E$2:$E$71="OK")*((('Conciliacion de compuestos'!$M$2:$M$71=A1190)+('Conciliacion de compuestos'!$N$2:$N$71=A1190)+('Conciliacion de compuestos'!$O$2:$O$71=A1190))&gt;0))),""),"")</f>
        <v/>
      </c>
      <c r="G1190" s="11">
        <f>IF(I1190="conciliado","conciliado","por revisar")</f>
        <v/>
      </c>
      <c r="H1190" s="11" t="inlineStr"/>
      <c r="I1190" s="11">
        <f>IF(SUM(COUNTIFS('Conciliacion de compuestos'!$D$2:$D$71,"conciliado",'Conciliacion de compuestos'!$E$2:$E$71,"OK",'Conciliacion de compuestos'!$M$2:$M$71,A1190),COUNTIFS('Conciliacion de compuestos'!$D$2:$D$71,"conciliado",'Conciliacion de compuestos'!$E$2:$E$71,"OK",'Conciliacion de compuestos'!$N$2:$N$71,A1190),COUNTIFS('Conciliacion de compuestos'!$D$2:$D$71,"conciliado",'Conciliacion de compuestos'!$E$2:$E$71,"OK",'Conciliacion de compuestos'!$O$2:$O$71,A1190))&gt;0,"conciliado","por revisar")</f>
        <v/>
      </c>
    </row>
    <row r="1191">
      <c r="A1191" s="11" t="n">
        <v>515</v>
      </c>
      <c r="B1191" s="12" t="n">
        <v>46095</v>
      </c>
      <c r="C1191" s="11" t="inlineStr">
        <is>
          <t>guzman hortua victor</t>
        </is>
      </c>
      <c r="D1191" s="13" t="n">
        <v>50900</v>
      </c>
      <c r="E1191" s="11">
        <f>IF(G1191="conciliado","conciliado",I1191)</f>
        <v/>
      </c>
      <c r="F1191" s="11">
        <f>IF(SUM(COUNTIFS('Conciliacion de compuestos'!$D$2:$D$71,"conciliado",'Conciliacion de compuestos'!$E$2:$E$71,"OK",'Conciliacion de compuestos'!$M$2:$M$71,A1191),COUNTIFS('Conciliacion de compuestos'!$D$2:$D$71,"conciliado",'Conciliacion de compuestos'!$E$2:$E$71,"OK",'Conciliacion de compuestos'!$N$2:$N$71,A1191),COUNTIFS('Conciliacion de compuestos'!$D$2:$D$71,"conciliado",'Conciliacion de compuestos'!$E$2:$E$71,"OK",'Conciliacion de compuestos'!$O$2:$O$71,A1191))&gt;0,IFERROR(TEXTJOIN(CHAR(10),TRUE,FILTER('Conciliacion de compuestos'!$A$2:$A$71,('Conciliacion de compuestos'!$D$2:$D$71="conciliado")*('Conciliacion de compuestos'!$E$2:$E$71="OK")*((('Conciliacion de compuestos'!$M$2:$M$71=A1191)+('Conciliacion de compuestos'!$N$2:$N$71=A1191)+('Conciliacion de compuestos'!$O$2:$O$71=A1191))&gt;0))),""),"")</f>
        <v/>
      </c>
      <c r="G1191" s="11">
        <f>IF(I1191="conciliado","conciliado","por revisar")</f>
        <v/>
      </c>
      <c r="H1191" s="11" t="inlineStr"/>
      <c r="I1191" s="11">
        <f>IF(SUM(COUNTIFS('Conciliacion de compuestos'!$D$2:$D$71,"conciliado",'Conciliacion de compuestos'!$E$2:$E$71,"OK",'Conciliacion de compuestos'!$M$2:$M$71,A1191),COUNTIFS('Conciliacion de compuestos'!$D$2:$D$71,"conciliado",'Conciliacion de compuestos'!$E$2:$E$71,"OK",'Conciliacion de compuestos'!$N$2:$N$71,A1191),COUNTIFS('Conciliacion de compuestos'!$D$2:$D$71,"conciliado",'Conciliacion de compuestos'!$E$2:$E$71,"OK",'Conciliacion de compuestos'!$O$2:$O$71,A1191))&gt;0,"conciliado","por revisar")</f>
        <v/>
      </c>
    </row>
    <row r="1192">
      <c r="A1192" s="11" t="n">
        <v>518</v>
      </c>
      <c r="B1192" s="12" t="n">
        <v>46095</v>
      </c>
      <c r="C1192" s="11" t="inlineStr">
        <is>
          <t>adr mora nury ruales</t>
        </is>
      </c>
      <c r="D1192" s="13" t="n">
        <v>183600</v>
      </c>
      <c r="E1192" s="11">
        <f>IF(G1192="conciliado","conciliado",I1192)</f>
        <v/>
      </c>
      <c r="F1192" s="11">
        <f>IF(SUM(COUNTIFS('Conciliacion de compuestos'!$D$2:$D$71,"conciliado",'Conciliacion de compuestos'!$E$2:$E$71,"OK",'Conciliacion de compuestos'!$M$2:$M$71,A1192),COUNTIFS('Conciliacion de compuestos'!$D$2:$D$71,"conciliado",'Conciliacion de compuestos'!$E$2:$E$71,"OK",'Conciliacion de compuestos'!$N$2:$N$71,A1192),COUNTIFS('Conciliacion de compuestos'!$D$2:$D$71,"conciliado",'Conciliacion de compuestos'!$E$2:$E$71,"OK",'Conciliacion de compuestos'!$O$2:$O$71,A1192))&gt;0,IFERROR(TEXTJOIN(CHAR(10),TRUE,FILTER('Conciliacion de compuestos'!$A$2:$A$71,('Conciliacion de compuestos'!$D$2:$D$71="conciliado")*('Conciliacion de compuestos'!$E$2:$E$71="OK")*((('Conciliacion de compuestos'!$M$2:$M$71=A1192)+('Conciliacion de compuestos'!$N$2:$N$71=A1192)+('Conciliacion de compuestos'!$O$2:$O$71=A1192))&gt;0))),""),"")</f>
        <v/>
      </c>
      <c r="G1192" s="11">
        <f>IF(I1192="conciliado","conciliado","por revisar")</f>
        <v/>
      </c>
      <c r="H1192" s="11" t="inlineStr"/>
      <c r="I1192" s="11">
        <f>IF(SUM(COUNTIFS('Conciliacion de compuestos'!$D$2:$D$71,"conciliado",'Conciliacion de compuestos'!$E$2:$E$71,"OK",'Conciliacion de compuestos'!$M$2:$M$71,A1192),COUNTIFS('Conciliacion de compuestos'!$D$2:$D$71,"conciliado",'Conciliacion de compuestos'!$E$2:$E$71,"OK",'Conciliacion de compuestos'!$N$2:$N$71,A1192),COUNTIFS('Conciliacion de compuestos'!$D$2:$D$71,"conciliado",'Conciliacion de compuestos'!$E$2:$E$71,"OK",'Conciliacion de compuestos'!$O$2:$O$71,A1192))&gt;0,"conciliado","por revisar")</f>
        <v/>
      </c>
    </row>
    <row r="1193">
      <c r="A1193" s="11" t="n">
        <v>522</v>
      </c>
      <c r="B1193" s="12" t="n">
        <v>46095</v>
      </c>
      <c r="C1193" s="11" t="inlineStr">
        <is>
          <t>benavides dani guaca</t>
        </is>
      </c>
      <c r="D1193" s="13" t="n">
        <v>77300</v>
      </c>
      <c r="E1193" s="11">
        <f>IF(G1193="conciliado","conciliado",I1193)</f>
        <v/>
      </c>
      <c r="F1193" s="11">
        <f>IF(SUM(COUNTIFS('Conciliacion de compuestos'!$D$2:$D$71,"conciliado",'Conciliacion de compuestos'!$E$2:$E$71,"OK",'Conciliacion de compuestos'!$M$2:$M$71,A1193),COUNTIFS('Conciliacion de compuestos'!$D$2:$D$71,"conciliado",'Conciliacion de compuestos'!$E$2:$E$71,"OK",'Conciliacion de compuestos'!$N$2:$N$71,A1193),COUNTIFS('Conciliacion de compuestos'!$D$2:$D$71,"conciliado",'Conciliacion de compuestos'!$E$2:$E$71,"OK",'Conciliacion de compuestos'!$O$2:$O$71,A1193))&gt;0,IFERROR(TEXTJOIN(CHAR(10),TRUE,FILTER('Conciliacion de compuestos'!$A$2:$A$71,('Conciliacion de compuestos'!$D$2:$D$71="conciliado")*('Conciliacion de compuestos'!$E$2:$E$71="OK")*((('Conciliacion de compuestos'!$M$2:$M$71=A1193)+('Conciliacion de compuestos'!$N$2:$N$71=A1193)+('Conciliacion de compuestos'!$O$2:$O$71=A1193))&gt;0))),""),"")</f>
        <v/>
      </c>
      <c r="G1193" s="11">
        <f>IF(I1193="conciliado","conciliado","por revisar")</f>
        <v/>
      </c>
      <c r="H1193" s="11" t="inlineStr"/>
      <c r="I1193" s="11">
        <f>IF(SUM(COUNTIFS('Conciliacion de compuestos'!$D$2:$D$71,"conciliado",'Conciliacion de compuestos'!$E$2:$E$71,"OK",'Conciliacion de compuestos'!$M$2:$M$71,A1193),COUNTIFS('Conciliacion de compuestos'!$D$2:$D$71,"conciliado",'Conciliacion de compuestos'!$E$2:$E$71,"OK",'Conciliacion de compuestos'!$N$2:$N$71,A1193),COUNTIFS('Conciliacion de compuestos'!$D$2:$D$71,"conciliado",'Conciliacion de compuestos'!$E$2:$E$71,"OK",'Conciliacion de compuestos'!$O$2:$O$71,A1193))&gt;0,"conciliado","por revisar")</f>
        <v/>
      </c>
    </row>
    <row r="1194">
      <c r="A1194" s="11" t="n">
        <v>529</v>
      </c>
      <c r="B1194" s="12" t="n">
        <v>46095</v>
      </c>
      <c r="C1194" s="11" t="inlineStr">
        <is>
          <t>cosa gildo jhonimar</t>
        </is>
      </c>
      <c r="D1194" s="13" t="n">
        <v>26200</v>
      </c>
      <c r="E1194" s="11">
        <f>IF(G1194="conciliado","conciliado",I1194)</f>
        <v/>
      </c>
      <c r="F1194" s="11">
        <f>IF(SUM(COUNTIFS('Conciliacion de compuestos'!$D$2:$D$71,"conciliado",'Conciliacion de compuestos'!$E$2:$E$71,"OK",'Conciliacion de compuestos'!$M$2:$M$71,A1194),COUNTIFS('Conciliacion de compuestos'!$D$2:$D$71,"conciliado",'Conciliacion de compuestos'!$E$2:$E$71,"OK",'Conciliacion de compuestos'!$N$2:$N$71,A1194),COUNTIFS('Conciliacion de compuestos'!$D$2:$D$71,"conciliado",'Conciliacion de compuestos'!$E$2:$E$71,"OK",'Conciliacion de compuestos'!$O$2:$O$71,A1194))&gt;0,IFERROR(TEXTJOIN(CHAR(10),TRUE,FILTER('Conciliacion de compuestos'!$A$2:$A$71,('Conciliacion de compuestos'!$D$2:$D$71="conciliado")*('Conciliacion de compuestos'!$E$2:$E$71="OK")*((('Conciliacion de compuestos'!$M$2:$M$71=A1194)+('Conciliacion de compuestos'!$N$2:$N$71=A1194)+('Conciliacion de compuestos'!$O$2:$O$71=A1194))&gt;0))),""),"")</f>
        <v/>
      </c>
      <c r="G1194" s="11">
        <f>IF(I1194="conciliado","conciliado","por revisar")</f>
        <v/>
      </c>
      <c r="H1194" s="11" t="inlineStr"/>
      <c r="I1194" s="11">
        <f>IF(SUM(COUNTIFS('Conciliacion de compuestos'!$D$2:$D$71,"conciliado",'Conciliacion de compuestos'!$E$2:$E$71,"OK",'Conciliacion de compuestos'!$M$2:$M$71,A1194),COUNTIFS('Conciliacion de compuestos'!$D$2:$D$71,"conciliado",'Conciliacion de compuestos'!$E$2:$E$71,"OK",'Conciliacion de compuestos'!$N$2:$N$71,A1194),COUNTIFS('Conciliacion de compuestos'!$D$2:$D$71,"conciliado",'Conciliacion de compuestos'!$E$2:$E$71,"OK",'Conciliacion de compuestos'!$O$2:$O$71,A1194))&gt;0,"conciliado","por revisar")</f>
        <v/>
      </c>
    </row>
    <row r="1195">
      <c r="A1195" s="11" t="n">
        <v>530</v>
      </c>
      <c r="B1195" s="12" t="n">
        <v>46095</v>
      </c>
      <c r="C1195" s="11" t="inlineStr">
        <is>
          <t>castro nefe palacio</t>
        </is>
      </c>
      <c r="D1195" s="13" t="n">
        <v>60500</v>
      </c>
      <c r="E1195" s="11">
        <f>IF(G1195="conciliado","conciliado",I1195)</f>
        <v/>
      </c>
      <c r="F1195" s="11">
        <f>IF(SUM(COUNTIFS('Conciliacion de compuestos'!$D$2:$D$71,"conciliado",'Conciliacion de compuestos'!$E$2:$E$71,"OK",'Conciliacion de compuestos'!$M$2:$M$71,A1195),COUNTIFS('Conciliacion de compuestos'!$D$2:$D$71,"conciliado",'Conciliacion de compuestos'!$E$2:$E$71,"OK",'Conciliacion de compuestos'!$N$2:$N$71,A1195),COUNTIFS('Conciliacion de compuestos'!$D$2:$D$71,"conciliado",'Conciliacion de compuestos'!$E$2:$E$71,"OK",'Conciliacion de compuestos'!$O$2:$O$71,A1195))&gt;0,IFERROR(TEXTJOIN(CHAR(10),TRUE,FILTER('Conciliacion de compuestos'!$A$2:$A$71,('Conciliacion de compuestos'!$D$2:$D$71="conciliado")*('Conciliacion de compuestos'!$E$2:$E$71="OK")*((('Conciliacion de compuestos'!$M$2:$M$71=A1195)+('Conciliacion de compuestos'!$N$2:$N$71=A1195)+('Conciliacion de compuestos'!$O$2:$O$71=A1195))&gt;0))),""),"")</f>
        <v/>
      </c>
      <c r="G1195" s="11">
        <f>IF(I1195="conciliado","conciliado","por revisar")</f>
        <v/>
      </c>
      <c r="H1195" s="11" t="inlineStr"/>
      <c r="I1195" s="11">
        <f>IF(SUM(COUNTIFS('Conciliacion de compuestos'!$D$2:$D$71,"conciliado",'Conciliacion de compuestos'!$E$2:$E$71,"OK",'Conciliacion de compuestos'!$M$2:$M$71,A1195),COUNTIFS('Conciliacion de compuestos'!$D$2:$D$71,"conciliado",'Conciliacion de compuestos'!$E$2:$E$71,"OK",'Conciliacion de compuestos'!$N$2:$N$71,A1195),COUNTIFS('Conciliacion de compuestos'!$D$2:$D$71,"conciliado",'Conciliacion de compuestos'!$E$2:$E$71,"OK",'Conciliacion de compuestos'!$O$2:$O$71,A1195))&gt;0,"conciliado","por revisar")</f>
        <v/>
      </c>
    </row>
    <row r="1196">
      <c r="A1196" s="11" t="n">
        <v>550</v>
      </c>
      <c r="B1196" s="12" t="n">
        <v>46096</v>
      </c>
      <c r="C1196" s="11" t="inlineStr">
        <is>
          <t>alvarez espinosa fab</t>
        </is>
      </c>
      <c r="D1196" s="13" t="n">
        <v>17800</v>
      </c>
      <c r="E1196" s="11">
        <f>IF(G1196="conciliado","conciliado",I1196)</f>
        <v/>
      </c>
      <c r="F1196" s="11">
        <f>IF(SUM(COUNTIFS('Conciliacion de compuestos'!$D$2:$D$71,"conciliado",'Conciliacion de compuestos'!$E$2:$E$71,"OK",'Conciliacion de compuestos'!$M$2:$M$71,A1196),COUNTIFS('Conciliacion de compuestos'!$D$2:$D$71,"conciliado",'Conciliacion de compuestos'!$E$2:$E$71,"OK",'Conciliacion de compuestos'!$N$2:$N$71,A1196),COUNTIFS('Conciliacion de compuestos'!$D$2:$D$71,"conciliado",'Conciliacion de compuestos'!$E$2:$E$71,"OK",'Conciliacion de compuestos'!$O$2:$O$71,A1196))&gt;0,IFERROR(TEXTJOIN(CHAR(10),TRUE,FILTER('Conciliacion de compuestos'!$A$2:$A$71,('Conciliacion de compuestos'!$D$2:$D$71="conciliado")*('Conciliacion de compuestos'!$E$2:$E$71="OK")*((('Conciliacion de compuestos'!$M$2:$M$71=A1196)+('Conciliacion de compuestos'!$N$2:$N$71=A1196)+('Conciliacion de compuestos'!$O$2:$O$71=A1196))&gt;0))),""),"")</f>
        <v/>
      </c>
      <c r="G1196" s="11">
        <f>IF(I1196="conciliado","conciliado","por revisar")</f>
        <v/>
      </c>
      <c r="H1196" s="11" t="inlineStr"/>
      <c r="I1196" s="11">
        <f>IF(SUM(COUNTIFS('Conciliacion de compuestos'!$D$2:$D$71,"conciliado",'Conciliacion de compuestos'!$E$2:$E$71,"OK",'Conciliacion de compuestos'!$M$2:$M$71,A1196),COUNTIFS('Conciliacion de compuestos'!$D$2:$D$71,"conciliado",'Conciliacion de compuestos'!$E$2:$E$71,"OK",'Conciliacion de compuestos'!$N$2:$N$71,A1196),COUNTIFS('Conciliacion de compuestos'!$D$2:$D$71,"conciliado",'Conciliacion de compuestos'!$E$2:$E$71,"OK",'Conciliacion de compuestos'!$O$2:$O$71,A1196))&gt;0,"conciliado","por revisar")</f>
        <v/>
      </c>
    </row>
    <row r="1197">
      <c r="A1197" s="11" t="n">
        <v>552</v>
      </c>
      <c r="B1197" s="12" t="n">
        <v>46096</v>
      </c>
      <c r="C1197" s="11" t="inlineStr">
        <is>
          <t>burbano monica ossa</t>
        </is>
      </c>
      <c r="D1197" s="13" t="n">
        <v>10000</v>
      </c>
      <c r="E1197" s="11">
        <f>IF(G1197="conciliado","conciliado",I1197)</f>
        <v/>
      </c>
      <c r="F1197" s="11">
        <f>IF(SUM(COUNTIFS('Conciliacion de compuestos'!$D$2:$D$71,"conciliado",'Conciliacion de compuestos'!$E$2:$E$71,"OK",'Conciliacion de compuestos'!$M$2:$M$71,A1197),COUNTIFS('Conciliacion de compuestos'!$D$2:$D$71,"conciliado",'Conciliacion de compuestos'!$E$2:$E$71,"OK",'Conciliacion de compuestos'!$N$2:$N$71,A1197),COUNTIFS('Conciliacion de compuestos'!$D$2:$D$71,"conciliado",'Conciliacion de compuestos'!$E$2:$E$71,"OK",'Conciliacion de compuestos'!$O$2:$O$71,A1197))&gt;0,IFERROR(TEXTJOIN(CHAR(10),TRUE,FILTER('Conciliacion de compuestos'!$A$2:$A$71,('Conciliacion de compuestos'!$D$2:$D$71="conciliado")*('Conciliacion de compuestos'!$E$2:$E$71="OK")*((('Conciliacion de compuestos'!$M$2:$M$71=A1197)+('Conciliacion de compuestos'!$N$2:$N$71=A1197)+('Conciliacion de compuestos'!$O$2:$O$71=A1197))&gt;0))),""),"")</f>
        <v/>
      </c>
      <c r="G1197" s="11">
        <f>IF(I1197="conciliado","conciliado","por revisar")</f>
        <v/>
      </c>
      <c r="H1197" s="11" t="inlineStr"/>
      <c r="I1197" s="11">
        <f>IF(SUM(COUNTIFS('Conciliacion de compuestos'!$D$2:$D$71,"conciliado",'Conciliacion de compuestos'!$E$2:$E$71,"OK",'Conciliacion de compuestos'!$M$2:$M$71,A1197),COUNTIFS('Conciliacion de compuestos'!$D$2:$D$71,"conciliado",'Conciliacion de compuestos'!$E$2:$E$71,"OK",'Conciliacion de compuestos'!$N$2:$N$71,A1197),COUNTIFS('Conciliacion de compuestos'!$D$2:$D$71,"conciliado",'Conciliacion de compuestos'!$E$2:$E$71,"OK",'Conciliacion de compuestos'!$O$2:$O$71,A1197))&gt;0,"conciliado","por revisar")</f>
        <v/>
      </c>
    </row>
    <row r="1198">
      <c r="A1198" s="11" t="n">
        <v>554</v>
      </c>
      <c r="B1198" s="12" t="n">
        <v>46096</v>
      </c>
      <c r="C1198" s="11" t="inlineStr">
        <is>
          <t>consumidor final</t>
        </is>
      </c>
      <c r="D1198" s="13" t="n">
        <v>17800</v>
      </c>
      <c r="E1198" s="11">
        <f>IF(G1198="conciliado","conciliado",I1198)</f>
        <v/>
      </c>
      <c r="F1198" s="11">
        <f>IF(SUM(COUNTIFS('Conciliacion de compuestos'!$D$2:$D$71,"conciliado",'Conciliacion de compuestos'!$E$2:$E$71,"OK",'Conciliacion de compuestos'!$M$2:$M$71,A1198),COUNTIFS('Conciliacion de compuestos'!$D$2:$D$71,"conciliado",'Conciliacion de compuestos'!$E$2:$E$71,"OK",'Conciliacion de compuestos'!$N$2:$N$71,A1198),COUNTIFS('Conciliacion de compuestos'!$D$2:$D$71,"conciliado",'Conciliacion de compuestos'!$E$2:$E$71,"OK",'Conciliacion de compuestos'!$O$2:$O$71,A1198))&gt;0,IFERROR(TEXTJOIN(CHAR(10),TRUE,FILTER('Conciliacion de compuestos'!$A$2:$A$71,('Conciliacion de compuestos'!$D$2:$D$71="conciliado")*('Conciliacion de compuestos'!$E$2:$E$71="OK")*((('Conciliacion de compuestos'!$M$2:$M$71=A1198)+('Conciliacion de compuestos'!$N$2:$N$71=A1198)+('Conciliacion de compuestos'!$O$2:$O$71=A1198))&gt;0))),""),"")</f>
        <v/>
      </c>
      <c r="G1198" s="11">
        <f>IF(I1198="conciliado","conciliado","por revisar")</f>
        <v/>
      </c>
      <c r="H1198" s="11" t="inlineStr"/>
      <c r="I1198" s="11">
        <f>IF(SUM(COUNTIFS('Conciliacion de compuestos'!$D$2:$D$71,"conciliado",'Conciliacion de compuestos'!$E$2:$E$71,"OK",'Conciliacion de compuestos'!$M$2:$M$71,A1198),COUNTIFS('Conciliacion de compuestos'!$D$2:$D$71,"conciliado",'Conciliacion de compuestos'!$E$2:$E$71,"OK",'Conciliacion de compuestos'!$N$2:$N$71,A1198),COUNTIFS('Conciliacion de compuestos'!$D$2:$D$71,"conciliado",'Conciliacion de compuestos'!$E$2:$E$71,"OK",'Conciliacion de compuestos'!$O$2:$O$71,A1198))&gt;0,"conciliado","por revisar")</f>
        <v/>
      </c>
    </row>
    <row r="1199">
      <c r="A1199" s="11" t="n">
        <v>561</v>
      </c>
      <c r="B1199" s="12" t="n">
        <v>46096</v>
      </c>
      <c r="C1199" s="11" t="inlineStr">
        <is>
          <t>guerrero jhon jurado</t>
        </is>
      </c>
      <c r="D1199" s="13" t="n">
        <v>9200</v>
      </c>
      <c r="E1199" s="11">
        <f>IF(G1199="conciliado","conciliado",I1199)</f>
        <v/>
      </c>
      <c r="F1199" s="11">
        <f>IF(SUM(COUNTIFS('Conciliacion de compuestos'!$D$2:$D$71,"conciliado",'Conciliacion de compuestos'!$E$2:$E$71,"OK",'Conciliacion de compuestos'!$M$2:$M$71,A1199),COUNTIFS('Conciliacion de compuestos'!$D$2:$D$71,"conciliado",'Conciliacion de compuestos'!$E$2:$E$71,"OK",'Conciliacion de compuestos'!$N$2:$N$71,A1199),COUNTIFS('Conciliacion de compuestos'!$D$2:$D$71,"conciliado",'Conciliacion de compuestos'!$E$2:$E$71,"OK",'Conciliacion de compuestos'!$O$2:$O$71,A1199))&gt;0,IFERROR(TEXTJOIN(CHAR(10),TRUE,FILTER('Conciliacion de compuestos'!$A$2:$A$71,('Conciliacion de compuestos'!$D$2:$D$71="conciliado")*('Conciliacion de compuestos'!$E$2:$E$71="OK")*((('Conciliacion de compuestos'!$M$2:$M$71=A1199)+('Conciliacion de compuestos'!$N$2:$N$71=A1199)+('Conciliacion de compuestos'!$O$2:$O$71=A1199))&gt;0))),""),"")</f>
        <v/>
      </c>
      <c r="G1199" s="11">
        <f>IF(I1199="conciliado","conciliado","por revisar")</f>
        <v/>
      </c>
      <c r="H1199" s="11" t="inlineStr"/>
      <c r="I1199" s="11">
        <f>IF(SUM(COUNTIFS('Conciliacion de compuestos'!$D$2:$D$71,"conciliado",'Conciliacion de compuestos'!$E$2:$E$71,"OK",'Conciliacion de compuestos'!$M$2:$M$71,A1199),COUNTIFS('Conciliacion de compuestos'!$D$2:$D$71,"conciliado",'Conciliacion de compuestos'!$E$2:$E$71,"OK",'Conciliacion de compuestos'!$N$2:$N$71,A1199),COUNTIFS('Conciliacion de compuestos'!$D$2:$D$71,"conciliado",'Conciliacion de compuestos'!$E$2:$E$71,"OK",'Conciliacion de compuestos'!$O$2:$O$71,A1199))&gt;0,"conciliado","por revisar")</f>
        <v/>
      </c>
    </row>
    <row r="1200">
      <c r="A1200" s="11" t="n">
        <v>566</v>
      </c>
      <c r="B1200" s="12" t="n">
        <v>46096</v>
      </c>
      <c r="C1200" s="11" t="inlineStr">
        <is>
          <t>cuchala jes patascoy</t>
        </is>
      </c>
      <c r="D1200" s="13" t="n">
        <v>40000</v>
      </c>
      <c r="E1200" s="11">
        <f>IF(G1200="conciliado","conciliado",I1200)</f>
        <v/>
      </c>
      <c r="F1200" s="11">
        <f>IF(SUM(COUNTIFS('Conciliacion de compuestos'!$D$2:$D$71,"conciliado",'Conciliacion de compuestos'!$E$2:$E$71,"OK",'Conciliacion de compuestos'!$M$2:$M$71,A1200),COUNTIFS('Conciliacion de compuestos'!$D$2:$D$71,"conciliado",'Conciliacion de compuestos'!$E$2:$E$71,"OK",'Conciliacion de compuestos'!$N$2:$N$71,A1200),COUNTIFS('Conciliacion de compuestos'!$D$2:$D$71,"conciliado",'Conciliacion de compuestos'!$E$2:$E$71,"OK",'Conciliacion de compuestos'!$O$2:$O$71,A1200))&gt;0,IFERROR(TEXTJOIN(CHAR(10),TRUE,FILTER('Conciliacion de compuestos'!$A$2:$A$71,('Conciliacion de compuestos'!$D$2:$D$71="conciliado")*('Conciliacion de compuestos'!$E$2:$E$71="OK")*((('Conciliacion de compuestos'!$M$2:$M$71=A1200)+('Conciliacion de compuestos'!$N$2:$N$71=A1200)+('Conciliacion de compuestos'!$O$2:$O$71=A1200))&gt;0))),""),"")</f>
        <v/>
      </c>
      <c r="G1200" s="11">
        <f>IF(I1200="conciliado","conciliado","por revisar")</f>
        <v/>
      </c>
      <c r="H1200" s="11" t="inlineStr"/>
      <c r="I1200" s="11">
        <f>IF(SUM(COUNTIFS('Conciliacion de compuestos'!$D$2:$D$71,"conciliado",'Conciliacion de compuestos'!$E$2:$E$71,"OK",'Conciliacion de compuestos'!$M$2:$M$71,A1200),COUNTIFS('Conciliacion de compuestos'!$D$2:$D$71,"conciliado",'Conciliacion de compuestos'!$E$2:$E$71,"OK",'Conciliacion de compuestos'!$N$2:$N$71,A1200),COUNTIFS('Conciliacion de compuestos'!$D$2:$D$71,"conciliado",'Conciliacion de compuestos'!$E$2:$E$71,"OK",'Conciliacion de compuestos'!$O$2:$O$71,A1200))&gt;0,"conciliado","por revisar")</f>
        <v/>
      </c>
    </row>
    <row r="1201">
      <c r="A1201" s="11" t="n">
        <v>568</v>
      </c>
      <c r="B1201" s="12" t="n">
        <v>46096</v>
      </c>
      <c r="C1201" s="11" t="inlineStr">
        <is>
          <t>castillo corrales si</t>
        </is>
      </c>
      <c r="D1201" s="13" t="n">
        <v>10000</v>
      </c>
      <c r="E1201" s="11">
        <f>IF(G1201="conciliado","conciliado",I1201)</f>
        <v/>
      </c>
      <c r="F1201" s="11">
        <f>IF(SUM(COUNTIFS('Conciliacion de compuestos'!$D$2:$D$71,"conciliado",'Conciliacion de compuestos'!$E$2:$E$71,"OK",'Conciliacion de compuestos'!$M$2:$M$71,A1201),COUNTIFS('Conciliacion de compuestos'!$D$2:$D$71,"conciliado",'Conciliacion de compuestos'!$E$2:$E$71,"OK",'Conciliacion de compuestos'!$N$2:$N$71,A1201),COUNTIFS('Conciliacion de compuestos'!$D$2:$D$71,"conciliado",'Conciliacion de compuestos'!$E$2:$E$71,"OK",'Conciliacion de compuestos'!$O$2:$O$71,A1201))&gt;0,IFERROR(TEXTJOIN(CHAR(10),TRUE,FILTER('Conciliacion de compuestos'!$A$2:$A$71,('Conciliacion de compuestos'!$D$2:$D$71="conciliado")*('Conciliacion de compuestos'!$E$2:$E$71="OK")*((('Conciliacion de compuestos'!$M$2:$M$71=A1201)+('Conciliacion de compuestos'!$N$2:$N$71=A1201)+('Conciliacion de compuestos'!$O$2:$O$71=A1201))&gt;0))),""),"")</f>
        <v/>
      </c>
      <c r="G1201" s="11">
        <f>IF(I1201="conciliado","conciliado","por revisar")</f>
        <v/>
      </c>
      <c r="H1201" s="11" t="inlineStr"/>
      <c r="I1201" s="11">
        <f>IF(SUM(COUNTIFS('Conciliacion de compuestos'!$D$2:$D$71,"conciliado",'Conciliacion de compuestos'!$E$2:$E$71,"OK",'Conciliacion de compuestos'!$M$2:$M$71,A1201),COUNTIFS('Conciliacion de compuestos'!$D$2:$D$71,"conciliado",'Conciliacion de compuestos'!$E$2:$E$71,"OK",'Conciliacion de compuestos'!$N$2:$N$71,A1201),COUNTIFS('Conciliacion de compuestos'!$D$2:$D$71,"conciliado",'Conciliacion de compuestos'!$E$2:$E$71,"OK",'Conciliacion de compuestos'!$O$2:$O$71,A1201))&gt;0,"conciliado","por revisar")</f>
        <v/>
      </c>
    </row>
    <row r="1202">
      <c r="A1202" s="11" t="n">
        <v>570</v>
      </c>
      <c r="B1202" s="12" t="n">
        <v>46096</v>
      </c>
      <c r="C1202" s="11" t="inlineStr">
        <is>
          <t>bastidas j rodriguez</t>
        </is>
      </c>
      <c r="D1202" s="13" t="n">
        <v>60000</v>
      </c>
      <c r="E1202" s="11">
        <f>IF(G1202="conciliado","conciliado",I1202)</f>
        <v/>
      </c>
      <c r="F1202" s="11">
        <f>IF(SUM(COUNTIFS('Conciliacion de compuestos'!$D$2:$D$71,"conciliado",'Conciliacion de compuestos'!$E$2:$E$71,"OK",'Conciliacion de compuestos'!$M$2:$M$71,A1202),COUNTIFS('Conciliacion de compuestos'!$D$2:$D$71,"conciliado",'Conciliacion de compuestos'!$E$2:$E$71,"OK",'Conciliacion de compuestos'!$N$2:$N$71,A1202),COUNTIFS('Conciliacion de compuestos'!$D$2:$D$71,"conciliado",'Conciliacion de compuestos'!$E$2:$E$71,"OK",'Conciliacion de compuestos'!$O$2:$O$71,A1202))&gt;0,IFERROR(TEXTJOIN(CHAR(10),TRUE,FILTER('Conciliacion de compuestos'!$A$2:$A$71,('Conciliacion de compuestos'!$D$2:$D$71="conciliado")*('Conciliacion de compuestos'!$E$2:$E$71="OK")*((('Conciliacion de compuestos'!$M$2:$M$71=A1202)+('Conciliacion de compuestos'!$N$2:$N$71=A1202)+('Conciliacion de compuestos'!$O$2:$O$71=A1202))&gt;0))),""),"")</f>
        <v/>
      </c>
      <c r="G1202" s="11">
        <f>IF(I1202="conciliado","conciliado","por revisar")</f>
        <v/>
      </c>
      <c r="H1202" s="11" t="inlineStr"/>
      <c r="I1202" s="11">
        <f>IF(SUM(COUNTIFS('Conciliacion de compuestos'!$D$2:$D$71,"conciliado",'Conciliacion de compuestos'!$E$2:$E$71,"OK",'Conciliacion de compuestos'!$M$2:$M$71,A1202),COUNTIFS('Conciliacion de compuestos'!$D$2:$D$71,"conciliado",'Conciliacion de compuestos'!$E$2:$E$71,"OK",'Conciliacion de compuestos'!$N$2:$N$71,A1202),COUNTIFS('Conciliacion de compuestos'!$D$2:$D$71,"conciliado",'Conciliacion de compuestos'!$E$2:$E$71,"OK",'Conciliacion de compuestos'!$O$2:$O$71,A1202))&gt;0,"conciliado","por revisar")</f>
        <v/>
      </c>
    </row>
    <row r="1203">
      <c r="A1203" s="11" t="n">
        <v>574</v>
      </c>
      <c r="B1203" s="12" t="n">
        <v>46096</v>
      </c>
      <c r="C1203" s="11" t="inlineStr">
        <is>
          <t>nicol rivero solarte</t>
        </is>
      </c>
      <c r="D1203" s="13" t="n">
        <v>10000</v>
      </c>
      <c r="E1203" s="11">
        <f>IF(G1203="conciliado","conciliado",I1203)</f>
        <v/>
      </c>
      <c r="F1203" s="11">
        <f>IF(SUM(COUNTIFS('Conciliacion de compuestos'!$D$2:$D$71,"conciliado",'Conciliacion de compuestos'!$E$2:$E$71,"OK",'Conciliacion de compuestos'!$M$2:$M$71,A1203),COUNTIFS('Conciliacion de compuestos'!$D$2:$D$71,"conciliado",'Conciliacion de compuestos'!$E$2:$E$71,"OK",'Conciliacion de compuestos'!$N$2:$N$71,A1203),COUNTIFS('Conciliacion de compuestos'!$D$2:$D$71,"conciliado",'Conciliacion de compuestos'!$E$2:$E$71,"OK",'Conciliacion de compuestos'!$O$2:$O$71,A1203))&gt;0,IFERROR(TEXTJOIN(CHAR(10),TRUE,FILTER('Conciliacion de compuestos'!$A$2:$A$71,('Conciliacion de compuestos'!$D$2:$D$71="conciliado")*('Conciliacion de compuestos'!$E$2:$E$71="OK")*((('Conciliacion de compuestos'!$M$2:$M$71=A1203)+('Conciliacion de compuestos'!$N$2:$N$71=A1203)+('Conciliacion de compuestos'!$O$2:$O$71=A1203))&gt;0))),""),"")</f>
        <v/>
      </c>
      <c r="G1203" s="11">
        <f>IF(I1203="conciliado","conciliado","por revisar")</f>
        <v/>
      </c>
      <c r="H1203" s="11" t="inlineStr"/>
      <c r="I1203" s="11">
        <f>IF(SUM(COUNTIFS('Conciliacion de compuestos'!$D$2:$D$71,"conciliado",'Conciliacion de compuestos'!$E$2:$E$71,"OK",'Conciliacion de compuestos'!$M$2:$M$71,A1203),COUNTIFS('Conciliacion de compuestos'!$D$2:$D$71,"conciliado",'Conciliacion de compuestos'!$E$2:$E$71,"OK",'Conciliacion de compuestos'!$N$2:$N$71,A1203),COUNTIFS('Conciliacion de compuestos'!$D$2:$D$71,"conciliado",'Conciliacion de compuestos'!$E$2:$E$71,"OK",'Conciliacion de compuestos'!$O$2:$O$71,A1203))&gt;0,"conciliado","por revisar")</f>
        <v/>
      </c>
    </row>
    <row r="1204">
      <c r="A1204" s="11" t="n">
        <v>591</v>
      </c>
      <c r="B1204" s="12" t="n">
        <v>46097</v>
      </c>
      <c r="C1204" s="11" t="inlineStr">
        <is>
          <t>leid portilla urbano</t>
        </is>
      </c>
      <c r="D1204" s="13" t="n">
        <v>242500</v>
      </c>
      <c r="E1204" s="11">
        <f>IF(G1204="conciliado","conciliado",I1204)</f>
        <v/>
      </c>
      <c r="F1204" s="11">
        <f>IF(SUM(COUNTIFS('Conciliacion de compuestos'!$D$2:$D$71,"conciliado",'Conciliacion de compuestos'!$E$2:$E$71,"OK",'Conciliacion de compuestos'!$M$2:$M$71,A1204),COUNTIFS('Conciliacion de compuestos'!$D$2:$D$71,"conciliado",'Conciliacion de compuestos'!$E$2:$E$71,"OK",'Conciliacion de compuestos'!$N$2:$N$71,A1204),COUNTIFS('Conciliacion de compuestos'!$D$2:$D$71,"conciliado",'Conciliacion de compuestos'!$E$2:$E$71,"OK",'Conciliacion de compuestos'!$O$2:$O$71,A1204))&gt;0,IFERROR(TEXTJOIN(CHAR(10),TRUE,FILTER('Conciliacion de compuestos'!$A$2:$A$71,('Conciliacion de compuestos'!$D$2:$D$71="conciliado")*('Conciliacion de compuestos'!$E$2:$E$71="OK")*((('Conciliacion de compuestos'!$M$2:$M$71=A1204)+('Conciliacion de compuestos'!$N$2:$N$71=A1204)+('Conciliacion de compuestos'!$O$2:$O$71=A1204))&gt;0))),""),"")</f>
        <v/>
      </c>
      <c r="G1204" s="11">
        <f>IF(I1204="conciliado","conciliado","por revisar")</f>
        <v/>
      </c>
      <c r="H1204" s="11" t="inlineStr"/>
      <c r="I1204" s="11">
        <f>IF(SUM(COUNTIFS('Conciliacion de compuestos'!$D$2:$D$71,"conciliado",'Conciliacion de compuestos'!$E$2:$E$71,"OK",'Conciliacion de compuestos'!$M$2:$M$71,A1204),COUNTIFS('Conciliacion de compuestos'!$D$2:$D$71,"conciliado",'Conciliacion de compuestos'!$E$2:$E$71,"OK",'Conciliacion de compuestos'!$N$2:$N$71,A1204),COUNTIFS('Conciliacion de compuestos'!$D$2:$D$71,"conciliado",'Conciliacion de compuestos'!$E$2:$E$71,"OK",'Conciliacion de compuestos'!$O$2:$O$71,A1204))&gt;0,"conciliado","por revisar")</f>
        <v/>
      </c>
    </row>
    <row r="1205">
      <c r="A1205" s="11" t="n">
        <v>602</v>
      </c>
      <c r="B1205" s="12" t="n">
        <v>46097</v>
      </c>
      <c r="C1205" s="11" t="inlineStr">
        <is>
          <t>jeimy riascos silva</t>
        </is>
      </c>
      <c r="D1205" s="13" t="n">
        <v>59200</v>
      </c>
      <c r="E1205" s="11">
        <f>IF(G1205="conciliado","conciliado",I1205)</f>
        <v/>
      </c>
      <c r="F1205" s="11">
        <f>IF(SUM(COUNTIFS('Conciliacion de compuestos'!$D$2:$D$71,"conciliado",'Conciliacion de compuestos'!$E$2:$E$71,"OK",'Conciliacion de compuestos'!$M$2:$M$71,A1205),COUNTIFS('Conciliacion de compuestos'!$D$2:$D$71,"conciliado",'Conciliacion de compuestos'!$E$2:$E$71,"OK",'Conciliacion de compuestos'!$N$2:$N$71,A1205),COUNTIFS('Conciliacion de compuestos'!$D$2:$D$71,"conciliado",'Conciliacion de compuestos'!$E$2:$E$71,"OK",'Conciliacion de compuestos'!$O$2:$O$71,A1205))&gt;0,IFERROR(TEXTJOIN(CHAR(10),TRUE,FILTER('Conciliacion de compuestos'!$A$2:$A$71,('Conciliacion de compuestos'!$D$2:$D$71="conciliado")*('Conciliacion de compuestos'!$E$2:$E$71="OK")*((('Conciliacion de compuestos'!$M$2:$M$71=A1205)+('Conciliacion de compuestos'!$N$2:$N$71=A1205)+('Conciliacion de compuestos'!$O$2:$O$71=A1205))&gt;0))),""),"")</f>
        <v/>
      </c>
      <c r="G1205" s="11">
        <f>IF(I1205="conciliado","conciliado","por revisar")</f>
        <v/>
      </c>
      <c r="H1205" s="11" t="inlineStr"/>
      <c r="I1205" s="11">
        <f>IF(SUM(COUNTIFS('Conciliacion de compuestos'!$D$2:$D$71,"conciliado",'Conciliacion de compuestos'!$E$2:$E$71,"OK",'Conciliacion de compuestos'!$M$2:$M$71,A1205),COUNTIFS('Conciliacion de compuestos'!$D$2:$D$71,"conciliado",'Conciliacion de compuestos'!$E$2:$E$71,"OK",'Conciliacion de compuestos'!$N$2:$N$71,A1205),COUNTIFS('Conciliacion de compuestos'!$D$2:$D$71,"conciliado",'Conciliacion de compuestos'!$E$2:$E$71,"OK",'Conciliacion de compuestos'!$O$2:$O$71,A1205))&gt;0,"conciliado","por revisar")</f>
        <v/>
      </c>
    </row>
    <row r="1206">
      <c r="A1206" s="11" t="n">
        <v>668</v>
      </c>
      <c r="B1206" s="12" t="n">
        <v>46099</v>
      </c>
      <c r="C1206" s="11" t="inlineStr">
        <is>
          <t>benavide manchabajoy</t>
        </is>
      </c>
      <c r="D1206" s="13" t="n">
        <v>46400</v>
      </c>
      <c r="E1206" s="11">
        <f>IF(G1206="conciliado","conciliado",I1206)</f>
        <v/>
      </c>
      <c r="F1206" s="11">
        <f>IF(SUM(COUNTIFS('Conciliacion de compuestos'!$D$2:$D$71,"conciliado",'Conciliacion de compuestos'!$E$2:$E$71,"OK",'Conciliacion de compuestos'!$M$2:$M$71,A1206),COUNTIFS('Conciliacion de compuestos'!$D$2:$D$71,"conciliado",'Conciliacion de compuestos'!$E$2:$E$71,"OK",'Conciliacion de compuestos'!$N$2:$N$71,A1206),COUNTIFS('Conciliacion de compuestos'!$D$2:$D$71,"conciliado",'Conciliacion de compuestos'!$E$2:$E$71,"OK",'Conciliacion de compuestos'!$O$2:$O$71,A1206))&gt;0,IFERROR(TEXTJOIN(CHAR(10),TRUE,FILTER('Conciliacion de compuestos'!$A$2:$A$71,('Conciliacion de compuestos'!$D$2:$D$71="conciliado")*('Conciliacion de compuestos'!$E$2:$E$71="OK")*((('Conciliacion de compuestos'!$M$2:$M$71=A1206)+('Conciliacion de compuestos'!$N$2:$N$71=A1206)+('Conciliacion de compuestos'!$O$2:$O$71=A1206))&gt;0))),""),"")</f>
        <v/>
      </c>
      <c r="G1206" s="11">
        <f>IF(I1206="conciliado","conciliado","por revisar")</f>
        <v/>
      </c>
      <c r="H1206" s="11" t="inlineStr"/>
      <c r="I1206" s="11">
        <f>IF(SUM(COUNTIFS('Conciliacion de compuestos'!$D$2:$D$71,"conciliado",'Conciliacion de compuestos'!$E$2:$E$71,"OK",'Conciliacion de compuestos'!$M$2:$M$71,A1206),COUNTIFS('Conciliacion de compuestos'!$D$2:$D$71,"conciliado",'Conciliacion de compuestos'!$E$2:$E$71,"OK",'Conciliacion de compuestos'!$N$2:$N$71,A1206),COUNTIFS('Conciliacion de compuestos'!$D$2:$D$71,"conciliado",'Conciliacion de compuestos'!$E$2:$E$71,"OK",'Conciliacion de compuestos'!$O$2:$O$71,A1206))&gt;0,"conciliado","por revisar")</f>
        <v/>
      </c>
    </row>
    <row r="1207">
      <c r="A1207" s="11" t="n">
        <v>671</v>
      </c>
      <c r="B1207" s="12" t="n">
        <v>46099</v>
      </c>
      <c r="C1207" s="11" t="inlineStr">
        <is>
          <t>forero gonzalez jenn</t>
        </is>
      </c>
      <c r="D1207" s="13" t="n">
        <v>15000</v>
      </c>
      <c r="E1207" s="11">
        <f>IF(G1207="conciliado","conciliado",I1207)</f>
        <v/>
      </c>
      <c r="F1207" s="11">
        <f>IF(SUM(COUNTIFS('Conciliacion de compuestos'!$D$2:$D$71,"conciliado",'Conciliacion de compuestos'!$E$2:$E$71,"OK",'Conciliacion de compuestos'!$M$2:$M$71,A1207),COUNTIFS('Conciliacion de compuestos'!$D$2:$D$71,"conciliado",'Conciliacion de compuestos'!$E$2:$E$71,"OK",'Conciliacion de compuestos'!$N$2:$N$71,A1207),COUNTIFS('Conciliacion de compuestos'!$D$2:$D$71,"conciliado",'Conciliacion de compuestos'!$E$2:$E$71,"OK",'Conciliacion de compuestos'!$O$2:$O$71,A1207))&gt;0,IFERROR(TEXTJOIN(CHAR(10),TRUE,FILTER('Conciliacion de compuestos'!$A$2:$A$71,('Conciliacion de compuestos'!$D$2:$D$71="conciliado")*('Conciliacion de compuestos'!$E$2:$E$71="OK")*((('Conciliacion de compuestos'!$M$2:$M$71=A1207)+('Conciliacion de compuestos'!$N$2:$N$71=A1207)+('Conciliacion de compuestos'!$O$2:$O$71=A1207))&gt;0))),""),"")</f>
        <v/>
      </c>
      <c r="G1207" s="11">
        <f>IF(I1207="conciliado","conciliado","por revisar")</f>
        <v/>
      </c>
      <c r="H1207" s="11" t="inlineStr"/>
      <c r="I1207" s="11">
        <f>IF(SUM(COUNTIFS('Conciliacion de compuestos'!$D$2:$D$71,"conciliado",'Conciliacion de compuestos'!$E$2:$E$71,"OK",'Conciliacion de compuestos'!$M$2:$M$71,A1207),COUNTIFS('Conciliacion de compuestos'!$D$2:$D$71,"conciliado",'Conciliacion de compuestos'!$E$2:$E$71,"OK",'Conciliacion de compuestos'!$N$2:$N$71,A1207),COUNTIFS('Conciliacion de compuestos'!$D$2:$D$71,"conciliado",'Conciliacion de compuestos'!$E$2:$E$71,"OK",'Conciliacion de compuestos'!$O$2:$O$71,A1207))&gt;0,"conciliado","por revisar")</f>
        <v/>
      </c>
    </row>
    <row r="1208">
      <c r="A1208" s="11" t="n">
        <v>726</v>
      </c>
      <c r="B1208" s="12" t="n">
        <v>46100</v>
      </c>
      <c r="C1208" s="11" t="inlineStr">
        <is>
          <t>gutierrez j tamaniza</t>
        </is>
      </c>
      <c r="D1208" s="13" t="n">
        <v>84000</v>
      </c>
      <c r="E1208" s="11">
        <f>IF(G1208="conciliado","conciliado",I1208)</f>
        <v/>
      </c>
      <c r="F1208" s="11">
        <f>IF(SUM(COUNTIFS('Conciliacion de compuestos'!$D$2:$D$71,"conciliado",'Conciliacion de compuestos'!$E$2:$E$71,"OK",'Conciliacion de compuestos'!$M$2:$M$71,A1208),COUNTIFS('Conciliacion de compuestos'!$D$2:$D$71,"conciliado",'Conciliacion de compuestos'!$E$2:$E$71,"OK",'Conciliacion de compuestos'!$N$2:$N$71,A1208),COUNTIFS('Conciliacion de compuestos'!$D$2:$D$71,"conciliado",'Conciliacion de compuestos'!$E$2:$E$71,"OK",'Conciliacion de compuestos'!$O$2:$O$71,A1208))&gt;0,IFERROR(TEXTJOIN(CHAR(10),TRUE,FILTER('Conciliacion de compuestos'!$A$2:$A$71,('Conciliacion de compuestos'!$D$2:$D$71="conciliado")*('Conciliacion de compuestos'!$E$2:$E$71="OK")*((('Conciliacion de compuestos'!$M$2:$M$71=A1208)+('Conciliacion de compuestos'!$N$2:$N$71=A1208)+('Conciliacion de compuestos'!$O$2:$O$71=A1208))&gt;0))),""),"")</f>
        <v/>
      </c>
      <c r="G1208" s="11">
        <f>IF(I1208="conciliado","conciliado","por revisar")</f>
        <v/>
      </c>
      <c r="H1208" s="11" t="inlineStr"/>
      <c r="I1208" s="11">
        <f>IF(SUM(COUNTIFS('Conciliacion de compuestos'!$D$2:$D$71,"conciliado",'Conciliacion de compuestos'!$E$2:$E$71,"OK",'Conciliacion de compuestos'!$M$2:$M$71,A1208),COUNTIFS('Conciliacion de compuestos'!$D$2:$D$71,"conciliado",'Conciliacion de compuestos'!$E$2:$E$71,"OK",'Conciliacion de compuestos'!$N$2:$N$71,A1208),COUNTIFS('Conciliacion de compuestos'!$D$2:$D$71,"conciliado",'Conciliacion de compuestos'!$E$2:$E$71,"OK",'Conciliacion de compuestos'!$O$2:$O$71,A1208))&gt;0,"conciliado","por revisar")</f>
        <v/>
      </c>
    </row>
    <row r="1209">
      <c r="A1209" s="11" t="n">
        <v>738</v>
      </c>
      <c r="B1209" s="12" t="n">
        <v>46100</v>
      </c>
      <c r="C1209" s="11" t="inlineStr">
        <is>
          <t>camil diaz lopez</t>
        </is>
      </c>
      <c r="D1209" s="13" t="n">
        <v>16600</v>
      </c>
      <c r="E1209" s="11">
        <f>IF(G1209="conciliado","conciliado",I1209)</f>
        <v/>
      </c>
      <c r="F1209" s="11">
        <f>IF(SUM(COUNTIFS('Conciliacion de compuestos'!$D$2:$D$71,"conciliado",'Conciliacion de compuestos'!$E$2:$E$71,"OK",'Conciliacion de compuestos'!$M$2:$M$71,A1209),COUNTIFS('Conciliacion de compuestos'!$D$2:$D$71,"conciliado",'Conciliacion de compuestos'!$E$2:$E$71,"OK",'Conciliacion de compuestos'!$N$2:$N$71,A1209),COUNTIFS('Conciliacion de compuestos'!$D$2:$D$71,"conciliado",'Conciliacion de compuestos'!$E$2:$E$71,"OK",'Conciliacion de compuestos'!$O$2:$O$71,A1209))&gt;0,IFERROR(TEXTJOIN(CHAR(10),TRUE,FILTER('Conciliacion de compuestos'!$A$2:$A$71,('Conciliacion de compuestos'!$D$2:$D$71="conciliado")*('Conciliacion de compuestos'!$E$2:$E$71="OK")*((('Conciliacion de compuestos'!$M$2:$M$71=A1209)+('Conciliacion de compuestos'!$N$2:$N$71=A1209)+('Conciliacion de compuestos'!$O$2:$O$71=A1209))&gt;0))),""),"")</f>
        <v/>
      </c>
      <c r="G1209" s="11">
        <f>IF(I1209="conciliado","conciliado","por revisar")</f>
        <v/>
      </c>
      <c r="H1209" s="11" t="inlineStr"/>
      <c r="I1209" s="11">
        <f>IF(SUM(COUNTIFS('Conciliacion de compuestos'!$D$2:$D$71,"conciliado",'Conciliacion de compuestos'!$E$2:$E$71,"OK",'Conciliacion de compuestos'!$M$2:$M$71,A1209),COUNTIFS('Conciliacion de compuestos'!$D$2:$D$71,"conciliado",'Conciliacion de compuestos'!$E$2:$E$71,"OK",'Conciliacion de compuestos'!$N$2:$N$71,A1209),COUNTIFS('Conciliacion de compuestos'!$D$2:$D$71,"conciliado",'Conciliacion de compuestos'!$E$2:$E$71,"OK",'Conciliacion de compuestos'!$O$2:$O$71,A1209))&gt;0,"conciliado","por revisar")</f>
        <v/>
      </c>
    </row>
    <row r="1210">
      <c r="A1210" s="11" t="n">
        <v>754</v>
      </c>
      <c r="B1210" s="12" t="n">
        <v>46101</v>
      </c>
      <c r="C1210" s="11" t="inlineStr">
        <is>
          <t>ca juan sanchez toro</t>
        </is>
      </c>
      <c r="D1210" s="13" t="n">
        <v>16700</v>
      </c>
      <c r="E1210" s="11">
        <f>IF(G1210="conciliado","conciliado",I1210)</f>
        <v/>
      </c>
      <c r="F1210" s="11">
        <f>IF(SUM(COUNTIFS('Conciliacion de compuestos'!$D$2:$D$71,"conciliado",'Conciliacion de compuestos'!$E$2:$E$71,"OK",'Conciliacion de compuestos'!$M$2:$M$71,A1210),COUNTIFS('Conciliacion de compuestos'!$D$2:$D$71,"conciliado",'Conciliacion de compuestos'!$E$2:$E$71,"OK",'Conciliacion de compuestos'!$N$2:$N$71,A1210),COUNTIFS('Conciliacion de compuestos'!$D$2:$D$71,"conciliado",'Conciliacion de compuestos'!$E$2:$E$71,"OK",'Conciliacion de compuestos'!$O$2:$O$71,A1210))&gt;0,IFERROR(TEXTJOIN(CHAR(10),TRUE,FILTER('Conciliacion de compuestos'!$A$2:$A$71,('Conciliacion de compuestos'!$D$2:$D$71="conciliado")*('Conciliacion de compuestos'!$E$2:$E$71="OK")*((('Conciliacion de compuestos'!$M$2:$M$71=A1210)+('Conciliacion de compuestos'!$N$2:$N$71=A1210)+('Conciliacion de compuestos'!$O$2:$O$71=A1210))&gt;0))),""),"")</f>
        <v/>
      </c>
      <c r="G1210" s="11">
        <f>IF(I1210="conciliado","conciliado","por revisar")</f>
        <v/>
      </c>
      <c r="H1210" s="11" t="inlineStr"/>
      <c r="I1210" s="11">
        <f>IF(SUM(COUNTIFS('Conciliacion de compuestos'!$D$2:$D$71,"conciliado",'Conciliacion de compuestos'!$E$2:$E$71,"OK",'Conciliacion de compuestos'!$M$2:$M$71,A1210),COUNTIFS('Conciliacion de compuestos'!$D$2:$D$71,"conciliado",'Conciliacion de compuestos'!$E$2:$E$71,"OK",'Conciliacion de compuestos'!$N$2:$N$71,A1210),COUNTIFS('Conciliacion de compuestos'!$D$2:$D$71,"conciliado",'Conciliacion de compuestos'!$E$2:$E$71,"OK",'Conciliacion de compuestos'!$O$2:$O$71,A1210))&gt;0,"conciliado","por revisar")</f>
        <v/>
      </c>
    </row>
    <row r="1211">
      <c r="A1211" s="11" t="n">
        <v>792</v>
      </c>
      <c r="B1211" s="12" t="n">
        <v>46102</v>
      </c>
      <c r="C1211" s="11" t="inlineStr">
        <is>
          <t>betancurth ro zapata</t>
        </is>
      </c>
      <c r="D1211" s="13" t="n">
        <v>89900</v>
      </c>
      <c r="E1211" s="11">
        <f>IF(G1211="conciliado","conciliado",I1211)</f>
        <v/>
      </c>
      <c r="F1211" s="11">
        <f>IF(SUM(COUNTIFS('Conciliacion de compuestos'!$D$2:$D$71,"conciliado",'Conciliacion de compuestos'!$E$2:$E$71,"OK",'Conciliacion de compuestos'!$M$2:$M$71,A1211),COUNTIFS('Conciliacion de compuestos'!$D$2:$D$71,"conciliado",'Conciliacion de compuestos'!$E$2:$E$71,"OK",'Conciliacion de compuestos'!$N$2:$N$71,A1211),COUNTIFS('Conciliacion de compuestos'!$D$2:$D$71,"conciliado",'Conciliacion de compuestos'!$E$2:$E$71,"OK",'Conciliacion de compuestos'!$O$2:$O$71,A1211))&gt;0,IFERROR(TEXTJOIN(CHAR(10),TRUE,FILTER('Conciliacion de compuestos'!$A$2:$A$71,('Conciliacion de compuestos'!$D$2:$D$71="conciliado")*('Conciliacion de compuestos'!$E$2:$E$71="OK")*((('Conciliacion de compuestos'!$M$2:$M$71=A1211)+('Conciliacion de compuestos'!$N$2:$N$71=A1211)+('Conciliacion de compuestos'!$O$2:$O$71=A1211))&gt;0))),""),"")</f>
        <v/>
      </c>
      <c r="G1211" s="11">
        <f>IF(I1211="conciliado","conciliado","por revisar")</f>
        <v/>
      </c>
      <c r="H1211" s="11" t="inlineStr"/>
      <c r="I1211" s="11">
        <f>IF(SUM(COUNTIFS('Conciliacion de compuestos'!$D$2:$D$71,"conciliado",'Conciliacion de compuestos'!$E$2:$E$71,"OK",'Conciliacion de compuestos'!$M$2:$M$71,A1211),COUNTIFS('Conciliacion de compuestos'!$D$2:$D$71,"conciliado",'Conciliacion de compuestos'!$E$2:$E$71,"OK",'Conciliacion de compuestos'!$N$2:$N$71,A1211),COUNTIFS('Conciliacion de compuestos'!$D$2:$D$71,"conciliado",'Conciliacion de compuestos'!$E$2:$E$71,"OK",'Conciliacion de compuestos'!$O$2:$O$71,A1211))&gt;0,"conciliado","por revisar")</f>
        <v/>
      </c>
    </row>
    <row r="1212">
      <c r="A1212" s="11" t="n">
        <v>798</v>
      </c>
      <c r="B1212" s="12" t="n">
        <v>46102</v>
      </c>
      <c r="C1212" s="11" t="inlineStr">
        <is>
          <t>alvarez espinosa fab</t>
        </is>
      </c>
      <c r="D1212" s="13" t="n">
        <v>27100</v>
      </c>
      <c r="E1212" s="11">
        <f>IF(G1212="conciliado","conciliado",I1212)</f>
        <v/>
      </c>
      <c r="F1212" s="11">
        <f>IF(SUM(COUNTIFS('Conciliacion de compuestos'!$D$2:$D$71,"conciliado",'Conciliacion de compuestos'!$E$2:$E$71,"OK",'Conciliacion de compuestos'!$M$2:$M$71,A1212),COUNTIFS('Conciliacion de compuestos'!$D$2:$D$71,"conciliado",'Conciliacion de compuestos'!$E$2:$E$71,"OK",'Conciliacion de compuestos'!$N$2:$N$71,A1212),COUNTIFS('Conciliacion de compuestos'!$D$2:$D$71,"conciliado",'Conciliacion de compuestos'!$E$2:$E$71,"OK",'Conciliacion de compuestos'!$O$2:$O$71,A1212))&gt;0,IFERROR(TEXTJOIN(CHAR(10),TRUE,FILTER('Conciliacion de compuestos'!$A$2:$A$71,('Conciliacion de compuestos'!$D$2:$D$71="conciliado")*('Conciliacion de compuestos'!$E$2:$E$71="OK")*((('Conciliacion de compuestos'!$M$2:$M$71=A1212)+('Conciliacion de compuestos'!$N$2:$N$71=A1212)+('Conciliacion de compuestos'!$O$2:$O$71=A1212))&gt;0))),""),"")</f>
        <v/>
      </c>
      <c r="G1212" s="11">
        <f>IF(I1212="conciliado","conciliado","por revisar")</f>
        <v/>
      </c>
      <c r="H1212" s="11" t="inlineStr"/>
      <c r="I1212" s="11">
        <f>IF(SUM(COUNTIFS('Conciliacion de compuestos'!$D$2:$D$71,"conciliado",'Conciliacion de compuestos'!$E$2:$E$71,"OK",'Conciliacion de compuestos'!$M$2:$M$71,A1212),COUNTIFS('Conciliacion de compuestos'!$D$2:$D$71,"conciliado",'Conciliacion de compuestos'!$E$2:$E$71,"OK",'Conciliacion de compuestos'!$N$2:$N$71,A1212),COUNTIFS('Conciliacion de compuestos'!$D$2:$D$71,"conciliado",'Conciliacion de compuestos'!$E$2:$E$71,"OK",'Conciliacion de compuestos'!$O$2:$O$71,A1212))&gt;0,"conciliado","por revisar")</f>
        <v/>
      </c>
    </row>
    <row r="1213">
      <c r="A1213" s="11" t="n">
        <v>803</v>
      </c>
      <c r="B1213" s="12" t="n">
        <v>46102</v>
      </c>
      <c r="C1213" s="11" t="inlineStr">
        <is>
          <t>castillo castillo yo</t>
        </is>
      </c>
      <c r="D1213" s="13" t="n">
        <v>6500</v>
      </c>
      <c r="E1213" s="11">
        <f>IF(G1213="conciliado","conciliado",I1213)</f>
        <v/>
      </c>
      <c r="F1213" s="11">
        <f>IF(SUM(COUNTIFS('Conciliacion de compuestos'!$D$2:$D$71,"conciliado",'Conciliacion de compuestos'!$E$2:$E$71,"OK",'Conciliacion de compuestos'!$M$2:$M$71,A1213),COUNTIFS('Conciliacion de compuestos'!$D$2:$D$71,"conciliado",'Conciliacion de compuestos'!$E$2:$E$71,"OK",'Conciliacion de compuestos'!$N$2:$N$71,A1213),COUNTIFS('Conciliacion de compuestos'!$D$2:$D$71,"conciliado",'Conciliacion de compuestos'!$E$2:$E$71,"OK",'Conciliacion de compuestos'!$O$2:$O$71,A1213))&gt;0,IFERROR(TEXTJOIN(CHAR(10),TRUE,FILTER('Conciliacion de compuestos'!$A$2:$A$71,('Conciliacion de compuestos'!$D$2:$D$71="conciliado")*('Conciliacion de compuestos'!$E$2:$E$71="OK")*((('Conciliacion de compuestos'!$M$2:$M$71=A1213)+('Conciliacion de compuestos'!$N$2:$N$71=A1213)+('Conciliacion de compuestos'!$O$2:$O$71=A1213))&gt;0))),""),"")</f>
        <v/>
      </c>
      <c r="G1213" s="11">
        <f>IF(I1213="conciliado","conciliado","por revisar")</f>
        <v/>
      </c>
      <c r="H1213" s="11" t="inlineStr"/>
      <c r="I1213" s="11">
        <f>IF(SUM(COUNTIFS('Conciliacion de compuestos'!$D$2:$D$71,"conciliado",'Conciliacion de compuestos'!$E$2:$E$71,"OK",'Conciliacion de compuestos'!$M$2:$M$71,A1213),COUNTIFS('Conciliacion de compuestos'!$D$2:$D$71,"conciliado",'Conciliacion de compuestos'!$E$2:$E$71,"OK",'Conciliacion de compuestos'!$N$2:$N$71,A1213),COUNTIFS('Conciliacion de compuestos'!$D$2:$D$71,"conciliado",'Conciliacion de compuestos'!$E$2:$E$71,"OK",'Conciliacion de compuestos'!$O$2:$O$71,A1213))&gt;0,"conciliado","por revisar")</f>
        <v/>
      </c>
    </row>
    <row r="1214">
      <c r="A1214" s="11" t="n">
        <v>826</v>
      </c>
      <c r="B1214" s="12" t="n">
        <v>46102</v>
      </c>
      <c r="C1214" s="11" t="inlineStr">
        <is>
          <t>sebastian zambrano</t>
        </is>
      </c>
      <c r="D1214" s="13" t="n">
        <v>13600</v>
      </c>
      <c r="E1214" s="11">
        <f>IF(G1214="conciliado","conciliado",I1214)</f>
        <v/>
      </c>
      <c r="F1214" s="11">
        <f>IF(SUM(COUNTIFS('Conciliacion de compuestos'!$D$2:$D$71,"conciliado",'Conciliacion de compuestos'!$E$2:$E$71,"OK",'Conciliacion de compuestos'!$M$2:$M$71,A1214),COUNTIFS('Conciliacion de compuestos'!$D$2:$D$71,"conciliado",'Conciliacion de compuestos'!$E$2:$E$71,"OK",'Conciliacion de compuestos'!$N$2:$N$71,A1214),COUNTIFS('Conciliacion de compuestos'!$D$2:$D$71,"conciliado",'Conciliacion de compuestos'!$E$2:$E$71,"OK",'Conciliacion de compuestos'!$O$2:$O$71,A1214))&gt;0,IFERROR(TEXTJOIN(CHAR(10),TRUE,FILTER('Conciliacion de compuestos'!$A$2:$A$71,('Conciliacion de compuestos'!$D$2:$D$71="conciliado")*('Conciliacion de compuestos'!$E$2:$E$71="OK")*((('Conciliacion de compuestos'!$M$2:$M$71=A1214)+('Conciliacion de compuestos'!$N$2:$N$71=A1214)+('Conciliacion de compuestos'!$O$2:$O$71=A1214))&gt;0))),""),"")</f>
        <v/>
      </c>
      <c r="G1214" s="11">
        <f>IF(I1214="conciliado","conciliado","por revisar")</f>
        <v/>
      </c>
      <c r="H1214" s="11" t="inlineStr"/>
      <c r="I1214" s="11">
        <f>IF(SUM(COUNTIFS('Conciliacion de compuestos'!$D$2:$D$71,"conciliado",'Conciliacion de compuestos'!$E$2:$E$71,"OK",'Conciliacion de compuestos'!$M$2:$M$71,A1214),COUNTIFS('Conciliacion de compuestos'!$D$2:$D$71,"conciliado",'Conciliacion de compuestos'!$E$2:$E$71,"OK",'Conciliacion de compuestos'!$N$2:$N$71,A1214),COUNTIFS('Conciliacion de compuestos'!$D$2:$D$71,"conciliado",'Conciliacion de compuestos'!$E$2:$E$71,"OK",'Conciliacion de compuestos'!$O$2:$O$71,A1214))&gt;0,"conciliado","por revisar")</f>
        <v/>
      </c>
    </row>
    <row r="1215">
      <c r="A1215" s="11" t="n">
        <v>830</v>
      </c>
      <c r="B1215" s="12" t="n">
        <v>46102</v>
      </c>
      <c r="C1215" s="11" t="inlineStr">
        <is>
          <t>andrade c espana jan</t>
        </is>
      </c>
      <c r="D1215" s="13" t="n">
        <v>75000</v>
      </c>
      <c r="E1215" s="11">
        <f>IF(G1215="conciliado","conciliado",I1215)</f>
        <v/>
      </c>
      <c r="F1215" s="11">
        <f>IF(SUM(COUNTIFS('Conciliacion de compuestos'!$D$2:$D$71,"conciliado",'Conciliacion de compuestos'!$E$2:$E$71,"OK",'Conciliacion de compuestos'!$M$2:$M$71,A1215),COUNTIFS('Conciliacion de compuestos'!$D$2:$D$71,"conciliado",'Conciliacion de compuestos'!$E$2:$E$71,"OK",'Conciliacion de compuestos'!$N$2:$N$71,A1215),COUNTIFS('Conciliacion de compuestos'!$D$2:$D$71,"conciliado",'Conciliacion de compuestos'!$E$2:$E$71,"OK",'Conciliacion de compuestos'!$O$2:$O$71,A1215))&gt;0,IFERROR(TEXTJOIN(CHAR(10),TRUE,FILTER('Conciliacion de compuestos'!$A$2:$A$71,('Conciliacion de compuestos'!$D$2:$D$71="conciliado")*('Conciliacion de compuestos'!$E$2:$E$71="OK")*((('Conciliacion de compuestos'!$M$2:$M$71=A1215)+('Conciliacion de compuestos'!$N$2:$N$71=A1215)+('Conciliacion de compuestos'!$O$2:$O$71=A1215))&gt;0))),""),"")</f>
        <v/>
      </c>
      <c r="G1215" s="11">
        <f>IF(I1215="conciliado","conciliado","por revisar")</f>
        <v/>
      </c>
      <c r="H1215" s="11" t="inlineStr"/>
      <c r="I1215" s="11">
        <f>IF(SUM(COUNTIFS('Conciliacion de compuestos'!$D$2:$D$71,"conciliado",'Conciliacion de compuestos'!$E$2:$E$71,"OK",'Conciliacion de compuestos'!$M$2:$M$71,A1215),COUNTIFS('Conciliacion de compuestos'!$D$2:$D$71,"conciliado",'Conciliacion de compuestos'!$E$2:$E$71,"OK",'Conciliacion de compuestos'!$N$2:$N$71,A1215),COUNTIFS('Conciliacion de compuestos'!$D$2:$D$71,"conciliado",'Conciliacion de compuestos'!$E$2:$E$71,"OK",'Conciliacion de compuestos'!$O$2:$O$71,A1215))&gt;0,"conciliado","por revisar")</f>
        <v/>
      </c>
    </row>
    <row r="1216">
      <c r="A1216" s="11" t="n">
        <v>838</v>
      </c>
      <c r="B1216" s="12" t="n">
        <v>46103</v>
      </c>
      <c r="C1216" s="11" t="inlineStr">
        <is>
          <t>forero gonzalez jenn</t>
        </is>
      </c>
      <c r="D1216" s="13" t="n">
        <v>15100</v>
      </c>
      <c r="E1216" s="11">
        <f>IF(G1216="conciliado","conciliado",I1216)</f>
        <v/>
      </c>
      <c r="F1216" s="11">
        <f>IF(SUM(COUNTIFS('Conciliacion de compuestos'!$D$2:$D$71,"conciliado",'Conciliacion de compuestos'!$E$2:$E$71,"OK",'Conciliacion de compuestos'!$M$2:$M$71,A1216),COUNTIFS('Conciliacion de compuestos'!$D$2:$D$71,"conciliado",'Conciliacion de compuestos'!$E$2:$E$71,"OK",'Conciliacion de compuestos'!$N$2:$N$71,A1216),COUNTIFS('Conciliacion de compuestos'!$D$2:$D$71,"conciliado",'Conciliacion de compuestos'!$E$2:$E$71,"OK",'Conciliacion de compuestos'!$O$2:$O$71,A1216))&gt;0,IFERROR(TEXTJOIN(CHAR(10),TRUE,FILTER('Conciliacion de compuestos'!$A$2:$A$71,('Conciliacion de compuestos'!$D$2:$D$71="conciliado")*('Conciliacion de compuestos'!$E$2:$E$71="OK")*((('Conciliacion de compuestos'!$M$2:$M$71=A1216)+('Conciliacion de compuestos'!$N$2:$N$71=A1216)+('Conciliacion de compuestos'!$O$2:$O$71=A1216))&gt;0))),""),"")</f>
        <v/>
      </c>
      <c r="G1216" s="11">
        <f>IF(I1216="conciliado","conciliado","por revisar")</f>
        <v/>
      </c>
      <c r="H1216" s="11" t="inlineStr"/>
      <c r="I1216" s="11">
        <f>IF(SUM(COUNTIFS('Conciliacion de compuestos'!$D$2:$D$71,"conciliado",'Conciliacion de compuestos'!$E$2:$E$71,"OK",'Conciliacion de compuestos'!$M$2:$M$71,A1216),COUNTIFS('Conciliacion de compuestos'!$D$2:$D$71,"conciliado",'Conciliacion de compuestos'!$E$2:$E$71,"OK",'Conciliacion de compuestos'!$N$2:$N$71,A1216),COUNTIFS('Conciliacion de compuestos'!$D$2:$D$71,"conciliado",'Conciliacion de compuestos'!$E$2:$E$71,"OK",'Conciliacion de compuestos'!$O$2:$O$71,A1216))&gt;0,"conciliado","por revisar")</f>
        <v/>
      </c>
    </row>
    <row r="1217">
      <c r="A1217" s="11" t="n">
        <v>843</v>
      </c>
      <c r="B1217" s="12" t="n">
        <v>46103</v>
      </c>
      <c r="C1217" s="11" t="inlineStr">
        <is>
          <t>alvarez espinosa fab</t>
        </is>
      </c>
      <c r="D1217" s="13" t="n">
        <v>11000</v>
      </c>
      <c r="E1217" s="11">
        <f>IF(G1217="conciliado","conciliado",I1217)</f>
        <v/>
      </c>
      <c r="F1217" s="11">
        <f>IF(SUM(COUNTIFS('Conciliacion de compuestos'!$D$2:$D$71,"conciliado",'Conciliacion de compuestos'!$E$2:$E$71,"OK",'Conciliacion de compuestos'!$M$2:$M$71,A1217),COUNTIFS('Conciliacion de compuestos'!$D$2:$D$71,"conciliado",'Conciliacion de compuestos'!$E$2:$E$71,"OK",'Conciliacion de compuestos'!$N$2:$N$71,A1217),COUNTIFS('Conciliacion de compuestos'!$D$2:$D$71,"conciliado",'Conciliacion de compuestos'!$E$2:$E$71,"OK",'Conciliacion de compuestos'!$O$2:$O$71,A1217))&gt;0,IFERROR(TEXTJOIN(CHAR(10),TRUE,FILTER('Conciliacion de compuestos'!$A$2:$A$71,('Conciliacion de compuestos'!$D$2:$D$71="conciliado")*('Conciliacion de compuestos'!$E$2:$E$71="OK")*((('Conciliacion de compuestos'!$M$2:$M$71=A1217)+('Conciliacion de compuestos'!$N$2:$N$71=A1217)+('Conciliacion de compuestos'!$O$2:$O$71=A1217))&gt;0))),""),"")</f>
        <v/>
      </c>
      <c r="G1217" s="11">
        <f>IF(I1217="conciliado","conciliado","por revisar")</f>
        <v/>
      </c>
      <c r="H1217" s="11" t="inlineStr"/>
      <c r="I1217" s="11">
        <f>IF(SUM(COUNTIFS('Conciliacion de compuestos'!$D$2:$D$71,"conciliado",'Conciliacion de compuestos'!$E$2:$E$71,"OK",'Conciliacion de compuestos'!$M$2:$M$71,A1217),COUNTIFS('Conciliacion de compuestos'!$D$2:$D$71,"conciliado",'Conciliacion de compuestos'!$E$2:$E$71,"OK",'Conciliacion de compuestos'!$N$2:$N$71,A1217),COUNTIFS('Conciliacion de compuestos'!$D$2:$D$71,"conciliado",'Conciliacion de compuestos'!$E$2:$E$71,"OK",'Conciliacion de compuestos'!$O$2:$O$71,A1217))&gt;0,"conciliado","por revisar")</f>
        <v/>
      </c>
    </row>
    <row r="1218">
      <c r="A1218" s="11" t="n">
        <v>858</v>
      </c>
      <c r="B1218" s="12" t="n">
        <v>46103</v>
      </c>
      <c r="C1218" s="11" t="inlineStr">
        <is>
          <t>buitron ka rodriguez</t>
        </is>
      </c>
      <c r="D1218" s="13" t="n">
        <v>28400</v>
      </c>
      <c r="E1218" s="11">
        <f>IF(G1218="conciliado","conciliado",I1218)</f>
        <v/>
      </c>
      <c r="F1218" s="11">
        <f>IF(SUM(COUNTIFS('Conciliacion de compuestos'!$D$2:$D$71,"conciliado",'Conciliacion de compuestos'!$E$2:$E$71,"OK",'Conciliacion de compuestos'!$M$2:$M$71,A1218),COUNTIFS('Conciliacion de compuestos'!$D$2:$D$71,"conciliado",'Conciliacion de compuestos'!$E$2:$E$71,"OK",'Conciliacion de compuestos'!$N$2:$N$71,A1218),COUNTIFS('Conciliacion de compuestos'!$D$2:$D$71,"conciliado",'Conciliacion de compuestos'!$E$2:$E$71,"OK",'Conciliacion de compuestos'!$O$2:$O$71,A1218))&gt;0,IFERROR(TEXTJOIN(CHAR(10),TRUE,FILTER('Conciliacion de compuestos'!$A$2:$A$71,('Conciliacion de compuestos'!$D$2:$D$71="conciliado")*('Conciliacion de compuestos'!$E$2:$E$71="OK")*((('Conciliacion de compuestos'!$M$2:$M$71=A1218)+('Conciliacion de compuestos'!$N$2:$N$71=A1218)+('Conciliacion de compuestos'!$O$2:$O$71=A1218))&gt;0))),""),"")</f>
        <v/>
      </c>
      <c r="G1218" s="11">
        <f>IF(I1218="conciliado","conciliado","por revisar")</f>
        <v/>
      </c>
      <c r="H1218" s="11" t="inlineStr"/>
      <c r="I1218" s="11">
        <f>IF(SUM(COUNTIFS('Conciliacion de compuestos'!$D$2:$D$71,"conciliado",'Conciliacion de compuestos'!$E$2:$E$71,"OK",'Conciliacion de compuestos'!$M$2:$M$71,A1218),COUNTIFS('Conciliacion de compuestos'!$D$2:$D$71,"conciliado",'Conciliacion de compuestos'!$E$2:$E$71,"OK",'Conciliacion de compuestos'!$N$2:$N$71,A1218),COUNTIFS('Conciliacion de compuestos'!$D$2:$D$71,"conciliado",'Conciliacion de compuestos'!$E$2:$E$71,"OK",'Conciliacion de compuestos'!$O$2:$O$71,A1218))&gt;0,"conciliado","por revisar")</f>
        <v/>
      </c>
    </row>
    <row r="1219">
      <c r="A1219" s="11" t="n">
        <v>862</v>
      </c>
      <c r="B1219" s="12" t="n">
        <v>46103</v>
      </c>
      <c r="C1219" s="11" t="inlineStr">
        <is>
          <t>campos rodriguez tan</t>
        </is>
      </c>
      <c r="D1219" s="13" t="n">
        <v>6000</v>
      </c>
      <c r="E1219" s="11">
        <f>IF(G1219="conciliado","conciliado",I1219)</f>
        <v/>
      </c>
      <c r="F1219" s="11">
        <f>IF(SUM(COUNTIFS('Conciliacion de compuestos'!$D$2:$D$71,"conciliado",'Conciliacion de compuestos'!$E$2:$E$71,"OK",'Conciliacion de compuestos'!$M$2:$M$71,A1219),COUNTIFS('Conciliacion de compuestos'!$D$2:$D$71,"conciliado",'Conciliacion de compuestos'!$E$2:$E$71,"OK",'Conciliacion de compuestos'!$N$2:$N$71,A1219),COUNTIFS('Conciliacion de compuestos'!$D$2:$D$71,"conciliado",'Conciliacion de compuestos'!$E$2:$E$71,"OK",'Conciliacion de compuestos'!$O$2:$O$71,A1219))&gt;0,IFERROR(TEXTJOIN(CHAR(10),TRUE,FILTER('Conciliacion de compuestos'!$A$2:$A$71,('Conciliacion de compuestos'!$D$2:$D$71="conciliado")*('Conciliacion de compuestos'!$E$2:$E$71="OK")*((('Conciliacion de compuestos'!$M$2:$M$71=A1219)+('Conciliacion de compuestos'!$N$2:$N$71=A1219)+('Conciliacion de compuestos'!$O$2:$O$71=A1219))&gt;0))),""),"")</f>
        <v/>
      </c>
      <c r="G1219" s="11">
        <f>IF(I1219="conciliado","conciliado","por revisar")</f>
        <v/>
      </c>
      <c r="H1219" s="11" t="inlineStr"/>
      <c r="I1219" s="11">
        <f>IF(SUM(COUNTIFS('Conciliacion de compuestos'!$D$2:$D$71,"conciliado",'Conciliacion de compuestos'!$E$2:$E$71,"OK",'Conciliacion de compuestos'!$M$2:$M$71,A1219),COUNTIFS('Conciliacion de compuestos'!$D$2:$D$71,"conciliado",'Conciliacion de compuestos'!$E$2:$E$71,"OK",'Conciliacion de compuestos'!$N$2:$N$71,A1219),COUNTIFS('Conciliacion de compuestos'!$D$2:$D$71,"conciliado",'Conciliacion de compuestos'!$E$2:$E$71,"OK",'Conciliacion de compuestos'!$O$2:$O$71,A1219))&gt;0,"conciliado","por revisar")</f>
        <v/>
      </c>
    </row>
    <row r="1220">
      <c r="A1220" s="11" t="n">
        <v>877</v>
      </c>
      <c r="B1220" s="12" t="n">
        <v>46103</v>
      </c>
      <c r="C1220" s="11" t="inlineStr">
        <is>
          <t>ballejo lib mejia</t>
        </is>
      </c>
      <c r="D1220" s="13" t="n">
        <v>432000</v>
      </c>
      <c r="E1220" s="11">
        <f>IF(G1220="conciliado","conciliado",I1220)</f>
        <v/>
      </c>
      <c r="F1220" s="11">
        <f>IF(SUM(COUNTIFS('Conciliacion de compuestos'!$D$2:$D$71,"conciliado",'Conciliacion de compuestos'!$E$2:$E$71,"OK",'Conciliacion de compuestos'!$M$2:$M$71,A1220),COUNTIFS('Conciliacion de compuestos'!$D$2:$D$71,"conciliado",'Conciliacion de compuestos'!$E$2:$E$71,"OK",'Conciliacion de compuestos'!$N$2:$N$71,A1220),COUNTIFS('Conciliacion de compuestos'!$D$2:$D$71,"conciliado",'Conciliacion de compuestos'!$E$2:$E$71,"OK",'Conciliacion de compuestos'!$O$2:$O$71,A1220))&gt;0,IFERROR(TEXTJOIN(CHAR(10),TRUE,FILTER('Conciliacion de compuestos'!$A$2:$A$71,('Conciliacion de compuestos'!$D$2:$D$71="conciliado")*('Conciliacion de compuestos'!$E$2:$E$71="OK")*((('Conciliacion de compuestos'!$M$2:$M$71=A1220)+('Conciliacion de compuestos'!$N$2:$N$71=A1220)+('Conciliacion de compuestos'!$O$2:$O$71=A1220))&gt;0))),""),"")</f>
        <v/>
      </c>
      <c r="G1220" s="11">
        <f>IF(I1220="conciliado","conciliado","por revisar")</f>
        <v/>
      </c>
      <c r="H1220" s="11" t="inlineStr"/>
      <c r="I1220" s="11">
        <f>IF(SUM(COUNTIFS('Conciliacion de compuestos'!$D$2:$D$71,"conciliado",'Conciliacion de compuestos'!$E$2:$E$71,"OK",'Conciliacion de compuestos'!$M$2:$M$71,A1220),COUNTIFS('Conciliacion de compuestos'!$D$2:$D$71,"conciliado",'Conciliacion de compuestos'!$E$2:$E$71,"OK",'Conciliacion de compuestos'!$N$2:$N$71,A1220),COUNTIFS('Conciliacion de compuestos'!$D$2:$D$71,"conciliado",'Conciliacion de compuestos'!$E$2:$E$71,"OK",'Conciliacion de compuestos'!$O$2:$O$71,A1220))&gt;0,"conciliado","por revisar")</f>
        <v/>
      </c>
    </row>
    <row r="1221">
      <c r="A1221" s="11" t="n">
        <v>884</v>
      </c>
      <c r="B1221" s="12" t="n">
        <v>46104</v>
      </c>
      <c r="C1221" s="11" t="inlineStr">
        <is>
          <t>benavide manchabajoy</t>
        </is>
      </c>
      <c r="D1221" s="13" t="n">
        <v>33000</v>
      </c>
      <c r="E1221" s="11">
        <f>IF(G1221="conciliado","conciliado",I1221)</f>
        <v/>
      </c>
      <c r="F1221" s="11">
        <f>IF(SUM(COUNTIFS('Conciliacion de compuestos'!$D$2:$D$71,"conciliado",'Conciliacion de compuestos'!$E$2:$E$71,"OK",'Conciliacion de compuestos'!$M$2:$M$71,A1221),COUNTIFS('Conciliacion de compuestos'!$D$2:$D$71,"conciliado",'Conciliacion de compuestos'!$E$2:$E$71,"OK",'Conciliacion de compuestos'!$N$2:$N$71,A1221),COUNTIFS('Conciliacion de compuestos'!$D$2:$D$71,"conciliado",'Conciliacion de compuestos'!$E$2:$E$71,"OK",'Conciliacion de compuestos'!$O$2:$O$71,A1221))&gt;0,IFERROR(TEXTJOIN(CHAR(10),TRUE,FILTER('Conciliacion de compuestos'!$A$2:$A$71,('Conciliacion de compuestos'!$D$2:$D$71="conciliado")*('Conciliacion de compuestos'!$E$2:$E$71="OK")*((('Conciliacion de compuestos'!$M$2:$M$71=A1221)+('Conciliacion de compuestos'!$N$2:$N$71=A1221)+('Conciliacion de compuestos'!$O$2:$O$71=A1221))&gt;0))),""),"")</f>
        <v/>
      </c>
      <c r="G1221" s="11">
        <f>IF(I1221="conciliado","conciliado","por revisar")</f>
        <v/>
      </c>
      <c r="H1221" s="11" t="inlineStr"/>
      <c r="I1221" s="11">
        <f>IF(SUM(COUNTIFS('Conciliacion de compuestos'!$D$2:$D$71,"conciliado",'Conciliacion de compuestos'!$E$2:$E$71,"OK",'Conciliacion de compuestos'!$M$2:$M$71,A1221),COUNTIFS('Conciliacion de compuestos'!$D$2:$D$71,"conciliado",'Conciliacion de compuestos'!$E$2:$E$71,"OK",'Conciliacion de compuestos'!$N$2:$N$71,A1221),COUNTIFS('Conciliacion de compuestos'!$D$2:$D$71,"conciliado",'Conciliacion de compuestos'!$E$2:$E$71,"OK",'Conciliacion de compuestos'!$O$2:$O$71,A1221))&gt;0,"conciliado","por revisar")</f>
        <v/>
      </c>
    </row>
    <row r="1222">
      <c r="A1222" s="11" t="n">
        <v>901</v>
      </c>
      <c r="B1222" s="12" t="n">
        <v>46104</v>
      </c>
      <c r="C1222" s="11" t="inlineStr">
        <is>
          <t>lina mota ortiiz pao</t>
        </is>
      </c>
      <c r="D1222" s="13" t="n">
        <v>21200</v>
      </c>
      <c r="E1222" s="11">
        <f>IF(G1222="conciliado","conciliado",I1222)</f>
        <v/>
      </c>
      <c r="F1222" s="11">
        <f>IF(SUM(COUNTIFS('Conciliacion de compuestos'!$D$2:$D$71,"conciliado",'Conciliacion de compuestos'!$E$2:$E$71,"OK",'Conciliacion de compuestos'!$M$2:$M$71,A1222),COUNTIFS('Conciliacion de compuestos'!$D$2:$D$71,"conciliado",'Conciliacion de compuestos'!$E$2:$E$71,"OK",'Conciliacion de compuestos'!$N$2:$N$71,A1222),COUNTIFS('Conciliacion de compuestos'!$D$2:$D$71,"conciliado",'Conciliacion de compuestos'!$E$2:$E$71,"OK",'Conciliacion de compuestos'!$O$2:$O$71,A1222))&gt;0,IFERROR(TEXTJOIN(CHAR(10),TRUE,FILTER('Conciliacion de compuestos'!$A$2:$A$71,('Conciliacion de compuestos'!$D$2:$D$71="conciliado")*('Conciliacion de compuestos'!$E$2:$E$71="OK")*((('Conciliacion de compuestos'!$M$2:$M$71=A1222)+('Conciliacion de compuestos'!$N$2:$N$71=A1222)+('Conciliacion de compuestos'!$O$2:$O$71=A1222))&gt;0))),""),"")</f>
        <v/>
      </c>
      <c r="G1222" s="11">
        <f>IF(I1222="conciliado","conciliado","por revisar")</f>
        <v/>
      </c>
      <c r="H1222" s="11" t="inlineStr"/>
      <c r="I1222" s="11">
        <f>IF(SUM(COUNTIFS('Conciliacion de compuestos'!$D$2:$D$71,"conciliado",'Conciliacion de compuestos'!$E$2:$E$71,"OK",'Conciliacion de compuestos'!$M$2:$M$71,A1222),COUNTIFS('Conciliacion de compuestos'!$D$2:$D$71,"conciliado",'Conciliacion de compuestos'!$E$2:$E$71,"OK",'Conciliacion de compuestos'!$N$2:$N$71,A1222),COUNTIFS('Conciliacion de compuestos'!$D$2:$D$71,"conciliado",'Conciliacion de compuestos'!$E$2:$E$71,"OK",'Conciliacion de compuestos'!$O$2:$O$71,A1222))&gt;0,"conciliado","por revisar")</f>
        <v/>
      </c>
    </row>
    <row r="1223">
      <c r="A1223" s="11" t="n">
        <v>920</v>
      </c>
      <c r="B1223" s="12" t="n">
        <v>46104</v>
      </c>
      <c r="C1223" s="11" t="inlineStr">
        <is>
          <t>bravo j jhon moriano</t>
        </is>
      </c>
      <c r="D1223" s="13" t="n">
        <v>17000</v>
      </c>
      <c r="E1223" s="11">
        <f>IF(G1223="conciliado","conciliado",I1223)</f>
        <v/>
      </c>
      <c r="F1223" s="11">
        <f>IF(SUM(COUNTIFS('Conciliacion de compuestos'!$D$2:$D$71,"conciliado",'Conciliacion de compuestos'!$E$2:$E$71,"OK",'Conciliacion de compuestos'!$M$2:$M$71,A1223),COUNTIFS('Conciliacion de compuestos'!$D$2:$D$71,"conciliado",'Conciliacion de compuestos'!$E$2:$E$71,"OK",'Conciliacion de compuestos'!$N$2:$N$71,A1223),COUNTIFS('Conciliacion de compuestos'!$D$2:$D$71,"conciliado",'Conciliacion de compuestos'!$E$2:$E$71,"OK",'Conciliacion de compuestos'!$O$2:$O$71,A1223))&gt;0,IFERROR(TEXTJOIN(CHAR(10),TRUE,FILTER('Conciliacion de compuestos'!$A$2:$A$71,('Conciliacion de compuestos'!$D$2:$D$71="conciliado")*('Conciliacion de compuestos'!$E$2:$E$71="OK")*((('Conciliacion de compuestos'!$M$2:$M$71=A1223)+('Conciliacion de compuestos'!$N$2:$N$71=A1223)+('Conciliacion de compuestos'!$O$2:$O$71=A1223))&gt;0))),""),"")</f>
        <v/>
      </c>
      <c r="G1223" s="11">
        <f>IF(I1223="conciliado","conciliado","por revisar")</f>
        <v/>
      </c>
      <c r="H1223" s="11" t="inlineStr"/>
      <c r="I1223" s="11">
        <f>IF(SUM(COUNTIFS('Conciliacion de compuestos'!$D$2:$D$71,"conciliado",'Conciliacion de compuestos'!$E$2:$E$71,"OK",'Conciliacion de compuestos'!$M$2:$M$71,A1223),COUNTIFS('Conciliacion de compuestos'!$D$2:$D$71,"conciliado",'Conciliacion de compuestos'!$E$2:$E$71,"OK",'Conciliacion de compuestos'!$N$2:$N$71,A1223),COUNTIFS('Conciliacion de compuestos'!$D$2:$D$71,"conciliado",'Conciliacion de compuestos'!$E$2:$E$71,"OK",'Conciliacion de compuestos'!$O$2:$O$71,A1223))&gt;0,"conciliado","por revisar")</f>
        <v/>
      </c>
    </row>
    <row r="1224">
      <c r="A1224" s="11" t="n">
        <v>921</v>
      </c>
      <c r="B1224" s="12" t="n">
        <v>46105</v>
      </c>
      <c r="C1224" s="11" t="inlineStr">
        <is>
          <t>doly gamboa vargas</t>
        </is>
      </c>
      <c r="D1224" s="13" t="n">
        <v>64500</v>
      </c>
      <c r="E1224" s="11">
        <f>IF(G1224="conciliado","conciliado",I1224)</f>
        <v/>
      </c>
      <c r="F1224" s="11">
        <f>IF(SUM(COUNTIFS('Conciliacion de compuestos'!$D$2:$D$71,"conciliado",'Conciliacion de compuestos'!$E$2:$E$71,"OK",'Conciliacion de compuestos'!$M$2:$M$71,A1224),COUNTIFS('Conciliacion de compuestos'!$D$2:$D$71,"conciliado",'Conciliacion de compuestos'!$E$2:$E$71,"OK",'Conciliacion de compuestos'!$N$2:$N$71,A1224),COUNTIFS('Conciliacion de compuestos'!$D$2:$D$71,"conciliado",'Conciliacion de compuestos'!$E$2:$E$71,"OK",'Conciliacion de compuestos'!$O$2:$O$71,A1224))&gt;0,IFERROR(TEXTJOIN(CHAR(10),TRUE,FILTER('Conciliacion de compuestos'!$A$2:$A$71,('Conciliacion de compuestos'!$D$2:$D$71="conciliado")*('Conciliacion de compuestos'!$E$2:$E$71="OK")*((('Conciliacion de compuestos'!$M$2:$M$71=A1224)+('Conciliacion de compuestos'!$N$2:$N$71=A1224)+('Conciliacion de compuestos'!$O$2:$O$71=A1224))&gt;0))),""),"")</f>
        <v/>
      </c>
      <c r="G1224" s="11">
        <f>IF(I1224="conciliado","conciliado","por revisar")</f>
        <v/>
      </c>
      <c r="H1224" s="11" t="inlineStr"/>
      <c r="I1224" s="11">
        <f>IF(SUM(COUNTIFS('Conciliacion de compuestos'!$D$2:$D$71,"conciliado",'Conciliacion de compuestos'!$E$2:$E$71,"OK",'Conciliacion de compuestos'!$M$2:$M$71,A1224),COUNTIFS('Conciliacion de compuestos'!$D$2:$D$71,"conciliado",'Conciliacion de compuestos'!$E$2:$E$71,"OK",'Conciliacion de compuestos'!$N$2:$N$71,A1224),COUNTIFS('Conciliacion de compuestos'!$D$2:$D$71,"conciliado",'Conciliacion de compuestos'!$E$2:$E$71,"OK",'Conciliacion de compuestos'!$O$2:$O$71,A1224))&gt;0,"conciliado","por revisar")</f>
        <v/>
      </c>
    </row>
    <row r="1225">
      <c r="A1225" s="11" t="n">
        <v>922</v>
      </c>
      <c r="B1225" s="12" t="n">
        <v>46105</v>
      </c>
      <c r="C1225" s="11" t="inlineStr">
        <is>
          <t>borja fresle vergara</t>
        </is>
      </c>
      <c r="D1225" s="13" t="n">
        <v>53300</v>
      </c>
      <c r="E1225" s="11">
        <f>IF(G1225="conciliado","conciliado",I1225)</f>
        <v/>
      </c>
      <c r="F1225" s="11">
        <f>IF(SUM(COUNTIFS('Conciliacion de compuestos'!$D$2:$D$71,"conciliado",'Conciliacion de compuestos'!$E$2:$E$71,"OK",'Conciliacion de compuestos'!$M$2:$M$71,A1225),COUNTIFS('Conciliacion de compuestos'!$D$2:$D$71,"conciliado",'Conciliacion de compuestos'!$E$2:$E$71,"OK",'Conciliacion de compuestos'!$N$2:$N$71,A1225),COUNTIFS('Conciliacion de compuestos'!$D$2:$D$71,"conciliado",'Conciliacion de compuestos'!$E$2:$E$71,"OK",'Conciliacion de compuestos'!$O$2:$O$71,A1225))&gt;0,IFERROR(TEXTJOIN(CHAR(10),TRUE,FILTER('Conciliacion de compuestos'!$A$2:$A$71,('Conciliacion de compuestos'!$D$2:$D$71="conciliado")*('Conciliacion de compuestos'!$E$2:$E$71="OK")*((('Conciliacion de compuestos'!$M$2:$M$71=A1225)+('Conciliacion de compuestos'!$N$2:$N$71=A1225)+('Conciliacion de compuestos'!$O$2:$O$71=A1225))&gt;0))),""),"")</f>
        <v/>
      </c>
      <c r="G1225" s="11">
        <f>IF(I1225="conciliado","conciliado","por revisar")</f>
        <v/>
      </c>
      <c r="H1225" s="11" t="inlineStr"/>
      <c r="I1225" s="11">
        <f>IF(SUM(COUNTIFS('Conciliacion de compuestos'!$D$2:$D$71,"conciliado",'Conciliacion de compuestos'!$E$2:$E$71,"OK",'Conciliacion de compuestos'!$M$2:$M$71,A1225),COUNTIFS('Conciliacion de compuestos'!$D$2:$D$71,"conciliado",'Conciliacion de compuestos'!$E$2:$E$71,"OK",'Conciliacion de compuestos'!$N$2:$N$71,A1225),COUNTIFS('Conciliacion de compuestos'!$D$2:$D$71,"conciliado",'Conciliacion de compuestos'!$E$2:$E$71,"OK",'Conciliacion de compuestos'!$O$2:$O$71,A1225))&gt;0,"conciliado","por revisar")</f>
        <v/>
      </c>
    </row>
    <row r="1226">
      <c r="A1226" s="11" t="n">
        <v>927</v>
      </c>
      <c r="B1226" s="12" t="n">
        <v>46105</v>
      </c>
      <c r="C1226" s="11" t="inlineStr">
        <is>
          <t>argoty gomez rodrigo</t>
        </is>
      </c>
      <c r="D1226" s="13" t="n">
        <v>28000</v>
      </c>
      <c r="E1226" s="11">
        <f>IF(G1226="conciliado","conciliado",I1226)</f>
        <v/>
      </c>
      <c r="F1226" s="11">
        <f>IF(SUM(COUNTIFS('Conciliacion de compuestos'!$D$2:$D$71,"conciliado",'Conciliacion de compuestos'!$E$2:$E$71,"OK",'Conciliacion de compuestos'!$M$2:$M$71,A1226),COUNTIFS('Conciliacion de compuestos'!$D$2:$D$71,"conciliado",'Conciliacion de compuestos'!$E$2:$E$71,"OK",'Conciliacion de compuestos'!$N$2:$N$71,A1226),COUNTIFS('Conciliacion de compuestos'!$D$2:$D$71,"conciliado",'Conciliacion de compuestos'!$E$2:$E$71,"OK",'Conciliacion de compuestos'!$O$2:$O$71,A1226))&gt;0,IFERROR(TEXTJOIN(CHAR(10),TRUE,FILTER('Conciliacion de compuestos'!$A$2:$A$71,('Conciliacion de compuestos'!$D$2:$D$71="conciliado")*('Conciliacion de compuestos'!$E$2:$E$71="OK")*((('Conciliacion de compuestos'!$M$2:$M$71=A1226)+('Conciliacion de compuestos'!$N$2:$N$71=A1226)+('Conciliacion de compuestos'!$O$2:$O$71=A1226))&gt;0))),""),"")</f>
        <v/>
      </c>
      <c r="G1226" s="11">
        <f>IF(I1226="conciliado","conciliado","por revisar")</f>
        <v/>
      </c>
      <c r="H1226" s="11" t="inlineStr"/>
      <c r="I1226" s="11">
        <f>IF(SUM(COUNTIFS('Conciliacion de compuestos'!$D$2:$D$71,"conciliado",'Conciliacion de compuestos'!$E$2:$E$71,"OK",'Conciliacion de compuestos'!$M$2:$M$71,A1226),COUNTIFS('Conciliacion de compuestos'!$D$2:$D$71,"conciliado",'Conciliacion de compuestos'!$E$2:$E$71,"OK",'Conciliacion de compuestos'!$N$2:$N$71,A1226),COUNTIFS('Conciliacion de compuestos'!$D$2:$D$71,"conciliado",'Conciliacion de compuestos'!$E$2:$E$71,"OK",'Conciliacion de compuestos'!$O$2:$O$71,A1226))&gt;0,"conciliado","por revisar")</f>
        <v/>
      </c>
    </row>
    <row r="1227">
      <c r="A1227" s="11" t="n">
        <v>936</v>
      </c>
      <c r="B1227" s="12" t="n">
        <v>46105</v>
      </c>
      <c r="C1227" s="11" t="inlineStr">
        <is>
          <t>barrionuevo gi perez</t>
        </is>
      </c>
      <c r="D1227" s="13" t="n">
        <v>12500</v>
      </c>
      <c r="E1227" s="11">
        <f>IF(G1227="conciliado","conciliado",I1227)</f>
        <v/>
      </c>
      <c r="F1227" s="11">
        <f>IF(SUM(COUNTIFS('Conciliacion de compuestos'!$D$2:$D$71,"conciliado",'Conciliacion de compuestos'!$E$2:$E$71,"OK",'Conciliacion de compuestos'!$M$2:$M$71,A1227),COUNTIFS('Conciliacion de compuestos'!$D$2:$D$71,"conciliado",'Conciliacion de compuestos'!$E$2:$E$71,"OK",'Conciliacion de compuestos'!$N$2:$N$71,A1227),COUNTIFS('Conciliacion de compuestos'!$D$2:$D$71,"conciliado",'Conciliacion de compuestos'!$E$2:$E$71,"OK",'Conciliacion de compuestos'!$O$2:$O$71,A1227))&gt;0,IFERROR(TEXTJOIN(CHAR(10),TRUE,FILTER('Conciliacion de compuestos'!$A$2:$A$71,('Conciliacion de compuestos'!$D$2:$D$71="conciliado")*('Conciliacion de compuestos'!$E$2:$E$71="OK")*((('Conciliacion de compuestos'!$M$2:$M$71=A1227)+('Conciliacion de compuestos'!$N$2:$N$71=A1227)+('Conciliacion de compuestos'!$O$2:$O$71=A1227))&gt;0))),""),"")</f>
        <v/>
      </c>
      <c r="G1227" s="11">
        <f>IF(I1227="conciliado","conciliado","por revisar")</f>
        <v/>
      </c>
      <c r="H1227" s="11" t="inlineStr"/>
      <c r="I1227" s="11">
        <f>IF(SUM(COUNTIFS('Conciliacion de compuestos'!$D$2:$D$71,"conciliado",'Conciliacion de compuestos'!$E$2:$E$71,"OK",'Conciliacion de compuestos'!$M$2:$M$71,A1227),COUNTIFS('Conciliacion de compuestos'!$D$2:$D$71,"conciliado",'Conciliacion de compuestos'!$E$2:$E$71,"OK",'Conciliacion de compuestos'!$N$2:$N$71,A1227),COUNTIFS('Conciliacion de compuestos'!$D$2:$D$71,"conciliado",'Conciliacion de compuestos'!$E$2:$E$71,"OK",'Conciliacion de compuestos'!$O$2:$O$71,A1227))&gt;0,"conciliado","por revisar")</f>
        <v/>
      </c>
    </row>
    <row r="1228">
      <c r="A1228" s="11" t="n">
        <v>937</v>
      </c>
      <c r="B1228" s="12" t="n">
        <v>46105</v>
      </c>
      <c r="C1228" s="11" t="inlineStr">
        <is>
          <t>andrade laura zabala</t>
        </is>
      </c>
      <c r="D1228" s="13" t="n">
        <v>28000</v>
      </c>
      <c r="E1228" s="11">
        <f>IF(G1228="conciliado","conciliado",I1228)</f>
        <v/>
      </c>
      <c r="F1228" s="11">
        <f>IF(SUM(COUNTIFS('Conciliacion de compuestos'!$D$2:$D$71,"conciliado",'Conciliacion de compuestos'!$E$2:$E$71,"OK",'Conciliacion de compuestos'!$M$2:$M$71,A1228),COUNTIFS('Conciliacion de compuestos'!$D$2:$D$71,"conciliado",'Conciliacion de compuestos'!$E$2:$E$71,"OK",'Conciliacion de compuestos'!$N$2:$N$71,A1228),COUNTIFS('Conciliacion de compuestos'!$D$2:$D$71,"conciliado",'Conciliacion de compuestos'!$E$2:$E$71,"OK",'Conciliacion de compuestos'!$O$2:$O$71,A1228))&gt;0,IFERROR(TEXTJOIN(CHAR(10),TRUE,FILTER('Conciliacion de compuestos'!$A$2:$A$71,('Conciliacion de compuestos'!$D$2:$D$71="conciliado")*('Conciliacion de compuestos'!$E$2:$E$71="OK")*((('Conciliacion de compuestos'!$M$2:$M$71=A1228)+('Conciliacion de compuestos'!$N$2:$N$71=A1228)+('Conciliacion de compuestos'!$O$2:$O$71=A1228))&gt;0))),""),"")</f>
        <v/>
      </c>
      <c r="G1228" s="11">
        <f>IF(I1228="conciliado","conciliado","por revisar")</f>
        <v/>
      </c>
      <c r="H1228" s="11" t="inlineStr"/>
      <c r="I1228" s="11">
        <f>IF(SUM(COUNTIFS('Conciliacion de compuestos'!$D$2:$D$71,"conciliado",'Conciliacion de compuestos'!$E$2:$E$71,"OK",'Conciliacion de compuestos'!$M$2:$M$71,A1228),COUNTIFS('Conciliacion de compuestos'!$D$2:$D$71,"conciliado",'Conciliacion de compuestos'!$E$2:$E$71,"OK",'Conciliacion de compuestos'!$N$2:$N$71,A1228),COUNTIFS('Conciliacion de compuestos'!$D$2:$D$71,"conciliado",'Conciliacion de compuestos'!$E$2:$E$71,"OK",'Conciliacion de compuestos'!$O$2:$O$71,A1228))&gt;0,"conciliado","por revisar")</f>
        <v/>
      </c>
    </row>
    <row r="1229">
      <c r="A1229" s="11" t="n">
        <v>979</v>
      </c>
      <c r="B1229" s="12" t="n">
        <v>46106</v>
      </c>
      <c r="C1229" s="11" t="inlineStr">
        <is>
          <t>bre delgado quinones</t>
        </is>
      </c>
      <c r="D1229" s="13" t="n">
        <v>27900</v>
      </c>
      <c r="E1229" s="11">
        <f>IF(G1229="conciliado","conciliado",I1229)</f>
        <v/>
      </c>
      <c r="F1229" s="11">
        <f>IF(SUM(COUNTIFS('Conciliacion de compuestos'!$D$2:$D$71,"conciliado",'Conciliacion de compuestos'!$E$2:$E$71,"OK",'Conciliacion de compuestos'!$M$2:$M$71,A1229),COUNTIFS('Conciliacion de compuestos'!$D$2:$D$71,"conciliado",'Conciliacion de compuestos'!$E$2:$E$71,"OK",'Conciliacion de compuestos'!$N$2:$N$71,A1229),COUNTIFS('Conciliacion de compuestos'!$D$2:$D$71,"conciliado",'Conciliacion de compuestos'!$E$2:$E$71,"OK",'Conciliacion de compuestos'!$O$2:$O$71,A1229))&gt;0,IFERROR(TEXTJOIN(CHAR(10),TRUE,FILTER('Conciliacion de compuestos'!$A$2:$A$71,('Conciliacion de compuestos'!$D$2:$D$71="conciliado")*('Conciliacion de compuestos'!$E$2:$E$71="OK")*((('Conciliacion de compuestos'!$M$2:$M$71=A1229)+('Conciliacion de compuestos'!$N$2:$N$71=A1229)+('Conciliacion de compuestos'!$O$2:$O$71=A1229))&gt;0))),""),"")</f>
        <v/>
      </c>
      <c r="G1229" s="11">
        <f>IF(I1229="conciliado","conciliado","por revisar")</f>
        <v/>
      </c>
      <c r="H1229" s="11" t="inlineStr"/>
      <c r="I1229" s="11">
        <f>IF(SUM(COUNTIFS('Conciliacion de compuestos'!$D$2:$D$71,"conciliado",'Conciliacion de compuestos'!$E$2:$E$71,"OK",'Conciliacion de compuestos'!$M$2:$M$71,A1229),COUNTIFS('Conciliacion de compuestos'!$D$2:$D$71,"conciliado",'Conciliacion de compuestos'!$E$2:$E$71,"OK",'Conciliacion de compuestos'!$N$2:$N$71,A1229),COUNTIFS('Conciliacion de compuestos'!$D$2:$D$71,"conciliado",'Conciliacion de compuestos'!$E$2:$E$71,"OK",'Conciliacion de compuestos'!$O$2:$O$71,A1229))&gt;0,"conciliado","por revisar")</f>
        <v/>
      </c>
    </row>
    <row r="1230">
      <c r="A1230" s="11" t="n">
        <v>986</v>
      </c>
      <c r="B1230" s="12" t="n">
        <v>46106</v>
      </c>
      <c r="C1230" s="11" t="inlineStr">
        <is>
          <t>cabrera gutierrez lu</t>
        </is>
      </c>
      <c r="D1230" s="13" t="n">
        <v>27900</v>
      </c>
      <c r="E1230" s="11">
        <f>IF(G1230="conciliado","conciliado",I1230)</f>
        <v/>
      </c>
      <c r="F1230" s="11">
        <f>IF(SUM(COUNTIFS('Conciliacion de compuestos'!$D$2:$D$71,"conciliado",'Conciliacion de compuestos'!$E$2:$E$71,"OK",'Conciliacion de compuestos'!$M$2:$M$71,A1230),COUNTIFS('Conciliacion de compuestos'!$D$2:$D$71,"conciliado",'Conciliacion de compuestos'!$E$2:$E$71,"OK",'Conciliacion de compuestos'!$N$2:$N$71,A1230),COUNTIFS('Conciliacion de compuestos'!$D$2:$D$71,"conciliado",'Conciliacion de compuestos'!$E$2:$E$71,"OK",'Conciliacion de compuestos'!$O$2:$O$71,A1230))&gt;0,IFERROR(TEXTJOIN(CHAR(10),TRUE,FILTER('Conciliacion de compuestos'!$A$2:$A$71,('Conciliacion de compuestos'!$D$2:$D$71="conciliado")*('Conciliacion de compuestos'!$E$2:$E$71="OK")*((('Conciliacion de compuestos'!$M$2:$M$71=A1230)+('Conciliacion de compuestos'!$N$2:$N$71=A1230)+('Conciliacion de compuestos'!$O$2:$O$71=A1230))&gt;0))),""),"")</f>
        <v/>
      </c>
      <c r="G1230" s="11">
        <f>IF(I1230="conciliado","conciliado","por revisar")</f>
        <v/>
      </c>
      <c r="H1230" s="11" t="inlineStr"/>
      <c r="I1230" s="11">
        <f>IF(SUM(COUNTIFS('Conciliacion de compuestos'!$D$2:$D$71,"conciliado",'Conciliacion de compuestos'!$E$2:$E$71,"OK",'Conciliacion de compuestos'!$M$2:$M$71,A1230),COUNTIFS('Conciliacion de compuestos'!$D$2:$D$71,"conciliado",'Conciliacion de compuestos'!$E$2:$E$71,"OK",'Conciliacion de compuestos'!$N$2:$N$71,A1230),COUNTIFS('Conciliacion de compuestos'!$D$2:$D$71,"conciliado",'Conciliacion de compuestos'!$E$2:$E$71,"OK",'Conciliacion de compuestos'!$O$2:$O$71,A1230))&gt;0,"conciliado","por revisar")</f>
        <v/>
      </c>
    </row>
    <row r="1231">
      <c r="A1231" s="11" t="n">
        <v>1036</v>
      </c>
      <c r="B1231" s="12" t="n">
        <v>46107</v>
      </c>
      <c r="C1231" s="11" t="inlineStr">
        <is>
          <t>cubillos niv ordones</t>
        </is>
      </c>
      <c r="D1231" s="13" t="n">
        <v>28500</v>
      </c>
      <c r="E1231" s="11">
        <f>IF(G1231="conciliado","conciliado",I1231)</f>
        <v/>
      </c>
      <c r="F1231" s="11">
        <f>IF(SUM(COUNTIFS('Conciliacion de compuestos'!$D$2:$D$71,"conciliado",'Conciliacion de compuestos'!$E$2:$E$71,"OK",'Conciliacion de compuestos'!$M$2:$M$71,A1231),COUNTIFS('Conciliacion de compuestos'!$D$2:$D$71,"conciliado",'Conciliacion de compuestos'!$E$2:$E$71,"OK",'Conciliacion de compuestos'!$N$2:$N$71,A1231),COUNTIFS('Conciliacion de compuestos'!$D$2:$D$71,"conciliado",'Conciliacion de compuestos'!$E$2:$E$71,"OK",'Conciliacion de compuestos'!$O$2:$O$71,A1231))&gt;0,IFERROR(TEXTJOIN(CHAR(10),TRUE,FILTER('Conciliacion de compuestos'!$A$2:$A$71,('Conciliacion de compuestos'!$D$2:$D$71="conciliado")*('Conciliacion de compuestos'!$E$2:$E$71="OK")*((('Conciliacion de compuestos'!$M$2:$M$71=A1231)+('Conciliacion de compuestos'!$N$2:$N$71=A1231)+('Conciliacion de compuestos'!$O$2:$O$71=A1231))&gt;0))),""),"")</f>
        <v/>
      </c>
      <c r="G1231" s="11">
        <f>IF(I1231="conciliado","conciliado","por revisar")</f>
        <v/>
      </c>
      <c r="H1231" s="11" t="inlineStr"/>
      <c r="I1231" s="11">
        <f>IF(SUM(COUNTIFS('Conciliacion de compuestos'!$D$2:$D$71,"conciliado",'Conciliacion de compuestos'!$E$2:$E$71,"OK",'Conciliacion de compuestos'!$M$2:$M$71,A1231),COUNTIFS('Conciliacion de compuestos'!$D$2:$D$71,"conciliado",'Conciliacion de compuestos'!$E$2:$E$71,"OK",'Conciliacion de compuestos'!$N$2:$N$71,A1231),COUNTIFS('Conciliacion de compuestos'!$D$2:$D$71,"conciliado",'Conciliacion de compuestos'!$E$2:$E$71,"OK",'Conciliacion de compuestos'!$O$2:$O$71,A1231))&gt;0,"conciliado","por revisar")</f>
        <v/>
      </c>
    </row>
    <row r="1232">
      <c r="A1232" s="11" t="n">
        <v>1043</v>
      </c>
      <c r="B1232" s="12" t="n">
        <v>46107</v>
      </c>
      <c r="C1232" s="11" t="inlineStr">
        <is>
          <t>castillo corrales si</t>
        </is>
      </c>
      <c r="D1232" s="13" t="n">
        <v>50000</v>
      </c>
      <c r="E1232" s="11">
        <f>IF(G1232="conciliado","conciliado",I1232)</f>
        <v/>
      </c>
      <c r="F1232" s="11">
        <f>IF(SUM(COUNTIFS('Conciliacion de compuestos'!$D$2:$D$71,"conciliado",'Conciliacion de compuestos'!$E$2:$E$71,"OK",'Conciliacion de compuestos'!$M$2:$M$71,A1232),COUNTIFS('Conciliacion de compuestos'!$D$2:$D$71,"conciliado",'Conciliacion de compuestos'!$E$2:$E$71,"OK",'Conciliacion de compuestos'!$N$2:$N$71,A1232),COUNTIFS('Conciliacion de compuestos'!$D$2:$D$71,"conciliado",'Conciliacion de compuestos'!$E$2:$E$71,"OK",'Conciliacion de compuestos'!$O$2:$O$71,A1232))&gt;0,IFERROR(TEXTJOIN(CHAR(10),TRUE,FILTER('Conciliacion de compuestos'!$A$2:$A$71,('Conciliacion de compuestos'!$D$2:$D$71="conciliado")*('Conciliacion de compuestos'!$E$2:$E$71="OK")*((('Conciliacion de compuestos'!$M$2:$M$71=A1232)+('Conciliacion de compuestos'!$N$2:$N$71=A1232)+('Conciliacion de compuestos'!$O$2:$O$71=A1232))&gt;0))),""),"")</f>
        <v/>
      </c>
      <c r="G1232" s="11">
        <f>IF(I1232="conciliado","conciliado","por revisar")</f>
        <v/>
      </c>
      <c r="H1232" s="11" t="inlineStr"/>
      <c r="I1232" s="11">
        <f>IF(SUM(COUNTIFS('Conciliacion de compuestos'!$D$2:$D$71,"conciliado",'Conciliacion de compuestos'!$E$2:$E$71,"OK",'Conciliacion de compuestos'!$M$2:$M$71,A1232),COUNTIFS('Conciliacion de compuestos'!$D$2:$D$71,"conciliado",'Conciliacion de compuestos'!$E$2:$E$71,"OK",'Conciliacion de compuestos'!$N$2:$N$71,A1232),COUNTIFS('Conciliacion de compuestos'!$D$2:$D$71,"conciliado",'Conciliacion de compuestos'!$E$2:$E$71,"OK",'Conciliacion de compuestos'!$O$2:$O$71,A1232))&gt;0,"conciliado","por revisar")</f>
        <v/>
      </c>
    </row>
    <row r="1233">
      <c r="A1233" s="11" t="n">
        <v>1047</v>
      </c>
      <c r="B1233" s="12" t="n">
        <v>46107</v>
      </c>
      <c r="C1233" s="11" t="inlineStr">
        <is>
          <t>buitron ka rodriguez</t>
        </is>
      </c>
      <c r="D1233" s="13" t="n">
        <v>23000</v>
      </c>
      <c r="E1233" s="11">
        <f>IF(G1233="conciliado","conciliado",I1233)</f>
        <v/>
      </c>
      <c r="F1233" s="11">
        <f>IF(SUM(COUNTIFS('Conciliacion de compuestos'!$D$2:$D$71,"conciliado",'Conciliacion de compuestos'!$E$2:$E$71,"OK",'Conciliacion de compuestos'!$M$2:$M$71,A1233),COUNTIFS('Conciliacion de compuestos'!$D$2:$D$71,"conciliado",'Conciliacion de compuestos'!$E$2:$E$71,"OK",'Conciliacion de compuestos'!$N$2:$N$71,A1233),COUNTIFS('Conciliacion de compuestos'!$D$2:$D$71,"conciliado",'Conciliacion de compuestos'!$E$2:$E$71,"OK",'Conciliacion de compuestos'!$O$2:$O$71,A1233))&gt;0,IFERROR(TEXTJOIN(CHAR(10),TRUE,FILTER('Conciliacion de compuestos'!$A$2:$A$71,('Conciliacion de compuestos'!$D$2:$D$71="conciliado")*('Conciliacion de compuestos'!$E$2:$E$71="OK")*((('Conciliacion de compuestos'!$M$2:$M$71=A1233)+('Conciliacion de compuestos'!$N$2:$N$71=A1233)+('Conciliacion de compuestos'!$O$2:$O$71=A1233))&gt;0))),""),"")</f>
        <v/>
      </c>
      <c r="G1233" s="11">
        <f>IF(I1233="conciliado","conciliado","por revisar")</f>
        <v/>
      </c>
      <c r="H1233" s="11" t="inlineStr"/>
      <c r="I1233" s="11">
        <f>IF(SUM(COUNTIFS('Conciliacion de compuestos'!$D$2:$D$71,"conciliado",'Conciliacion de compuestos'!$E$2:$E$71,"OK",'Conciliacion de compuestos'!$M$2:$M$71,A1233),COUNTIFS('Conciliacion de compuestos'!$D$2:$D$71,"conciliado",'Conciliacion de compuestos'!$E$2:$E$71,"OK",'Conciliacion de compuestos'!$N$2:$N$71,A1233),COUNTIFS('Conciliacion de compuestos'!$D$2:$D$71,"conciliado",'Conciliacion de compuestos'!$E$2:$E$71,"OK",'Conciliacion de compuestos'!$O$2:$O$71,A1233))&gt;0,"conciliado","por revisar")</f>
        <v/>
      </c>
    </row>
    <row r="1234">
      <c r="A1234" s="11" t="n">
        <v>1052</v>
      </c>
      <c r="B1234" s="12" t="n">
        <v>46107</v>
      </c>
      <c r="C1234" s="11" t="inlineStr">
        <is>
          <t>martinez montenegro</t>
        </is>
      </c>
      <c r="D1234" s="13" t="n">
        <v>29900</v>
      </c>
      <c r="E1234" s="11">
        <f>IF(G1234="conciliado","conciliado",I1234)</f>
        <v/>
      </c>
      <c r="F1234" s="11">
        <f>IF(SUM(COUNTIFS('Conciliacion de compuestos'!$D$2:$D$71,"conciliado",'Conciliacion de compuestos'!$E$2:$E$71,"OK",'Conciliacion de compuestos'!$M$2:$M$71,A1234),COUNTIFS('Conciliacion de compuestos'!$D$2:$D$71,"conciliado",'Conciliacion de compuestos'!$E$2:$E$71,"OK",'Conciliacion de compuestos'!$N$2:$N$71,A1234),COUNTIFS('Conciliacion de compuestos'!$D$2:$D$71,"conciliado",'Conciliacion de compuestos'!$E$2:$E$71,"OK",'Conciliacion de compuestos'!$O$2:$O$71,A1234))&gt;0,IFERROR(TEXTJOIN(CHAR(10),TRUE,FILTER('Conciliacion de compuestos'!$A$2:$A$71,('Conciliacion de compuestos'!$D$2:$D$71="conciliado")*('Conciliacion de compuestos'!$E$2:$E$71="OK")*((('Conciliacion de compuestos'!$M$2:$M$71=A1234)+('Conciliacion de compuestos'!$N$2:$N$71=A1234)+('Conciliacion de compuestos'!$O$2:$O$71=A1234))&gt;0))),""),"")</f>
        <v/>
      </c>
      <c r="G1234" s="11">
        <f>IF(I1234="conciliado","conciliado","por revisar")</f>
        <v/>
      </c>
      <c r="H1234" s="11" t="inlineStr"/>
      <c r="I1234" s="11">
        <f>IF(SUM(COUNTIFS('Conciliacion de compuestos'!$D$2:$D$71,"conciliado",'Conciliacion de compuestos'!$E$2:$E$71,"OK",'Conciliacion de compuestos'!$M$2:$M$71,A1234),COUNTIFS('Conciliacion de compuestos'!$D$2:$D$71,"conciliado",'Conciliacion de compuestos'!$E$2:$E$71,"OK",'Conciliacion de compuestos'!$N$2:$N$71,A1234),COUNTIFS('Conciliacion de compuestos'!$D$2:$D$71,"conciliado",'Conciliacion de compuestos'!$E$2:$E$71,"OK",'Conciliacion de compuestos'!$O$2:$O$71,A1234))&gt;0,"conciliado","por revisar")</f>
        <v/>
      </c>
    </row>
    <row r="1235">
      <c r="A1235" s="11" t="n">
        <v>1057</v>
      </c>
      <c r="B1235" s="12" t="n">
        <v>46108</v>
      </c>
      <c r="C1235" s="11" t="inlineStr">
        <is>
          <t>cordero correa diana</t>
        </is>
      </c>
      <c r="D1235" s="13" t="n">
        <v>51200</v>
      </c>
      <c r="E1235" s="11">
        <f>IF(G1235="conciliado","conciliado",I1235)</f>
        <v/>
      </c>
      <c r="F1235" s="11">
        <f>IF(SUM(COUNTIFS('Conciliacion de compuestos'!$D$2:$D$71,"conciliado",'Conciliacion de compuestos'!$E$2:$E$71,"OK",'Conciliacion de compuestos'!$M$2:$M$71,A1235),COUNTIFS('Conciliacion de compuestos'!$D$2:$D$71,"conciliado",'Conciliacion de compuestos'!$E$2:$E$71,"OK",'Conciliacion de compuestos'!$N$2:$N$71,A1235),COUNTIFS('Conciliacion de compuestos'!$D$2:$D$71,"conciliado",'Conciliacion de compuestos'!$E$2:$E$71,"OK",'Conciliacion de compuestos'!$O$2:$O$71,A1235))&gt;0,IFERROR(TEXTJOIN(CHAR(10),TRUE,FILTER('Conciliacion de compuestos'!$A$2:$A$71,('Conciliacion de compuestos'!$D$2:$D$71="conciliado")*('Conciliacion de compuestos'!$E$2:$E$71="OK")*((('Conciliacion de compuestos'!$M$2:$M$71=A1235)+('Conciliacion de compuestos'!$N$2:$N$71=A1235)+('Conciliacion de compuestos'!$O$2:$O$71=A1235))&gt;0))),""),"")</f>
        <v/>
      </c>
      <c r="G1235" s="11">
        <f>IF(I1235="conciliado","conciliado","por revisar")</f>
        <v/>
      </c>
      <c r="H1235" s="11" t="inlineStr"/>
      <c r="I1235" s="11">
        <f>IF(SUM(COUNTIFS('Conciliacion de compuestos'!$D$2:$D$71,"conciliado",'Conciliacion de compuestos'!$E$2:$E$71,"OK",'Conciliacion de compuestos'!$M$2:$M$71,A1235),COUNTIFS('Conciliacion de compuestos'!$D$2:$D$71,"conciliado",'Conciliacion de compuestos'!$E$2:$E$71,"OK",'Conciliacion de compuestos'!$N$2:$N$71,A1235),COUNTIFS('Conciliacion de compuestos'!$D$2:$D$71,"conciliado",'Conciliacion de compuestos'!$E$2:$E$71,"OK",'Conciliacion de compuestos'!$O$2:$O$71,A1235))&gt;0,"conciliado","por revisar")</f>
        <v/>
      </c>
    </row>
    <row r="1236">
      <c r="A1236" s="11" t="n">
        <v>1061</v>
      </c>
      <c r="B1236" s="12" t="n">
        <v>46108</v>
      </c>
      <c r="C1236" s="11" t="inlineStr">
        <is>
          <t>claudi diaz zandobal</t>
        </is>
      </c>
      <c r="D1236" s="13" t="n">
        <v>13200</v>
      </c>
      <c r="E1236" s="11">
        <f>IF(G1236="conciliado","conciliado",I1236)</f>
        <v/>
      </c>
      <c r="F1236" s="11">
        <f>IF(SUM(COUNTIFS('Conciliacion de compuestos'!$D$2:$D$71,"conciliado",'Conciliacion de compuestos'!$E$2:$E$71,"OK",'Conciliacion de compuestos'!$M$2:$M$71,A1236),COUNTIFS('Conciliacion de compuestos'!$D$2:$D$71,"conciliado",'Conciliacion de compuestos'!$E$2:$E$71,"OK",'Conciliacion de compuestos'!$N$2:$N$71,A1236),COUNTIFS('Conciliacion de compuestos'!$D$2:$D$71,"conciliado",'Conciliacion de compuestos'!$E$2:$E$71,"OK",'Conciliacion de compuestos'!$O$2:$O$71,A1236))&gt;0,IFERROR(TEXTJOIN(CHAR(10),TRUE,FILTER('Conciliacion de compuestos'!$A$2:$A$71,('Conciliacion de compuestos'!$D$2:$D$71="conciliado")*('Conciliacion de compuestos'!$E$2:$E$71="OK")*((('Conciliacion de compuestos'!$M$2:$M$71=A1236)+('Conciliacion de compuestos'!$N$2:$N$71=A1236)+('Conciliacion de compuestos'!$O$2:$O$71=A1236))&gt;0))),""),"")</f>
        <v/>
      </c>
      <c r="G1236" s="11">
        <f>IF(I1236="conciliado","conciliado","por revisar")</f>
        <v/>
      </c>
      <c r="H1236" s="11" t="inlineStr"/>
      <c r="I1236" s="11">
        <f>IF(SUM(COUNTIFS('Conciliacion de compuestos'!$D$2:$D$71,"conciliado",'Conciliacion de compuestos'!$E$2:$E$71,"OK",'Conciliacion de compuestos'!$M$2:$M$71,A1236),COUNTIFS('Conciliacion de compuestos'!$D$2:$D$71,"conciliado",'Conciliacion de compuestos'!$E$2:$E$71,"OK",'Conciliacion de compuestos'!$N$2:$N$71,A1236),COUNTIFS('Conciliacion de compuestos'!$D$2:$D$71,"conciliado",'Conciliacion de compuestos'!$E$2:$E$71,"OK",'Conciliacion de compuestos'!$O$2:$O$71,A1236))&gt;0,"conciliado","por revisar")</f>
        <v/>
      </c>
    </row>
    <row r="1237">
      <c r="A1237" s="11" t="n">
        <v>1064</v>
      </c>
      <c r="B1237" s="12" t="n">
        <v>46108</v>
      </c>
      <c r="C1237" s="11" t="inlineStr">
        <is>
          <t>burbano monica ossa</t>
        </is>
      </c>
      <c r="D1237" s="13" t="n">
        <v>50600</v>
      </c>
      <c r="E1237" s="11">
        <f>IF(G1237="conciliado","conciliado",I1237)</f>
        <v/>
      </c>
      <c r="F1237" s="11">
        <f>IF(SUM(COUNTIFS('Conciliacion de compuestos'!$D$2:$D$71,"conciliado",'Conciliacion de compuestos'!$E$2:$E$71,"OK",'Conciliacion de compuestos'!$M$2:$M$71,A1237),COUNTIFS('Conciliacion de compuestos'!$D$2:$D$71,"conciliado",'Conciliacion de compuestos'!$E$2:$E$71,"OK",'Conciliacion de compuestos'!$N$2:$N$71,A1237),COUNTIFS('Conciliacion de compuestos'!$D$2:$D$71,"conciliado",'Conciliacion de compuestos'!$E$2:$E$71,"OK",'Conciliacion de compuestos'!$O$2:$O$71,A1237))&gt;0,IFERROR(TEXTJOIN(CHAR(10),TRUE,FILTER('Conciliacion de compuestos'!$A$2:$A$71,('Conciliacion de compuestos'!$D$2:$D$71="conciliado")*('Conciliacion de compuestos'!$E$2:$E$71="OK")*((('Conciliacion de compuestos'!$M$2:$M$71=A1237)+('Conciliacion de compuestos'!$N$2:$N$71=A1237)+('Conciliacion de compuestos'!$O$2:$O$71=A1237))&gt;0))),""),"")</f>
        <v/>
      </c>
      <c r="G1237" s="11">
        <f>IF(I1237="conciliado","conciliado","por revisar")</f>
        <v/>
      </c>
      <c r="H1237" s="11" t="inlineStr"/>
      <c r="I1237" s="11">
        <f>IF(SUM(COUNTIFS('Conciliacion de compuestos'!$D$2:$D$71,"conciliado",'Conciliacion de compuestos'!$E$2:$E$71,"OK",'Conciliacion de compuestos'!$M$2:$M$71,A1237),COUNTIFS('Conciliacion de compuestos'!$D$2:$D$71,"conciliado",'Conciliacion de compuestos'!$E$2:$E$71,"OK",'Conciliacion de compuestos'!$N$2:$N$71,A1237),COUNTIFS('Conciliacion de compuestos'!$D$2:$D$71,"conciliado",'Conciliacion de compuestos'!$E$2:$E$71,"OK",'Conciliacion de compuestos'!$O$2:$O$71,A1237))&gt;0,"conciliado","por revisar")</f>
        <v/>
      </c>
    </row>
    <row r="1238">
      <c r="A1238" s="11" t="n">
        <v>1102</v>
      </c>
      <c r="B1238" s="12" t="n">
        <v>46109</v>
      </c>
      <c r="C1238" s="11" t="inlineStr">
        <is>
          <t>angulo cahuasa ismen</t>
        </is>
      </c>
      <c r="D1238" s="13" t="n">
        <v>33500</v>
      </c>
      <c r="E1238" s="11">
        <f>IF(G1238="conciliado","conciliado",I1238)</f>
        <v/>
      </c>
      <c r="F1238" s="11">
        <f>IF(SUM(COUNTIFS('Conciliacion de compuestos'!$D$2:$D$71,"conciliado",'Conciliacion de compuestos'!$E$2:$E$71,"OK",'Conciliacion de compuestos'!$M$2:$M$71,A1238),COUNTIFS('Conciliacion de compuestos'!$D$2:$D$71,"conciliado",'Conciliacion de compuestos'!$E$2:$E$71,"OK",'Conciliacion de compuestos'!$N$2:$N$71,A1238),COUNTIFS('Conciliacion de compuestos'!$D$2:$D$71,"conciliado",'Conciliacion de compuestos'!$E$2:$E$71,"OK",'Conciliacion de compuestos'!$O$2:$O$71,A1238))&gt;0,IFERROR(TEXTJOIN(CHAR(10),TRUE,FILTER('Conciliacion de compuestos'!$A$2:$A$71,('Conciliacion de compuestos'!$D$2:$D$71="conciliado")*('Conciliacion de compuestos'!$E$2:$E$71="OK")*((('Conciliacion de compuestos'!$M$2:$M$71=A1238)+('Conciliacion de compuestos'!$N$2:$N$71=A1238)+('Conciliacion de compuestos'!$O$2:$O$71=A1238))&gt;0))),""),"")</f>
        <v/>
      </c>
      <c r="G1238" s="11">
        <f>IF(I1238="conciliado","conciliado","por revisar")</f>
        <v/>
      </c>
      <c r="H1238" s="11" t="inlineStr"/>
      <c r="I1238" s="11">
        <f>IF(SUM(COUNTIFS('Conciliacion de compuestos'!$D$2:$D$71,"conciliado",'Conciliacion de compuestos'!$E$2:$E$71,"OK",'Conciliacion de compuestos'!$M$2:$M$71,A1238),COUNTIFS('Conciliacion de compuestos'!$D$2:$D$71,"conciliado",'Conciliacion de compuestos'!$E$2:$E$71,"OK",'Conciliacion de compuestos'!$N$2:$N$71,A1238),COUNTIFS('Conciliacion de compuestos'!$D$2:$D$71,"conciliado",'Conciliacion de compuestos'!$E$2:$E$71,"OK",'Conciliacion de compuestos'!$O$2:$O$71,A1238))&gt;0,"conciliado","por revisar")</f>
        <v/>
      </c>
    </row>
    <row r="1239">
      <c r="A1239" s="11" t="n">
        <v>1103</v>
      </c>
      <c r="B1239" s="12" t="n">
        <v>46109</v>
      </c>
      <c r="C1239" s="11" t="inlineStr">
        <is>
          <t>brige diaz hernandez</t>
        </is>
      </c>
      <c r="D1239" s="13" t="n">
        <v>91100</v>
      </c>
      <c r="E1239" s="11">
        <f>IF(G1239="conciliado","conciliado",I1239)</f>
        <v/>
      </c>
      <c r="F1239" s="11">
        <f>IF(SUM(COUNTIFS('Conciliacion de compuestos'!$D$2:$D$71,"conciliado",'Conciliacion de compuestos'!$E$2:$E$71,"OK",'Conciliacion de compuestos'!$M$2:$M$71,A1239),COUNTIFS('Conciliacion de compuestos'!$D$2:$D$71,"conciliado",'Conciliacion de compuestos'!$E$2:$E$71,"OK",'Conciliacion de compuestos'!$N$2:$N$71,A1239),COUNTIFS('Conciliacion de compuestos'!$D$2:$D$71,"conciliado",'Conciliacion de compuestos'!$E$2:$E$71,"OK",'Conciliacion de compuestos'!$O$2:$O$71,A1239))&gt;0,IFERROR(TEXTJOIN(CHAR(10),TRUE,FILTER('Conciliacion de compuestos'!$A$2:$A$71,('Conciliacion de compuestos'!$D$2:$D$71="conciliado")*('Conciliacion de compuestos'!$E$2:$E$71="OK")*((('Conciliacion de compuestos'!$M$2:$M$71=A1239)+('Conciliacion de compuestos'!$N$2:$N$71=A1239)+('Conciliacion de compuestos'!$O$2:$O$71=A1239))&gt;0))),""),"")</f>
        <v/>
      </c>
      <c r="G1239" s="11">
        <f>IF(I1239="conciliado","conciliado","por revisar")</f>
        <v/>
      </c>
      <c r="H1239" s="11" t="inlineStr"/>
      <c r="I1239" s="11">
        <f>IF(SUM(COUNTIFS('Conciliacion de compuestos'!$D$2:$D$71,"conciliado",'Conciliacion de compuestos'!$E$2:$E$71,"OK",'Conciliacion de compuestos'!$M$2:$M$71,A1239),COUNTIFS('Conciliacion de compuestos'!$D$2:$D$71,"conciliado",'Conciliacion de compuestos'!$E$2:$E$71,"OK",'Conciliacion de compuestos'!$N$2:$N$71,A1239),COUNTIFS('Conciliacion de compuestos'!$D$2:$D$71,"conciliado",'Conciliacion de compuestos'!$E$2:$E$71,"OK",'Conciliacion de compuestos'!$O$2:$O$71,A1239))&gt;0,"conciliado","por revisar")</f>
        <v/>
      </c>
    </row>
    <row r="1240">
      <c r="A1240" s="11" t="n">
        <v>1105</v>
      </c>
      <c r="B1240" s="12" t="n">
        <v>46109</v>
      </c>
      <c r="C1240" s="11" t="inlineStr">
        <is>
          <t>consumidor final</t>
        </is>
      </c>
      <c r="D1240" s="13" t="n">
        <v>11300</v>
      </c>
      <c r="E1240" s="11">
        <f>IF(G1240="conciliado","conciliado",I1240)</f>
        <v/>
      </c>
      <c r="F1240" s="11">
        <f>IF(SUM(COUNTIFS('Conciliacion de compuestos'!$D$2:$D$71,"conciliado",'Conciliacion de compuestos'!$E$2:$E$71,"OK",'Conciliacion de compuestos'!$M$2:$M$71,A1240),COUNTIFS('Conciliacion de compuestos'!$D$2:$D$71,"conciliado",'Conciliacion de compuestos'!$E$2:$E$71,"OK",'Conciliacion de compuestos'!$N$2:$N$71,A1240),COUNTIFS('Conciliacion de compuestos'!$D$2:$D$71,"conciliado",'Conciliacion de compuestos'!$E$2:$E$71,"OK",'Conciliacion de compuestos'!$O$2:$O$71,A1240))&gt;0,IFERROR(TEXTJOIN(CHAR(10),TRUE,FILTER('Conciliacion de compuestos'!$A$2:$A$71,('Conciliacion de compuestos'!$D$2:$D$71="conciliado")*('Conciliacion de compuestos'!$E$2:$E$71="OK")*((('Conciliacion de compuestos'!$M$2:$M$71=A1240)+('Conciliacion de compuestos'!$N$2:$N$71=A1240)+('Conciliacion de compuestos'!$O$2:$O$71=A1240))&gt;0))),""),"")</f>
        <v/>
      </c>
      <c r="G1240" s="11">
        <f>IF(I1240="conciliado","conciliado","por revisar")</f>
        <v/>
      </c>
      <c r="H1240" s="11" t="inlineStr"/>
      <c r="I1240" s="11">
        <f>IF(SUM(COUNTIFS('Conciliacion de compuestos'!$D$2:$D$71,"conciliado",'Conciliacion de compuestos'!$E$2:$E$71,"OK",'Conciliacion de compuestos'!$M$2:$M$71,A1240),COUNTIFS('Conciliacion de compuestos'!$D$2:$D$71,"conciliado",'Conciliacion de compuestos'!$E$2:$E$71,"OK",'Conciliacion de compuestos'!$N$2:$N$71,A1240),COUNTIFS('Conciliacion de compuestos'!$D$2:$D$71,"conciliado",'Conciliacion de compuestos'!$E$2:$E$71,"OK",'Conciliacion de compuestos'!$O$2:$O$71,A1240))&gt;0,"conciliado","por revisar")</f>
        <v/>
      </c>
    </row>
    <row r="1241">
      <c r="A1241" s="11" t="n">
        <v>1112</v>
      </c>
      <c r="B1241" s="12" t="n">
        <v>46109</v>
      </c>
      <c r="C1241" s="11" t="inlineStr">
        <is>
          <t>adr mora nury ruales</t>
        </is>
      </c>
      <c r="D1241" s="13" t="n">
        <v>82200</v>
      </c>
      <c r="E1241" s="11">
        <f>IF(G1241="conciliado","conciliado",I1241)</f>
        <v/>
      </c>
      <c r="F1241" s="11">
        <f>IF(SUM(COUNTIFS('Conciliacion de compuestos'!$D$2:$D$71,"conciliado",'Conciliacion de compuestos'!$E$2:$E$71,"OK",'Conciliacion de compuestos'!$M$2:$M$71,A1241),COUNTIFS('Conciliacion de compuestos'!$D$2:$D$71,"conciliado",'Conciliacion de compuestos'!$E$2:$E$71,"OK",'Conciliacion de compuestos'!$N$2:$N$71,A1241),COUNTIFS('Conciliacion de compuestos'!$D$2:$D$71,"conciliado",'Conciliacion de compuestos'!$E$2:$E$71,"OK",'Conciliacion de compuestos'!$O$2:$O$71,A1241))&gt;0,IFERROR(TEXTJOIN(CHAR(10),TRUE,FILTER('Conciliacion de compuestos'!$A$2:$A$71,('Conciliacion de compuestos'!$D$2:$D$71="conciliado")*('Conciliacion de compuestos'!$E$2:$E$71="OK")*((('Conciliacion de compuestos'!$M$2:$M$71=A1241)+('Conciliacion de compuestos'!$N$2:$N$71=A1241)+('Conciliacion de compuestos'!$O$2:$O$71=A1241))&gt;0))),""),"")</f>
        <v/>
      </c>
      <c r="G1241" s="11">
        <f>IF(I1241="conciliado","conciliado","por revisar")</f>
        <v/>
      </c>
      <c r="H1241" s="11" t="inlineStr"/>
      <c r="I1241" s="11">
        <f>IF(SUM(COUNTIFS('Conciliacion de compuestos'!$D$2:$D$71,"conciliado",'Conciliacion de compuestos'!$E$2:$E$71,"OK",'Conciliacion de compuestos'!$M$2:$M$71,A1241),COUNTIFS('Conciliacion de compuestos'!$D$2:$D$71,"conciliado",'Conciliacion de compuestos'!$E$2:$E$71,"OK",'Conciliacion de compuestos'!$N$2:$N$71,A1241),COUNTIFS('Conciliacion de compuestos'!$D$2:$D$71,"conciliado",'Conciliacion de compuestos'!$E$2:$E$71,"OK",'Conciliacion de compuestos'!$O$2:$O$71,A1241))&gt;0,"conciliado","por revisar")</f>
        <v/>
      </c>
    </row>
    <row r="1242">
      <c r="A1242" s="11" t="n">
        <v>1131</v>
      </c>
      <c r="B1242" s="12" t="n">
        <v>46110</v>
      </c>
      <c r="C1242" s="11" t="inlineStr">
        <is>
          <t>borja fresle vergara</t>
        </is>
      </c>
      <c r="D1242" s="13" t="n">
        <v>144700</v>
      </c>
      <c r="E1242" s="11">
        <f>IF(G1242="conciliado","conciliado",I1242)</f>
        <v/>
      </c>
      <c r="F1242" s="11">
        <f>IF(SUM(COUNTIFS('Conciliacion de compuestos'!$D$2:$D$71,"conciliado",'Conciliacion de compuestos'!$E$2:$E$71,"OK",'Conciliacion de compuestos'!$M$2:$M$71,A1242),COUNTIFS('Conciliacion de compuestos'!$D$2:$D$71,"conciliado",'Conciliacion de compuestos'!$E$2:$E$71,"OK",'Conciliacion de compuestos'!$N$2:$N$71,A1242),COUNTIFS('Conciliacion de compuestos'!$D$2:$D$71,"conciliado",'Conciliacion de compuestos'!$E$2:$E$71,"OK",'Conciliacion de compuestos'!$O$2:$O$71,A1242))&gt;0,IFERROR(TEXTJOIN(CHAR(10),TRUE,FILTER('Conciliacion de compuestos'!$A$2:$A$71,('Conciliacion de compuestos'!$D$2:$D$71="conciliado")*('Conciliacion de compuestos'!$E$2:$E$71="OK")*((('Conciliacion de compuestos'!$M$2:$M$71=A1242)+('Conciliacion de compuestos'!$N$2:$N$71=A1242)+('Conciliacion de compuestos'!$O$2:$O$71=A1242))&gt;0))),""),"")</f>
        <v/>
      </c>
      <c r="G1242" s="11">
        <f>IF(I1242="conciliado","conciliado","por revisar")</f>
        <v/>
      </c>
      <c r="H1242" s="11" t="inlineStr"/>
      <c r="I1242" s="11">
        <f>IF(SUM(COUNTIFS('Conciliacion de compuestos'!$D$2:$D$71,"conciliado",'Conciliacion de compuestos'!$E$2:$E$71,"OK",'Conciliacion de compuestos'!$M$2:$M$71,A1242),COUNTIFS('Conciliacion de compuestos'!$D$2:$D$71,"conciliado",'Conciliacion de compuestos'!$E$2:$E$71,"OK",'Conciliacion de compuestos'!$N$2:$N$71,A1242),COUNTIFS('Conciliacion de compuestos'!$D$2:$D$71,"conciliado",'Conciliacion de compuestos'!$E$2:$E$71,"OK",'Conciliacion de compuestos'!$O$2:$O$71,A1242))&gt;0,"conciliado","por revisar")</f>
        <v/>
      </c>
    </row>
    <row r="1243">
      <c r="A1243" s="11" t="n">
        <v>1142</v>
      </c>
      <c r="B1243" s="12" t="n">
        <v>46110</v>
      </c>
      <c r="C1243" s="11" t="inlineStr">
        <is>
          <t>consumidor final</t>
        </is>
      </c>
      <c r="D1243" s="13" t="n">
        <v>84700</v>
      </c>
      <c r="E1243" s="11">
        <f>IF(G1243="conciliado","conciliado",I1243)</f>
        <v/>
      </c>
      <c r="F1243" s="11">
        <f>IF(SUM(COUNTIFS('Conciliacion de compuestos'!$D$2:$D$71,"conciliado",'Conciliacion de compuestos'!$E$2:$E$71,"OK",'Conciliacion de compuestos'!$M$2:$M$71,A1243),COUNTIFS('Conciliacion de compuestos'!$D$2:$D$71,"conciliado",'Conciliacion de compuestos'!$E$2:$E$71,"OK",'Conciliacion de compuestos'!$N$2:$N$71,A1243),COUNTIFS('Conciliacion de compuestos'!$D$2:$D$71,"conciliado",'Conciliacion de compuestos'!$E$2:$E$71,"OK",'Conciliacion de compuestos'!$O$2:$O$71,A1243))&gt;0,IFERROR(TEXTJOIN(CHAR(10),TRUE,FILTER('Conciliacion de compuestos'!$A$2:$A$71,('Conciliacion de compuestos'!$D$2:$D$71="conciliado")*('Conciliacion de compuestos'!$E$2:$E$71="OK")*((('Conciliacion de compuestos'!$M$2:$M$71=A1243)+('Conciliacion de compuestos'!$N$2:$N$71=A1243)+('Conciliacion de compuestos'!$O$2:$O$71=A1243))&gt;0))),""),"")</f>
        <v/>
      </c>
      <c r="G1243" s="11">
        <f>IF(I1243="conciliado","conciliado","por revisar")</f>
        <v/>
      </c>
      <c r="H1243" s="11" t="inlineStr"/>
      <c r="I1243" s="11">
        <f>IF(SUM(COUNTIFS('Conciliacion de compuestos'!$D$2:$D$71,"conciliado",'Conciliacion de compuestos'!$E$2:$E$71,"OK",'Conciliacion de compuestos'!$M$2:$M$71,A1243),COUNTIFS('Conciliacion de compuestos'!$D$2:$D$71,"conciliado",'Conciliacion de compuestos'!$E$2:$E$71,"OK",'Conciliacion de compuestos'!$N$2:$N$71,A1243),COUNTIFS('Conciliacion de compuestos'!$D$2:$D$71,"conciliado",'Conciliacion de compuestos'!$E$2:$E$71,"OK",'Conciliacion de compuestos'!$O$2:$O$71,A1243))&gt;0,"conciliado","por revisar")</f>
        <v/>
      </c>
    </row>
    <row r="1244">
      <c r="A1244" s="11" t="n">
        <v>1144</v>
      </c>
      <c r="B1244" s="12" t="n">
        <v>46110</v>
      </c>
      <c r="C1244" s="11" t="inlineStr">
        <is>
          <t>batero cortes nubia</t>
        </is>
      </c>
      <c r="D1244" s="13" t="n">
        <v>76800</v>
      </c>
      <c r="E1244" s="11">
        <f>IF(G1244="conciliado","conciliado",I1244)</f>
        <v/>
      </c>
      <c r="F1244" s="11">
        <f>IF(SUM(COUNTIFS('Conciliacion de compuestos'!$D$2:$D$71,"conciliado",'Conciliacion de compuestos'!$E$2:$E$71,"OK",'Conciliacion de compuestos'!$M$2:$M$71,A1244),COUNTIFS('Conciliacion de compuestos'!$D$2:$D$71,"conciliado",'Conciliacion de compuestos'!$E$2:$E$71,"OK",'Conciliacion de compuestos'!$N$2:$N$71,A1244),COUNTIFS('Conciliacion de compuestos'!$D$2:$D$71,"conciliado",'Conciliacion de compuestos'!$E$2:$E$71,"OK",'Conciliacion de compuestos'!$O$2:$O$71,A1244))&gt;0,IFERROR(TEXTJOIN(CHAR(10),TRUE,FILTER('Conciliacion de compuestos'!$A$2:$A$71,('Conciliacion de compuestos'!$D$2:$D$71="conciliado")*('Conciliacion de compuestos'!$E$2:$E$71="OK")*((('Conciliacion de compuestos'!$M$2:$M$71=A1244)+('Conciliacion de compuestos'!$N$2:$N$71=A1244)+('Conciliacion de compuestos'!$O$2:$O$71=A1244))&gt;0))),""),"")</f>
        <v/>
      </c>
      <c r="G1244" s="11">
        <f>IF(I1244="conciliado","conciliado","por revisar")</f>
        <v/>
      </c>
      <c r="H1244" s="11" t="inlineStr"/>
      <c r="I1244" s="11">
        <f>IF(SUM(COUNTIFS('Conciliacion de compuestos'!$D$2:$D$71,"conciliado",'Conciliacion de compuestos'!$E$2:$E$71,"OK",'Conciliacion de compuestos'!$M$2:$M$71,A1244),COUNTIFS('Conciliacion de compuestos'!$D$2:$D$71,"conciliado",'Conciliacion de compuestos'!$E$2:$E$71,"OK",'Conciliacion de compuestos'!$N$2:$N$71,A1244),COUNTIFS('Conciliacion de compuestos'!$D$2:$D$71,"conciliado",'Conciliacion de compuestos'!$E$2:$E$71,"OK",'Conciliacion de compuestos'!$O$2:$O$71,A1244))&gt;0,"conciliado","por revisar")</f>
        <v/>
      </c>
    </row>
    <row r="1245">
      <c r="A1245" s="11" t="n">
        <v>1152</v>
      </c>
      <c r="B1245" s="12" t="n">
        <v>46110</v>
      </c>
      <c r="C1245" s="11" t="inlineStr">
        <is>
          <t>chana edisson potosi</t>
        </is>
      </c>
      <c r="D1245" s="13" t="n">
        <v>134800</v>
      </c>
      <c r="E1245" s="11">
        <f>IF(G1245="conciliado","conciliado",I1245)</f>
        <v/>
      </c>
      <c r="F1245" s="11">
        <f>IF(SUM(COUNTIFS('Conciliacion de compuestos'!$D$2:$D$71,"conciliado",'Conciliacion de compuestos'!$E$2:$E$71,"OK",'Conciliacion de compuestos'!$M$2:$M$71,A1245),COUNTIFS('Conciliacion de compuestos'!$D$2:$D$71,"conciliado",'Conciliacion de compuestos'!$E$2:$E$71,"OK",'Conciliacion de compuestos'!$N$2:$N$71,A1245),COUNTIFS('Conciliacion de compuestos'!$D$2:$D$71,"conciliado",'Conciliacion de compuestos'!$E$2:$E$71,"OK",'Conciliacion de compuestos'!$O$2:$O$71,A1245))&gt;0,IFERROR(TEXTJOIN(CHAR(10),TRUE,FILTER('Conciliacion de compuestos'!$A$2:$A$71,('Conciliacion de compuestos'!$D$2:$D$71="conciliado")*('Conciliacion de compuestos'!$E$2:$E$71="OK")*((('Conciliacion de compuestos'!$M$2:$M$71=A1245)+('Conciliacion de compuestos'!$N$2:$N$71=A1245)+('Conciliacion de compuestos'!$O$2:$O$71=A1245))&gt;0))),""),"")</f>
        <v/>
      </c>
      <c r="G1245" s="11">
        <f>IF(I1245="conciliado","conciliado","por revisar")</f>
        <v/>
      </c>
      <c r="H1245" s="11" t="inlineStr"/>
      <c r="I1245" s="11">
        <f>IF(SUM(COUNTIFS('Conciliacion de compuestos'!$D$2:$D$71,"conciliado",'Conciliacion de compuestos'!$E$2:$E$71,"OK",'Conciliacion de compuestos'!$M$2:$M$71,A1245),COUNTIFS('Conciliacion de compuestos'!$D$2:$D$71,"conciliado",'Conciliacion de compuestos'!$E$2:$E$71,"OK",'Conciliacion de compuestos'!$N$2:$N$71,A1245),COUNTIFS('Conciliacion de compuestos'!$D$2:$D$71,"conciliado",'Conciliacion de compuestos'!$E$2:$E$71,"OK",'Conciliacion de compuestos'!$O$2:$O$71,A1245))&gt;0,"conciliado","por revisar")</f>
        <v/>
      </c>
    </row>
    <row r="1246">
      <c r="A1246" s="11" t="n">
        <v>1178</v>
      </c>
      <c r="B1246" s="12" t="n">
        <v>46111</v>
      </c>
      <c r="C1246" s="11" t="inlineStr">
        <is>
          <t>de narin surtiventas</t>
        </is>
      </c>
      <c r="D1246" s="13" t="n">
        <v>-494607</v>
      </c>
      <c r="E1246" s="11">
        <f>IF(G1246="conciliado","conciliado",I1246)</f>
        <v/>
      </c>
      <c r="F1246" s="11">
        <f>IF(SUM(COUNTIFS('Conciliacion de compuestos'!$D$2:$D$71,"conciliado",'Conciliacion de compuestos'!$E$2:$E$71,"OK",'Conciliacion de compuestos'!$M$2:$M$71,A1246),COUNTIFS('Conciliacion de compuestos'!$D$2:$D$71,"conciliado",'Conciliacion de compuestos'!$E$2:$E$71,"OK",'Conciliacion de compuestos'!$N$2:$N$71,A1246),COUNTIFS('Conciliacion de compuestos'!$D$2:$D$71,"conciliado",'Conciliacion de compuestos'!$E$2:$E$71,"OK",'Conciliacion de compuestos'!$O$2:$O$71,A1246))&gt;0,IFERROR(TEXTJOIN(CHAR(10),TRUE,FILTER('Conciliacion de compuestos'!$A$2:$A$71,('Conciliacion de compuestos'!$D$2:$D$71="conciliado")*('Conciliacion de compuestos'!$E$2:$E$71="OK")*((('Conciliacion de compuestos'!$M$2:$M$71=A1246)+('Conciliacion de compuestos'!$N$2:$N$71=A1246)+('Conciliacion de compuestos'!$O$2:$O$71=A1246))&gt;0))),""),"")</f>
        <v/>
      </c>
      <c r="G1246" s="11">
        <f>IF(I1246="conciliado","conciliado","por revisar")</f>
        <v/>
      </c>
      <c r="H1246" s="11" t="inlineStr"/>
      <c r="I1246" s="11">
        <f>IF(SUM(COUNTIFS('Conciliacion de compuestos'!$D$2:$D$71,"conciliado",'Conciliacion de compuestos'!$E$2:$E$71,"OK",'Conciliacion de compuestos'!$M$2:$M$71,A1246),COUNTIFS('Conciliacion de compuestos'!$D$2:$D$71,"conciliado",'Conciliacion de compuestos'!$E$2:$E$71,"OK",'Conciliacion de compuestos'!$N$2:$N$71,A1246),COUNTIFS('Conciliacion de compuestos'!$D$2:$D$71,"conciliado",'Conciliacion de compuestos'!$E$2:$E$71,"OK",'Conciliacion de compuestos'!$O$2:$O$71,A1246))&gt;0,"conciliado","por revisar")</f>
        <v/>
      </c>
    </row>
    <row r="1247">
      <c r="A1247" s="11" t="n">
        <v>1184</v>
      </c>
      <c r="B1247" s="12" t="n">
        <v>46111</v>
      </c>
      <c r="C1247" s="11" t="inlineStr">
        <is>
          <t>cordero correa diana</t>
        </is>
      </c>
      <c r="D1247" s="13" t="n">
        <v>79000</v>
      </c>
      <c r="E1247" s="11">
        <f>IF(G1247="conciliado","conciliado",I1247)</f>
        <v/>
      </c>
      <c r="F1247" s="11">
        <f>IF(SUM(COUNTIFS('Conciliacion de compuestos'!$D$2:$D$71,"conciliado",'Conciliacion de compuestos'!$E$2:$E$71,"OK",'Conciliacion de compuestos'!$M$2:$M$71,A1247),COUNTIFS('Conciliacion de compuestos'!$D$2:$D$71,"conciliado",'Conciliacion de compuestos'!$E$2:$E$71,"OK",'Conciliacion de compuestos'!$N$2:$N$71,A1247),COUNTIFS('Conciliacion de compuestos'!$D$2:$D$71,"conciliado",'Conciliacion de compuestos'!$E$2:$E$71,"OK",'Conciliacion de compuestos'!$O$2:$O$71,A1247))&gt;0,IFERROR(TEXTJOIN(CHAR(10),TRUE,FILTER('Conciliacion de compuestos'!$A$2:$A$71,('Conciliacion de compuestos'!$D$2:$D$71="conciliado")*('Conciliacion de compuestos'!$E$2:$E$71="OK")*((('Conciliacion de compuestos'!$M$2:$M$71=A1247)+('Conciliacion de compuestos'!$N$2:$N$71=A1247)+('Conciliacion de compuestos'!$O$2:$O$71=A1247))&gt;0))),""),"")</f>
        <v/>
      </c>
      <c r="G1247" s="11">
        <f>IF(I1247="conciliado","conciliado","por revisar")</f>
        <v/>
      </c>
      <c r="H1247" s="11" t="inlineStr"/>
      <c r="I1247" s="11">
        <f>IF(SUM(COUNTIFS('Conciliacion de compuestos'!$D$2:$D$71,"conciliado",'Conciliacion de compuestos'!$E$2:$E$71,"OK",'Conciliacion de compuestos'!$M$2:$M$71,A1247),COUNTIFS('Conciliacion de compuestos'!$D$2:$D$71,"conciliado",'Conciliacion de compuestos'!$E$2:$E$71,"OK",'Conciliacion de compuestos'!$N$2:$N$71,A1247),COUNTIFS('Conciliacion de compuestos'!$D$2:$D$71,"conciliado",'Conciliacion de compuestos'!$E$2:$E$71,"OK",'Conciliacion de compuestos'!$O$2:$O$71,A1247))&gt;0,"conciliado","por revisar")</f>
        <v/>
      </c>
    </row>
    <row r="1248">
      <c r="A1248" s="11" t="n">
        <v>1191</v>
      </c>
      <c r="B1248" s="12" t="n">
        <v>46111</v>
      </c>
      <c r="C1248" s="11" t="inlineStr">
        <is>
          <t>angulo cahuasa ismen</t>
        </is>
      </c>
      <c r="D1248" s="13" t="n">
        <v>38700</v>
      </c>
      <c r="E1248" s="11">
        <f>IF(G1248="conciliado","conciliado",I1248)</f>
        <v/>
      </c>
      <c r="F1248" s="11">
        <f>IF(SUM(COUNTIFS('Conciliacion de compuestos'!$D$2:$D$71,"conciliado",'Conciliacion de compuestos'!$E$2:$E$71,"OK",'Conciliacion de compuestos'!$M$2:$M$71,A1248),COUNTIFS('Conciliacion de compuestos'!$D$2:$D$71,"conciliado",'Conciliacion de compuestos'!$E$2:$E$71,"OK",'Conciliacion de compuestos'!$N$2:$N$71,A1248),COUNTIFS('Conciliacion de compuestos'!$D$2:$D$71,"conciliado",'Conciliacion de compuestos'!$E$2:$E$71,"OK",'Conciliacion de compuestos'!$O$2:$O$71,A1248))&gt;0,IFERROR(TEXTJOIN(CHAR(10),TRUE,FILTER('Conciliacion de compuestos'!$A$2:$A$71,('Conciliacion de compuestos'!$D$2:$D$71="conciliado")*('Conciliacion de compuestos'!$E$2:$E$71="OK")*((('Conciliacion de compuestos'!$M$2:$M$71=A1248)+('Conciliacion de compuestos'!$N$2:$N$71=A1248)+('Conciliacion de compuestos'!$O$2:$O$71=A1248))&gt;0))),""),"")</f>
        <v/>
      </c>
      <c r="G1248" s="11">
        <f>IF(I1248="conciliado","conciliado","por revisar")</f>
        <v/>
      </c>
      <c r="H1248" s="11" t="inlineStr"/>
      <c r="I1248" s="11">
        <f>IF(SUM(COUNTIFS('Conciliacion de compuestos'!$D$2:$D$71,"conciliado",'Conciliacion de compuestos'!$E$2:$E$71,"OK",'Conciliacion de compuestos'!$M$2:$M$71,A1248),COUNTIFS('Conciliacion de compuestos'!$D$2:$D$71,"conciliado",'Conciliacion de compuestos'!$E$2:$E$71,"OK",'Conciliacion de compuestos'!$N$2:$N$71,A1248),COUNTIFS('Conciliacion de compuestos'!$D$2:$D$71,"conciliado",'Conciliacion de compuestos'!$E$2:$E$71,"OK",'Conciliacion de compuestos'!$O$2:$O$71,A1248))&gt;0,"conciliado","por revisar")</f>
        <v/>
      </c>
    </row>
    <row r="1249">
      <c r="A1249" s="11" t="n">
        <v>1208</v>
      </c>
      <c r="B1249" s="12" t="n">
        <v>46111</v>
      </c>
      <c r="C1249" s="11" t="inlineStr">
        <is>
          <t>juan rivera zambrano</t>
        </is>
      </c>
      <c r="D1249" s="13" t="n">
        <v>23900</v>
      </c>
      <c r="E1249" s="11">
        <f>IF(G1249="conciliado","conciliado",I1249)</f>
        <v/>
      </c>
      <c r="F1249" s="11">
        <f>IF(SUM(COUNTIFS('Conciliacion de compuestos'!$D$2:$D$71,"conciliado",'Conciliacion de compuestos'!$E$2:$E$71,"OK",'Conciliacion de compuestos'!$M$2:$M$71,A1249),COUNTIFS('Conciliacion de compuestos'!$D$2:$D$71,"conciliado",'Conciliacion de compuestos'!$E$2:$E$71,"OK",'Conciliacion de compuestos'!$N$2:$N$71,A1249),COUNTIFS('Conciliacion de compuestos'!$D$2:$D$71,"conciliado",'Conciliacion de compuestos'!$E$2:$E$71,"OK",'Conciliacion de compuestos'!$O$2:$O$71,A1249))&gt;0,IFERROR(TEXTJOIN(CHAR(10),TRUE,FILTER('Conciliacion de compuestos'!$A$2:$A$71,('Conciliacion de compuestos'!$D$2:$D$71="conciliado")*('Conciliacion de compuestos'!$E$2:$E$71="OK")*((('Conciliacion de compuestos'!$M$2:$M$71=A1249)+('Conciliacion de compuestos'!$N$2:$N$71=A1249)+('Conciliacion de compuestos'!$O$2:$O$71=A1249))&gt;0))),""),"")</f>
        <v/>
      </c>
      <c r="G1249" s="11">
        <f>IF(I1249="conciliado","conciliado","por revisar")</f>
        <v/>
      </c>
      <c r="H1249" s="11" t="inlineStr"/>
      <c r="I1249" s="11">
        <f>IF(SUM(COUNTIFS('Conciliacion de compuestos'!$D$2:$D$71,"conciliado",'Conciliacion de compuestos'!$E$2:$E$71,"OK",'Conciliacion de compuestos'!$M$2:$M$71,A1249),COUNTIFS('Conciliacion de compuestos'!$D$2:$D$71,"conciliado",'Conciliacion de compuestos'!$E$2:$E$71,"OK",'Conciliacion de compuestos'!$N$2:$N$71,A1249),COUNTIFS('Conciliacion de compuestos'!$D$2:$D$71,"conciliado",'Conciliacion de compuestos'!$E$2:$E$71,"OK",'Conciliacion de compuestos'!$O$2:$O$71,A1249))&gt;0,"conciliado","por revisar")</f>
        <v/>
      </c>
    </row>
    <row r="1250">
      <c r="A1250" s="11" t="n">
        <v>1224</v>
      </c>
      <c r="B1250" s="12" t="n">
        <v>46112</v>
      </c>
      <c r="C1250" s="11" t="inlineStr">
        <is>
          <t>nequi</t>
        </is>
      </c>
      <c r="D1250" s="13" t="n">
        <v>229.52</v>
      </c>
      <c r="E1250" s="11">
        <f>IF(G1250="conciliado","conciliado",I1250)</f>
        <v/>
      </c>
      <c r="F1250" s="11">
        <f>IF(SUM(COUNTIFS('Conciliacion de compuestos'!$D$2:$D$71,"conciliado",'Conciliacion de compuestos'!$E$2:$E$71,"OK",'Conciliacion de compuestos'!$M$2:$M$71,A1250),COUNTIFS('Conciliacion de compuestos'!$D$2:$D$71,"conciliado",'Conciliacion de compuestos'!$E$2:$E$71,"OK",'Conciliacion de compuestos'!$N$2:$N$71,A1250),COUNTIFS('Conciliacion de compuestos'!$D$2:$D$71,"conciliado",'Conciliacion de compuestos'!$E$2:$E$71,"OK",'Conciliacion de compuestos'!$O$2:$O$71,A1250))&gt;0,IFERROR(TEXTJOIN(CHAR(10),TRUE,FILTER('Conciliacion de compuestos'!$A$2:$A$71,('Conciliacion de compuestos'!$D$2:$D$71="conciliado")*('Conciliacion de compuestos'!$E$2:$E$71="OK")*((('Conciliacion de compuestos'!$M$2:$M$71=A1250)+('Conciliacion de compuestos'!$N$2:$N$71=A1250)+('Conciliacion de compuestos'!$O$2:$O$71=A1250))&gt;0))),""),"")</f>
        <v/>
      </c>
      <c r="G1250" s="11">
        <f>IF(I1250="conciliado","conciliado","por revisar")</f>
        <v/>
      </c>
      <c r="H1250" s="11" t="inlineStr"/>
      <c r="I1250" s="11">
        <f>IF(SUM(COUNTIFS('Conciliacion de compuestos'!$D$2:$D$71,"conciliado",'Conciliacion de compuestos'!$E$2:$E$71,"OK",'Conciliacion de compuestos'!$M$2:$M$71,A1250),COUNTIFS('Conciliacion de compuestos'!$D$2:$D$71,"conciliado",'Conciliacion de compuestos'!$E$2:$E$71,"OK",'Conciliacion de compuestos'!$N$2:$N$71,A1250),COUNTIFS('Conciliacion de compuestos'!$D$2:$D$71,"conciliado",'Conciliacion de compuestos'!$E$2:$E$71,"OK",'Conciliacion de compuestos'!$O$2:$O$71,A1250))&gt;0,"conciliado","por revisar")</f>
        <v/>
      </c>
    </row>
    <row r="1251">
      <c r="A1251" s="11" t="n">
        <v>1225</v>
      </c>
      <c r="B1251" s="12" t="n">
        <v>46112</v>
      </c>
      <c r="C1251" s="11" t="inlineStr">
        <is>
          <t>nequi</t>
        </is>
      </c>
      <c r="D1251" s="13" t="n">
        <v>-167646.22</v>
      </c>
      <c r="E1251" s="11">
        <f>IF(G1251="conciliado","conciliado",I1251)</f>
        <v/>
      </c>
      <c r="F1251" s="11">
        <f>IF(SUM(COUNTIFS('Conciliacion de compuestos'!$D$2:$D$71,"conciliado",'Conciliacion de compuestos'!$E$2:$E$71,"OK",'Conciliacion de compuestos'!$M$2:$M$71,A1251),COUNTIFS('Conciliacion de compuestos'!$D$2:$D$71,"conciliado",'Conciliacion de compuestos'!$E$2:$E$71,"OK",'Conciliacion de compuestos'!$N$2:$N$71,A1251),COUNTIFS('Conciliacion de compuestos'!$D$2:$D$71,"conciliado",'Conciliacion de compuestos'!$E$2:$E$71,"OK",'Conciliacion de compuestos'!$O$2:$O$71,A1251))&gt;0,IFERROR(TEXTJOIN(CHAR(10),TRUE,FILTER('Conciliacion de compuestos'!$A$2:$A$71,('Conciliacion de compuestos'!$D$2:$D$71="conciliado")*('Conciliacion de compuestos'!$E$2:$E$71="OK")*((('Conciliacion de compuestos'!$M$2:$M$71=A1251)+('Conciliacion de compuestos'!$N$2:$N$71=A1251)+('Conciliacion de compuestos'!$O$2:$O$71=A1251))&gt;0))),""),"")</f>
        <v/>
      </c>
      <c r="G1251" s="11">
        <f>IF(I1251="conciliado","conciliado","por revisar")</f>
        <v/>
      </c>
      <c r="H1251" s="11" t="inlineStr"/>
      <c r="I1251" s="11">
        <f>IF(SUM(COUNTIFS('Conciliacion de compuestos'!$D$2:$D$71,"conciliado",'Conciliacion de compuestos'!$E$2:$E$71,"OK",'Conciliacion de compuestos'!$M$2:$M$71,A1251),COUNTIFS('Conciliacion de compuestos'!$D$2:$D$71,"conciliado",'Conciliacion de compuestos'!$E$2:$E$71,"OK",'Conciliacion de compuestos'!$N$2:$N$71,A1251),COUNTIFS('Conciliacion de compuestos'!$D$2:$D$71,"conciliado",'Conciliacion de compuestos'!$E$2:$E$71,"OK",'Conciliacion de compuestos'!$O$2:$O$71,A1251))&gt;0,"conciliado","por revisar")</f>
        <v/>
      </c>
    </row>
    <row r="1252">
      <c r="A1252" s="11" t="n">
        <v>1227</v>
      </c>
      <c r="B1252" s="12" t="n">
        <v>46112</v>
      </c>
      <c r="C1252" s="11" t="inlineStr">
        <is>
          <t>cortez lonseria rodr</t>
        </is>
      </c>
      <c r="D1252" s="13" t="n">
        <v>29100</v>
      </c>
      <c r="E1252" s="11">
        <f>IF(G1252="conciliado","conciliado",I1252)</f>
        <v/>
      </c>
      <c r="F1252" s="11">
        <f>IF(SUM(COUNTIFS('Conciliacion de compuestos'!$D$2:$D$71,"conciliado",'Conciliacion de compuestos'!$E$2:$E$71,"OK",'Conciliacion de compuestos'!$M$2:$M$71,A1252),COUNTIFS('Conciliacion de compuestos'!$D$2:$D$71,"conciliado",'Conciliacion de compuestos'!$E$2:$E$71,"OK",'Conciliacion de compuestos'!$N$2:$N$71,A1252),COUNTIFS('Conciliacion de compuestos'!$D$2:$D$71,"conciliado",'Conciliacion de compuestos'!$E$2:$E$71,"OK",'Conciliacion de compuestos'!$O$2:$O$71,A1252))&gt;0,IFERROR(TEXTJOIN(CHAR(10),TRUE,FILTER('Conciliacion de compuestos'!$A$2:$A$71,('Conciliacion de compuestos'!$D$2:$D$71="conciliado")*('Conciliacion de compuestos'!$E$2:$E$71="OK")*((('Conciliacion de compuestos'!$M$2:$M$71=A1252)+('Conciliacion de compuestos'!$N$2:$N$71=A1252)+('Conciliacion de compuestos'!$O$2:$O$71=A1252))&gt;0))),""),"")</f>
        <v/>
      </c>
      <c r="G1252" s="11">
        <f>IF(I1252="conciliado","conciliado","por revisar")</f>
        <v/>
      </c>
      <c r="H1252" s="11" t="inlineStr"/>
      <c r="I1252" s="11">
        <f>IF(SUM(COUNTIFS('Conciliacion de compuestos'!$D$2:$D$71,"conciliado",'Conciliacion de compuestos'!$E$2:$E$71,"OK",'Conciliacion de compuestos'!$M$2:$M$71,A1252),COUNTIFS('Conciliacion de compuestos'!$D$2:$D$71,"conciliado",'Conciliacion de compuestos'!$E$2:$E$71,"OK",'Conciliacion de compuestos'!$N$2:$N$71,A1252),COUNTIFS('Conciliacion de compuestos'!$D$2:$D$71,"conciliado",'Conciliacion de compuestos'!$E$2:$E$71,"OK",'Conciliacion de compuestos'!$O$2:$O$71,A1252))&gt;0,"conciliado","por revisar")</f>
        <v/>
      </c>
    </row>
    <row r="1253">
      <c r="A1253" s="11" t="n">
        <v>1228</v>
      </c>
      <c r="B1253" s="12" t="n">
        <v>46112</v>
      </c>
      <c r="C1253" s="11" t="inlineStr">
        <is>
          <t>benavide manchabajoy</t>
        </is>
      </c>
      <c r="D1253" s="13" t="n">
        <v>22200</v>
      </c>
      <c r="E1253" s="11">
        <f>IF(G1253="conciliado","conciliado",I1253)</f>
        <v/>
      </c>
      <c r="F1253" s="11">
        <f>IF(SUM(COUNTIFS('Conciliacion de compuestos'!$D$2:$D$71,"conciliado",'Conciliacion de compuestos'!$E$2:$E$71,"OK",'Conciliacion de compuestos'!$M$2:$M$71,A1253),COUNTIFS('Conciliacion de compuestos'!$D$2:$D$71,"conciliado",'Conciliacion de compuestos'!$E$2:$E$71,"OK",'Conciliacion de compuestos'!$N$2:$N$71,A1253),COUNTIFS('Conciliacion de compuestos'!$D$2:$D$71,"conciliado",'Conciliacion de compuestos'!$E$2:$E$71,"OK",'Conciliacion de compuestos'!$O$2:$O$71,A1253))&gt;0,IFERROR(TEXTJOIN(CHAR(10),TRUE,FILTER('Conciliacion de compuestos'!$A$2:$A$71,('Conciliacion de compuestos'!$D$2:$D$71="conciliado")*('Conciliacion de compuestos'!$E$2:$E$71="OK")*((('Conciliacion de compuestos'!$M$2:$M$71=A1253)+('Conciliacion de compuestos'!$N$2:$N$71=A1253)+('Conciliacion de compuestos'!$O$2:$O$71=A1253))&gt;0))),""),"")</f>
        <v/>
      </c>
      <c r="G1253" s="11">
        <f>IF(I1253="conciliado","conciliado","por revisar")</f>
        <v/>
      </c>
      <c r="H1253" s="11" t="inlineStr"/>
      <c r="I1253" s="11">
        <f>IF(SUM(COUNTIFS('Conciliacion de compuestos'!$D$2:$D$71,"conciliado",'Conciliacion de compuestos'!$E$2:$E$71,"OK",'Conciliacion de compuestos'!$M$2:$M$71,A1253),COUNTIFS('Conciliacion de compuestos'!$D$2:$D$71,"conciliado",'Conciliacion de compuestos'!$E$2:$E$71,"OK",'Conciliacion de compuestos'!$N$2:$N$71,A1253),COUNTIFS('Conciliacion de compuestos'!$D$2:$D$71,"conciliado",'Conciliacion de compuestos'!$E$2:$E$71,"OK",'Conciliacion de compuestos'!$O$2:$O$71,A1253))&gt;0,"conciliado","por revisar")</f>
        <v/>
      </c>
    </row>
    <row r="1254">
      <c r="A1254" s="11" t="n">
        <v>1232</v>
      </c>
      <c r="B1254" s="12" t="n">
        <v>46112</v>
      </c>
      <c r="C1254" s="11" t="inlineStr">
        <is>
          <t>burbano monica ossa</t>
        </is>
      </c>
      <c r="D1254" s="13" t="n">
        <v>47460</v>
      </c>
      <c r="E1254" s="11">
        <f>IF(G1254="conciliado","conciliado",I1254)</f>
        <v/>
      </c>
      <c r="F1254" s="11">
        <f>IF(SUM(COUNTIFS('Conciliacion de compuestos'!$D$2:$D$71,"conciliado",'Conciliacion de compuestos'!$E$2:$E$71,"OK",'Conciliacion de compuestos'!$M$2:$M$71,A1254),COUNTIFS('Conciliacion de compuestos'!$D$2:$D$71,"conciliado",'Conciliacion de compuestos'!$E$2:$E$71,"OK",'Conciliacion de compuestos'!$N$2:$N$71,A1254),COUNTIFS('Conciliacion de compuestos'!$D$2:$D$71,"conciliado",'Conciliacion de compuestos'!$E$2:$E$71,"OK",'Conciliacion de compuestos'!$O$2:$O$71,A1254))&gt;0,IFERROR(TEXTJOIN(CHAR(10),TRUE,FILTER('Conciliacion de compuestos'!$A$2:$A$71,('Conciliacion de compuestos'!$D$2:$D$71="conciliado")*('Conciliacion de compuestos'!$E$2:$E$71="OK")*((('Conciliacion de compuestos'!$M$2:$M$71=A1254)+('Conciliacion de compuestos'!$N$2:$N$71=A1254)+('Conciliacion de compuestos'!$O$2:$O$71=A1254))&gt;0))),""),"")</f>
        <v/>
      </c>
      <c r="G1254" s="11">
        <f>IF(I1254="conciliado","conciliado","por revisar")</f>
        <v/>
      </c>
      <c r="H1254" s="11" t="inlineStr"/>
      <c r="I1254" s="11">
        <f>IF(SUM(COUNTIFS('Conciliacion de compuestos'!$D$2:$D$71,"conciliado",'Conciliacion de compuestos'!$E$2:$E$71,"OK",'Conciliacion de compuestos'!$M$2:$M$71,A1254),COUNTIFS('Conciliacion de compuestos'!$D$2:$D$71,"conciliado",'Conciliacion de compuestos'!$E$2:$E$71,"OK",'Conciliacion de compuestos'!$N$2:$N$71,A1254),COUNTIFS('Conciliacion de compuestos'!$D$2:$D$71,"conciliado",'Conciliacion de compuestos'!$E$2:$E$71,"OK",'Conciliacion de compuestos'!$O$2:$O$71,A1254))&gt;0,"conciliado","por revisar")</f>
        <v/>
      </c>
    </row>
    <row r="1255">
      <c r="A1255" s="11" t="n">
        <v>1233</v>
      </c>
      <c r="B1255" s="12" t="n">
        <v>46112</v>
      </c>
      <c r="C1255" s="11" t="inlineStr">
        <is>
          <t>claud fernandez meza</t>
        </is>
      </c>
      <c r="D1255" s="13" t="n">
        <v>24600</v>
      </c>
      <c r="E1255" s="11">
        <f>IF(G1255="conciliado","conciliado",I1255)</f>
        <v/>
      </c>
      <c r="F1255" s="11">
        <f>IF(SUM(COUNTIFS('Conciliacion de compuestos'!$D$2:$D$71,"conciliado",'Conciliacion de compuestos'!$E$2:$E$71,"OK",'Conciliacion de compuestos'!$M$2:$M$71,A1255),COUNTIFS('Conciliacion de compuestos'!$D$2:$D$71,"conciliado",'Conciliacion de compuestos'!$E$2:$E$71,"OK",'Conciliacion de compuestos'!$N$2:$N$71,A1255),COUNTIFS('Conciliacion de compuestos'!$D$2:$D$71,"conciliado",'Conciliacion de compuestos'!$E$2:$E$71,"OK",'Conciliacion de compuestos'!$O$2:$O$71,A1255))&gt;0,IFERROR(TEXTJOIN(CHAR(10),TRUE,FILTER('Conciliacion de compuestos'!$A$2:$A$71,('Conciliacion de compuestos'!$D$2:$D$71="conciliado")*('Conciliacion de compuestos'!$E$2:$E$71="OK")*((('Conciliacion de compuestos'!$M$2:$M$71=A1255)+('Conciliacion de compuestos'!$N$2:$N$71=A1255)+('Conciliacion de compuestos'!$O$2:$O$71=A1255))&gt;0))),""),"")</f>
        <v/>
      </c>
      <c r="G1255" s="11">
        <f>IF(I1255="conciliado","conciliado","por revisar")</f>
        <v/>
      </c>
      <c r="H1255" s="11" t="inlineStr"/>
      <c r="I1255" s="11">
        <f>IF(SUM(COUNTIFS('Conciliacion de compuestos'!$D$2:$D$71,"conciliado",'Conciliacion de compuestos'!$E$2:$E$71,"OK",'Conciliacion de compuestos'!$M$2:$M$71,A1255),COUNTIFS('Conciliacion de compuestos'!$D$2:$D$71,"conciliado",'Conciliacion de compuestos'!$E$2:$E$71,"OK",'Conciliacion de compuestos'!$N$2:$N$71,A1255),COUNTIFS('Conciliacion de compuestos'!$D$2:$D$71,"conciliado",'Conciliacion de compuestos'!$E$2:$E$71,"OK",'Conciliacion de compuestos'!$O$2:$O$71,A1255))&gt;0,"conciliado","por revisar")</f>
        <v/>
      </c>
    </row>
    <row r="1256">
      <c r="A1256" s="11" t="n">
        <v>1236</v>
      </c>
      <c r="B1256" s="12" t="n">
        <v>46112</v>
      </c>
      <c r="C1256" s="11" t="inlineStr">
        <is>
          <t>millan nataly sousa</t>
        </is>
      </c>
      <c r="D1256" s="13" t="n">
        <v>11180</v>
      </c>
      <c r="E1256" s="11">
        <f>IF(G1256="conciliado","conciliado",I1256)</f>
        <v/>
      </c>
      <c r="F1256" s="11">
        <f>IF(SUM(COUNTIFS('Conciliacion de compuestos'!$D$2:$D$71,"conciliado",'Conciliacion de compuestos'!$E$2:$E$71,"OK",'Conciliacion de compuestos'!$M$2:$M$71,A1256),COUNTIFS('Conciliacion de compuestos'!$D$2:$D$71,"conciliado",'Conciliacion de compuestos'!$E$2:$E$71,"OK",'Conciliacion de compuestos'!$N$2:$N$71,A1256),COUNTIFS('Conciliacion de compuestos'!$D$2:$D$71,"conciliado",'Conciliacion de compuestos'!$E$2:$E$71,"OK",'Conciliacion de compuestos'!$O$2:$O$71,A1256))&gt;0,IFERROR(TEXTJOIN(CHAR(10),TRUE,FILTER('Conciliacion de compuestos'!$A$2:$A$71,('Conciliacion de compuestos'!$D$2:$D$71="conciliado")*('Conciliacion de compuestos'!$E$2:$E$71="OK")*((('Conciliacion de compuestos'!$M$2:$M$71=A1256)+('Conciliacion de compuestos'!$N$2:$N$71=A1256)+('Conciliacion de compuestos'!$O$2:$O$71=A1256))&gt;0))),""),"")</f>
        <v/>
      </c>
      <c r="G1256" s="11">
        <f>IF(I1256="conciliado","conciliado","por revisar")</f>
        <v/>
      </c>
      <c r="H1256" s="11" t="inlineStr"/>
      <c r="I1256" s="11">
        <f>IF(SUM(COUNTIFS('Conciliacion de compuestos'!$D$2:$D$71,"conciliado",'Conciliacion de compuestos'!$E$2:$E$71,"OK",'Conciliacion de compuestos'!$M$2:$M$71,A1256),COUNTIFS('Conciliacion de compuestos'!$D$2:$D$71,"conciliado",'Conciliacion de compuestos'!$E$2:$E$71,"OK",'Conciliacion de compuestos'!$N$2:$N$71,A1256),COUNTIFS('Conciliacion de compuestos'!$D$2:$D$71,"conciliado",'Conciliacion de compuestos'!$E$2:$E$71,"OK",'Conciliacion de compuestos'!$O$2:$O$71,A1256))&gt;0,"conciliado","por revisar")</f>
        <v/>
      </c>
    </row>
    <row r="1257">
      <c r="A1257" s="11" t="n">
        <v>1245</v>
      </c>
      <c r="B1257" s="12" t="n">
        <v>46112</v>
      </c>
      <c r="C1257" s="11" t="inlineStr">
        <is>
          <t>jairo jhon santos</t>
        </is>
      </c>
      <c r="D1257" s="13" t="n">
        <v>80000</v>
      </c>
      <c r="E1257" s="11">
        <f>IF(G1257="conciliado","conciliado",I1257)</f>
        <v/>
      </c>
      <c r="F1257" s="11">
        <f>IF(SUM(COUNTIFS('Conciliacion de compuestos'!$D$2:$D$71,"conciliado",'Conciliacion de compuestos'!$E$2:$E$71,"OK",'Conciliacion de compuestos'!$M$2:$M$71,A1257),COUNTIFS('Conciliacion de compuestos'!$D$2:$D$71,"conciliado",'Conciliacion de compuestos'!$E$2:$E$71,"OK",'Conciliacion de compuestos'!$N$2:$N$71,A1257),COUNTIFS('Conciliacion de compuestos'!$D$2:$D$71,"conciliado",'Conciliacion de compuestos'!$E$2:$E$71,"OK",'Conciliacion de compuestos'!$O$2:$O$71,A1257))&gt;0,IFERROR(TEXTJOIN(CHAR(10),TRUE,FILTER('Conciliacion de compuestos'!$A$2:$A$71,('Conciliacion de compuestos'!$D$2:$D$71="conciliado")*('Conciliacion de compuestos'!$E$2:$E$71="OK")*((('Conciliacion de compuestos'!$M$2:$M$71=A1257)+('Conciliacion de compuestos'!$N$2:$N$71=A1257)+('Conciliacion de compuestos'!$O$2:$O$71=A1257))&gt;0))),""),"")</f>
        <v/>
      </c>
      <c r="G1257" s="11">
        <f>IF(I1257="conciliado","conciliado","por revisar")</f>
        <v/>
      </c>
      <c r="H1257" s="11" t="inlineStr"/>
      <c r="I1257" s="11">
        <f>IF(SUM(COUNTIFS('Conciliacion de compuestos'!$D$2:$D$71,"conciliado",'Conciliacion de compuestos'!$E$2:$E$71,"OK",'Conciliacion de compuestos'!$M$2:$M$71,A1257),COUNTIFS('Conciliacion de compuestos'!$D$2:$D$71,"conciliado",'Conciliacion de compuestos'!$E$2:$E$71,"OK",'Conciliacion de compuestos'!$N$2:$N$71,A1257),COUNTIFS('Conciliacion de compuestos'!$D$2:$D$71,"conciliado",'Conciliacion de compuestos'!$E$2:$E$71,"OK",'Conciliacion de compuestos'!$O$2:$O$71,A1257))&gt;0,"conciliado","por revisar")</f>
        <v/>
      </c>
    </row>
  </sheetData>
  <autoFilter ref="A3:H1257"/>
  <mergeCells count="4">
    <mergeCell ref="G2:H2"/>
    <mergeCell ref="E2:F2"/>
    <mergeCell ref="A2:D2"/>
    <mergeCell ref="A1:H1"/>
  </mergeCells>
  <conditionalFormatting sqref="A4:F1257">
    <cfRule type="expression" priority="1" dxfId="0">
      <formula>$E4="conciliado"</formula>
    </cfRule>
    <cfRule type="expression" priority="2" dxfId="1">
      <formula>$E4="por revisar"</formula>
    </cfRule>
  </conditionalFormatting>
  <conditionalFormatting sqref="A4:H1257">
    <cfRule type="expression" priority="3" dxfId="0">
      <formula>$G4="conciliado"</formula>
    </cfRule>
  </conditionalFormatting>
  <conditionalFormatting sqref="G4:H1257">
    <cfRule type="expression" priority="4" dxfId="1">
      <formula>$G4="por revisar"</formula>
    </cfRule>
  </conditionalFormatting>
  <dataValidations count="1">
    <dataValidation sqref="G4:G1257" showDropDown="0" showInputMessage="0" showErrorMessage="0" allowBlank="1" errorTitle="Estado inválido" error="Seleccioná conciliado o por revisar." promptTitle="Estado manual" prompt="Usá conciliado solo cuando completes la revisión manual." type="list">
      <formula1>"por revisar,conciliado"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55" customWidth="1" min="2" max="2"/>
    <col width="14" customWidth="1" min="3" max="3"/>
    <col width="16" customWidth="1" min="4" max="4"/>
    <col width="24" customWidth="1" min="5" max="5"/>
    <col width="42" customWidth="1" min="6" max="6"/>
    <col width="32" customWidth="1" min="7" max="7"/>
    <col hidden="1" width="14" customWidth="1" min="8" max="8"/>
    <col hidden="1" width="14" customWidth="1" min="9" max="9"/>
    <col hidden="1" width="12" customWidth="1" min="10" max="10"/>
    <col hidden="1" width="12" customWidth="1" min="11" max="11"/>
    <col hidden="1" width="12" customWidth="1" min="12" max="12"/>
    <col hidden="1" width="12" customWidth="1" min="13" max="13"/>
    <col hidden="1" width="12" customWidth="1" min="14" max="14"/>
    <col hidden="1" width="12" customWidth="1" min="15" max="15"/>
  </cols>
  <sheetData>
    <row r="1">
      <c r="A1" s="8" t="inlineStr">
        <is>
          <t>Movimientos banco</t>
        </is>
      </c>
      <c r="B1" s="8" t="inlineStr">
        <is>
          <t>Movimientos libro_aux</t>
        </is>
      </c>
      <c r="C1" s="8" t="inlineStr">
        <is>
          <t>Diferencia</t>
        </is>
      </c>
      <c r="D1" s="8" t="inlineStr">
        <is>
          <t>Estado</t>
        </is>
      </c>
      <c r="E1" s="8" t="inlineStr">
        <is>
          <t>Validacion</t>
        </is>
      </c>
      <c r="F1" s="8" t="inlineStr">
        <is>
          <t>Descripcion</t>
        </is>
      </c>
      <c r="G1" s="8" t="inlineStr">
        <is>
          <t>Observacion</t>
        </is>
      </c>
      <c r="H1" s="8" t="inlineStr">
        <is>
          <t>ids banco</t>
        </is>
      </c>
      <c r="I1" s="8" t="inlineStr">
        <is>
          <t>ids libro_aux</t>
        </is>
      </c>
      <c r="J1" s="8" t="inlineStr">
        <is>
          <t>id banco 1</t>
        </is>
      </c>
      <c r="K1" s="8" t="inlineStr">
        <is>
          <t>id banco 2</t>
        </is>
      </c>
      <c r="L1" s="8" t="inlineStr">
        <is>
          <t>id banco 3</t>
        </is>
      </c>
      <c r="M1" s="8" t="inlineStr">
        <is>
          <t>id libro_aux 1</t>
        </is>
      </c>
      <c r="N1" s="8" t="inlineStr">
        <is>
          <t>id libro_aux 2</t>
        </is>
      </c>
      <c r="O1" s="8" t="inlineStr">
        <is>
          <t>id libro_aux 3</t>
        </is>
      </c>
    </row>
    <row r="2">
      <c r="A2" s="11" t="inlineStr">
        <is>
          <t>1151 | 2026-03-05 | 35,500 | florez londono yesid
1181 | 2026-03-05 | 104,600 | florez londono yesid</t>
        </is>
      </c>
      <c r="B2" s="11" t="inlineStr">
        <is>
          <t>167 | 2026-03-05 | 140,100 | florez londono yesid</t>
        </is>
      </c>
      <c r="C2" s="13" t="n">
        <v>0</v>
      </c>
      <c r="D2" s="11" t="inlineStr">
        <is>
          <t>por revisar</t>
        </is>
      </c>
      <c r="E2" s="11">
        <f>IF(D2&lt;&gt;"conciliado","Pendiente",IF(C2&lt;&gt;0,"ERROR: diferencia distinta de cero",IF(OR(AND(J2&lt;&gt;"",SUM(COUNTIFS($D$2:$D$71,"conciliado",$J$2:$J$71,J2),COUNTIFS($D$2:$D$71,"conciliado",$K$2:$K$71,J2),COUNTIFS($D$2:$D$71,"conciliado",$L$2:$L$71,J2))&gt;1),AND(K2&lt;&gt;"",SUM(COUNTIFS($D$2:$D$71,"conciliado",$J$2:$J$71,K2),COUNTIFS($D$2:$D$71,"conciliado",$K$2:$K$71,K2),COUNTIFS($D$2:$D$71,"conciliado",$L$2:$L$71,K2))&gt;1),AND(L2&lt;&gt;"",SUM(COUNTIFS($D$2:$D$71,"conciliado",$J$2:$J$71,L2),COUNTIFS($D$2:$D$71,"conciliado",$K$2:$K$71,L2),COUNTIFS($D$2:$D$71,"conciliado",$L$2:$L$71,L2))&gt;1)),"ERROR: banco ya usado en otro compuesto conciliado",IF(OR(AND(M2&lt;&gt;"",SUM(COUNTIFS($D$2:$D$71,"conciliado",$M$2:$M$71,M2),COUNTIFS($D$2:$D$71,"conciliado",$N$2:$N$71,M2),COUNTIFS($D$2:$D$71,"conciliado",$O$2:$O$71,M2))&gt;1),AND(N2&lt;&gt;"",SUM(COUNTIFS($D$2:$D$71,"conciliado",$M$2:$M$71,N2),COUNTIFS($D$2:$D$71,"conciliado",$N$2:$N$71,N2),COUNTIFS($D$2:$D$71,"conciliado",$O$2:$O$71,N2))&gt;1),AND(O2&lt;&gt;"",SUM(COUNTIFS($D$2:$D$71,"conciliado",$M$2:$M$71,O2),COUNTIFS($D$2:$D$71,"conciliado",$N$2:$N$71,O2),COUNTIFS($D$2:$D$71,"conciliado",$O$2:$O$71,O2))&gt;1)),"ERROR: libro_aux ya usado en otro compuesto conciliado","OK"))))</f>
        <v/>
      </c>
      <c r="F2" s="11" t="inlineStr">
        <is>
          <t>Posible compuesto detectado por suma exacta en la misma fecha. Revisar antes de conciliar.</t>
        </is>
      </c>
      <c r="G2" s="11" t="inlineStr"/>
      <c r="H2" s="11" t="inlineStr">
        <is>
          <t>1151, 1181</t>
        </is>
      </c>
      <c r="I2" s="11" t="inlineStr">
        <is>
          <t>167</t>
        </is>
      </c>
      <c r="J2" s="11" t="n">
        <v>1151</v>
      </c>
      <c r="K2" s="11" t="n">
        <v>1181</v>
      </c>
      <c r="L2" s="11" t="inlineStr"/>
      <c r="M2" s="11" t="n">
        <v>167</v>
      </c>
      <c r="N2" s="11" t="inlineStr"/>
      <c r="O2" s="11" t="inlineStr"/>
    </row>
    <row r="3">
      <c r="A3" s="11" t="inlineStr">
        <is>
          <t>1159 | 2026-03-05 | 9,600 | ceron domingo jose
1161 | 2026-03-05 | 25,300 | ceron domingo jose</t>
        </is>
      </c>
      <c r="B3" s="11" t="inlineStr">
        <is>
          <t>183 | 2026-03-05 | 34,900 | ceron domingo jose</t>
        </is>
      </c>
      <c r="C3" s="13" t="n">
        <v>0</v>
      </c>
      <c r="D3" s="11" t="inlineStr">
        <is>
          <t>por revisar</t>
        </is>
      </c>
      <c r="E3" s="11">
        <f>IF(D3&lt;&gt;"conciliado","Pendiente",IF(C3&lt;&gt;0,"ERROR: diferencia distinta de cero",IF(OR(AND(J3&lt;&gt;"",SUM(COUNTIFS($D$2:$D$71,"conciliado",$J$2:$J$71,J3),COUNTIFS($D$2:$D$71,"conciliado",$K$2:$K$71,J3),COUNTIFS($D$2:$D$71,"conciliado",$L$2:$L$71,J3))&gt;1),AND(K3&lt;&gt;"",SUM(COUNTIFS($D$2:$D$71,"conciliado",$J$2:$J$71,K3),COUNTIFS($D$2:$D$71,"conciliado",$K$2:$K$71,K3),COUNTIFS($D$2:$D$71,"conciliado",$L$2:$L$71,K3))&gt;1),AND(L3&lt;&gt;"",SUM(COUNTIFS($D$2:$D$71,"conciliado",$J$2:$J$71,L3),COUNTIFS($D$2:$D$71,"conciliado",$K$2:$K$71,L3),COUNTIFS($D$2:$D$71,"conciliado",$L$2:$L$71,L3))&gt;1)),"ERROR: banco ya usado en otro compuesto conciliado",IF(OR(AND(M3&lt;&gt;"",SUM(COUNTIFS($D$2:$D$71,"conciliado",$M$2:$M$71,M3),COUNTIFS($D$2:$D$71,"conciliado",$N$2:$N$71,M3),COUNTIFS($D$2:$D$71,"conciliado",$O$2:$O$71,M3))&gt;1),AND(N3&lt;&gt;"",SUM(COUNTIFS($D$2:$D$71,"conciliado",$M$2:$M$71,N3),COUNTIFS($D$2:$D$71,"conciliado",$N$2:$N$71,N3),COUNTIFS($D$2:$D$71,"conciliado",$O$2:$O$71,N3))&gt;1),AND(O3&lt;&gt;"",SUM(COUNTIFS($D$2:$D$71,"conciliado",$M$2:$M$71,O3),COUNTIFS($D$2:$D$71,"conciliado",$N$2:$N$71,O3),COUNTIFS($D$2:$D$71,"conciliado",$O$2:$O$71,O3))&gt;1)),"ERROR: libro_aux ya usado en otro compuesto conciliado","OK"))))</f>
        <v/>
      </c>
      <c r="F3" s="11" t="inlineStr">
        <is>
          <t>Posible compuesto detectado por suma exacta en la misma fecha. Revisar antes de conciliar.</t>
        </is>
      </c>
      <c r="G3" s="11" t="inlineStr"/>
      <c r="H3" s="11" t="inlineStr">
        <is>
          <t>1159, 1161</t>
        </is>
      </c>
      <c r="I3" s="11" t="inlineStr">
        <is>
          <t>183</t>
        </is>
      </c>
      <c r="J3" s="11" t="n">
        <v>1159</v>
      </c>
      <c r="K3" s="11" t="n">
        <v>1161</v>
      </c>
      <c r="L3" s="11" t="inlineStr"/>
      <c r="M3" s="11" t="n">
        <v>183</v>
      </c>
      <c r="N3" s="11" t="inlineStr"/>
      <c r="O3" s="11" t="inlineStr"/>
    </row>
    <row r="4">
      <c r="A4" s="11" t="inlineStr">
        <is>
          <t>327 | 2026-03-24 | 4,500 | doly gamboa vargas
343 | 2026-03-24 | 60,000 | doly gamboa vargas</t>
        </is>
      </c>
      <c r="B4" s="11" t="inlineStr">
        <is>
          <t>921 | 2026-03-24 | 64,500 | doly gamboa vargas</t>
        </is>
      </c>
      <c r="C4" s="13" t="n">
        <v>0</v>
      </c>
      <c r="D4" s="11" t="inlineStr">
        <is>
          <t>por revisar</t>
        </is>
      </c>
      <c r="E4" s="11">
        <f>IF(D4&lt;&gt;"conciliado","Pendiente",IF(C4&lt;&gt;0,"ERROR: diferencia distinta de cero",IF(OR(AND(J4&lt;&gt;"",SUM(COUNTIFS($D$2:$D$71,"conciliado",$J$2:$J$71,J4),COUNTIFS($D$2:$D$71,"conciliado",$K$2:$K$71,J4),COUNTIFS($D$2:$D$71,"conciliado",$L$2:$L$71,J4))&gt;1),AND(K4&lt;&gt;"",SUM(COUNTIFS($D$2:$D$71,"conciliado",$J$2:$J$71,K4),COUNTIFS($D$2:$D$71,"conciliado",$K$2:$K$71,K4),COUNTIFS($D$2:$D$71,"conciliado",$L$2:$L$71,K4))&gt;1),AND(L4&lt;&gt;"",SUM(COUNTIFS($D$2:$D$71,"conciliado",$J$2:$J$71,L4),COUNTIFS($D$2:$D$71,"conciliado",$K$2:$K$71,L4),COUNTIFS($D$2:$D$71,"conciliado",$L$2:$L$71,L4))&gt;1)),"ERROR: banco ya usado en otro compuesto conciliado",IF(OR(AND(M4&lt;&gt;"",SUM(COUNTIFS($D$2:$D$71,"conciliado",$M$2:$M$71,M4),COUNTIFS($D$2:$D$71,"conciliado",$N$2:$N$71,M4),COUNTIFS($D$2:$D$71,"conciliado",$O$2:$O$71,M4))&gt;1),AND(N4&lt;&gt;"",SUM(COUNTIFS($D$2:$D$71,"conciliado",$M$2:$M$71,N4),COUNTIFS($D$2:$D$71,"conciliado",$N$2:$N$71,N4),COUNTIFS($D$2:$D$71,"conciliado",$O$2:$O$71,N4))&gt;1),AND(O4&lt;&gt;"",SUM(COUNTIFS($D$2:$D$71,"conciliado",$M$2:$M$71,O4),COUNTIFS($D$2:$D$71,"conciliado",$N$2:$N$71,O4),COUNTIFS($D$2:$D$71,"conciliado",$O$2:$O$71,O4))&gt;1)),"ERROR: libro_aux ya usado en otro compuesto conciliado","OK"))))</f>
        <v/>
      </c>
      <c r="F4" s="11" t="inlineStr">
        <is>
          <t>Posible compuesto detectado por suma exacta en la misma fecha. Revisar antes de conciliar.</t>
        </is>
      </c>
      <c r="G4" s="11" t="inlineStr"/>
      <c r="H4" s="11" t="inlineStr">
        <is>
          <t>327, 343</t>
        </is>
      </c>
      <c r="I4" s="11" t="inlineStr">
        <is>
          <t>921</t>
        </is>
      </c>
      <c r="J4" s="11" t="n">
        <v>327</v>
      </c>
      <c r="K4" s="11" t="n">
        <v>343</v>
      </c>
      <c r="L4" s="11" t="inlineStr"/>
      <c r="M4" s="11" t="n">
        <v>921</v>
      </c>
      <c r="N4" s="11" t="inlineStr"/>
      <c r="O4" s="11" t="inlineStr"/>
    </row>
    <row r="5">
      <c r="A5" s="11" t="inlineStr">
        <is>
          <t>105 | 2026-03-29 | 4,000 | batero cortes nubia
106 | 2026-03-29 | 72,800 | batero cortes nubia</t>
        </is>
      </c>
      <c r="B5" s="11" t="inlineStr">
        <is>
          <t>1144 | 2026-03-29 | 76,800 | batero cortes nubia</t>
        </is>
      </c>
      <c r="C5" s="13" t="n">
        <v>0</v>
      </c>
      <c r="D5" s="11" t="inlineStr">
        <is>
          <t>por revisar</t>
        </is>
      </c>
      <c r="E5" s="11">
        <f>IF(D5&lt;&gt;"conciliado","Pendiente",IF(C5&lt;&gt;0,"ERROR: diferencia distinta de cero",IF(OR(AND(J5&lt;&gt;"",SUM(COUNTIFS($D$2:$D$71,"conciliado",$J$2:$J$71,J5),COUNTIFS($D$2:$D$71,"conciliado",$K$2:$K$71,J5),COUNTIFS($D$2:$D$71,"conciliado",$L$2:$L$71,J5))&gt;1),AND(K5&lt;&gt;"",SUM(COUNTIFS($D$2:$D$71,"conciliado",$J$2:$J$71,K5),COUNTIFS($D$2:$D$71,"conciliado",$K$2:$K$71,K5),COUNTIFS($D$2:$D$71,"conciliado",$L$2:$L$71,K5))&gt;1),AND(L5&lt;&gt;"",SUM(COUNTIFS($D$2:$D$71,"conciliado",$J$2:$J$71,L5),COUNTIFS($D$2:$D$71,"conciliado",$K$2:$K$71,L5),COUNTIFS($D$2:$D$71,"conciliado",$L$2:$L$71,L5))&gt;1)),"ERROR: banco ya usado en otro compuesto conciliado",IF(OR(AND(M5&lt;&gt;"",SUM(COUNTIFS($D$2:$D$71,"conciliado",$M$2:$M$71,M5),COUNTIFS($D$2:$D$71,"conciliado",$N$2:$N$71,M5),COUNTIFS($D$2:$D$71,"conciliado",$O$2:$O$71,M5))&gt;1),AND(N5&lt;&gt;"",SUM(COUNTIFS($D$2:$D$71,"conciliado",$M$2:$M$71,N5),COUNTIFS($D$2:$D$71,"conciliado",$N$2:$N$71,N5),COUNTIFS($D$2:$D$71,"conciliado",$O$2:$O$71,N5))&gt;1),AND(O5&lt;&gt;"",SUM(COUNTIFS($D$2:$D$71,"conciliado",$M$2:$M$71,O5),COUNTIFS($D$2:$D$71,"conciliado",$N$2:$N$71,O5),COUNTIFS($D$2:$D$71,"conciliado",$O$2:$O$71,O5))&gt;1)),"ERROR: libro_aux ya usado en otro compuesto conciliado","OK"))))</f>
        <v/>
      </c>
      <c r="F5" s="11" t="inlineStr">
        <is>
          <t>Posible compuesto detectado por suma exacta en la misma fecha. Revisar antes de conciliar.</t>
        </is>
      </c>
      <c r="G5" s="11" t="inlineStr"/>
      <c r="H5" s="11" t="inlineStr">
        <is>
          <t>105, 106</t>
        </is>
      </c>
      <c r="I5" s="11" t="inlineStr">
        <is>
          <t>1144</t>
        </is>
      </c>
      <c r="J5" s="11" t="n">
        <v>105</v>
      </c>
      <c r="K5" s="11" t="n">
        <v>106</v>
      </c>
      <c r="L5" s="11" t="inlineStr"/>
      <c r="M5" s="11" t="n">
        <v>1144</v>
      </c>
      <c r="N5" s="11" t="inlineStr"/>
      <c r="O5" s="11" t="inlineStr"/>
    </row>
    <row r="6">
      <c r="A6" s="11" t="inlineStr">
        <is>
          <t>4 | 2026-03-31 | 40,000 | jairo jhon santos
11 | 2026-03-31 | 40,000 | jairo jhon santos</t>
        </is>
      </c>
      <c r="B6" s="11" t="inlineStr">
        <is>
          <t>1245 | 2026-03-31 | 80,000 | jairo jhon santos</t>
        </is>
      </c>
      <c r="C6" s="13" t="n">
        <v>0</v>
      </c>
      <c r="D6" s="11" t="inlineStr">
        <is>
          <t>por revisar</t>
        </is>
      </c>
      <c r="E6" s="11">
        <f>IF(D6&lt;&gt;"conciliado","Pendiente",IF(C6&lt;&gt;0,"ERROR: diferencia distinta de cero",IF(OR(AND(J6&lt;&gt;"",SUM(COUNTIFS($D$2:$D$71,"conciliado",$J$2:$J$71,J6),COUNTIFS($D$2:$D$71,"conciliado",$K$2:$K$71,J6),COUNTIFS($D$2:$D$71,"conciliado",$L$2:$L$71,J6))&gt;1),AND(K6&lt;&gt;"",SUM(COUNTIFS($D$2:$D$71,"conciliado",$J$2:$J$71,K6),COUNTIFS($D$2:$D$71,"conciliado",$K$2:$K$71,K6),COUNTIFS($D$2:$D$71,"conciliado",$L$2:$L$71,K6))&gt;1),AND(L6&lt;&gt;"",SUM(COUNTIFS($D$2:$D$71,"conciliado",$J$2:$J$71,L6),COUNTIFS($D$2:$D$71,"conciliado",$K$2:$K$71,L6),COUNTIFS($D$2:$D$71,"conciliado",$L$2:$L$71,L6))&gt;1)),"ERROR: banco ya usado en otro compuesto conciliado",IF(OR(AND(M6&lt;&gt;"",SUM(COUNTIFS($D$2:$D$71,"conciliado",$M$2:$M$71,M6),COUNTIFS($D$2:$D$71,"conciliado",$N$2:$N$71,M6),COUNTIFS($D$2:$D$71,"conciliado",$O$2:$O$71,M6))&gt;1),AND(N6&lt;&gt;"",SUM(COUNTIFS($D$2:$D$71,"conciliado",$M$2:$M$71,N6),COUNTIFS($D$2:$D$71,"conciliado",$N$2:$N$71,N6),COUNTIFS($D$2:$D$71,"conciliado",$O$2:$O$71,N6))&gt;1),AND(O6&lt;&gt;"",SUM(COUNTIFS($D$2:$D$71,"conciliado",$M$2:$M$71,O6),COUNTIFS($D$2:$D$71,"conciliado",$N$2:$N$71,O6),COUNTIFS($D$2:$D$71,"conciliado",$O$2:$O$71,O6))&gt;1)),"ERROR: libro_aux ya usado en otro compuesto conciliado","OK"))))</f>
        <v/>
      </c>
      <c r="F6" s="11" t="inlineStr">
        <is>
          <t>Posible compuesto detectado por suma exacta en la misma fecha. Revisar antes de conciliar.</t>
        </is>
      </c>
      <c r="G6" s="11" t="inlineStr"/>
      <c r="H6" s="11" t="inlineStr">
        <is>
          <t>4, 11</t>
        </is>
      </c>
      <c r="I6" s="11" t="inlineStr">
        <is>
          <t>1245</t>
        </is>
      </c>
      <c r="J6" s="11" t="n">
        <v>4</v>
      </c>
      <c r="K6" s="11" t="n">
        <v>11</v>
      </c>
      <c r="L6" s="11" t="inlineStr"/>
      <c r="M6" s="11" t="n">
        <v>1245</v>
      </c>
      <c r="N6" s="11" t="inlineStr"/>
      <c r="O6" s="11" t="inlineStr"/>
    </row>
    <row r="7">
      <c r="A7" s="11" t="inlineStr">
        <is>
          <t>864 | 2026-03-12 | 44,000 | bancolombia desde qr recarga
878 | 2026-03-12 | 2,000 | bancolombia desde qr recarga</t>
        </is>
      </c>
      <c r="B7" s="11" t="inlineStr">
        <is>
          <t>456 | 2026-03-12 | 46,000 | omar y zambrano zuin</t>
        </is>
      </c>
      <c r="C7" s="13" t="n">
        <v>0</v>
      </c>
      <c r="D7" s="11" t="inlineStr">
        <is>
          <t>por revisar</t>
        </is>
      </c>
      <c r="E7" s="11">
        <f>IF(D7&lt;&gt;"conciliado","Pendiente",IF(C7&lt;&gt;0,"ERROR: diferencia distinta de cero",IF(OR(AND(J7&lt;&gt;"",SUM(COUNTIFS($D$2:$D$71,"conciliado",$J$2:$J$71,J7),COUNTIFS($D$2:$D$71,"conciliado",$K$2:$K$71,J7),COUNTIFS($D$2:$D$71,"conciliado",$L$2:$L$71,J7))&gt;1),AND(K7&lt;&gt;"",SUM(COUNTIFS($D$2:$D$71,"conciliado",$J$2:$J$71,K7),COUNTIFS($D$2:$D$71,"conciliado",$K$2:$K$71,K7),COUNTIFS($D$2:$D$71,"conciliado",$L$2:$L$71,K7))&gt;1),AND(L7&lt;&gt;"",SUM(COUNTIFS($D$2:$D$71,"conciliado",$J$2:$J$71,L7),COUNTIFS($D$2:$D$71,"conciliado",$K$2:$K$71,L7),COUNTIFS($D$2:$D$71,"conciliado",$L$2:$L$71,L7))&gt;1)),"ERROR: banco ya usado en otro compuesto conciliado",IF(OR(AND(M7&lt;&gt;"",SUM(COUNTIFS($D$2:$D$71,"conciliado",$M$2:$M$71,M7),COUNTIFS($D$2:$D$71,"conciliado",$N$2:$N$71,M7),COUNTIFS($D$2:$D$71,"conciliado",$O$2:$O$71,M7))&gt;1),AND(N7&lt;&gt;"",SUM(COUNTIFS($D$2:$D$71,"conciliado",$M$2:$M$71,N7),COUNTIFS($D$2:$D$71,"conciliado",$N$2:$N$71,N7),COUNTIFS($D$2:$D$71,"conciliado",$O$2:$O$71,N7))&gt;1),AND(O7&lt;&gt;"",SUM(COUNTIFS($D$2:$D$71,"conciliado",$M$2:$M$71,O7),COUNTIFS($D$2:$D$71,"conciliado",$N$2:$N$71,O7),COUNTIFS($D$2:$D$71,"conciliado",$O$2:$O$71,O7))&gt;1)),"ERROR: libro_aux ya usado en otro compuesto conciliado","OK"))))</f>
        <v/>
      </c>
      <c r="F7" s="11" t="inlineStr">
        <is>
          <t>Posible compuesto detectado por suma exacta en la misma fecha. Revisar antes de conciliar.</t>
        </is>
      </c>
      <c r="G7" s="11" t="inlineStr"/>
      <c r="H7" s="11" t="inlineStr">
        <is>
          <t>864, 878</t>
        </is>
      </c>
      <c r="I7" s="11" t="inlineStr">
        <is>
          <t>456</t>
        </is>
      </c>
      <c r="J7" s="11" t="n">
        <v>864</v>
      </c>
      <c r="K7" s="11" t="n">
        <v>878</v>
      </c>
      <c r="L7" s="11" t="inlineStr"/>
      <c r="M7" s="11" t="n">
        <v>456</v>
      </c>
      <c r="N7" s="11" t="inlineStr"/>
      <c r="O7" s="11" t="inlineStr"/>
    </row>
    <row r="8">
      <c r="A8" s="11" t="inlineStr">
        <is>
          <t>1266 | 2026-03-02 | 3,500 | bancolombia desde qr recarga
1268 | 2026-03-02 | 46,500 | bancolombia desde qr recarga</t>
        </is>
      </c>
      <c r="B8" s="11" t="inlineStr">
        <is>
          <t>80 | 2026-03-02 | 50,000 | martinez sofia</t>
        </is>
      </c>
      <c r="C8" s="13" t="n">
        <v>0</v>
      </c>
      <c r="D8" s="11" t="inlineStr">
        <is>
          <t>por revisar</t>
        </is>
      </c>
      <c r="E8" s="11">
        <f>IF(D8&lt;&gt;"conciliado","Pendiente",IF(C8&lt;&gt;0,"ERROR: diferencia distinta de cero",IF(OR(AND(J8&lt;&gt;"",SUM(COUNTIFS($D$2:$D$71,"conciliado",$J$2:$J$71,J8),COUNTIFS($D$2:$D$71,"conciliado",$K$2:$K$71,J8),COUNTIFS($D$2:$D$71,"conciliado",$L$2:$L$71,J8))&gt;1),AND(K8&lt;&gt;"",SUM(COUNTIFS($D$2:$D$71,"conciliado",$J$2:$J$71,K8),COUNTIFS($D$2:$D$71,"conciliado",$K$2:$K$71,K8),COUNTIFS($D$2:$D$71,"conciliado",$L$2:$L$71,K8))&gt;1),AND(L8&lt;&gt;"",SUM(COUNTIFS($D$2:$D$71,"conciliado",$J$2:$J$71,L8),COUNTIFS($D$2:$D$71,"conciliado",$K$2:$K$71,L8),COUNTIFS($D$2:$D$71,"conciliado",$L$2:$L$71,L8))&gt;1)),"ERROR: banco ya usado en otro compuesto conciliado",IF(OR(AND(M8&lt;&gt;"",SUM(COUNTIFS($D$2:$D$71,"conciliado",$M$2:$M$71,M8),COUNTIFS($D$2:$D$71,"conciliado",$N$2:$N$71,M8),COUNTIFS($D$2:$D$71,"conciliado",$O$2:$O$71,M8))&gt;1),AND(N8&lt;&gt;"",SUM(COUNTIFS($D$2:$D$71,"conciliado",$M$2:$M$71,N8),COUNTIFS($D$2:$D$71,"conciliado",$N$2:$N$71,N8),COUNTIFS($D$2:$D$71,"conciliado",$O$2:$O$71,N8))&gt;1),AND(O8&lt;&gt;"",SUM(COUNTIFS($D$2:$D$71,"conciliado",$M$2:$M$71,O8),COUNTIFS($D$2:$D$71,"conciliado",$N$2:$N$71,O8),COUNTIFS($D$2:$D$71,"conciliado",$O$2:$O$71,O8))&gt;1)),"ERROR: libro_aux ya usado en otro compuesto conciliado","OK"))))</f>
        <v/>
      </c>
      <c r="F8" s="11" t="inlineStr">
        <is>
          <t>Posible compuesto detectado por suma exacta en la misma fecha. Revisar antes de conciliar.</t>
        </is>
      </c>
      <c r="G8" s="11" t="inlineStr"/>
      <c r="H8" s="11" t="inlineStr">
        <is>
          <t>1266, 1268</t>
        </is>
      </c>
      <c r="I8" s="11" t="inlineStr">
        <is>
          <t>80</t>
        </is>
      </c>
      <c r="J8" s="11" t="n">
        <v>1266</v>
      </c>
      <c r="K8" s="11" t="n">
        <v>1268</v>
      </c>
      <c r="L8" s="11" t="inlineStr"/>
      <c r="M8" s="11" t="n">
        <v>80</v>
      </c>
      <c r="N8" s="11" t="inlineStr"/>
      <c r="O8" s="11" t="inlineStr"/>
    </row>
    <row r="9">
      <c r="A9" s="11" t="inlineStr">
        <is>
          <t>1300 | 2026-03-02 | 7,400 | emir rosero yaqueline
1302 | 2026-03-02 | 11,600 | emir rosero yaqueline</t>
        </is>
      </c>
      <c r="B9" s="11" t="inlineStr">
        <is>
          <t>84 | 2026-03-02 | 19,000 | emir rosero toro yak</t>
        </is>
      </c>
      <c r="C9" s="13" t="n">
        <v>0</v>
      </c>
      <c r="D9" s="11" t="inlineStr">
        <is>
          <t>por revisar</t>
        </is>
      </c>
      <c r="E9" s="11">
        <f>IF(D9&lt;&gt;"conciliado","Pendiente",IF(C9&lt;&gt;0,"ERROR: diferencia distinta de cero",IF(OR(AND(J9&lt;&gt;"",SUM(COUNTIFS($D$2:$D$71,"conciliado",$J$2:$J$71,J9),COUNTIFS($D$2:$D$71,"conciliado",$K$2:$K$71,J9),COUNTIFS($D$2:$D$71,"conciliado",$L$2:$L$71,J9))&gt;1),AND(K9&lt;&gt;"",SUM(COUNTIFS($D$2:$D$71,"conciliado",$J$2:$J$71,K9),COUNTIFS($D$2:$D$71,"conciliado",$K$2:$K$71,K9),COUNTIFS($D$2:$D$71,"conciliado",$L$2:$L$71,K9))&gt;1),AND(L9&lt;&gt;"",SUM(COUNTIFS($D$2:$D$71,"conciliado",$J$2:$J$71,L9),COUNTIFS($D$2:$D$71,"conciliado",$K$2:$K$71,L9),COUNTIFS($D$2:$D$71,"conciliado",$L$2:$L$71,L9))&gt;1)),"ERROR: banco ya usado en otro compuesto conciliado",IF(OR(AND(M9&lt;&gt;"",SUM(COUNTIFS($D$2:$D$71,"conciliado",$M$2:$M$71,M9),COUNTIFS($D$2:$D$71,"conciliado",$N$2:$N$71,M9),COUNTIFS($D$2:$D$71,"conciliado",$O$2:$O$71,M9))&gt;1),AND(N9&lt;&gt;"",SUM(COUNTIFS($D$2:$D$71,"conciliado",$M$2:$M$71,N9),COUNTIFS($D$2:$D$71,"conciliado",$N$2:$N$71,N9),COUNTIFS($D$2:$D$71,"conciliado",$O$2:$O$71,N9))&gt;1),AND(O9&lt;&gt;"",SUM(COUNTIFS($D$2:$D$71,"conciliado",$M$2:$M$71,O9),COUNTIFS($D$2:$D$71,"conciliado",$N$2:$N$71,O9),COUNTIFS($D$2:$D$71,"conciliado",$O$2:$O$71,O9))&gt;1)),"ERROR: libro_aux ya usado en otro compuesto conciliado","OK"))))</f>
        <v/>
      </c>
      <c r="F9" s="11" t="inlineStr">
        <is>
          <t>Posible compuesto detectado por suma exacta en la misma fecha. Revisar antes de conciliar.</t>
        </is>
      </c>
      <c r="G9" s="11" t="inlineStr"/>
      <c r="H9" s="11" t="inlineStr">
        <is>
          <t>1300, 1302</t>
        </is>
      </c>
      <c r="I9" s="11" t="inlineStr">
        <is>
          <t>84</t>
        </is>
      </c>
      <c r="J9" s="11" t="n">
        <v>1300</v>
      </c>
      <c r="K9" s="11" t="n">
        <v>1302</v>
      </c>
      <c r="L9" s="11" t="inlineStr"/>
      <c r="M9" s="11" t="n">
        <v>84</v>
      </c>
      <c r="N9" s="11" t="inlineStr"/>
      <c r="O9" s="11" t="inlineStr"/>
    </row>
    <row r="10">
      <c r="A10" s="11" t="inlineStr">
        <is>
          <t>1175 | 2026-03-05 | 5,500 | alexandra millan nataly
1176 | 2026-03-05 | 14,200 | alexandra millan nataly</t>
        </is>
      </c>
      <c r="B10" s="11" t="inlineStr">
        <is>
          <t>176 | 2026-03-05 | 19,700 | millan nataly sousa</t>
        </is>
      </c>
      <c r="C10" s="13" t="n">
        <v>0</v>
      </c>
      <c r="D10" s="11" t="inlineStr">
        <is>
          <t>por revisar</t>
        </is>
      </c>
      <c r="E10" s="11">
        <f>IF(D10&lt;&gt;"conciliado","Pendiente",IF(C10&lt;&gt;0,"ERROR: diferencia distinta de cero",IF(OR(AND(J10&lt;&gt;"",SUM(COUNTIFS($D$2:$D$71,"conciliado",$J$2:$J$71,J10),COUNTIFS($D$2:$D$71,"conciliado",$K$2:$K$71,J10),COUNTIFS($D$2:$D$71,"conciliado",$L$2:$L$71,J10))&gt;1),AND(K10&lt;&gt;"",SUM(COUNTIFS($D$2:$D$71,"conciliado",$J$2:$J$71,K10),COUNTIFS($D$2:$D$71,"conciliado",$K$2:$K$71,K10),COUNTIFS($D$2:$D$71,"conciliado",$L$2:$L$71,K10))&gt;1),AND(L10&lt;&gt;"",SUM(COUNTIFS($D$2:$D$71,"conciliado",$J$2:$J$71,L10),COUNTIFS($D$2:$D$71,"conciliado",$K$2:$K$71,L10),COUNTIFS($D$2:$D$71,"conciliado",$L$2:$L$71,L10))&gt;1)),"ERROR: banco ya usado en otro compuesto conciliado",IF(OR(AND(M10&lt;&gt;"",SUM(COUNTIFS($D$2:$D$71,"conciliado",$M$2:$M$71,M10),COUNTIFS($D$2:$D$71,"conciliado",$N$2:$N$71,M10),COUNTIFS($D$2:$D$71,"conciliado",$O$2:$O$71,M10))&gt;1),AND(N10&lt;&gt;"",SUM(COUNTIFS($D$2:$D$71,"conciliado",$M$2:$M$71,N10),COUNTIFS($D$2:$D$71,"conciliado",$N$2:$N$71,N10),COUNTIFS($D$2:$D$71,"conciliado",$O$2:$O$71,N10))&gt;1),AND(O10&lt;&gt;"",SUM(COUNTIFS($D$2:$D$71,"conciliado",$M$2:$M$71,O10),COUNTIFS($D$2:$D$71,"conciliado",$N$2:$N$71,O10),COUNTIFS($D$2:$D$71,"conciliado",$O$2:$O$71,O10))&gt;1)),"ERROR: libro_aux ya usado en otro compuesto conciliado","OK"))))</f>
        <v/>
      </c>
      <c r="F10" s="11" t="inlineStr">
        <is>
          <t>Posible compuesto detectado por suma exacta en la misma fecha. Revisar antes de conciliar.</t>
        </is>
      </c>
      <c r="G10" s="11" t="inlineStr"/>
      <c r="H10" s="11" t="inlineStr">
        <is>
          <t>1175, 1176</t>
        </is>
      </c>
      <c r="I10" s="11" t="inlineStr">
        <is>
          <t>176</t>
        </is>
      </c>
      <c r="J10" s="11" t="n">
        <v>1175</v>
      </c>
      <c r="K10" s="11" t="n">
        <v>1176</v>
      </c>
      <c r="L10" s="11" t="inlineStr"/>
      <c r="M10" s="11" t="n">
        <v>176</v>
      </c>
      <c r="N10" s="11" t="inlineStr"/>
      <c r="O10" s="11" t="inlineStr"/>
    </row>
    <row r="11">
      <c r="A11" s="11" t="inlineStr">
        <is>
          <t>1138 | 2026-03-06 | 77,600 | eugenia lara maria
1139 | 2026-03-06 | 13,200 | eugenia lara maria</t>
        </is>
      </c>
      <c r="B11" s="11" t="inlineStr">
        <is>
          <t>226 | 2026-03-06 | 90,800 | e lara maria viveros</t>
        </is>
      </c>
      <c r="C11" s="13" t="n">
        <v>0</v>
      </c>
      <c r="D11" s="11" t="inlineStr">
        <is>
          <t>por revisar</t>
        </is>
      </c>
      <c r="E11" s="11">
        <f>IF(D11&lt;&gt;"conciliado","Pendiente",IF(C11&lt;&gt;0,"ERROR: diferencia distinta de cero",IF(OR(AND(J11&lt;&gt;"",SUM(COUNTIFS($D$2:$D$71,"conciliado",$J$2:$J$71,J11),COUNTIFS($D$2:$D$71,"conciliado",$K$2:$K$71,J11),COUNTIFS($D$2:$D$71,"conciliado",$L$2:$L$71,J11))&gt;1),AND(K11&lt;&gt;"",SUM(COUNTIFS($D$2:$D$71,"conciliado",$J$2:$J$71,K11),COUNTIFS($D$2:$D$71,"conciliado",$K$2:$K$71,K11),COUNTIFS($D$2:$D$71,"conciliado",$L$2:$L$71,K11))&gt;1),AND(L11&lt;&gt;"",SUM(COUNTIFS($D$2:$D$71,"conciliado",$J$2:$J$71,L11),COUNTIFS($D$2:$D$71,"conciliado",$K$2:$K$71,L11),COUNTIFS($D$2:$D$71,"conciliado",$L$2:$L$71,L11))&gt;1)),"ERROR: banco ya usado en otro compuesto conciliado",IF(OR(AND(M11&lt;&gt;"",SUM(COUNTIFS($D$2:$D$71,"conciliado",$M$2:$M$71,M11),COUNTIFS($D$2:$D$71,"conciliado",$N$2:$N$71,M11),COUNTIFS($D$2:$D$71,"conciliado",$O$2:$O$71,M11))&gt;1),AND(N11&lt;&gt;"",SUM(COUNTIFS($D$2:$D$71,"conciliado",$M$2:$M$71,N11),COUNTIFS($D$2:$D$71,"conciliado",$N$2:$N$71,N11),COUNTIFS($D$2:$D$71,"conciliado",$O$2:$O$71,N11))&gt;1),AND(O11&lt;&gt;"",SUM(COUNTIFS($D$2:$D$71,"conciliado",$M$2:$M$71,O11),COUNTIFS($D$2:$D$71,"conciliado",$N$2:$N$71,O11),COUNTIFS($D$2:$D$71,"conciliado",$O$2:$O$71,O11))&gt;1)),"ERROR: libro_aux ya usado en otro compuesto conciliado","OK"))))</f>
        <v/>
      </c>
      <c r="F11" s="11" t="inlineStr">
        <is>
          <t>Posible compuesto detectado por suma exacta en la misma fecha. Revisar antes de conciliar.</t>
        </is>
      </c>
      <c r="G11" s="11" t="inlineStr"/>
      <c r="H11" s="11" t="inlineStr">
        <is>
          <t>1138, 1139</t>
        </is>
      </c>
      <c r="I11" s="11" t="inlineStr">
        <is>
          <t>226</t>
        </is>
      </c>
      <c r="J11" s="11" t="n">
        <v>1138</v>
      </c>
      <c r="K11" s="11" t="n">
        <v>1139</v>
      </c>
      <c r="L11" s="11" t="inlineStr"/>
      <c r="M11" s="11" t="n">
        <v>226</v>
      </c>
      <c r="N11" s="11" t="inlineStr"/>
      <c r="O11" s="11" t="inlineStr"/>
    </row>
    <row r="12">
      <c r="A12" s="11" t="inlineStr">
        <is>
          <t>986 | 2026-03-09 | 16,400 | chana edisson junior
987 | 2026-03-09 | 46,000 | chana edisson junior</t>
        </is>
      </c>
      <c r="B12" s="11" t="inlineStr">
        <is>
          <t>331 | 2026-03-09 | 62,400 | chana edisson potosi</t>
        </is>
      </c>
      <c r="C12" s="13" t="n">
        <v>0</v>
      </c>
      <c r="D12" s="11" t="inlineStr">
        <is>
          <t>por revisar</t>
        </is>
      </c>
      <c r="E12" s="11">
        <f>IF(D12&lt;&gt;"conciliado","Pendiente",IF(C12&lt;&gt;0,"ERROR: diferencia distinta de cero",IF(OR(AND(J12&lt;&gt;"",SUM(COUNTIFS($D$2:$D$71,"conciliado",$J$2:$J$71,J12),COUNTIFS($D$2:$D$71,"conciliado",$K$2:$K$71,J12),COUNTIFS($D$2:$D$71,"conciliado",$L$2:$L$71,J12))&gt;1),AND(K12&lt;&gt;"",SUM(COUNTIFS($D$2:$D$71,"conciliado",$J$2:$J$71,K12),COUNTIFS($D$2:$D$71,"conciliado",$K$2:$K$71,K12),COUNTIFS($D$2:$D$71,"conciliado",$L$2:$L$71,K12))&gt;1),AND(L12&lt;&gt;"",SUM(COUNTIFS($D$2:$D$71,"conciliado",$J$2:$J$71,L12),COUNTIFS($D$2:$D$71,"conciliado",$K$2:$K$71,L12),COUNTIFS($D$2:$D$71,"conciliado",$L$2:$L$71,L12))&gt;1)),"ERROR: banco ya usado en otro compuesto conciliado",IF(OR(AND(M12&lt;&gt;"",SUM(COUNTIFS($D$2:$D$71,"conciliado",$M$2:$M$71,M12),COUNTIFS($D$2:$D$71,"conciliado",$N$2:$N$71,M12),COUNTIFS($D$2:$D$71,"conciliado",$O$2:$O$71,M12))&gt;1),AND(N12&lt;&gt;"",SUM(COUNTIFS($D$2:$D$71,"conciliado",$M$2:$M$71,N12),COUNTIFS($D$2:$D$71,"conciliado",$N$2:$N$71,N12),COUNTIFS($D$2:$D$71,"conciliado",$O$2:$O$71,N12))&gt;1),AND(O12&lt;&gt;"",SUM(COUNTIFS($D$2:$D$71,"conciliado",$M$2:$M$71,O12),COUNTIFS($D$2:$D$71,"conciliado",$N$2:$N$71,O12),COUNTIFS($D$2:$D$71,"conciliado",$O$2:$O$71,O12))&gt;1)),"ERROR: libro_aux ya usado en otro compuesto conciliado","OK"))))</f>
        <v/>
      </c>
      <c r="F12" s="11" t="inlineStr">
        <is>
          <t>Posible compuesto detectado por suma exacta en la misma fecha. Revisar antes de conciliar.</t>
        </is>
      </c>
      <c r="G12" s="11" t="inlineStr"/>
      <c r="H12" s="11" t="inlineStr">
        <is>
          <t>986, 987</t>
        </is>
      </c>
      <c r="I12" s="11" t="inlineStr">
        <is>
          <t>331</t>
        </is>
      </c>
      <c r="J12" s="11" t="n">
        <v>986</v>
      </c>
      <c r="K12" s="11" t="n">
        <v>987</v>
      </c>
      <c r="L12" s="11" t="inlineStr"/>
      <c r="M12" s="11" t="n">
        <v>331</v>
      </c>
      <c r="N12" s="11" t="inlineStr"/>
      <c r="O12" s="11" t="inlineStr"/>
    </row>
    <row r="13">
      <c r="A13" s="11" t="inlineStr">
        <is>
          <t>810 | 2026-03-13 | 5,000 | arminda buelvas rubi
811 | 2026-03-13 | 19,900 | arminda buelvas rubi</t>
        </is>
      </c>
      <c r="B13" s="11" t="inlineStr">
        <is>
          <t>465 | 2026-03-13 | 24,900 | ar buelvas caro rubi</t>
        </is>
      </c>
      <c r="C13" s="13" t="n">
        <v>0</v>
      </c>
      <c r="D13" s="11" t="inlineStr">
        <is>
          <t>por revisar</t>
        </is>
      </c>
      <c r="E13" s="11">
        <f>IF(D13&lt;&gt;"conciliado","Pendiente",IF(C13&lt;&gt;0,"ERROR: diferencia distinta de cero",IF(OR(AND(J13&lt;&gt;"",SUM(COUNTIFS($D$2:$D$71,"conciliado",$J$2:$J$71,J13),COUNTIFS($D$2:$D$71,"conciliado",$K$2:$K$71,J13),COUNTIFS($D$2:$D$71,"conciliado",$L$2:$L$71,J13))&gt;1),AND(K13&lt;&gt;"",SUM(COUNTIFS($D$2:$D$71,"conciliado",$J$2:$J$71,K13),COUNTIFS($D$2:$D$71,"conciliado",$K$2:$K$71,K13),COUNTIFS($D$2:$D$71,"conciliado",$L$2:$L$71,K13))&gt;1),AND(L13&lt;&gt;"",SUM(COUNTIFS($D$2:$D$71,"conciliado",$J$2:$J$71,L13),COUNTIFS($D$2:$D$71,"conciliado",$K$2:$K$71,L13),COUNTIFS($D$2:$D$71,"conciliado",$L$2:$L$71,L13))&gt;1)),"ERROR: banco ya usado en otro compuesto conciliado",IF(OR(AND(M13&lt;&gt;"",SUM(COUNTIFS($D$2:$D$71,"conciliado",$M$2:$M$71,M13),COUNTIFS($D$2:$D$71,"conciliado",$N$2:$N$71,M13),COUNTIFS($D$2:$D$71,"conciliado",$O$2:$O$71,M13))&gt;1),AND(N13&lt;&gt;"",SUM(COUNTIFS($D$2:$D$71,"conciliado",$M$2:$M$71,N13),COUNTIFS($D$2:$D$71,"conciliado",$N$2:$N$71,N13),COUNTIFS($D$2:$D$71,"conciliado",$O$2:$O$71,N13))&gt;1),AND(O13&lt;&gt;"",SUM(COUNTIFS($D$2:$D$71,"conciliado",$M$2:$M$71,O13),COUNTIFS($D$2:$D$71,"conciliado",$N$2:$N$71,O13),COUNTIFS($D$2:$D$71,"conciliado",$O$2:$O$71,O13))&gt;1)),"ERROR: libro_aux ya usado en otro compuesto conciliado","OK"))))</f>
        <v/>
      </c>
      <c r="F13" s="11" t="inlineStr">
        <is>
          <t>Posible compuesto detectado por suma exacta en la misma fecha. Revisar antes de conciliar.</t>
        </is>
      </c>
      <c r="G13" s="11" t="inlineStr"/>
      <c r="H13" s="11" t="inlineStr">
        <is>
          <t>810, 811</t>
        </is>
      </c>
      <c r="I13" s="11" t="inlineStr">
        <is>
          <t>465</t>
        </is>
      </c>
      <c r="J13" s="11" t="n">
        <v>810</v>
      </c>
      <c r="K13" s="11" t="n">
        <v>811</v>
      </c>
      <c r="L13" s="11" t="inlineStr"/>
      <c r="M13" s="11" t="n">
        <v>465</v>
      </c>
      <c r="N13" s="11" t="inlineStr"/>
      <c r="O13" s="11" t="inlineStr"/>
    </row>
    <row r="14">
      <c r="A14" s="11" t="inlineStr">
        <is>
          <t>766 | 2026-03-14 | 20,300 | arnulfo hortua victor
788 | 2026-03-14 | 30,600 | arnulfo hortua victor</t>
        </is>
      </c>
      <c r="B14" s="11" t="inlineStr">
        <is>
          <t>515 | 2026-03-14 | 50,900 | guzman hortua victor</t>
        </is>
      </c>
      <c r="C14" s="13" t="n">
        <v>0</v>
      </c>
      <c r="D14" s="11" t="inlineStr">
        <is>
          <t>por revisar</t>
        </is>
      </c>
      <c r="E14" s="11">
        <f>IF(D14&lt;&gt;"conciliado","Pendiente",IF(C14&lt;&gt;0,"ERROR: diferencia distinta de cero",IF(OR(AND(J14&lt;&gt;"",SUM(COUNTIFS($D$2:$D$71,"conciliado",$J$2:$J$71,J14),COUNTIFS($D$2:$D$71,"conciliado",$K$2:$K$71,J14),COUNTIFS($D$2:$D$71,"conciliado",$L$2:$L$71,J14))&gt;1),AND(K14&lt;&gt;"",SUM(COUNTIFS($D$2:$D$71,"conciliado",$J$2:$J$71,K14),COUNTIFS($D$2:$D$71,"conciliado",$K$2:$K$71,K14),COUNTIFS($D$2:$D$71,"conciliado",$L$2:$L$71,K14))&gt;1),AND(L14&lt;&gt;"",SUM(COUNTIFS($D$2:$D$71,"conciliado",$J$2:$J$71,L14),COUNTIFS($D$2:$D$71,"conciliado",$K$2:$K$71,L14),COUNTIFS($D$2:$D$71,"conciliado",$L$2:$L$71,L14))&gt;1)),"ERROR: banco ya usado en otro compuesto conciliado",IF(OR(AND(M14&lt;&gt;"",SUM(COUNTIFS($D$2:$D$71,"conciliado",$M$2:$M$71,M14),COUNTIFS($D$2:$D$71,"conciliado",$N$2:$N$71,M14),COUNTIFS($D$2:$D$71,"conciliado",$O$2:$O$71,M14))&gt;1),AND(N14&lt;&gt;"",SUM(COUNTIFS($D$2:$D$71,"conciliado",$M$2:$M$71,N14),COUNTIFS($D$2:$D$71,"conciliado",$N$2:$N$71,N14),COUNTIFS($D$2:$D$71,"conciliado",$O$2:$O$71,N14))&gt;1),AND(O14&lt;&gt;"",SUM(COUNTIFS($D$2:$D$71,"conciliado",$M$2:$M$71,O14),COUNTIFS($D$2:$D$71,"conciliado",$N$2:$N$71,O14),COUNTIFS($D$2:$D$71,"conciliado",$O$2:$O$71,O14))&gt;1)),"ERROR: libro_aux ya usado en otro compuesto conciliado","OK"))))</f>
        <v/>
      </c>
      <c r="F14" s="11" t="inlineStr">
        <is>
          <t>Posible compuesto detectado por suma exacta en la misma fecha. Revisar antes de conciliar.</t>
        </is>
      </c>
      <c r="G14" s="11" t="inlineStr"/>
      <c r="H14" s="11" t="inlineStr">
        <is>
          <t>766, 788</t>
        </is>
      </c>
      <c r="I14" s="11" t="inlineStr">
        <is>
          <t>515</t>
        </is>
      </c>
      <c r="J14" s="11" t="n">
        <v>766</v>
      </c>
      <c r="K14" s="11" t="n">
        <v>788</v>
      </c>
      <c r="L14" s="11" t="inlineStr"/>
      <c r="M14" s="11" t="n">
        <v>515</v>
      </c>
      <c r="N14" s="11" t="inlineStr"/>
      <c r="O14" s="11" t="inlineStr"/>
    </row>
    <row r="15">
      <c r="A15" s="11" t="inlineStr">
        <is>
          <t>799 | 2026-03-14 | 171,100 | adriana mora nury
806 | 2026-03-14 | 12,500 | adriana mora nury</t>
        </is>
      </c>
      <c r="B15" s="11" t="inlineStr">
        <is>
          <t>518 | 2026-03-14 | 183,600 | adr mora nury ruales</t>
        </is>
      </c>
      <c r="C15" s="13" t="n">
        <v>0</v>
      </c>
      <c r="D15" s="11" t="inlineStr">
        <is>
          <t>por revisar</t>
        </is>
      </c>
      <c r="E15" s="11">
        <f>IF(D15&lt;&gt;"conciliado","Pendiente",IF(C15&lt;&gt;0,"ERROR: diferencia distinta de cero",IF(OR(AND(J15&lt;&gt;"",SUM(COUNTIFS($D$2:$D$71,"conciliado",$J$2:$J$71,J15),COUNTIFS($D$2:$D$71,"conciliado",$K$2:$K$71,J15),COUNTIFS($D$2:$D$71,"conciliado",$L$2:$L$71,J15))&gt;1),AND(K15&lt;&gt;"",SUM(COUNTIFS($D$2:$D$71,"conciliado",$J$2:$J$71,K15),COUNTIFS($D$2:$D$71,"conciliado",$K$2:$K$71,K15),COUNTIFS($D$2:$D$71,"conciliado",$L$2:$L$71,K15))&gt;1),AND(L15&lt;&gt;"",SUM(COUNTIFS($D$2:$D$71,"conciliado",$J$2:$J$71,L15),COUNTIFS($D$2:$D$71,"conciliado",$K$2:$K$71,L15),COUNTIFS($D$2:$D$71,"conciliado",$L$2:$L$71,L15))&gt;1)),"ERROR: banco ya usado en otro compuesto conciliado",IF(OR(AND(M15&lt;&gt;"",SUM(COUNTIFS($D$2:$D$71,"conciliado",$M$2:$M$71,M15),COUNTIFS($D$2:$D$71,"conciliado",$N$2:$N$71,M15),COUNTIFS($D$2:$D$71,"conciliado",$O$2:$O$71,M15))&gt;1),AND(N15&lt;&gt;"",SUM(COUNTIFS($D$2:$D$71,"conciliado",$M$2:$M$71,N15),COUNTIFS($D$2:$D$71,"conciliado",$N$2:$N$71,N15),COUNTIFS($D$2:$D$71,"conciliado",$O$2:$O$71,N15))&gt;1),AND(O15&lt;&gt;"",SUM(COUNTIFS($D$2:$D$71,"conciliado",$M$2:$M$71,O15),COUNTIFS($D$2:$D$71,"conciliado",$N$2:$N$71,O15),COUNTIFS($D$2:$D$71,"conciliado",$O$2:$O$71,O15))&gt;1)),"ERROR: libro_aux ya usado en otro compuesto conciliado","OK"))))</f>
        <v/>
      </c>
      <c r="F15" s="11" t="inlineStr">
        <is>
          <t>Posible compuesto detectado por suma exacta en la misma fecha. Revisar antes de conciliar.</t>
        </is>
      </c>
      <c r="G15" s="11" t="inlineStr"/>
      <c r="H15" s="11" t="inlineStr">
        <is>
          <t>799, 806</t>
        </is>
      </c>
      <c r="I15" s="11" t="inlineStr">
        <is>
          <t>518</t>
        </is>
      </c>
      <c r="J15" s="11" t="n">
        <v>799</v>
      </c>
      <c r="K15" s="11" t="n">
        <v>806</v>
      </c>
      <c r="L15" s="11" t="inlineStr"/>
      <c r="M15" s="11" t="n">
        <v>518</v>
      </c>
      <c r="N15" s="11" t="inlineStr"/>
      <c r="O15" s="11" t="inlineStr"/>
    </row>
    <row r="16">
      <c r="A16" s="11" t="inlineStr">
        <is>
          <t>521 | 2026-03-20 | 10,000 | carlos juan sanchez
524 | 2026-03-20 | 6,700 | carlos juan sanchez</t>
        </is>
      </c>
      <c r="B16" s="11" t="inlineStr">
        <is>
          <t>754 | 2026-03-20 | 16,700 | ca juan sanchez toro</t>
        </is>
      </c>
      <c r="C16" s="13" t="n">
        <v>0</v>
      </c>
      <c r="D16" s="11" t="inlineStr">
        <is>
          <t>por revisar</t>
        </is>
      </c>
      <c r="E16" s="11">
        <f>IF(D16&lt;&gt;"conciliado","Pendiente",IF(C16&lt;&gt;0,"ERROR: diferencia distinta de cero",IF(OR(AND(J16&lt;&gt;"",SUM(COUNTIFS($D$2:$D$71,"conciliado",$J$2:$J$71,J16),COUNTIFS($D$2:$D$71,"conciliado",$K$2:$K$71,J16),COUNTIFS($D$2:$D$71,"conciliado",$L$2:$L$71,J16))&gt;1),AND(K16&lt;&gt;"",SUM(COUNTIFS($D$2:$D$71,"conciliado",$J$2:$J$71,K16),COUNTIFS($D$2:$D$71,"conciliado",$K$2:$K$71,K16),COUNTIFS($D$2:$D$71,"conciliado",$L$2:$L$71,K16))&gt;1),AND(L16&lt;&gt;"",SUM(COUNTIFS($D$2:$D$71,"conciliado",$J$2:$J$71,L16),COUNTIFS($D$2:$D$71,"conciliado",$K$2:$K$71,L16),COUNTIFS($D$2:$D$71,"conciliado",$L$2:$L$71,L16))&gt;1)),"ERROR: banco ya usado en otro compuesto conciliado",IF(OR(AND(M16&lt;&gt;"",SUM(COUNTIFS($D$2:$D$71,"conciliado",$M$2:$M$71,M16),COUNTIFS($D$2:$D$71,"conciliado",$N$2:$N$71,M16),COUNTIFS($D$2:$D$71,"conciliado",$O$2:$O$71,M16))&gt;1),AND(N16&lt;&gt;"",SUM(COUNTIFS($D$2:$D$71,"conciliado",$M$2:$M$71,N16),COUNTIFS($D$2:$D$71,"conciliado",$N$2:$N$71,N16),COUNTIFS($D$2:$D$71,"conciliado",$O$2:$O$71,N16))&gt;1),AND(O16&lt;&gt;"",SUM(COUNTIFS($D$2:$D$71,"conciliado",$M$2:$M$71,O16),COUNTIFS($D$2:$D$71,"conciliado",$N$2:$N$71,O16),COUNTIFS($D$2:$D$71,"conciliado",$O$2:$O$71,O16))&gt;1)),"ERROR: libro_aux ya usado en otro compuesto conciliado","OK"))))</f>
        <v/>
      </c>
      <c r="F16" s="11" t="inlineStr">
        <is>
          <t>Posible compuesto detectado por suma exacta en la misma fecha. Revisar antes de conciliar.</t>
        </is>
      </c>
      <c r="G16" s="11" t="inlineStr"/>
      <c r="H16" s="11" t="inlineStr">
        <is>
          <t>521, 524</t>
        </is>
      </c>
      <c r="I16" s="11" t="inlineStr">
        <is>
          <t>754</t>
        </is>
      </c>
      <c r="J16" s="11" t="n">
        <v>521</v>
      </c>
      <c r="K16" s="11" t="n">
        <v>524</v>
      </c>
      <c r="L16" s="11" t="inlineStr"/>
      <c r="M16" s="11" t="n">
        <v>754</v>
      </c>
      <c r="N16" s="11" t="inlineStr"/>
      <c r="O16" s="11" t="inlineStr"/>
    </row>
    <row r="17">
      <c r="A17" s="11" t="inlineStr">
        <is>
          <t>467 | 2026-03-21 | 16,400 | bancolombia desde qr recarga
492 | 2026-03-21 | 10,700 | bancolombia desde qr recarga</t>
        </is>
      </c>
      <c r="B17" s="11" t="inlineStr">
        <is>
          <t>798 | 2026-03-21 | 27,100 | alvarez espinosa fab</t>
        </is>
      </c>
      <c r="C17" s="13" t="n">
        <v>0</v>
      </c>
      <c r="D17" s="11" t="inlineStr">
        <is>
          <t>por revisar</t>
        </is>
      </c>
      <c r="E17" s="11">
        <f>IF(D17&lt;&gt;"conciliado","Pendiente",IF(C17&lt;&gt;0,"ERROR: diferencia distinta de cero",IF(OR(AND(J17&lt;&gt;"",SUM(COUNTIFS($D$2:$D$71,"conciliado",$J$2:$J$71,J17),COUNTIFS($D$2:$D$71,"conciliado",$K$2:$K$71,J17),COUNTIFS($D$2:$D$71,"conciliado",$L$2:$L$71,J17))&gt;1),AND(K17&lt;&gt;"",SUM(COUNTIFS($D$2:$D$71,"conciliado",$J$2:$J$71,K17),COUNTIFS($D$2:$D$71,"conciliado",$K$2:$K$71,K17),COUNTIFS($D$2:$D$71,"conciliado",$L$2:$L$71,K17))&gt;1),AND(L17&lt;&gt;"",SUM(COUNTIFS($D$2:$D$71,"conciliado",$J$2:$J$71,L17),COUNTIFS($D$2:$D$71,"conciliado",$K$2:$K$71,L17),COUNTIFS($D$2:$D$71,"conciliado",$L$2:$L$71,L17))&gt;1)),"ERROR: banco ya usado en otro compuesto conciliado",IF(OR(AND(M17&lt;&gt;"",SUM(COUNTIFS($D$2:$D$71,"conciliado",$M$2:$M$71,M17),COUNTIFS($D$2:$D$71,"conciliado",$N$2:$N$71,M17),COUNTIFS($D$2:$D$71,"conciliado",$O$2:$O$71,M17))&gt;1),AND(N17&lt;&gt;"",SUM(COUNTIFS($D$2:$D$71,"conciliado",$M$2:$M$71,N17),COUNTIFS($D$2:$D$71,"conciliado",$N$2:$N$71,N17),COUNTIFS($D$2:$D$71,"conciliado",$O$2:$O$71,N17))&gt;1),AND(O17&lt;&gt;"",SUM(COUNTIFS($D$2:$D$71,"conciliado",$M$2:$M$71,O17),COUNTIFS($D$2:$D$71,"conciliado",$N$2:$N$71,O17),COUNTIFS($D$2:$D$71,"conciliado",$O$2:$O$71,O17))&gt;1)),"ERROR: libro_aux ya usado en otro compuesto conciliado","OK"))))</f>
        <v/>
      </c>
      <c r="F17" s="11" t="inlineStr">
        <is>
          <t>Posible compuesto detectado por suma exacta en la misma fecha. Revisar antes de conciliar.</t>
        </is>
      </c>
      <c r="G17" s="11" t="inlineStr"/>
      <c r="H17" s="11" t="inlineStr">
        <is>
          <t>467, 492</t>
        </is>
      </c>
      <c r="I17" s="11" t="inlineStr">
        <is>
          <t>798</t>
        </is>
      </c>
      <c r="J17" s="11" t="n">
        <v>467</v>
      </c>
      <c r="K17" s="11" t="n">
        <v>492</v>
      </c>
      <c r="L17" s="11" t="inlineStr"/>
      <c r="M17" s="11" t="n">
        <v>798</v>
      </c>
      <c r="N17" s="11" t="inlineStr"/>
      <c r="O17" s="11" t="inlineStr"/>
    </row>
    <row r="18">
      <c r="A18" s="11" t="inlineStr">
        <is>
          <t>362 | 2026-03-24 | 41,400 | borja freskey vergara
364 | 2026-03-24 | 11,900 | borja freskey vergara</t>
        </is>
      </c>
      <c r="B18" s="11" t="inlineStr">
        <is>
          <t>922 | 2026-03-24 | 53,300 | borja fresle vergara</t>
        </is>
      </c>
      <c r="C18" s="13" t="n">
        <v>0</v>
      </c>
      <c r="D18" s="11" t="inlineStr">
        <is>
          <t>por revisar</t>
        </is>
      </c>
      <c r="E18" s="11">
        <f>IF(D18&lt;&gt;"conciliado","Pendiente",IF(C18&lt;&gt;0,"ERROR: diferencia distinta de cero",IF(OR(AND(J18&lt;&gt;"",SUM(COUNTIFS($D$2:$D$71,"conciliado",$J$2:$J$71,J18),COUNTIFS($D$2:$D$71,"conciliado",$K$2:$K$71,J18),COUNTIFS($D$2:$D$71,"conciliado",$L$2:$L$71,J18))&gt;1),AND(K18&lt;&gt;"",SUM(COUNTIFS($D$2:$D$71,"conciliado",$J$2:$J$71,K18),COUNTIFS($D$2:$D$71,"conciliado",$K$2:$K$71,K18),COUNTIFS($D$2:$D$71,"conciliado",$L$2:$L$71,K18))&gt;1),AND(L18&lt;&gt;"",SUM(COUNTIFS($D$2:$D$71,"conciliado",$J$2:$J$71,L18),COUNTIFS($D$2:$D$71,"conciliado",$K$2:$K$71,L18),COUNTIFS($D$2:$D$71,"conciliado",$L$2:$L$71,L18))&gt;1)),"ERROR: banco ya usado en otro compuesto conciliado",IF(OR(AND(M18&lt;&gt;"",SUM(COUNTIFS($D$2:$D$71,"conciliado",$M$2:$M$71,M18),COUNTIFS($D$2:$D$71,"conciliado",$N$2:$N$71,M18),COUNTIFS($D$2:$D$71,"conciliado",$O$2:$O$71,M18))&gt;1),AND(N18&lt;&gt;"",SUM(COUNTIFS($D$2:$D$71,"conciliado",$M$2:$M$71,N18),COUNTIFS($D$2:$D$71,"conciliado",$N$2:$N$71,N18),COUNTIFS($D$2:$D$71,"conciliado",$O$2:$O$71,N18))&gt;1),AND(O18&lt;&gt;"",SUM(COUNTIFS($D$2:$D$71,"conciliado",$M$2:$M$71,O18),COUNTIFS($D$2:$D$71,"conciliado",$N$2:$N$71,O18),COUNTIFS($D$2:$D$71,"conciliado",$O$2:$O$71,O18))&gt;1)),"ERROR: libro_aux ya usado en otro compuesto conciliado","OK"))))</f>
        <v/>
      </c>
      <c r="F18" s="11" t="inlineStr">
        <is>
          <t>Posible compuesto detectado por suma exacta en la misma fecha. Revisar antes de conciliar.</t>
        </is>
      </c>
      <c r="G18" s="11" t="inlineStr"/>
      <c r="H18" s="11" t="inlineStr">
        <is>
          <t>362, 364</t>
        </is>
      </c>
      <c r="I18" s="11" t="inlineStr">
        <is>
          <t>922</t>
        </is>
      </c>
      <c r="J18" s="11" t="n">
        <v>362</v>
      </c>
      <c r="K18" s="11" t="n">
        <v>364</v>
      </c>
      <c r="L18" s="11" t="inlineStr"/>
      <c r="M18" s="11" t="n">
        <v>922</v>
      </c>
      <c r="N18" s="11" t="inlineStr"/>
      <c r="O18" s="11" t="inlineStr"/>
    </row>
    <row r="19">
      <c r="A19" s="11" t="inlineStr">
        <is>
          <t>319 | 2026-03-24 | 18,000 | antonio gomez rodrigo
321 | 2026-03-24 | 10,000 | antonio gomez rodrigo</t>
        </is>
      </c>
      <c r="B19" s="11" t="inlineStr">
        <is>
          <t>927 | 2026-03-24 | 28,000 | argoty gomez rodrigo</t>
        </is>
      </c>
      <c r="C19" s="13" t="n">
        <v>0</v>
      </c>
      <c r="D19" s="11" t="inlineStr">
        <is>
          <t>por revisar</t>
        </is>
      </c>
      <c r="E19" s="11">
        <f>IF(D19&lt;&gt;"conciliado","Pendiente",IF(C19&lt;&gt;0,"ERROR: diferencia distinta de cero",IF(OR(AND(J19&lt;&gt;"",SUM(COUNTIFS($D$2:$D$71,"conciliado",$J$2:$J$71,J19),COUNTIFS($D$2:$D$71,"conciliado",$K$2:$K$71,J19),COUNTIFS($D$2:$D$71,"conciliado",$L$2:$L$71,J19))&gt;1),AND(K19&lt;&gt;"",SUM(COUNTIFS($D$2:$D$71,"conciliado",$J$2:$J$71,K19),COUNTIFS($D$2:$D$71,"conciliado",$K$2:$K$71,K19),COUNTIFS($D$2:$D$71,"conciliado",$L$2:$L$71,K19))&gt;1),AND(L19&lt;&gt;"",SUM(COUNTIFS($D$2:$D$71,"conciliado",$J$2:$J$71,L19),COUNTIFS($D$2:$D$71,"conciliado",$K$2:$K$71,L19),COUNTIFS($D$2:$D$71,"conciliado",$L$2:$L$71,L19))&gt;1)),"ERROR: banco ya usado en otro compuesto conciliado",IF(OR(AND(M19&lt;&gt;"",SUM(COUNTIFS($D$2:$D$71,"conciliado",$M$2:$M$71,M19),COUNTIFS($D$2:$D$71,"conciliado",$N$2:$N$71,M19),COUNTIFS($D$2:$D$71,"conciliado",$O$2:$O$71,M19))&gt;1),AND(N19&lt;&gt;"",SUM(COUNTIFS($D$2:$D$71,"conciliado",$M$2:$M$71,N19),COUNTIFS($D$2:$D$71,"conciliado",$N$2:$N$71,N19),COUNTIFS($D$2:$D$71,"conciliado",$O$2:$O$71,N19))&gt;1),AND(O19&lt;&gt;"",SUM(COUNTIFS($D$2:$D$71,"conciliado",$M$2:$M$71,O19),COUNTIFS($D$2:$D$71,"conciliado",$N$2:$N$71,O19),COUNTIFS($D$2:$D$71,"conciliado",$O$2:$O$71,O19))&gt;1)),"ERROR: libro_aux ya usado en otro compuesto conciliado","OK"))))</f>
        <v/>
      </c>
      <c r="F19" s="11" t="inlineStr">
        <is>
          <t>Posible compuesto detectado por suma exacta en la misma fecha. Revisar antes de conciliar.</t>
        </is>
      </c>
      <c r="G19" s="11" t="inlineStr"/>
      <c r="H19" s="11" t="inlineStr">
        <is>
          <t>319, 321</t>
        </is>
      </c>
      <c r="I19" s="11" t="inlineStr">
        <is>
          <t>927</t>
        </is>
      </c>
      <c r="J19" s="11" t="n">
        <v>319</v>
      </c>
      <c r="K19" s="11" t="n">
        <v>321</v>
      </c>
      <c r="L19" s="11" t="inlineStr"/>
      <c r="M19" s="11" t="n">
        <v>927</v>
      </c>
      <c r="N19" s="11" t="inlineStr"/>
      <c r="O19" s="11" t="inlineStr"/>
    </row>
    <row r="20">
      <c r="A20" s="11" t="inlineStr">
        <is>
          <t>229 | 2026-03-26 | 11,700 | cubillos nivia ordones
260 | 2026-03-26 | 16,800 | cubillos nivia ordones</t>
        </is>
      </c>
      <c r="B20" s="11" t="inlineStr">
        <is>
          <t>1036 | 2026-03-26 | 28,500 | cubillos niv ordones</t>
        </is>
      </c>
      <c r="C20" s="13" t="n">
        <v>0</v>
      </c>
      <c r="D20" s="11" t="inlineStr">
        <is>
          <t>por revisar</t>
        </is>
      </c>
      <c r="E20" s="11">
        <f>IF(D20&lt;&gt;"conciliado","Pendiente",IF(C20&lt;&gt;0,"ERROR: diferencia distinta de cero",IF(OR(AND(J20&lt;&gt;"",SUM(COUNTIFS($D$2:$D$71,"conciliado",$J$2:$J$71,J20),COUNTIFS($D$2:$D$71,"conciliado",$K$2:$K$71,J20),COUNTIFS($D$2:$D$71,"conciliado",$L$2:$L$71,J20))&gt;1),AND(K20&lt;&gt;"",SUM(COUNTIFS($D$2:$D$71,"conciliado",$J$2:$J$71,K20),COUNTIFS($D$2:$D$71,"conciliado",$K$2:$K$71,K20),COUNTIFS($D$2:$D$71,"conciliado",$L$2:$L$71,K20))&gt;1),AND(L20&lt;&gt;"",SUM(COUNTIFS($D$2:$D$71,"conciliado",$J$2:$J$71,L20),COUNTIFS($D$2:$D$71,"conciliado",$K$2:$K$71,L20),COUNTIFS($D$2:$D$71,"conciliado",$L$2:$L$71,L20))&gt;1)),"ERROR: banco ya usado en otro compuesto conciliado",IF(OR(AND(M20&lt;&gt;"",SUM(COUNTIFS($D$2:$D$71,"conciliado",$M$2:$M$71,M20),COUNTIFS($D$2:$D$71,"conciliado",$N$2:$N$71,M20),COUNTIFS($D$2:$D$71,"conciliado",$O$2:$O$71,M20))&gt;1),AND(N20&lt;&gt;"",SUM(COUNTIFS($D$2:$D$71,"conciliado",$M$2:$M$71,N20),COUNTIFS($D$2:$D$71,"conciliado",$N$2:$N$71,N20),COUNTIFS($D$2:$D$71,"conciliado",$O$2:$O$71,N20))&gt;1),AND(O20&lt;&gt;"",SUM(COUNTIFS($D$2:$D$71,"conciliado",$M$2:$M$71,O20),COUNTIFS($D$2:$D$71,"conciliado",$N$2:$N$71,O20),COUNTIFS($D$2:$D$71,"conciliado",$O$2:$O$71,O20))&gt;1)),"ERROR: libro_aux ya usado en otro compuesto conciliado","OK"))))</f>
        <v/>
      </c>
      <c r="F20" s="11" t="inlineStr">
        <is>
          <t>Posible compuesto detectado por suma exacta en la misma fecha. Revisar antes de conciliar.</t>
        </is>
      </c>
      <c r="G20" s="11" t="inlineStr"/>
      <c r="H20" s="11" t="inlineStr">
        <is>
          <t>229, 260</t>
        </is>
      </c>
      <c r="I20" s="11" t="inlineStr">
        <is>
          <t>1036</t>
        </is>
      </c>
      <c r="J20" s="11" t="n">
        <v>229</v>
      </c>
      <c r="K20" s="11" t="n">
        <v>260</v>
      </c>
      <c r="L20" s="11" t="inlineStr"/>
      <c r="M20" s="11" t="n">
        <v>1036</v>
      </c>
      <c r="N20" s="11" t="inlineStr"/>
      <c r="O20" s="11" t="inlineStr"/>
    </row>
    <row r="21">
      <c r="A21" s="11" t="inlineStr">
        <is>
          <t>184 | 2026-03-27 | 42,600 | cordero diana katerine
195 | 2026-03-27 | 8,600 | cordero diana katerine</t>
        </is>
      </c>
      <c r="B21" s="11" t="inlineStr">
        <is>
          <t>1057 | 2026-03-27 | 51,200 | cordero correa diana</t>
        </is>
      </c>
      <c r="C21" s="13" t="n">
        <v>0</v>
      </c>
      <c r="D21" s="11" t="inlineStr">
        <is>
          <t>por revisar</t>
        </is>
      </c>
      <c r="E21" s="11">
        <f>IF(D21&lt;&gt;"conciliado","Pendiente",IF(C21&lt;&gt;0,"ERROR: diferencia distinta de cero",IF(OR(AND(J21&lt;&gt;"",SUM(COUNTIFS($D$2:$D$71,"conciliado",$J$2:$J$71,J21),COUNTIFS($D$2:$D$71,"conciliado",$K$2:$K$71,J21),COUNTIFS($D$2:$D$71,"conciliado",$L$2:$L$71,J21))&gt;1),AND(K21&lt;&gt;"",SUM(COUNTIFS($D$2:$D$71,"conciliado",$J$2:$J$71,K21),COUNTIFS($D$2:$D$71,"conciliado",$K$2:$K$71,K21),COUNTIFS($D$2:$D$71,"conciliado",$L$2:$L$71,K21))&gt;1),AND(L21&lt;&gt;"",SUM(COUNTIFS($D$2:$D$71,"conciliado",$J$2:$J$71,L21),COUNTIFS($D$2:$D$71,"conciliado",$K$2:$K$71,L21),COUNTIFS($D$2:$D$71,"conciliado",$L$2:$L$71,L21))&gt;1)),"ERROR: banco ya usado en otro compuesto conciliado",IF(OR(AND(M21&lt;&gt;"",SUM(COUNTIFS($D$2:$D$71,"conciliado",$M$2:$M$71,M21),COUNTIFS($D$2:$D$71,"conciliado",$N$2:$N$71,M21),COUNTIFS($D$2:$D$71,"conciliado",$O$2:$O$71,M21))&gt;1),AND(N21&lt;&gt;"",SUM(COUNTIFS($D$2:$D$71,"conciliado",$M$2:$M$71,N21),COUNTIFS($D$2:$D$71,"conciliado",$N$2:$N$71,N21),COUNTIFS($D$2:$D$71,"conciliado",$O$2:$O$71,N21))&gt;1),AND(O21&lt;&gt;"",SUM(COUNTIFS($D$2:$D$71,"conciliado",$M$2:$M$71,O21),COUNTIFS($D$2:$D$71,"conciliado",$N$2:$N$71,O21),COUNTIFS($D$2:$D$71,"conciliado",$O$2:$O$71,O21))&gt;1)),"ERROR: libro_aux ya usado en otro compuesto conciliado","OK"))))</f>
        <v/>
      </c>
      <c r="F21" s="11" t="inlineStr">
        <is>
          <t>Posible compuesto detectado por suma exacta en la misma fecha. Revisar antes de conciliar.</t>
        </is>
      </c>
      <c r="G21" s="11" t="inlineStr"/>
      <c r="H21" s="11" t="inlineStr">
        <is>
          <t>184, 195</t>
        </is>
      </c>
      <c r="I21" s="11" t="inlineStr">
        <is>
          <t>1057</t>
        </is>
      </c>
      <c r="J21" s="11" t="n">
        <v>184</v>
      </c>
      <c r="K21" s="11" t="n">
        <v>195</v>
      </c>
      <c r="L21" s="11" t="inlineStr"/>
      <c r="M21" s="11" t="n">
        <v>1057</v>
      </c>
      <c r="N21" s="11" t="inlineStr"/>
      <c r="O21" s="11" t="inlineStr"/>
    </row>
    <row r="22">
      <c r="A22" s="11" t="inlineStr">
        <is>
          <t>205 | 2026-03-27 | 4,000 | burbano leineth monica
206 | 2026-03-27 | 46,600 | burbano leineth monica</t>
        </is>
      </c>
      <c r="B22" s="11" t="inlineStr">
        <is>
          <t>1064 | 2026-03-27 | 50,600 | burbano monica ossa</t>
        </is>
      </c>
      <c r="C22" s="13" t="n">
        <v>0</v>
      </c>
      <c r="D22" s="11" t="inlineStr">
        <is>
          <t>por revisar</t>
        </is>
      </c>
      <c r="E22" s="11">
        <f>IF(D22&lt;&gt;"conciliado","Pendiente",IF(C22&lt;&gt;0,"ERROR: diferencia distinta de cero",IF(OR(AND(J22&lt;&gt;"",SUM(COUNTIFS($D$2:$D$71,"conciliado",$J$2:$J$71,J22),COUNTIFS($D$2:$D$71,"conciliado",$K$2:$K$71,J22),COUNTIFS($D$2:$D$71,"conciliado",$L$2:$L$71,J22))&gt;1),AND(K22&lt;&gt;"",SUM(COUNTIFS($D$2:$D$71,"conciliado",$J$2:$J$71,K22),COUNTIFS($D$2:$D$71,"conciliado",$K$2:$K$71,K22),COUNTIFS($D$2:$D$71,"conciliado",$L$2:$L$71,K22))&gt;1),AND(L22&lt;&gt;"",SUM(COUNTIFS($D$2:$D$71,"conciliado",$J$2:$J$71,L22),COUNTIFS($D$2:$D$71,"conciliado",$K$2:$K$71,L22),COUNTIFS($D$2:$D$71,"conciliado",$L$2:$L$71,L22))&gt;1)),"ERROR: banco ya usado en otro compuesto conciliado",IF(OR(AND(M22&lt;&gt;"",SUM(COUNTIFS($D$2:$D$71,"conciliado",$M$2:$M$71,M22),COUNTIFS($D$2:$D$71,"conciliado",$N$2:$N$71,M22),COUNTIFS($D$2:$D$71,"conciliado",$O$2:$O$71,M22))&gt;1),AND(N22&lt;&gt;"",SUM(COUNTIFS($D$2:$D$71,"conciliado",$M$2:$M$71,N22),COUNTIFS($D$2:$D$71,"conciliado",$N$2:$N$71,N22),COUNTIFS($D$2:$D$71,"conciliado",$O$2:$O$71,N22))&gt;1),AND(O22&lt;&gt;"",SUM(COUNTIFS($D$2:$D$71,"conciliado",$M$2:$M$71,O22),COUNTIFS($D$2:$D$71,"conciliado",$N$2:$N$71,O22),COUNTIFS($D$2:$D$71,"conciliado",$O$2:$O$71,O22))&gt;1)),"ERROR: libro_aux ya usado en otro compuesto conciliado","OK"))))</f>
        <v/>
      </c>
      <c r="F22" s="11" t="inlineStr">
        <is>
          <t>Posible compuesto detectado por suma exacta en la misma fecha. Revisar antes de conciliar.</t>
        </is>
      </c>
      <c r="G22" s="11" t="inlineStr"/>
      <c r="H22" s="11" t="inlineStr">
        <is>
          <t>205, 206</t>
        </is>
      </c>
      <c r="I22" s="11" t="inlineStr">
        <is>
          <t>1064</t>
        </is>
      </c>
      <c r="J22" s="11" t="n">
        <v>205</v>
      </c>
      <c r="K22" s="11" t="n">
        <v>206</v>
      </c>
      <c r="L22" s="11" t="inlineStr"/>
      <c r="M22" s="11" t="n">
        <v>1064</v>
      </c>
      <c r="N22" s="11" t="inlineStr"/>
      <c r="O22" s="11" t="inlineStr"/>
    </row>
    <row r="23">
      <c r="A23" s="11" t="inlineStr">
        <is>
          <t>137 | 2026-03-28 | 23,000 | angulo cahuasa ismenia
158 | 2026-03-28 | 10,500 | angulo cahuasa ismenia</t>
        </is>
      </c>
      <c r="B23" s="11" t="inlineStr">
        <is>
          <t>1102 | 2026-03-28 | 33,500 | angulo cahuasa ismen</t>
        </is>
      </c>
      <c r="C23" s="13" t="n">
        <v>0</v>
      </c>
      <c r="D23" s="11" t="inlineStr">
        <is>
          <t>por revisar</t>
        </is>
      </c>
      <c r="E23" s="11">
        <f>IF(D23&lt;&gt;"conciliado","Pendiente",IF(C23&lt;&gt;0,"ERROR: diferencia distinta de cero",IF(OR(AND(J23&lt;&gt;"",SUM(COUNTIFS($D$2:$D$71,"conciliado",$J$2:$J$71,J23),COUNTIFS($D$2:$D$71,"conciliado",$K$2:$K$71,J23),COUNTIFS($D$2:$D$71,"conciliado",$L$2:$L$71,J23))&gt;1),AND(K23&lt;&gt;"",SUM(COUNTIFS($D$2:$D$71,"conciliado",$J$2:$J$71,K23),COUNTIFS($D$2:$D$71,"conciliado",$K$2:$K$71,K23),COUNTIFS($D$2:$D$71,"conciliado",$L$2:$L$71,K23))&gt;1),AND(L23&lt;&gt;"",SUM(COUNTIFS($D$2:$D$71,"conciliado",$J$2:$J$71,L23),COUNTIFS($D$2:$D$71,"conciliado",$K$2:$K$71,L23),COUNTIFS($D$2:$D$71,"conciliado",$L$2:$L$71,L23))&gt;1)),"ERROR: banco ya usado en otro compuesto conciliado",IF(OR(AND(M23&lt;&gt;"",SUM(COUNTIFS($D$2:$D$71,"conciliado",$M$2:$M$71,M23),COUNTIFS($D$2:$D$71,"conciliado",$N$2:$N$71,M23),COUNTIFS($D$2:$D$71,"conciliado",$O$2:$O$71,M23))&gt;1),AND(N23&lt;&gt;"",SUM(COUNTIFS($D$2:$D$71,"conciliado",$M$2:$M$71,N23),COUNTIFS($D$2:$D$71,"conciliado",$N$2:$N$71,N23),COUNTIFS($D$2:$D$71,"conciliado",$O$2:$O$71,N23))&gt;1),AND(O23&lt;&gt;"",SUM(COUNTIFS($D$2:$D$71,"conciliado",$M$2:$M$71,O23),COUNTIFS($D$2:$D$71,"conciliado",$N$2:$N$71,O23),COUNTIFS($D$2:$D$71,"conciliado",$O$2:$O$71,O23))&gt;1)),"ERROR: libro_aux ya usado en otro compuesto conciliado","OK"))))</f>
        <v/>
      </c>
      <c r="F23" s="11" t="inlineStr">
        <is>
          <t>Posible compuesto detectado por suma exacta en la misma fecha. Revisar antes de conciliar.</t>
        </is>
      </c>
      <c r="G23" s="11" t="inlineStr"/>
      <c r="H23" s="11" t="inlineStr">
        <is>
          <t>137, 158</t>
        </is>
      </c>
      <c r="I23" s="11" t="inlineStr">
        <is>
          <t>1102</t>
        </is>
      </c>
      <c r="J23" s="11" t="n">
        <v>137</v>
      </c>
      <c r="K23" s="11" t="n">
        <v>158</v>
      </c>
      <c r="L23" s="11" t="inlineStr"/>
      <c r="M23" s="11" t="n">
        <v>1102</v>
      </c>
      <c r="N23" s="11" t="inlineStr"/>
      <c r="O23" s="11" t="inlineStr"/>
    </row>
    <row r="24">
      <c r="A24" s="11" t="inlineStr">
        <is>
          <t>147 | 2026-03-28 | 24,600 | adriana mora nury
157 | 2026-03-28 | 57,600 | adriana mora nury</t>
        </is>
      </c>
      <c r="B24" s="11" t="inlineStr">
        <is>
          <t>1112 | 2026-03-28 | 82,200 | adr mora nury ruales</t>
        </is>
      </c>
      <c r="C24" s="13" t="n">
        <v>0</v>
      </c>
      <c r="D24" s="11" t="inlineStr">
        <is>
          <t>por revisar</t>
        </is>
      </c>
      <c r="E24" s="11">
        <f>IF(D24&lt;&gt;"conciliado","Pendiente",IF(C24&lt;&gt;0,"ERROR: diferencia distinta de cero",IF(OR(AND(J24&lt;&gt;"",SUM(COUNTIFS($D$2:$D$71,"conciliado",$J$2:$J$71,J24),COUNTIFS($D$2:$D$71,"conciliado",$K$2:$K$71,J24),COUNTIFS($D$2:$D$71,"conciliado",$L$2:$L$71,J24))&gt;1),AND(K24&lt;&gt;"",SUM(COUNTIFS($D$2:$D$71,"conciliado",$J$2:$J$71,K24),COUNTIFS($D$2:$D$71,"conciliado",$K$2:$K$71,K24),COUNTIFS($D$2:$D$71,"conciliado",$L$2:$L$71,K24))&gt;1),AND(L24&lt;&gt;"",SUM(COUNTIFS($D$2:$D$71,"conciliado",$J$2:$J$71,L24),COUNTIFS($D$2:$D$71,"conciliado",$K$2:$K$71,L24),COUNTIFS($D$2:$D$71,"conciliado",$L$2:$L$71,L24))&gt;1)),"ERROR: banco ya usado en otro compuesto conciliado",IF(OR(AND(M24&lt;&gt;"",SUM(COUNTIFS($D$2:$D$71,"conciliado",$M$2:$M$71,M24),COUNTIFS($D$2:$D$71,"conciliado",$N$2:$N$71,M24),COUNTIFS($D$2:$D$71,"conciliado",$O$2:$O$71,M24))&gt;1),AND(N24&lt;&gt;"",SUM(COUNTIFS($D$2:$D$71,"conciliado",$M$2:$M$71,N24),COUNTIFS($D$2:$D$71,"conciliado",$N$2:$N$71,N24),COUNTIFS($D$2:$D$71,"conciliado",$O$2:$O$71,N24))&gt;1),AND(O24&lt;&gt;"",SUM(COUNTIFS($D$2:$D$71,"conciliado",$M$2:$M$71,O24),COUNTIFS($D$2:$D$71,"conciliado",$N$2:$N$71,O24),COUNTIFS($D$2:$D$71,"conciliado",$O$2:$O$71,O24))&gt;1)),"ERROR: libro_aux ya usado en otro compuesto conciliado","OK"))))</f>
        <v/>
      </c>
      <c r="F24" s="11" t="inlineStr">
        <is>
          <t>Posible compuesto detectado por suma exacta en la misma fecha. Revisar antes de conciliar.</t>
        </is>
      </c>
      <c r="G24" s="11" t="inlineStr"/>
      <c r="H24" s="11" t="inlineStr">
        <is>
          <t>147, 157</t>
        </is>
      </c>
      <c r="I24" s="11" t="inlineStr">
        <is>
          <t>1112</t>
        </is>
      </c>
      <c r="J24" s="11" t="n">
        <v>147</v>
      </c>
      <c r="K24" s="11" t="n">
        <v>157</v>
      </c>
      <c r="L24" s="11" t="inlineStr"/>
      <c r="M24" s="11" t="n">
        <v>1112</v>
      </c>
      <c r="N24" s="11" t="inlineStr"/>
      <c r="O24" s="11" t="inlineStr"/>
    </row>
    <row r="25">
      <c r="A25" s="11" t="inlineStr">
        <is>
          <t>119 | 2026-03-29 | 7,700 | borja freskey vergara
121 | 2026-03-29 | 137,000 | borja freskey vergara</t>
        </is>
      </c>
      <c r="B25" s="11" t="inlineStr">
        <is>
          <t>1131 | 2026-03-29 | 144,700 | borja fresle vergara</t>
        </is>
      </c>
      <c r="C25" s="13" t="n">
        <v>0</v>
      </c>
      <c r="D25" s="11" t="inlineStr">
        <is>
          <t>por revisar</t>
        </is>
      </c>
      <c r="E25" s="11">
        <f>IF(D25&lt;&gt;"conciliado","Pendiente",IF(C25&lt;&gt;0,"ERROR: diferencia distinta de cero",IF(OR(AND(J25&lt;&gt;"",SUM(COUNTIFS($D$2:$D$71,"conciliado",$J$2:$J$71,J25),COUNTIFS($D$2:$D$71,"conciliado",$K$2:$K$71,J25),COUNTIFS($D$2:$D$71,"conciliado",$L$2:$L$71,J25))&gt;1),AND(K25&lt;&gt;"",SUM(COUNTIFS($D$2:$D$71,"conciliado",$J$2:$J$71,K25),COUNTIFS($D$2:$D$71,"conciliado",$K$2:$K$71,K25),COUNTIFS($D$2:$D$71,"conciliado",$L$2:$L$71,K25))&gt;1),AND(L25&lt;&gt;"",SUM(COUNTIFS($D$2:$D$71,"conciliado",$J$2:$J$71,L25),COUNTIFS($D$2:$D$71,"conciliado",$K$2:$K$71,L25),COUNTIFS($D$2:$D$71,"conciliado",$L$2:$L$71,L25))&gt;1)),"ERROR: banco ya usado en otro compuesto conciliado",IF(OR(AND(M25&lt;&gt;"",SUM(COUNTIFS($D$2:$D$71,"conciliado",$M$2:$M$71,M25),COUNTIFS($D$2:$D$71,"conciliado",$N$2:$N$71,M25),COUNTIFS($D$2:$D$71,"conciliado",$O$2:$O$71,M25))&gt;1),AND(N25&lt;&gt;"",SUM(COUNTIFS($D$2:$D$71,"conciliado",$M$2:$M$71,N25),COUNTIFS($D$2:$D$71,"conciliado",$N$2:$N$71,N25),COUNTIFS($D$2:$D$71,"conciliado",$O$2:$O$71,N25))&gt;1),AND(O25&lt;&gt;"",SUM(COUNTIFS($D$2:$D$71,"conciliado",$M$2:$M$71,O25),COUNTIFS($D$2:$D$71,"conciliado",$N$2:$N$71,O25),COUNTIFS($D$2:$D$71,"conciliado",$O$2:$O$71,O25))&gt;1)),"ERROR: libro_aux ya usado en otro compuesto conciliado","OK"))))</f>
        <v/>
      </c>
      <c r="F25" s="11" t="inlineStr">
        <is>
          <t>Posible compuesto detectado por suma exacta en la misma fecha. Revisar antes de conciliar.</t>
        </is>
      </c>
      <c r="G25" s="11" t="inlineStr"/>
      <c r="H25" s="11" t="inlineStr">
        <is>
          <t>119, 121</t>
        </is>
      </c>
      <c r="I25" s="11" t="inlineStr">
        <is>
          <t>1131</t>
        </is>
      </c>
      <c r="J25" s="11" t="n">
        <v>119</v>
      </c>
      <c r="K25" s="11" t="n">
        <v>121</v>
      </c>
      <c r="L25" s="11" t="inlineStr"/>
      <c r="M25" s="11" t="n">
        <v>1131</v>
      </c>
      <c r="N25" s="11" t="inlineStr"/>
      <c r="O25" s="11" t="inlineStr"/>
    </row>
    <row r="26">
      <c r="A26" s="11" t="inlineStr">
        <is>
          <t>41 | 2026-03-30 | 55,000 | cordero diana katerine
68 | 2026-03-30 | 24,000 | cordero diana katerine</t>
        </is>
      </c>
      <c r="B26" s="11" t="inlineStr">
        <is>
          <t>1184 | 2026-03-30 | 79,000 | cordero correa diana</t>
        </is>
      </c>
      <c r="C26" s="13" t="n">
        <v>0</v>
      </c>
      <c r="D26" s="11" t="inlineStr">
        <is>
          <t>por revisar</t>
        </is>
      </c>
      <c r="E26" s="11">
        <f>IF(D26&lt;&gt;"conciliado","Pendiente",IF(C26&lt;&gt;0,"ERROR: diferencia distinta de cero",IF(OR(AND(J26&lt;&gt;"",SUM(COUNTIFS($D$2:$D$71,"conciliado",$J$2:$J$71,J26),COUNTIFS($D$2:$D$71,"conciliado",$K$2:$K$71,J26),COUNTIFS($D$2:$D$71,"conciliado",$L$2:$L$71,J26))&gt;1),AND(K26&lt;&gt;"",SUM(COUNTIFS($D$2:$D$71,"conciliado",$J$2:$J$71,K26),COUNTIFS($D$2:$D$71,"conciliado",$K$2:$K$71,K26),COUNTIFS($D$2:$D$71,"conciliado",$L$2:$L$71,K26))&gt;1),AND(L26&lt;&gt;"",SUM(COUNTIFS($D$2:$D$71,"conciliado",$J$2:$J$71,L26),COUNTIFS($D$2:$D$71,"conciliado",$K$2:$K$71,L26),COUNTIFS($D$2:$D$71,"conciliado",$L$2:$L$71,L26))&gt;1)),"ERROR: banco ya usado en otro compuesto conciliado",IF(OR(AND(M26&lt;&gt;"",SUM(COUNTIFS($D$2:$D$71,"conciliado",$M$2:$M$71,M26),COUNTIFS($D$2:$D$71,"conciliado",$N$2:$N$71,M26),COUNTIFS($D$2:$D$71,"conciliado",$O$2:$O$71,M26))&gt;1),AND(N26&lt;&gt;"",SUM(COUNTIFS($D$2:$D$71,"conciliado",$M$2:$M$71,N26),COUNTIFS($D$2:$D$71,"conciliado",$N$2:$N$71,N26),COUNTIFS($D$2:$D$71,"conciliado",$O$2:$O$71,N26))&gt;1),AND(O26&lt;&gt;"",SUM(COUNTIFS($D$2:$D$71,"conciliado",$M$2:$M$71,O26),COUNTIFS($D$2:$D$71,"conciliado",$N$2:$N$71,O26),COUNTIFS($D$2:$D$71,"conciliado",$O$2:$O$71,O26))&gt;1)),"ERROR: libro_aux ya usado en otro compuesto conciliado","OK"))))</f>
        <v/>
      </c>
      <c r="F26" s="11" t="inlineStr">
        <is>
          <t>Posible compuesto detectado por suma exacta en la misma fecha. Revisar antes de conciliar.</t>
        </is>
      </c>
      <c r="G26" s="11" t="inlineStr"/>
      <c r="H26" s="11" t="inlineStr">
        <is>
          <t>41, 68</t>
        </is>
      </c>
      <c r="I26" s="11" t="inlineStr">
        <is>
          <t>1184</t>
        </is>
      </c>
      <c r="J26" s="11" t="n">
        <v>41</v>
      </c>
      <c r="K26" s="11" t="n">
        <v>68</v>
      </c>
      <c r="L26" s="11" t="inlineStr"/>
      <c r="M26" s="11" t="n">
        <v>1184</v>
      </c>
      <c r="N26" s="11" t="inlineStr"/>
      <c r="O26" s="11" t="inlineStr"/>
    </row>
    <row r="27">
      <c r="A27" s="11" t="inlineStr">
        <is>
          <t>61 | 2026-03-30 | 1,200 | david juan zambrano
62 | 2026-03-30 | 22,700 | david juan zambrano</t>
        </is>
      </c>
      <c r="B27" s="11" t="inlineStr">
        <is>
          <t>1208 | 2026-03-30 | 23,900 | juan rivera zambrano</t>
        </is>
      </c>
      <c r="C27" s="13" t="n">
        <v>0</v>
      </c>
      <c r="D27" s="11" t="inlineStr">
        <is>
          <t>por revisar</t>
        </is>
      </c>
      <c r="E27" s="11">
        <f>IF(D27&lt;&gt;"conciliado","Pendiente",IF(C27&lt;&gt;0,"ERROR: diferencia distinta de cero",IF(OR(AND(J27&lt;&gt;"",SUM(COUNTIFS($D$2:$D$71,"conciliado",$J$2:$J$71,J27),COUNTIFS($D$2:$D$71,"conciliado",$K$2:$K$71,J27),COUNTIFS($D$2:$D$71,"conciliado",$L$2:$L$71,J27))&gt;1),AND(K27&lt;&gt;"",SUM(COUNTIFS($D$2:$D$71,"conciliado",$J$2:$J$71,K27),COUNTIFS($D$2:$D$71,"conciliado",$K$2:$K$71,K27),COUNTIFS($D$2:$D$71,"conciliado",$L$2:$L$71,K27))&gt;1),AND(L27&lt;&gt;"",SUM(COUNTIFS($D$2:$D$71,"conciliado",$J$2:$J$71,L27),COUNTIFS($D$2:$D$71,"conciliado",$K$2:$K$71,L27),COUNTIFS($D$2:$D$71,"conciliado",$L$2:$L$71,L27))&gt;1)),"ERROR: banco ya usado en otro compuesto conciliado",IF(OR(AND(M27&lt;&gt;"",SUM(COUNTIFS($D$2:$D$71,"conciliado",$M$2:$M$71,M27),COUNTIFS($D$2:$D$71,"conciliado",$N$2:$N$71,M27),COUNTIFS($D$2:$D$71,"conciliado",$O$2:$O$71,M27))&gt;1),AND(N27&lt;&gt;"",SUM(COUNTIFS($D$2:$D$71,"conciliado",$M$2:$M$71,N27),COUNTIFS($D$2:$D$71,"conciliado",$N$2:$N$71,N27),COUNTIFS($D$2:$D$71,"conciliado",$O$2:$O$71,N27))&gt;1),AND(O27&lt;&gt;"",SUM(COUNTIFS($D$2:$D$71,"conciliado",$M$2:$M$71,O27),COUNTIFS($D$2:$D$71,"conciliado",$N$2:$N$71,O27),COUNTIFS($D$2:$D$71,"conciliado",$O$2:$O$71,O27))&gt;1)),"ERROR: libro_aux ya usado en otro compuesto conciliado","OK"))))</f>
        <v/>
      </c>
      <c r="F27" s="11" t="inlineStr">
        <is>
          <t>Posible compuesto detectado por suma exacta en la misma fecha. Revisar antes de conciliar.</t>
        </is>
      </c>
      <c r="G27" s="11" t="inlineStr"/>
      <c r="H27" s="11" t="inlineStr">
        <is>
          <t>61, 62</t>
        </is>
      </c>
      <c r="I27" s="11" t="inlineStr">
        <is>
          <t>1208</t>
        </is>
      </c>
      <c r="J27" s="11" t="n">
        <v>61</v>
      </c>
      <c r="K27" s="11" t="n">
        <v>62</v>
      </c>
      <c r="L27" s="11" t="inlineStr"/>
      <c r="M27" s="11" t="n">
        <v>1208</v>
      </c>
      <c r="N27" s="11" t="inlineStr"/>
      <c r="O27" s="11" t="inlineStr"/>
    </row>
    <row r="28">
      <c r="A28" s="11" t="inlineStr">
        <is>
          <t>155 | 2026-03-28 | 23,700 | jackeline jeiny morales
168 | 2026-03-28 | 22,800 | jackeline jeiny morales</t>
        </is>
      </c>
      <c r="B28" s="11" t="inlineStr">
        <is>
          <t>1114 | 2026-03-28 | 46,500 | jein morales morales</t>
        </is>
      </c>
      <c r="C28" s="13" t="n">
        <v>0</v>
      </c>
      <c r="D28" s="11" t="inlineStr">
        <is>
          <t>por revisar</t>
        </is>
      </c>
      <c r="E28" s="11">
        <f>IF(D28&lt;&gt;"conciliado","Pendiente",IF(C28&lt;&gt;0,"ERROR: diferencia distinta de cero",IF(OR(AND(J28&lt;&gt;"",SUM(COUNTIFS($D$2:$D$71,"conciliado",$J$2:$J$71,J28),COUNTIFS($D$2:$D$71,"conciliado",$K$2:$K$71,J28),COUNTIFS($D$2:$D$71,"conciliado",$L$2:$L$71,J28))&gt;1),AND(K28&lt;&gt;"",SUM(COUNTIFS($D$2:$D$71,"conciliado",$J$2:$J$71,K28),COUNTIFS($D$2:$D$71,"conciliado",$K$2:$K$71,K28),COUNTIFS($D$2:$D$71,"conciliado",$L$2:$L$71,K28))&gt;1),AND(L28&lt;&gt;"",SUM(COUNTIFS($D$2:$D$71,"conciliado",$J$2:$J$71,L28),COUNTIFS($D$2:$D$71,"conciliado",$K$2:$K$71,L28),COUNTIFS($D$2:$D$71,"conciliado",$L$2:$L$71,L28))&gt;1)),"ERROR: banco ya usado en otro compuesto conciliado",IF(OR(AND(M28&lt;&gt;"",SUM(COUNTIFS($D$2:$D$71,"conciliado",$M$2:$M$71,M28),COUNTIFS($D$2:$D$71,"conciliado",$N$2:$N$71,M28),COUNTIFS($D$2:$D$71,"conciliado",$O$2:$O$71,M28))&gt;1),AND(N28&lt;&gt;"",SUM(COUNTIFS($D$2:$D$71,"conciliado",$M$2:$M$71,N28),COUNTIFS($D$2:$D$71,"conciliado",$N$2:$N$71,N28),COUNTIFS($D$2:$D$71,"conciliado",$O$2:$O$71,N28))&gt;1),AND(O28&lt;&gt;"",SUM(COUNTIFS($D$2:$D$71,"conciliado",$M$2:$M$71,O28),COUNTIFS($D$2:$D$71,"conciliado",$N$2:$N$71,O28),COUNTIFS($D$2:$D$71,"conciliado",$O$2:$O$71,O28))&gt;1)),"ERROR: libro_aux ya usado en otro compuesto conciliado","OK"))))</f>
        <v/>
      </c>
      <c r="F28" s="11" t="inlineStr">
        <is>
          <t>Posible compuesto detectado por suma exacta en la misma fecha. Revisar antes de conciliar.</t>
        </is>
      </c>
      <c r="G28" s="11" t="inlineStr"/>
      <c r="H28" s="11" t="inlineStr">
        <is>
          <t>155, 168</t>
        </is>
      </c>
      <c r="I28" s="11" t="inlineStr">
        <is>
          <t>1114</t>
        </is>
      </c>
      <c r="J28" s="11" t="n">
        <v>155</v>
      </c>
      <c r="K28" s="11" t="n">
        <v>168</v>
      </c>
      <c r="L28" s="11" t="inlineStr"/>
      <c r="M28" s="11" t="n">
        <v>1114</v>
      </c>
      <c r="N28" s="11" t="inlineStr"/>
      <c r="O28" s="11" t="inlineStr"/>
    </row>
    <row r="29">
      <c r="A29" s="11" t="inlineStr">
        <is>
          <t>1298 | 2026-03-02 | 9,100 | daniel muriel nicolas
1303 | 2026-03-02 | 5,500 | daniel muriel nicolas</t>
        </is>
      </c>
      <c r="B29" s="11" t="inlineStr">
        <is>
          <t>77 | 2026-03-02 | 14,600 | muriel nicola pulido</t>
        </is>
      </c>
      <c r="C29" s="13" t="n">
        <v>0</v>
      </c>
      <c r="D29" s="11" t="inlineStr">
        <is>
          <t>por revisar</t>
        </is>
      </c>
      <c r="E29" s="11">
        <f>IF(D29&lt;&gt;"conciliado","Pendiente",IF(C29&lt;&gt;0,"ERROR: diferencia distinta de cero",IF(OR(AND(J29&lt;&gt;"",SUM(COUNTIFS($D$2:$D$71,"conciliado",$J$2:$J$71,J29),COUNTIFS($D$2:$D$71,"conciliado",$K$2:$K$71,J29),COUNTIFS($D$2:$D$71,"conciliado",$L$2:$L$71,J29))&gt;1),AND(K29&lt;&gt;"",SUM(COUNTIFS($D$2:$D$71,"conciliado",$J$2:$J$71,K29),COUNTIFS($D$2:$D$71,"conciliado",$K$2:$K$71,K29),COUNTIFS($D$2:$D$71,"conciliado",$L$2:$L$71,K29))&gt;1),AND(L29&lt;&gt;"",SUM(COUNTIFS($D$2:$D$71,"conciliado",$J$2:$J$71,L29),COUNTIFS($D$2:$D$71,"conciliado",$K$2:$K$71,L29),COUNTIFS($D$2:$D$71,"conciliado",$L$2:$L$71,L29))&gt;1)),"ERROR: banco ya usado en otro compuesto conciliado",IF(OR(AND(M29&lt;&gt;"",SUM(COUNTIFS($D$2:$D$71,"conciliado",$M$2:$M$71,M29),COUNTIFS($D$2:$D$71,"conciliado",$N$2:$N$71,M29),COUNTIFS($D$2:$D$71,"conciliado",$O$2:$O$71,M29))&gt;1),AND(N29&lt;&gt;"",SUM(COUNTIFS($D$2:$D$71,"conciliado",$M$2:$M$71,N29),COUNTIFS($D$2:$D$71,"conciliado",$N$2:$N$71,N29),COUNTIFS($D$2:$D$71,"conciliado",$O$2:$O$71,N29))&gt;1),AND(O29&lt;&gt;"",SUM(COUNTIFS($D$2:$D$71,"conciliado",$M$2:$M$71,O29),COUNTIFS($D$2:$D$71,"conciliado",$N$2:$N$71,O29),COUNTIFS($D$2:$D$71,"conciliado",$O$2:$O$71,O29))&gt;1)),"ERROR: libro_aux ya usado en otro compuesto conciliado","OK"))))</f>
        <v/>
      </c>
      <c r="F29" s="11" t="inlineStr">
        <is>
          <t>Posible compuesto detectado por suma exacta en la misma fecha. Revisar antes de conciliar.</t>
        </is>
      </c>
      <c r="G29" s="11" t="inlineStr"/>
      <c r="H29" s="11" t="inlineStr">
        <is>
          <t>1298, 1303</t>
        </is>
      </c>
      <c r="I29" s="11" t="inlineStr">
        <is>
          <t>77</t>
        </is>
      </c>
      <c r="J29" s="11" t="n">
        <v>1298</v>
      </c>
      <c r="K29" s="11" t="n">
        <v>1303</v>
      </c>
      <c r="L29" s="11" t="inlineStr"/>
      <c r="M29" s="11" t="n">
        <v>77</v>
      </c>
      <c r="N29" s="11" t="inlineStr"/>
      <c r="O29" s="11" t="inlineStr"/>
    </row>
    <row r="30">
      <c r="A30" s="11" t="inlineStr">
        <is>
          <t>946 | 2026-03-10 | 6,200 | alvaro buelvas german
952 | 2026-03-10 | 19,100 | alvaro buelvas german</t>
        </is>
      </c>
      <c r="B30" s="11" t="inlineStr">
        <is>
          <t>369 | 2026-03-10 | 25,300 | alvaro diaz vuelvas</t>
        </is>
      </c>
      <c r="C30" s="13" t="n">
        <v>0</v>
      </c>
      <c r="D30" s="11" t="inlineStr">
        <is>
          <t>por revisar</t>
        </is>
      </c>
      <c r="E30" s="11">
        <f>IF(D30&lt;&gt;"conciliado","Pendiente",IF(C30&lt;&gt;0,"ERROR: diferencia distinta de cero",IF(OR(AND(J30&lt;&gt;"",SUM(COUNTIFS($D$2:$D$71,"conciliado",$J$2:$J$71,J30),COUNTIFS($D$2:$D$71,"conciliado",$K$2:$K$71,J30),COUNTIFS($D$2:$D$71,"conciliado",$L$2:$L$71,J30))&gt;1),AND(K30&lt;&gt;"",SUM(COUNTIFS($D$2:$D$71,"conciliado",$J$2:$J$71,K30),COUNTIFS($D$2:$D$71,"conciliado",$K$2:$K$71,K30),COUNTIFS($D$2:$D$71,"conciliado",$L$2:$L$71,K30))&gt;1),AND(L30&lt;&gt;"",SUM(COUNTIFS($D$2:$D$71,"conciliado",$J$2:$J$71,L30),COUNTIFS($D$2:$D$71,"conciliado",$K$2:$K$71,L30),COUNTIFS($D$2:$D$71,"conciliado",$L$2:$L$71,L30))&gt;1)),"ERROR: banco ya usado en otro compuesto conciliado",IF(OR(AND(M30&lt;&gt;"",SUM(COUNTIFS($D$2:$D$71,"conciliado",$M$2:$M$71,M30),COUNTIFS($D$2:$D$71,"conciliado",$N$2:$N$71,M30),COUNTIFS($D$2:$D$71,"conciliado",$O$2:$O$71,M30))&gt;1),AND(N30&lt;&gt;"",SUM(COUNTIFS($D$2:$D$71,"conciliado",$M$2:$M$71,N30),COUNTIFS($D$2:$D$71,"conciliado",$N$2:$N$71,N30),COUNTIFS($D$2:$D$71,"conciliado",$O$2:$O$71,N30))&gt;1),AND(O30&lt;&gt;"",SUM(COUNTIFS($D$2:$D$71,"conciliado",$M$2:$M$71,O30),COUNTIFS($D$2:$D$71,"conciliado",$N$2:$N$71,O30),COUNTIFS($D$2:$D$71,"conciliado",$O$2:$O$71,O30))&gt;1)),"ERROR: libro_aux ya usado en otro compuesto conciliado","OK"))))</f>
        <v/>
      </c>
      <c r="F30" s="11" t="inlineStr">
        <is>
          <t>Posible compuesto detectado por suma exacta en la misma fecha. Revisar antes de conciliar.</t>
        </is>
      </c>
      <c r="G30" s="11" t="inlineStr"/>
      <c r="H30" s="11" t="inlineStr">
        <is>
          <t>946, 952</t>
        </is>
      </c>
      <c r="I30" s="11" t="inlineStr">
        <is>
          <t>369</t>
        </is>
      </c>
      <c r="J30" s="11" t="n">
        <v>946</v>
      </c>
      <c r="K30" s="11" t="n">
        <v>952</v>
      </c>
      <c r="L30" s="11" t="inlineStr"/>
      <c r="M30" s="11" t="n">
        <v>369</v>
      </c>
      <c r="N30" s="11" t="inlineStr"/>
      <c r="O30" s="11" t="inlineStr"/>
    </row>
    <row r="31">
      <c r="A31" s="11" t="inlineStr">
        <is>
          <t>912 | 2026-03-11 | 4,700 | chamorro jeisson orlin
926 | 2026-03-11 | 30,900 | chamorro jeisson orlin</t>
        </is>
      </c>
      <c r="B31" s="11" t="inlineStr">
        <is>
          <t>411 | 2026-03-11 | 35,600 | chamorro garcia jeis</t>
        </is>
      </c>
      <c r="C31" s="13" t="n">
        <v>0</v>
      </c>
      <c r="D31" s="11" t="inlineStr">
        <is>
          <t>por revisar</t>
        </is>
      </c>
      <c r="E31" s="11">
        <f>IF(D31&lt;&gt;"conciliado","Pendiente",IF(C31&lt;&gt;0,"ERROR: diferencia distinta de cero",IF(OR(AND(J31&lt;&gt;"",SUM(COUNTIFS($D$2:$D$71,"conciliado",$J$2:$J$71,J31),COUNTIFS($D$2:$D$71,"conciliado",$K$2:$K$71,J31),COUNTIFS($D$2:$D$71,"conciliado",$L$2:$L$71,J31))&gt;1),AND(K31&lt;&gt;"",SUM(COUNTIFS($D$2:$D$71,"conciliado",$J$2:$J$71,K31),COUNTIFS($D$2:$D$71,"conciliado",$K$2:$K$71,K31),COUNTIFS($D$2:$D$71,"conciliado",$L$2:$L$71,K31))&gt;1),AND(L31&lt;&gt;"",SUM(COUNTIFS($D$2:$D$71,"conciliado",$J$2:$J$71,L31),COUNTIFS($D$2:$D$71,"conciliado",$K$2:$K$71,L31),COUNTIFS($D$2:$D$71,"conciliado",$L$2:$L$71,L31))&gt;1)),"ERROR: banco ya usado en otro compuesto conciliado",IF(OR(AND(M31&lt;&gt;"",SUM(COUNTIFS($D$2:$D$71,"conciliado",$M$2:$M$71,M31),COUNTIFS($D$2:$D$71,"conciliado",$N$2:$N$71,M31),COUNTIFS($D$2:$D$71,"conciliado",$O$2:$O$71,M31))&gt;1),AND(N31&lt;&gt;"",SUM(COUNTIFS($D$2:$D$71,"conciliado",$M$2:$M$71,N31),COUNTIFS($D$2:$D$71,"conciliado",$N$2:$N$71,N31),COUNTIFS($D$2:$D$71,"conciliado",$O$2:$O$71,N31))&gt;1),AND(O31&lt;&gt;"",SUM(COUNTIFS($D$2:$D$71,"conciliado",$M$2:$M$71,O31),COUNTIFS($D$2:$D$71,"conciliado",$N$2:$N$71,O31),COUNTIFS($D$2:$D$71,"conciliado",$O$2:$O$71,O31))&gt;1)),"ERROR: libro_aux ya usado en otro compuesto conciliado","OK"))))</f>
        <v/>
      </c>
      <c r="F31" s="11" t="inlineStr">
        <is>
          <t>Posible compuesto detectado por suma exacta en la misma fecha. Revisar antes de conciliar.</t>
        </is>
      </c>
      <c r="G31" s="11" t="inlineStr"/>
      <c r="H31" s="11" t="inlineStr">
        <is>
          <t>912, 926</t>
        </is>
      </c>
      <c r="I31" s="11" t="inlineStr">
        <is>
          <t>411</t>
        </is>
      </c>
      <c r="J31" s="11" t="n">
        <v>912</v>
      </c>
      <c r="K31" s="11" t="n">
        <v>926</v>
      </c>
      <c r="L31" s="11" t="inlineStr"/>
      <c r="M31" s="11" t="n">
        <v>411</v>
      </c>
      <c r="N31" s="11" t="inlineStr"/>
      <c r="O31" s="11" t="inlineStr"/>
    </row>
    <row r="32">
      <c r="A32" s="11" t="inlineStr">
        <is>
          <t>831 | 2026-03-13 | 6,000 | erika rodriguez yenith
844 | 2026-03-13 | 4,500 | erika rodriguez yenith</t>
        </is>
      </c>
      <c r="B32" s="11" t="inlineStr">
        <is>
          <t>471 | 2026-03-13 | 10,500 | er huertas rodriguez</t>
        </is>
      </c>
      <c r="C32" s="13" t="n">
        <v>0</v>
      </c>
      <c r="D32" s="11" t="inlineStr">
        <is>
          <t>por revisar</t>
        </is>
      </c>
      <c r="E32" s="11">
        <f>IF(D32&lt;&gt;"conciliado","Pendiente",IF(C32&lt;&gt;0,"ERROR: diferencia distinta de cero",IF(OR(AND(J32&lt;&gt;"",SUM(COUNTIFS($D$2:$D$71,"conciliado",$J$2:$J$71,J32),COUNTIFS($D$2:$D$71,"conciliado",$K$2:$K$71,J32),COUNTIFS($D$2:$D$71,"conciliado",$L$2:$L$71,J32))&gt;1),AND(K32&lt;&gt;"",SUM(COUNTIFS($D$2:$D$71,"conciliado",$J$2:$J$71,K32),COUNTIFS($D$2:$D$71,"conciliado",$K$2:$K$71,K32),COUNTIFS($D$2:$D$71,"conciliado",$L$2:$L$71,K32))&gt;1),AND(L32&lt;&gt;"",SUM(COUNTIFS($D$2:$D$71,"conciliado",$J$2:$J$71,L32),COUNTIFS($D$2:$D$71,"conciliado",$K$2:$K$71,L32),COUNTIFS($D$2:$D$71,"conciliado",$L$2:$L$71,L32))&gt;1)),"ERROR: banco ya usado en otro compuesto conciliado",IF(OR(AND(M32&lt;&gt;"",SUM(COUNTIFS($D$2:$D$71,"conciliado",$M$2:$M$71,M32),COUNTIFS($D$2:$D$71,"conciliado",$N$2:$N$71,M32),COUNTIFS($D$2:$D$71,"conciliado",$O$2:$O$71,M32))&gt;1),AND(N32&lt;&gt;"",SUM(COUNTIFS($D$2:$D$71,"conciliado",$M$2:$M$71,N32),COUNTIFS($D$2:$D$71,"conciliado",$N$2:$N$71,N32),COUNTIFS($D$2:$D$71,"conciliado",$O$2:$O$71,N32))&gt;1),AND(O32&lt;&gt;"",SUM(COUNTIFS($D$2:$D$71,"conciliado",$M$2:$M$71,O32),COUNTIFS($D$2:$D$71,"conciliado",$N$2:$N$71,O32),COUNTIFS($D$2:$D$71,"conciliado",$O$2:$O$71,O32))&gt;1)),"ERROR: libro_aux ya usado en otro compuesto conciliado","OK"))))</f>
        <v/>
      </c>
      <c r="F32" s="11" t="inlineStr">
        <is>
          <t>Posible compuesto detectado por suma exacta en la misma fecha. Revisar antes de conciliar.</t>
        </is>
      </c>
      <c r="G32" s="11" t="inlineStr"/>
      <c r="H32" s="11" t="inlineStr">
        <is>
          <t>831, 844</t>
        </is>
      </c>
      <c r="I32" s="11" t="inlineStr">
        <is>
          <t>471</t>
        </is>
      </c>
      <c r="J32" s="11" t="n">
        <v>831</v>
      </c>
      <c r="K32" s="11" t="n">
        <v>844</v>
      </c>
      <c r="L32" s="11" t="inlineStr"/>
      <c r="M32" s="11" t="n">
        <v>471</v>
      </c>
      <c r="N32" s="11" t="inlineStr"/>
      <c r="O32" s="11" t="inlineStr"/>
    </row>
    <row r="33">
      <c r="A33" s="11" t="inlineStr">
        <is>
          <t>851 | 2026-03-13 | 2,500 | jhoana niny santander
852 | 2026-03-13 | 22,100 | jhoana niny santander</t>
        </is>
      </c>
      <c r="B33" s="11" t="inlineStr">
        <is>
          <t>485 | 2026-03-13 | 24,600 | benavides santander</t>
        </is>
      </c>
      <c r="C33" s="13" t="n">
        <v>0</v>
      </c>
      <c r="D33" s="11" t="inlineStr">
        <is>
          <t>por revisar</t>
        </is>
      </c>
      <c r="E33" s="11">
        <f>IF(D33&lt;&gt;"conciliado","Pendiente",IF(C33&lt;&gt;0,"ERROR: diferencia distinta de cero",IF(OR(AND(J33&lt;&gt;"",SUM(COUNTIFS($D$2:$D$71,"conciliado",$J$2:$J$71,J33),COUNTIFS($D$2:$D$71,"conciliado",$K$2:$K$71,J33),COUNTIFS($D$2:$D$71,"conciliado",$L$2:$L$71,J33))&gt;1),AND(K33&lt;&gt;"",SUM(COUNTIFS($D$2:$D$71,"conciliado",$J$2:$J$71,K33),COUNTIFS($D$2:$D$71,"conciliado",$K$2:$K$71,K33),COUNTIFS($D$2:$D$71,"conciliado",$L$2:$L$71,K33))&gt;1),AND(L33&lt;&gt;"",SUM(COUNTIFS($D$2:$D$71,"conciliado",$J$2:$J$71,L33),COUNTIFS($D$2:$D$71,"conciliado",$K$2:$K$71,L33),COUNTIFS($D$2:$D$71,"conciliado",$L$2:$L$71,L33))&gt;1)),"ERROR: banco ya usado en otro compuesto conciliado",IF(OR(AND(M33&lt;&gt;"",SUM(COUNTIFS($D$2:$D$71,"conciliado",$M$2:$M$71,M33),COUNTIFS($D$2:$D$71,"conciliado",$N$2:$N$71,M33),COUNTIFS($D$2:$D$71,"conciliado",$O$2:$O$71,M33))&gt;1),AND(N33&lt;&gt;"",SUM(COUNTIFS($D$2:$D$71,"conciliado",$M$2:$M$71,N33),COUNTIFS($D$2:$D$71,"conciliado",$N$2:$N$71,N33),COUNTIFS($D$2:$D$71,"conciliado",$O$2:$O$71,N33))&gt;1),AND(O33&lt;&gt;"",SUM(COUNTIFS($D$2:$D$71,"conciliado",$M$2:$M$71,O33),COUNTIFS($D$2:$D$71,"conciliado",$N$2:$N$71,O33),COUNTIFS($D$2:$D$71,"conciliado",$O$2:$O$71,O33))&gt;1)),"ERROR: libro_aux ya usado en otro compuesto conciliado","OK"))))</f>
        <v/>
      </c>
      <c r="F33" s="11" t="inlineStr">
        <is>
          <t>Posible compuesto detectado por suma exacta en la misma fecha. Revisar antes de conciliar.</t>
        </is>
      </c>
      <c r="G33" s="11" t="inlineStr"/>
      <c r="H33" s="11" t="inlineStr">
        <is>
          <t>851, 852</t>
        </is>
      </c>
      <c r="I33" s="11" t="inlineStr">
        <is>
          <t>485</t>
        </is>
      </c>
      <c r="J33" s="11" t="n">
        <v>851</v>
      </c>
      <c r="K33" s="11" t="n">
        <v>852</v>
      </c>
      <c r="L33" s="11" t="inlineStr"/>
      <c r="M33" s="11" t="n">
        <v>485</v>
      </c>
      <c r="N33" s="11" t="inlineStr"/>
      <c r="O33" s="11" t="inlineStr"/>
    </row>
    <row r="34">
      <c r="A34" s="11" t="inlineStr">
        <is>
          <t>767 | 2026-03-14 | 25,000 | andres benavides daniel
772 | 2026-03-14 | 38,000 | andres benavides daniel
780 | 2026-03-14 | 14,300 | andres benavides daniel</t>
        </is>
      </c>
      <c r="B34" s="11" t="inlineStr">
        <is>
          <t>522 | 2026-03-14 | 77,300 | benavides dani guaca</t>
        </is>
      </c>
      <c r="C34" s="13" t="n">
        <v>0</v>
      </c>
      <c r="D34" s="11" t="inlineStr">
        <is>
          <t>por revisar</t>
        </is>
      </c>
      <c r="E34" s="11">
        <f>IF(D34&lt;&gt;"conciliado","Pendiente",IF(C34&lt;&gt;0,"ERROR: diferencia distinta de cero",IF(OR(AND(J34&lt;&gt;"",SUM(COUNTIFS($D$2:$D$71,"conciliado",$J$2:$J$71,J34),COUNTIFS($D$2:$D$71,"conciliado",$K$2:$K$71,J34),COUNTIFS($D$2:$D$71,"conciliado",$L$2:$L$71,J34))&gt;1),AND(K34&lt;&gt;"",SUM(COUNTIFS($D$2:$D$71,"conciliado",$J$2:$J$71,K34),COUNTIFS($D$2:$D$71,"conciliado",$K$2:$K$71,K34),COUNTIFS($D$2:$D$71,"conciliado",$L$2:$L$71,K34))&gt;1),AND(L34&lt;&gt;"",SUM(COUNTIFS($D$2:$D$71,"conciliado",$J$2:$J$71,L34),COUNTIFS($D$2:$D$71,"conciliado",$K$2:$K$71,L34),COUNTIFS($D$2:$D$71,"conciliado",$L$2:$L$71,L34))&gt;1)),"ERROR: banco ya usado en otro compuesto conciliado",IF(OR(AND(M34&lt;&gt;"",SUM(COUNTIFS($D$2:$D$71,"conciliado",$M$2:$M$71,M34),COUNTIFS($D$2:$D$71,"conciliado",$N$2:$N$71,M34),COUNTIFS($D$2:$D$71,"conciliado",$O$2:$O$71,M34))&gt;1),AND(N34&lt;&gt;"",SUM(COUNTIFS($D$2:$D$71,"conciliado",$M$2:$M$71,N34),COUNTIFS($D$2:$D$71,"conciliado",$N$2:$N$71,N34),COUNTIFS($D$2:$D$71,"conciliado",$O$2:$O$71,N34))&gt;1),AND(O34&lt;&gt;"",SUM(COUNTIFS($D$2:$D$71,"conciliado",$M$2:$M$71,O34),COUNTIFS($D$2:$D$71,"conciliado",$N$2:$N$71,O34),COUNTIFS($D$2:$D$71,"conciliado",$O$2:$O$71,O34))&gt;1)),"ERROR: libro_aux ya usado en otro compuesto conciliado","OK"))))</f>
        <v/>
      </c>
      <c r="F34" s="11" t="inlineStr">
        <is>
          <t>Posible compuesto detectado por suma exacta en la misma fecha. Revisar antes de conciliar.</t>
        </is>
      </c>
      <c r="G34" s="11" t="inlineStr"/>
      <c r="H34" s="11" t="inlineStr">
        <is>
          <t>767, 772, 780</t>
        </is>
      </c>
      <c r="I34" s="11" t="inlineStr">
        <is>
          <t>522</t>
        </is>
      </c>
      <c r="J34" s="11" t="n">
        <v>767</v>
      </c>
      <c r="K34" s="11" t="n">
        <v>772</v>
      </c>
      <c r="L34" s="11" t="n">
        <v>780</v>
      </c>
      <c r="M34" s="11" t="n">
        <v>522</v>
      </c>
      <c r="N34" s="11" t="inlineStr"/>
      <c r="O34" s="11" t="inlineStr"/>
    </row>
    <row r="35">
      <c r="A35" s="11" t="inlineStr">
        <is>
          <t>785 | 2026-03-14 | 8,000 | castro julian nefer
786 | 2026-03-14 | 52,500 | castro julian nefer</t>
        </is>
      </c>
      <c r="B35" s="11" t="inlineStr">
        <is>
          <t>530 | 2026-03-14 | 60,500 | castro nefe palacio</t>
        </is>
      </c>
      <c r="C35" s="13" t="n">
        <v>0</v>
      </c>
      <c r="D35" s="11" t="inlineStr">
        <is>
          <t>por revisar</t>
        </is>
      </c>
      <c r="E35" s="11">
        <f>IF(D35&lt;&gt;"conciliado","Pendiente",IF(C35&lt;&gt;0,"ERROR: diferencia distinta de cero",IF(OR(AND(J35&lt;&gt;"",SUM(COUNTIFS($D$2:$D$71,"conciliado",$J$2:$J$71,J35),COUNTIFS($D$2:$D$71,"conciliado",$K$2:$K$71,J35),COUNTIFS($D$2:$D$71,"conciliado",$L$2:$L$71,J35))&gt;1),AND(K35&lt;&gt;"",SUM(COUNTIFS($D$2:$D$71,"conciliado",$J$2:$J$71,K35),COUNTIFS($D$2:$D$71,"conciliado",$K$2:$K$71,K35),COUNTIFS($D$2:$D$71,"conciliado",$L$2:$L$71,K35))&gt;1),AND(L35&lt;&gt;"",SUM(COUNTIFS($D$2:$D$71,"conciliado",$J$2:$J$71,L35),COUNTIFS($D$2:$D$71,"conciliado",$K$2:$K$71,L35),COUNTIFS($D$2:$D$71,"conciliado",$L$2:$L$71,L35))&gt;1)),"ERROR: banco ya usado en otro compuesto conciliado",IF(OR(AND(M35&lt;&gt;"",SUM(COUNTIFS($D$2:$D$71,"conciliado",$M$2:$M$71,M35),COUNTIFS($D$2:$D$71,"conciliado",$N$2:$N$71,M35),COUNTIFS($D$2:$D$71,"conciliado",$O$2:$O$71,M35))&gt;1),AND(N35&lt;&gt;"",SUM(COUNTIFS($D$2:$D$71,"conciliado",$M$2:$M$71,N35),COUNTIFS($D$2:$D$71,"conciliado",$N$2:$N$71,N35),COUNTIFS($D$2:$D$71,"conciliado",$O$2:$O$71,N35))&gt;1),AND(O35&lt;&gt;"",SUM(COUNTIFS($D$2:$D$71,"conciliado",$M$2:$M$71,O35),COUNTIFS($D$2:$D$71,"conciliado",$N$2:$N$71,O35),COUNTIFS($D$2:$D$71,"conciliado",$O$2:$O$71,O35))&gt;1)),"ERROR: libro_aux ya usado en otro compuesto conciliado","OK"))))</f>
        <v/>
      </c>
      <c r="F35" s="11" t="inlineStr">
        <is>
          <t>Posible compuesto detectado por suma exacta en la misma fecha. Revisar antes de conciliar.</t>
        </is>
      </c>
      <c r="G35" s="11" t="inlineStr"/>
      <c r="H35" s="11" t="inlineStr">
        <is>
          <t>785, 786</t>
        </is>
      </c>
      <c r="I35" s="11" t="inlineStr">
        <is>
          <t>530</t>
        </is>
      </c>
      <c r="J35" s="11" t="n">
        <v>785</v>
      </c>
      <c r="K35" s="11" t="n">
        <v>786</v>
      </c>
      <c r="L35" s="11" t="inlineStr"/>
      <c r="M35" s="11" t="n">
        <v>530</v>
      </c>
      <c r="N35" s="11" t="inlineStr"/>
      <c r="O35" s="11" t="inlineStr"/>
    </row>
    <row r="36">
      <c r="A36" s="11" t="inlineStr">
        <is>
          <t>686 | 2026-03-16 | 10,000 | leidy liliana urbano
687 | 2026-03-16 | 232,500 | leidy liliana urbano</t>
        </is>
      </c>
      <c r="B36" s="11" t="inlineStr">
        <is>
          <t>591 | 2026-03-16 | 242,500 | leid portilla urbano</t>
        </is>
      </c>
      <c r="C36" s="13" t="n">
        <v>0</v>
      </c>
      <c r="D36" s="11" t="inlineStr">
        <is>
          <t>por revisar</t>
        </is>
      </c>
      <c r="E36" s="11">
        <f>IF(D36&lt;&gt;"conciliado","Pendiente",IF(C36&lt;&gt;0,"ERROR: diferencia distinta de cero",IF(OR(AND(J36&lt;&gt;"",SUM(COUNTIFS($D$2:$D$71,"conciliado",$J$2:$J$71,J36),COUNTIFS($D$2:$D$71,"conciliado",$K$2:$K$71,J36),COUNTIFS($D$2:$D$71,"conciliado",$L$2:$L$71,J36))&gt;1),AND(K36&lt;&gt;"",SUM(COUNTIFS($D$2:$D$71,"conciliado",$J$2:$J$71,K36),COUNTIFS($D$2:$D$71,"conciliado",$K$2:$K$71,K36),COUNTIFS($D$2:$D$71,"conciliado",$L$2:$L$71,K36))&gt;1),AND(L36&lt;&gt;"",SUM(COUNTIFS($D$2:$D$71,"conciliado",$J$2:$J$71,L36),COUNTIFS($D$2:$D$71,"conciliado",$K$2:$K$71,L36),COUNTIFS($D$2:$D$71,"conciliado",$L$2:$L$71,L36))&gt;1)),"ERROR: banco ya usado en otro compuesto conciliado",IF(OR(AND(M36&lt;&gt;"",SUM(COUNTIFS($D$2:$D$71,"conciliado",$M$2:$M$71,M36),COUNTIFS($D$2:$D$71,"conciliado",$N$2:$N$71,M36),COUNTIFS($D$2:$D$71,"conciliado",$O$2:$O$71,M36))&gt;1),AND(N36&lt;&gt;"",SUM(COUNTIFS($D$2:$D$71,"conciliado",$M$2:$M$71,N36),COUNTIFS($D$2:$D$71,"conciliado",$N$2:$N$71,N36),COUNTIFS($D$2:$D$71,"conciliado",$O$2:$O$71,N36))&gt;1),AND(O36&lt;&gt;"",SUM(COUNTIFS($D$2:$D$71,"conciliado",$M$2:$M$71,O36),COUNTIFS($D$2:$D$71,"conciliado",$N$2:$N$71,O36),COUNTIFS($D$2:$D$71,"conciliado",$O$2:$O$71,O36))&gt;1)),"ERROR: libro_aux ya usado en otro compuesto conciliado","OK"))))</f>
        <v/>
      </c>
      <c r="F36" s="11" t="inlineStr">
        <is>
          <t>Posible compuesto detectado por suma exacta en la misma fecha. Revisar antes de conciliar.</t>
        </is>
      </c>
      <c r="G36" s="11" t="inlineStr"/>
      <c r="H36" s="11" t="inlineStr">
        <is>
          <t>686, 687</t>
        </is>
      </c>
      <c r="I36" s="11" t="inlineStr">
        <is>
          <t>591</t>
        </is>
      </c>
      <c r="J36" s="11" t="n">
        <v>686</v>
      </c>
      <c r="K36" s="11" t="n">
        <v>687</v>
      </c>
      <c r="L36" s="11" t="inlineStr"/>
      <c r="M36" s="11" t="n">
        <v>591</v>
      </c>
      <c r="N36" s="11" t="inlineStr"/>
      <c r="O36" s="11" t="inlineStr"/>
    </row>
    <row r="37">
      <c r="A37" s="11" t="inlineStr">
        <is>
          <t>565 | 2026-03-19 | 75,600 | ancizar gutierrez jose
566 | 2026-03-19 | 8,400 | ancizar gutierrez jose</t>
        </is>
      </c>
      <c r="B37" s="11" t="inlineStr">
        <is>
          <t>726 | 2026-03-19 | 84,000 | gutierrez j tamaniza</t>
        </is>
      </c>
      <c r="C37" s="13" t="n">
        <v>0</v>
      </c>
      <c r="D37" s="11" t="inlineStr">
        <is>
          <t>por revisar</t>
        </is>
      </c>
      <c r="E37" s="11">
        <f>IF(D37&lt;&gt;"conciliado","Pendiente",IF(C37&lt;&gt;0,"ERROR: diferencia distinta de cero",IF(OR(AND(J37&lt;&gt;"",SUM(COUNTIFS($D$2:$D$71,"conciliado",$J$2:$J$71,J37),COUNTIFS($D$2:$D$71,"conciliado",$K$2:$K$71,J37),COUNTIFS($D$2:$D$71,"conciliado",$L$2:$L$71,J37))&gt;1),AND(K37&lt;&gt;"",SUM(COUNTIFS($D$2:$D$71,"conciliado",$J$2:$J$71,K37),COUNTIFS($D$2:$D$71,"conciliado",$K$2:$K$71,K37),COUNTIFS($D$2:$D$71,"conciliado",$L$2:$L$71,K37))&gt;1),AND(L37&lt;&gt;"",SUM(COUNTIFS($D$2:$D$71,"conciliado",$J$2:$J$71,L37),COUNTIFS($D$2:$D$71,"conciliado",$K$2:$K$71,L37),COUNTIFS($D$2:$D$71,"conciliado",$L$2:$L$71,L37))&gt;1)),"ERROR: banco ya usado en otro compuesto conciliado",IF(OR(AND(M37&lt;&gt;"",SUM(COUNTIFS($D$2:$D$71,"conciliado",$M$2:$M$71,M37),COUNTIFS($D$2:$D$71,"conciliado",$N$2:$N$71,M37),COUNTIFS($D$2:$D$71,"conciliado",$O$2:$O$71,M37))&gt;1),AND(N37&lt;&gt;"",SUM(COUNTIFS($D$2:$D$71,"conciliado",$M$2:$M$71,N37),COUNTIFS($D$2:$D$71,"conciliado",$N$2:$N$71,N37),COUNTIFS($D$2:$D$71,"conciliado",$O$2:$O$71,N37))&gt;1),AND(O37&lt;&gt;"",SUM(COUNTIFS($D$2:$D$71,"conciliado",$M$2:$M$71,O37),COUNTIFS($D$2:$D$71,"conciliado",$N$2:$N$71,O37),COUNTIFS($D$2:$D$71,"conciliado",$O$2:$O$71,O37))&gt;1)),"ERROR: libro_aux ya usado en otro compuesto conciliado","OK"))))</f>
        <v/>
      </c>
      <c r="F37" s="11" t="inlineStr">
        <is>
          <t>Posible compuesto detectado por suma exacta en la misma fecha. Revisar antes de conciliar.</t>
        </is>
      </c>
      <c r="G37" s="11" t="inlineStr"/>
      <c r="H37" s="11" t="inlineStr">
        <is>
          <t>565, 566</t>
        </is>
      </c>
      <c r="I37" s="11" t="inlineStr">
        <is>
          <t>726</t>
        </is>
      </c>
      <c r="J37" s="11" t="n">
        <v>565</v>
      </c>
      <c r="K37" s="11" t="n">
        <v>566</v>
      </c>
      <c r="L37" s="11" t="inlineStr"/>
      <c r="M37" s="11" t="n">
        <v>726</v>
      </c>
      <c r="N37" s="11" t="inlineStr"/>
      <c r="O37" s="11" t="inlineStr"/>
    </row>
    <row r="38">
      <c r="A38" s="11" t="inlineStr">
        <is>
          <t>567 | 2026-03-19 | 4,900 | amilo ferney lopez
571 | 2026-03-19 | 11,700 | amilo ferney lopez</t>
        </is>
      </c>
      <c r="B38" s="11" t="inlineStr">
        <is>
          <t>738 | 2026-03-19 | 16,600 | camil diaz lopez</t>
        </is>
      </c>
      <c r="C38" s="13" t="n">
        <v>0</v>
      </c>
      <c r="D38" s="11" t="inlineStr">
        <is>
          <t>por revisar</t>
        </is>
      </c>
      <c r="E38" s="11">
        <f>IF(D38&lt;&gt;"conciliado","Pendiente",IF(C38&lt;&gt;0,"ERROR: diferencia distinta de cero",IF(OR(AND(J38&lt;&gt;"",SUM(COUNTIFS($D$2:$D$71,"conciliado",$J$2:$J$71,J38),COUNTIFS($D$2:$D$71,"conciliado",$K$2:$K$71,J38),COUNTIFS($D$2:$D$71,"conciliado",$L$2:$L$71,J38))&gt;1),AND(K38&lt;&gt;"",SUM(COUNTIFS($D$2:$D$71,"conciliado",$J$2:$J$71,K38),COUNTIFS($D$2:$D$71,"conciliado",$K$2:$K$71,K38),COUNTIFS($D$2:$D$71,"conciliado",$L$2:$L$71,K38))&gt;1),AND(L38&lt;&gt;"",SUM(COUNTIFS($D$2:$D$71,"conciliado",$J$2:$J$71,L38),COUNTIFS($D$2:$D$71,"conciliado",$K$2:$K$71,L38),COUNTIFS($D$2:$D$71,"conciliado",$L$2:$L$71,L38))&gt;1)),"ERROR: banco ya usado en otro compuesto conciliado",IF(OR(AND(M38&lt;&gt;"",SUM(COUNTIFS($D$2:$D$71,"conciliado",$M$2:$M$71,M38),COUNTIFS($D$2:$D$71,"conciliado",$N$2:$N$71,M38),COUNTIFS($D$2:$D$71,"conciliado",$O$2:$O$71,M38))&gt;1),AND(N38&lt;&gt;"",SUM(COUNTIFS($D$2:$D$71,"conciliado",$M$2:$M$71,N38),COUNTIFS($D$2:$D$71,"conciliado",$N$2:$N$71,N38),COUNTIFS($D$2:$D$71,"conciliado",$O$2:$O$71,N38))&gt;1),AND(O38&lt;&gt;"",SUM(COUNTIFS($D$2:$D$71,"conciliado",$M$2:$M$71,O38),COUNTIFS($D$2:$D$71,"conciliado",$N$2:$N$71,O38),COUNTIFS($D$2:$D$71,"conciliado",$O$2:$O$71,O38))&gt;1)),"ERROR: libro_aux ya usado en otro compuesto conciliado","OK"))))</f>
        <v/>
      </c>
      <c r="F38" s="11" t="inlineStr">
        <is>
          <t>Posible compuesto detectado por suma exacta en la misma fecha. Revisar antes de conciliar.</t>
        </is>
      </c>
      <c r="G38" s="11" t="inlineStr"/>
      <c r="H38" s="11" t="inlineStr">
        <is>
          <t>567, 571</t>
        </is>
      </c>
      <c r="I38" s="11" t="inlineStr">
        <is>
          <t>738</t>
        </is>
      </c>
      <c r="J38" s="11" t="n">
        <v>567</v>
      </c>
      <c r="K38" s="11" t="n">
        <v>571</v>
      </c>
      <c r="L38" s="11" t="inlineStr"/>
      <c r="M38" s="11" t="n">
        <v>738</v>
      </c>
      <c r="N38" s="11" t="inlineStr"/>
      <c r="O38" s="11" t="inlineStr"/>
    </row>
    <row r="39">
      <c r="A39" s="11" t="inlineStr">
        <is>
          <t>504 | 2026-03-21 | 2,000 | castillo sandra soreya
505 | 2026-03-21 | 4,500 | castillo sandra soreya</t>
        </is>
      </c>
      <c r="B39" s="11" t="inlineStr">
        <is>
          <t>803 | 2026-03-21 | 6,500 | castillo castillo yo</t>
        </is>
      </c>
      <c r="C39" s="13" t="n">
        <v>0</v>
      </c>
      <c r="D39" s="11" t="inlineStr">
        <is>
          <t>por revisar</t>
        </is>
      </c>
      <c r="E39" s="11">
        <f>IF(D39&lt;&gt;"conciliado","Pendiente",IF(C39&lt;&gt;0,"ERROR: diferencia distinta de cero",IF(OR(AND(J39&lt;&gt;"",SUM(COUNTIFS($D$2:$D$71,"conciliado",$J$2:$J$71,J39),COUNTIFS($D$2:$D$71,"conciliado",$K$2:$K$71,J39),COUNTIFS($D$2:$D$71,"conciliado",$L$2:$L$71,J39))&gt;1),AND(K39&lt;&gt;"",SUM(COUNTIFS($D$2:$D$71,"conciliado",$J$2:$J$71,K39),COUNTIFS($D$2:$D$71,"conciliado",$K$2:$K$71,K39),COUNTIFS($D$2:$D$71,"conciliado",$L$2:$L$71,K39))&gt;1),AND(L39&lt;&gt;"",SUM(COUNTIFS($D$2:$D$71,"conciliado",$J$2:$J$71,L39),COUNTIFS($D$2:$D$71,"conciliado",$K$2:$K$71,L39),COUNTIFS($D$2:$D$71,"conciliado",$L$2:$L$71,L39))&gt;1)),"ERROR: banco ya usado en otro compuesto conciliado",IF(OR(AND(M39&lt;&gt;"",SUM(COUNTIFS($D$2:$D$71,"conciliado",$M$2:$M$71,M39),COUNTIFS($D$2:$D$71,"conciliado",$N$2:$N$71,M39),COUNTIFS($D$2:$D$71,"conciliado",$O$2:$O$71,M39))&gt;1),AND(N39&lt;&gt;"",SUM(COUNTIFS($D$2:$D$71,"conciliado",$M$2:$M$71,N39),COUNTIFS($D$2:$D$71,"conciliado",$N$2:$N$71,N39),COUNTIFS($D$2:$D$71,"conciliado",$O$2:$O$71,N39))&gt;1),AND(O39&lt;&gt;"",SUM(COUNTIFS($D$2:$D$71,"conciliado",$M$2:$M$71,O39),COUNTIFS($D$2:$D$71,"conciliado",$N$2:$N$71,O39),COUNTIFS($D$2:$D$71,"conciliado",$O$2:$O$71,O39))&gt;1)),"ERROR: libro_aux ya usado en otro compuesto conciliado","OK"))))</f>
        <v/>
      </c>
      <c r="F39" s="11" t="inlineStr">
        <is>
          <t>Posible compuesto detectado por suma exacta en la misma fecha. Revisar antes de conciliar.</t>
        </is>
      </c>
      <c r="G39" s="11" t="inlineStr"/>
      <c r="H39" s="11" t="inlineStr">
        <is>
          <t>504, 505</t>
        </is>
      </c>
      <c r="I39" s="11" t="inlineStr">
        <is>
          <t>803</t>
        </is>
      </c>
      <c r="J39" s="11" t="n">
        <v>504</v>
      </c>
      <c r="K39" s="11" t="n">
        <v>505</v>
      </c>
      <c r="L39" s="11" t="inlineStr"/>
      <c r="M39" s="11" t="n">
        <v>803</v>
      </c>
      <c r="N39" s="11" t="inlineStr"/>
      <c r="O39" s="11" t="inlineStr"/>
    </row>
    <row r="40">
      <c r="A40" s="11" t="inlineStr">
        <is>
          <t>413 | 2026-03-22 | 3,400 | karen rodriguez tatiana
414 | 2026-03-22 | 25,000 | karen rodriguez tatiana</t>
        </is>
      </c>
      <c r="B40" s="11" t="inlineStr">
        <is>
          <t>858 | 2026-03-22 | 28,400 | buitron ka rodriguez</t>
        </is>
      </c>
      <c r="C40" s="13" t="n">
        <v>0</v>
      </c>
      <c r="D40" s="11" t="inlineStr">
        <is>
          <t>por revisar</t>
        </is>
      </c>
      <c r="E40" s="11">
        <f>IF(D40&lt;&gt;"conciliado","Pendiente",IF(C40&lt;&gt;0,"ERROR: diferencia distinta de cero",IF(OR(AND(J40&lt;&gt;"",SUM(COUNTIFS($D$2:$D$71,"conciliado",$J$2:$J$71,J40),COUNTIFS($D$2:$D$71,"conciliado",$K$2:$K$71,J40),COUNTIFS($D$2:$D$71,"conciliado",$L$2:$L$71,J40))&gt;1),AND(K40&lt;&gt;"",SUM(COUNTIFS($D$2:$D$71,"conciliado",$J$2:$J$71,K40),COUNTIFS($D$2:$D$71,"conciliado",$K$2:$K$71,K40),COUNTIFS($D$2:$D$71,"conciliado",$L$2:$L$71,K40))&gt;1),AND(L40&lt;&gt;"",SUM(COUNTIFS($D$2:$D$71,"conciliado",$J$2:$J$71,L40),COUNTIFS($D$2:$D$71,"conciliado",$K$2:$K$71,L40),COUNTIFS($D$2:$D$71,"conciliado",$L$2:$L$71,L40))&gt;1)),"ERROR: banco ya usado en otro compuesto conciliado",IF(OR(AND(M40&lt;&gt;"",SUM(COUNTIFS($D$2:$D$71,"conciliado",$M$2:$M$71,M40),COUNTIFS($D$2:$D$71,"conciliado",$N$2:$N$71,M40),COUNTIFS($D$2:$D$71,"conciliado",$O$2:$O$71,M40))&gt;1),AND(N40&lt;&gt;"",SUM(COUNTIFS($D$2:$D$71,"conciliado",$M$2:$M$71,N40),COUNTIFS($D$2:$D$71,"conciliado",$N$2:$N$71,N40),COUNTIFS($D$2:$D$71,"conciliado",$O$2:$O$71,N40))&gt;1),AND(O40&lt;&gt;"",SUM(COUNTIFS($D$2:$D$71,"conciliado",$M$2:$M$71,O40),COUNTIFS($D$2:$D$71,"conciliado",$N$2:$N$71,O40),COUNTIFS($D$2:$D$71,"conciliado",$O$2:$O$71,O40))&gt;1)),"ERROR: libro_aux ya usado en otro compuesto conciliado","OK"))))</f>
        <v/>
      </c>
      <c r="F40" s="11" t="inlineStr">
        <is>
          <t>Posible compuesto detectado por suma exacta en la misma fecha. Revisar antes de conciliar.</t>
        </is>
      </c>
      <c r="G40" s="11" t="inlineStr"/>
      <c r="H40" s="11" t="inlineStr">
        <is>
          <t>413, 414</t>
        </is>
      </c>
      <c r="I40" s="11" t="inlineStr">
        <is>
          <t>858</t>
        </is>
      </c>
      <c r="J40" s="11" t="n">
        <v>413</v>
      </c>
      <c r="K40" s="11" t="n">
        <v>414</v>
      </c>
      <c r="L40" s="11" t="inlineStr"/>
      <c r="M40" s="11" t="n">
        <v>858</v>
      </c>
      <c r="N40" s="11" t="inlineStr"/>
      <c r="O40" s="11" t="inlineStr"/>
    </row>
    <row r="41">
      <c r="A41" s="11" t="inlineStr">
        <is>
          <t>415 | 2026-03-22 | 216,000 | favio libardo mejia
422 | 2026-03-22 | 216,000 | favio libardo mejia</t>
        </is>
      </c>
      <c r="B41" s="11" t="inlineStr">
        <is>
          <t>877 | 2026-03-22 | 432,000 | ballejo lib mejia</t>
        </is>
      </c>
      <c r="C41" s="13" t="n">
        <v>0</v>
      </c>
      <c r="D41" s="11" t="inlineStr">
        <is>
          <t>por revisar</t>
        </is>
      </c>
      <c r="E41" s="11">
        <f>IF(D41&lt;&gt;"conciliado","Pendiente",IF(C41&lt;&gt;0,"ERROR: diferencia distinta de cero",IF(OR(AND(J41&lt;&gt;"",SUM(COUNTIFS($D$2:$D$71,"conciliado",$J$2:$J$71,J41),COUNTIFS($D$2:$D$71,"conciliado",$K$2:$K$71,J41),COUNTIFS($D$2:$D$71,"conciliado",$L$2:$L$71,J41))&gt;1),AND(K41&lt;&gt;"",SUM(COUNTIFS($D$2:$D$71,"conciliado",$J$2:$J$71,K41),COUNTIFS($D$2:$D$71,"conciliado",$K$2:$K$71,K41),COUNTIFS($D$2:$D$71,"conciliado",$L$2:$L$71,K41))&gt;1),AND(L41&lt;&gt;"",SUM(COUNTIFS($D$2:$D$71,"conciliado",$J$2:$J$71,L41),COUNTIFS($D$2:$D$71,"conciliado",$K$2:$K$71,L41),COUNTIFS($D$2:$D$71,"conciliado",$L$2:$L$71,L41))&gt;1)),"ERROR: banco ya usado en otro compuesto conciliado",IF(OR(AND(M41&lt;&gt;"",SUM(COUNTIFS($D$2:$D$71,"conciliado",$M$2:$M$71,M41),COUNTIFS($D$2:$D$71,"conciliado",$N$2:$N$71,M41),COUNTIFS($D$2:$D$71,"conciliado",$O$2:$O$71,M41))&gt;1),AND(N41&lt;&gt;"",SUM(COUNTIFS($D$2:$D$71,"conciliado",$M$2:$M$71,N41),COUNTIFS($D$2:$D$71,"conciliado",$N$2:$N$71,N41),COUNTIFS($D$2:$D$71,"conciliado",$O$2:$O$71,N41))&gt;1),AND(O41&lt;&gt;"",SUM(COUNTIFS($D$2:$D$71,"conciliado",$M$2:$M$71,O41),COUNTIFS($D$2:$D$71,"conciliado",$N$2:$N$71,O41),COUNTIFS($D$2:$D$71,"conciliado",$O$2:$O$71,O41))&gt;1)),"ERROR: libro_aux ya usado en otro compuesto conciliado","OK"))))</f>
        <v/>
      </c>
      <c r="F41" s="11" t="inlineStr">
        <is>
          <t>Posible compuesto detectado por suma exacta en la misma fecha. Revisar antes de conciliar.</t>
        </is>
      </c>
      <c r="G41" s="11" t="inlineStr"/>
      <c r="H41" s="11" t="inlineStr">
        <is>
          <t>415, 422</t>
        </is>
      </c>
      <c r="I41" s="11" t="inlineStr">
        <is>
          <t>877</t>
        </is>
      </c>
      <c r="J41" s="11" t="n">
        <v>415</v>
      </c>
      <c r="K41" s="11" t="n">
        <v>422</v>
      </c>
      <c r="L41" s="11" t="inlineStr"/>
      <c r="M41" s="11" t="n">
        <v>877</v>
      </c>
      <c r="N41" s="11" t="inlineStr"/>
      <c r="O41" s="11" t="inlineStr"/>
    </row>
    <row r="42">
      <c r="A42" s="11" t="inlineStr">
        <is>
          <t>239 | 2026-03-26 | 13,000 | karen rodriguez tatiana
254 | 2026-03-26 | 10,000 | karen rodriguez tatiana</t>
        </is>
      </c>
      <c r="B42" s="11" t="inlineStr">
        <is>
          <t>1047 | 2026-03-26 | 23,000 | buitron ka rodriguez</t>
        </is>
      </c>
      <c r="C42" s="13" t="n">
        <v>0</v>
      </c>
      <c r="D42" s="11" t="inlineStr">
        <is>
          <t>por revisar</t>
        </is>
      </c>
      <c r="E42" s="11">
        <f>IF(D42&lt;&gt;"conciliado","Pendiente",IF(C42&lt;&gt;0,"ERROR: diferencia distinta de cero",IF(OR(AND(J42&lt;&gt;"",SUM(COUNTIFS($D$2:$D$71,"conciliado",$J$2:$J$71,J42),COUNTIFS($D$2:$D$71,"conciliado",$K$2:$K$71,J42),COUNTIFS($D$2:$D$71,"conciliado",$L$2:$L$71,J42))&gt;1),AND(K42&lt;&gt;"",SUM(COUNTIFS($D$2:$D$71,"conciliado",$J$2:$J$71,K42),COUNTIFS($D$2:$D$71,"conciliado",$K$2:$K$71,K42),COUNTIFS($D$2:$D$71,"conciliado",$L$2:$L$71,K42))&gt;1),AND(L42&lt;&gt;"",SUM(COUNTIFS($D$2:$D$71,"conciliado",$J$2:$J$71,L42),COUNTIFS($D$2:$D$71,"conciliado",$K$2:$K$71,L42),COUNTIFS($D$2:$D$71,"conciliado",$L$2:$L$71,L42))&gt;1)),"ERROR: banco ya usado en otro compuesto conciliado",IF(OR(AND(M42&lt;&gt;"",SUM(COUNTIFS($D$2:$D$71,"conciliado",$M$2:$M$71,M42),COUNTIFS($D$2:$D$71,"conciliado",$N$2:$N$71,M42),COUNTIFS($D$2:$D$71,"conciliado",$O$2:$O$71,M42))&gt;1),AND(N42&lt;&gt;"",SUM(COUNTIFS($D$2:$D$71,"conciliado",$M$2:$M$71,N42),COUNTIFS($D$2:$D$71,"conciliado",$N$2:$N$71,N42),COUNTIFS($D$2:$D$71,"conciliado",$O$2:$O$71,N42))&gt;1),AND(O42&lt;&gt;"",SUM(COUNTIFS($D$2:$D$71,"conciliado",$M$2:$M$71,O42),COUNTIFS($D$2:$D$71,"conciliado",$N$2:$N$71,O42),COUNTIFS($D$2:$D$71,"conciliado",$O$2:$O$71,O42))&gt;1)),"ERROR: libro_aux ya usado en otro compuesto conciliado","OK"))))</f>
        <v/>
      </c>
      <c r="F42" s="11" t="inlineStr">
        <is>
          <t>Posible compuesto detectado por suma exacta en la misma fecha. Revisar antes de conciliar.</t>
        </is>
      </c>
      <c r="G42" s="11" t="inlineStr"/>
      <c r="H42" s="11" t="inlineStr">
        <is>
          <t>239, 254</t>
        </is>
      </c>
      <c r="I42" s="11" t="inlineStr">
        <is>
          <t>1047</t>
        </is>
      </c>
      <c r="J42" s="11" t="n">
        <v>239</v>
      </c>
      <c r="K42" s="11" t="n">
        <v>254</v>
      </c>
      <c r="L42" s="11" t="inlineStr"/>
      <c r="M42" s="11" t="n">
        <v>1047</v>
      </c>
      <c r="N42" s="11" t="inlineStr"/>
      <c r="O42" s="11" t="inlineStr"/>
    </row>
    <row r="43">
      <c r="A43" s="11" t="inlineStr">
        <is>
          <t>1039 | 2026-03-08 | 6,100 | bancolombia desde recarga
1040 | 2026-03-08 | 25,900 | bancolombia desde recarga</t>
        </is>
      </c>
      <c r="B43" s="11" t="inlineStr">
        <is>
          <t>287 | 2026-03-08 | 32,000 | acosta geid oliveros</t>
        </is>
      </c>
      <c r="C43" s="13" t="n">
        <v>0</v>
      </c>
      <c r="D43" s="11" t="inlineStr">
        <is>
          <t>por revisar</t>
        </is>
      </c>
      <c r="E43" s="11">
        <f>IF(D43&lt;&gt;"conciliado","Pendiente",IF(C43&lt;&gt;0,"ERROR: diferencia distinta de cero",IF(OR(AND(J43&lt;&gt;"",SUM(COUNTIFS($D$2:$D$71,"conciliado",$J$2:$J$71,J43),COUNTIFS($D$2:$D$71,"conciliado",$K$2:$K$71,J43),COUNTIFS($D$2:$D$71,"conciliado",$L$2:$L$71,J43))&gt;1),AND(K43&lt;&gt;"",SUM(COUNTIFS($D$2:$D$71,"conciliado",$J$2:$J$71,K43),COUNTIFS($D$2:$D$71,"conciliado",$K$2:$K$71,K43),COUNTIFS($D$2:$D$71,"conciliado",$L$2:$L$71,K43))&gt;1),AND(L43&lt;&gt;"",SUM(COUNTIFS($D$2:$D$71,"conciliado",$J$2:$J$71,L43),COUNTIFS($D$2:$D$71,"conciliado",$K$2:$K$71,L43),COUNTIFS($D$2:$D$71,"conciliado",$L$2:$L$71,L43))&gt;1)),"ERROR: banco ya usado en otro compuesto conciliado",IF(OR(AND(M43&lt;&gt;"",SUM(COUNTIFS($D$2:$D$71,"conciliado",$M$2:$M$71,M43),COUNTIFS($D$2:$D$71,"conciliado",$N$2:$N$71,M43),COUNTIFS($D$2:$D$71,"conciliado",$O$2:$O$71,M43))&gt;1),AND(N43&lt;&gt;"",SUM(COUNTIFS($D$2:$D$71,"conciliado",$M$2:$M$71,N43),COUNTIFS($D$2:$D$71,"conciliado",$N$2:$N$71,N43),COUNTIFS($D$2:$D$71,"conciliado",$O$2:$O$71,N43))&gt;1),AND(O43&lt;&gt;"",SUM(COUNTIFS($D$2:$D$71,"conciliado",$M$2:$M$71,O43),COUNTIFS($D$2:$D$71,"conciliado",$N$2:$N$71,O43),COUNTIFS($D$2:$D$71,"conciliado",$O$2:$O$71,O43))&gt;1)),"ERROR: libro_aux ya usado en otro compuesto conciliado","OK"))))</f>
        <v/>
      </c>
      <c r="F43" s="11" t="inlineStr">
        <is>
          <t>Posible compuesto detectado por suma exacta en la misma fecha. Revisar antes de conciliar.</t>
        </is>
      </c>
      <c r="G43" s="11" t="inlineStr"/>
      <c r="H43" s="11" t="inlineStr">
        <is>
          <t>1039, 1040</t>
        </is>
      </c>
      <c r="I43" s="11" t="inlineStr">
        <is>
          <t>287</t>
        </is>
      </c>
      <c r="J43" s="11" t="n">
        <v>1039</v>
      </c>
      <c r="K43" s="11" t="n">
        <v>1040</v>
      </c>
      <c r="L43" s="11" t="inlineStr"/>
      <c r="M43" s="11" t="n">
        <v>287</v>
      </c>
      <c r="N43" s="11" t="inlineStr"/>
      <c r="O43" s="11" t="inlineStr"/>
    </row>
    <row r="44">
      <c r="A44" s="11" t="inlineStr">
        <is>
          <t>499 | 2026-03-21 | 3,500 | bancolombia desde recarga
500 | 2026-03-21 | 10,100 | bancolombia desde recarga</t>
        </is>
      </c>
      <c r="B44" s="11" t="inlineStr">
        <is>
          <t>826 | 2026-03-21 | 13,600 | sebastian zambrano</t>
        </is>
      </c>
      <c r="C44" s="13" t="n">
        <v>0</v>
      </c>
      <c r="D44" s="11" t="inlineStr">
        <is>
          <t>por revisar</t>
        </is>
      </c>
      <c r="E44" s="11">
        <f>IF(D44&lt;&gt;"conciliado","Pendiente",IF(C44&lt;&gt;0,"ERROR: diferencia distinta de cero",IF(OR(AND(J44&lt;&gt;"",SUM(COUNTIFS($D$2:$D$71,"conciliado",$J$2:$J$71,J44),COUNTIFS($D$2:$D$71,"conciliado",$K$2:$K$71,J44),COUNTIFS($D$2:$D$71,"conciliado",$L$2:$L$71,J44))&gt;1),AND(K44&lt;&gt;"",SUM(COUNTIFS($D$2:$D$71,"conciliado",$J$2:$J$71,K44),COUNTIFS($D$2:$D$71,"conciliado",$K$2:$K$71,K44),COUNTIFS($D$2:$D$71,"conciliado",$L$2:$L$71,K44))&gt;1),AND(L44&lt;&gt;"",SUM(COUNTIFS($D$2:$D$71,"conciliado",$J$2:$J$71,L44),COUNTIFS($D$2:$D$71,"conciliado",$K$2:$K$71,L44),COUNTIFS($D$2:$D$71,"conciliado",$L$2:$L$71,L44))&gt;1)),"ERROR: banco ya usado en otro compuesto conciliado",IF(OR(AND(M44&lt;&gt;"",SUM(COUNTIFS($D$2:$D$71,"conciliado",$M$2:$M$71,M44),COUNTIFS($D$2:$D$71,"conciliado",$N$2:$N$71,M44),COUNTIFS($D$2:$D$71,"conciliado",$O$2:$O$71,M44))&gt;1),AND(N44&lt;&gt;"",SUM(COUNTIFS($D$2:$D$71,"conciliado",$M$2:$M$71,N44),COUNTIFS($D$2:$D$71,"conciliado",$N$2:$N$71,N44),COUNTIFS($D$2:$D$71,"conciliado",$O$2:$O$71,N44))&gt;1),AND(O44&lt;&gt;"",SUM(COUNTIFS($D$2:$D$71,"conciliado",$M$2:$M$71,O44),COUNTIFS($D$2:$D$71,"conciliado",$N$2:$N$71,O44),COUNTIFS($D$2:$D$71,"conciliado",$O$2:$O$71,O44))&gt;1)),"ERROR: libro_aux ya usado en otro compuesto conciliado","OK"))))</f>
        <v/>
      </c>
      <c r="F44" s="11" t="inlineStr">
        <is>
          <t>Posible compuesto detectado por suma exacta en la misma fecha. Revisar antes de conciliar.</t>
        </is>
      </c>
      <c r="G44" s="11" t="inlineStr"/>
      <c r="H44" s="11" t="inlineStr">
        <is>
          <t>499, 500</t>
        </is>
      </c>
      <c r="I44" s="11" t="inlineStr">
        <is>
          <t>826</t>
        </is>
      </c>
      <c r="J44" s="11" t="n">
        <v>499</v>
      </c>
      <c r="K44" s="11" t="n">
        <v>500</v>
      </c>
      <c r="L44" s="11" t="inlineStr"/>
      <c r="M44" s="11" t="n">
        <v>826</v>
      </c>
      <c r="N44" s="11" t="inlineStr"/>
      <c r="O44" s="11" t="inlineStr"/>
    </row>
    <row r="45">
      <c r="A45" s="11" t="inlineStr">
        <is>
          <t>319 | 2026-03-24 | 18,000 | antonio gomez rodrigo
321 | 2026-03-24 | 10,000 | antonio gomez rodrigo</t>
        </is>
      </c>
      <c r="B45" s="11" t="inlineStr">
        <is>
          <t>937 | 2026-03-24 | 28,000 | andrade laura zabala</t>
        </is>
      </c>
      <c r="C45" s="13" t="n">
        <v>0</v>
      </c>
      <c r="D45" s="11" t="inlineStr">
        <is>
          <t>por revisar</t>
        </is>
      </c>
      <c r="E45" s="11">
        <f>IF(D45&lt;&gt;"conciliado","Pendiente",IF(C45&lt;&gt;0,"ERROR: diferencia distinta de cero",IF(OR(AND(J45&lt;&gt;"",SUM(COUNTIFS($D$2:$D$71,"conciliado",$J$2:$J$71,J45),COUNTIFS($D$2:$D$71,"conciliado",$K$2:$K$71,J45),COUNTIFS($D$2:$D$71,"conciliado",$L$2:$L$71,J45))&gt;1),AND(K45&lt;&gt;"",SUM(COUNTIFS($D$2:$D$71,"conciliado",$J$2:$J$71,K45),COUNTIFS($D$2:$D$71,"conciliado",$K$2:$K$71,K45),COUNTIFS($D$2:$D$71,"conciliado",$L$2:$L$71,K45))&gt;1),AND(L45&lt;&gt;"",SUM(COUNTIFS($D$2:$D$71,"conciliado",$J$2:$J$71,L45),COUNTIFS($D$2:$D$71,"conciliado",$K$2:$K$71,L45),COUNTIFS($D$2:$D$71,"conciliado",$L$2:$L$71,L45))&gt;1)),"ERROR: banco ya usado en otro compuesto conciliado",IF(OR(AND(M45&lt;&gt;"",SUM(COUNTIFS($D$2:$D$71,"conciliado",$M$2:$M$71,M45),COUNTIFS($D$2:$D$71,"conciliado",$N$2:$N$71,M45),COUNTIFS($D$2:$D$71,"conciliado",$O$2:$O$71,M45))&gt;1),AND(N45&lt;&gt;"",SUM(COUNTIFS($D$2:$D$71,"conciliado",$M$2:$M$71,N45),COUNTIFS($D$2:$D$71,"conciliado",$N$2:$N$71,N45),COUNTIFS($D$2:$D$71,"conciliado",$O$2:$O$71,N45))&gt;1),AND(O45&lt;&gt;"",SUM(COUNTIFS($D$2:$D$71,"conciliado",$M$2:$M$71,O45),COUNTIFS($D$2:$D$71,"conciliado",$N$2:$N$71,O45),COUNTIFS($D$2:$D$71,"conciliado",$O$2:$O$71,O45))&gt;1)),"ERROR: libro_aux ya usado en otro compuesto conciliado","OK"))))</f>
        <v/>
      </c>
      <c r="F45" s="11" t="inlineStr">
        <is>
          <t>Posible compuesto detectado por suma exacta en la misma fecha. Revisar antes de conciliar.</t>
        </is>
      </c>
      <c r="G45" s="11" t="inlineStr"/>
      <c r="H45" s="11" t="inlineStr">
        <is>
          <t>319, 321</t>
        </is>
      </c>
      <c r="I45" s="11" t="inlineStr">
        <is>
          <t>937</t>
        </is>
      </c>
      <c r="J45" s="11" t="n">
        <v>319</v>
      </c>
      <c r="K45" s="11" t="n">
        <v>321</v>
      </c>
      <c r="L45" s="11" t="inlineStr"/>
      <c r="M45" s="11" t="n">
        <v>937</v>
      </c>
      <c r="N45" s="11" t="inlineStr"/>
      <c r="O45" s="11" t="inlineStr"/>
    </row>
    <row r="46">
      <c r="A46" s="11" t="inlineStr">
        <is>
          <t>1203 | 2026-03-04 | 300 | frayder sanchez
1204 | 2026-03-04 | 10,200 | frayder sanchez</t>
        </is>
      </c>
      <c r="B46" s="11" t="inlineStr">
        <is>
          <t>152 | 2026-03-04 | 10,500 | fr rodriguez sanchez</t>
        </is>
      </c>
      <c r="C46" s="13" t="n">
        <v>0</v>
      </c>
      <c r="D46" s="11" t="inlineStr">
        <is>
          <t>por revisar</t>
        </is>
      </c>
      <c r="E46" s="11">
        <f>IF(D46&lt;&gt;"conciliado","Pendiente",IF(C46&lt;&gt;0,"ERROR: diferencia distinta de cero",IF(OR(AND(J46&lt;&gt;"",SUM(COUNTIFS($D$2:$D$71,"conciliado",$J$2:$J$71,J46),COUNTIFS($D$2:$D$71,"conciliado",$K$2:$K$71,J46),COUNTIFS($D$2:$D$71,"conciliado",$L$2:$L$71,J46))&gt;1),AND(K46&lt;&gt;"",SUM(COUNTIFS($D$2:$D$71,"conciliado",$J$2:$J$71,K46),COUNTIFS($D$2:$D$71,"conciliado",$K$2:$K$71,K46),COUNTIFS($D$2:$D$71,"conciliado",$L$2:$L$71,K46))&gt;1),AND(L46&lt;&gt;"",SUM(COUNTIFS($D$2:$D$71,"conciliado",$J$2:$J$71,L46),COUNTIFS($D$2:$D$71,"conciliado",$K$2:$K$71,L46),COUNTIFS($D$2:$D$71,"conciliado",$L$2:$L$71,L46))&gt;1)),"ERROR: banco ya usado en otro compuesto conciliado",IF(OR(AND(M46&lt;&gt;"",SUM(COUNTIFS($D$2:$D$71,"conciliado",$M$2:$M$71,M46),COUNTIFS($D$2:$D$71,"conciliado",$N$2:$N$71,M46),COUNTIFS($D$2:$D$71,"conciliado",$O$2:$O$71,M46))&gt;1),AND(N46&lt;&gt;"",SUM(COUNTIFS($D$2:$D$71,"conciliado",$M$2:$M$71,N46),COUNTIFS($D$2:$D$71,"conciliado",$N$2:$N$71,N46),COUNTIFS($D$2:$D$71,"conciliado",$O$2:$O$71,N46))&gt;1),AND(O46&lt;&gt;"",SUM(COUNTIFS($D$2:$D$71,"conciliado",$M$2:$M$71,O46),COUNTIFS($D$2:$D$71,"conciliado",$N$2:$N$71,O46),COUNTIFS($D$2:$D$71,"conciliado",$O$2:$O$71,O46))&gt;1)),"ERROR: libro_aux ya usado en otro compuesto conciliado","OK"))))</f>
        <v/>
      </c>
      <c r="F46" s="11" t="inlineStr">
        <is>
          <t>Posible compuesto detectado por suma exacta en la misma fecha. Revisar antes de conciliar.</t>
        </is>
      </c>
      <c r="G46" s="11" t="inlineStr"/>
      <c r="H46" s="11" t="inlineStr">
        <is>
          <t>1203, 1204</t>
        </is>
      </c>
      <c r="I46" s="11" t="inlineStr">
        <is>
          <t>152</t>
        </is>
      </c>
      <c r="J46" s="11" t="n">
        <v>1203</v>
      </c>
      <c r="K46" s="11" t="n">
        <v>1204</v>
      </c>
      <c r="L46" s="11" t="inlineStr"/>
      <c r="M46" s="11" t="n">
        <v>152</v>
      </c>
      <c r="N46" s="11" t="inlineStr"/>
      <c r="O46" s="11" t="inlineStr"/>
    </row>
    <row r="47">
      <c r="A47" s="11" t="inlineStr">
        <is>
          <t>863 | 2026-03-12 | 19,900 | rodrigo zapata
871 | 2026-03-12 | 16,900 | rodrigo zapata</t>
        </is>
      </c>
      <c r="B47" s="11" t="inlineStr">
        <is>
          <t>430 | 2026-03-12 | 36,800 | betancurth ro zapata</t>
        </is>
      </c>
      <c r="C47" s="13" t="n">
        <v>0</v>
      </c>
      <c r="D47" s="11" t="inlineStr">
        <is>
          <t>por revisar</t>
        </is>
      </c>
      <c r="E47" s="11">
        <f>IF(D47&lt;&gt;"conciliado","Pendiente",IF(C47&lt;&gt;0,"ERROR: diferencia distinta de cero",IF(OR(AND(J47&lt;&gt;"",SUM(COUNTIFS($D$2:$D$71,"conciliado",$J$2:$J$71,J47),COUNTIFS($D$2:$D$71,"conciliado",$K$2:$K$71,J47),COUNTIFS($D$2:$D$71,"conciliado",$L$2:$L$71,J47))&gt;1),AND(K47&lt;&gt;"",SUM(COUNTIFS($D$2:$D$71,"conciliado",$J$2:$J$71,K47),COUNTIFS($D$2:$D$71,"conciliado",$K$2:$K$71,K47),COUNTIFS($D$2:$D$71,"conciliado",$L$2:$L$71,K47))&gt;1),AND(L47&lt;&gt;"",SUM(COUNTIFS($D$2:$D$71,"conciliado",$J$2:$J$71,L47),COUNTIFS($D$2:$D$71,"conciliado",$K$2:$K$71,L47),COUNTIFS($D$2:$D$71,"conciliado",$L$2:$L$71,L47))&gt;1)),"ERROR: banco ya usado en otro compuesto conciliado",IF(OR(AND(M47&lt;&gt;"",SUM(COUNTIFS($D$2:$D$71,"conciliado",$M$2:$M$71,M47),COUNTIFS($D$2:$D$71,"conciliado",$N$2:$N$71,M47),COUNTIFS($D$2:$D$71,"conciliado",$O$2:$O$71,M47))&gt;1),AND(N47&lt;&gt;"",SUM(COUNTIFS($D$2:$D$71,"conciliado",$M$2:$M$71,N47),COUNTIFS($D$2:$D$71,"conciliado",$N$2:$N$71,N47),COUNTIFS($D$2:$D$71,"conciliado",$O$2:$O$71,N47))&gt;1),AND(O47&lt;&gt;"",SUM(COUNTIFS($D$2:$D$71,"conciliado",$M$2:$M$71,O47),COUNTIFS($D$2:$D$71,"conciliado",$N$2:$N$71,O47),COUNTIFS($D$2:$D$71,"conciliado",$O$2:$O$71,O47))&gt;1)),"ERROR: libro_aux ya usado en otro compuesto conciliado","OK"))))</f>
        <v/>
      </c>
      <c r="F47" s="11" t="inlineStr">
        <is>
          <t>Posible compuesto detectado por suma exacta en la misma fecha. Revisar antes de conciliar.</t>
        </is>
      </c>
      <c r="G47" s="11" t="inlineStr"/>
      <c r="H47" s="11" t="inlineStr">
        <is>
          <t>863, 871</t>
        </is>
      </c>
      <c r="I47" s="11" t="inlineStr">
        <is>
          <t>430</t>
        </is>
      </c>
      <c r="J47" s="11" t="n">
        <v>863</v>
      </c>
      <c r="K47" s="11" t="n">
        <v>871</v>
      </c>
      <c r="L47" s="11" t="inlineStr"/>
      <c r="M47" s="11" t="n">
        <v>430</v>
      </c>
      <c r="N47" s="11" t="inlineStr"/>
      <c r="O47" s="11" t="inlineStr"/>
    </row>
    <row r="48">
      <c r="A48" s="11" t="inlineStr">
        <is>
          <t>867 | 2026-03-12 | 24,000 | b bre wilson
868 | 2026-03-12 | 12,000 | b bre wilson</t>
        </is>
      </c>
      <c r="B48" s="11" t="inlineStr">
        <is>
          <t>440 | 2026-03-12 | 36,000 | b cueva pinta wilson</t>
        </is>
      </c>
      <c r="C48" s="13" t="n">
        <v>0</v>
      </c>
      <c r="D48" s="11" t="inlineStr">
        <is>
          <t>por revisar</t>
        </is>
      </c>
      <c r="E48" s="11">
        <f>IF(D48&lt;&gt;"conciliado","Pendiente",IF(C48&lt;&gt;0,"ERROR: diferencia distinta de cero",IF(OR(AND(J48&lt;&gt;"",SUM(COUNTIFS($D$2:$D$71,"conciliado",$J$2:$J$71,J48),COUNTIFS($D$2:$D$71,"conciliado",$K$2:$K$71,J48),COUNTIFS($D$2:$D$71,"conciliado",$L$2:$L$71,J48))&gt;1),AND(K48&lt;&gt;"",SUM(COUNTIFS($D$2:$D$71,"conciliado",$J$2:$J$71,K48),COUNTIFS($D$2:$D$71,"conciliado",$K$2:$K$71,K48),COUNTIFS($D$2:$D$71,"conciliado",$L$2:$L$71,K48))&gt;1),AND(L48&lt;&gt;"",SUM(COUNTIFS($D$2:$D$71,"conciliado",$J$2:$J$71,L48),COUNTIFS($D$2:$D$71,"conciliado",$K$2:$K$71,L48),COUNTIFS($D$2:$D$71,"conciliado",$L$2:$L$71,L48))&gt;1)),"ERROR: banco ya usado en otro compuesto conciliado",IF(OR(AND(M48&lt;&gt;"",SUM(COUNTIFS($D$2:$D$71,"conciliado",$M$2:$M$71,M48),COUNTIFS($D$2:$D$71,"conciliado",$N$2:$N$71,M48),COUNTIFS($D$2:$D$71,"conciliado",$O$2:$O$71,M48))&gt;1),AND(N48&lt;&gt;"",SUM(COUNTIFS($D$2:$D$71,"conciliado",$M$2:$M$71,N48),COUNTIFS($D$2:$D$71,"conciliado",$N$2:$N$71,N48),COUNTIFS($D$2:$D$71,"conciliado",$O$2:$O$71,N48))&gt;1),AND(O48&lt;&gt;"",SUM(COUNTIFS($D$2:$D$71,"conciliado",$M$2:$M$71,O48),COUNTIFS($D$2:$D$71,"conciliado",$N$2:$N$71,O48),COUNTIFS($D$2:$D$71,"conciliado",$O$2:$O$71,O48))&gt;1)),"ERROR: libro_aux ya usado en otro compuesto conciliado","OK"))))</f>
        <v/>
      </c>
      <c r="F48" s="11" t="inlineStr">
        <is>
          <t>Posible compuesto detectado por suma exacta en la misma fecha. Revisar antes de conciliar.</t>
        </is>
      </c>
      <c r="G48" s="11" t="inlineStr"/>
      <c r="H48" s="11" t="inlineStr">
        <is>
          <t>867, 868</t>
        </is>
      </c>
      <c r="I48" s="11" t="inlineStr">
        <is>
          <t>440</t>
        </is>
      </c>
      <c r="J48" s="11" t="n">
        <v>867</v>
      </c>
      <c r="K48" s="11" t="n">
        <v>868</v>
      </c>
      <c r="L48" s="11" t="inlineStr"/>
      <c r="M48" s="11" t="n">
        <v>440</v>
      </c>
      <c r="N48" s="11" t="inlineStr"/>
      <c r="O48" s="11" t="inlineStr"/>
    </row>
    <row r="49">
      <c r="A49" s="11" t="inlineStr">
        <is>
          <t>683 | 2026-03-16 | 28,000 | b bre jeimy
708 | 2026-03-16 | 6,000 | b bre jeimy
712 | 2026-03-16 | 25,200 | b bre jeimy</t>
        </is>
      </c>
      <c r="B49" s="11" t="inlineStr">
        <is>
          <t>602 | 2026-03-16 | 59,200 | jeimy riascos silva</t>
        </is>
      </c>
      <c r="C49" s="13" t="n">
        <v>0</v>
      </c>
      <c r="D49" s="11" t="inlineStr">
        <is>
          <t>por revisar</t>
        </is>
      </c>
      <c r="E49" s="11">
        <f>IF(D49&lt;&gt;"conciliado","Pendiente",IF(C49&lt;&gt;0,"ERROR: diferencia distinta de cero",IF(OR(AND(J49&lt;&gt;"",SUM(COUNTIFS($D$2:$D$71,"conciliado",$J$2:$J$71,J49),COUNTIFS($D$2:$D$71,"conciliado",$K$2:$K$71,J49),COUNTIFS($D$2:$D$71,"conciliado",$L$2:$L$71,J49))&gt;1),AND(K49&lt;&gt;"",SUM(COUNTIFS($D$2:$D$71,"conciliado",$J$2:$J$71,K49),COUNTIFS($D$2:$D$71,"conciliado",$K$2:$K$71,K49),COUNTIFS($D$2:$D$71,"conciliado",$L$2:$L$71,K49))&gt;1),AND(L49&lt;&gt;"",SUM(COUNTIFS($D$2:$D$71,"conciliado",$J$2:$J$71,L49),COUNTIFS($D$2:$D$71,"conciliado",$K$2:$K$71,L49),COUNTIFS($D$2:$D$71,"conciliado",$L$2:$L$71,L49))&gt;1)),"ERROR: banco ya usado en otro compuesto conciliado",IF(OR(AND(M49&lt;&gt;"",SUM(COUNTIFS($D$2:$D$71,"conciliado",$M$2:$M$71,M49),COUNTIFS($D$2:$D$71,"conciliado",$N$2:$N$71,M49),COUNTIFS($D$2:$D$71,"conciliado",$O$2:$O$71,M49))&gt;1),AND(N49&lt;&gt;"",SUM(COUNTIFS($D$2:$D$71,"conciliado",$M$2:$M$71,N49),COUNTIFS($D$2:$D$71,"conciliado",$N$2:$N$71,N49),COUNTIFS($D$2:$D$71,"conciliado",$O$2:$O$71,N49))&gt;1),AND(O49&lt;&gt;"",SUM(COUNTIFS($D$2:$D$71,"conciliado",$M$2:$M$71,O49),COUNTIFS($D$2:$D$71,"conciliado",$N$2:$N$71,O49),COUNTIFS($D$2:$D$71,"conciliado",$O$2:$O$71,O49))&gt;1)),"ERROR: libro_aux ya usado en otro compuesto conciliado","OK"))))</f>
        <v/>
      </c>
      <c r="F49" s="11" t="inlineStr">
        <is>
          <t>Posible compuesto detectado por suma exacta en la misma fecha. Revisar antes de conciliar.</t>
        </is>
      </c>
      <c r="G49" s="11" t="inlineStr"/>
      <c r="H49" s="11" t="inlineStr">
        <is>
          <t>683, 708, 712</t>
        </is>
      </c>
      <c r="I49" s="11" t="inlineStr">
        <is>
          <t>602</t>
        </is>
      </c>
      <c r="J49" s="11" t="n">
        <v>683</v>
      </c>
      <c r="K49" s="11" t="n">
        <v>708</v>
      </c>
      <c r="L49" s="11" t="n">
        <v>712</v>
      </c>
      <c r="M49" s="11" t="n">
        <v>602</v>
      </c>
      <c r="N49" s="11" t="inlineStr"/>
      <c r="O49" s="11" t="inlineStr"/>
    </row>
    <row r="50">
      <c r="A50" s="11" t="inlineStr">
        <is>
          <t>476 | 2026-03-21 | 49,900 | rodrigo zapata
488 | 2026-03-21 | 40,000 | rodrigo zapata</t>
        </is>
      </c>
      <c r="B50" s="11" t="inlineStr">
        <is>
          <t>792 | 2026-03-21 | 89,900 | betancurth ro zapata</t>
        </is>
      </c>
      <c r="C50" s="13" t="n">
        <v>0</v>
      </c>
      <c r="D50" s="11" t="inlineStr">
        <is>
          <t>por revisar</t>
        </is>
      </c>
      <c r="E50" s="11">
        <f>IF(D50&lt;&gt;"conciliado","Pendiente",IF(C50&lt;&gt;0,"ERROR: diferencia distinta de cero",IF(OR(AND(J50&lt;&gt;"",SUM(COUNTIFS($D$2:$D$71,"conciliado",$J$2:$J$71,J50),COUNTIFS($D$2:$D$71,"conciliado",$K$2:$K$71,J50),COUNTIFS($D$2:$D$71,"conciliado",$L$2:$L$71,J50))&gt;1),AND(K50&lt;&gt;"",SUM(COUNTIFS($D$2:$D$71,"conciliado",$J$2:$J$71,K50),COUNTIFS($D$2:$D$71,"conciliado",$K$2:$K$71,K50),COUNTIFS($D$2:$D$71,"conciliado",$L$2:$L$71,K50))&gt;1),AND(L50&lt;&gt;"",SUM(COUNTIFS($D$2:$D$71,"conciliado",$J$2:$J$71,L50),COUNTIFS($D$2:$D$71,"conciliado",$K$2:$K$71,L50),COUNTIFS($D$2:$D$71,"conciliado",$L$2:$L$71,L50))&gt;1)),"ERROR: banco ya usado en otro compuesto conciliado",IF(OR(AND(M50&lt;&gt;"",SUM(COUNTIFS($D$2:$D$71,"conciliado",$M$2:$M$71,M50),COUNTIFS($D$2:$D$71,"conciliado",$N$2:$N$71,M50),COUNTIFS($D$2:$D$71,"conciliado",$O$2:$O$71,M50))&gt;1),AND(N50&lt;&gt;"",SUM(COUNTIFS($D$2:$D$71,"conciliado",$M$2:$M$71,N50),COUNTIFS($D$2:$D$71,"conciliado",$N$2:$N$71,N50),COUNTIFS($D$2:$D$71,"conciliado",$O$2:$O$71,N50))&gt;1),AND(O50&lt;&gt;"",SUM(COUNTIFS($D$2:$D$71,"conciliado",$M$2:$M$71,O50),COUNTIFS($D$2:$D$71,"conciliado",$N$2:$N$71,O50),COUNTIFS($D$2:$D$71,"conciliado",$O$2:$O$71,O50))&gt;1)),"ERROR: libro_aux ya usado en otro compuesto conciliado","OK"))))</f>
        <v/>
      </c>
      <c r="F50" s="11" t="inlineStr">
        <is>
          <t>Posible compuesto detectado por suma exacta en la misma fecha. Revisar antes de conciliar.</t>
        </is>
      </c>
      <c r="G50" s="11" t="inlineStr"/>
      <c r="H50" s="11" t="inlineStr">
        <is>
          <t>476, 488</t>
        </is>
      </c>
      <c r="I50" s="11" t="inlineStr">
        <is>
          <t>792</t>
        </is>
      </c>
      <c r="J50" s="11" t="n">
        <v>476</v>
      </c>
      <c r="K50" s="11" t="n">
        <v>488</v>
      </c>
      <c r="L50" s="11" t="inlineStr"/>
      <c r="M50" s="11" t="n">
        <v>792</v>
      </c>
      <c r="N50" s="11" t="inlineStr"/>
      <c r="O50" s="11" t="inlineStr"/>
    </row>
    <row r="51">
      <c r="A51" s="11" t="inlineStr">
        <is>
          <t>248 | 2026-03-26 | 10,000 | castillo sirlen
251 | 2026-03-26 | 40,000 | castillo sirlen</t>
        </is>
      </c>
      <c r="B51" s="11" t="inlineStr">
        <is>
          <t>1043 | 2026-03-26 | 50,000 | castillo corrales si</t>
        </is>
      </c>
      <c r="C51" s="13" t="n">
        <v>0</v>
      </c>
      <c r="D51" s="11" t="inlineStr">
        <is>
          <t>por revisar</t>
        </is>
      </c>
      <c r="E51" s="11">
        <f>IF(D51&lt;&gt;"conciliado","Pendiente",IF(C51&lt;&gt;0,"ERROR: diferencia distinta de cero",IF(OR(AND(J51&lt;&gt;"",SUM(COUNTIFS($D$2:$D$71,"conciliado",$J$2:$J$71,J51),COUNTIFS($D$2:$D$71,"conciliado",$K$2:$K$71,J51),COUNTIFS($D$2:$D$71,"conciliado",$L$2:$L$71,J51))&gt;1),AND(K51&lt;&gt;"",SUM(COUNTIFS($D$2:$D$71,"conciliado",$J$2:$J$71,K51),COUNTIFS($D$2:$D$71,"conciliado",$K$2:$K$71,K51),COUNTIFS($D$2:$D$71,"conciliado",$L$2:$L$71,K51))&gt;1),AND(L51&lt;&gt;"",SUM(COUNTIFS($D$2:$D$71,"conciliado",$J$2:$J$71,L51),COUNTIFS($D$2:$D$71,"conciliado",$K$2:$K$71,L51),COUNTIFS($D$2:$D$71,"conciliado",$L$2:$L$71,L51))&gt;1)),"ERROR: banco ya usado en otro compuesto conciliado",IF(OR(AND(M51&lt;&gt;"",SUM(COUNTIFS($D$2:$D$71,"conciliado",$M$2:$M$71,M51),COUNTIFS($D$2:$D$71,"conciliado",$N$2:$N$71,M51),COUNTIFS($D$2:$D$71,"conciliado",$O$2:$O$71,M51))&gt;1),AND(N51&lt;&gt;"",SUM(COUNTIFS($D$2:$D$71,"conciliado",$M$2:$M$71,N51),COUNTIFS($D$2:$D$71,"conciliado",$N$2:$N$71,N51),COUNTIFS($D$2:$D$71,"conciliado",$O$2:$O$71,N51))&gt;1),AND(O51&lt;&gt;"",SUM(COUNTIFS($D$2:$D$71,"conciliado",$M$2:$M$71,O51),COUNTIFS($D$2:$D$71,"conciliado",$N$2:$N$71,O51),COUNTIFS($D$2:$D$71,"conciliado",$O$2:$O$71,O51))&gt;1)),"ERROR: libro_aux ya usado en otro compuesto conciliado","OK"))))</f>
        <v/>
      </c>
      <c r="F51" s="11" t="inlineStr">
        <is>
          <t>Posible compuesto detectado por suma exacta en la misma fecha. Revisar antes de conciliar.</t>
        </is>
      </c>
      <c r="G51" s="11" t="inlineStr"/>
      <c r="H51" s="11" t="inlineStr">
        <is>
          <t>248, 251</t>
        </is>
      </c>
      <c r="I51" s="11" t="inlineStr">
        <is>
          <t>1043</t>
        </is>
      </c>
      <c r="J51" s="11" t="n">
        <v>248</v>
      </c>
      <c r="K51" s="11" t="n">
        <v>251</v>
      </c>
      <c r="L51" s="11" t="inlineStr"/>
      <c r="M51" s="11" t="n">
        <v>1043</v>
      </c>
      <c r="N51" s="11" t="inlineStr"/>
      <c r="O51" s="11" t="inlineStr"/>
    </row>
    <row r="52">
      <c r="A52" s="11" t="inlineStr">
        <is>
          <t>1220 | 2026-03-03 | 18,000 | isair yagari
1228 | 2026-03-03 | 77,100 | isair yagari</t>
        </is>
      </c>
      <c r="B52" s="11" t="inlineStr">
        <is>
          <t>122 | 2026-03-03 | 95,100 | nequirucama yagarin</t>
        </is>
      </c>
      <c r="C52" s="13" t="n">
        <v>0</v>
      </c>
      <c r="D52" s="11" t="inlineStr">
        <is>
          <t>por revisar</t>
        </is>
      </c>
      <c r="E52" s="11">
        <f>IF(D52&lt;&gt;"conciliado","Pendiente",IF(C52&lt;&gt;0,"ERROR: diferencia distinta de cero",IF(OR(AND(J52&lt;&gt;"",SUM(COUNTIFS($D$2:$D$71,"conciliado",$J$2:$J$71,J52),COUNTIFS($D$2:$D$71,"conciliado",$K$2:$K$71,J52),COUNTIFS($D$2:$D$71,"conciliado",$L$2:$L$71,J52))&gt;1),AND(K52&lt;&gt;"",SUM(COUNTIFS($D$2:$D$71,"conciliado",$J$2:$J$71,K52),COUNTIFS($D$2:$D$71,"conciliado",$K$2:$K$71,K52),COUNTIFS($D$2:$D$71,"conciliado",$L$2:$L$71,K52))&gt;1),AND(L52&lt;&gt;"",SUM(COUNTIFS($D$2:$D$71,"conciliado",$J$2:$J$71,L52),COUNTIFS($D$2:$D$71,"conciliado",$K$2:$K$71,L52),COUNTIFS($D$2:$D$71,"conciliado",$L$2:$L$71,L52))&gt;1)),"ERROR: banco ya usado en otro compuesto conciliado",IF(OR(AND(M52&lt;&gt;"",SUM(COUNTIFS($D$2:$D$71,"conciliado",$M$2:$M$71,M52),COUNTIFS($D$2:$D$71,"conciliado",$N$2:$N$71,M52),COUNTIFS($D$2:$D$71,"conciliado",$O$2:$O$71,M52))&gt;1),AND(N52&lt;&gt;"",SUM(COUNTIFS($D$2:$D$71,"conciliado",$M$2:$M$71,N52),COUNTIFS($D$2:$D$71,"conciliado",$N$2:$N$71,N52),COUNTIFS($D$2:$D$71,"conciliado",$O$2:$O$71,N52))&gt;1),AND(O52&lt;&gt;"",SUM(COUNTIFS($D$2:$D$71,"conciliado",$M$2:$M$71,O52),COUNTIFS($D$2:$D$71,"conciliado",$N$2:$N$71,O52),COUNTIFS($D$2:$D$71,"conciliado",$O$2:$O$71,O52))&gt;1)),"ERROR: libro_aux ya usado en otro compuesto conciliado","OK"))))</f>
        <v/>
      </c>
      <c r="F52" s="11" t="inlineStr">
        <is>
          <t>Posible compuesto detectado por suma exacta en la misma fecha. Revisar antes de conciliar.</t>
        </is>
      </c>
      <c r="G52" s="11" t="inlineStr"/>
      <c r="H52" s="11" t="inlineStr">
        <is>
          <t>1220, 1228</t>
        </is>
      </c>
      <c r="I52" s="11" t="inlineStr">
        <is>
          <t>122</t>
        </is>
      </c>
      <c r="J52" s="11" t="n">
        <v>1220</v>
      </c>
      <c r="K52" s="11" t="n">
        <v>1228</v>
      </c>
      <c r="L52" s="11" t="inlineStr"/>
      <c r="M52" s="11" t="n">
        <v>122</v>
      </c>
      <c r="N52" s="11" t="inlineStr"/>
      <c r="O52" s="11" t="inlineStr"/>
    </row>
    <row r="53">
      <c r="A53" s="11" t="inlineStr">
        <is>
          <t>1185 | 2026-03-04 | 13,200 | b bre edisson
1186 | 2026-03-04 | 56,900 | chana edisson junior</t>
        </is>
      </c>
      <c r="B53" s="11" t="inlineStr">
        <is>
          <t>150 | 2026-03-04 | 70,100 | chana edisson potosi</t>
        </is>
      </c>
      <c r="C53" s="13" t="n">
        <v>0</v>
      </c>
      <c r="D53" s="11" t="inlineStr">
        <is>
          <t>por revisar</t>
        </is>
      </c>
      <c r="E53" s="11">
        <f>IF(D53&lt;&gt;"conciliado","Pendiente",IF(C53&lt;&gt;0,"ERROR: diferencia distinta de cero",IF(OR(AND(J53&lt;&gt;"",SUM(COUNTIFS($D$2:$D$71,"conciliado",$J$2:$J$71,J53),COUNTIFS($D$2:$D$71,"conciliado",$K$2:$K$71,J53),COUNTIFS($D$2:$D$71,"conciliado",$L$2:$L$71,J53))&gt;1),AND(K53&lt;&gt;"",SUM(COUNTIFS($D$2:$D$71,"conciliado",$J$2:$J$71,K53),COUNTIFS($D$2:$D$71,"conciliado",$K$2:$K$71,K53),COUNTIFS($D$2:$D$71,"conciliado",$L$2:$L$71,K53))&gt;1),AND(L53&lt;&gt;"",SUM(COUNTIFS($D$2:$D$71,"conciliado",$J$2:$J$71,L53),COUNTIFS($D$2:$D$71,"conciliado",$K$2:$K$71,L53),COUNTIFS($D$2:$D$71,"conciliado",$L$2:$L$71,L53))&gt;1)),"ERROR: banco ya usado en otro compuesto conciliado",IF(OR(AND(M53&lt;&gt;"",SUM(COUNTIFS($D$2:$D$71,"conciliado",$M$2:$M$71,M53),COUNTIFS($D$2:$D$71,"conciliado",$N$2:$N$71,M53),COUNTIFS($D$2:$D$71,"conciliado",$O$2:$O$71,M53))&gt;1),AND(N53&lt;&gt;"",SUM(COUNTIFS($D$2:$D$71,"conciliado",$M$2:$M$71,N53),COUNTIFS($D$2:$D$71,"conciliado",$N$2:$N$71,N53),COUNTIFS($D$2:$D$71,"conciliado",$O$2:$O$71,N53))&gt;1),AND(O53&lt;&gt;"",SUM(COUNTIFS($D$2:$D$71,"conciliado",$M$2:$M$71,O53),COUNTIFS($D$2:$D$71,"conciliado",$N$2:$N$71,O53),COUNTIFS($D$2:$D$71,"conciliado",$O$2:$O$71,O53))&gt;1)),"ERROR: libro_aux ya usado en otro compuesto conciliado","OK"))))</f>
        <v/>
      </c>
      <c r="F53" s="11" t="inlineStr">
        <is>
          <t>Posible compuesto detectado por suma exacta en la misma fecha. Revisar antes de conciliar.</t>
        </is>
      </c>
      <c r="G53" s="11" t="inlineStr"/>
      <c r="H53" s="11" t="inlineStr">
        <is>
          <t>1185, 1186</t>
        </is>
      </c>
      <c r="I53" s="11" t="inlineStr">
        <is>
          <t>150</t>
        </is>
      </c>
      <c r="J53" s="11" t="n">
        <v>1185</v>
      </c>
      <c r="K53" s="11" t="n">
        <v>1186</v>
      </c>
      <c r="L53" s="11" t="inlineStr"/>
      <c r="M53" s="11" t="n">
        <v>150</v>
      </c>
      <c r="N53" s="11" t="inlineStr"/>
      <c r="O53" s="11" t="inlineStr"/>
    </row>
    <row r="54">
      <c r="A54" s="11" t="inlineStr">
        <is>
          <t>1106 | 2026-03-06 | 80,500 | denier fernando
1132 | 2026-03-06 | 16,600 | denier fernando</t>
        </is>
      </c>
      <c r="B54" s="11" t="inlineStr">
        <is>
          <t>220 | 2026-03-06 | 97,100 | andrade den galindez</t>
        </is>
      </c>
      <c r="C54" s="13" t="n">
        <v>0</v>
      </c>
      <c r="D54" s="11" t="inlineStr">
        <is>
          <t>por revisar</t>
        </is>
      </c>
      <c r="E54" s="11">
        <f>IF(D54&lt;&gt;"conciliado","Pendiente",IF(C54&lt;&gt;0,"ERROR: diferencia distinta de cero",IF(OR(AND(J54&lt;&gt;"",SUM(COUNTIFS($D$2:$D$71,"conciliado",$J$2:$J$71,J54),COUNTIFS($D$2:$D$71,"conciliado",$K$2:$K$71,J54),COUNTIFS($D$2:$D$71,"conciliado",$L$2:$L$71,J54))&gt;1),AND(K54&lt;&gt;"",SUM(COUNTIFS($D$2:$D$71,"conciliado",$J$2:$J$71,K54),COUNTIFS($D$2:$D$71,"conciliado",$K$2:$K$71,K54),COUNTIFS($D$2:$D$71,"conciliado",$L$2:$L$71,K54))&gt;1),AND(L54&lt;&gt;"",SUM(COUNTIFS($D$2:$D$71,"conciliado",$J$2:$J$71,L54),COUNTIFS($D$2:$D$71,"conciliado",$K$2:$K$71,L54),COUNTIFS($D$2:$D$71,"conciliado",$L$2:$L$71,L54))&gt;1)),"ERROR: banco ya usado en otro compuesto conciliado",IF(OR(AND(M54&lt;&gt;"",SUM(COUNTIFS($D$2:$D$71,"conciliado",$M$2:$M$71,M54),COUNTIFS($D$2:$D$71,"conciliado",$N$2:$N$71,M54),COUNTIFS($D$2:$D$71,"conciliado",$O$2:$O$71,M54))&gt;1),AND(N54&lt;&gt;"",SUM(COUNTIFS($D$2:$D$71,"conciliado",$M$2:$M$71,N54),COUNTIFS($D$2:$D$71,"conciliado",$N$2:$N$71,N54),COUNTIFS($D$2:$D$71,"conciliado",$O$2:$O$71,N54))&gt;1),AND(O54&lt;&gt;"",SUM(COUNTIFS($D$2:$D$71,"conciliado",$M$2:$M$71,O54),COUNTIFS($D$2:$D$71,"conciliado",$N$2:$N$71,O54),COUNTIFS($D$2:$D$71,"conciliado",$O$2:$O$71,O54))&gt;1)),"ERROR: libro_aux ya usado en otro compuesto conciliado","OK"))))</f>
        <v/>
      </c>
      <c r="F54" s="11" t="inlineStr">
        <is>
          <t>Posible compuesto detectado por suma exacta en la misma fecha. Revisar antes de conciliar.</t>
        </is>
      </c>
      <c r="G54" s="11" t="inlineStr"/>
      <c r="H54" s="11" t="inlineStr">
        <is>
          <t>1106, 1132</t>
        </is>
      </c>
      <c r="I54" s="11" t="inlineStr">
        <is>
          <t>220</t>
        </is>
      </c>
      <c r="J54" s="11" t="n">
        <v>1106</v>
      </c>
      <c r="K54" s="11" t="n">
        <v>1132</v>
      </c>
      <c r="L54" s="11" t="inlineStr"/>
      <c r="M54" s="11" t="n">
        <v>220</v>
      </c>
      <c r="N54" s="11" t="inlineStr"/>
      <c r="O54" s="11" t="inlineStr"/>
    </row>
    <row r="55">
      <c r="A55" s="11" t="inlineStr">
        <is>
          <t>1029 | 2026-03-08 | 14,000 | alexandra monica
1030 | 2026-03-08 | 21,700 | alexandra monica</t>
        </is>
      </c>
      <c r="B55" s="11" t="inlineStr">
        <is>
          <t>310 | 2026-03-08 | 35,700 | m salas santacruz</t>
        </is>
      </c>
      <c r="C55" s="13" t="n">
        <v>0</v>
      </c>
      <c r="D55" s="11" t="inlineStr">
        <is>
          <t>por revisar</t>
        </is>
      </c>
      <c r="E55" s="11">
        <f>IF(D55&lt;&gt;"conciliado","Pendiente",IF(C55&lt;&gt;0,"ERROR: diferencia distinta de cero",IF(OR(AND(J55&lt;&gt;"",SUM(COUNTIFS($D$2:$D$71,"conciliado",$J$2:$J$71,J55),COUNTIFS($D$2:$D$71,"conciliado",$K$2:$K$71,J55),COUNTIFS($D$2:$D$71,"conciliado",$L$2:$L$71,J55))&gt;1),AND(K55&lt;&gt;"",SUM(COUNTIFS($D$2:$D$71,"conciliado",$J$2:$J$71,K55),COUNTIFS($D$2:$D$71,"conciliado",$K$2:$K$71,K55),COUNTIFS($D$2:$D$71,"conciliado",$L$2:$L$71,K55))&gt;1),AND(L55&lt;&gt;"",SUM(COUNTIFS($D$2:$D$71,"conciliado",$J$2:$J$71,L55),COUNTIFS($D$2:$D$71,"conciliado",$K$2:$K$71,L55),COUNTIFS($D$2:$D$71,"conciliado",$L$2:$L$71,L55))&gt;1)),"ERROR: banco ya usado en otro compuesto conciliado",IF(OR(AND(M55&lt;&gt;"",SUM(COUNTIFS($D$2:$D$71,"conciliado",$M$2:$M$71,M55),COUNTIFS($D$2:$D$71,"conciliado",$N$2:$N$71,M55),COUNTIFS($D$2:$D$71,"conciliado",$O$2:$O$71,M55))&gt;1),AND(N55&lt;&gt;"",SUM(COUNTIFS($D$2:$D$71,"conciliado",$M$2:$M$71,N55),COUNTIFS($D$2:$D$71,"conciliado",$N$2:$N$71,N55),COUNTIFS($D$2:$D$71,"conciliado",$O$2:$O$71,N55))&gt;1),AND(O55&lt;&gt;"",SUM(COUNTIFS($D$2:$D$71,"conciliado",$M$2:$M$71,O55),COUNTIFS($D$2:$D$71,"conciliado",$N$2:$N$71,O55),COUNTIFS($D$2:$D$71,"conciliado",$O$2:$O$71,O55))&gt;1)),"ERROR: libro_aux ya usado en otro compuesto conciliado","OK"))))</f>
        <v/>
      </c>
      <c r="F55" s="11" t="inlineStr">
        <is>
          <t>Posible compuesto detectado por suma exacta en la misma fecha. Revisar antes de conciliar.</t>
        </is>
      </c>
      <c r="G55" s="11" t="inlineStr"/>
      <c r="H55" s="11" t="inlineStr">
        <is>
          <t>1029, 1030</t>
        </is>
      </c>
      <c r="I55" s="11" t="inlineStr">
        <is>
          <t>310</t>
        </is>
      </c>
      <c r="J55" s="11" t="n">
        <v>1029</v>
      </c>
      <c r="K55" s="11" t="n">
        <v>1030</v>
      </c>
      <c r="L55" s="11" t="inlineStr"/>
      <c r="M55" s="11" t="n">
        <v>310</v>
      </c>
      <c r="N55" s="11" t="inlineStr"/>
      <c r="O55" s="11" t="inlineStr"/>
    </row>
    <row r="56">
      <c r="A56" s="11" t="inlineStr">
        <is>
          <t>601 | 2026-03-18 | 6,400 | ricardo segundo
627 | 2026-03-18 | 40,000 | ricardo segundo</t>
        </is>
      </c>
      <c r="B56" s="11" t="inlineStr">
        <is>
          <t>668 | 2026-03-18 | 46,400 | benavide manchabajoy</t>
        </is>
      </c>
      <c r="C56" s="13" t="n">
        <v>0</v>
      </c>
      <c r="D56" s="11" t="inlineStr">
        <is>
          <t>por revisar</t>
        </is>
      </c>
      <c r="E56" s="11">
        <f>IF(D56&lt;&gt;"conciliado","Pendiente",IF(C56&lt;&gt;0,"ERROR: diferencia distinta de cero",IF(OR(AND(J56&lt;&gt;"",SUM(COUNTIFS($D$2:$D$71,"conciliado",$J$2:$J$71,J56),COUNTIFS($D$2:$D$71,"conciliado",$K$2:$K$71,J56),COUNTIFS($D$2:$D$71,"conciliado",$L$2:$L$71,J56))&gt;1),AND(K56&lt;&gt;"",SUM(COUNTIFS($D$2:$D$71,"conciliado",$J$2:$J$71,K56),COUNTIFS($D$2:$D$71,"conciliado",$K$2:$K$71,K56),COUNTIFS($D$2:$D$71,"conciliado",$L$2:$L$71,K56))&gt;1),AND(L56&lt;&gt;"",SUM(COUNTIFS($D$2:$D$71,"conciliado",$J$2:$J$71,L56),COUNTIFS($D$2:$D$71,"conciliado",$K$2:$K$71,L56),COUNTIFS($D$2:$D$71,"conciliado",$L$2:$L$71,L56))&gt;1)),"ERROR: banco ya usado en otro compuesto conciliado",IF(OR(AND(M56&lt;&gt;"",SUM(COUNTIFS($D$2:$D$71,"conciliado",$M$2:$M$71,M56),COUNTIFS($D$2:$D$71,"conciliado",$N$2:$N$71,M56),COUNTIFS($D$2:$D$71,"conciliado",$O$2:$O$71,M56))&gt;1),AND(N56&lt;&gt;"",SUM(COUNTIFS($D$2:$D$71,"conciliado",$M$2:$M$71,N56),COUNTIFS($D$2:$D$71,"conciliado",$N$2:$N$71,N56),COUNTIFS($D$2:$D$71,"conciliado",$O$2:$O$71,N56))&gt;1),AND(O56&lt;&gt;"",SUM(COUNTIFS($D$2:$D$71,"conciliado",$M$2:$M$71,O56),COUNTIFS($D$2:$D$71,"conciliado",$N$2:$N$71,O56),COUNTIFS($D$2:$D$71,"conciliado",$O$2:$O$71,O56))&gt;1)),"ERROR: libro_aux ya usado en otro compuesto conciliado","OK"))))</f>
        <v/>
      </c>
      <c r="F56" s="11" t="inlineStr">
        <is>
          <t>Posible compuesto detectado por suma exacta en la misma fecha. Revisar antes de conciliar.</t>
        </is>
      </c>
      <c r="G56" s="11" t="inlineStr"/>
      <c r="H56" s="11" t="inlineStr">
        <is>
          <t>601, 627</t>
        </is>
      </c>
      <c r="I56" s="11" t="inlineStr">
        <is>
          <t>668</t>
        </is>
      </c>
      <c r="J56" s="11" t="n">
        <v>601</v>
      </c>
      <c r="K56" s="11" t="n">
        <v>627</v>
      </c>
      <c r="L56" s="11" t="inlineStr"/>
      <c r="M56" s="11" t="n">
        <v>668</v>
      </c>
      <c r="N56" s="11" t="inlineStr"/>
      <c r="O56" s="11" t="inlineStr"/>
    </row>
    <row r="57">
      <c r="A57" s="11" t="inlineStr">
        <is>
          <t>445 | 2026-03-22 | 2,000 | fernanda jenny
446 | 2026-03-22 | 13,100 | fernanda jenny</t>
        </is>
      </c>
      <c r="B57" s="11" t="inlineStr">
        <is>
          <t>838 | 2026-03-22 | 15,100 | forero gonzalez jenn</t>
        </is>
      </c>
      <c r="C57" s="13" t="n">
        <v>0</v>
      </c>
      <c r="D57" s="11" t="inlineStr">
        <is>
          <t>por revisar</t>
        </is>
      </c>
      <c r="E57" s="11">
        <f>IF(D57&lt;&gt;"conciliado","Pendiente",IF(C57&lt;&gt;0,"ERROR: diferencia distinta de cero",IF(OR(AND(J57&lt;&gt;"",SUM(COUNTIFS($D$2:$D$71,"conciliado",$J$2:$J$71,J57),COUNTIFS($D$2:$D$71,"conciliado",$K$2:$K$71,J57),COUNTIFS($D$2:$D$71,"conciliado",$L$2:$L$71,J57))&gt;1),AND(K57&lt;&gt;"",SUM(COUNTIFS($D$2:$D$71,"conciliado",$J$2:$J$71,K57),COUNTIFS($D$2:$D$71,"conciliado",$K$2:$K$71,K57),COUNTIFS($D$2:$D$71,"conciliado",$L$2:$L$71,K57))&gt;1),AND(L57&lt;&gt;"",SUM(COUNTIFS($D$2:$D$71,"conciliado",$J$2:$J$71,L57),COUNTIFS($D$2:$D$71,"conciliado",$K$2:$K$71,L57),COUNTIFS($D$2:$D$71,"conciliado",$L$2:$L$71,L57))&gt;1)),"ERROR: banco ya usado en otro compuesto conciliado",IF(OR(AND(M57&lt;&gt;"",SUM(COUNTIFS($D$2:$D$71,"conciliado",$M$2:$M$71,M57),COUNTIFS($D$2:$D$71,"conciliado",$N$2:$N$71,M57),COUNTIFS($D$2:$D$71,"conciliado",$O$2:$O$71,M57))&gt;1),AND(N57&lt;&gt;"",SUM(COUNTIFS($D$2:$D$71,"conciliado",$M$2:$M$71,N57),COUNTIFS($D$2:$D$71,"conciliado",$N$2:$N$71,N57),COUNTIFS($D$2:$D$71,"conciliado",$O$2:$O$71,N57))&gt;1),AND(O57&lt;&gt;"",SUM(COUNTIFS($D$2:$D$71,"conciliado",$M$2:$M$71,O57),COUNTIFS($D$2:$D$71,"conciliado",$N$2:$N$71,O57),COUNTIFS($D$2:$D$71,"conciliado",$O$2:$O$71,O57))&gt;1)),"ERROR: libro_aux ya usado en otro compuesto conciliado","OK"))))</f>
        <v/>
      </c>
      <c r="F57" s="11" t="inlineStr">
        <is>
          <t>Posible compuesto detectado por suma exacta en la misma fecha. Revisar antes de conciliar.</t>
        </is>
      </c>
      <c r="G57" s="11" t="inlineStr"/>
      <c r="H57" s="11" t="inlineStr">
        <is>
          <t>445, 446</t>
        </is>
      </c>
      <c r="I57" s="11" t="inlineStr">
        <is>
          <t>838</t>
        </is>
      </c>
      <c r="J57" s="11" t="n">
        <v>445</v>
      </c>
      <c r="K57" s="11" t="n">
        <v>446</v>
      </c>
      <c r="L57" s="11" t="inlineStr"/>
      <c r="M57" s="11" t="n">
        <v>838</v>
      </c>
      <c r="N57" s="11" t="inlineStr"/>
      <c r="O57" s="11" t="inlineStr"/>
    </row>
    <row r="58">
      <c r="A58" s="11" t="inlineStr">
        <is>
          <t>245 | 2026-03-26 | 7,800 | angela maria
246 | 2026-03-26 | 22,100 | angela maria</t>
        </is>
      </c>
      <c r="B58" s="11" t="inlineStr">
        <is>
          <t>1052 | 2026-03-26 | 29,900 | martinez montenegro</t>
        </is>
      </c>
      <c r="C58" s="13" t="n">
        <v>0</v>
      </c>
      <c r="D58" s="11" t="inlineStr">
        <is>
          <t>por revisar</t>
        </is>
      </c>
      <c r="E58" s="11">
        <f>IF(D58&lt;&gt;"conciliado","Pendiente",IF(C58&lt;&gt;0,"ERROR: diferencia distinta de cero",IF(OR(AND(J58&lt;&gt;"",SUM(COUNTIFS($D$2:$D$71,"conciliado",$J$2:$J$71,J58),COUNTIFS($D$2:$D$71,"conciliado",$K$2:$K$71,J58),COUNTIFS($D$2:$D$71,"conciliado",$L$2:$L$71,J58))&gt;1),AND(K58&lt;&gt;"",SUM(COUNTIFS($D$2:$D$71,"conciliado",$J$2:$J$71,K58),COUNTIFS($D$2:$D$71,"conciliado",$K$2:$K$71,K58),COUNTIFS($D$2:$D$71,"conciliado",$L$2:$L$71,K58))&gt;1),AND(L58&lt;&gt;"",SUM(COUNTIFS($D$2:$D$71,"conciliado",$J$2:$J$71,L58),COUNTIFS($D$2:$D$71,"conciliado",$K$2:$K$71,L58),COUNTIFS($D$2:$D$71,"conciliado",$L$2:$L$71,L58))&gt;1)),"ERROR: banco ya usado en otro compuesto conciliado",IF(OR(AND(M58&lt;&gt;"",SUM(COUNTIFS($D$2:$D$71,"conciliado",$M$2:$M$71,M58),COUNTIFS($D$2:$D$71,"conciliado",$N$2:$N$71,M58),COUNTIFS($D$2:$D$71,"conciliado",$O$2:$O$71,M58))&gt;1),AND(N58&lt;&gt;"",SUM(COUNTIFS($D$2:$D$71,"conciliado",$M$2:$M$71,N58),COUNTIFS($D$2:$D$71,"conciliado",$N$2:$N$71,N58),COUNTIFS($D$2:$D$71,"conciliado",$O$2:$O$71,N58))&gt;1),AND(O58&lt;&gt;"",SUM(COUNTIFS($D$2:$D$71,"conciliado",$M$2:$M$71,O58),COUNTIFS($D$2:$D$71,"conciliado",$N$2:$N$71,O58),COUNTIFS($D$2:$D$71,"conciliado",$O$2:$O$71,O58))&gt;1)),"ERROR: libro_aux ya usado en otro compuesto conciliado","OK"))))</f>
        <v/>
      </c>
      <c r="F58" s="11" t="inlineStr">
        <is>
          <t>Posible compuesto detectado por suma exacta en la misma fecha. Revisar antes de conciliar.</t>
        </is>
      </c>
      <c r="G58" s="11" t="inlineStr"/>
      <c r="H58" s="11" t="inlineStr">
        <is>
          <t>245, 246</t>
        </is>
      </c>
      <c r="I58" s="11" t="inlineStr">
        <is>
          <t>1052</t>
        </is>
      </c>
      <c r="J58" s="11" t="n">
        <v>245</v>
      </c>
      <c r="K58" s="11" t="n">
        <v>246</v>
      </c>
      <c r="L58" s="11" t="inlineStr"/>
      <c r="M58" s="11" t="n">
        <v>1052</v>
      </c>
      <c r="N58" s="11" t="inlineStr"/>
      <c r="O58" s="11" t="inlineStr"/>
    </row>
    <row r="59">
      <c r="A59" s="11" t="inlineStr">
        <is>
          <t>144 | 2026-03-28 | 34,000 | brigeth pamela
160 | 2026-03-28 | 57,100 | brigeth pamela</t>
        </is>
      </c>
      <c r="B59" s="11" t="inlineStr">
        <is>
          <t>1103 | 2026-03-28 | 91,100 | brige diaz hernandez</t>
        </is>
      </c>
      <c r="C59" s="13" t="n">
        <v>0</v>
      </c>
      <c r="D59" s="11" t="inlineStr">
        <is>
          <t>por revisar</t>
        </is>
      </c>
      <c r="E59" s="11">
        <f>IF(D59&lt;&gt;"conciliado","Pendiente",IF(C59&lt;&gt;0,"ERROR: diferencia distinta de cero",IF(OR(AND(J59&lt;&gt;"",SUM(COUNTIFS($D$2:$D$71,"conciliado",$J$2:$J$71,J59),COUNTIFS($D$2:$D$71,"conciliado",$K$2:$K$71,J59),COUNTIFS($D$2:$D$71,"conciliado",$L$2:$L$71,J59))&gt;1),AND(K59&lt;&gt;"",SUM(COUNTIFS($D$2:$D$71,"conciliado",$J$2:$J$71,K59),COUNTIFS($D$2:$D$71,"conciliado",$K$2:$K$71,K59),COUNTIFS($D$2:$D$71,"conciliado",$L$2:$L$71,K59))&gt;1),AND(L59&lt;&gt;"",SUM(COUNTIFS($D$2:$D$71,"conciliado",$J$2:$J$71,L59),COUNTIFS($D$2:$D$71,"conciliado",$K$2:$K$71,L59),COUNTIFS($D$2:$D$71,"conciliado",$L$2:$L$71,L59))&gt;1)),"ERROR: banco ya usado en otro compuesto conciliado",IF(OR(AND(M59&lt;&gt;"",SUM(COUNTIFS($D$2:$D$71,"conciliado",$M$2:$M$71,M59),COUNTIFS($D$2:$D$71,"conciliado",$N$2:$N$71,M59),COUNTIFS($D$2:$D$71,"conciliado",$O$2:$O$71,M59))&gt;1),AND(N59&lt;&gt;"",SUM(COUNTIFS($D$2:$D$71,"conciliado",$M$2:$M$71,N59),COUNTIFS($D$2:$D$71,"conciliado",$N$2:$N$71,N59),COUNTIFS($D$2:$D$71,"conciliado",$O$2:$O$71,N59))&gt;1),AND(O59&lt;&gt;"",SUM(COUNTIFS($D$2:$D$71,"conciliado",$M$2:$M$71,O59),COUNTIFS($D$2:$D$71,"conciliado",$N$2:$N$71,O59),COUNTIFS($D$2:$D$71,"conciliado",$O$2:$O$71,O59))&gt;1)),"ERROR: libro_aux ya usado en otro compuesto conciliado","OK"))))</f>
        <v/>
      </c>
      <c r="F59" s="11" t="inlineStr">
        <is>
          <t>Posible compuesto detectado por suma exacta en la misma fecha. Revisar antes de conciliar.</t>
        </is>
      </c>
      <c r="G59" s="11" t="inlineStr"/>
      <c r="H59" s="11" t="inlineStr">
        <is>
          <t>144, 160</t>
        </is>
      </c>
      <c r="I59" s="11" t="inlineStr">
        <is>
          <t>1103</t>
        </is>
      </c>
      <c r="J59" s="11" t="n">
        <v>144</v>
      </c>
      <c r="K59" s="11" t="n">
        <v>160</v>
      </c>
      <c r="L59" s="11" t="inlineStr"/>
      <c r="M59" s="11" t="n">
        <v>1103</v>
      </c>
      <c r="N59" s="11" t="inlineStr"/>
      <c r="O59" s="11" t="inlineStr"/>
    </row>
    <row r="60">
      <c r="A60" s="11" t="inlineStr">
        <is>
          <t>91 | 2026-03-29 | 35,900 | b bre edisson
92 | 2026-03-29 | 98,900 | chana edisson junior</t>
        </is>
      </c>
      <c r="B60" s="11" t="inlineStr">
        <is>
          <t>1152 | 2026-03-29 | 134,800 | chana edisson potosi</t>
        </is>
      </c>
      <c r="C60" s="13" t="n">
        <v>0</v>
      </c>
      <c r="D60" s="11" t="inlineStr">
        <is>
          <t>por revisar</t>
        </is>
      </c>
      <c r="E60" s="11">
        <f>IF(D60&lt;&gt;"conciliado","Pendiente",IF(C60&lt;&gt;0,"ERROR: diferencia distinta de cero",IF(OR(AND(J60&lt;&gt;"",SUM(COUNTIFS($D$2:$D$71,"conciliado",$J$2:$J$71,J60),COUNTIFS($D$2:$D$71,"conciliado",$K$2:$K$71,J60),COUNTIFS($D$2:$D$71,"conciliado",$L$2:$L$71,J60))&gt;1),AND(K60&lt;&gt;"",SUM(COUNTIFS($D$2:$D$71,"conciliado",$J$2:$J$71,K60),COUNTIFS($D$2:$D$71,"conciliado",$K$2:$K$71,K60),COUNTIFS($D$2:$D$71,"conciliado",$L$2:$L$71,K60))&gt;1),AND(L60&lt;&gt;"",SUM(COUNTIFS($D$2:$D$71,"conciliado",$J$2:$J$71,L60),COUNTIFS($D$2:$D$71,"conciliado",$K$2:$K$71,L60),COUNTIFS($D$2:$D$71,"conciliado",$L$2:$L$71,L60))&gt;1)),"ERROR: banco ya usado en otro compuesto conciliado",IF(OR(AND(M60&lt;&gt;"",SUM(COUNTIFS($D$2:$D$71,"conciliado",$M$2:$M$71,M60),COUNTIFS($D$2:$D$71,"conciliado",$N$2:$N$71,M60),COUNTIFS($D$2:$D$71,"conciliado",$O$2:$O$71,M60))&gt;1),AND(N60&lt;&gt;"",SUM(COUNTIFS($D$2:$D$71,"conciliado",$M$2:$M$71,N60),COUNTIFS($D$2:$D$71,"conciliado",$N$2:$N$71,N60),COUNTIFS($D$2:$D$71,"conciliado",$O$2:$O$71,N60))&gt;1),AND(O60&lt;&gt;"",SUM(COUNTIFS($D$2:$D$71,"conciliado",$M$2:$M$71,O60),COUNTIFS($D$2:$D$71,"conciliado",$N$2:$N$71,O60),COUNTIFS($D$2:$D$71,"conciliado",$O$2:$O$71,O60))&gt;1)),"ERROR: libro_aux ya usado en otro compuesto conciliado","OK"))))</f>
        <v/>
      </c>
      <c r="F60" s="11" t="inlineStr">
        <is>
          <t>Posible compuesto detectado por suma exacta en la misma fecha. Revisar antes de conciliar.</t>
        </is>
      </c>
      <c r="G60" s="11" t="inlineStr"/>
      <c r="H60" s="11" t="inlineStr">
        <is>
          <t>91, 92</t>
        </is>
      </c>
      <c r="I60" s="11" t="inlineStr">
        <is>
          <t>1152</t>
        </is>
      </c>
      <c r="J60" s="11" t="n">
        <v>91</v>
      </c>
      <c r="K60" s="11" t="n">
        <v>92</v>
      </c>
      <c r="L60" s="11" t="inlineStr"/>
      <c r="M60" s="11" t="n">
        <v>1152</v>
      </c>
      <c r="N60" s="11" t="inlineStr"/>
      <c r="O60" s="11" t="inlineStr"/>
    </row>
    <row r="61">
      <c r="A61" s="11" t="inlineStr">
        <is>
          <t>18 | 2026-03-31 | 14,000 | ricardo segundo
23 | 2026-03-31 | 8,200 | ricardo segundo</t>
        </is>
      </c>
      <c r="B61" s="11" t="inlineStr">
        <is>
          <t>1228 | 2026-03-31 | 22,200 | benavide manchabajoy</t>
        </is>
      </c>
      <c r="C61" s="13" t="n">
        <v>0</v>
      </c>
      <c r="D61" s="11" t="inlineStr">
        <is>
          <t>por revisar</t>
        </is>
      </c>
      <c r="E61" s="11">
        <f>IF(D61&lt;&gt;"conciliado","Pendiente",IF(C61&lt;&gt;0,"ERROR: diferencia distinta de cero",IF(OR(AND(J61&lt;&gt;"",SUM(COUNTIFS($D$2:$D$71,"conciliado",$J$2:$J$71,J61),COUNTIFS($D$2:$D$71,"conciliado",$K$2:$K$71,J61),COUNTIFS($D$2:$D$71,"conciliado",$L$2:$L$71,J61))&gt;1),AND(K61&lt;&gt;"",SUM(COUNTIFS($D$2:$D$71,"conciliado",$J$2:$J$71,K61),COUNTIFS($D$2:$D$71,"conciliado",$K$2:$K$71,K61),COUNTIFS($D$2:$D$71,"conciliado",$L$2:$L$71,K61))&gt;1),AND(L61&lt;&gt;"",SUM(COUNTIFS($D$2:$D$71,"conciliado",$J$2:$J$71,L61),COUNTIFS($D$2:$D$71,"conciliado",$K$2:$K$71,L61),COUNTIFS($D$2:$D$71,"conciliado",$L$2:$L$71,L61))&gt;1)),"ERROR: banco ya usado en otro compuesto conciliado",IF(OR(AND(M61&lt;&gt;"",SUM(COUNTIFS($D$2:$D$71,"conciliado",$M$2:$M$71,M61),COUNTIFS($D$2:$D$71,"conciliado",$N$2:$N$71,M61),COUNTIFS($D$2:$D$71,"conciliado",$O$2:$O$71,M61))&gt;1),AND(N61&lt;&gt;"",SUM(COUNTIFS($D$2:$D$71,"conciliado",$M$2:$M$71,N61),COUNTIFS($D$2:$D$71,"conciliado",$N$2:$N$71,N61),COUNTIFS($D$2:$D$71,"conciliado",$O$2:$O$71,N61))&gt;1),AND(O61&lt;&gt;"",SUM(COUNTIFS($D$2:$D$71,"conciliado",$M$2:$M$71,O61),COUNTIFS($D$2:$D$71,"conciliado",$N$2:$N$71,O61),COUNTIFS($D$2:$D$71,"conciliado",$O$2:$O$71,O61))&gt;1)),"ERROR: libro_aux ya usado en otro compuesto conciliado","OK"))))</f>
        <v/>
      </c>
      <c r="F61" s="11" t="inlineStr">
        <is>
          <t>Posible compuesto detectado por suma exacta en la misma fecha. Revisar antes de conciliar.</t>
        </is>
      </c>
      <c r="G61" s="11" t="inlineStr"/>
      <c r="H61" s="11" t="inlineStr">
        <is>
          <t>18, 23</t>
        </is>
      </c>
      <c r="I61" s="11" t="inlineStr">
        <is>
          <t>1228</t>
        </is>
      </c>
      <c r="J61" s="11" t="n">
        <v>18</v>
      </c>
      <c r="K61" s="11" t="n">
        <v>23</v>
      </c>
      <c r="L61" s="11" t="inlineStr"/>
      <c r="M61" s="11" t="n">
        <v>1228</v>
      </c>
      <c r="N61" s="11" t="inlineStr"/>
      <c r="O61" s="11" t="inlineStr"/>
    </row>
    <row r="62">
      <c r="A62" s="11" t="inlineStr">
        <is>
          <t>1282 | 2026-03-02 | 12,900 | b bre
1283 | 2026-03-02 | 38,100 | b bre</t>
        </is>
      </c>
      <c r="B62" s="11" t="inlineStr">
        <is>
          <t>56 | 2026-03-02 | 51,000 | cr maturana renteria</t>
        </is>
      </c>
      <c r="C62" s="13" t="n">
        <v>0</v>
      </c>
      <c r="D62" s="11" t="inlineStr">
        <is>
          <t>por revisar</t>
        </is>
      </c>
      <c r="E62" s="11">
        <f>IF(D62&lt;&gt;"conciliado","Pendiente",IF(C62&lt;&gt;0,"ERROR: diferencia distinta de cero",IF(OR(AND(J62&lt;&gt;"",SUM(COUNTIFS($D$2:$D$71,"conciliado",$J$2:$J$71,J62),COUNTIFS($D$2:$D$71,"conciliado",$K$2:$K$71,J62),COUNTIFS($D$2:$D$71,"conciliado",$L$2:$L$71,J62))&gt;1),AND(K62&lt;&gt;"",SUM(COUNTIFS($D$2:$D$71,"conciliado",$J$2:$J$71,K62),COUNTIFS($D$2:$D$71,"conciliado",$K$2:$K$71,K62),COUNTIFS($D$2:$D$71,"conciliado",$L$2:$L$71,K62))&gt;1),AND(L62&lt;&gt;"",SUM(COUNTIFS($D$2:$D$71,"conciliado",$J$2:$J$71,L62),COUNTIFS($D$2:$D$71,"conciliado",$K$2:$K$71,L62),COUNTIFS($D$2:$D$71,"conciliado",$L$2:$L$71,L62))&gt;1)),"ERROR: banco ya usado en otro compuesto conciliado",IF(OR(AND(M62&lt;&gt;"",SUM(COUNTIFS($D$2:$D$71,"conciliado",$M$2:$M$71,M62),COUNTIFS($D$2:$D$71,"conciliado",$N$2:$N$71,M62),COUNTIFS($D$2:$D$71,"conciliado",$O$2:$O$71,M62))&gt;1),AND(N62&lt;&gt;"",SUM(COUNTIFS($D$2:$D$71,"conciliado",$M$2:$M$71,N62),COUNTIFS($D$2:$D$71,"conciliado",$N$2:$N$71,N62),COUNTIFS($D$2:$D$71,"conciliado",$O$2:$O$71,N62))&gt;1),AND(O62&lt;&gt;"",SUM(COUNTIFS($D$2:$D$71,"conciliado",$M$2:$M$71,O62),COUNTIFS($D$2:$D$71,"conciliado",$N$2:$N$71,O62),COUNTIFS($D$2:$D$71,"conciliado",$O$2:$O$71,O62))&gt;1)),"ERROR: libro_aux ya usado en otro compuesto conciliado","OK"))))</f>
        <v/>
      </c>
      <c r="F62" s="11" t="inlineStr">
        <is>
          <t>Posible compuesto detectado por suma exacta en la misma fecha. Revisar antes de conciliar.</t>
        </is>
      </c>
      <c r="G62" s="11" t="inlineStr"/>
      <c r="H62" s="11" t="inlineStr">
        <is>
          <t>1282, 1283</t>
        </is>
      </c>
      <c r="I62" s="11" t="inlineStr">
        <is>
          <t>56</t>
        </is>
      </c>
      <c r="J62" s="11" t="n">
        <v>1282</v>
      </c>
      <c r="K62" s="11" t="n">
        <v>1283</v>
      </c>
      <c r="L62" s="11" t="inlineStr"/>
      <c r="M62" s="11" t="n">
        <v>56</v>
      </c>
      <c r="N62" s="11" t="inlineStr"/>
      <c r="O62" s="11" t="inlineStr"/>
    </row>
    <row r="63">
      <c r="A63" s="11" t="inlineStr">
        <is>
          <t>368 | 2026-03-23 | 50,000 | bravo jair jhon moreano</t>
        </is>
      </c>
      <c r="B63" s="11" t="inlineStr">
        <is>
          <t>884 | 2026-03-23 | 33,000 | benavide manchabajoy
920 | 2026-03-23 | 17,000 | bravo j jhon moriano</t>
        </is>
      </c>
      <c r="C63" s="13" t="n">
        <v>0</v>
      </c>
      <c r="D63" s="11" t="inlineStr">
        <is>
          <t>por revisar</t>
        </is>
      </c>
      <c r="E63" s="11">
        <f>IF(D63&lt;&gt;"conciliado","Pendiente",IF(C63&lt;&gt;0,"ERROR: diferencia distinta de cero",IF(OR(AND(J63&lt;&gt;"",SUM(COUNTIFS($D$2:$D$71,"conciliado",$J$2:$J$71,J63),COUNTIFS($D$2:$D$71,"conciliado",$K$2:$K$71,J63),COUNTIFS($D$2:$D$71,"conciliado",$L$2:$L$71,J63))&gt;1),AND(K63&lt;&gt;"",SUM(COUNTIFS($D$2:$D$71,"conciliado",$J$2:$J$71,K63),COUNTIFS($D$2:$D$71,"conciliado",$K$2:$K$71,K63),COUNTIFS($D$2:$D$71,"conciliado",$L$2:$L$71,K63))&gt;1),AND(L63&lt;&gt;"",SUM(COUNTIFS($D$2:$D$71,"conciliado",$J$2:$J$71,L63),COUNTIFS($D$2:$D$71,"conciliado",$K$2:$K$71,L63),COUNTIFS($D$2:$D$71,"conciliado",$L$2:$L$71,L63))&gt;1)),"ERROR: banco ya usado en otro compuesto conciliado",IF(OR(AND(M63&lt;&gt;"",SUM(COUNTIFS($D$2:$D$71,"conciliado",$M$2:$M$71,M63),COUNTIFS($D$2:$D$71,"conciliado",$N$2:$N$71,M63),COUNTIFS($D$2:$D$71,"conciliado",$O$2:$O$71,M63))&gt;1),AND(N63&lt;&gt;"",SUM(COUNTIFS($D$2:$D$71,"conciliado",$M$2:$M$71,N63),COUNTIFS($D$2:$D$71,"conciliado",$N$2:$N$71,N63),COUNTIFS($D$2:$D$71,"conciliado",$O$2:$O$71,N63))&gt;1),AND(O63&lt;&gt;"",SUM(COUNTIFS($D$2:$D$71,"conciliado",$M$2:$M$71,O63),COUNTIFS($D$2:$D$71,"conciliado",$N$2:$N$71,O63),COUNTIFS($D$2:$D$71,"conciliado",$O$2:$O$71,O63))&gt;1)),"ERROR: libro_aux ya usado en otro compuesto conciliado","OK"))))</f>
        <v/>
      </c>
      <c r="F63" s="11" t="inlineStr">
        <is>
          <t>Posible compuesto detectado por suma exacta en la misma fecha. Revisar antes de conciliar.</t>
        </is>
      </c>
      <c r="G63" s="11" t="inlineStr"/>
      <c r="H63" s="11" t="inlineStr">
        <is>
          <t>368</t>
        </is>
      </c>
      <c r="I63" s="11" t="inlineStr">
        <is>
          <t>884, 920</t>
        </is>
      </c>
      <c r="J63" s="11" t="n">
        <v>368</v>
      </c>
      <c r="K63" s="11" t="inlineStr"/>
      <c r="L63" s="11" t="inlineStr"/>
      <c r="M63" s="11" t="n">
        <v>884</v>
      </c>
      <c r="N63" s="11" t="n">
        <v>920</v>
      </c>
      <c r="O63" s="11" t="inlineStr"/>
    </row>
    <row r="64">
      <c r="A64" s="11" t="inlineStr">
        <is>
          <t>1266 | 2026-03-02 | 3,500 | bancolombia desde qr recarga
1295 | 2026-03-02 | 6,000 | bancolombia desde qr recarga
1303 | 2026-03-02 | 5,500 | daniel muriel nicolas</t>
        </is>
      </c>
      <c r="B64" s="11" t="inlineStr">
        <is>
          <t>57 | 2026-03-02 | 15,000 | aco consorcio obras</t>
        </is>
      </c>
      <c r="C64" s="13" t="n">
        <v>0</v>
      </c>
      <c r="D64" s="11" t="inlineStr">
        <is>
          <t>por revisar</t>
        </is>
      </c>
      <c r="E64" s="11">
        <f>IF(D64&lt;&gt;"conciliado","Pendiente",IF(C64&lt;&gt;0,"ERROR: diferencia distinta de cero",IF(OR(AND(J64&lt;&gt;"",SUM(COUNTIFS($D$2:$D$71,"conciliado",$J$2:$J$71,J64),COUNTIFS($D$2:$D$71,"conciliado",$K$2:$K$71,J64),COUNTIFS($D$2:$D$71,"conciliado",$L$2:$L$71,J64))&gt;1),AND(K64&lt;&gt;"",SUM(COUNTIFS($D$2:$D$71,"conciliado",$J$2:$J$71,K64),COUNTIFS($D$2:$D$71,"conciliado",$K$2:$K$71,K64),COUNTIFS($D$2:$D$71,"conciliado",$L$2:$L$71,K64))&gt;1),AND(L64&lt;&gt;"",SUM(COUNTIFS($D$2:$D$71,"conciliado",$J$2:$J$71,L64),COUNTIFS($D$2:$D$71,"conciliado",$K$2:$K$71,L64),COUNTIFS($D$2:$D$71,"conciliado",$L$2:$L$71,L64))&gt;1)),"ERROR: banco ya usado en otro compuesto conciliado",IF(OR(AND(M64&lt;&gt;"",SUM(COUNTIFS($D$2:$D$71,"conciliado",$M$2:$M$71,M64),COUNTIFS($D$2:$D$71,"conciliado",$N$2:$N$71,M64),COUNTIFS($D$2:$D$71,"conciliado",$O$2:$O$71,M64))&gt;1),AND(N64&lt;&gt;"",SUM(COUNTIFS($D$2:$D$71,"conciliado",$M$2:$M$71,N64),COUNTIFS($D$2:$D$71,"conciliado",$N$2:$N$71,N64),COUNTIFS($D$2:$D$71,"conciliado",$O$2:$O$71,N64))&gt;1),AND(O64&lt;&gt;"",SUM(COUNTIFS($D$2:$D$71,"conciliado",$M$2:$M$71,O64),COUNTIFS($D$2:$D$71,"conciliado",$N$2:$N$71,O64),COUNTIFS($D$2:$D$71,"conciliado",$O$2:$O$71,O64))&gt;1)),"ERROR: libro_aux ya usado en otro compuesto conciliado","OK"))))</f>
        <v/>
      </c>
      <c r="F64" s="11" t="inlineStr">
        <is>
          <t>Posible compuesto detectado por suma exacta en la misma fecha. Revisar antes de conciliar.</t>
        </is>
      </c>
      <c r="G64" s="11" t="inlineStr"/>
      <c r="H64" s="11" t="inlineStr">
        <is>
          <t>1266, 1295, 1303</t>
        </is>
      </c>
      <c r="I64" s="11" t="inlineStr">
        <is>
          <t>57</t>
        </is>
      </c>
      <c r="J64" s="11" t="n">
        <v>1266</v>
      </c>
      <c r="K64" s="11" t="n">
        <v>1295</v>
      </c>
      <c r="L64" s="11" t="n">
        <v>1303</v>
      </c>
      <c r="M64" s="11" t="n">
        <v>57</v>
      </c>
      <c r="N64" s="11" t="inlineStr"/>
      <c r="O64" s="11" t="inlineStr"/>
    </row>
    <row r="65">
      <c r="A65" s="11" t="inlineStr">
        <is>
          <t>1090 | 2026-03-07 | 20,300 | alexandra daniela ortiz
1103 | 2026-03-07 | 5,000 | andres bravo edwar</t>
        </is>
      </c>
      <c r="B65" s="11" t="inlineStr">
        <is>
          <t>243 | 2026-03-07 | 25,300 | aco consorcio obras</t>
        </is>
      </c>
      <c r="C65" s="13" t="n">
        <v>0</v>
      </c>
      <c r="D65" s="11" t="inlineStr">
        <is>
          <t>por revisar</t>
        </is>
      </c>
      <c r="E65" s="11">
        <f>IF(D65&lt;&gt;"conciliado","Pendiente",IF(C65&lt;&gt;0,"ERROR: diferencia distinta de cero",IF(OR(AND(J65&lt;&gt;"",SUM(COUNTIFS($D$2:$D$71,"conciliado",$J$2:$J$71,J65),COUNTIFS($D$2:$D$71,"conciliado",$K$2:$K$71,J65),COUNTIFS($D$2:$D$71,"conciliado",$L$2:$L$71,J65))&gt;1),AND(K65&lt;&gt;"",SUM(COUNTIFS($D$2:$D$71,"conciliado",$J$2:$J$71,K65),COUNTIFS($D$2:$D$71,"conciliado",$K$2:$K$71,K65),COUNTIFS($D$2:$D$71,"conciliado",$L$2:$L$71,K65))&gt;1),AND(L65&lt;&gt;"",SUM(COUNTIFS($D$2:$D$71,"conciliado",$J$2:$J$71,L65),COUNTIFS($D$2:$D$71,"conciliado",$K$2:$K$71,L65),COUNTIFS($D$2:$D$71,"conciliado",$L$2:$L$71,L65))&gt;1)),"ERROR: banco ya usado en otro compuesto conciliado",IF(OR(AND(M65&lt;&gt;"",SUM(COUNTIFS($D$2:$D$71,"conciliado",$M$2:$M$71,M65),COUNTIFS($D$2:$D$71,"conciliado",$N$2:$N$71,M65),COUNTIFS($D$2:$D$71,"conciliado",$O$2:$O$71,M65))&gt;1),AND(N65&lt;&gt;"",SUM(COUNTIFS($D$2:$D$71,"conciliado",$M$2:$M$71,N65),COUNTIFS($D$2:$D$71,"conciliado",$N$2:$N$71,N65),COUNTIFS($D$2:$D$71,"conciliado",$O$2:$O$71,N65))&gt;1),AND(O65&lt;&gt;"",SUM(COUNTIFS($D$2:$D$71,"conciliado",$M$2:$M$71,O65),COUNTIFS($D$2:$D$71,"conciliado",$N$2:$N$71,O65),COUNTIFS($D$2:$D$71,"conciliado",$O$2:$O$71,O65))&gt;1)),"ERROR: libro_aux ya usado en otro compuesto conciliado","OK"))))</f>
        <v/>
      </c>
      <c r="F65" s="11" t="inlineStr">
        <is>
          <t>Posible compuesto detectado por suma exacta en la misma fecha. Revisar antes de conciliar.</t>
        </is>
      </c>
      <c r="G65" s="11" t="inlineStr"/>
      <c r="H65" s="11" t="inlineStr">
        <is>
          <t>1090, 1103</t>
        </is>
      </c>
      <c r="I65" s="11" t="inlineStr">
        <is>
          <t>243</t>
        </is>
      </c>
      <c r="J65" s="11" t="n">
        <v>1090</v>
      </c>
      <c r="K65" s="11" t="n">
        <v>1103</v>
      </c>
      <c r="L65" s="11" t="inlineStr"/>
      <c r="M65" s="11" t="n">
        <v>243</v>
      </c>
      <c r="N65" s="11" t="inlineStr"/>
      <c r="O65" s="11" t="inlineStr"/>
    </row>
    <row r="66">
      <c r="A66" s="11" t="inlineStr">
        <is>
          <t>999 | 2026-03-09 | 60,000 | arnold david duque
1007 | 2026-03-09 | 15,000 | bancolombia desde recarga
1018 | 2026-03-09 | 15,000 | bancolombia desde recarga</t>
        </is>
      </c>
      <c r="B66" s="11" t="inlineStr">
        <is>
          <t>343 | 2026-03-09 | 90,000 | sebastian zambrano</t>
        </is>
      </c>
      <c r="C66" s="13" t="n">
        <v>0</v>
      </c>
      <c r="D66" s="11" t="inlineStr">
        <is>
          <t>por revisar</t>
        </is>
      </c>
      <c r="E66" s="11">
        <f>IF(D66&lt;&gt;"conciliado","Pendiente",IF(C66&lt;&gt;0,"ERROR: diferencia distinta de cero",IF(OR(AND(J66&lt;&gt;"",SUM(COUNTIFS($D$2:$D$71,"conciliado",$J$2:$J$71,J66),COUNTIFS($D$2:$D$71,"conciliado",$K$2:$K$71,J66),COUNTIFS($D$2:$D$71,"conciliado",$L$2:$L$71,J66))&gt;1),AND(K66&lt;&gt;"",SUM(COUNTIFS($D$2:$D$71,"conciliado",$J$2:$J$71,K66),COUNTIFS($D$2:$D$71,"conciliado",$K$2:$K$71,K66),COUNTIFS($D$2:$D$71,"conciliado",$L$2:$L$71,K66))&gt;1),AND(L66&lt;&gt;"",SUM(COUNTIFS($D$2:$D$71,"conciliado",$J$2:$J$71,L66),COUNTIFS($D$2:$D$71,"conciliado",$K$2:$K$71,L66),COUNTIFS($D$2:$D$71,"conciliado",$L$2:$L$71,L66))&gt;1)),"ERROR: banco ya usado en otro compuesto conciliado",IF(OR(AND(M66&lt;&gt;"",SUM(COUNTIFS($D$2:$D$71,"conciliado",$M$2:$M$71,M66),COUNTIFS($D$2:$D$71,"conciliado",$N$2:$N$71,M66),COUNTIFS($D$2:$D$71,"conciliado",$O$2:$O$71,M66))&gt;1),AND(N66&lt;&gt;"",SUM(COUNTIFS($D$2:$D$71,"conciliado",$M$2:$M$71,N66),COUNTIFS($D$2:$D$71,"conciliado",$N$2:$N$71,N66),COUNTIFS($D$2:$D$71,"conciliado",$O$2:$O$71,N66))&gt;1),AND(O66&lt;&gt;"",SUM(COUNTIFS($D$2:$D$71,"conciliado",$M$2:$M$71,O66),COUNTIFS($D$2:$D$71,"conciliado",$N$2:$N$71,O66),COUNTIFS($D$2:$D$71,"conciliado",$O$2:$O$71,O66))&gt;1)),"ERROR: libro_aux ya usado en otro compuesto conciliado","OK"))))</f>
        <v/>
      </c>
      <c r="F66" s="11" t="inlineStr">
        <is>
          <t>Posible compuesto detectado por suma exacta en la misma fecha. Revisar antes de conciliar.</t>
        </is>
      </c>
      <c r="G66" s="11" t="inlineStr"/>
      <c r="H66" s="11" t="inlineStr">
        <is>
          <t>999, 1007, 1018</t>
        </is>
      </c>
      <c r="I66" s="11" t="inlineStr">
        <is>
          <t>343</t>
        </is>
      </c>
      <c r="J66" s="11" t="n">
        <v>999</v>
      </c>
      <c r="K66" s="11" t="n">
        <v>1007</v>
      </c>
      <c r="L66" s="11" t="n">
        <v>1018</v>
      </c>
      <c r="M66" s="11" t="n">
        <v>343</v>
      </c>
      <c r="N66" s="11" t="inlineStr"/>
      <c r="O66" s="11" t="inlineStr"/>
    </row>
    <row r="67">
      <c r="A67" s="11" t="inlineStr">
        <is>
          <t>951 | 2026-03-10 | 26,300 | bancolombia desde qr recarga
967 | 2026-03-10 | 37,200 | b bre dayana</t>
        </is>
      </c>
      <c r="B67" s="11" t="inlineStr">
        <is>
          <t>357 | 2026-03-10 | 63,500 | da delgado paladines</t>
        </is>
      </c>
      <c r="C67" s="13" t="n">
        <v>0</v>
      </c>
      <c r="D67" s="11" t="inlineStr">
        <is>
          <t>por revisar</t>
        </is>
      </c>
      <c r="E67" s="11">
        <f>IF(D67&lt;&gt;"conciliado","Pendiente",IF(C67&lt;&gt;0,"ERROR: diferencia distinta de cero",IF(OR(AND(J67&lt;&gt;"",SUM(COUNTIFS($D$2:$D$71,"conciliado",$J$2:$J$71,J67),COUNTIFS($D$2:$D$71,"conciliado",$K$2:$K$71,J67),COUNTIFS($D$2:$D$71,"conciliado",$L$2:$L$71,J67))&gt;1),AND(K67&lt;&gt;"",SUM(COUNTIFS($D$2:$D$71,"conciliado",$J$2:$J$71,K67),COUNTIFS($D$2:$D$71,"conciliado",$K$2:$K$71,K67),COUNTIFS($D$2:$D$71,"conciliado",$L$2:$L$71,K67))&gt;1),AND(L67&lt;&gt;"",SUM(COUNTIFS($D$2:$D$71,"conciliado",$J$2:$J$71,L67),COUNTIFS($D$2:$D$71,"conciliado",$K$2:$K$71,L67),COUNTIFS($D$2:$D$71,"conciliado",$L$2:$L$71,L67))&gt;1)),"ERROR: banco ya usado en otro compuesto conciliado",IF(OR(AND(M67&lt;&gt;"",SUM(COUNTIFS($D$2:$D$71,"conciliado",$M$2:$M$71,M67),COUNTIFS($D$2:$D$71,"conciliado",$N$2:$N$71,M67),COUNTIFS($D$2:$D$71,"conciliado",$O$2:$O$71,M67))&gt;1),AND(N67&lt;&gt;"",SUM(COUNTIFS($D$2:$D$71,"conciliado",$M$2:$M$71,N67),COUNTIFS($D$2:$D$71,"conciliado",$N$2:$N$71,N67),COUNTIFS($D$2:$D$71,"conciliado",$O$2:$O$71,N67))&gt;1),AND(O67&lt;&gt;"",SUM(COUNTIFS($D$2:$D$71,"conciliado",$M$2:$M$71,O67),COUNTIFS($D$2:$D$71,"conciliado",$N$2:$N$71,O67),COUNTIFS($D$2:$D$71,"conciliado",$O$2:$O$71,O67))&gt;1)),"ERROR: libro_aux ya usado en otro compuesto conciliado","OK"))))</f>
        <v/>
      </c>
      <c r="F67" s="11" t="inlineStr">
        <is>
          <t>Posible compuesto detectado por suma exacta en la misma fecha. Revisar antes de conciliar.</t>
        </is>
      </c>
      <c r="G67" s="11" t="inlineStr"/>
      <c r="H67" s="11" t="inlineStr">
        <is>
          <t>951, 967</t>
        </is>
      </c>
      <c r="I67" s="11" t="inlineStr">
        <is>
          <t>357</t>
        </is>
      </c>
      <c r="J67" s="11" t="n">
        <v>951</v>
      </c>
      <c r="K67" s="11" t="n">
        <v>967</v>
      </c>
      <c r="L67" s="11" t="inlineStr"/>
      <c r="M67" s="11" t="n">
        <v>357</v>
      </c>
      <c r="N67" s="11" t="inlineStr"/>
      <c r="O67" s="11" t="inlineStr"/>
    </row>
    <row r="68">
      <c r="A68" s="11" t="inlineStr">
        <is>
          <t>878 | 2026-03-12 | 2,000 | bancolombia desde qr recarga
881 | 2026-03-12 | 9,000 | gonzalez lina maria</t>
        </is>
      </c>
      <c r="B68" s="11" t="inlineStr">
        <is>
          <t>435 | 2026-03-12 | 11,000 | angulo botina gustav</t>
        </is>
      </c>
      <c r="C68" s="13" t="n">
        <v>0</v>
      </c>
      <c r="D68" s="11" t="inlineStr">
        <is>
          <t>por revisar</t>
        </is>
      </c>
      <c r="E68" s="11">
        <f>IF(D68&lt;&gt;"conciliado","Pendiente",IF(C68&lt;&gt;0,"ERROR: diferencia distinta de cero",IF(OR(AND(J68&lt;&gt;"",SUM(COUNTIFS($D$2:$D$71,"conciliado",$J$2:$J$71,J68),COUNTIFS($D$2:$D$71,"conciliado",$K$2:$K$71,J68),COUNTIFS($D$2:$D$71,"conciliado",$L$2:$L$71,J68))&gt;1),AND(K68&lt;&gt;"",SUM(COUNTIFS($D$2:$D$71,"conciliado",$J$2:$J$71,K68),COUNTIFS($D$2:$D$71,"conciliado",$K$2:$K$71,K68),COUNTIFS($D$2:$D$71,"conciliado",$L$2:$L$71,K68))&gt;1),AND(L68&lt;&gt;"",SUM(COUNTIFS($D$2:$D$71,"conciliado",$J$2:$J$71,L68),COUNTIFS($D$2:$D$71,"conciliado",$K$2:$K$71,L68),COUNTIFS($D$2:$D$71,"conciliado",$L$2:$L$71,L68))&gt;1)),"ERROR: banco ya usado en otro compuesto conciliado",IF(OR(AND(M68&lt;&gt;"",SUM(COUNTIFS($D$2:$D$71,"conciliado",$M$2:$M$71,M68),COUNTIFS($D$2:$D$71,"conciliado",$N$2:$N$71,M68),COUNTIFS($D$2:$D$71,"conciliado",$O$2:$O$71,M68))&gt;1),AND(N68&lt;&gt;"",SUM(COUNTIFS($D$2:$D$71,"conciliado",$M$2:$M$71,N68),COUNTIFS($D$2:$D$71,"conciliado",$N$2:$N$71,N68),COUNTIFS($D$2:$D$71,"conciliado",$O$2:$O$71,N68))&gt;1),AND(O68&lt;&gt;"",SUM(COUNTIFS($D$2:$D$71,"conciliado",$M$2:$M$71,O68),COUNTIFS($D$2:$D$71,"conciliado",$N$2:$N$71,O68),COUNTIFS($D$2:$D$71,"conciliado",$O$2:$O$71,O68))&gt;1)),"ERROR: libro_aux ya usado en otro compuesto conciliado","OK"))))</f>
        <v/>
      </c>
      <c r="F68" s="11" t="inlineStr">
        <is>
          <t>Posible compuesto detectado por suma exacta en la misma fecha. Revisar antes de conciliar.</t>
        </is>
      </c>
      <c r="G68" s="11" t="inlineStr"/>
      <c r="H68" s="11" t="inlineStr">
        <is>
          <t>878, 881</t>
        </is>
      </c>
      <c r="I68" s="11" t="inlineStr">
        <is>
          <t>435</t>
        </is>
      </c>
      <c r="J68" s="11" t="n">
        <v>878</v>
      </c>
      <c r="K68" s="11" t="n">
        <v>881</v>
      </c>
      <c r="L68" s="11" t="inlineStr"/>
      <c r="M68" s="11" t="n">
        <v>435</v>
      </c>
      <c r="N68" s="11" t="inlineStr"/>
      <c r="O68" s="11" t="inlineStr"/>
    </row>
    <row r="69">
      <c r="A69" s="11" t="inlineStr">
        <is>
          <t>812 | 2026-03-13 | 18,800 | ana caicedo marcela
857 | 2026-03-13 | 14,800 | b bre sol</t>
        </is>
      </c>
      <c r="B69" s="11" t="inlineStr">
        <is>
          <t>470 | 2026-03-13 | 33,600 | consumidor final</t>
        </is>
      </c>
      <c r="C69" s="13" t="n">
        <v>0</v>
      </c>
      <c r="D69" s="11" t="inlineStr">
        <is>
          <t>por revisar</t>
        </is>
      </c>
      <c r="E69" s="11">
        <f>IF(D69&lt;&gt;"conciliado","Pendiente",IF(C69&lt;&gt;0,"ERROR: diferencia distinta de cero",IF(OR(AND(J69&lt;&gt;"",SUM(COUNTIFS($D$2:$D$71,"conciliado",$J$2:$J$71,J69),COUNTIFS($D$2:$D$71,"conciliado",$K$2:$K$71,J69),COUNTIFS($D$2:$D$71,"conciliado",$L$2:$L$71,J69))&gt;1),AND(K69&lt;&gt;"",SUM(COUNTIFS($D$2:$D$71,"conciliado",$J$2:$J$71,K69),COUNTIFS($D$2:$D$71,"conciliado",$K$2:$K$71,K69),COUNTIFS($D$2:$D$71,"conciliado",$L$2:$L$71,K69))&gt;1),AND(L69&lt;&gt;"",SUM(COUNTIFS($D$2:$D$71,"conciliado",$J$2:$J$71,L69),COUNTIFS($D$2:$D$71,"conciliado",$K$2:$K$71,L69),COUNTIFS($D$2:$D$71,"conciliado",$L$2:$L$71,L69))&gt;1)),"ERROR: banco ya usado en otro compuesto conciliado",IF(OR(AND(M69&lt;&gt;"",SUM(COUNTIFS($D$2:$D$71,"conciliado",$M$2:$M$71,M69),COUNTIFS($D$2:$D$71,"conciliado",$N$2:$N$71,M69),COUNTIFS($D$2:$D$71,"conciliado",$O$2:$O$71,M69))&gt;1),AND(N69&lt;&gt;"",SUM(COUNTIFS($D$2:$D$71,"conciliado",$M$2:$M$71,N69),COUNTIFS($D$2:$D$71,"conciliado",$N$2:$N$71,N69),COUNTIFS($D$2:$D$71,"conciliado",$O$2:$O$71,N69))&gt;1),AND(O69&lt;&gt;"",SUM(COUNTIFS($D$2:$D$71,"conciliado",$M$2:$M$71,O69),COUNTIFS($D$2:$D$71,"conciliado",$N$2:$N$71,O69),COUNTIFS($D$2:$D$71,"conciliado",$O$2:$O$71,O69))&gt;1)),"ERROR: libro_aux ya usado en otro compuesto conciliado","OK"))))</f>
        <v/>
      </c>
      <c r="F69" s="11" t="inlineStr">
        <is>
          <t>Posible compuesto detectado por suma exacta en la misma fecha. Revisar antes de conciliar.</t>
        </is>
      </c>
      <c r="G69" s="11" t="inlineStr"/>
      <c r="H69" s="11" t="inlineStr">
        <is>
          <t>812, 857</t>
        </is>
      </c>
      <c r="I69" s="11" t="inlineStr">
        <is>
          <t>470</t>
        </is>
      </c>
      <c r="J69" s="11" t="n">
        <v>812</v>
      </c>
      <c r="K69" s="11" t="n">
        <v>857</v>
      </c>
      <c r="L69" s="11" t="inlineStr"/>
      <c r="M69" s="11" t="n">
        <v>470</v>
      </c>
      <c r="N69" s="11" t="inlineStr"/>
      <c r="O69" s="11" t="inlineStr"/>
    </row>
    <row r="70">
      <c r="A70" s="11" t="inlineStr">
        <is>
          <t>142 | 2026-03-28 | 6,500 | camilo jurgen morales
179 | 2026-03-28 | 4,800 | bancolombia desde qr recarga</t>
        </is>
      </c>
      <c r="B70" s="11" t="inlineStr">
        <is>
          <t>1105 | 2026-03-28 | 11,300 | consumidor final</t>
        </is>
      </c>
      <c r="C70" s="13" t="n">
        <v>0</v>
      </c>
      <c r="D70" s="11" t="inlineStr">
        <is>
          <t>por revisar</t>
        </is>
      </c>
      <c r="E70" s="11">
        <f>IF(D70&lt;&gt;"conciliado","Pendiente",IF(C70&lt;&gt;0,"ERROR: diferencia distinta de cero",IF(OR(AND(J70&lt;&gt;"",SUM(COUNTIFS($D$2:$D$71,"conciliado",$J$2:$J$71,J70),COUNTIFS($D$2:$D$71,"conciliado",$K$2:$K$71,J70),COUNTIFS($D$2:$D$71,"conciliado",$L$2:$L$71,J70))&gt;1),AND(K70&lt;&gt;"",SUM(COUNTIFS($D$2:$D$71,"conciliado",$J$2:$J$71,K70),COUNTIFS($D$2:$D$71,"conciliado",$K$2:$K$71,K70),COUNTIFS($D$2:$D$71,"conciliado",$L$2:$L$71,K70))&gt;1),AND(L70&lt;&gt;"",SUM(COUNTIFS($D$2:$D$71,"conciliado",$J$2:$J$71,L70),COUNTIFS($D$2:$D$71,"conciliado",$K$2:$K$71,L70),COUNTIFS($D$2:$D$71,"conciliado",$L$2:$L$71,L70))&gt;1)),"ERROR: banco ya usado en otro compuesto conciliado",IF(OR(AND(M70&lt;&gt;"",SUM(COUNTIFS($D$2:$D$71,"conciliado",$M$2:$M$71,M70),COUNTIFS($D$2:$D$71,"conciliado",$N$2:$N$71,M70),COUNTIFS($D$2:$D$71,"conciliado",$O$2:$O$71,M70))&gt;1),AND(N70&lt;&gt;"",SUM(COUNTIFS($D$2:$D$71,"conciliado",$M$2:$M$71,N70),COUNTIFS($D$2:$D$71,"conciliado",$N$2:$N$71,N70),COUNTIFS($D$2:$D$71,"conciliado",$O$2:$O$71,N70))&gt;1),AND(O70&lt;&gt;"",SUM(COUNTIFS($D$2:$D$71,"conciliado",$M$2:$M$71,O70),COUNTIFS($D$2:$D$71,"conciliado",$N$2:$N$71,O70),COUNTIFS($D$2:$D$71,"conciliado",$O$2:$O$71,O70))&gt;1)),"ERROR: libro_aux ya usado en otro compuesto conciliado","OK"))))</f>
        <v/>
      </c>
      <c r="F70" s="11" t="inlineStr">
        <is>
          <t>Posible compuesto detectado por suma exacta en la misma fecha. Revisar antes de conciliar.</t>
        </is>
      </c>
      <c r="G70" s="11" t="inlineStr"/>
      <c r="H70" s="11" t="inlineStr">
        <is>
          <t>142, 179</t>
        </is>
      </c>
      <c r="I70" s="11" t="inlineStr">
        <is>
          <t>1105</t>
        </is>
      </c>
      <c r="J70" s="11" t="n">
        <v>142</v>
      </c>
      <c r="K70" s="11" t="n">
        <v>179</v>
      </c>
      <c r="L70" s="11" t="inlineStr"/>
      <c r="M70" s="11" t="n">
        <v>1105</v>
      </c>
      <c r="N70" s="11" t="inlineStr"/>
      <c r="O70" s="11" t="inlineStr"/>
    </row>
    <row r="71">
      <c r="A71" s="11" t="inlineStr">
        <is>
          <t>102 | 2026-03-29 | 64,600 | bancolombia desde recarga
132 | 2026-03-29 | 10,300 | b bre shirley
135 | 2026-03-29 | 9,800 | angelica bernal luz</t>
        </is>
      </c>
      <c r="B71" s="11" t="inlineStr">
        <is>
          <t>1142 | 2026-03-29 | 84,700 | consumidor final</t>
        </is>
      </c>
      <c r="C71" s="13" t="n">
        <v>0</v>
      </c>
      <c r="D71" s="11" t="inlineStr">
        <is>
          <t>por revisar</t>
        </is>
      </c>
      <c r="E71" s="11">
        <f>IF(D71&lt;&gt;"conciliado","Pendiente",IF(C71&lt;&gt;0,"ERROR: diferencia distinta de cero",IF(OR(AND(J71&lt;&gt;"",SUM(COUNTIFS($D$2:$D$71,"conciliado",$J$2:$J$71,J71),COUNTIFS($D$2:$D$71,"conciliado",$K$2:$K$71,J71),COUNTIFS($D$2:$D$71,"conciliado",$L$2:$L$71,J71))&gt;1),AND(K71&lt;&gt;"",SUM(COUNTIFS($D$2:$D$71,"conciliado",$J$2:$J$71,K71),COUNTIFS($D$2:$D$71,"conciliado",$K$2:$K$71,K71),COUNTIFS($D$2:$D$71,"conciliado",$L$2:$L$71,K71))&gt;1),AND(L71&lt;&gt;"",SUM(COUNTIFS($D$2:$D$71,"conciliado",$J$2:$J$71,L71),COUNTIFS($D$2:$D$71,"conciliado",$K$2:$K$71,L71),COUNTIFS($D$2:$D$71,"conciliado",$L$2:$L$71,L71))&gt;1)),"ERROR: banco ya usado en otro compuesto conciliado",IF(OR(AND(M71&lt;&gt;"",SUM(COUNTIFS($D$2:$D$71,"conciliado",$M$2:$M$71,M71),COUNTIFS($D$2:$D$71,"conciliado",$N$2:$N$71,M71),COUNTIFS($D$2:$D$71,"conciliado",$O$2:$O$71,M71))&gt;1),AND(N71&lt;&gt;"",SUM(COUNTIFS($D$2:$D$71,"conciliado",$M$2:$M$71,N71),COUNTIFS($D$2:$D$71,"conciliado",$N$2:$N$71,N71),COUNTIFS($D$2:$D$71,"conciliado",$O$2:$O$71,N71))&gt;1),AND(O71&lt;&gt;"",SUM(COUNTIFS($D$2:$D$71,"conciliado",$M$2:$M$71,O71),COUNTIFS($D$2:$D$71,"conciliado",$N$2:$N$71,O71),COUNTIFS($D$2:$D$71,"conciliado",$O$2:$O$71,O71))&gt;1)),"ERROR: libro_aux ya usado en otro compuesto conciliado","OK"))))</f>
        <v/>
      </c>
      <c r="F71" s="11" t="inlineStr">
        <is>
          <t>Posible compuesto detectado por suma exacta en la misma fecha. Revisar antes de conciliar.</t>
        </is>
      </c>
      <c r="G71" s="11" t="inlineStr"/>
      <c r="H71" s="11" t="inlineStr">
        <is>
          <t>102, 132, 135</t>
        </is>
      </c>
      <c r="I71" s="11" t="inlineStr">
        <is>
          <t>1142</t>
        </is>
      </c>
      <c r="J71" s="11" t="n">
        <v>102</v>
      </c>
      <c r="K71" s="11" t="n">
        <v>132</v>
      </c>
      <c r="L71" s="11" t="n">
        <v>135</v>
      </c>
      <c r="M71" s="11" t="n">
        <v>1142</v>
      </c>
      <c r="N71" s="11" t="inlineStr"/>
      <c r="O71" s="11" t="inlineStr"/>
    </row>
  </sheetData>
  <autoFilter ref="A1:O71"/>
  <conditionalFormatting sqref="A2:G71">
    <cfRule type="expression" priority="1" dxfId="2">
      <formula>LEFT($E2,5)="ERROR"</formula>
    </cfRule>
    <cfRule type="expression" priority="2" dxfId="0">
      <formula>AND($D2="conciliado",$E2="OK")</formula>
    </cfRule>
    <cfRule type="expression" priority="3" dxfId="1">
      <formula>$D2="por revisar"</formula>
    </cfRule>
  </conditionalFormatting>
  <conditionalFormatting sqref="E2:E71">
    <cfRule type="expression" priority="4" dxfId="3">
      <formula>$E2="Pendiente"</formula>
    </cfRule>
  </conditionalFormatting>
  <dataValidations count="1">
    <dataValidation sqref="D2:D71" showDropDown="0" showInputMessage="0" showErrorMessage="0" allowBlank="0" errorTitle="Estado inválido" error="Seleccioná conciliado o por revisar." promptTitle="Estado" prompt="Marcá conciliado solo si el compuesto fue revisado." type="list">
      <formula1>"por revisar,conciliado"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32" customWidth="1" min="3" max="3"/>
    <col width="14" customWidth="1" min="4" max="4"/>
    <col width="36" customWidth="1" min="5" max="5"/>
  </cols>
  <sheetData>
    <row r="1">
      <c r="A1" s="3" t="inlineStr">
        <is>
          <t>Extractos bancarios</t>
        </is>
      </c>
      <c r="B1" s="14" t="n"/>
      <c r="C1" s="14" t="n"/>
      <c r="D1" s="14" t="n"/>
      <c r="E1" s="14" t="n"/>
    </row>
    <row r="2">
      <c r="A2" s="8" t="inlineStr">
        <is>
          <t>ID</t>
        </is>
      </c>
      <c r="B2" s="9" t="inlineStr">
        <is>
          <t>Fecha</t>
        </is>
      </c>
      <c r="C2" s="8" t="inlineStr">
        <is>
          <t>Nombre</t>
        </is>
      </c>
      <c r="D2" s="10" t="inlineStr">
        <is>
          <t>Valor</t>
        </is>
      </c>
      <c r="E2" s="8" t="inlineStr">
        <is>
          <t>Estado</t>
        </is>
      </c>
    </row>
    <row r="3">
      <c r="A3" s="11" t="n">
        <v>4</v>
      </c>
      <c r="B3" s="12" t="n">
        <v>46112</v>
      </c>
      <c r="C3" s="11" t="inlineStr">
        <is>
          <t>jairo jhon santos</t>
        </is>
      </c>
      <c r="D3" s="13" t="n">
        <v>40000</v>
      </c>
      <c r="E3" s="11">
        <f>IF(SUM(COUNTIFS('Conciliacion de compuestos'!$D$2:$D$71,"conciliado",'Conciliacion de compuestos'!$E$2:$E$71,"OK",'Conciliacion de compuestos'!$J$2:$J$71,A3),COUNTIFS('Conciliacion de compuestos'!$D$2:$D$71,"conciliado",'Conciliacion de compuestos'!$E$2:$E$71,"OK",'Conciliacion de compuestos'!$K$2:$K$71,A3),COUNTIFS('Conciliacion de compuestos'!$D$2:$D$71,"conciliado",'Conciliacion de compuestos'!$E$2:$E$71,"OK",'Conciliacion de compuestos'!$L$2:$L$71,A3))&gt;0,"conciliado en compuesto confirmado","disponible")</f>
        <v/>
      </c>
    </row>
    <row r="4">
      <c r="A4" s="11" t="n">
        <v>8</v>
      </c>
      <c r="B4" s="12" t="n">
        <v>46112</v>
      </c>
      <c r="C4" s="11" t="inlineStr">
        <is>
          <t>claudia meza patricia</t>
        </is>
      </c>
      <c r="D4" s="13" t="n">
        <v>26600</v>
      </c>
      <c r="E4" s="11">
        <f>IF(SUM(COUNTIFS('Conciliacion de compuestos'!$D$2:$D$71,"conciliado",'Conciliacion de compuestos'!$E$2:$E$71,"OK",'Conciliacion de compuestos'!$J$2:$J$71,A4),COUNTIFS('Conciliacion de compuestos'!$D$2:$D$71,"conciliado",'Conciliacion de compuestos'!$E$2:$E$71,"OK",'Conciliacion de compuestos'!$K$2:$K$71,A4),COUNTIFS('Conciliacion de compuestos'!$D$2:$D$71,"conciliado",'Conciliacion de compuestos'!$E$2:$E$71,"OK",'Conciliacion de compuestos'!$L$2:$L$71,A4))&gt;0,"conciliado en compuesto confirmado","disponible")</f>
        <v/>
      </c>
    </row>
    <row r="5">
      <c r="A5" s="11" t="n">
        <v>11</v>
      </c>
      <c r="B5" s="12" t="n">
        <v>46112</v>
      </c>
      <c r="C5" s="11" t="inlineStr">
        <is>
          <t>jairo jhon santos</t>
        </is>
      </c>
      <c r="D5" s="13" t="n">
        <v>40000</v>
      </c>
      <c r="E5" s="11">
        <f>IF(SUM(COUNTIFS('Conciliacion de compuestos'!$D$2:$D$71,"conciliado",'Conciliacion de compuestos'!$E$2:$E$71,"OK",'Conciliacion de compuestos'!$J$2:$J$71,A5),COUNTIFS('Conciliacion de compuestos'!$D$2:$D$71,"conciliado",'Conciliacion de compuestos'!$E$2:$E$71,"OK",'Conciliacion de compuestos'!$K$2:$K$71,A5),COUNTIFS('Conciliacion de compuestos'!$D$2:$D$71,"conciliado",'Conciliacion de compuestos'!$E$2:$E$71,"OK",'Conciliacion de compuestos'!$L$2:$L$71,A5))&gt;0,"conciliado en compuesto confirmado","disponible")</f>
        <v/>
      </c>
    </row>
    <row r="6">
      <c r="A6" s="11" t="n">
        <v>17</v>
      </c>
      <c r="B6" s="12" t="n">
        <v>46112</v>
      </c>
      <c r="C6" s="11" t="inlineStr">
        <is>
          <t>orlando rodrigo</t>
        </is>
      </c>
      <c r="D6" s="13" t="n">
        <v>29500</v>
      </c>
      <c r="E6" s="11">
        <f>IF(SUM(COUNTIFS('Conciliacion de compuestos'!$D$2:$D$71,"conciliado",'Conciliacion de compuestos'!$E$2:$E$71,"OK",'Conciliacion de compuestos'!$J$2:$J$71,A6),COUNTIFS('Conciliacion de compuestos'!$D$2:$D$71,"conciliado",'Conciliacion de compuestos'!$E$2:$E$71,"OK",'Conciliacion de compuestos'!$K$2:$K$71,A6),COUNTIFS('Conciliacion de compuestos'!$D$2:$D$71,"conciliado",'Conciliacion de compuestos'!$E$2:$E$71,"OK",'Conciliacion de compuestos'!$L$2:$L$71,A6))&gt;0,"conciliado en compuesto confirmado","disponible")</f>
        <v/>
      </c>
    </row>
    <row r="7">
      <c r="A7" s="11" t="n">
        <v>18</v>
      </c>
      <c r="B7" s="12" t="n">
        <v>46112</v>
      </c>
      <c r="C7" s="11" t="inlineStr">
        <is>
          <t>ricardo segundo</t>
        </is>
      </c>
      <c r="D7" s="13" t="n">
        <v>14000</v>
      </c>
      <c r="E7" s="11">
        <f>IF(SUM(COUNTIFS('Conciliacion de compuestos'!$D$2:$D$71,"conciliado",'Conciliacion de compuestos'!$E$2:$E$71,"OK",'Conciliacion de compuestos'!$J$2:$J$71,A7),COUNTIFS('Conciliacion de compuestos'!$D$2:$D$71,"conciliado",'Conciliacion de compuestos'!$E$2:$E$71,"OK",'Conciliacion de compuestos'!$K$2:$K$71,A7),COUNTIFS('Conciliacion de compuestos'!$D$2:$D$71,"conciliado",'Conciliacion de compuestos'!$E$2:$E$71,"OK",'Conciliacion de compuestos'!$L$2:$L$71,A7))&gt;0,"conciliado en compuesto confirmado","disponible")</f>
        <v/>
      </c>
    </row>
    <row r="8">
      <c r="A8" s="11" t="n">
        <v>23</v>
      </c>
      <c r="B8" s="12" t="n">
        <v>46112</v>
      </c>
      <c r="C8" s="11" t="inlineStr">
        <is>
          <t>ricardo segundo</t>
        </is>
      </c>
      <c r="D8" s="13" t="n">
        <v>8200</v>
      </c>
      <c r="E8" s="11">
        <f>IF(SUM(COUNTIFS('Conciliacion de compuestos'!$D$2:$D$71,"conciliado",'Conciliacion de compuestos'!$E$2:$E$71,"OK",'Conciliacion de compuestos'!$J$2:$J$71,A8),COUNTIFS('Conciliacion de compuestos'!$D$2:$D$71,"conciliado",'Conciliacion de compuestos'!$E$2:$E$71,"OK",'Conciliacion de compuestos'!$K$2:$K$71,A8),COUNTIFS('Conciliacion de compuestos'!$D$2:$D$71,"conciliado",'Conciliacion de compuestos'!$E$2:$E$71,"OK",'Conciliacion de compuestos'!$L$2:$L$71,A8))&gt;0,"conciliado en compuesto confirmado","disponible")</f>
        <v/>
      </c>
    </row>
    <row r="9">
      <c r="A9" s="11" t="n">
        <v>26</v>
      </c>
      <c r="B9" s="12" t="n">
        <v>46112</v>
      </c>
      <c r="C9" s="11" t="inlineStr">
        <is>
          <t>alexandra millan nataly</t>
        </is>
      </c>
      <c r="D9" s="13" t="n">
        <v>11200</v>
      </c>
      <c r="E9" s="11">
        <f>IF(SUM(COUNTIFS('Conciliacion de compuestos'!$D$2:$D$71,"conciliado",'Conciliacion de compuestos'!$E$2:$E$71,"OK",'Conciliacion de compuestos'!$J$2:$J$71,A9),COUNTIFS('Conciliacion de compuestos'!$D$2:$D$71,"conciliado",'Conciliacion de compuestos'!$E$2:$E$71,"OK",'Conciliacion de compuestos'!$K$2:$K$71,A9),COUNTIFS('Conciliacion de compuestos'!$D$2:$D$71,"conciliado",'Conciliacion de compuestos'!$E$2:$E$71,"OK",'Conciliacion de compuestos'!$L$2:$L$71,A9))&gt;0,"conciliado en compuesto confirmado","disponible")</f>
        <v/>
      </c>
    </row>
    <row r="10">
      <c r="A10" s="11" t="n">
        <v>27</v>
      </c>
      <c r="B10" s="12" t="n">
        <v>46112</v>
      </c>
      <c r="C10" s="11" t="inlineStr">
        <is>
          <t>burbano leineth monica</t>
        </is>
      </c>
      <c r="D10" s="13" t="n">
        <v>47500</v>
      </c>
      <c r="E10" s="11">
        <f>IF(SUM(COUNTIFS('Conciliacion de compuestos'!$D$2:$D$71,"conciliado",'Conciliacion de compuestos'!$E$2:$E$71,"OK",'Conciliacion de compuestos'!$J$2:$J$71,A10),COUNTIFS('Conciliacion de compuestos'!$D$2:$D$71,"conciliado",'Conciliacion de compuestos'!$E$2:$E$71,"OK",'Conciliacion de compuestos'!$K$2:$K$71,A10),COUNTIFS('Conciliacion de compuestos'!$D$2:$D$71,"conciliado",'Conciliacion de compuestos'!$E$2:$E$71,"OK",'Conciliacion de compuestos'!$L$2:$L$71,A10))&gt;0,"conciliado en compuesto confirmado","disponible")</f>
        <v/>
      </c>
    </row>
    <row r="11">
      <c r="A11" s="11" t="n">
        <v>34</v>
      </c>
      <c r="B11" s="12" t="n">
        <v>46111</v>
      </c>
      <c r="C11" s="11" t="inlineStr">
        <is>
          <t>angulo cahuasa ismenia</t>
        </is>
      </c>
      <c r="D11" s="13" t="n">
        <v>31700</v>
      </c>
      <c r="E11" s="11">
        <f>IF(SUM(COUNTIFS('Conciliacion de compuestos'!$D$2:$D$71,"conciliado",'Conciliacion de compuestos'!$E$2:$E$71,"OK",'Conciliacion de compuestos'!$J$2:$J$71,A11),COUNTIFS('Conciliacion de compuestos'!$D$2:$D$71,"conciliado",'Conciliacion de compuestos'!$E$2:$E$71,"OK",'Conciliacion de compuestos'!$K$2:$K$71,A11),COUNTIFS('Conciliacion de compuestos'!$D$2:$D$71,"conciliado",'Conciliacion de compuestos'!$E$2:$E$71,"OK",'Conciliacion de compuestos'!$L$2:$L$71,A11))&gt;0,"conciliado en compuesto confirmado","disponible")</f>
        <v/>
      </c>
    </row>
    <row r="12">
      <c r="A12" s="11" t="n">
        <v>41</v>
      </c>
      <c r="B12" s="12" t="n">
        <v>46111</v>
      </c>
      <c r="C12" s="11" t="inlineStr">
        <is>
          <t>cordero diana katerine</t>
        </is>
      </c>
      <c r="D12" s="13" t="n">
        <v>55000</v>
      </c>
      <c r="E12" s="11">
        <f>IF(SUM(COUNTIFS('Conciliacion de compuestos'!$D$2:$D$71,"conciliado",'Conciliacion de compuestos'!$E$2:$E$71,"OK",'Conciliacion de compuestos'!$J$2:$J$71,A12),COUNTIFS('Conciliacion de compuestos'!$D$2:$D$71,"conciliado",'Conciliacion de compuestos'!$E$2:$E$71,"OK",'Conciliacion de compuestos'!$K$2:$K$71,A12),COUNTIFS('Conciliacion de compuestos'!$D$2:$D$71,"conciliado",'Conciliacion de compuestos'!$E$2:$E$71,"OK",'Conciliacion de compuestos'!$L$2:$L$71,A12))&gt;0,"conciliado en compuesto confirmado","disponible")</f>
        <v/>
      </c>
    </row>
    <row r="13">
      <c r="A13" s="11" t="n">
        <v>61</v>
      </c>
      <c r="B13" s="12" t="n">
        <v>46111</v>
      </c>
      <c r="C13" s="11" t="inlineStr">
        <is>
          <t>david juan zambrano</t>
        </is>
      </c>
      <c r="D13" s="13" t="n">
        <v>1200</v>
      </c>
      <c r="E13" s="11">
        <f>IF(SUM(COUNTIFS('Conciliacion de compuestos'!$D$2:$D$71,"conciliado",'Conciliacion de compuestos'!$E$2:$E$71,"OK",'Conciliacion de compuestos'!$J$2:$J$71,A13),COUNTIFS('Conciliacion de compuestos'!$D$2:$D$71,"conciliado",'Conciliacion de compuestos'!$E$2:$E$71,"OK",'Conciliacion de compuestos'!$K$2:$K$71,A13),COUNTIFS('Conciliacion de compuestos'!$D$2:$D$71,"conciliado",'Conciliacion de compuestos'!$E$2:$E$71,"OK",'Conciliacion de compuestos'!$L$2:$L$71,A13))&gt;0,"conciliado en compuesto confirmado","disponible")</f>
        <v/>
      </c>
    </row>
    <row r="14">
      <c r="A14" s="11" t="n">
        <v>62</v>
      </c>
      <c r="B14" s="12" t="n">
        <v>46111</v>
      </c>
      <c r="C14" s="11" t="inlineStr">
        <is>
          <t>david juan zambrano</t>
        </is>
      </c>
      <c r="D14" s="13" t="n">
        <v>22700</v>
      </c>
      <c r="E14" s="11">
        <f>IF(SUM(COUNTIFS('Conciliacion de compuestos'!$D$2:$D$71,"conciliado",'Conciliacion de compuestos'!$E$2:$E$71,"OK",'Conciliacion de compuestos'!$J$2:$J$71,A14),COUNTIFS('Conciliacion de compuestos'!$D$2:$D$71,"conciliado",'Conciliacion de compuestos'!$E$2:$E$71,"OK",'Conciliacion de compuestos'!$K$2:$K$71,A14),COUNTIFS('Conciliacion de compuestos'!$D$2:$D$71,"conciliado",'Conciliacion de compuestos'!$E$2:$E$71,"OK",'Conciliacion de compuestos'!$L$2:$L$71,A14))&gt;0,"conciliado en compuesto confirmado","disponible")</f>
        <v/>
      </c>
    </row>
    <row r="15">
      <c r="A15" s="11" t="n">
        <v>68</v>
      </c>
      <c r="B15" s="12" t="n">
        <v>46111</v>
      </c>
      <c r="C15" s="11" t="inlineStr">
        <is>
          <t>cordero diana katerine</t>
        </is>
      </c>
      <c r="D15" s="13" t="n">
        <v>24000</v>
      </c>
      <c r="E15" s="11">
        <f>IF(SUM(COUNTIFS('Conciliacion de compuestos'!$D$2:$D$71,"conciliado",'Conciliacion de compuestos'!$E$2:$E$71,"OK",'Conciliacion de compuestos'!$J$2:$J$71,A15),COUNTIFS('Conciliacion de compuestos'!$D$2:$D$71,"conciliado",'Conciliacion de compuestos'!$E$2:$E$71,"OK",'Conciliacion de compuestos'!$K$2:$K$71,A15),COUNTIFS('Conciliacion de compuestos'!$D$2:$D$71,"conciliado",'Conciliacion de compuestos'!$E$2:$E$71,"OK",'Conciliacion de compuestos'!$L$2:$L$71,A15))&gt;0,"conciliado en compuesto confirmado","disponible")</f>
        <v/>
      </c>
    </row>
    <row r="16">
      <c r="A16" s="11" t="n">
        <v>77</v>
      </c>
      <c r="B16" s="12" t="n">
        <v>46111</v>
      </c>
      <c r="C16" s="11" t="inlineStr">
        <is>
          <t>de narino surtiventas</t>
        </is>
      </c>
      <c r="D16" s="13" t="n">
        <v>-494608</v>
      </c>
      <c r="E16" s="11">
        <f>IF(SUM(COUNTIFS('Conciliacion de compuestos'!$D$2:$D$71,"conciliado",'Conciliacion de compuestos'!$E$2:$E$71,"OK",'Conciliacion de compuestos'!$J$2:$J$71,A16),COUNTIFS('Conciliacion de compuestos'!$D$2:$D$71,"conciliado",'Conciliacion de compuestos'!$E$2:$E$71,"OK",'Conciliacion de compuestos'!$K$2:$K$71,A16),COUNTIFS('Conciliacion de compuestos'!$D$2:$D$71,"conciliado",'Conciliacion de compuestos'!$E$2:$E$71,"OK",'Conciliacion de compuestos'!$L$2:$L$71,A16))&gt;0,"conciliado en compuesto confirmado","disponible")</f>
        <v/>
      </c>
    </row>
    <row r="17">
      <c r="A17" s="11" t="n">
        <v>91</v>
      </c>
      <c r="B17" s="12" t="n">
        <v>46110</v>
      </c>
      <c r="C17" s="11" t="inlineStr">
        <is>
          <t>b bre edisson</t>
        </is>
      </c>
      <c r="D17" s="13" t="n">
        <v>35900</v>
      </c>
      <c r="E17" s="11">
        <f>IF(SUM(COUNTIFS('Conciliacion de compuestos'!$D$2:$D$71,"conciliado",'Conciliacion de compuestos'!$E$2:$E$71,"OK",'Conciliacion de compuestos'!$J$2:$J$71,A17),COUNTIFS('Conciliacion de compuestos'!$D$2:$D$71,"conciliado",'Conciliacion de compuestos'!$E$2:$E$71,"OK",'Conciliacion de compuestos'!$K$2:$K$71,A17),COUNTIFS('Conciliacion de compuestos'!$D$2:$D$71,"conciliado",'Conciliacion de compuestos'!$E$2:$E$71,"OK",'Conciliacion de compuestos'!$L$2:$L$71,A17))&gt;0,"conciliado en compuesto confirmado","disponible")</f>
        <v/>
      </c>
    </row>
    <row r="18">
      <c r="A18" s="11" t="n">
        <v>92</v>
      </c>
      <c r="B18" s="12" t="n">
        <v>46110</v>
      </c>
      <c r="C18" s="11" t="inlineStr">
        <is>
          <t>chana edisson junior</t>
        </is>
      </c>
      <c r="D18" s="13" t="n">
        <v>98900</v>
      </c>
      <c r="E18" s="11">
        <f>IF(SUM(COUNTIFS('Conciliacion de compuestos'!$D$2:$D$71,"conciliado",'Conciliacion de compuestos'!$E$2:$E$71,"OK",'Conciliacion de compuestos'!$J$2:$J$71,A18),COUNTIFS('Conciliacion de compuestos'!$D$2:$D$71,"conciliado",'Conciliacion de compuestos'!$E$2:$E$71,"OK",'Conciliacion de compuestos'!$K$2:$K$71,A18),COUNTIFS('Conciliacion de compuestos'!$D$2:$D$71,"conciliado",'Conciliacion de compuestos'!$E$2:$E$71,"OK",'Conciliacion de compuestos'!$L$2:$L$71,A18))&gt;0,"conciliado en compuesto confirmado","disponible")</f>
        <v/>
      </c>
    </row>
    <row r="19">
      <c r="A19" s="11" t="n">
        <v>102</v>
      </c>
      <c r="B19" s="12" t="n">
        <v>46110</v>
      </c>
      <c r="C19" s="11" t="inlineStr">
        <is>
          <t>bancolombia desde recarga</t>
        </is>
      </c>
      <c r="D19" s="13" t="n">
        <v>64600</v>
      </c>
      <c r="E19" s="11">
        <f>IF(SUM(COUNTIFS('Conciliacion de compuestos'!$D$2:$D$71,"conciliado",'Conciliacion de compuestos'!$E$2:$E$71,"OK",'Conciliacion de compuestos'!$J$2:$J$71,A19),COUNTIFS('Conciliacion de compuestos'!$D$2:$D$71,"conciliado",'Conciliacion de compuestos'!$E$2:$E$71,"OK",'Conciliacion de compuestos'!$K$2:$K$71,A19),COUNTIFS('Conciliacion de compuestos'!$D$2:$D$71,"conciliado",'Conciliacion de compuestos'!$E$2:$E$71,"OK",'Conciliacion de compuestos'!$L$2:$L$71,A19))&gt;0,"conciliado en compuesto confirmado","disponible")</f>
        <v/>
      </c>
    </row>
    <row r="20">
      <c r="A20" s="11" t="n">
        <v>105</v>
      </c>
      <c r="B20" s="12" t="n">
        <v>46110</v>
      </c>
      <c r="C20" s="11" t="inlineStr">
        <is>
          <t>batero cortes nubia</t>
        </is>
      </c>
      <c r="D20" s="13" t="n">
        <v>4000</v>
      </c>
      <c r="E20" s="11">
        <f>IF(SUM(COUNTIFS('Conciliacion de compuestos'!$D$2:$D$71,"conciliado",'Conciliacion de compuestos'!$E$2:$E$71,"OK",'Conciliacion de compuestos'!$J$2:$J$71,A20),COUNTIFS('Conciliacion de compuestos'!$D$2:$D$71,"conciliado",'Conciliacion de compuestos'!$E$2:$E$71,"OK",'Conciliacion de compuestos'!$K$2:$K$71,A20),COUNTIFS('Conciliacion de compuestos'!$D$2:$D$71,"conciliado",'Conciliacion de compuestos'!$E$2:$E$71,"OK",'Conciliacion de compuestos'!$L$2:$L$71,A20))&gt;0,"conciliado en compuesto confirmado","disponible")</f>
        <v/>
      </c>
    </row>
    <row r="21">
      <c r="A21" s="11" t="n">
        <v>106</v>
      </c>
      <c r="B21" s="12" t="n">
        <v>46110</v>
      </c>
      <c r="C21" s="11" t="inlineStr">
        <is>
          <t>batero cortes nubia</t>
        </is>
      </c>
      <c r="D21" s="13" t="n">
        <v>72800</v>
      </c>
      <c r="E21" s="11">
        <f>IF(SUM(COUNTIFS('Conciliacion de compuestos'!$D$2:$D$71,"conciliado",'Conciliacion de compuestos'!$E$2:$E$71,"OK",'Conciliacion de compuestos'!$J$2:$J$71,A21),COUNTIFS('Conciliacion de compuestos'!$D$2:$D$71,"conciliado",'Conciliacion de compuestos'!$E$2:$E$71,"OK",'Conciliacion de compuestos'!$K$2:$K$71,A21),COUNTIFS('Conciliacion de compuestos'!$D$2:$D$71,"conciliado",'Conciliacion de compuestos'!$E$2:$E$71,"OK",'Conciliacion de compuestos'!$L$2:$L$71,A21))&gt;0,"conciliado en compuesto confirmado","disponible")</f>
        <v/>
      </c>
    </row>
    <row r="22">
      <c r="A22" s="11" t="n">
        <v>119</v>
      </c>
      <c r="B22" s="12" t="n">
        <v>46110</v>
      </c>
      <c r="C22" s="11" t="inlineStr">
        <is>
          <t>borja freskey vergara</t>
        </is>
      </c>
      <c r="D22" s="13" t="n">
        <v>7700</v>
      </c>
      <c r="E22" s="11">
        <f>IF(SUM(COUNTIFS('Conciliacion de compuestos'!$D$2:$D$71,"conciliado",'Conciliacion de compuestos'!$E$2:$E$71,"OK",'Conciliacion de compuestos'!$J$2:$J$71,A22),COUNTIFS('Conciliacion de compuestos'!$D$2:$D$71,"conciliado",'Conciliacion de compuestos'!$E$2:$E$71,"OK",'Conciliacion de compuestos'!$K$2:$K$71,A22),COUNTIFS('Conciliacion de compuestos'!$D$2:$D$71,"conciliado",'Conciliacion de compuestos'!$E$2:$E$71,"OK",'Conciliacion de compuestos'!$L$2:$L$71,A22))&gt;0,"conciliado en compuesto confirmado","disponible")</f>
        <v/>
      </c>
    </row>
    <row r="23">
      <c r="A23" s="11" t="n">
        <v>121</v>
      </c>
      <c r="B23" s="12" t="n">
        <v>46110</v>
      </c>
      <c r="C23" s="11" t="inlineStr">
        <is>
          <t>borja freskey vergara</t>
        </is>
      </c>
      <c r="D23" s="13" t="n">
        <v>137000</v>
      </c>
      <c r="E23" s="11">
        <f>IF(SUM(COUNTIFS('Conciliacion de compuestos'!$D$2:$D$71,"conciliado",'Conciliacion de compuestos'!$E$2:$E$71,"OK",'Conciliacion de compuestos'!$J$2:$J$71,A23),COUNTIFS('Conciliacion de compuestos'!$D$2:$D$71,"conciliado",'Conciliacion de compuestos'!$E$2:$E$71,"OK",'Conciliacion de compuestos'!$K$2:$K$71,A23),COUNTIFS('Conciliacion de compuestos'!$D$2:$D$71,"conciliado",'Conciliacion de compuestos'!$E$2:$E$71,"OK",'Conciliacion de compuestos'!$L$2:$L$71,A23))&gt;0,"conciliado en compuesto confirmado","disponible")</f>
        <v/>
      </c>
    </row>
    <row r="24">
      <c r="A24" s="11" t="n">
        <v>132</v>
      </c>
      <c r="B24" s="12" t="n">
        <v>46110</v>
      </c>
      <c r="C24" s="11" t="inlineStr">
        <is>
          <t>b bre shirley</t>
        </is>
      </c>
      <c r="D24" s="13" t="n">
        <v>10300</v>
      </c>
      <c r="E24" s="11">
        <f>IF(SUM(COUNTIFS('Conciliacion de compuestos'!$D$2:$D$71,"conciliado",'Conciliacion de compuestos'!$E$2:$E$71,"OK",'Conciliacion de compuestos'!$J$2:$J$71,A24),COUNTIFS('Conciliacion de compuestos'!$D$2:$D$71,"conciliado",'Conciliacion de compuestos'!$E$2:$E$71,"OK",'Conciliacion de compuestos'!$K$2:$K$71,A24),COUNTIFS('Conciliacion de compuestos'!$D$2:$D$71,"conciliado",'Conciliacion de compuestos'!$E$2:$E$71,"OK",'Conciliacion de compuestos'!$L$2:$L$71,A24))&gt;0,"conciliado en compuesto confirmado","disponible")</f>
        <v/>
      </c>
    </row>
    <row r="25">
      <c r="A25" s="11" t="n">
        <v>135</v>
      </c>
      <c r="B25" s="12" t="n">
        <v>46110</v>
      </c>
      <c r="C25" s="11" t="inlineStr">
        <is>
          <t>angelica bernal luz</t>
        </is>
      </c>
      <c r="D25" s="13" t="n">
        <v>9800</v>
      </c>
      <c r="E25" s="11">
        <f>IF(SUM(COUNTIFS('Conciliacion de compuestos'!$D$2:$D$71,"conciliado",'Conciliacion de compuestos'!$E$2:$E$71,"OK",'Conciliacion de compuestos'!$J$2:$J$71,A25),COUNTIFS('Conciliacion de compuestos'!$D$2:$D$71,"conciliado",'Conciliacion de compuestos'!$E$2:$E$71,"OK",'Conciliacion de compuestos'!$K$2:$K$71,A25),COUNTIFS('Conciliacion de compuestos'!$D$2:$D$71,"conciliado",'Conciliacion de compuestos'!$E$2:$E$71,"OK",'Conciliacion de compuestos'!$L$2:$L$71,A25))&gt;0,"conciliado en compuesto confirmado","disponible")</f>
        <v/>
      </c>
    </row>
    <row r="26">
      <c r="A26" s="11" t="n">
        <v>136</v>
      </c>
      <c r="B26" s="12" t="n">
        <v>46109</v>
      </c>
      <c r="C26" s="11" t="inlineStr">
        <is>
          <t>angulo cahuasa ismenia</t>
        </is>
      </c>
      <c r="D26" s="13" t="n">
        <v>7000</v>
      </c>
      <c r="E26" s="11">
        <f>IF(SUM(COUNTIFS('Conciliacion de compuestos'!$D$2:$D$71,"conciliado",'Conciliacion de compuestos'!$E$2:$E$71,"OK",'Conciliacion de compuestos'!$J$2:$J$71,A26),COUNTIFS('Conciliacion de compuestos'!$D$2:$D$71,"conciliado",'Conciliacion de compuestos'!$E$2:$E$71,"OK",'Conciliacion de compuestos'!$K$2:$K$71,A26),COUNTIFS('Conciliacion de compuestos'!$D$2:$D$71,"conciliado",'Conciliacion de compuestos'!$E$2:$E$71,"OK",'Conciliacion de compuestos'!$L$2:$L$71,A26))&gt;0,"conciliado en compuesto confirmado","disponible")</f>
        <v/>
      </c>
    </row>
    <row r="27">
      <c r="A27" s="11" t="n">
        <v>137</v>
      </c>
      <c r="B27" s="12" t="n">
        <v>46109</v>
      </c>
      <c r="C27" s="11" t="inlineStr">
        <is>
          <t>angulo cahuasa ismenia</t>
        </is>
      </c>
      <c r="D27" s="13" t="n">
        <v>23000</v>
      </c>
      <c r="E27" s="11">
        <f>IF(SUM(COUNTIFS('Conciliacion de compuestos'!$D$2:$D$71,"conciliado",'Conciliacion de compuestos'!$E$2:$E$71,"OK",'Conciliacion de compuestos'!$J$2:$J$71,A27),COUNTIFS('Conciliacion de compuestos'!$D$2:$D$71,"conciliado",'Conciliacion de compuestos'!$E$2:$E$71,"OK",'Conciliacion de compuestos'!$K$2:$K$71,A27),COUNTIFS('Conciliacion de compuestos'!$D$2:$D$71,"conciliado",'Conciliacion de compuestos'!$E$2:$E$71,"OK",'Conciliacion de compuestos'!$L$2:$L$71,A27))&gt;0,"conciliado en compuesto confirmado","disponible")</f>
        <v/>
      </c>
    </row>
    <row r="28">
      <c r="A28" s="11" t="n">
        <v>142</v>
      </c>
      <c r="B28" s="12" t="n">
        <v>46109</v>
      </c>
      <c r="C28" s="11" t="inlineStr">
        <is>
          <t>camilo jurgen morales</t>
        </is>
      </c>
      <c r="D28" s="13" t="n">
        <v>6500</v>
      </c>
      <c r="E28" s="11">
        <f>IF(SUM(COUNTIFS('Conciliacion de compuestos'!$D$2:$D$71,"conciliado",'Conciliacion de compuestos'!$E$2:$E$71,"OK",'Conciliacion de compuestos'!$J$2:$J$71,A28),COUNTIFS('Conciliacion de compuestos'!$D$2:$D$71,"conciliado",'Conciliacion de compuestos'!$E$2:$E$71,"OK",'Conciliacion de compuestos'!$K$2:$K$71,A28),COUNTIFS('Conciliacion de compuestos'!$D$2:$D$71,"conciliado",'Conciliacion de compuestos'!$E$2:$E$71,"OK",'Conciliacion de compuestos'!$L$2:$L$71,A28))&gt;0,"conciliado en compuesto confirmado","disponible")</f>
        <v/>
      </c>
    </row>
    <row r="29">
      <c r="A29" s="11" t="n">
        <v>144</v>
      </c>
      <c r="B29" s="12" t="n">
        <v>46109</v>
      </c>
      <c r="C29" s="11" t="inlineStr">
        <is>
          <t>brigeth pamela</t>
        </is>
      </c>
      <c r="D29" s="13" t="n">
        <v>34000</v>
      </c>
      <c r="E29" s="11">
        <f>IF(SUM(COUNTIFS('Conciliacion de compuestos'!$D$2:$D$71,"conciliado",'Conciliacion de compuestos'!$E$2:$E$71,"OK",'Conciliacion de compuestos'!$J$2:$J$71,A29),COUNTIFS('Conciliacion de compuestos'!$D$2:$D$71,"conciliado",'Conciliacion de compuestos'!$E$2:$E$71,"OK",'Conciliacion de compuestos'!$K$2:$K$71,A29),COUNTIFS('Conciliacion de compuestos'!$D$2:$D$71,"conciliado",'Conciliacion de compuestos'!$E$2:$E$71,"OK",'Conciliacion de compuestos'!$L$2:$L$71,A29))&gt;0,"conciliado en compuesto confirmado","disponible")</f>
        <v/>
      </c>
    </row>
    <row r="30">
      <c r="A30" s="11" t="n">
        <v>147</v>
      </c>
      <c r="B30" s="12" t="n">
        <v>46109</v>
      </c>
      <c r="C30" s="11" t="inlineStr">
        <is>
          <t>adriana mora nury</t>
        </is>
      </c>
      <c r="D30" s="13" t="n">
        <v>24600</v>
      </c>
      <c r="E30" s="11">
        <f>IF(SUM(COUNTIFS('Conciliacion de compuestos'!$D$2:$D$71,"conciliado",'Conciliacion de compuestos'!$E$2:$E$71,"OK",'Conciliacion de compuestos'!$J$2:$J$71,A30),COUNTIFS('Conciliacion de compuestos'!$D$2:$D$71,"conciliado",'Conciliacion de compuestos'!$E$2:$E$71,"OK",'Conciliacion de compuestos'!$K$2:$K$71,A30),COUNTIFS('Conciliacion de compuestos'!$D$2:$D$71,"conciliado",'Conciliacion de compuestos'!$E$2:$E$71,"OK",'Conciliacion de compuestos'!$L$2:$L$71,A30))&gt;0,"conciliado en compuesto confirmado","disponible")</f>
        <v/>
      </c>
    </row>
    <row r="31">
      <c r="A31" s="11" t="n">
        <v>155</v>
      </c>
      <c r="B31" s="12" t="n">
        <v>46109</v>
      </c>
      <c r="C31" s="11" t="inlineStr">
        <is>
          <t>jackeline jeiny morales</t>
        </is>
      </c>
      <c r="D31" s="13" t="n">
        <v>23700</v>
      </c>
      <c r="E31" s="11">
        <f>IF(SUM(COUNTIFS('Conciliacion de compuestos'!$D$2:$D$71,"conciliado",'Conciliacion de compuestos'!$E$2:$E$71,"OK",'Conciliacion de compuestos'!$J$2:$J$71,A31),COUNTIFS('Conciliacion de compuestos'!$D$2:$D$71,"conciliado",'Conciliacion de compuestos'!$E$2:$E$71,"OK",'Conciliacion de compuestos'!$K$2:$K$71,A31),COUNTIFS('Conciliacion de compuestos'!$D$2:$D$71,"conciliado",'Conciliacion de compuestos'!$E$2:$E$71,"OK",'Conciliacion de compuestos'!$L$2:$L$71,A31))&gt;0,"conciliado en compuesto confirmado","disponible")</f>
        <v/>
      </c>
    </row>
    <row r="32">
      <c r="A32" s="11" t="n">
        <v>156</v>
      </c>
      <c r="B32" s="12" t="n">
        <v>46109</v>
      </c>
      <c r="C32" s="11" t="inlineStr">
        <is>
          <t>andry lopez mayerly</t>
        </is>
      </c>
      <c r="D32" s="13" t="n">
        <v>1500000</v>
      </c>
      <c r="E32" s="11">
        <f>IF(SUM(COUNTIFS('Conciliacion de compuestos'!$D$2:$D$71,"conciliado",'Conciliacion de compuestos'!$E$2:$E$71,"OK",'Conciliacion de compuestos'!$J$2:$J$71,A32),COUNTIFS('Conciliacion de compuestos'!$D$2:$D$71,"conciliado",'Conciliacion de compuestos'!$E$2:$E$71,"OK",'Conciliacion de compuestos'!$K$2:$K$71,A32),COUNTIFS('Conciliacion de compuestos'!$D$2:$D$71,"conciliado",'Conciliacion de compuestos'!$E$2:$E$71,"OK",'Conciliacion de compuestos'!$L$2:$L$71,A32))&gt;0,"conciliado en compuesto confirmado","disponible")</f>
        <v/>
      </c>
    </row>
    <row r="33">
      <c r="A33" s="11" t="n">
        <v>157</v>
      </c>
      <c r="B33" s="12" t="n">
        <v>46109</v>
      </c>
      <c r="C33" s="11" t="inlineStr">
        <is>
          <t>adriana mora nury</t>
        </is>
      </c>
      <c r="D33" s="13" t="n">
        <v>57600</v>
      </c>
      <c r="E33" s="11">
        <f>IF(SUM(COUNTIFS('Conciliacion de compuestos'!$D$2:$D$71,"conciliado",'Conciliacion de compuestos'!$E$2:$E$71,"OK",'Conciliacion de compuestos'!$J$2:$J$71,A33),COUNTIFS('Conciliacion de compuestos'!$D$2:$D$71,"conciliado",'Conciliacion de compuestos'!$E$2:$E$71,"OK",'Conciliacion de compuestos'!$K$2:$K$71,A33),COUNTIFS('Conciliacion de compuestos'!$D$2:$D$71,"conciliado",'Conciliacion de compuestos'!$E$2:$E$71,"OK",'Conciliacion de compuestos'!$L$2:$L$71,A33))&gt;0,"conciliado en compuesto confirmado","disponible")</f>
        <v/>
      </c>
    </row>
    <row r="34">
      <c r="A34" s="11" t="n">
        <v>158</v>
      </c>
      <c r="B34" s="12" t="n">
        <v>46109</v>
      </c>
      <c r="C34" s="11" t="inlineStr">
        <is>
          <t>angulo cahuasa ismenia</t>
        </is>
      </c>
      <c r="D34" s="13" t="n">
        <v>10500</v>
      </c>
      <c r="E34" s="11">
        <f>IF(SUM(COUNTIFS('Conciliacion de compuestos'!$D$2:$D$71,"conciliado",'Conciliacion de compuestos'!$E$2:$E$71,"OK",'Conciliacion de compuestos'!$J$2:$J$71,A34),COUNTIFS('Conciliacion de compuestos'!$D$2:$D$71,"conciliado",'Conciliacion de compuestos'!$E$2:$E$71,"OK",'Conciliacion de compuestos'!$K$2:$K$71,A34),COUNTIFS('Conciliacion de compuestos'!$D$2:$D$71,"conciliado",'Conciliacion de compuestos'!$E$2:$E$71,"OK",'Conciliacion de compuestos'!$L$2:$L$71,A34))&gt;0,"conciliado en compuesto confirmado","disponible")</f>
        <v/>
      </c>
    </row>
    <row r="35">
      <c r="A35" s="11" t="n">
        <v>160</v>
      </c>
      <c r="B35" s="12" t="n">
        <v>46109</v>
      </c>
      <c r="C35" s="11" t="inlineStr">
        <is>
          <t>brigeth pamela</t>
        </is>
      </c>
      <c r="D35" s="13" t="n">
        <v>57100</v>
      </c>
      <c r="E35" s="11">
        <f>IF(SUM(COUNTIFS('Conciliacion de compuestos'!$D$2:$D$71,"conciliado",'Conciliacion de compuestos'!$E$2:$E$71,"OK",'Conciliacion de compuestos'!$J$2:$J$71,A35),COUNTIFS('Conciliacion de compuestos'!$D$2:$D$71,"conciliado",'Conciliacion de compuestos'!$E$2:$E$71,"OK",'Conciliacion de compuestos'!$K$2:$K$71,A35),COUNTIFS('Conciliacion de compuestos'!$D$2:$D$71,"conciliado",'Conciliacion de compuestos'!$E$2:$E$71,"OK",'Conciliacion de compuestos'!$L$2:$L$71,A35))&gt;0,"conciliado en compuesto confirmado","disponible")</f>
        <v/>
      </c>
    </row>
    <row r="36">
      <c r="A36" s="11" t="n">
        <v>168</v>
      </c>
      <c r="B36" s="12" t="n">
        <v>46109</v>
      </c>
      <c r="C36" s="11" t="inlineStr">
        <is>
          <t>jackeline jeiny morales</t>
        </is>
      </c>
      <c r="D36" s="13" t="n">
        <v>22800</v>
      </c>
      <c r="E36" s="11">
        <f>IF(SUM(COUNTIFS('Conciliacion de compuestos'!$D$2:$D$71,"conciliado",'Conciliacion de compuestos'!$E$2:$E$71,"OK",'Conciliacion de compuestos'!$J$2:$J$71,A36),COUNTIFS('Conciliacion de compuestos'!$D$2:$D$71,"conciliado",'Conciliacion de compuestos'!$E$2:$E$71,"OK",'Conciliacion de compuestos'!$K$2:$K$71,A36),COUNTIFS('Conciliacion de compuestos'!$D$2:$D$71,"conciliado",'Conciliacion de compuestos'!$E$2:$E$71,"OK",'Conciliacion de compuestos'!$L$2:$L$71,A36))&gt;0,"conciliado en compuesto confirmado","disponible")</f>
        <v/>
      </c>
    </row>
    <row r="37">
      <c r="A37" s="11" t="n">
        <v>179</v>
      </c>
      <c r="B37" s="12" t="n">
        <v>46109</v>
      </c>
      <c r="C37" s="11" t="inlineStr">
        <is>
          <t>bancolombia desde qr recarga</t>
        </is>
      </c>
      <c r="D37" s="13" t="n">
        <v>4800</v>
      </c>
      <c r="E37" s="11">
        <f>IF(SUM(COUNTIFS('Conciliacion de compuestos'!$D$2:$D$71,"conciliado",'Conciliacion de compuestos'!$E$2:$E$71,"OK",'Conciliacion de compuestos'!$J$2:$J$71,A37),COUNTIFS('Conciliacion de compuestos'!$D$2:$D$71,"conciliado",'Conciliacion de compuestos'!$E$2:$E$71,"OK",'Conciliacion de compuestos'!$K$2:$K$71,A37),COUNTIFS('Conciliacion de compuestos'!$D$2:$D$71,"conciliado",'Conciliacion de compuestos'!$E$2:$E$71,"OK",'Conciliacion de compuestos'!$L$2:$L$71,A37))&gt;0,"conciliado en compuesto confirmado","disponible")</f>
        <v/>
      </c>
    </row>
    <row r="38">
      <c r="A38" s="11" t="n">
        <v>184</v>
      </c>
      <c r="B38" s="12" t="n">
        <v>46108</v>
      </c>
      <c r="C38" s="11" t="inlineStr">
        <is>
          <t>cordero diana katerine</t>
        </is>
      </c>
      <c r="D38" s="13" t="n">
        <v>42600</v>
      </c>
      <c r="E38" s="11">
        <f>IF(SUM(COUNTIFS('Conciliacion de compuestos'!$D$2:$D$71,"conciliado",'Conciliacion de compuestos'!$E$2:$E$71,"OK",'Conciliacion de compuestos'!$J$2:$J$71,A38),COUNTIFS('Conciliacion de compuestos'!$D$2:$D$71,"conciliado",'Conciliacion de compuestos'!$E$2:$E$71,"OK",'Conciliacion de compuestos'!$K$2:$K$71,A38),COUNTIFS('Conciliacion de compuestos'!$D$2:$D$71,"conciliado",'Conciliacion de compuestos'!$E$2:$E$71,"OK",'Conciliacion de compuestos'!$L$2:$L$71,A38))&gt;0,"conciliado en compuesto confirmado","disponible")</f>
        <v/>
      </c>
    </row>
    <row r="39">
      <c r="A39" s="11" t="n">
        <v>195</v>
      </c>
      <c r="B39" s="12" t="n">
        <v>46108</v>
      </c>
      <c r="C39" s="11" t="inlineStr">
        <is>
          <t>cordero diana katerine</t>
        </is>
      </c>
      <c r="D39" s="13" t="n">
        <v>8600</v>
      </c>
      <c r="E39" s="11">
        <f>IF(SUM(COUNTIFS('Conciliacion de compuestos'!$D$2:$D$71,"conciliado",'Conciliacion de compuestos'!$E$2:$E$71,"OK",'Conciliacion de compuestos'!$J$2:$J$71,A39),COUNTIFS('Conciliacion de compuestos'!$D$2:$D$71,"conciliado",'Conciliacion de compuestos'!$E$2:$E$71,"OK",'Conciliacion de compuestos'!$K$2:$K$71,A39),COUNTIFS('Conciliacion de compuestos'!$D$2:$D$71,"conciliado",'Conciliacion de compuestos'!$E$2:$E$71,"OK",'Conciliacion de compuestos'!$L$2:$L$71,A39))&gt;0,"conciliado en compuesto confirmado","disponible")</f>
        <v/>
      </c>
    </row>
    <row r="40">
      <c r="A40" s="11" t="n">
        <v>198</v>
      </c>
      <c r="B40" s="12" t="n">
        <v>46108</v>
      </c>
      <c r="C40" s="11" t="inlineStr">
        <is>
          <t>bancolombia desde qr recarga</t>
        </is>
      </c>
      <c r="D40" s="13" t="n">
        <v>13200</v>
      </c>
      <c r="E40" s="11">
        <f>IF(SUM(COUNTIFS('Conciliacion de compuestos'!$D$2:$D$71,"conciliado",'Conciliacion de compuestos'!$E$2:$E$71,"OK",'Conciliacion de compuestos'!$J$2:$J$71,A40),COUNTIFS('Conciliacion de compuestos'!$D$2:$D$71,"conciliado",'Conciliacion de compuestos'!$E$2:$E$71,"OK",'Conciliacion de compuestos'!$K$2:$K$71,A40),COUNTIFS('Conciliacion de compuestos'!$D$2:$D$71,"conciliado",'Conciliacion de compuestos'!$E$2:$E$71,"OK",'Conciliacion de compuestos'!$L$2:$L$71,A40))&gt;0,"conciliado en compuesto confirmado","disponible")</f>
        <v/>
      </c>
    </row>
    <row r="41">
      <c r="A41" s="11" t="n">
        <v>205</v>
      </c>
      <c r="B41" s="12" t="n">
        <v>46108</v>
      </c>
      <c r="C41" s="11" t="inlineStr">
        <is>
          <t>burbano leineth monica</t>
        </is>
      </c>
      <c r="D41" s="13" t="n">
        <v>4000</v>
      </c>
      <c r="E41" s="11">
        <f>IF(SUM(COUNTIFS('Conciliacion de compuestos'!$D$2:$D$71,"conciliado",'Conciliacion de compuestos'!$E$2:$E$71,"OK",'Conciliacion de compuestos'!$J$2:$J$71,A41),COUNTIFS('Conciliacion de compuestos'!$D$2:$D$71,"conciliado",'Conciliacion de compuestos'!$E$2:$E$71,"OK",'Conciliacion de compuestos'!$K$2:$K$71,A41),COUNTIFS('Conciliacion de compuestos'!$D$2:$D$71,"conciliado",'Conciliacion de compuestos'!$E$2:$E$71,"OK",'Conciliacion de compuestos'!$L$2:$L$71,A41))&gt;0,"conciliado en compuesto confirmado","disponible")</f>
        <v/>
      </c>
    </row>
    <row r="42">
      <c r="A42" s="11" t="n">
        <v>206</v>
      </c>
      <c r="B42" s="12" t="n">
        <v>46108</v>
      </c>
      <c r="C42" s="11" t="inlineStr">
        <is>
          <t>burbano leineth monica</t>
        </is>
      </c>
      <c r="D42" s="13" t="n">
        <v>46600</v>
      </c>
      <c r="E42" s="11">
        <f>IF(SUM(COUNTIFS('Conciliacion de compuestos'!$D$2:$D$71,"conciliado",'Conciliacion de compuestos'!$E$2:$E$71,"OK",'Conciliacion de compuestos'!$J$2:$J$71,A42),COUNTIFS('Conciliacion de compuestos'!$D$2:$D$71,"conciliado",'Conciliacion de compuestos'!$E$2:$E$71,"OK",'Conciliacion de compuestos'!$K$2:$K$71,A42),COUNTIFS('Conciliacion de compuestos'!$D$2:$D$71,"conciliado",'Conciliacion de compuestos'!$E$2:$E$71,"OK",'Conciliacion de compuestos'!$L$2:$L$71,A42))&gt;0,"conciliado en compuesto confirmado","disponible")</f>
        <v/>
      </c>
    </row>
    <row r="43">
      <c r="A43" s="11" t="n">
        <v>229</v>
      </c>
      <c r="B43" s="12" t="n">
        <v>46107</v>
      </c>
      <c r="C43" s="11" t="inlineStr">
        <is>
          <t>cubillos nivia ordones</t>
        </is>
      </c>
      <c r="D43" s="13" t="n">
        <v>11700</v>
      </c>
      <c r="E43" s="11">
        <f>IF(SUM(COUNTIFS('Conciliacion de compuestos'!$D$2:$D$71,"conciliado",'Conciliacion de compuestos'!$E$2:$E$71,"OK",'Conciliacion de compuestos'!$J$2:$J$71,A43),COUNTIFS('Conciliacion de compuestos'!$D$2:$D$71,"conciliado",'Conciliacion de compuestos'!$E$2:$E$71,"OK",'Conciliacion de compuestos'!$K$2:$K$71,A43),COUNTIFS('Conciliacion de compuestos'!$D$2:$D$71,"conciliado",'Conciliacion de compuestos'!$E$2:$E$71,"OK",'Conciliacion de compuestos'!$L$2:$L$71,A43))&gt;0,"conciliado en compuesto confirmado","disponible")</f>
        <v/>
      </c>
    </row>
    <row r="44">
      <c r="A44" s="11" t="n">
        <v>239</v>
      </c>
      <c r="B44" s="12" t="n">
        <v>46107</v>
      </c>
      <c r="C44" s="11" t="inlineStr">
        <is>
          <t>karen rodriguez tatiana</t>
        </is>
      </c>
      <c r="D44" s="13" t="n">
        <v>13000</v>
      </c>
      <c r="E44" s="11">
        <f>IF(SUM(COUNTIFS('Conciliacion de compuestos'!$D$2:$D$71,"conciliado",'Conciliacion de compuestos'!$E$2:$E$71,"OK",'Conciliacion de compuestos'!$J$2:$J$71,A44),COUNTIFS('Conciliacion de compuestos'!$D$2:$D$71,"conciliado",'Conciliacion de compuestos'!$E$2:$E$71,"OK",'Conciliacion de compuestos'!$K$2:$K$71,A44),COUNTIFS('Conciliacion de compuestos'!$D$2:$D$71,"conciliado",'Conciliacion de compuestos'!$E$2:$E$71,"OK",'Conciliacion de compuestos'!$L$2:$L$71,A44))&gt;0,"conciliado en compuesto confirmado","disponible")</f>
        <v/>
      </c>
    </row>
    <row r="45">
      <c r="A45" s="11" t="n">
        <v>245</v>
      </c>
      <c r="B45" s="12" t="n">
        <v>46107</v>
      </c>
      <c r="C45" s="11" t="inlineStr">
        <is>
          <t>angela maria</t>
        </is>
      </c>
      <c r="D45" s="13" t="n">
        <v>7800</v>
      </c>
      <c r="E45" s="11">
        <f>IF(SUM(COUNTIFS('Conciliacion de compuestos'!$D$2:$D$71,"conciliado",'Conciliacion de compuestos'!$E$2:$E$71,"OK",'Conciliacion de compuestos'!$J$2:$J$71,A45),COUNTIFS('Conciliacion de compuestos'!$D$2:$D$71,"conciliado",'Conciliacion de compuestos'!$E$2:$E$71,"OK",'Conciliacion de compuestos'!$K$2:$K$71,A45),COUNTIFS('Conciliacion de compuestos'!$D$2:$D$71,"conciliado",'Conciliacion de compuestos'!$E$2:$E$71,"OK",'Conciliacion de compuestos'!$L$2:$L$71,A45))&gt;0,"conciliado en compuesto confirmado","disponible")</f>
        <v/>
      </c>
    </row>
    <row r="46">
      <c r="A46" s="11" t="n">
        <v>246</v>
      </c>
      <c r="B46" s="12" t="n">
        <v>46107</v>
      </c>
      <c r="C46" s="11" t="inlineStr">
        <is>
          <t>angela maria</t>
        </is>
      </c>
      <c r="D46" s="13" t="n">
        <v>22100</v>
      </c>
      <c r="E46" s="11">
        <f>IF(SUM(COUNTIFS('Conciliacion de compuestos'!$D$2:$D$71,"conciliado",'Conciliacion de compuestos'!$E$2:$E$71,"OK",'Conciliacion de compuestos'!$J$2:$J$71,A46),COUNTIFS('Conciliacion de compuestos'!$D$2:$D$71,"conciliado",'Conciliacion de compuestos'!$E$2:$E$71,"OK",'Conciliacion de compuestos'!$K$2:$K$71,A46),COUNTIFS('Conciliacion de compuestos'!$D$2:$D$71,"conciliado",'Conciliacion de compuestos'!$E$2:$E$71,"OK",'Conciliacion de compuestos'!$L$2:$L$71,A46))&gt;0,"conciliado en compuesto confirmado","disponible")</f>
        <v/>
      </c>
    </row>
    <row r="47">
      <c r="A47" s="11" t="n">
        <v>248</v>
      </c>
      <c r="B47" s="12" t="n">
        <v>46107</v>
      </c>
      <c r="C47" s="11" t="inlineStr">
        <is>
          <t>castillo sirlen</t>
        </is>
      </c>
      <c r="D47" s="13" t="n">
        <v>10000</v>
      </c>
      <c r="E47" s="11">
        <f>IF(SUM(COUNTIFS('Conciliacion de compuestos'!$D$2:$D$71,"conciliado",'Conciliacion de compuestos'!$E$2:$E$71,"OK",'Conciliacion de compuestos'!$J$2:$J$71,A47),COUNTIFS('Conciliacion de compuestos'!$D$2:$D$71,"conciliado",'Conciliacion de compuestos'!$E$2:$E$71,"OK",'Conciliacion de compuestos'!$K$2:$K$71,A47),COUNTIFS('Conciliacion de compuestos'!$D$2:$D$71,"conciliado",'Conciliacion de compuestos'!$E$2:$E$71,"OK",'Conciliacion de compuestos'!$L$2:$L$71,A47))&gt;0,"conciliado en compuesto confirmado","disponible")</f>
        <v/>
      </c>
    </row>
    <row r="48">
      <c r="A48" s="11" t="n">
        <v>251</v>
      </c>
      <c r="B48" s="12" t="n">
        <v>46107</v>
      </c>
      <c r="C48" s="11" t="inlineStr">
        <is>
          <t>castillo sirlen</t>
        </is>
      </c>
      <c r="D48" s="13" t="n">
        <v>40000</v>
      </c>
      <c r="E48" s="11">
        <f>IF(SUM(COUNTIFS('Conciliacion de compuestos'!$D$2:$D$71,"conciliado",'Conciliacion de compuestos'!$E$2:$E$71,"OK",'Conciliacion de compuestos'!$J$2:$J$71,A48),COUNTIFS('Conciliacion de compuestos'!$D$2:$D$71,"conciliado",'Conciliacion de compuestos'!$E$2:$E$71,"OK",'Conciliacion de compuestos'!$K$2:$K$71,A48),COUNTIFS('Conciliacion de compuestos'!$D$2:$D$71,"conciliado",'Conciliacion de compuestos'!$E$2:$E$71,"OK",'Conciliacion de compuestos'!$L$2:$L$71,A48))&gt;0,"conciliado en compuesto confirmado","disponible")</f>
        <v/>
      </c>
    </row>
    <row r="49">
      <c r="A49" s="11" t="n">
        <v>254</v>
      </c>
      <c r="B49" s="12" t="n">
        <v>46107</v>
      </c>
      <c r="C49" s="11" t="inlineStr">
        <is>
          <t>karen rodriguez tatiana</t>
        </is>
      </c>
      <c r="D49" s="13" t="n">
        <v>10000</v>
      </c>
      <c r="E49" s="11">
        <f>IF(SUM(COUNTIFS('Conciliacion de compuestos'!$D$2:$D$71,"conciliado",'Conciliacion de compuestos'!$E$2:$E$71,"OK",'Conciliacion de compuestos'!$J$2:$J$71,A49),COUNTIFS('Conciliacion de compuestos'!$D$2:$D$71,"conciliado",'Conciliacion de compuestos'!$E$2:$E$71,"OK",'Conciliacion de compuestos'!$K$2:$K$71,A49),COUNTIFS('Conciliacion de compuestos'!$D$2:$D$71,"conciliado",'Conciliacion de compuestos'!$E$2:$E$71,"OK",'Conciliacion de compuestos'!$L$2:$L$71,A49))&gt;0,"conciliado en compuesto confirmado","disponible")</f>
        <v/>
      </c>
    </row>
    <row r="50">
      <c r="A50" s="11" t="n">
        <v>260</v>
      </c>
      <c r="B50" s="12" t="n">
        <v>46107</v>
      </c>
      <c r="C50" s="11" t="inlineStr">
        <is>
          <t>cubillos nivia ordones</t>
        </is>
      </c>
      <c r="D50" s="13" t="n">
        <v>16800</v>
      </c>
      <c r="E50" s="11">
        <f>IF(SUM(COUNTIFS('Conciliacion de compuestos'!$D$2:$D$71,"conciliado",'Conciliacion de compuestos'!$E$2:$E$71,"OK",'Conciliacion de compuestos'!$J$2:$J$71,A50),COUNTIFS('Conciliacion de compuestos'!$D$2:$D$71,"conciliado",'Conciliacion de compuestos'!$E$2:$E$71,"OK",'Conciliacion de compuestos'!$K$2:$K$71,A50),COUNTIFS('Conciliacion de compuestos'!$D$2:$D$71,"conciliado",'Conciliacion de compuestos'!$E$2:$E$71,"OK",'Conciliacion de compuestos'!$L$2:$L$71,A50))&gt;0,"conciliado en compuesto confirmado","disponible")</f>
        <v/>
      </c>
    </row>
    <row r="51">
      <c r="A51" s="11" t="n">
        <v>275</v>
      </c>
      <c r="B51" s="12" t="n">
        <v>46106</v>
      </c>
      <c r="C51" s="11" t="inlineStr">
        <is>
          <t>brenda marcela</t>
        </is>
      </c>
      <c r="D51" s="13" t="n">
        <v>27900</v>
      </c>
      <c r="E51" s="11">
        <f>IF(SUM(COUNTIFS('Conciliacion de compuestos'!$D$2:$D$71,"conciliado",'Conciliacion de compuestos'!$E$2:$E$71,"OK",'Conciliacion de compuestos'!$J$2:$J$71,A51),COUNTIFS('Conciliacion de compuestos'!$D$2:$D$71,"conciliado",'Conciliacion de compuestos'!$E$2:$E$71,"OK",'Conciliacion de compuestos'!$K$2:$K$71,A51),COUNTIFS('Conciliacion de compuestos'!$D$2:$D$71,"conciliado",'Conciliacion de compuestos'!$E$2:$E$71,"OK",'Conciliacion de compuestos'!$L$2:$L$71,A51))&gt;0,"conciliado en compuesto confirmado","disponible")</f>
        <v/>
      </c>
    </row>
    <row r="52">
      <c r="A52" s="11" t="n">
        <v>304</v>
      </c>
      <c r="B52" s="12" t="n">
        <v>46106</v>
      </c>
      <c r="C52" s="11" t="inlineStr">
        <is>
          <t>bancolombia desde qr recarga</t>
        </is>
      </c>
      <c r="D52" s="13" t="n">
        <v>27900</v>
      </c>
      <c r="E52" s="11">
        <f>IF(SUM(COUNTIFS('Conciliacion de compuestos'!$D$2:$D$71,"conciliado",'Conciliacion de compuestos'!$E$2:$E$71,"OK",'Conciliacion de compuestos'!$J$2:$J$71,A52),COUNTIFS('Conciliacion de compuestos'!$D$2:$D$71,"conciliado",'Conciliacion de compuestos'!$E$2:$E$71,"OK",'Conciliacion de compuestos'!$K$2:$K$71,A52),COUNTIFS('Conciliacion de compuestos'!$D$2:$D$71,"conciliado",'Conciliacion de compuestos'!$E$2:$E$71,"OK",'Conciliacion de compuestos'!$L$2:$L$71,A52))&gt;0,"conciliado en compuesto confirmado","disponible")</f>
        <v/>
      </c>
    </row>
    <row r="53">
      <c r="A53" s="11" t="n">
        <v>313</v>
      </c>
      <c r="B53" s="12" t="n">
        <v>46105</v>
      </c>
      <c r="C53" s="11" t="inlineStr">
        <is>
          <t>bancolombia desde recarga</t>
        </is>
      </c>
      <c r="D53" s="13" t="n">
        <v>12500</v>
      </c>
      <c r="E53" s="11">
        <f>IF(SUM(COUNTIFS('Conciliacion de compuestos'!$D$2:$D$71,"conciliado",'Conciliacion de compuestos'!$E$2:$E$71,"OK",'Conciliacion de compuestos'!$J$2:$J$71,A53),COUNTIFS('Conciliacion de compuestos'!$D$2:$D$71,"conciliado",'Conciliacion de compuestos'!$E$2:$E$71,"OK",'Conciliacion de compuestos'!$K$2:$K$71,A53),COUNTIFS('Conciliacion de compuestos'!$D$2:$D$71,"conciliado",'Conciliacion de compuestos'!$E$2:$E$71,"OK",'Conciliacion de compuestos'!$L$2:$L$71,A53))&gt;0,"conciliado en compuesto confirmado","disponible")</f>
        <v/>
      </c>
    </row>
    <row r="54">
      <c r="A54" s="11" t="n">
        <v>319</v>
      </c>
      <c r="B54" s="12" t="n">
        <v>46105</v>
      </c>
      <c r="C54" s="11" t="inlineStr">
        <is>
          <t>antonio gomez rodrigo</t>
        </is>
      </c>
      <c r="D54" s="13" t="n">
        <v>18000</v>
      </c>
      <c r="E54" s="11">
        <f>IF(SUM(COUNTIFS('Conciliacion de compuestos'!$D$2:$D$71,"conciliado",'Conciliacion de compuestos'!$E$2:$E$71,"OK",'Conciliacion de compuestos'!$J$2:$J$71,A54),COUNTIFS('Conciliacion de compuestos'!$D$2:$D$71,"conciliado",'Conciliacion de compuestos'!$E$2:$E$71,"OK",'Conciliacion de compuestos'!$K$2:$K$71,A54),COUNTIFS('Conciliacion de compuestos'!$D$2:$D$71,"conciliado",'Conciliacion de compuestos'!$E$2:$E$71,"OK",'Conciliacion de compuestos'!$L$2:$L$71,A54))&gt;0,"conciliado en compuesto confirmado","disponible")</f>
        <v/>
      </c>
    </row>
    <row r="55">
      <c r="A55" s="11" t="n">
        <v>321</v>
      </c>
      <c r="B55" s="12" t="n">
        <v>46105</v>
      </c>
      <c r="C55" s="11" t="inlineStr">
        <is>
          <t>antonio gomez rodrigo</t>
        </is>
      </c>
      <c r="D55" s="13" t="n">
        <v>10000</v>
      </c>
      <c r="E55" s="11">
        <f>IF(SUM(COUNTIFS('Conciliacion de compuestos'!$D$2:$D$71,"conciliado",'Conciliacion de compuestos'!$E$2:$E$71,"OK",'Conciliacion de compuestos'!$J$2:$J$71,A55),COUNTIFS('Conciliacion de compuestos'!$D$2:$D$71,"conciliado",'Conciliacion de compuestos'!$E$2:$E$71,"OK",'Conciliacion de compuestos'!$K$2:$K$71,A55),COUNTIFS('Conciliacion de compuestos'!$D$2:$D$71,"conciliado",'Conciliacion de compuestos'!$E$2:$E$71,"OK",'Conciliacion de compuestos'!$L$2:$L$71,A55))&gt;0,"conciliado en compuesto confirmado","disponible")</f>
        <v/>
      </c>
    </row>
    <row r="56">
      <c r="A56" s="11" t="n">
        <v>327</v>
      </c>
      <c r="B56" s="12" t="n">
        <v>46105</v>
      </c>
      <c r="C56" s="11" t="inlineStr">
        <is>
          <t>doly gamboa vargas</t>
        </is>
      </c>
      <c r="D56" s="13" t="n">
        <v>4500</v>
      </c>
      <c r="E56" s="11">
        <f>IF(SUM(COUNTIFS('Conciliacion de compuestos'!$D$2:$D$71,"conciliado",'Conciliacion de compuestos'!$E$2:$E$71,"OK",'Conciliacion de compuestos'!$J$2:$J$71,A56),COUNTIFS('Conciliacion de compuestos'!$D$2:$D$71,"conciliado",'Conciliacion de compuestos'!$E$2:$E$71,"OK",'Conciliacion de compuestos'!$K$2:$K$71,A56),COUNTIFS('Conciliacion de compuestos'!$D$2:$D$71,"conciliado",'Conciliacion de compuestos'!$E$2:$E$71,"OK",'Conciliacion de compuestos'!$L$2:$L$71,A56))&gt;0,"conciliado en compuesto confirmado","disponible")</f>
        <v/>
      </c>
    </row>
    <row r="57">
      <c r="A57" s="11" t="n">
        <v>343</v>
      </c>
      <c r="B57" s="12" t="n">
        <v>46105</v>
      </c>
      <c r="C57" s="11" t="inlineStr">
        <is>
          <t>doly gamboa vargas</t>
        </is>
      </c>
      <c r="D57" s="13" t="n">
        <v>60000</v>
      </c>
      <c r="E57" s="11">
        <f>IF(SUM(COUNTIFS('Conciliacion de compuestos'!$D$2:$D$71,"conciliado",'Conciliacion de compuestos'!$E$2:$E$71,"OK",'Conciliacion de compuestos'!$J$2:$J$71,A57),COUNTIFS('Conciliacion de compuestos'!$D$2:$D$71,"conciliado",'Conciliacion de compuestos'!$E$2:$E$71,"OK",'Conciliacion de compuestos'!$K$2:$K$71,A57),COUNTIFS('Conciliacion de compuestos'!$D$2:$D$71,"conciliado",'Conciliacion de compuestos'!$E$2:$E$71,"OK",'Conciliacion de compuestos'!$L$2:$L$71,A57))&gt;0,"conciliado en compuesto confirmado","disponible")</f>
        <v/>
      </c>
    </row>
    <row r="58">
      <c r="A58" s="11" t="n">
        <v>350</v>
      </c>
      <c r="B58" s="12" t="n">
        <v>46105</v>
      </c>
      <c r="C58" s="11" t="inlineStr">
        <is>
          <t>esteban gomez jhon</t>
        </is>
      </c>
      <c r="D58" s="13" t="n">
        <v>18000</v>
      </c>
      <c r="E58" s="11">
        <f>IF(SUM(COUNTIFS('Conciliacion de compuestos'!$D$2:$D$71,"conciliado",'Conciliacion de compuestos'!$E$2:$E$71,"OK",'Conciliacion de compuestos'!$J$2:$J$71,A58),COUNTIFS('Conciliacion de compuestos'!$D$2:$D$71,"conciliado",'Conciliacion de compuestos'!$E$2:$E$71,"OK",'Conciliacion de compuestos'!$K$2:$K$71,A58),COUNTIFS('Conciliacion de compuestos'!$D$2:$D$71,"conciliado",'Conciliacion de compuestos'!$E$2:$E$71,"OK",'Conciliacion de compuestos'!$L$2:$L$71,A58))&gt;0,"conciliado en compuesto confirmado","disponible")</f>
        <v/>
      </c>
    </row>
    <row r="59">
      <c r="A59" s="11" t="n">
        <v>356</v>
      </c>
      <c r="B59" s="12" t="n">
        <v>46105</v>
      </c>
      <c r="C59" s="11" t="inlineStr">
        <is>
          <t>bancolombia desde qr recarga</t>
        </is>
      </c>
      <c r="D59" s="13" t="n">
        <v>28000</v>
      </c>
      <c r="E59" s="11">
        <f>IF(SUM(COUNTIFS('Conciliacion de compuestos'!$D$2:$D$71,"conciliado",'Conciliacion de compuestos'!$E$2:$E$71,"OK",'Conciliacion de compuestos'!$J$2:$J$71,A59),COUNTIFS('Conciliacion de compuestos'!$D$2:$D$71,"conciliado",'Conciliacion de compuestos'!$E$2:$E$71,"OK",'Conciliacion de compuestos'!$K$2:$K$71,A59),COUNTIFS('Conciliacion de compuestos'!$D$2:$D$71,"conciliado",'Conciliacion de compuestos'!$E$2:$E$71,"OK",'Conciliacion de compuestos'!$L$2:$L$71,A59))&gt;0,"conciliado en compuesto confirmado","disponible")</f>
        <v/>
      </c>
    </row>
    <row r="60">
      <c r="A60" s="11" t="n">
        <v>362</v>
      </c>
      <c r="B60" s="12" t="n">
        <v>46105</v>
      </c>
      <c r="C60" s="11" t="inlineStr">
        <is>
          <t>borja freskey vergara</t>
        </is>
      </c>
      <c r="D60" s="13" t="n">
        <v>41400</v>
      </c>
      <c r="E60" s="11">
        <f>IF(SUM(COUNTIFS('Conciliacion de compuestos'!$D$2:$D$71,"conciliado",'Conciliacion de compuestos'!$E$2:$E$71,"OK",'Conciliacion de compuestos'!$J$2:$J$71,A60),COUNTIFS('Conciliacion de compuestos'!$D$2:$D$71,"conciliado",'Conciliacion de compuestos'!$E$2:$E$71,"OK",'Conciliacion de compuestos'!$K$2:$K$71,A60),COUNTIFS('Conciliacion de compuestos'!$D$2:$D$71,"conciliado",'Conciliacion de compuestos'!$E$2:$E$71,"OK",'Conciliacion de compuestos'!$L$2:$L$71,A60))&gt;0,"conciliado en compuesto confirmado","disponible")</f>
        <v/>
      </c>
    </row>
    <row r="61">
      <c r="A61" s="11" t="n">
        <v>364</v>
      </c>
      <c r="B61" s="12" t="n">
        <v>46105</v>
      </c>
      <c r="C61" s="11" t="inlineStr">
        <is>
          <t>borja freskey vergara</t>
        </is>
      </c>
      <c r="D61" s="13" t="n">
        <v>11900</v>
      </c>
      <c r="E61" s="11">
        <f>IF(SUM(COUNTIFS('Conciliacion de compuestos'!$D$2:$D$71,"conciliado",'Conciliacion de compuestos'!$E$2:$E$71,"OK",'Conciliacion de compuestos'!$J$2:$J$71,A61),COUNTIFS('Conciliacion de compuestos'!$D$2:$D$71,"conciliado",'Conciliacion de compuestos'!$E$2:$E$71,"OK",'Conciliacion de compuestos'!$K$2:$K$71,A61),COUNTIFS('Conciliacion de compuestos'!$D$2:$D$71,"conciliado",'Conciliacion de compuestos'!$E$2:$E$71,"OK",'Conciliacion de compuestos'!$L$2:$L$71,A61))&gt;0,"conciliado en compuesto confirmado","disponible")</f>
        <v/>
      </c>
    </row>
    <row r="62">
      <c r="A62" s="11" t="n">
        <v>368</v>
      </c>
      <c r="B62" s="12" t="n">
        <v>46104</v>
      </c>
      <c r="C62" s="11" t="inlineStr">
        <is>
          <t>bravo jair jhon moreano</t>
        </is>
      </c>
      <c r="D62" s="13" t="n">
        <v>50000</v>
      </c>
      <c r="E62" s="11">
        <f>IF(SUM(COUNTIFS('Conciliacion de compuestos'!$D$2:$D$71,"conciliado",'Conciliacion de compuestos'!$E$2:$E$71,"OK",'Conciliacion de compuestos'!$J$2:$J$71,A62),COUNTIFS('Conciliacion de compuestos'!$D$2:$D$71,"conciliado",'Conciliacion de compuestos'!$E$2:$E$71,"OK",'Conciliacion de compuestos'!$K$2:$K$71,A62),COUNTIFS('Conciliacion de compuestos'!$D$2:$D$71,"conciliado",'Conciliacion de compuestos'!$E$2:$E$71,"OK",'Conciliacion de compuestos'!$L$2:$L$71,A62))&gt;0,"conciliado en compuesto confirmado","disponible")</f>
        <v/>
      </c>
    </row>
    <row r="63">
      <c r="A63" s="11" t="n">
        <v>396</v>
      </c>
      <c r="B63" s="12" t="n">
        <v>46104</v>
      </c>
      <c r="C63" s="11" t="inlineStr">
        <is>
          <t>motta paola yina</t>
        </is>
      </c>
      <c r="D63" s="13" t="n">
        <v>21200</v>
      </c>
      <c r="E63" s="11">
        <f>IF(SUM(COUNTIFS('Conciliacion de compuestos'!$D$2:$D$71,"conciliado",'Conciliacion de compuestos'!$E$2:$E$71,"OK",'Conciliacion de compuestos'!$J$2:$J$71,A63),COUNTIFS('Conciliacion de compuestos'!$D$2:$D$71,"conciliado",'Conciliacion de compuestos'!$E$2:$E$71,"OK",'Conciliacion de compuestos'!$K$2:$K$71,A63),COUNTIFS('Conciliacion de compuestos'!$D$2:$D$71,"conciliado",'Conciliacion de compuestos'!$E$2:$E$71,"OK",'Conciliacion de compuestos'!$L$2:$L$71,A63))&gt;0,"conciliado en compuesto confirmado","disponible")</f>
        <v/>
      </c>
    </row>
    <row r="64">
      <c r="A64" s="11" t="n">
        <v>410</v>
      </c>
      <c r="B64" s="12" t="n">
        <v>46103</v>
      </c>
      <c r="C64" s="11" t="inlineStr">
        <is>
          <t>campo maria tania</t>
        </is>
      </c>
      <c r="D64" s="13" t="n">
        <v>6000</v>
      </c>
      <c r="E64" s="11">
        <f>IF(SUM(COUNTIFS('Conciliacion de compuestos'!$D$2:$D$71,"conciliado",'Conciliacion de compuestos'!$E$2:$E$71,"OK",'Conciliacion de compuestos'!$J$2:$J$71,A64),COUNTIFS('Conciliacion de compuestos'!$D$2:$D$71,"conciliado",'Conciliacion de compuestos'!$E$2:$E$71,"OK",'Conciliacion de compuestos'!$K$2:$K$71,A64),COUNTIFS('Conciliacion de compuestos'!$D$2:$D$71,"conciliado",'Conciliacion de compuestos'!$E$2:$E$71,"OK",'Conciliacion de compuestos'!$L$2:$L$71,A64))&gt;0,"conciliado en compuesto confirmado","disponible")</f>
        <v/>
      </c>
    </row>
    <row r="65">
      <c r="A65" s="11" t="n">
        <v>413</v>
      </c>
      <c r="B65" s="12" t="n">
        <v>46103</v>
      </c>
      <c r="C65" s="11" t="inlineStr">
        <is>
          <t>karen rodriguez tatiana</t>
        </is>
      </c>
      <c r="D65" s="13" t="n">
        <v>3400</v>
      </c>
      <c r="E65" s="11">
        <f>IF(SUM(COUNTIFS('Conciliacion de compuestos'!$D$2:$D$71,"conciliado",'Conciliacion de compuestos'!$E$2:$E$71,"OK",'Conciliacion de compuestos'!$J$2:$J$71,A65),COUNTIFS('Conciliacion de compuestos'!$D$2:$D$71,"conciliado",'Conciliacion de compuestos'!$E$2:$E$71,"OK",'Conciliacion de compuestos'!$K$2:$K$71,A65),COUNTIFS('Conciliacion de compuestos'!$D$2:$D$71,"conciliado",'Conciliacion de compuestos'!$E$2:$E$71,"OK",'Conciliacion de compuestos'!$L$2:$L$71,A65))&gt;0,"conciliado en compuesto confirmado","disponible")</f>
        <v/>
      </c>
    </row>
    <row r="66">
      <c r="A66" s="11" t="n">
        <v>414</v>
      </c>
      <c r="B66" s="12" t="n">
        <v>46103</v>
      </c>
      <c r="C66" s="11" t="inlineStr">
        <is>
          <t>karen rodriguez tatiana</t>
        </is>
      </c>
      <c r="D66" s="13" t="n">
        <v>25000</v>
      </c>
      <c r="E66" s="11">
        <f>IF(SUM(COUNTIFS('Conciliacion de compuestos'!$D$2:$D$71,"conciliado",'Conciliacion de compuestos'!$E$2:$E$71,"OK",'Conciliacion de compuestos'!$J$2:$J$71,A66),COUNTIFS('Conciliacion de compuestos'!$D$2:$D$71,"conciliado",'Conciliacion de compuestos'!$E$2:$E$71,"OK",'Conciliacion de compuestos'!$K$2:$K$71,A66),COUNTIFS('Conciliacion de compuestos'!$D$2:$D$71,"conciliado",'Conciliacion de compuestos'!$E$2:$E$71,"OK",'Conciliacion de compuestos'!$L$2:$L$71,A66))&gt;0,"conciliado en compuesto confirmado","disponible")</f>
        <v/>
      </c>
    </row>
    <row r="67">
      <c r="A67" s="11" t="n">
        <v>415</v>
      </c>
      <c r="B67" s="12" t="n">
        <v>46103</v>
      </c>
      <c r="C67" s="11" t="inlineStr">
        <is>
          <t>favio libardo mejia</t>
        </is>
      </c>
      <c r="D67" s="13" t="n">
        <v>216000</v>
      </c>
      <c r="E67" s="11">
        <f>IF(SUM(COUNTIFS('Conciliacion de compuestos'!$D$2:$D$71,"conciliado",'Conciliacion de compuestos'!$E$2:$E$71,"OK",'Conciliacion de compuestos'!$J$2:$J$71,A67),COUNTIFS('Conciliacion de compuestos'!$D$2:$D$71,"conciliado",'Conciliacion de compuestos'!$E$2:$E$71,"OK",'Conciliacion de compuestos'!$K$2:$K$71,A67),COUNTIFS('Conciliacion de compuestos'!$D$2:$D$71,"conciliado",'Conciliacion de compuestos'!$E$2:$E$71,"OK",'Conciliacion de compuestos'!$L$2:$L$71,A67))&gt;0,"conciliado en compuesto confirmado","disponible")</f>
        <v/>
      </c>
    </row>
    <row r="68">
      <c r="A68" s="11" t="n">
        <v>417</v>
      </c>
      <c r="B68" s="12" t="n">
        <v>46103</v>
      </c>
      <c r="C68" s="11" t="inlineStr">
        <is>
          <t>burbano leineth monica</t>
        </is>
      </c>
      <c r="D68" s="13" t="n">
        <v>11000</v>
      </c>
      <c r="E68" s="11">
        <f>IF(SUM(COUNTIFS('Conciliacion de compuestos'!$D$2:$D$71,"conciliado",'Conciliacion de compuestos'!$E$2:$E$71,"OK",'Conciliacion de compuestos'!$J$2:$J$71,A68),COUNTIFS('Conciliacion de compuestos'!$D$2:$D$71,"conciliado",'Conciliacion de compuestos'!$E$2:$E$71,"OK",'Conciliacion de compuestos'!$K$2:$K$71,A68),COUNTIFS('Conciliacion de compuestos'!$D$2:$D$71,"conciliado",'Conciliacion de compuestos'!$E$2:$E$71,"OK",'Conciliacion de compuestos'!$L$2:$L$71,A68))&gt;0,"conciliado en compuesto confirmado","disponible")</f>
        <v/>
      </c>
    </row>
    <row r="69">
      <c r="A69" s="11" t="n">
        <v>422</v>
      </c>
      <c r="B69" s="12" t="n">
        <v>46103</v>
      </c>
      <c r="C69" s="11" t="inlineStr">
        <is>
          <t>favio libardo mejia</t>
        </is>
      </c>
      <c r="D69" s="13" t="n">
        <v>216000</v>
      </c>
      <c r="E69" s="11">
        <f>IF(SUM(COUNTIFS('Conciliacion de compuestos'!$D$2:$D$71,"conciliado",'Conciliacion de compuestos'!$E$2:$E$71,"OK",'Conciliacion de compuestos'!$J$2:$J$71,A69),COUNTIFS('Conciliacion de compuestos'!$D$2:$D$71,"conciliado",'Conciliacion de compuestos'!$E$2:$E$71,"OK",'Conciliacion de compuestos'!$K$2:$K$71,A69),COUNTIFS('Conciliacion de compuestos'!$D$2:$D$71,"conciliado",'Conciliacion de compuestos'!$E$2:$E$71,"OK",'Conciliacion de compuestos'!$L$2:$L$71,A69))&gt;0,"conciliado en compuesto confirmado","disponible")</f>
        <v/>
      </c>
    </row>
    <row r="70">
      <c r="A70" s="11" t="n">
        <v>445</v>
      </c>
      <c r="B70" s="12" t="n">
        <v>46103</v>
      </c>
      <c r="C70" s="11" t="inlineStr">
        <is>
          <t>fernanda jenny</t>
        </is>
      </c>
      <c r="D70" s="13" t="n">
        <v>2000</v>
      </c>
      <c r="E70" s="11">
        <f>IF(SUM(COUNTIFS('Conciliacion de compuestos'!$D$2:$D$71,"conciliado",'Conciliacion de compuestos'!$E$2:$E$71,"OK",'Conciliacion de compuestos'!$J$2:$J$71,A70),COUNTIFS('Conciliacion de compuestos'!$D$2:$D$71,"conciliado",'Conciliacion de compuestos'!$E$2:$E$71,"OK",'Conciliacion de compuestos'!$K$2:$K$71,A70),COUNTIFS('Conciliacion de compuestos'!$D$2:$D$71,"conciliado",'Conciliacion de compuestos'!$E$2:$E$71,"OK",'Conciliacion de compuestos'!$L$2:$L$71,A70))&gt;0,"conciliado en compuesto confirmado","disponible")</f>
        <v/>
      </c>
    </row>
    <row r="71">
      <c r="A71" s="11" t="n">
        <v>446</v>
      </c>
      <c r="B71" s="12" t="n">
        <v>46103</v>
      </c>
      <c r="C71" s="11" t="inlineStr">
        <is>
          <t>fernanda jenny</t>
        </is>
      </c>
      <c r="D71" s="13" t="n">
        <v>13100</v>
      </c>
      <c r="E71" s="11">
        <f>IF(SUM(COUNTIFS('Conciliacion de compuestos'!$D$2:$D$71,"conciliado",'Conciliacion de compuestos'!$E$2:$E$71,"OK",'Conciliacion de compuestos'!$J$2:$J$71,A71),COUNTIFS('Conciliacion de compuestos'!$D$2:$D$71,"conciliado",'Conciliacion de compuestos'!$E$2:$E$71,"OK",'Conciliacion de compuestos'!$K$2:$K$71,A71),COUNTIFS('Conciliacion de compuestos'!$D$2:$D$71,"conciliado",'Conciliacion de compuestos'!$E$2:$E$71,"OK",'Conciliacion de compuestos'!$L$2:$L$71,A71))&gt;0,"conciliado en compuesto confirmado","disponible")</f>
        <v/>
      </c>
    </row>
    <row r="72">
      <c r="A72" s="11" t="n">
        <v>467</v>
      </c>
      <c r="B72" s="12" t="n">
        <v>46102</v>
      </c>
      <c r="C72" s="11" t="inlineStr">
        <is>
          <t>bancolombia desde qr recarga</t>
        </is>
      </c>
      <c r="D72" s="13" t="n">
        <v>16400</v>
      </c>
      <c r="E72" s="11">
        <f>IF(SUM(COUNTIFS('Conciliacion de compuestos'!$D$2:$D$71,"conciliado",'Conciliacion de compuestos'!$E$2:$E$71,"OK",'Conciliacion de compuestos'!$J$2:$J$71,A72),COUNTIFS('Conciliacion de compuestos'!$D$2:$D$71,"conciliado",'Conciliacion de compuestos'!$E$2:$E$71,"OK",'Conciliacion de compuestos'!$K$2:$K$71,A72),COUNTIFS('Conciliacion de compuestos'!$D$2:$D$71,"conciliado",'Conciliacion de compuestos'!$E$2:$E$71,"OK",'Conciliacion de compuestos'!$L$2:$L$71,A72))&gt;0,"conciliado en compuesto confirmado","disponible")</f>
        <v/>
      </c>
    </row>
    <row r="73">
      <c r="A73" s="11" t="n">
        <v>476</v>
      </c>
      <c r="B73" s="12" t="n">
        <v>46102</v>
      </c>
      <c r="C73" s="11" t="inlineStr">
        <is>
          <t>rodrigo zapata</t>
        </is>
      </c>
      <c r="D73" s="13" t="n">
        <v>49900</v>
      </c>
      <c r="E73" s="11">
        <f>IF(SUM(COUNTIFS('Conciliacion de compuestos'!$D$2:$D$71,"conciliado",'Conciliacion de compuestos'!$E$2:$E$71,"OK",'Conciliacion de compuestos'!$J$2:$J$71,A73),COUNTIFS('Conciliacion de compuestos'!$D$2:$D$71,"conciliado",'Conciliacion de compuestos'!$E$2:$E$71,"OK",'Conciliacion de compuestos'!$K$2:$K$71,A73),COUNTIFS('Conciliacion de compuestos'!$D$2:$D$71,"conciliado",'Conciliacion de compuestos'!$E$2:$E$71,"OK",'Conciliacion de compuestos'!$L$2:$L$71,A73))&gt;0,"conciliado en compuesto confirmado","disponible")</f>
        <v/>
      </c>
    </row>
    <row r="74">
      <c r="A74" s="11" t="n">
        <v>483</v>
      </c>
      <c r="B74" s="12" t="n">
        <v>46102</v>
      </c>
      <c r="C74" s="11" t="inlineStr">
        <is>
          <t>bancolombia desde qr recarga</t>
        </is>
      </c>
      <c r="D74" s="13" t="n">
        <v>75000</v>
      </c>
      <c r="E74" s="11">
        <f>IF(SUM(COUNTIFS('Conciliacion de compuestos'!$D$2:$D$71,"conciliado",'Conciliacion de compuestos'!$E$2:$E$71,"OK",'Conciliacion de compuestos'!$J$2:$J$71,A74),COUNTIFS('Conciliacion de compuestos'!$D$2:$D$71,"conciliado",'Conciliacion de compuestos'!$E$2:$E$71,"OK",'Conciliacion de compuestos'!$K$2:$K$71,A74),COUNTIFS('Conciliacion de compuestos'!$D$2:$D$71,"conciliado",'Conciliacion de compuestos'!$E$2:$E$71,"OK",'Conciliacion de compuestos'!$L$2:$L$71,A74))&gt;0,"conciliado en compuesto confirmado","disponible")</f>
        <v/>
      </c>
    </row>
    <row r="75">
      <c r="A75" s="11" t="n">
        <v>488</v>
      </c>
      <c r="B75" s="12" t="n">
        <v>46102</v>
      </c>
      <c r="C75" s="11" t="inlineStr">
        <is>
          <t>rodrigo zapata</t>
        </is>
      </c>
      <c r="D75" s="13" t="n">
        <v>40000</v>
      </c>
      <c r="E75" s="11">
        <f>IF(SUM(COUNTIFS('Conciliacion de compuestos'!$D$2:$D$71,"conciliado",'Conciliacion de compuestos'!$E$2:$E$71,"OK",'Conciliacion de compuestos'!$J$2:$J$71,A75),COUNTIFS('Conciliacion de compuestos'!$D$2:$D$71,"conciliado",'Conciliacion de compuestos'!$E$2:$E$71,"OK",'Conciliacion de compuestos'!$K$2:$K$71,A75),COUNTIFS('Conciliacion de compuestos'!$D$2:$D$71,"conciliado",'Conciliacion de compuestos'!$E$2:$E$71,"OK",'Conciliacion de compuestos'!$L$2:$L$71,A75))&gt;0,"conciliado en compuesto confirmado","disponible")</f>
        <v/>
      </c>
    </row>
    <row r="76">
      <c r="A76" s="11" t="n">
        <v>492</v>
      </c>
      <c r="B76" s="12" t="n">
        <v>46102</v>
      </c>
      <c r="C76" s="11" t="inlineStr">
        <is>
          <t>bancolombia desde qr recarga</t>
        </is>
      </c>
      <c r="D76" s="13" t="n">
        <v>10700</v>
      </c>
      <c r="E76" s="11">
        <f>IF(SUM(COUNTIFS('Conciliacion de compuestos'!$D$2:$D$71,"conciliado",'Conciliacion de compuestos'!$E$2:$E$71,"OK",'Conciliacion de compuestos'!$J$2:$J$71,A76),COUNTIFS('Conciliacion de compuestos'!$D$2:$D$71,"conciliado",'Conciliacion de compuestos'!$E$2:$E$71,"OK",'Conciliacion de compuestos'!$K$2:$K$71,A76),COUNTIFS('Conciliacion de compuestos'!$D$2:$D$71,"conciliado",'Conciliacion de compuestos'!$E$2:$E$71,"OK",'Conciliacion de compuestos'!$L$2:$L$71,A76))&gt;0,"conciliado en compuesto confirmado","disponible")</f>
        <v/>
      </c>
    </row>
    <row r="77">
      <c r="A77" s="11" t="n">
        <v>499</v>
      </c>
      <c r="B77" s="12" t="n">
        <v>46102</v>
      </c>
      <c r="C77" s="11" t="inlineStr">
        <is>
          <t>bancolombia desde recarga</t>
        </is>
      </c>
      <c r="D77" s="13" t="n">
        <v>3500</v>
      </c>
      <c r="E77" s="11">
        <f>IF(SUM(COUNTIFS('Conciliacion de compuestos'!$D$2:$D$71,"conciliado",'Conciliacion de compuestos'!$E$2:$E$71,"OK",'Conciliacion de compuestos'!$J$2:$J$71,A77),COUNTIFS('Conciliacion de compuestos'!$D$2:$D$71,"conciliado",'Conciliacion de compuestos'!$E$2:$E$71,"OK",'Conciliacion de compuestos'!$K$2:$K$71,A77),COUNTIFS('Conciliacion de compuestos'!$D$2:$D$71,"conciliado",'Conciliacion de compuestos'!$E$2:$E$71,"OK",'Conciliacion de compuestos'!$L$2:$L$71,A77))&gt;0,"conciliado en compuesto confirmado","disponible")</f>
        <v/>
      </c>
    </row>
    <row r="78">
      <c r="A78" s="11" t="n">
        <v>500</v>
      </c>
      <c r="B78" s="12" t="n">
        <v>46102</v>
      </c>
      <c r="C78" s="11" t="inlineStr">
        <is>
          <t>bancolombia desde recarga</t>
        </is>
      </c>
      <c r="D78" s="13" t="n">
        <v>10100</v>
      </c>
      <c r="E78" s="11">
        <f>IF(SUM(COUNTIFS('Conciliacion de compuestos'!$D$2:$D$71,"conciliado",'Conciliacion de compuestos'!$E$2:$E$71,"OK",'Conciliacion de compuestos'!$J$2:$J$71,A78),COUNTIFS('Conciliacion de compuestos'!$D$2:$D$71,"conciliado",'Conciliacion de compuestos'!$E$2:$E$71,"OK",'Conciliacion de compuestos'!$K$2:$K$71,A78),COUNTIFS('Conciliacion de compuestos'!$D$2:$D$71,"conciliado",'Conciliacion de compuestos'!$E$2:$E$71,"OK",'Conciliacion de compuestos'!$L$2:$L$71,A78))&gt;0,"conciliado en compuesto confirmado","disponible")</f>
        <v/>
      </c>
    </row>
    <row r="79">
      <c r="A79" s="11" t="n">
        <v>504</v>
      </c>
      <c r="B79" s="12" t="n">
        <v>46102</v>
      </c>
      <c r="C79" s="11" t="inlineStr">
        <is>
          <t>castillo sandra soreya</t>
        </is>
      </c>
      <c r="D79" s="13" t="n">
        <v>2000</v>
      </c>
      <c r="E79" s="11">
        <f>IF(SUM(COUNTIFS('Conciliacion de compuestos'!$D$2:$D$71,"conciliado",'Conciliacion de compuestos'!$E$2:$E$71,"OK",'Conciliacion de compuestos'!$J$2:$J$71,A79),COUNTIFS('Conciliacion de compuestos'!$D$2:$D$71,"conciliado",'Conciliacion de compuestos'!$E$2:$E$71,"OK",'Conciliacion de compuestos'!$K$2:$K$71,A79),COUNTIFS('Conciliacion de compuestos'!$D$2:$D$71,"conciliado",'Conciliacion de compuestos'!$E$2:$E$71,"OK",'Conciliacion de compuestos'!$L$2:$L$71,A79))&gt;0,"conciliado en compuesto confirmado","disponible")</f>
        <v/>
      </c>
    </row>
    <row r="80">
      <c r="A80" s="11" t="n">
        <v>505</v>
      </c>
      <c r="B80" s="12" t="n">
        <v>46102</v>
      </c>
      <c r="C80" s="11" t="inlineStr">
        <is>
          <t>castillo sandra soreya</t>
        </is>
      </c>
      <c r="D80" s="13" t="n">
        <v>4500</v>
      </c>
      <c r="E80" s="11">
        <f>IF(SUM(COUNTIFS('Conciliacion de compuestos'!$D$2:$D$71,"conciliado",'Conciliacion de compuestos'!$E$2:$E$71,"OK",'Conciliacion de compuestos'!$J$2:$J$71,A80),COUNTIFS('Conciliacion de compuestos'!$D$2:$D$71,"conciliado",'Conciliacion de compuestos'!$E$2:$E$71,"OK",'Conciliacion de compuestos'!$K$2:$K$71,A80),COUNTIFS('Conciliacion de compuestos'!$D$2:$D$71,"conciliado",'Conciliacion de compuestos'!$E$2:$E$71,"OK",'Conciliacion de compuestos'!$L$2:$L$71,A80))&gt;0,"conciliado en compuesto confirmado","disponible")</f>
        <v/>
      </c>
    </row>
    <row r="81">
      <c r="A81" s="11" t="n">
        <v>521</v>
      </c>
      <c r="B81" s="12" t="n">
        <v>46101</v>
      </c>
      <c r="C81" s="11" t="inlineStr">
        <is>
          <t>carlos juan sanchez</t>
        </is>
      </c>
      <c r="D81" s="13" t="n">
        <v>10000</v>
      </c>
      <c r="E81" s="11">
        <f>IF(SUM(COUNTIFS('Conciliacion de compuestos'!$D$2:$D$71,"conciliado",'Conciliacion de compuestos'!$E$2:$E$71,"OK",'Conciliacion de compuestos'!$J$2:$J$71,A81),COUNTIFS('Conciliacion de compuestos'!$D$2:$D$71,"conciliado",'Conciliacion de compuestos'!$E$2:$E$71,"OK",'Conciliacion de compuestos'!$K$2:$K$71,A81),COUNTIFS('Conciliacion de compuestos'!$D$2:$D$71,"conciliado",'Conciliacion de compuestos'!$E$2:$E$71,"OK",'Conciliacion de compuestos'!$L$2:$L$71,A81))&gt;0,"conciliado en compuesto confirmado","disponible")</f>
        <v/>
      </c>
    </row>
    <row r="82">
      <c r="A82" s="11" t="n">
        <v>524</v>
      </c>
      <c r="B82" s="12" t="n">
        <v>46101</v>
      </c>
      <c r="C82" s="11" t="inlineStr">
        <is>
          <t>carlos juan sanchez</t>
        </is>
      </c>
      <c r="D82" s="13" t="n">
        <v>6700</v>
      </c>
      <c r="E82" s="11">
        <f>IF(SUM(COUNTIFS('Conciliacion de compuestos'!$D$2:$D$71,"conciliado",'Conciliacion de compuestos'!$E$2:$E$71,"OK",'Conciliacion de compuestos'!$J$2:$J$71,A82),COUNTIFS('Conciliacion de compuestos'!$D$2:$D$71,"conciliado",'Conciliacion de compuestos'!$E$2:$E$71,"OK",'Conciliacion de compuestos'!$K$2:$K$71,A82),COUNTIFS('Conciliacion de compuestos'!$D$2:$D$71,"conciliado",'Conciliacion de compuestos'!$E$2:$E$71,"OK",'Conciliacion de compuestos'!$L$2:$L$71,A82))&gt;0,"conciliado en compuesto confirmado","disponible")</f>
        <v/>
      </c>
    </row>
    <row r="83">
      <c r="A83" s="11" t="n">
        <v>565</v>
      </c>
      <c r="B83" s="12" t="n">
        <v>46100</v>
      </c>
      <c r="C83" s="11" t="inlineStr">
        <is>
          <t>ancizar gutierrez jose</t>
        </is>
      </c>
      <c r="D83" s="13" t="n">
        <v>75600</v>
      </c>
      <c r="E83" s="11">
        <f>IF(SUM(COUNTIFS('Conciliacion de compuestos'!$D$2:$D$71,"conciliado",'Conciliacion de compuestos'!$E$2:$E$71,"OK",'Conciliacion de compuestos'!$J$2:$J$71,A83),COUNTIFS('Conciliacion de compuestos'!$D$2:$D$71,"conciliado",'Conciliacion de compuestos'!$E$2:$E$71,"OK",'Conciliacion de compuestos'!$K$2:$K$71,A83),COUNTIFS('Conciliacion de compuestos'!$D$2:$D$71,"conciliado",'Conciliacion de compuestos'!$E$2:$E$71,"OK",'Conciliacion de compuestos'!$L$2:$L$71,A83))&gt;0,"conciliado en compuesto confirmado","disponible")</f>
        <v/>
      </c>
    </row>
    <row r="84">
      <c r="A84" s="11" t="n">
        <v>566</v>
      </c>
      <c r="B84" s="12" t="n">
        <v>46100</v>
      </c>
      <c r="C84" s="11" t="inlineStr">
        <is>
          <t>ancizar gutierrez jose</t>
        </is>
      </c>
      <c r="D84" s="13" t="n">
        <v>8400</v>
      </c>
      <c r="E84" s="11">
        <f>IF(SUM(COUNTIFS('Conciliacion de compuestos'!$D$2:$D$71,"conciliado",'Conciliacion de compuestos'!$E$2:$E$71,"OK",'Conciliacion de compuestos'!$J$2:$J$71,A84),COUNTIFS('Conciliacion de compuestos'!$D$2:$D$71,"conciliado",'Conciliacion de compuestos'!$E$2:$E$71,"OK",'Conciliacion de compuestos'!$K$2:$K$71,A84),COUNTIFS('Conciliacion de compuestos'!$D$2:$D$71,"conciliado",'Conciliacion de compuestos'!$E$2:$E$71,"OK",'Conciliacion de compuestos'!$L$2:$L$71,A84))&gt;0,"conciliado en compuesto confirmado","disponible")</f>
        <v/>
      </c>
    </row>
    <row r="85">
      <c r="A85" s="11" t="n">
        <v>567</v>
      </c>
      <c r="B85" s="12" t="n">
        <v>46100</v>
      </c>
      <c r="C85" s="11" t="inlineStr">
        <is>
          <t>amilo ferney lopez</t>
        </is>
      </c>
      <c r="D85" s="13" t="n">
        <v>4900</v>
      </c>
      <c r="E85" s="11">
        <f>IF(SUM(COUNTIFS('Conciliacion de compuestos'!$D$2:$D$71,"conciliado",'Conciliacion de compuestos'!$E$2:$E$71,"OK",'Conciliacion de compuestos'!$J$2:$J$71,A85),COUNTIFS('Conciliacion de compuestos'!$D$2:$D$71,"conciliado",'Conciliacion de compuestos'!$E$2:$E$71,"OK",'Conciliacion de compuestos'!$K$2:$K$71,A85),COUNTIFS('Conciliacion de compuestos'!$D$2:$D$71,"conciliado",'Conciliacion de compuestos'!$E$2:$E$71,"OK",'Conciliacion de compuestos'!$L$2:$L$71,A85))&gt;0,"conciliado en compuesto confirmado","disponible")</f>
        <v/>
      </c>
    </row>
    <row r="86">
      <c r="A86" s="11" t="n">
        <v>571</v>
      </c>
      <c r="B86" s="12" t="n">
        <v>46100</v>
      </c>
      <c r="C86" s="11" t="inlineStr">
        <is>
          <t>amilo ferney lopez</t>
        </is>
      </c>
      <c r="D86" s="13" t="n">
        <v>11700</v>
      </c>
      <c r="E86" s="11">
        <f>IF(SUM(COUNTIFS('Conciliacion de compuestos'!$D$2:$D$71,"conciliado",'Conciliacion de compuestos'!$E$2:$E$71,"OK",'Conciliacion de compuestos'!$J$2:$J$71,A86),COUNTIFS('Conciliacion de compuestos'!$D$2:$D$71,"conciliado",'Conciliacion de compuestos'!$E$2:$E$71,"OK",'Conciliacion de compuestos'!$K$2:$K$71,A86),COUNTIFS('Conciliacion de compuestos'!$D$2:$D$71,"conciliado",'Conciliacion de compuestos'!$E$2:$E$71,"OK",'Conciliacion de compuestos'!$L$2:$L$71,A86))&gt;0,"conciliado en compuesto confirmado","disponible")</f>
        <v/>
      </c>
    </row>
    <row r="87">
      <c r="A87" s="11" t="n">
        <v>601</v>
      </c>
      <c r="B87" s="12" t="n">
        <v>46099</v>
      </c>
      <c r="C87" s="11" t="inlineStr">
        <is>
          <t>ricardo segundo</t>
        </is>
      </c>
      <c r="D87" s="13" t="n">
        <v>6400</v>
      </c>
      <c r="E87" s="11">
        <f>IF(SUM(COUNTIFS('Conciliacion de compuestos'!$D$2:$D$71,"conciliado",'Conciliacion de compuestos'!$E$2:$E$71,"OK",'Conciliacion de compuestos'!$J$2:$J$71,A87),COUNTIFS('Conciliacion de compuestos'!$D$2:$D$71,"conciliado",'Conciliacion de compuestos'!$E$2:$E$71,"OK",'Conciliacion de compuestos'!$K$2:$K$71,A87),COUNTIFS('Conciliacion de compuestos'!$D$2:$D$71,"conciliado",'Conciliacion de compuestos'!$E$2:$E$71,"OK",'Conciliacion de compuestos'!$L$2:$L$71,A87))&gt;0,"conciliado en compuesto confirmado","disponible")</f>
        <v/>
      </c>
    </row>
    <row r="88">
      <c r="A88" s="11" t="n">
        <v>627</v>
      </c>
      <c r="B88" s="12" t="n">
        <v>46099</v>
      </c>
      <c r="C88" s="11" t="inlineStr">
        <is>
          <t>ricardo segundo</t>
        </is>
      </c>
      <c r="D88" s="13" t="n">
        <v>40000</v>
      </c>
      <c r="E88" s="11">
        <f>IF(SUM(COUNTIFS('Conciliacion de compuestos'!$D$2:$D$71,"conciliado",'Conciliacion de compuestos'!$E$2:$E$71,"OK",'Conciliacion de compuestos'!$J$2:$J$71,A88),COUNTIFS('Conciliacion de compuestos'!$D$2:$D$71,"conciliado",'Conciliacion de compuestos'!$E$2:$E$71,"OK",'Conciliacion de compuestos'!$K$2:$K$71,A88),COUNTIFS('Conciliacion de compuestos'!$D$2:$D$71,"conciliado",'Conciliacion de compuestos'!$E$2:$E$71,"OK",'Conciliacion de compuestos'!$L$2:$L$71,A88))&gt;0,"conciliado en compuesto confirmado","disponible")</f>
        <v/>
      </c>
    </row>
    <row r="89">
      <c r="A89" s="11" t="n">
        <v>630</v>
      </c>
      <c r="B89" s="12" t="n">
        <v>46099</v>
      </c>
      <c r="C89" s="11" t="inlineStr">
        <is>
          <t>fernanda jenny</t>
        </is>
      </c>
      <c r="D89" s="13" t="n">
        <v>15000</v>
      </c>
      <c r="E89" s="11">
        <f>IF(SUM(COUNTIFS('Conciliacion de compuestos'!$D$2:$D$71,"conciliado",'Conciliacion de compuestos'!$E$2:$E$71,"OK",'Conciliacion de compuestos'!$J$2:$J$71,A89),COUNTIFS('Conciliacion de compuestos'!$D$2:$D$71,"conciliado",'Conciliacion de compuestos'!$E$2:$E$71,"OK",'Conciliacion de compuestos'!$K$2:$K$71,A89),COUNTIFS('Conciliacion de compuestos'!$D$2:$D$71,"conciliado",'Conciliacion de compuestos'!$E$2:$E$71,"OK",'Conciliacion de compuestos'!$L$2:$L$71,A89))&gt;0,"conciliado en compuesto confirmado","disponible")</f>
        <v/>
      </c>
    </row>
    <row r="90">
      <c r="A90" s="11" t="n">
        <v>683</v>
      </c>
      <c r="B90" s="12" t="n">
        <v>46097</v>
      </c>
      <c r="C90" s="11" t="inlineStr">
        <is>
          <t>b bre jeimy</t>
        </is>
      </c>
      <c r="D90" s="13" t="n">
        <v>28000</v>
      </c>
      <c r="E90" s="11">
        <f>IF(SUM(COUNTIFS('Conciliacion de compuestos'!$D$2:$D$71,"conciliado",'Conciliacion de compuestos'!$E$2:$E$71,"OK",'Conciliacion de compuestos'!$J$2:$J$71,A90),COUNTIFS('Conciliacion de compuestos'!$D$2:$D$71,"conciliado",'Conciliacion de compuestos'!$E$2:$E$71,"OK",'Conciliacion de compuestos'!$K$2:$K$71,A90),COUNTIFS('Conciliacion de compuestos'!$D$2:$D$71,"conciliado",'Conciliacion de compuestos'!$E$2:$E$71,"OK",'Conciliacion de compuestos'!$L$2:$L$71,A90))&gt;0,"conciliado en compuesto confirmado","disponible")</f>
        <v/>
      </c>
    </row>
    <row r="91">
      <c r="A91" s="11" t="n">
        <v>686</v>
      </c>
      <c r="B91" s="12" t="n">
        <v>46097</v>
      </c>
      <c r="C91" s="11" t="inlineStr">
        <is>
          <t>leidy liliana urbano</t>
        </is>
      </c>
      <c r="D91" s="13" t="n">
        <v>10000</v>
      </c>
      <c r="E91" s="11">
        <f>IF(SUM(COUNTIFS('Conciliacion de compuestos'!$D$2:$D$71,"conciliado",'Conciliacion de compuestos'!$E$2:$E$71,"OK",'Conciliacion de compuestos'!$J$2:$J$71,A91),COUNTIFS('Conciliacion de compuestos'!$D$2:$D$71,"conciliado",'Conciliacion de compuestos'!$E$2:$E$71,"OK",'Conciliacion de compuestos'!$K$2:$K$71,A91),COUNTIFS('Conciliacion de compuestos'!$D$2:$D$71,"conciliado",'Conciliacion de compuestos'!$E$2:$E$71,"OK",'Conciliacion de compuestos'!$L$2:$L$71,A91))&gt;0,"conciliado en compuesto confirmado","disponible")</f>
        <v/>
      </c>
    </row>
    <row r="92">
      <c r="A92" s="11" t="n">
        <v>687</v>
      </c>
      <c r="B92" s="12" t="n">
        <v>46097</v>
      </c>
      <c r="C92" s="11" t="inlineStr">
        <is>
          <t>leidy liliana urbano</t>
        </is>
      </c>
      <c r="D92" s="13" t="n">
        <v>232500</v>
      </c>
      <c r="E92" s="11">
        <f>IF(SUM(COUNTIFS('Conciliacion de compuestos'!$D$2:$D$71,"conciliado",'Conciliacion de compuestos'!$E$2:$E$71,"OK",'Conciliacion de compuestos'!$J$2:$J$71,A92),COUNTIFS('Conciliacion de compuestos'!$D$2:$D$71,"conciliado",'Conciliacion de compuestos'!$E$2:$E$71,"OK",'Conciliacion de compuestos'!$K$2:$K$71,A92),COUNTIFS('Conciliacion de compuestos'!$D$2:$D$71,"conciliado",'Conciliacion de compuestos'!$E$2:$E$71,"OK",'Conciliacion de compuestos'!$L$2:$L$71,A92))&gt;0,"conciliado en compuesto confirmado","disponible")</f>
        <v/>
      </c>
    </row>
    <row r="93">
      <c r="A93" s="11" t="n">
        <v>689</v>
      </c>
      <c r="B93" s="12" t="n">
        <v>46097</v>
      </c>
      <c r="C93" s="11" t="inlineStr">
        <is>
          <t>amelia anghela ceron</t>
        </is>
      </c>
      <c r="D93" s="13" t="n">
        <v>6000</v>
      </c>
      <c r="E93" s="11">
        <f>IF(SUM(COUNTIFS('Conciliacion de compuestos'!$D$2:$D$71,"conciliado",'Conciliacion de compuestos'!$E$2:$E$71,"OK",'Conciliacion de compuestos'!$J$2:$J$71,A93),COUNTIFS('Conciliacion de compuestos'!$D$2:$D$71,"conciliado",'Conciliacion de compuestos'!$E$2:$E$71,"OK",'Conciliacion de compuestos'!$K$2:$K$71,A93),COUNTIFS('Conciliacion de compuestos'!$D$2:$D$71,"conciliado",'Conciliacion de compuestos'!$E$2:$E$71,"OK",'Conciliacion de compuestos'!$L$2:$L$71,A93))&gt;0,"conciliado en compuesto confirmado","disponible")</f>
        <v/>
      </c>
    </row>
    <row r="94">
      <c r="A94" s="11" t="n">
        <v>708</v>
      </c>
      <c r="B94" s="12" t="n">
        <v>46097</v>
      </c>
      <c r="C94" s="11" t="inlineStr">
        <is>
          <t>b bre jeimy</t>
        </is>
      </c>
      <c r="D94" s="13" t="n">
        <v>6000</v>
      </c>
      <c r="E94" s="11">
        <f>IF(SUM(COUNTIFS('Conciliacion de compuestos'!$D$2:$D$71,"conciliado",'Conciliacion de compuestos'!$E$2:$E$71,"OK",'Conciliacion de compuestos'!$J$2:$J$71,A94),COUNTIFS('Conciliacion de compuestos'!$D$2:$D$71,"conciliado",'Conciliacion de compuestos'!$E$2:$E$71,"OK",'Conciliacion de compuestos'!$K$2:$K$71,A94),COUNTIFS('Conciliacion de compuestos'!$D$2:$D$71,"conciliado",'Conciliacion de compuestos'!$E$2:$E$71,"OK",'Conciliacion de compuestos'!$L$2:$L$71,A94))&gt;0,"conciliado en compuesto confirmado","disponible")</f>
        <v/>
      </c>
    </row>
    <row r="95">
      <c r="A95" s="11" t="n">
        <v>712</v>
      </c>
      <c r="B95" s="12" t="n">
        <v>46097</v>
      </c>
      <c r="C95" s="11" t="inlineStr">
        <is>
          <t>b bre jeimy</t>
        </is>
      </c>
      <c r="D95" s="13" t="n">
        <v>25200</v>
      </c>
      <c r="E95" s="11">
        <f>IF(SUM(COUNTIFS('Conciliacion de compuestos'!$D$2:$D$71,"conciliado",'Conciliacion de compuestos'!$E$2:$E$71,"OK",'Conciliacion de compuestos'!$J$2:$J$71,A95),COUNTIFS('Conciliacion de compuestos'!$D$2:$D$71,"conciliado",'Conciliacion de compuestos'!$E$2:$E$71,"OK",'Conciliacion de compuestos'!$K$2:$K$71,A95),COUNTIFS('Conciliacion de compuestos'!$D$2:$D$71,"conciliado",'Conciliacion de compuestos'!$E$2:$E$71,"OK",'Conciliacion de compuestos'!$L$2:$L$71,A95))&gt;0,"conciliado en compuesto confirmado","disponible")</f>
        <v/>
      </c>
    </row>
    <row r="96">
      <c r="A96" s="11" t="n">
        <v>731</v>
      </c>
      <c r="B96" s="12" t="n">
        <v>46096</v>
      </c>
      <c r="C96" s="11" t="inlineStr">
        <is>
          <t>bancolombia desde qr recarga</t>
        </is>
      </c>
      <c r="D96" s="13" t="n">
        <v>9200</v>
      </c>
      <c r="E96" s="11">
        <f>IF(SUM(COUNTIFS('Conciliacion de compuestos'!$D$2:$D$71,"conciliado",'Conciliacion de compuestos'!$E$2:$E$71,"OK",'Conciliacion de compuestos'!$J$2:$J$71,A96),COUNTIFS('Conciliacion de compuestos'!$D$2:$D$71,"conciliado",'Conciliacion de compuestos'!$E$2:$E$71,"OK",'Conciliacion de compuestos'!$K$2:$K$71,A96),COUNTIFS('Conciliacion de compuestos'!$D$2:$D$71,"conciliado",'Conciliacion de compuestos'!$E$2:$E$71,"OK",'Conciliacion de compuestos'!$L$2:$L$71,A96))&gt;0,"conciliado en compuesto confirmado","disponible")</f>
        <v/>
      </c>
    </row>
    <row r="97">
      <c r="A97" s="11" t="n">
        <v>732</v>
      </c>
      <c r="B97" s="12" t="n">
        <v>46096</v>
      </c>
      <c r="C97" s="11" t="inlineStr">
        <is>
          <t>jaiver jose portilla</t>
        </is>
      </c>
      <c r="D97" s="13" t="n">
        <v>10000</v>
      </c>
      <c r="E97" s="11">
        <f>IF(SUM(COUNTIFS('Conciliacion de compuestos'!$D$2:$D$71,"conciliado",'Conciliacion de compuestos'!$E$2:$E$71,"OK",'Conciliacion de compuestos'!$J$2:$J$71,A97),COUNTIFS('Conciliacion de compuestos'!$D$2:$D$71,"conciliado",'Conciliacion de compuestos'!$E$2:$E$71,"OK",'Conciliacion de compuestos'!$K$2:$K$71,A97),COUNTIFS('Conciliacion de compuestos'!$D$2:$D$71,"conciliado",'Conciliacion de compuestos'!$E$2:$E$71,"OK",'Conciliacion de compuestos'!$L$2:$L$71,A97))&gt;0,"conciliado en compuesto confirmado","disponible")</f>
        <v/>
      </c>
    </row>
    <row r="98">
      <c r="A98" s="11" t="n">
        <v>735</v>
      </c>
      <c r="B98" s="12" t="n">
        <v>46096</v>
      </c>
      <c r="C98" s="11" t="inlineStr">
        <is>
          <t>eder pedroza pedroza</t>
        </is>
      </c>
      <c r="D98" s="13" t="n">
        <v>17800</v>
      </c>
      <c r="E98" s="11">
        <f>IF(SUM(COUNTIFS('Conciliacion de compuestos'!$D$2:$D$71,"conciliado",'Conciliacion de compuestos'!$E$2:$E$71,"OK",'Conciliacion de compuestos'!$J$2:$J$71,A98),COUNTIFS('Conciliacion de compuestos'!$D$2:$D$71,"conciliado",'Conciliacion de compuestos'!$E$2:$E$71,"OK",'Conciliacion de compuestos'!$K$2:$K$71,A98),COUNTIFS('Conciliacion de compuestos'!$D$2:$D$71,"conciliado",'Conciliacion de compuestos'!$E$2:$E$71,"OK",'Conciliacion de compuestos'!$L$2:$L$71,A98))&gt;0,"conciliado en compuesto confirmado","disponible")</f>
        <v/>
      </c>
    </row>
    <row r="99">
      <c r="A99" s="11" t="n">
        <v>737</v>
      </c>
      <c r="B99" s="12" t="n">
        <v>46096</v>
      </c>
      <c r="C99" s="11" t="inlineStr">
        <is>
          <t>b bre jesus</t>
        </is>
      </c>
      <c r="D99" s="13" t="n">
        <v>40000</v>
      </c>
      <c r="E99" s="11">
        <f>IF(SUM(COUNTIFS('Conciliacion de compuestos'!$D$2:$D$71,"conciliado",'Conciliacion de compuestos'!$E$2:$E$71,"OK",'Conciliacion de compuestos'!$J$2:$J$71,A99),COUNTIFS('Conciliacion de compuestos'!$D$2:$D$71,"conciliado",'Conciliacion de compuestos'!$E$2:$E$71,"OK",'Conciliacion de compuestos'!$K$2:$K$71,A99),COUNTIFS('Conciliacion de compuestos'!$D$2:$D$71,"conciliado",'Conciliacion de compuestos'!$E$2:$E$71,"OK",'Conciliacion de compuestos'!$L$2:$L$71,A99))&gt;0,"conciliado en compuesto confirmado","disponible")</f>
        <v/>
      </c>
    </row>
    <row r="100">
      <c r="A100" s="11" t="n">
        <v>741</v>
      </c>
      <c r="B100" s="12" t="n">
        <v>46096</v>
      </c>
      <c r="C100" s="11" t="inlineStr">
        <is>
          <t>alexandra jhoana</t>
        </is>
      </c>
      <c r="D100" s="13" t="n">
        <v>60000</v>
      </c>
      <c r="E100" s="11">
        <f>IF(SUM(COUNTIFS('Conciliacion de compuestos'!$D$2:$D$71,"conciliado",'Conciliacion de compuestos'!$E$2:$E$71,"OK",'Conciliacion de compuestos'!$J$2:$J$71,A100),COUNTIFS('Conciliacion de compuestos'!$D$2:$D$71,"conciliado",'Conciliacion de compuestos'!$E$2:$E$71,"OK",'Conciliacion de compuestos'!$K$2:$K$71,A100),COUNTIFS('Conciliacion de compuestos'!$D$2:$D$71,"conciliado",'Conciliacion de compuestos'!$E$2:$E$71,"OK",'Conciliacion de compuestos'!$L$2:$L$71,A100))&gt;0,"conciliado en compuesto confirmado","disponible")</f>
        <v/>
      </c>
    </row>
    <row r="101">
      <c r="A101" s="11" t="n">
        <v>743</v>
      </c>
      <c r="B101" s="12" t="n">
        <v>46096</v>
      </c>
      <c r="C101" s="11" t="inlineStr">
        <is>
          <t>bancolombia desde qr recarga</t>
        </is>
      </c>
      <c r="D101" s="13" t="n">
        <v>10000</v>
      </c>
      <c r="E101" s="11">
        <f>IF(SUM(COUNTIFS('Conciliacion de compuestos'!$D$2:$D$71,"conciliado",'Conciliacion de compuestos'!$E$2:$E$71,"OK",'Conciliacion de compuestos'!$J$2:$J$71,A101),COUNTIFS('Conciliacion de compuestos'!$D$2:$D$71,"conciliado",'Conciliacion de compuestos'!$E$2:$E$71,"OK",'Conciliacion de compuestos'!$K$2:$K$71,A101),COUNTIFS('Conciliacion de compuestos'!$D$2:$D$71,"conciliado",'Conciliacion de compuestos'!$E$2:$E$71,"OK",'Conciliacion de compuestos'!$L$2:$L$71,A101))&gt;0,"conciliado en compuesto confirmado","disponible")</f>
        <v/>
      </c>
    </row>
    <row r="102">
      <c r="A102" s="11" t="n">
        <v>744</v>
      </c>
      <c r="B102" s="12" t="n">
        <v>46096</v>
      </c>
      <c r="C102" s="11" t="inlineStr">
        <is>
          <t>bancolombia desde qr recarga</t>
        </is>
      </c>
      <c r="D102" s="13" t="n">
        <v>17800</v>
      </c>
      <c r="E102" s="11">
        <f>IF(SUM(COUNTIFS('Conciliacion de compuestos'!$D$2:$D$71,"conciliado",'Conciliacion de compuestos'!$E$2:$E$71,"OK",'Conciliacion de compuestos'!$J$2:$J$71,A102),COUNTIFS('Conciliacion de compuestos'!$D$2:$D$71,"conciliado",'Conciliacion de compuestos'!$E$2:$E$71,"OK",'Conciliacion de compuestos'!$K$2:$K$71,A102),COUNTIFS('Conciliacion de compuestos'!$D$2:$D$71,"conciliado",'Conciliacion de compuestos'!$E$2:$E$71,"OK",'Conciliacion de compuestos'!$L$2:$L$71,A102))&gt;0,"conciliado en compuesto confirmado","disponible")</f>
        <v/>
      </c>
    </row>
    <row r="103">
      <c r="A103" s="11" t="n">
        <v>756</v>
      </c>
      <c r="B103" s="12" t="n">
        <v>46096</v>
      </c>
      <c r="C103" s="11" t="inlineStr">
        <is>
          <t>katyvanessa riveros</t>
        </is>
      </c>
      <c r="D103" s="13" t="n">
        <v>10000</v>
      </c>
      <c r="E103" s="11">
        <f>IF(SUM(COUNTIFS('Conciliacion de compuestos'!$D$2:$D$71,"conciliado",'Conciliacion de compuestos'!$E$2:$E$71,"OK",'Conciliacion de compuestos'!$J$2:$J$71,A103),COUNTIFS('Conciliacion de compuestos'!$D$2:$D$71,"conciliado",'Conciliacion de compuestos'!$E$2:$E$71,"OK",'Conciliacion de compuestos'!$K$2:$K$71,A103),COUNTIFS('Conciliacion de compuestos'!$D$2:$D$71,"conciliado",'Conciliacion de compuestos'!$E$2:$E$71,"OK",'Conciliacion de compuestos'!$L$2:$L$71,A103))&gt;0,"conciliado en compuesto confirmado","disponible")</f>
        <v/>
      </c>
    </row>
    <row r="104">
      <c r="A104" s="11" t="n">
        <v>766</v>
      </c>
      <c r="B104" s="12" t="n">
        <v>46095</v>
      </c>
      <c r="C104" s="11" t="inlineStr">
        <is>
          <t>arnulfo hortua victor</t>
        </is>
      </c>
      <c r="D104" s="13" t="n">
        <v>20300</v>
      </c>
      <c r="E104" s="11">
        <f>IF(SUM(COUNTIFS('Conciliacion de compuestos'!$D$2:$D$71,"conciliado",'Conciliacion de compuestos'!$E$2:$E$71,"OK",'Conciliacion de compuestos'!$J$2:$J$71,A104),COUNTIFS('Conciliacion de compuestos'!$D$2:$D$71,"conciliado",'Conciliacion de compuestos'!$E$2:$E$71,"OK",'Conciliacion de compuestos'!$K$2:$K$71,A104),COUNTIFS('Conciliacion de compuestos'!$D$2:$D$71,"conciliado",'Conciliacion de compuestos'!$E$2:$E$71,"OK",'Conciliacion de compuestos'!$L$2:$L$71,A104))&gt;0,"conciliado en compuesto confirmado","disponible")</f>
        <v/>
      </c>
    </row>
    <row r="105">
      <c r="A105" s="11" t="n">
        <v>767</v>
      </c>
      <c r="B105" s="12" t="n">
        <v>46095</v>
      </c>
      <c r="C105" s="11" t="inlineStr">
        <is>
          <t>andres benavides daniel</t>
        </is>
      </c>
      <c r="D105" s="13" t="n">
        <v>25000</v>
      </c>
      <c r="E105" s="11">
        <f>IF(SUM(COUNTIFS('Conciliacion de compuestos'!$D$2:$D$71,"conciliado",'Conciliacion de compuestos'!$E$2:$E$71,"OK",'Conciliacion de compuestos'!$J$2:$J$71,A105),COUNTIFS('Conciliacion de compuestos'!$D$2:$D$71,"conciliado",'Conciliacion de compuestos'!$E$2:$E$71,"OK",'Conciliacion de compuestos'!$K$2:$K$71,A105),COUNTIFS('Conciliacion de compuestos'!$D$2:$D$71,"conciliado",'Conciliacion de compuestos'!$E$2:$E$71,"OK",'Conciliacion de compuestos'!$L$2:$L$71,A105))&gt;0,"conciliado en compuesto confirmado","disponible")</f>
        <v/>
      </c>
    </row>
    <row r="106">
      <c r="A106" s="11" t="n">
        <v>770</v>
      </c>
      <c r="B106" s="12" t="n">
        <v>46095</v>
      </c>
      <c r="C106" s="11" t="inlineStr">
        <is>
          <t>ricardo segundo</t>
        </is>
      </c>
      <c r="D106" s="13" t="n">
        <v>20000</v>
      </c>
      <c r="E106" s="11">
        <f>IF(SUM(COUNTIFS('Conciliacion de compuestos'!$D$2:$D$71,"conciliado",'Conciliacion de compuestos'!$E$2:$E$71,"OK",'Conciliacion de compuestos'!$J$2:$J$71,A106),COUNTIFS('Conciliacion de compuestos'!$D$2:$D$71,"conciliado",'Conciliacion de compuestos'!$E$2:$E$71,"OK",'Conciliacion de compuestos'!$K$2:$K$71,A106),COUNTIFS('Conciliacion de compuestos'!$D$2:$D$71,"conciliado",'Conciliacion de compuestos'!$E$2:$E$71,"OK",'Conciliacion de compuestos'!$L$2:$L$71,A106))&gt;0,"conciliado en compuesto confirmado","disponible")</f>
        <v/>
      </c>
    </row>
    <row r="107">
      <c r="A107" s="11" t="n">
        <v>771</v>
      </c>
      <c r="B107" s="12" t="n">
        <v>46095</v>
      </c>
      <c r="C107" s="11" t="inlineStr">
        <is>
          <t>ingri la yajaira</t>
        </is>
      </c>
      <c r="D107" s="13" t="n">
        <v>26200</v>
      </c>
      <c r="E107" s="11">
        <f>IF(SUM(COUNTIFS('Conciliacion de compuestos'!$D$2:$D$71,"conciliado",'Conciliacion de compuestos'!$E$2:$E$71,"OK",'Conciliacion de compuestos'!$J$2:$J$71,A107),COUNTIFS('Conciliacion de compuestos'!$D$2:$D$71,"conciliado",'Conciliacion de compuestos'!$E$2:$E$71,"OK",'Conciliacion de compuestos'!$K$2:$K$71,A107),COUNTIFS('Conciliacion de compuestos'!$D$2:$D$71,"conciliado",'Conciliacion de compuestos'!$E$2:$E$71,"OK",'Conciliacion de compuestos'!$L$2:$L$71,A107))&gt;0,"conciliado en compuesto confirmado","disponible")</f>
        <v/>
      </c>
    </row>
    <row r="108">
      <c r="A108" s="11" t="n">
        <v>772</v>
      </c>
      <c r="B108" s="12" t="n">
        <v>46095</v>
      </c>
      <c r="C108" s="11" t="inlineStr">
        <is>
          <t>andres benavides daniel</t>
        </is>
      </c>
      <c r="D108" s="13" t="n">
        <v>38000</v>
      </c>
      <c r="E108" s="11">
        <f>IF(SUM(COUNTIFS('Conciliacion de compuestos'!$D$2:$D$71,"conciliado",'Conciliacion de compuestos'!$E$2:$E$71,"OK",'Conciliacion de compuestos'!$J$2:$J$71,A108),COUNTIFS('Conciliacion de compuestos'!$D$2:$D$71,"conciliado",'Conciliacion de compuestos'!$E$2:$E$71,"OK",'Conciliacion de compuestos'!$K$2:$K$71,A108),COUNTIFS('Conciliacion de compuestos'!$D$2:$D$71,"conciliado",'Conciliacion de compuestos'!$E$2:$E$71,"OK",'Conciliacion de compuestos'!$L$2:$L$71,A108))&gt;0,"conciliado en compuesto confirmado","disponible")</f>
        <v/>
      </c>
    </row>
    <row r="109">
      <c r="A109" s="11" t="n">
        <v>780</v>
      </c>
      <c r="B109" s="12" t="n">
        <v>46095</v>
      </c>
      <c r="C109" s="11" t="inlineStr">
        <is>
          <t>andres benavides daniel</t>
        </is>
      </c>
      <c r="D109" s="13" t="n">
        <v>14300</v>
      </c>
      <c r="E109" s="11">
        <f>IF(SUM(COUNTIFS('Conciliacion de compuestos'!$D$2:$D$71,"conciliado",'Conciliacion de compuestos'!$E$2:$E$71,"OK",'Conciliacion de compuestos'!$J$2:$J$71,A109),COUNTIFS('Conciliacion de compuestos'!$D$2:$D$71,"conciliado",'Conciliacion de compuestos'!$E$2:$E$71,"OK",'Conciliacion de compuestos'!$K$2:$K$71,A109),COUNTIFS('Conciliacion de compuestos'!$D$2:$D$71,"conciliado",'Conciliacion de compuestos'!$E$2:$E$71,"OK",'Conciliacion de compuestos'!$L$2:$L$71,A109))&gt;0,"conciliado en compuesto confirmado","disponible")</f>
        <v/>
      </c>
    </row>
    <row r="110">
      <c r="A110" s="11" t="n">
        <v>785</v>
      </c>
      <c r="B110" s="12" t="n">
        <v>46095</v>
      </c>
      <c r="C110" s="11" t="inlineStr">
        <is>
          <t>castro julian nefer</t>
        </is>
      </c>
      <c r="D110" s="13" t="n">
        <v>8000</v>
      </c>
      <c r="E110" s="11">
        <f>IF(SUM(COUNTIFS('Conciliacion de compuestos'!$D$2:$D$71,"conciliado",'Conciliacion de compuestos'!$E$2:$E$71,"OK",'Conciliacion de compuestos'!$J$2:$J$71,A110),COUNTIFS('Conciliacion de compuestos'!$D$2:$D$71,"conciliado",'Conciliacion de compuestos'!$E$2:$E$71,"OK",'Conciliacion de compuestos'!$K$2:$K$71,A110),COUNTIFS('Conciliacion de compuestos'!$D$2:$D$71,"conciliado",'Conciliacion de compuestos'!$E$2:$E$71,"OK",'Conciliacion de compuestos'!$L$2:$L$71,A110))&gt;0,"conciliado en compuesto confirmado","disponible")</f>
        <v/>
      </c>
    </row>
    <row r="111">
      <c r="A111" s="11" t="n">
        <v>786</v>
      </c>
      <c r="B111" s="12" t="n">
        <v>46095</v>
      </c>
      <c r="C111" s="11" t="inlineStr">
        <is>
          <t>castro julian nefer</t>
        </is>
      </c>
      <c r="D111" s="13" t="n">
        <v>52500</v>
      </c>
      <c r="E111" s="11">
        <f>IF(SUM(COUNTIFS('Conciliacion de compuestos'!$D$2:$D$71,"conciliado",'Conciliacion de compuestos'!$E$2:$E$71,"OK",'Conciliacion de compuestos'!$J$2:$J$71,A111),COUNTIFS('Conciliacion de compuestos'!$D$2:$D$71,"conciliado",'Conciliacion de compuestos'!$E$2:$E$71,"OK",'Conciliacion de compuestos'!$K$2:$K$71,A111),COUNTIFS('Conciliacion de compuestos'!$D$2:$D$71,"conciliado",'Conciliacion de compuestos'!$E$2:$E$71,"OK",'Conciliacion de compuestos'!$L$2:$L$71,A111))&gt;0,"conciliado en compuesto confirmado","disponible")</f>
        <v/>
      </c>
    </row>
    <row r="112">
      <c r="A112" s="11" t="n">
        <v>788</v>
      </c>
      <c r="B112" s="12" t="n">
        <v>46095</v>
      </c>
      <c r="C112" s="11" t="inlineStr">
        <is>
          <t>arnulfo hortua victor</t>
        </is>
      </c>
      <c r="D112" s="13" t="n">
        <v>30600</v>
      </c>
      <c r="E112" s="11">
        <f>IF(SUM(COUNTIFS('Conciliacion de compuestos'!$D$2:$D$71,"conciliado",'Conciliacion de compuestos'!$E$2:$E$71,"OK",'Conciliacion de compuestos'!$J$2:$J$71,A112),COUNTIFS('Conciliacion de compuestos'!$D$2:$D$71,"conciliado",'Conciliacion de compuestos'!$E$2:$E$71,"OK",'Conciliacion de compuestos'!$K$2:$K$71,A112),COUNTIFS('Conciliacion de compuestos'!$D$2:$D$71,"conciliado",'Conciliacion de compuestos'!$E$2:$E$71,"OK",'Conciliacion de compuestos'!$L$2:$L$71,A112))&gt;0,"conciliado en compuesto confirmado","disponible")</f>
        <v/>
      </c>
    </row>
    <row r="113">
      <c r="A113" s="11" t="n">
        <v>799</v>
      </c>
      <c r="B113" s="12" t="n">
        <v>46095</v>
      </c>
      <c r="C113" s="11" t="inlineStr">
        <is>
          <t>adriana mora nury</t>
        </is>
      </c>
      <c r="D113" s="13" t="n">
        <v>171100</v>
      </c>
      <c r="E113" s="11">
        <f>IF(SUM(COUNTIFS('Conciliacion de compuestos'!$D$2:$D$71,"conciliado",'Conciliacion de compuestos'!$E$2:$E$71,"OK",'Conciliacion de compuestos'!$J$2:$J$71,A113),COUNTIFS('Conciliacion de compuestos'!$D$2:$D$71,"conciliado",'Conciliacion de compuestos'!$E$2:$E$71,"OK",'Conciliacion de compuestos'!$K$2:$K$71,A113),COUNTIFS('Conciliacion de compuestos'!$D$2:$D$71,"conciliado",'Conciliacion de compuestos'!$E$2:$E$71,"OK",'Conciliacion de compuestos'!$L$2:$L$71,A113))&gt;0,"conciliado en compuesto confirmado","disponible")</f>
        <v/>
      </c>
    </row>
    <row r="114">
      <c r="A114" s="11" t="n">
        <v>806</v>
      </c>
      <c r="B114" s="12" t="n">
        <v>46095</v>
      </c>
      <c r="C114" s="11" t="inlineStr">
        <is>
          <t>adriana mora nury</t>
        </is>
      </c>
      <c r="D114" s="13" t="n">
        <v>12500</v>
      </c>
      <c r="E114" s="11">
        <f>IF(SUM(COUNTIFS('Conciliacion de compuestos'!$D$2:$D$71,"conciliado",'Conciliacion de compuestos'!$E$2:$E$71,"OK",'Conciliacion de compuestos'!$J$2:$J$71,A114),COUNTIFS('Conciliacion de compuestos'!$D$2:$D$71,"conciliado",'Conciliacion de compuestos'!$E$2:$E$71,"OK",'Conciliacion de compuestos'!$K$2:$K$71,A114),COUNTIFS('Conciliacion de compuestos'!$D$2:$D$71,"conciliado",'Conciliacion de compuestos'!$E$2:$E$71,"OK",'Conciliacion de compuestos'!$L$2:$L$71,A114))&gt;0,"conciliado en compuesto confirmado","disponible")</f>
        <v/>
      </c>
    </row>
    <row r="115">
      <c r="A115" s="11" t="n">
        <v>810</v>
      </c>
      <c r="B115" s="12" t="n">
        <v>46094</v>
      </c>
      <c r="C115" s="11" t="inlineStr">
        <is>
          <t>arminda buelvas rubi</t>
        </is>
      </c>
      <c r="D115" s="13" t="n">
        <v>5000</v>
      </c>
      <c r="E115" s="11">
        <f>IF(SUM(COUNTIFS('Conciliacion de compuestos'!$D$2:$D$71,"conciliado",'Conciliacion de compuestos'!$E$2:$E$71,"OK",'Conciliacion de compuestos'!$J$2:$J$71,A115),COUNTIFS('Conciliacion de compuestos'!$D$2:$D$71,"conciliado",'Conciliacion de compuestos'!$E$2:$E$71,"OK",'Conciliacion de compuestos'!$K$2:$K$71,A115),COUNTIFS('Conciliacion de compuestos'!$D$2:$D$71,"conciliado",'Conciliacion de compuestos'!$E$2:$E$71,"OK",'Conciliacion de compuestos'!$L$2:$L$71,A115))&gt;0,"conciliado en compuesto confirmado","disponible")</f>
        <v/>
      </c>
    </row>
    <row r="116">
      <c r="A116" s="11" t="n">
        <v>811</v>
      </c>
      <c r="B116" s="12" t="n">
        <v>46094</v>
      </c>
      <c r="C116" s="11" t="inlineStr">
        <is>
          <t>arminda buelvas rubi</t>
        </is>
      </c>
      <c r="D116" s="13" t="n">
        <v>19900</v>
      </c>
      <c r="E116" s="11">
        <f>IF(SUM(COUNTIFS('Conciliacion de compuestos'!$D$2:$D$71,"conciliado",'Conciliacion de compuestos'!$E$2:$E$71,"OK",'Conciliacion de compuestos'!$J$2:$J$71,A116),COUNTIFS('Conciliacion de compuestos'!$D$2:$D$71,"conciliado",'Conciliacion de compuestos'!$E$2:$E$71,"OK",'Conciliacion de compuestos'!$K$2:$K$71,A116),COUNTIFS('Conciliacion de compuestos'!$D$2:$D$71,"conciliado",'Conciliacion de compuestos'!$E$2:$E$71,"OK",'Conciliacion de compuestos'!$L$2:$L$71,A116))&gt;0,"conciliado en compuesto confirmado","disponible")</f>
        <v/>
      </c>
    </row>
    <row r="117">
      <c r="A117" s="11" t="n">
        <v>812</v>
      </c>
      <c r="B117" s="12" t="n">
        <v>46094</v>
      </c>
      <c r="C117" s="11" t="inlineStr">
        <is>
          <t>ana caicedo marcela</t>
        </is>
      </c>
      <c r="D117" s="13" t="n">
        <v>18800</v>
      </c>
      <c r="E117" s="11">
        <f>IF(SUM(COUNTIFS('Conciliacion de compuestos'!$D$2:$D$71,"conciliado",'Conciliacion de compuestos'!$E$2:$E$71,"OK",'Conciliacion de compuestos'!$J$2:$J$71,A117),COUNTIFS('Conciliacion de compuestos'!$D$2:$D$71,"conciliado",'Conciliacion de compuestos'!$E$2:$E$71,"OK",'Conciliacion de compuestos'!$K$2:$K$71,A117),COUNTIFS('Conciliacion de compuestos'!$D$2:$D$71,"conciliado",'Conciliacion de compuestos'!$E$2:$E$71,"OK",'Conciliacion de compuestos'!$L$2:$L$71,A117))&gt;0,"conciliado en compuesto confirmado","disponible")</f>
        <v/>
      </c>
    </row>
    <row r="118">
      <c r="A118" s="11" t="n">
        <v>831</v>
      </c>
      <c r="B118" s="12" t="n">
        <v>46094</v>
      </c>
      <c r="C118" s="11" t="inlineStr">
        <is>
          <t>erika rodriguez yenith</t>
        </is>
      </c>
      <c r="D118" s="13" t="n">
        <v>6000</v>
      </c>
      <c r="E118" s="11">
        <f>IF(SUM(COUNTIFS('Conciliacion de compuestos'!$D$2:$D$71,"conciliado",'Conciliacion de compuestos'!$E$2:$E$71,"OK",'Conciliacion de compuestos'!$J$2:$J$71,A118),COUNTIFS('Conciliacion de compuestos'!$D$2:$D$71,"conciliado",'Conciliacion de compuestos'!$E$2:$E$71,"OK",'Conciliacion de compuestos'!$K$2:$K$71,A118),COUNTIFS('Conciliacion de compuestos'!$D$2:$D$71,"conciliado",'Conciliacion de compuestos'!$E$2:$E$71,"OK",'Conciliacion de compuestos'!$L$2:$L$71,A118))&gt;0,"conciliado en compuesto confirmado","disponible")</f>
        <v/>
      </c>
    </row>
    <row r="119">
      <c r="A119" s="11" t="n">
        <v>836</v>
      </c>
      <c r="B119" s="12" t="n">
        <v>46094</v>
      </c>
      <c r="C119" s="11" t="inlineStr">
        <is>
          <t>delgado renata sarith</t>
        </is>
      </c>
      <c r="D119" s="13" t="n">
        <v>6000</v>
      </c>
      <c r="E119" s="11">
        <f>IF(SUM(COUNTIFS('Conciliacion de compuestos'!$D$2:$D$71,"conciliado",'Conciliacion de compuestos'!$E$2:$E$71,"OK",'Conciliacion de compuestos'!$J$2:$J$71,A119),COUNTIFS('Conciliacion de compuestos'!$D$2:$D$71,"conciliado",'Conciliacion de compuestos'!$E$2:$E$71,"OK",'Conciliacion de compuestos'!$K$2:$K$71,A119),COUNTIFS('Conciliacion de compuestos'!$D$2:$D$71,"conciliado",'Conciliacion de compuestos'!$E$2:$E$71,"OK",'Conciliacion de compuestos'!$L$2:$L$71,A119))&gt;0,"conciliado en compuesto confirmado","disponible")</f>
        <v/>
      </c>
    </row>
    <row r="120">
      <c r="A120" s="11" t="n">
        <v>844</v>
      </c>
      <c r="B120" s="12" t="n">
        <v>46094</v>
      </c>
      <c r="C120" s="11" t="inlineStr">
        <is>
          <t>erika rodriguez yenith</t>
        </is>
      </c>
      <c r="D120" s="13" t="n">
        <v>4500</v>
      </c>
      <c r="E120" s="11">
        <f>IF(SUM(COUNTIFS('Conciliacion de compuestos'!$D$2:$D$71,"conciliado",'Conciliacion de compuestos'!$E$2:$E$71,"OK",'Conciliacion de compuestos'!$J$2:$J$71,A120),COUNTIFS('Conciliacion de compuestos'!$D$2:$D$71,"conciliado",'Conciliacion de compuestos'!$E$2:$E$71,"OK",'Conciliacion de compuestos'!$K$2:$K$71,A120),COUNTIFS('Conciliacion de compuestos'!$D$2:$D$71,"conciliado",'Conciliacion de compuestos'!$E$2:$E$71,"OK",'Conciliacion de compuestos'!$L$2:$L$71,A120))&gt;0,"conciliado en compuesto confirmado","disponible")</f>
        <v/>
      </c>
    </row>
    <row r="121">
      <c r="A121" s="11" t="n">
        <v>851</v>
      </c>
      <c r="B121" s="12" t="n">
        <v>46094</v>
      </c>
      <c r="C121" s="11" t="inlineStr">
        <is>
          <t>jhoana niny santander</t>
        </is>
      </c>
      <c r="D121" s="13" t="n">
        <v>2500</v>
      </c>
      <c r="E121" s="11">
        <f>IF(SUM(COUNTIFS('Conciliacion de compuestos'!$D$2:$D$71,"conciliado",'Conciliacion de compuestos'!$E$2:$E$71,"OK",'Conciliacion de compuestos'!$J$2:$J$71,A121),COUNTIFS('Conciliacion de compuestos'!$D$2:$D$71,"conciliado",'Conciliacion de compuestos'!$E$2:$E$71,"OK",'Conciliacion de compuestos'!$K$2:$K$71,A121),COUNTIFS('Conciliacion de compuestos'!$D$2:$D$71,"conciliado",'Conciliacion de compuestos'!$E$2:$E$71,"OK",'Conciliacion de compuestos'!$L$2:$L$71,A121))&gt;0,"conciliado en compuesto confirmado","disponible")</f>
        <v/>
      </c>
    </row>
    <row r="122">
      <c r="A122" s="11" t="n">
        <v>852</v>
      </c>
      <c r="B122" s="12" t="n">
        <v>46094</v>
      </c>
      <c r="C122" s="11" t="inlineStr">
        <is>
          <t>jhoana niny santander</t>
        </is>
      </c>
      <c r="D122" s="13" t="n">
        <v>22100</v>
      </c>
      <c r="E122" s="11">
        <f>IF(SUM(COUNTIFS('Conciliacion de compuestos'!$D$2:$D$71,"conciliado",'Conciliacion de compuestos'!$E$2:$E$71,"OK",'Conciliacion de compuestos'!$J$2:$J$71,A122),COUNTIFS('Conciliacion de compuestos'!$D$2:$D$71,"conciliado",'Conciliacion de compuestos'!$E$2:$E$71,"OK",'Conciliacion de compuestos'!$K$2:$K$71,A122),COUNTIFS('Conciliacion de compuestos'!$D$2:$D$71,"conciliado",'Conciliacion de compuestos'!$E$2:$E$71,"OK",'Conciliacion de compuestos'!$L$2:$L$71,A122))&gt;0,"conciliado en compuesto confirmado","disponible")</f>
        <v/>
      </c>
    </row>
    <row r="123">
      <c r="A123" s="11" t="n">
        <v>857</v>
      </c>
      <c r="B123" s="12" t="n">
        <v>46094</v>
      </c>
      <c r="C123" s="11" t="inlineStr">
        <is>
          <t>b bre sol</t>
        </is>
      </c>
      <c r="D123" s="13" t="n">
        <v>14800</v>
      </c>
      <c r="E123" s="11">
        <f>IF(SUM(COUNTIFS('Conciliacion de compuestos'!$D$2:$D$71,"conciliado",'Conciliacion de compuestos'!$E$2:$E$71,"OK",'Conciliacion de compuestos'!$J$2:$J$71,A123),COUNTIFS('Conciliacion de compuestos'!$D$2:$D$71,"conciliado",'Conciliacion de compuestos'!$E$2:$E$71,"OK",'Conciliacion de compuestos'!$K$2:$K$71,A123),COUNTIFS('Conciliacion de compuestos'!$D$2:$D$71,"conciliado",'Conciliacion de compuestos'!$E$2:$E$71,"OK",'Conciliacion de compuestos'!$L$2:$L$71,A123))&gt;0,"conciliado en compuesto confirmado","disponible")</f>
        <v/>
      </c>
    </row>
    <row r="124">
      <c r="A124" s="11" t="n">
        <v>860</v>
      </c>
      <c r="B124" s="12" t="n">
        <v>46093</v>
      </c>
      <c r="C124" s="11" t="inlineStr">
        <is>
          <t>bancolombia desde qr recarga</t>
        </is>
      </c>
      <c r="D124" s="13" t="n">
        <v>11000</v>
      </c>
      <c r="E124" s="11">
        <f>IF(SUM(COUNTIFS('Conciliacion de compuestos'!$D$2:$D$71,"conciliado",'Conciliacion de compuestos'!$E$2:$E$71,"OK",'Conciliacion de compuestos'!$J$2:$J$71,A124),COUNTIFS('Conciliacion de compuestos'!$D$2:$D$71,"conciliado",'Conciliacion de compuestos'!$E$2:$E$71,"OK",'Conciliacion de compuestos'!$K$2:$K$71,A124),COUNTIFS('Conciliacion de compuestos'!$D$2:$D$71,"conciliado",'Conciliacion de compuestos'!$E$2:$E$71,"OK",'Conciliacion de compuestos'!$L$2:$L$71,A124))&gt;0,"conciliado en compuesto confirmado","disponible")</f>
        <v/>
      </c>
    </row>
    <row r="125">
      <c r="A125" s="11" t="n">
        <v>863</v>
      </c>
      <c r="B125" s="12" t="n">
        <v>46093</v>
      </c>
      <c r="C125" s="11" t="inlineStr">
        <is>
          <t>rodrigo zapata</t>
        </is>
      </c>
      <c r="D125" s="13" t="n">
        <v>19900</v>
      </c>
      <c r="E125" s="11">
        <f>IF(SUM(COUNTIFS('Conciliacion de compuestos'!$D$2:$D$71,"conciliado",'Conciliacion de compuestos'!$E$2:$E$71,"OK",'Conciliacion de compuestos'!$J$2:$J$71,A125),COUNTIFS('Conciliacion de compuestos'!$D$2:$D$71,"conciliado",'Conciliacion de compuestos'!$E$2:$E$71,"OK",'Conciliacion de compuestos'!$K$2:$K$71,A125),COUNTIFS('Conciliacion de compuestos'!$D$2:$D$71,"conciliado",'Conciliacion de compuestos'!$E$2:$E$71,"OK",'Conciliacion de compuestos'!$L$2:$L$71,A125))&gt;0,"conciliado en compuesto confirmado","disponible")</f>
        <v/>
      </c>
    </row>
    <row r="126">
      <c r="A126" s="11" t="n">
        <v>864</v>
      </c>
      <c r="B126" s="12" t="n">
        <v>46093</v>
      </c>
      <c r="C126" s="11" t="inlineStr">
        <is>
          <t>bancolombia desde qr recarga</t>
        </is>
      </c>
      <c r="D126" s="13" t="n">
        <v>44000</v>
      </c>
      <c r="E126" s="11">
        <f>IF(SUM(COUNTIFS('Conciliacion de compuestos'!$D$2:$D$71,"conciliado",'Conciliacion de compuestos'!$E$2:$E$71,"OK",'Conciliacion de compuestos'!$J$2:$J$71,A126),COUNTIFS('Conciliacion de compuestos'!$D$2:$D$71,"conciliado",'Conciliacion de compuestos'!$E$2:$E$71,"OK",'Conciliacion de compuestos'!$K$2:$K$71,A126),COUNTIFS('Conciliacion de compuestos'!$D$2:$D$71,"conciliado",'Conciliacion de compuestos'!$E$2:$E$71,"OK",'Conciliacion de compuestos'!$L$2:$L$71,A126))&gt;0,"conciliado en compuesto confirmado","disponible")</f>
        <v/>
      </c>
    </row>
    <row r="127">
      <c r="A127" s="11" t="n">
        <v>867</v>
      </c>
      <c r="B127" s="12" t="n">
        <v>46093</v>
      </c>
      <c r="C127" s="11" t="inlineStr">
        <is>
          <t>b bre wilson</t>
        </is>
      </c>
      <c r="D127" s="13" t="n">
        <v>24000</v>
      </c>
      <c r="E127" s="11">
        <f>IF(SUM(COUNTIFS('Conciliacion de compuestos'!$D$2:$D$71,"conciliado",'Conciliacion de compuestos'!$E$2:$E$71,"OK",'Conciliacion de compuestos'!$J$2:$J$71,A127),COUNTIFS('Conciliacion de compuestos'!$D$2:$D$71,"conciliado",'Conciliacion de compuestos'!$E$2:$E$71,"OK",'Conciliacion de compuestos'!$K$2:$K$71,A127),COUNTIFS('Conciliacion de compuestos'!$D$2:$D$71,"conciliado",'Conciliacion de compuestos'!$E$2:$E$71,"OK",'Conciliacion de compuestos'!$L$2:$L$71,A127))&gt;0,"conciliado en compuesto confirmado","disponible")</f>
        <v/>
      </c>
    </row>
    <row r="128">
      <c r="A128" s="11" t="n">
        <v>868</v>
      </c>
      <c r="B128" s="12" t="n">
        <v>46093</v>
      </c>
      <c r="C128" s="11" t="inlineStr">
        <is>
          <t>b bre wilson</t>
        </is>
      </c>
      <c r="D128" s="13" t="n">
        <v>12000</v>
      </c>
      <c r="E128" s="11">
        <f>IF(SUM(COUNTIFS('Conciliacion de compuestos'!$D$2:$D$71,"conciliado",'Conciliacion de compuestos'!$E$2:$E$71,"OK",'Conciliacion de compuestos'!$J$2:$J$71,A128),COUNTIFS('Conciliacion de compuestos'!$D$2:$D$71,"conciliado",'Conciliacion de compuestos'!$E$2:$E$71,"OK",'Conciliacion de compuestos'!$K$2:$K$71,A128),COUNTIFS('Conciliacion de compuestos'!$D$2:$D$71,"conciliado",'Conciliacion de compuestos'!$E$2:$E$71,"OK",'Conciliacion de compuestos'!$L$2:$L$71,A128))&gt;0,"conciliado en compuesto confirmado","disponible")</f>
        <v/>
      </c>
    </row>
    <row r="129">
      <c r="A129" s="11" t="n">
        <v>871</v>
      </c>
      <c r="B129" s="12" t="n">
        <v>46093</v>
      </c>
      <c r="C129" s="11" t="inlineStr">
        <is>
          <t>rodrigo zapata</t>
        </is>
      </c>
      <c r="D129" s="13" t="n">
        <v>16900</v>
      </c>
      <c r="E129" s="11">
        <f>IF(SUM(COUNTIFS('Conciliacion de compuestos'!$D$2:$D$71,"conciliado",'Conciliacion de compuestos'!$E$2:$E$71,"OK",'Conciliacion de compuestos'!$J$2:$J$71,A129),COUNTIFS('Conciliacion de compuestos'!$D$2:$D$71,"conciliado",'Conciliacion de compuestos'!$E$2:$E$71,"OK",'Conciliacion de compuestos'!$K$2:$K$71,A129),COUNTIFS('Conciliacion de compuestos'!$D$2:$D$71,"conciliado",'Conciliacion de compuestos'!$E$2:$E$71,"OK",'Conciliacion de compuestos'!$L$2:$L$71,A129))&gt;0,"conciliado en compuesto confirmado","disponible")</f>
        <v/>
      </c>
    </row>
    <row r="130">
      <c r="A130" s="11" t="n">
        <v>878</v>
      </c>
      <c r="B130" s="12" t="n">
        <v>46093</v>
      </c>
      <c r="C130" s="11" t="inlineStr">
        <is>
          <t>bancolombia desde qr recarga</t>
        </is>
      </c>
      <c r="D130" s="13" t="n">
        <v>2000</v>
      </c>
      <c r="E130" s="11">
        <f>IF(SUM(COUNTIFS('Conciliacion de compuestos'!$D$2:$D$71,"conciliado",'Conciliacion de compuestos'!$E$2:$E$71,"OK",'Conciliacion de compuestos'!$J$2:$J$71,A130),COUNTIFS('Conciliacion de compuestos'!$D$2:$D$71,"conciliado",'Conciliacion de compuestos'!$E$2:$E$71,"OK",'Conciliacion de compuestos'!$K$2:$K$71,A130),COUNTIFS('Conciliacion de compuestos'!$D$2:$D$71,"conciliado",'Conciliacion de compuestos'!$E$2:$E$71,"OK",'Conciliacion de compuestos'!$L$2:$L$71,A130))&gt;0,"conciliado en compuesto confirmado","disponible")</f>
        <v/>
      </c>
    </row>
    <row r="131">
      <c r="A131" s="11" t="n">
        <v>881</v>
      </c>
      <c r="B131" s="12" t="n">
        <v>46093</v>
      </c>
      <c r="C131" s="11" t="inlineStr">
        <is>
          <t>gonzalez lina maria</t>
        </is>
      </c>
      <c r="D131" s="13" t="n">
        <v>9000</v>
      </c>
      <c r="E131" s="11">
        <f>IF(SUM(COUNTIFS('Conciliacion de compuestos'!$D$2:$D$71,"conciliado",'Conciliacion de compuestos'!$E$2:$E$71,"OK",'Conciliacion de compuestos'!$J$2:$J$71,A131),COUNTIFS('Conciliacion de compuestos'!$D$2:$D$71,"conciliado",'Conciliacion de compuestos'!$E$2:$E$71,"OK",'Conciliacion de compuestos'!$K$2:$K$71,A131),COUNTIFS('Conciliacion de compuestos'!$D$2:$D$71,"conciliado",'Conciliacion de compuestos'!$E$2:$E$71,"OK",'Conciliacion de compuestos'!$L$2:$L$71,A131))&gt;0,"conciliado en compuesto confirmado","disponible")</f>
        <v/>
      </c>
    </row>
    <row r="132">
      <c r="A132" s="11" t="n">
        <v>912</v>
      </c>
      <c r="B132" s="12" t="n">
        <v>46092</v>
      </c>
      <c r="C132" s="11" t="inlineStr">
        <is>
          <t>chamorro jeisson orlin</t>
        </is>
      </c>
      <c r="D132" s="13" t="n">
        <v>4700</v>
      </c>
      <c r="E132" s="11">
        <f>IF(SUM(COUNTIFS('Conciliacion de compuestos'!$D$2:$D$71,"conciliado",'Conciliacion de compuestos'!$E$2:$E$71,"OK",'Conciliacion de compuestos'!$J$2:$J$71,A132),COUNTIFS('Conciliacion de compuestos'!$D$2:$D$71,"conciliado",'Conciliacion de compuestos'!$E$2:$E$71,"OK",'Conciliacion de compuestos'!$K$2:$K$71,A132),COUNTIFS('Conciliacion de compuestos'!$D$2:$D$71,"conciliado",'Conciliacion de compuestos'!$E$2:$E$71,"OK",'Conciliacion de compuestos'!$L$2:$L$71,A132))&gt;0,"conciliado en compuesto confirmado","disponible")</f>
        <v/>
      </c>
    </row>
    <row r="133">
      <c r="A133" s="11" t="n">
        <v>926</v>
      </c>
      <c r="B133" s="12" t="n">
        <v>46092</v>
      </c>
      <c r="C133" s="11" t="inlineStr">
        <is>
          <t>chamorro jeisson orlin</t>
        </is>
      </c>
      <c r="D133" s="13" t="n">
        <v>30900</v>
      </c>
      <c r="E133" s="11">
        <f>IF(SUM(COUNTIFS('Conciliacion de compuestos'!$D$2:$D$71,"conciliado",'Conciliacion de compuestos'!$E$2:$E$71,"OK",'Conciliacion de compuestos'!$J$2:$J$71,A133),COUNTIFS('Conciliacion de compuestos'!$D$2:$D$71,"conciliado",'Conciliacion de compuestos'!$E$2:$E$71,"OK",'Conciliacion de compuestos'!$K$2:$K$71,A133),COUNTIFS('Conciliacion de compuestos'!$D$2:$D$71,"conciliado",'Conciliacion de compuestos'!$E$2:$E$71,"OK",'Conciliacion de compuestos'!$L$2:$L$71,A133))&gt;0,"conciliado en compuesto confirmado","disponible")</f>
        <v/>
      </c>
    </row>
    <row r="134">
      <c r="A134" s="11" t="n">
        <v>935</v>
      </c>
      <c r="B134" s="12" t="n">
        <v>46092</v>
      </c>
      <c r="C134" s="11" t="inlineStr">
        <is>
          <t>dora ines paguatian</t>
        </is>
      </c>
      <c r="D134" s="13" t="n">
        <v>-1130388</v>
      </c>
      <c r="E134" s="11">
        <f>IF(SUM(COUNTIFS('Conciliacion de compuestos'!$D$2:$D$71,"conciliado",'Conciliacion de compuestos'!$E$2:$E$71,"OK",'Conciliacion de compuestos'!$J$2:$J$71,A134),COUNTIFS('Conciliacion de compuestos'!$D$2:$D$71,"conciliado",'Conciliacion de compuestos'!$E$2:$E$71,"OK",'Conciliacion de compuestos'!$K$2:$K$71,A134),COUNTIFS('Conciliacion de compuestos'!$D$2:$D$71,"conciliado",'Conciliacion de compuestos'!$E$2:$E$71,"OK",'Conciliacion de compuestos'!$L$2:$L$71,A134))&gt;0,"conciliado en compuesto confirmado","disponible")</f>
        <v/>
      </c>
    </row>
    <row r="135">
      <c r="A135" s="11" t="n">
        <v>946</v>
      </c>
      <c r="B135" s="12" t="n">
        <v>46091</v>
      </c>
      <c r="C135" s="11" t="inlineStr">
        <is>
          <t>alvaro buelvas german</t>
        </is>
      </c>
      <c r="D135" s="13" t="n">
        <v>6200</v>
      </c>
      <c r="E135" s="11">
        <f>IF(SUM(COUNTIFS('Conciliacion de compuestos'!$D$2:$D$71,"conciliado",'Conciliacion de compuestos'!$E$2:$E$71,"OK",'Conciliacion de compuestos'!$J$2:$J$71,A135),COUNTIFS('Conciliacion de compuestos'!$D$2:$D$71,"conciliado",'Conciliacion de compuestos'!$E$2:$E$71,"OK",'Conciliacion de compuestos'!$K$2:$K$71,A135),COUNTIFS('Conciliacion de compuestos'!$D$2:$D$71,"conciliado",'Conciliacion de compuestos'!$E$2:$E$71,"OK",'Conciliacion de compuestos'!$L$2:$L$71,A135))&gt;0,"conciliado en compuesto confirmado","disponible")</f>
        <v/>
      </c>
    </row>
    <row r="136">
      <c r="A136" s="11" t="n">
        <v>951</v>
      </c>
      <c r="B136" s="12" t="n">
        <v>46091</v>
      </c>
      <c r="C136" s="11" t="inlineStr">
        <is>
          <t>bancolombia desde qr recarga</t>
        </is>
      </c>
      <c r="D136" s="13" t="n">
        <v>26300</v>
      </c>
      <c r="E136" s="11">
        <f>IF(SUM(COUNTIFS('Conciliacion de compuestos'!$D$2:$D$71,"conciliado",'Conciliacion de compuestos'!$E$2:$E$71,"OK",'Conciliacion de compuestos'!$J$2:$J$71,A136),COUNTIFS('Conciliacion de compuestos'!$D$2:$D$71,"conciliado",'Conciliacion de compuestos'!$E$2:$E$71,"OK",'Conciliacion de compuestos'!$K$2:$K$71,A136),COUNTIFS('Conciliacion de compuestos'!$D$2:$D$71,"conciliado",'Conciliacion de compuestos'!$E$2:$E$71,"OK",'Conciliacion de compuestos'!$L$2:$L$71,A136))&gt;0,"conciliado en compuesto confirmado","disponible")</f>
        <v/>
      </c>
    </row>
    <row r="137">
      <c r="A137" s="11" t="n">
        <v>952</v>
      </c>
      <c r="B137" s="12" t="n">
        <v>46091</v>
      </c>
      <c r="C137" s="11" t="inlineStr">
        <is>
          <t>alvaro buelvas german</t>
        </is>
      </c>
      <c r="D137" s="13" t="n">
        <v>19100</v>
      </c>
      <c r="E137" s="11">
        <f>IF(SUM(COUNTIFS('Conciliacion de compuestos'!$D$2:$D$71,"conciliado",'Conciliacion de compuestos'!$E$2:$E$71,"OK",'Conciliacion de compuestos'!$J$2:$J$71,A137),COUNTIFS('Conciliacion de compuestos'!$D$2:$D$71,"conciliado",'Conciliacion de compuestos'!$E$2:$E$71,"OK",'Conciliacion de compuestos'!$K$2:$K$71,A137),COUNTIFS('Conciliacion de compuestos'!$D$2:$D$71,"conciliado",'Conciliacion de compuestos'!$E$2:$E$71,"OK",'Conciliacion de compuestos'!$L$2:$L$71,A137))&gt;0,"conciliado en compuesto confirmado","disponible")</f>
        <v/>
      </c>
    </row>
    <row r="138">
      <c r="A138" s="11" t="n">
        <v>960</v>
      </c>
      <c r="B138" s="12" t="n">
        <v>46091</v>
      </c>
      <c r="C138" s="11" t="inlineStr">
        <is>
          <t>keneth sebastian</t>
        </is>
      </c>
      <c r="D138" s="13" t="n">
        <v>7000</v>
      </c>
      <c r="E138" s="11">
        <f>IF(SUM(COUNTIFS('Conciliacion de compuestos'!$D$2:$D$71,"conciliado",'Conciliacion de compuestos'!$E$2:$E$71,"OK",'Conciliacion de compuestos'!$J$2:$J$71,A138),COUNTIFS('Conciliacion de compuestos'!$D$2:$D$71,"conciliado",'Conciliacion de compuestos'!$E$2:$E$71,"OK",'Conciliacion de compuestos'!$K$2:$K$71,A138),COUNTIFS('Conciliacion de compuestos'!$D$2:$D$71,"conciliado",'Conciliacion de compuestos'!$E$2:$E$71,"OK",'Conciliacion de compuestos'!$L$2:$L$71,A138))&gt;0,"conciliado en compuesto confirmado","disponible")</f>
        <v/>
      </c>
    </row>
    <row r="139">
      <c r="A139" s="11" t="n">
        <v>965</v>
      </c>
      <c r="B139" s="12" t="n">
        <v>46091</v>
      </c>
      <c r="C139" s="11" t="inlineStr">
        <is>
          <t>bancolombia desde recarga</t>
        </is>
      </c>
      <c r="D139" s="13" t="n">
        <v>7000</v>
      </c>
      <c r="E139" s="11">
        <f>IF(SUM(COUNTIFS('Conciliacion de compuestos'!$D$2:$D$71,"conciliado",'Conciliacion de compuestos'!$E$2:$E$71,"OK",'Conciliacion de compuestos'!$J$2:$J$71,A139),COUNTIFS('Conciliacion de compuestos'!$D$2:$D$71,"conciliado",'Conciliacion de compuestos'!$E$2:$E$71,"OK",'Conciliacion de compuestos'!$K$2:$K$71,A139),COUNTIFS('Conciliacion de compuestos'!$D$2:$D$71,"conciliado",'Conciliacion de compuestos'!$E$2:$E$71,"OK",'Conciliacion de compuestos'!$L$2:$L$71,A139))&gt;0,"conciliado en compuesto confirmado","disponible")</f>
        <v/>
      </c>
    </row>
    <row r="140">
      <c r="A140" s="11" t="n">
        <v>967</v>
      </c>
      <c r="B140" s="12" t="n">
        <v>46091</v>
      </c>
      <c r="C140" s="11" t="inlineStr">
        <is>
          <t>b bre dayana</t>
        </is>
      </c>
      <c r="D140" s="13" t="n">
        <v>37200</v>
      </c>
      <c r="E140" s="11">
        <f>IF(SUM(COUNTIFS('Conciliacion de compuestos'!$D$2:$D$71,"conciliado",'Conciliacion de compuestos'!$E$2:$E$71,"OK",'Conciliacion de compuestos'!$J$2:$J$71,A140),COUNTIFS('Conciliacion de compuestos'!$D$2:$D$71,"conciliado",'Conciliacion de compuestos'!$E$2:$E$71,"OK",'Conciliacion de compuestos'!$K$2:$K$71,A140),COUNTIFS('Conciliacion de compuestos'!$D$2:$D$71,"conciliado",'Conciliacion de compuestos'!$E$2:$E$71,"OK",'Conciliacion de compuestos'!$L$2:$L$71,A140))&gt;0,"conciliado en compuesto confirmado","disponible")</f>
        <v/>
      </c>
    </row>
    <row r="141">
      <c r="A141" s="11" t="n">
        <v>986</v>
      </c>
      <c r="B141" s="12" t="n">
        <v>46090</v>
      </c>
      <c r="C141" s="11" t="inlineStr">
        <is>
          <t>chana edisson junior</t>
        </is>
      </c>
      <c r="D141" s="13" t="n">
        <v>16400</v>
      </c>
      <c r="E141" s="11">
        <f>IF(SUM(COUNTIFS('Conciliacion de compuestos'!$D$2:$D$71,"conciliado",'Conciliacion de compuestos'!$E$2:$E$71,"OK",'Conciliacion de compuestos'!$J$2:$J$71,A141),COUNTIFS('Conciliacion de compuestos'!$D$2:$D$71,"conciliado",'Conciliacion de compuestos'!$E$2:$E$71,"OK",'Conciliacion de compuestos'!$K$2:$K$71,A141),COUNTIFS('Conciliacion de compuestos'!$D$2:$D$71,"conciliado",'Conciliacion de compuestos'!$E$2:$E$71,"OK",'Conciliacion de compuestos'!$L$2:$L$71,A141))&gt;0,"conciliado en compuesto confirmado","disponible")</f>
        <v/>
      </c>
    </row>
    <row r="142">
      <c r="A142" s="11" t="n">
        <v>987</v>
      </c>
      <c r="B142" s="12" t="n">
        <v>46090</v>
      </c>
      <c r="C142" s="11" t="inlineStr">
        <is>
          <t>chana edisson junior</t>
        </is>
      </c>
      <c r="D142" s="13" t="n">
        <v>46000</v>
      </c>
      <c r="E142" s="11">
        <f>IF(SUM(COUNTIFS('Conciliacion de compuestos'!$D$2:$D$71,"conciliado",'Conciliacion de compuestos'!$E$2:$E$71,"OK",'Conciliacion de compuestos'!$J$2:$J$71,A142),COUNTIFS('Conciliacion de compuestos'!$D$2:$D$71,"conciliado",'Conciliacion de compuestos'!$E$2:$E$71,"OK",'Conciliacion de compuestos'!$K$2:$K$71,A142),COUNTIFS('Conciliacion de compuestos'!$D$2:$D$71,"conciliado",'Conciliacion de compuestos'!$E$2:$E$71,"OK",'Conciliacion de compuestos'!$L$2:$L$71,A142))&gt;0,"conciliado en compuesto confirmado","disponible")</f>
        <v/>
      </c>
    </row>
    <row r="143">
      <c r="A143" s="11" t="n">
        <v>996</v>
      </c>
      <c r="B143" s="12" t="n">
        <v>46090</v>
      </c>
      <c r="C143" s="11" t="inlineStr">
        <is>
          <t>jaiver jose portilla</t>
        </is>
      </c>
      <c r="D143" s="13" t="n">
        <v>16000</v>
      </c>
      <c r="E143" s="11">
        <f>IF(SUM(COUNTIFS('Conciliacion de compuestos'!$D$2:$D$71,"conciliado",'Conciliacion de compuestos'!$E$2:$E$71,"OK",'Conciliacion de compuestos'!$J$2:$J$71,A143),COUNTIFS('Conciliacion de compuestos'!$D$2:$D$71,"conciliado",'Conciliacion de compuestos'!$E$2:$E$71,"OK",'Conciliacion de compuestos'!$K$2:$K$71,A143),COUNTIFS('Conciliacion de compuestos'!$D$2:$D$71,"conciliado",'Conciliacion de compuestos'!$E$2:$E$71,"OK",'Conciliacion de compuestos'!$L$2:$L$71,A143))&gt;0,"conciliado en compuesto confirmado","disponible")</f>
        <v/>
      </c>
    </row>
    <row r="144">
      <c r="A144" s="11" t="n">
        <v>999</v>
      </c>
      <c r="B144" s="12" t="n">
        <v>46090</v>
      </c>
      <c r="C144" s="11" t="inlineStr">
        <is>
          <t>arnold david duque</t>
        </is>
      </c>
      <c r="D144" s="13" t="n">
        <v>60000</v>
      </c>
      <c r="E144" s="11">
        <f>IF(SUM(COUNTIFS('Conciliacion de compuestos'!$D$2:$D$71,"conciliado",'Conciliacion de compuestos'!$E$2:$E$71,"OK",'Conciliacion de compuestos'!$J$2:$J$71,A144),COUNTIFS('Conciliacion de compuestos'!$D$2:$D$71,"conciliado",'Conciliacion de compuestos'!$E$2:$E$71,"OK",'Conciliacion de compuestos'!$K$2:$K$71,A144),COUNTIFS('Conciliacion de compuestos'!$D$2:$D$71,"conciliado",'Conciliacion de compuestos'!$E$2:$E$71,"OK",'Conciliacion de compuestos'!$L$2:$L$71,A144))&gt;0,"conciliado en compuesto confirmado","disponible")</f>
        <v/>
      </c>
    </row>
    <row r="145">
      <c r="A145" s="11" t="n">
        <v>1007</v>
      </c>
      <c r="B145" s="12" t="n">
        <v>46090</v>
      </c>
      <c r="C145" s="11" t="inlineStr">
        <is>
          <t>bancolombia desde recarga</t>
        </is>
      </c>
      <c r="D145" s="13" t="n">
        <v>15000</v>
      </c>
      <c r="E145" s="11">
        <f>IF(SUM(COUNTIFS('Conciliacion de compuestos'!$D$2:$D$71,"conciliado",'Conciliacion de compuestos'!$E$2:$E$71,"OK",'Conciliacion de compuestos'!$J$2:$J$71,A145),COUNTIFS('Conciliacion de compuestos'!$D$2:$D$71,"conciliado",'Conciliacion de compuestos'!$E$2:$E$71,"OK",'Conciliacion de compuestos'!$K$2:$K$71,A145),COUNTIFS('Conciliacion de compuestos'!$D$2:$D$71,"conciliado",'Conciliacion de compuestos'!$E$2:$E$71,"OK",'Conciliacion de compuestos'!$L$2:$L$71,A145))&gt;0,"conciliado en compuesto confirmado","disponible")</f>
        <v/>
      </c>
    </row>
    <row r="146">
      <c r="A146" s="11" t="n">
        <v>1018</v>
      </c>
      <c r="B146" s="12" t="n">
        <v>46090</v>
      </c>
      <c r="C146" s="11" t="inlineStr">
        <is>
          <t>bancolombia desde recarga</t>
        </is>
      </c>
      <c r="D146" s="13" t="n">
        <v>15000</v>
      </c>
      <c r="E146" s="11">
        <f>IF(SUM(COUNTIFS('Conciliacion de compuestos'!$D$2:$D$71,"conciliado",'Conciliacion de compuestos'!$E$2:$E$71,"OK",'Conciliacion de compuestos'!$J$2:$J$71,A146),COUNTIFS('Conciliacion de compuestos'!$D$2:$D$71,"conciliado",'Conciliacion de compuestos'!$E$2:$E$71,"OK",'Conciliacion de compuestos'!$K$2:$K$71,A146),COUNTIFS('Conciliacion de compuestos'!$D$2:$D$71,"conciliado",'Conciliacion de compuestos'!$E$2:$E$71,"OK",'Conciliacion de compuestos'!$L$2:$L$71,A146))&gt;0,"conciliado en compuesto confirmado","disponible")</f>
        <v/>
      </c>
    </row>
    <row r="147">
      <c r="A147" s="11" t="n">
        <v>1029</v>
      </c>
      <c r="B147" s="12" t="n">
        <v>46089</v>
      </c>
      <c r="C147" s="11" t="inlineStr">
        <is>
          <t>alexandra monica</t>
        </is>
      </c>
      <c r="D147" s="13" t="n">
        <v>14000</v>
      </c>
      <c r="E147" s="11">
        <f>IF(SUM(COUNTIFS('Conciliacion de compuestos'!$D$2:$D$71,"conciliado",'Conciliacion de compuestos'!$E$2:$E$71,"OK",'Conciliacion de compuestos'!$J$2:$J$71,A147),COUNTIFS('Conciliacion de compuestos'!$D$2:$D$71,"conciliado",'Conciliacion de compuestos'!$E$2:$E$71,"OK",'Conciliacion de compuestos'!$K$2:$K$71,A147),COUNTIFS('Conciliacion de compuestos'!$D$2:$D$71,"conciliado",'Conciliacion de compuestos'!$E$2:$E$71,"OK",'Conciliacion de compuestos'!$L$2:$L$71,A147))&gt;0,"conciliado en compuesto confirmado","disponible")</f>
        <v/>
      </c>
    </row>
    <row r="148">
      <c r="A148" s="11" t="n">
        <v>1030</v>
      </c>
      <c r="B148" s="12" t="n">
        <v>46089</v>
      </c>
      <c r="C148" s="11" t="inlineStr">
        <is>
          <t>alexandra monica</t>
        </is>
      </c>
      <c r="D148" s="13" t="n">
        <v>21700</v>
      </c>
      <c r="E148" s="11">
        <f>IF(SUM(COUNTIFS('Conciliacion de compuestos'!$D$2:$D$71,"conciliado",'Conciliacion de compuestos'!$E$2:$E$71,"OK",'Conciliacion de compuestos'!$J$2:$J$71,A148),COUNTIFS('Conciliacion de compuestos'!$D$2:$D$71,"conciliado",'Conciliacion de compuestos'!$E$2:$E$71,"OK",'Conciliacion de compuestos'!$K$2:$K$71,A148),COUNTIFS('Conciliacion de compuestos'!$D$2:$D$71,"conciliado",'Conciliacion de compuestos'!$E$2:$E$71,"OK",'Conciliacion de compuestos'!$L$2:$L$71,A148))&gt;0,"conciliado en compuesto confirmado","disponible")</f>
        <v/>
      </c>
    </row>
    <row r="149">
      <c r="A149" s="11" t="n">
        <v>1032</v>
      </c>
      <c r="B149" s="12" t="n">
        <v>46089</v>
      </c>
      <c r="C149" s="11" t="inlineStr">
        <is>
          <t>alejandro omar</t>
        </is>
      </c>
      <c r="D149" s="13" t="n">
        <v>6500</v>
      </c>
      <c r="E149" s="11">
        <f>IF(SUM(COUNTIFS('Conciliacion de compuestos'!$D$2:$D$71,"conciliado",'Conciliacion de compuestos'!$E$2:$E$71,"OK",'Conciliacion de compuestos'!$J$2:$J$71,A149),COUNTIFS('Conciliacion de compuestos'!$D$2:$D$71,"conciliado",'Conciliacion de compuestos'!$E$2:$E$71,"OK",'Conciliacion de compuestos'!$K$2:$K$71,A149),COUNTIFS('Conciliacion de compuestos'!$D$2:$D$71,"conciliado",'Conciliacion de compuestos'!$E$2:$E$71,"OK",'Conciliacion de compuestos'!$L$2:$L$71,A149))&gt;0,"conciliado en compuesto confirmado","disponible")</f>
        <v/>
      </c>
    </row>
    <row r="150">
      <c r="A150" s="11" t="n">
        <v>1039</v>
      </c>
      <c r="B150" s="12" t="n">
        <v>46089</v>
      </c>
      <c r="C150" s="11" t="inlineStr">
        <is>
          <t>bancolombia desde recarga</t>
        </is>
      </c>
      <c r="D150" s="13" t="n">
        <v>6100</v>
      </c>
      <c r="E150" s="11">
        <f>IF(SUM(COUNTIFS('Conciliacion de compuestos'!$D$2:$D$71,"conciliado",'Conciliacion de compuestos'!$E$2:$E$71,"OK",'Conciliacion de compuestos'!$J$2:$J$71,A150),COUNTIFS('Conciliacion de compuestos'!$D$2:$D$71,"conciliado",'Conciliacion de compuestos'!$E$2:$E$71,"OK",'Conciliacion de compuestos'!$K$2:$K$71,A150),COUNTIFS('Conciliacion de compuestos'!$D$2:$D$71,"conciliado",'Conciliacion de compuestos'!$E$2:$E$71,"OK",'Conciliacion de compuestos'!$L$2:$L$71,A150))&gt;0,"conciliado en compuesto confirmado","disponible")</f>
        <v/>
      </c>
    </row>
    <row r="151">
      <c r="A151" s="11" t="n">
        <v>1040</v>
      </c>
      <c r="B151" s="12" t="n">
        <v>46089</v>
      </c>
      <c r="C151" s="11" t="inlineStr">
        <is>
          <t>bancolombia desde recarga</t>
        </is>
      </c>
      <c r="D151" s="13" t="n">
        <v>25900</v>
      </c>
      <c r="E151" s="11">
        <f>IF(SUM(COUNTIFS('Conciliacion de compuestos'!$D$2:$D$71,"conciliado",'Conciliacion de compuestos'!$E$2:$E$71,"OK",'Conciliacion de compuestos'!$J$2:$J$71,A151),COUNTIFS('Conciliacion de compuestos'!$D$2:$D$71,"conciliado",'Conciliacion de compuestos'!$E$2:$E$71,"OK",'Conciliacion de compuestos'!$K$2:$K$71,A151),COUNTIFS('Conciliacion de compuestos'!$D$2:$D$71,"conciliado",'Conciliacion de compuestos'!$E$2:$E$71,"OK",'Conciliacion de compuestos'!$L$2:$L$71,A151))&gt;0,"conciliado en compuesto confirmado","disponible")</f>
        <v/>
      </c>
    </row>
    <row r="152">
      <c r="A152" s="11" t="n">
        <v>1059</v>
      </c>
      <c r="B152" s="12" t="n">
        <v>46088</v>
      </c>
      <c r="C152" s="11" t="inlineStr">
        <is>
          <t>alexaander arias jhon</t>
        </is>
      </c>
      <c r="D152" s="13" t="n">
        <v>19600</v>
      </c>
      <c r="E152" s="11">
        <f>IF(SUM(COUNTIFS('Conciliacion de compuestos'!$D$2:$D$71,"conciliado",'Conciliacion de compuestos'!$E$2:$E$71,"OK",'Conciliacion de compuestos'!$J$2:$J$71,A152),COUNTIFS('Conciliacion de compuestos'!$D$2:$D$71,"conciliado",'Conciliacion de compuestos'!$E$2:$E$71,"OK",'Conciliacion de compuestos'!$K$2:$K$71,A152),COUNTIFS('Conciliacion de compuestos'!$D$2:$D$71,"conciliado",'Conciliacion de compuestos'!$E$2:$E$71,"OK",'Conciliacion de compuestos'!$L$2:$L$71,A152))&gt;0,"conciliado en compuesto confirmado","disponible")</f>
        <v/>
      </c>
    </row>
    <row r="153">
      <c r="A153" s="11" t="n">
        <v>1090</v>
      </c>
      <c r="B153" s="12" t="n">
        <v>46088</v>
      </c>
      <c r="C153" s="11" t="inlineStr">
        <is>
          <t>alexandra daniela ortiz</t>
        </is>
      </c>
      <c r="D153" s="13" t="n">
        <v>20300</v>
      </c>
      <c r="E153" s="11">
        <f>IF(SUM(COUNTIFS('Conciliacion de compuestos'!$D$2:$D$71,"conciliado",'Conciliacion de compuestos'!$E$2:$E$71,"OK",'Conciliacion de compuestos'!$J$2:$J$71,A153),COUNTIFS('Conciliacion de compuestos'!$D$2:$D$71,"conciliado",'Conciliacion de compuestos'!$E$2:$E$71,"OK",'Conciliacion de compuestos'!$K$2:$K$71,A153),COUNTIFS('Conciliacion de compuestos'!$D$2:$D$71,"conciliado",'Conciliacion de compuestos'!$E$2:$E$71,"OK",'Conciliacion de compuestos'!$L$2:$L$71,A153))&gt;0,"conciliado en compuesto confirmado","disponible")</f>
        <v/>
      </c>
    </row>
    <row r="154">
      <c r="A154" s="11" t="n">
        <v>1103</v>
      </c>
      <c r="B154" s="12" t="n">
        <v>46088</v>
      </c>
      <c r="C154" s="11" t="inlineStr">
        <is>
          <t>andres bravo edwar</t>
        </is>
      </c>
      <c r="D154" s="13" t="n">
        <v>5000</v>
      </c>
      <c r="E154" s="11">
        <f>IF(SUM(COUNTIFS('Conciliacion de compuestos'!$D$2:$D$71,"conciliado",'Conciliacion de compuestos'!$E$2:$E$71,"OK",'Conciliacion de compuestos'!$J$2:$J$71,A154),COUNTIFS('Conciliacion de compuestos'!$D$2:$D$71,"conciliado",'Conciliacion de compuestos'!$E$2:$E$71,"OK",'Conciliacion de compuestos'!$K$2:$K$71,A154),COUNTIFS('Conciliacion de compuestos'!$D$2:$D$71,"conciliado",'Conciliacion de compuestos'!$E$2:$E$71,"OK",'Conciliacion de compuestos'!$L$2:$L$71,A154))&gt;0,"conciliado en compuesto confirmado","disponible")</f>
        <v/>
      </c>
    </row>
    <row r="155">
      <c r="A155" s="11" t="n">
        <v>1106</v>
      </c>
      <c r="B155" s="12" t="n">
        <v>46087</v>
      </c>
      <c r="C155" s="11" t="inlineStr">
        <is>
          <t>denier fernando</t>
        </is>
      </c>
      <c r="D155" s="13" t="n">
        <v>80500</v>
      </c>
      <c r="E155" s="11">
        <f>IF(SUM(COUNTIFS('Conciliacion de compuestos'!$D$2:$D$71,"conciliado",'Conciliacion de compuestos'!$E$2:$E$71,"OK",'Conciliacion de compuestos'!$J$2:$J$71,A155),COUNTIFS('Conciliacion de compuestos'!$D$2:$D$71,"conciliado",'Conciliacion de compuestos'!$E$2:$E$71,"OK",'Conciliacion de compuestos'!$K$2:$K$71,A155),COUNTIFS('Conciliacion de compuestos'!$D$2:$D$71,"conciliado",'Conciliacion de compuestos'!$E$2:$E$71,"OK",'Conciliacion de compuestos'!$L$2:$L$71,A155))&gt;0,"conciliado en compuesto confirmado","disponible")</f>
        <v/>
      </c>
    </row>
    <row r="156">
      <c r="A156" s="11" t="n">
        <v>1115</v>
      </c>
      <c r="B156" s="12" t="n">
        <v>46087</v>
      </c>
      <c r="C156" s="11" t="inlineStr">
        <is>
          <t>frank henao yinner</t>
        </is>
      </c>
      <c r="D156" s="13" t="n">
        <v>27000</v>
      </c>
      <c r="E156" s="11">
        <f>IF(SUM(COUNTIFS('Conciliacion de compuestos'!$D$2:$D$71,"conciliado",'Conciliacion de compuestos'!$E$2:$E$71,"OK",'Conciliacion de compuestos'!$J$2:$J$71,A156),COUNTIFS('Conciliacion de compuestos'!$D$2:$D$71,"conciliado",'Conciliacion de compuestos'!$E$2:$E$71,"OK",'Conciliacion de compuestos'!$K$2:$K$71,A156),COUNTIFS('Conciliacion de compuestos'!$D$2:$D$71,"conciliado",'Conciliacion de compuestos'!$E$2:$E$71,"OK",'Conciliacion de compuestos'!$L$2:$L$71,A156))&gt;0,"conciliado en compuesto confirmado","disponible")</f>
        <v/>
      </c>
    </row>
    <row r="157">
      <c r="A157" s="11" t="n">
        <v>1132</v>
      </c>
      <c r="B157" s="12" t="n">
        <v>46087</v>
      </c>
      <c r="C157" s="11" t="inlineStr">
        <is>
          <t>denier fernando</t>
        </is>
      </c>
      <c r="D157" s="13" t="n">
        <v>16600</v>
      </c>
      <c r="E157" s="11">
        <f>IF(SUM(COUNTIFS('Conciliacion de compuestos'!$D$2:$D$71,"conciliado",'Conciliacion de compuestos'!$E$2:$E$71,"OK",'Conciliacion de compuestos'!$J$2:$J$71,A157),COUNTIFS('Conciliacion de compuestos'!$D$2:$D$71,"conciliado",'Conciliacion de compuestos'!$E$2:$E$71,"OK",'Conciliacion de compuestos'!$K$2:$K$71,A157),COUNTIFS('Conciliacion de compuestos'!$D$2:$D$71,"conciliado",'Conciliacion de compuestos'!$E$2:$E$71,"OK",'Conciliacion de compuestos'!$L$2:$L$71,A157))&gt;0,"conciliado en compuesto confirmado","disponible")</f>
        <v/>
      </c>
    </row>
    <row r="158">
      <c r="A158" s="11" t="n">
        <v>1138</v>
      </c>
      <c r="B158" s="12" t="n">
        <v>46087</v>
      </c>
      <c r="C158" s="11" t="inlineStr">
        <is>
          <t>eugenia lara maria</t>
        </is>
      </c>
      <c r="D158" s="13" t="n">
        <v>77600</v>
      </c>
      <c r="E158" s="11">
        <f>IF(SUM(COUNTIFS('Conciliacion de compuestos'!$D$2:$D$71,"conciliado",'Conciliacion de compuestos'!$E$2:$E$71,"OK",'Conciliacion de compuestos'!$J$2:$J$71,A158),COUNTIFS('Conciliacion de compuestos'!$D$2:$D$71,"conciliado",'Conciliacion de compuestos'!$E$2:$E$71,"OK",'Conciliacion de compuestos'!$K$2:$K$71,A158),COUNTIFS('Conciliacion de compuestos'!$D$2:$D$71,"conciliado",'Conciliacion de compuestos'!$E$2:$E$71,"OK",'Conciliacion de compuestos'!$L$2:$L$71,A158))&gt;0,"conciliado en compuesto confirmado","disponible")</f>
        <v/>
      </c>
    </row>
    <row r="159">
      <c r="A159" s="11" t="n">
        <v>1139</v>
      </c>
      <c r="B159" s="12" t="n">
        <v>46087</v>
      </c>
      <c r="C159" s="11" t="inlineStr">
        <is>
          <t>eugenia lara maria</t>
        </is>
      </c>
      <c r="D159" s="13" t="n">
        <v>13200</v>
      </c>
      <c r="E159" s="11">
        <f>IF(SUM(COUNTIFS('Conciliacion de compuestos'!$D$2:$D$71,"conciliado",'Conciliacion de compuestos'!$E$2:$E$71,"OK",'Conciliacion de compuestos'!$J$2:$J$71,A159),COUNTIFS('Conciliacion de compuestos'!$D$2:$D$71,"conciliado",'Conciliacion de compuestos'!$E$2:$E$71,"OK",'Conciliacion de compuestos'!$K$2:$K$71,A159),COUNTIFS('Conciliacion de compuestos'!$D$2:$D$71,"conciliado",'Conciliacion de compuestos'!$E$2:$E$71,"OK",'Conciliacion de compuestos'!$L$2:$L$71,A159))&gt;0,"conciliado en compuesto confirmado","disponible")</f>
        <v/>
      </c>
    </row>
    <row r="160">
      <c r="A160" s="11" t="n">
        <v>1151</v>
      </c>
      <c r="B160" s="12" t="n">
        <v>46086</v>
      </c>
      <c r="C160" s="11" t="inlineStr">
        <is>
          <t>florez londono yesid</t>
        </is>
      </c>
      <c r="D160" s="13" t="n">
        <v>35500</v>
      </c>
      <c r="E160" s="11">
        <f>IF(SUM(COUNTIFS('Conciliacion de compuestos'!$D$2:$D$71,"conciliado",'Conciliacion de compuestos'!$E$2:$E$71,"OK",'Conciliacion de compuestos'!$J$2:$J$71,A160),COUNTIFS('Conciliacion de compuestos'!$D$2:$D$71,"conciliado",'Conciliacion de compuestos'!$E$2:$E$71,"OK",'Conciliacion de compuestos'!$K$2:$K$71,A160),COUNTIFS('Conciliacion de compuestos'!$D$2:$D$71,"conciliado",'Conciliacion de compuestos'!$E$2:$E$71,"OK",'Conciliacion de compuestos'!$L$2:$L$71,A160))&gt;0,"conciliado en compuesto confirmado","disponible")</f>
        <v/>
      </c>
    </row>
    <row r="161">
      <c r="A161" s="11" t="n">
        <v>1159</v>
      </c>
      <c r="B161" s="12" t="n">
        <v>46086</v>
      </c>
      <c r="C161" s="11" t="inlineStr">
        <is>
          <t>ceron domingo jose</t>
        </is>
      </c>
      <c r="D161" s="13" t="n">
        <v>9600</v>
      </c>
      <c r="E161" s="11">
        <f>IF(SUM(COUNTIFS('Conciliacion de compuestos'!$D$2:$D$71,"conciliado",'Conciliacion de compuestos'!$E$2:$E$71,"OK",'Conciliacion de compuestos'!$J$2:$J$71,A161),COUNTIFS('Conciliacion de compuestos'!$D$2:$D$71,"conciliado",'Conciliacion de compuestos'!$E$2:$E$71,"OK",'Conciliacion de compuestos'!$K$2:$K$71,A161),COUNTIFS('Conciliacion de compuestos'!$D$2:$D$71,"conciliado",'Conciliacion de compuestos'!$E$2:$E$71,"OK",'Conciliacion de compuestos'!$L$2:$L$71,A161))&gt;0,"conciliado en compuesto confirmado","disponible")</f>
        <v/>
      </c>
    </row>
    <row r="162">
      <c r="A162" s="11" t="n">
        <v>1161</v>
      </c>
      <c r="B162" s="12" t="n">
        <v>46086</v>
      </c>
      <c r="C162" s="11" t="inlineStr">
        <is>
          <t>ceron domingo jose</t>
        </is>
      </c>
      <c r="D162" s="13" t="n">
        <v>25300</v>
      </c>
      <c r="E162" s="11">
        <f>IF(SUM(COUNTIFS('Conciliacion de compuestos'!$D$2:$D$71,"conciliado",'Conciliacion de compuestos'!$E$2:$E$71,"OK",'Conciliacion de compuestos'!$J$2:$J$71,A162),COUNTIFS('Conciliacion de compuestos'!$D$2:$D$71,"conciliado",'Conciliacion de compuestos'!$E$2:$E$71,"OK",'Conciliacion de compuestos'!$K$2:$K$71,A162),COUNTIFS('Conciliacion de compuestos'!$D$2:$D$71,"conciliado",'Conciliacion de compuestos'!$E$2:$E$71,"OK",'Conciliacion de compuestos'!$L$2:$L$71,A162))&gt;0,"conciliado en compuesto confirmado","disponible")</f>
        <v/>
      </c>
    </row>
    <row r="163">
      <c r="A163" s="11" t="n">
        <v>1175</v>
      </c>
      <c r="B163" s="12" t="n">
        <v>46086</v>
      </c>
      <c r="C163" s="11" t="inlineStr">
        <is>
          <t>alexandra millan nataly</t>
        </is>
      </c>
      <c r="D163" s="13" t="n">
        <v>5500</v>
      </c>
      <c r="E163" s="11">
        <f>IF(SUM(COUNTIFS('Conciliacion de compuestos'!$D$2:$D$71,"conciliado",'Conciliacion de compuestos'!$E$2:$E$71,"OK",'Conciliacion de compuestos'!$J$2:$J$71,A163),COUNTIFS('Conciliacion de compuestos'!$D$2:$D$71,"conciliado",'Conciliacion de compuestos'!$E$2:$E$71,"OK",'Conciliacion de compuestos'!$K$2:$K$71,A163),COUNTIFS('Conciliacion de compuestos'!$D$2:$D$71,"conciliado",'Conciliacion de compuestos'!$E$2:$E$71,"OK",'Conciliacion de compuestos'!$L$2:$L$71,A163))&gt;0,"conciliado en compuesto confirmado","disponible")</f>
        <v/>
      </c>
    </row>
    <row r="164">
      <c r="A164" s="11" t="n">
        <v>1176</v>
      </c>
      <c r="B164" s="12" t="n">
        <v>46086</v>
      </c>
      <c r="C164" s="11" t="inlineStr">
        <is>
          <t>alexandra millan nataly</t>
        </is>
      </c>
      <c r="D164" s="13" t="n">
        <v>14200</v>
      </c>
      <c r="E164" s="11">
        <f>IF(SUM(COUNTIFS('Conciliacion de compuestos'!$D$2:$D$71,"conciliado",'Conciliacion de compuestos'!$E$2:$E$71,"OK",'Conciliacion de compuestos'!$J$2:$J$71,A164),COUNTIFS('Conciliacion de compuestos'!$D$2:$D$71,"conciliado",'Conciliacion de compuestos'!$E$2:$E$71,"OK",'Conciliacion de compuestos'!$K$2:$K$71,A164),COUNTIFS('Conciliacion de compuestos'!$D$2:$D$71,"conciliado",'Conciliacion de compuestos'!$E$2:$E$71,"OK",'Conciliacion de compuestos'!$L$2:$L$71,A164))&gt;0,"conciliado en compuesto confirmado","disponible")</f>
        <v/>
      </c>
    </row>
    <row r="165">
      <c r="A165" s="11" t="n">
        <v>1181</v>
      </c>
      <c r="B165" s="12" t="n">
        <v>46086</v>
      </c>
      <c r="C165" s="11" t="inlineStr">
        <is>
          <t>florez londono yesid</t>
        </is>
      </c>
      <c r="D165" s="13" t="n">
        <v>104600</v>
      </c>
      <c r="E165" s="11">
        <f>IF(SUM(COUNTIFS('Conciliacion de compuestos'!$D$2:$D$71,"conciliado",'Conciliacion de compuestos'!$E$2:$E$71,"OK",'Conciliacion de compuestos'!$J$2:$J$71,A165),COUNTIFS('Conciliacion de compuestos'!$D$2:$D$71,"conciliado",'Conciliacion de compuestos'!$E$2:$E$71,"OK",'Conciliacion de compuestos'!$K$2:$K$71,A165),COUNTIFS('Conciliacion de compuestos'!$D$2:$D$71,"conciliado",'Conciliacion de compuestos'!$E$2:$E$71,"OK",'Conciliacion de compuestos'!$L$2:$L$71,A165))&gt;0,"conciliado en compuesto confirmado","disponible")</f>
        <v/>
      </c>
    </row>
    <row r="166">
      <c r="A166" s="11" t="n">
        <v>1185</v>
      </c>
      <c r="B166" s="12" t="n">
        <v>46085</v>
      </c>
      <c r="C166" s="11" t="inlineStr">
        <is>
          <t>b bre edisson</t>
        </is>
      </c>
      <c r="D166" s="13" t="n">
        <v>13200</v>
      </c>
      <c r="E166" s="11">
        <f>IF(SUM(COUNTIFS('Conciliacion de compuestos'!$D$2:$D$71,"conciliado",'Conciliacion de compuestos'!$E$2:$E$71,"OK",'Conciliacion de compuestos'!$J$2:$J$71,A166),COUNTIFS('Conciliacion de compuestos'!$D$2:$D$71,"conciliado",'Conciliacion de compuestos'!$E$2:$E$71,"OK",'Conciliacion de compuestos'!$K$2:$K$71,A166),COUNTIFS('Conciliacion de compuestos'!$D$2:$D$71,"conciliado",'Conciliacion de compuestos'!$E$2:$E$71,"OK",'Conciliacion de compuestos'!$L$2:$L$71,A166))&gt;0,"conciliado en compuesto confirmado","disponible")</f>
        <v/>
      </c>
    </row>
    <row r="167">
      <c r="A167" s="11" t="n">
        <v>1186</v>
      </c>
      <c r="B167" s="12" t="n">
        <v>46085</v>
      </c>
      <c r="C167" s="11" t="inlineStr">
        <is>
          <t>chana edisson junior</t>
        </is>
      </c>
      <c r="D167" s="13" t="n">
        <v>56900</v>
      </c>
      <c r="E167" s="11">
        <f>IF(SUM(COUNTIFS('Conciliacion de compuestos'!$D$2:$D$71,"conciliado",'Conciliacion de compuestos'!$E$2:$E$71,"OK",'Conciliacion de compuestos'!$J$2:$J$71,A167),COUNTIFS('Conciliacion de compuestos'!$D$2:$D$71,"conciliado",'Conciliacion de compuestos'!$E$2:$E$71,"OK",'Conciliacion de compuestos'!$K$2:$K$71,A167),COUNTIFS('Conciliacion de compuestos'!$D$2:$D$71,"conciliado",'Conciliacion de compuestos'!$E$2:$E$71,"OK",'Conciliacion de compuestos'!$L$2:$L$71,A167))&gt;0,"conciliado en compuesto confirmado","disponible")</f>
        <v/>
      </c>
    </row>
    <row r="168">
      <c r="A168" s="11" t="n">
        <v>1203</v>
      </c>
      <c r="B168" s="12" t="n">
        <v>46085</v>
      </c>
      <c r="C168" s="11" t="inlineStr">
        <is>
          <t>frayder sanchez</t>
        </is>
      </c>
      <c r="D168" s="13" t="n">
        <v>300</v>
      </c>
      <c r="E168" s="11">
        <f>IF(SUM(COUNTIFS('Conciliacion de compuestos'!$D$2:$D$71,"conciliado",'Conciliacion de compuestos'!$E$2:$E$71,"OK",'Conciliacion de compuestos'!$J$2:$J$71,A168),COUNTIFS('Conciliacion de compuestos'!$D$2:$D$71,"conciliado",'Conciliacion de compuestos'!$E$2:$E$71,"OK",'Conciliacion de compuestos'!$K$2:$K$71,A168),COUNTIFS('Conciliacion de compuestos'!$D$2:$D$71,"conciliado",'Conciliacion de compuestos'!$E$2:$E$71,"OK",'Conciliacion de compuestos'!$L$2:$L$71,A168))&gt;0,"conciliado en compuesto confirmado","disponible")</f>
        <v/>
      </c>
    </row>
    <row r="169">
      <c r="A169" s="11" t="n">
        <v>1204</v>
      </c>
      <c r="B169" s="12" t="n">
        <v>46085</v>
      </c>
      <c r="C169" s="11" t="inlineStr">
        <is>
          <t>frayder sanchez</t>
        </is>
      </c>
      <c r="D169" s="13" t="n">
        <v>10200</v>
      </c>
      <c r="E169" s="11">
        <f>IF(SUM(COUNTIFS('Conciliacion de compuestos'!$D$2:$D$71,"conciliado",'Conciliacion de compuestos'!$E$2:$E$71,"OK",'Conciliacion de compuestos'!$J$2:$J$71,A169),COUNTIFS('Conciliacion de compuestos'!$D$2:$D$71,"conciliado",'Conciliacion de compuestos'!$E$2:$E$71,"OK",'Conciliacion de compuestos'!$K$2:$K$71,A169),COUNTIFS('Conciliacion de compuestos'!$D$2:$D$71,"conciliado",'Conciliacion de compuestos'!$E$2:$E$71,"OK",'Conciliacion de compuestos'!$L$2:$L$71,A169))&gt;0,"conciliado en compuesto confirmado","disponible")</f>
        <v/>
      </c>
    </row>
    <row r="170">
      <c r="A170" s="11" t="n">
        <v>1220</v>
      </c>
      <c r="B170" s="12" t="n">
        <v>46084</v>
      </c>
      <c r="C170" s="11" t="inlineStr">
        <is>
          <t>isair yagari</t>
        </is>
      </c>
      <c r="D170" s="13" t="n">
        <v>18000</v>
      </c>
      <c r="E170" s="11">
        <f>IF(SUM(COUNTIFS('Conciliacion de compuestos'!$D$2:$D$71,"conciliado",'Conciliacion de compuestos'!$E$2:$E$71,"OK",'Conciliacion de compuestos'!$J$2:$J$71,A170),COUNTIFS('Conciliacion de compuestos'!$D$2:$D$71,"conciliado",'Conciliacion de compuestos'!$E$2:$E$71,"OK",'Conciliacion de compuestos'!$K$2:$K$71,A170),COUNTIFS('Conciliacion de compuestos'!$D$2:$D$71,"conciliado",'Conciliacion de compuestos'!$E$2:$E$71,"OK",'Conciliacion de compuestos'!$L$2:$L$71,A170))&gt;0,"conciliado en compuesto confirmado","disponible")</f>
        <v/>
      </c>
    </row>
    <row r="171">
      <c r="A171" s="11" t="n">
        <v>1228</v>
      </c>
      <c r="B171" s="12" t="n">
        <v>46084</v>
      </c>
      <c r="C171" s="11" t="inlineStr">
        <is>
          <t>isair yagari</t>
        </is>
      </c>
      <c r="D171" s="13" t="n">
        <v>77100</v>
      </c>
      <c r="E171" s="11">
        <f>IF(SUM(COUNTIFS('Conciliacion de compuestos'!$D$2:$D$71,"conciliado",'Conciliacion de compuestos'!$E$2:$E$71,"OK",'Conciliacion de compuestos'!$J$2:$J$71,A171),COUNTIFS('Conciliacion de compuestos'!$D$2:$D$71,"conciliado",'Conciliacion de compuestos'!$E$2:$E$71,"OK",'Conciliacion de compuestos'!$K$2:$K$71,A171),COUNTIFS('Conciliacion de compuestos'!$D$2:$D$71,"conciliado",'Conciliacion de compuestos'!$E$2:$E$71,"OK",'Conciliacion de compuestos'!$L$2:$L$71,A171))&gt;0,"conciliado en compuesto confirmado","disponible")</f>
        <v/>
      </c>
    </row>
    <row r="172">
      <c r="A172" s="11" t="n">
        <v>1230</v>
      </c>
      <c r="B172" s="12" t="n">
        <v>46084</v>
      </c>
      <c r="C172" s="11" t="inlineStr">
        <is>
          <t>doly gamboa vargas</t>
        </is>
      </c>
      <c r="D172" s="13" t="n">
        <v>110000</v>
      </c>
      <c r="E172" s="11">
        <f>IF(SUM(COUNTIFS('Conciliacion de compuestos'!$D$2:$D$71,"conciliado",'Conciliacion de compuestos'!$E$2:$E$71,"OK",'Conciliacion de compuestos'!$J$2:$J$71,A172),COUNTIFS('Conciliacion de compuestos'!$D$2:$D$71,"conciliado",'Conciliacion de compuestos'!$E$2:$E$71,"OK",'Conciliacion de compuestos'!$K$2:$K$71,A172),COUNTIFS('Conciliacion de compuestos'!$D$2:$D$71,"conciliado",'Conciliacion de compuestos'!$E$2:$E$71,"OK",'Conciliacion de compuestos'!$L$2:$L$71,A172))&gt;0,"conciliado en compuesto confirmado","disponible")</f>
        <v/>
      </c>
    </row>
    <row r="173">
      <c r="A173" s="11" t="n">
        <v>1237</v>
      </c>
      <c r="B173" s="12" t="n">
        <v>46084</v>
      </c>
      <c r="C173" s="11" t="inlineStr">
        <is>
          <t>becerra henrry jhon para</t>
        </is>
      </c>
      <c r="D173" s="13" t="n">
        <v>-1000000</v>
      </c>
      <c r="E173" s="11">
        <f>IF(SUM(COUNTIFS('Conciliacion de compuestos'!$D$2:$D$71,"conciliado",'Conciliacion de compuestos'!$E$2:$E$71,"OK",'Conciliacion de compuestos'!$J$2:$J$71,A173),COUNTIFS('Conciliacion de compuestos'!$D$2:$D$71,"conciliado",'Conciliacion de compuestos'!$E$2:$E$71,"OK",'Conciliacion de compuestos'!$K$2:$K$71,A173),COUNTIFS('Conciliacion de compuestos'!$D$2:$D$71,"conciliado",'Conciliacion de compuestos'!$E$2:$E$71,"OK",'Conciliacion de compuestos'!$L$2:$L$71,A173))&gt;0,"conciliado en compuesto confirmado","disponible")</f>
        <v/>
      </c>
    </row>
    <row r="174">
      <c r="A174" s="11" t="n">
        <v>1240</v>
      </c>
      <c r="B174" s="12" t="n">
        <v>46084</v>
      </c>
      <c r="C174" s="11" t="inlineStr">
        <is>
          <t>bancolombia desde qr recarga</t>
        </is>
      </c>
      <c r="D174" s="13" t="n">
        <v>15200</v>
      </c>
      <c r="E174" s="11">
        <f>IF(SUM(COUNTIFS('Conciliacion de compuestos'!$D$2:$D$71,"conciliado",'Conciliacion de compuestos'!$E$2:$E$71,"OK",'Conciliacion de compuestos'!$J$2:$J$71,A174),COUNTIFS('Conciliacion de compuestos'!$D$2:$D$71,"conciliado",'Conciliacion de compuestos'!$E$2:$E$71,"OK",'Conciliacion de compuestos'!$K$2:$K$71,A174),COUNTIFS('Conciliacion de compuestos'!$D$2:$D$71,"conciliado",'Conciliacion de compuestos'!$E$2:$E$71,"OK",'Conciliacion de compuestos'!$L$2:$L$71,A174))&gt;0,"conciliado en compuesto confirmado","disponible")</f>
        <v/>
      </c>
    </row>
    <row r="175">
      <c r="A175" s="11" t="n">
        <v>1266</v>
      </c>
      <c r="B175" s="12" t="n">
        <v>46083</v>
      </c>
      <c r="C175" s="11" t="inlineStr">
        <is>
          <t>bancolombia desde qr recarga</t>
        </is>
      </c>
      <c r="D175" s="13" t="n">
        <v>3500</v>
      </c>
      <c r="E175" s="11">
        <f>IF(SUM(COUNTIFS('Conciliacion de compuestos'!$D$2:$D$71,"conciliado",'Conciliacion de compuestos'!$E$2:$E$71,"OK",'Conciliacion de compuestos'!$J$2:$J$71,A175),COUNTIFS('Conciliacion de compuestos'!$D$2:$D$71,"conciliado",'Conciliacion de compuestos'!$E$2:$E$71,"OK",'Conciliacion de compuestos'!$K$2:$K$71,A175),COUNTIFS('Conciliacion de compuestos'!$D$2:$D$71,"conciliado",'Conciliacion de compuestos'!$E$2:$E$71,"OK",'Conciliacion de compuestos'!$L$2:$L$71,A175))&gt;0,"conciliado en compuesto confirmado","disponible")</f>
        <v/>
      </c>
    </row>
    <row r="176">
      <c r="A176" s="11" t="n">
        <v>1268</v>
      </c>
      <c r="B176" s="12" t="n">
        <v>46083</v>
      </c>
      <c r="C176" s="11" t="inlineStr">
        <is>
          <t>bancolombia desde qr recarga</t>
        </is>
      </c>
      <c r="D176" s="13" t="n">
        <v>46500</v>
      </c>
      <c r="E176" s="11">
        <f>IF(SUM(COUNTIFS('Conciliacion de compuestos'!$D$2:$D$71,"conciliado",'Conciliacion de compuestos'!$E$2:$E$71,"OK",'Conciliacion de compuestos'!$J$2:$J$71,A176),COUNTIFS('Conciliacion de compuestos'!$D$2:$D$71,"conciliado",'Conciliacion de compuestos'!$E$2:$E$71,"OK",'Conciliacion de compuestos'!$K$2:$K$71,A176),COUNTIFS('Conciliacion de compuestos'!$D$2:$D$71,"conciliado",'Conciliacion de compuestos'!$E$2:$E$71,"OK",'Conciliacion de compuestos'!$L$2:$L$71,A176))&gt;0,"conciliado en compuesto confirmado","disponible")</f>
        <v/>
      </c>
    </row>
    <row r="177">
      <c r="A177" s="11" t="n">
        <v>1282</v>
      </c>
      <c r="B177" s="12" t="n">
        <v>46083</v>
      </c>
      <c r="C177" s="11" t="inlineStr">
        <is>
          <t>b bre</t>
        </is>
      </c>
      <c r="D177" s="13" t="n">
        <v>12900</v>
      </c>
      <c r="E177" s="11">
        <f>IF(SUM(COUNTIFS('Conciliacion de compuestos'!$D$2:$D$71,"conciliado",'Conciliacion de compuestos'!$E$2:$E$71,"OK",'Conciliacion de compuestos'!$J$2:$J$71,A177),COUNTIFS('Conciliacion de compuestos'!$D$2:$D$71,"conciliado",'Conciliacion de compuestos'!$E$2:$E$71,"OK",'Conciliacion de compuestos'!$K$2:$K$71,A177),COUNTIFS('Conciliacion de compuestos'!$D$2:$D$71,"conciliado",'Conciliacion de compuestos'!$E$2:$E$71,"OK",'Conciliacion de compuestos'!$L$2:$L$71,A177))&gt;0,"conciliado en compuesto confirmado","disponible")</f>
        <v/>
      </c>
    </row>
    <row r="178">
      <c r="A178" s="11" t="n">
        <v>1283</v>
      </c>
      <c r="B178" s="12" t="n">
        <v>46083</v>
      </c>
      <c r="C178" s="11" t="inlineStr">
        <is>
          <t>b bre</t>
        </is>
      </c>
      <c r="D178" s="13" t="n">
        <v>38100</v>
      </c>
      <c r="E178" s="11">
        <f>IF(SUM(COUNTIFS('Conciliacion de compuestos'!$D$2:$D$71,"conciliado",'Conciliacion de compuestos'!$E$2:$E$71,"OK",'Conciliacion de compuestos'!$J$2:$J$71,A178),COUNTIFS('Conciliacion de compuestos'!$D$2:$D$71,"conciliado",'Conciliacion de compuestos'!$E$2:$E$71,"OK",'Conciliacion de compuestos'!$K$2:$K$71,A178),COUNTIFS('Conciliacion de compuestos'!$D$2:$D$71,"conciliado",'Conciliacion de compuestos'!$E$2:$E$71,"OK",'Conciliacion de compuestos'!$L$2:$L$71,A178))&gt;0,"conciliado en compuesto confirmado","disponible")</f>
        <v/>
      </c>
    </row>
    <row r="179">
      <c r="A179" s="11" t="n">
        <v>1294</v>
      </c>
      <c r="B179" s="12" t="n">
        <v>46083</v>
      </c>
      <c r="C179" s="11" t="inlineStr">
        <is>
          <t>adalberto james</t>
        </is>
      </c>
      <c r="D179" s="13" t="n">
        <v>10000</v>
      </c>
      <c r="E179" s="11">
        <f>IF(SUM(COUNTIFS('Conciliacion de compuestos'!$D$2:$D$71,"conciliado",'Conciliacion de compuestos'!$E$2:$E$71,"OK",'Conciliacion de compuestos'!$J$2:$J$71,A179),COUNTIFS('Conciliacion de compuestos'!$D$2:$D$71,"conciliado",'Conciliacion de compuestos'!$E$2:$E$71,"OK",'Conciliacion de compuestos'!$K$2:$K$71,A179),COUNTIFS('Conciliacion de compuestos'!$D$2:$D$71,"conciliado",'Conciliacion de compuestos'!$E$2:$E$71,"OK",'Conciliacion de compuestos'!$L$2:$L$71,A179))&gt;0,"conciliado en compuesto confirmado","disponible")</f>
        <v/>
      </c>
    </row>
    <row r="180">
      <c r="A180" s="11" t="n">
        <v>1295</v>
      </c>
      <c r="B180" s="12" t="n">
        <v>46083</v>
      </c>
      <c r="C180" s="11" t="inlineStr">
        <is>
          <t>bancolombia desde qr recarga</t>
        </is>
      </c>
      <c r="D180" s="13" t="n">
        <v>6000</v>
      </c>
      <c r="E180" s="11">
        <f>IF(SUM(COUNTIFS('Conciliacion de compuestos'!$D$2:$D$71,"conciliado",'Conciliacion de compuestos'!$E$2:$E$71,"OK",'Conciliacion de compuestos'!$J$2:$J$71,A180),COUNTIFS('Conciliacion de compuestos'!$D$2:$D$71,"conciliado",'Conciliacion de compuestos'!$E$2:$E$71,"OK",'Conciliacion de compuestos'!$K$2:$K$71,A180),COUNTIFS('Conciliacion de compuestos'!$D$2:$D$71,"conciliado",'Conciliacion de compuestos'!$E$2:$E$71,"OK",'Conciliacion de compuestos'!$L$2:$L$71,A180))&gt;0,"conciliado en compuesto confirmado","disponible")</f>
        <v/>
      </c>
    </row>
    <row r="181">
      <c r="A181" s="11" t="n">
        <v>1298</v>
      </c>
      <c r="B181" s="12" t="n">
        <v>46083</v>
      </c>
      <c r="C181" s="11" t="inlineStr">
        <is>
          <t>daniel muriel nicolas</t>
        </is>
      </c>
      <c r="D181" s="13" t="n">
        <v>9100</v>
      </c>
      <c r="E181" s="11">
        <f>IF(SUM(COUNTIFS('Conciliacion de compuestos'!$D$2:$D$71,"conciliado",'Conciliacion de compuestos'!$E$2:$E$71,"OK",'Conciliacion de compuestos'!$J$2:$J$71,A181),COUNTIFS('Conciliacion de compuestos'!$D$2:$D$71,"conciliado",'Conciliacion de compuestos'!$E$2:$E$71,"OK",'Conciliacion de compuestos'!$K$2:$K$71,A181),COUNTIFS('Conciliacion de compuestos'!$D$2:$D$71,"conciliado",'Conciliacion de compuestos'!$E$2:$E$71,"OK",'Conciliacion de compuestos'!$L$2:$L$71,A181))&gt;0,"conciliado en compuesto confirmado","disponible")</f>
        <v/>
      </c>
    </row>
    <row r="182">
      <c r="A182" s="11" t="n">
        <v>1300</v>
      </c>
      <c r="B182" s="12" t="n">
        <v>46083</v>
      </c>
      <c r="C182" s="11" t="inlineStr">
        <is>
          <t>emir rosero yaqueline</t>
        </is>
      </c>
      <c r="D182" s="13" t="n">
        <v>7400</v>
      </c>
      <c r="E182" s="11">
        <f>IF(SUM(COUNTIFS('Conciliacion de compuestos'!$D$2:$D$71,"conciliado",'Conciliacion de compuestos'!$E$2:$E$71,"OK",'Conciliacion de compuestos'!$J$2:$J$71,A182),COUNTIFS('Conciliacion de compuestos'!$D$2:$D$71,"conciliado",'Conciliacion de compuestos'!$E$2:$E$71,"OK",'Conciliacion de compuestos'!$K$2:$K$71,A182),COUNTIFS('Conciliacion de compuestos'!$D$2:$D$71,"conciliado",'Conciliacion de compuestos'!$E$2:$E$71,"OK",'Conciliacion de compuestos'!$L$2:$L$71,A182))&gt;0,"conciliado en compuesto confirmado","disponible")</f>
        <v/>
      </c>
    </row>
    <row r="183">
      <c r="A183" s="11" t="n">
        <v>1301</v>
      </c>
      <c r="B183" s="12" t="n">
        <v>46083</v>
      </c>
      <c r="C183" s="11" t="inlineStr">
        <is>
          <t>andres bravo edwar</t>
        </is>
      </c>
      <c r="D183" s="13" t="n">
        <v>15000</v>
      </c>
      <c r="E183" s="11">
        <f>IF(SUM(COUNTIFS('Conciliacion de compuestos'!$D$2:$D$71,"conciliado",'Conciliacion de compuestos'!$E$2:$E$71,"OK",'Conciliacion de compuestos'!$J$2:$J$71,A183),COUNTIFS('Conciliacion de compuestos'!$D$2:$D$71,"conciliado",'Conciliacion de compuestos'!$E$2:$E$71,"OK",'Conciliacion de compuestos'!$K$2:$K$71,A183),COUNTIFS('Conciliacion de compuestos'!$D$2:$D$71,"conciliado",'Conciliacion de compuestos'!$E$2:$E$71,"OK",'Conciliacion de compuestos'!$L$2:$L$71,A183))&gt;0,"conciliado en compuesto confirmado","disponible")</f>
        <v/>
      </c>
    </row>
    <row r="184">
      <c r="A184" s="11" t="n">
        <v>1302</v>
      </c>
      <c r="B184" s="12" t="n">
        <v>46083</v>
      </c>
      <c r="C184" s="11" t="inlineStr">
        <is>
          <t>emir rosero yaqueline</t>
        </is>
      </c>
      <c r="D184" s="13" t="n">
        <v>11600</v>
      </c>
      <c r="E184" s="11">
        <f>IF(SUM(COUNTIFS('Conciliacion de compuestos'!$D$2:$D$71,"conciliado",'Conciliacion de compuestos'!$E$2:$E$71,"OK",'Conciliacion de compuestos'!$J$2:$J$71,A184),COUNTIFS('Conciliacion de compuestos'!$D$2:$D$71,"conciliado",'Conciliacion de compuestos'!$E$2:$E$71,"OK",'Conciliacion de compuestos'!$K$2:$K$71,A184),COUNTIFS('Conciliacion de compuestos'!$D$2:$D$71,"conciliado",'Conciliacion de compuestos'!$E$2:$E$71,"OK",'Conciliacion de compuestos'!$L$2:$L$71,A184))&gt;0,"conciliado en compuesto confirmado","disponible")</f>
        <v/>
      </c>
    </row>
    <row r="185">
      <c r="A185" s="11" t="n">
        <v>1303</v>
      </c>
      <c r="B185" s="12" t="n">
        <v>46083</v>
      </c>
      <c r="C185" s="11" t="inlineStr">
        <is>
          <t>daniel muriel nicolas</t>
        </is>
      </c>
      <c r="D185" s="13" t="n">
        <v>5500</v>
      </c>
      <c r="E185" s="11">
        <f>IF(SUM(COUNTIFS('Conciliacion de compuestos'!$D$2:$D$71,"conciliado",'Conciliacion de compuestos'!$E$2:$E$71,"OK",'Conciliacion de compuestos'!$J$2:$J$71,A185),COUNTIFS('Conciliacion de compuestos'!$D$2:$D$71,"conciliado",'Conciliacion de compuestos'!$E$2:$E$71,"OK",'Conciliacion de compuestos'!$K$2:$K$71,A185),COUNTIFS('Conciliacion de compuestos'!$D$2:$D$71,"conciliado",'Conciliacion de compuestos'!$E$2:$E$71,"OK",'Conciliacion de compuestos'!$L$2:$L$71,A185))&gt;0,"conciliado en compuesto confirmado","disponible")</f>
        <v/>
      </c>
    </row>
    <row r="186">
      <c r="A186" s="11" t="n">
        <v>1344</v>
      </c>
      <c r="B186" s="12" t="n">
        <v>46082</v>
      </c>
      <c r="C186" s="11" t="inlineStr">
        <is>
          <t>delgado freiman rene</t>
        </is>
      </c>
      <c r="D186" s="13" t="n">
        <v>100000</v>
      </c>
      <c r="E186" s="11">
        <f>IF(SUM(COUNTIFS('Conciliacion de compuestos'!$D$2:$D$71,"conciliado",'Conciliacion de compuestos'!$E$2:$E$71,"OK",'Conciliacion de compuestos'!$J$2:$J$71,A186),COUNTIFS('Conciliacion de compuestos'!$D$2:$D$71,"conciliado",'Conciliacion de compuestos'!$E$2:$E$71,"OK",'Conciliacion de compuestos'!$K$2:$K$71,A186),COUNTIFS('Conciliacion de compuestos'!$D$2:$D$71,"conciliado",'Conciliacion de compuestos'!$E$2:$E$71,"OK",'Conciliacion de compuestos'!$L$2:$L$71,A186))&gt;0,"conciliado en compuesto confirmado","disponible")</f>
        <v/>
      </c>
    </row>
    <row r="187">
      <c r="A187" s="11" t="n">
        <v>1356</v>
      </c>
      <c r="B187" s="12" t="n">
        <v>46082</v>
      </c>
      <c r="C187" s="11" t="inlineStr">
        <is>
          <t>compra en google</t>
        </is>
      </c>
      <c r="D187" s="13" t="n">
        <v>-129634</v>
      </c>
      <c r="E187" s="11">
        <f>IF(SUM(COUNTIFS('Conciliacion de compuestos'!$D$2:$D$71,"conciliado",'Conciliacion de compuestos'!$E$2:$E$71,"OK",'Conciliacion de compuestos'!$J$2:$J$71,A187),COUNTIFS('Conciliacion de compuestos'!$D$2:$D$71,"conciliado",'Conciliacion de compuestos'!$E$2:$E$71,"OK",'Conciliacion de compuestos'!$K$2:$K$71,A187),COUNTIFS('Conciliacion de compuestos'!$D$2:$D$71,"conciliado",'Conciliacion de compuestos'!$E$2:$E$71,"OK",'Conciliacion de compuestos'!$L$2:$L$71,A187))&gt;0,"conciliado en compuesto confirmado","disponible")</f>
        <v/>
      </c>
    </row>
  </sheetData>
  <autoFilter ref="A2:E187"/>
  <mergeCells count="1">
    <mergeCell ref="A1:E1"/>
  </mergeCells>
  <conditionalFormatting sqref="A3:E187">
    <cfRule type="expression" priority="1" dxfId="1">
      <formula>$E3="disponible"</formula>
    </cfRule>
    <cfRule type="expression" priority="2" dxfId="0">
      <formula>OR($E3="conciliado manualmente",$E3="conciliado en compuesto confirmado")</formula>
    </cfRule>
  </conditionalFormatting>
  <dataValidations count="1">
    <dataValidation sqref="E3:E187" showDropDown="0" showInputMessage="0" showErrorMessage="0" allowBlank="1" errorTitle="Estado inválido" error="Seleccioná un estado válido." promptTitle="Estado banco" prompt="Usá conciliado manualmente cuando cierres el registro." type="list">
      <formula1>"disponible,conciliado manualmente,conciliado en compuesto confirmado"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3" customWidth="1" min="3" max="3"/>
    <col width="55" customWidth="1" min="4" max="4"/>
  </cols>
  <sheetData>
    <row r="1">
      <c r="A1" s="8" t="inlineStr">
        <is>
          <t>Concepto</t>
        </is>
      </c>
      <c r="B1" s="8" t="inlineStr">
        <is>
          <t>Cantidad movimientos</t>
        </is>
      </c>
      <c r="C1" s="8" t="inlineStr">
        <is>
          <t>Valor total</t>
        </is>
      </c>
      <c r="D1" s="8" t="inlineStr">
        <is>
          <t>Descripcion</t>
        </is>
      </c>
    </row>
    <row r="2">
      <c r="A2" s="11" t="inlineStr">
        <is>
          <t>al gravamen movimiento</t>
        </is>
      </c>
      <c r="B2" s="11" t="n">
        <v>29</v>
      </c>
      <c r="C2" s="13" t="n">
        <v>-167646.22</v>
      </c>
      <c r="D2" s="11" t="inlineStr">
        <is>
          <t>Concepto bancario informativo. No se concilia contra libro auxiliar.</t>
        </is>
      </c>
    </row>
    <row r="3">
      <c r="A3" s="11" t="inlineStr">
        <is>
          <t>de intereses pago</t>
        </is>
      </c>
      <c r="B3" s="11" t="n">
        <v>1</v>
      </c>
      <c r="C3" s="13" t="n">
        <v>229.52</v>
      </c>
      <c r="D3" s="11" t="inlineStr">
        <is>
          <t>Concepto bancario informativo. No se concilia contra libro auxiliar.</t>
        </is>
      </c>
    </row>
  </sheetData>
  <autoFilter ref="A1:D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2" customWidth="1" min="5" max="5"/>
  </cols>
  <sheetData>
    <row r="1">
      <c r="A1" s="8" t="inlineStr">
        <is>
          <t>id</t>
        </is>
      </c>
      <c r="B1" s="8" t="inlineStr">
        <is>
          <t>Fecha del movimiento</t>
        </is>
      </c>
      <c r="C1" s="8" t="inlineStr">
        <is>
          <t>Descripción</t>
        </is>
      </c>
      <c r="D1" s="8" t="inlineStr">
        <is>
          <t>Valor</t>
        </is>
      </c>
      <c r="E1" s="8" t="inlineStr">
        <is>
          <t>Saldo</t>
        </is>
      </c>
    </row>
    <row r="2">
      <c r="A2" s="11" t="n">
        <v>1</v>
      </c>
      <c r="B2" s="12" t="n">
        <v>46112</v>
      </c>
      <c r="C2" s="11" t="inlineStr">
        <is>
          <t>De JOSE DOMINGO CERON</t>
        </is>
      </c>
      <c r="D2" s="13" t="n">
        <v>4400</v>
      </c>
      <c r="E2" s="11" t="n">
        <v>2200045.39</v>
      </c>
    </row>
    <row r="3">
      <c r="A3" s="11" t="n">
        <v>2</v>
      </c>
      <c r="B3" s="12" t="n">
        <v>46112</v>
      </c>
      <c r="C3" s="11" t="inlineStr">
        <is>
          <t>De EDWIN ANDRES MARIN</t>
        </is>
      </c>
      <c r="D3" s="13" t="n">
        <v>8600</v>
      </c>
      <c r="E3" s="11" t="n">
        <v>2195645.39</v>
      </c>
    </row>
    <row r="4">
      <c r="A4" s="11" t="n">
        <v>3</v>
      </c>
      <c r="B4" s="12" t="n">
        <v>46112</v>
      </c>
      <c r="C4" s="11" t="inlineStr">
        <is>
          <t>De JUAN SEBASTIAN CARDENAS</t>
        </is>
      </c>
      <c r="D4" s="13" t="n">
        <v>20100</v>
      </c>
      <c r="E4" s="11" t="n">
        <v>2187045.39</v>
      </c>
    </row>
    <row r="5">
      <c r="A5" s="11" t="n">
        <v>4</v>
      </c>
      <c r="B5" s="12" t="n">
        <v>46112</v>
      </c>
      <c r="C5" s="11" t="inlineStr">
        <is>
          <t>De JHON JAIRO SANTOS</t>
        </is>
      </c>
      <c r="D5" s="13" t="n">
        <v>40000</v>
      </c>
      <c r="E5" s="11" t="n">
        <v>2166945.39</v>
      </c>
    </row>
    <row r="6">
      <c r="A6" s="11" t="n">
        <v>5</v>
      </c>
      <c r="B6" s="12" t="n">
        <v>46112</v>
      </c>
      <c r="C6" s="11" t="inlineStr">
        <is>
          <t>De NILSA RUTH PALADINES</t>
        </is>
      </c>
      <c r="D6" s="13" t="n">
        <v>57000</v>
      </c>
      <c r="E6" s="11" t="n">
        <v>2126945.39</v>
      </c>
    </row>
    <row r="7">
      <c r="A7" s="11" t="n">
        <v>6</v>
      </c>
      <c r="B7" s="12" t="n">
        <v>46112</v>
      </c>
      <c r="C7" s="11" t="inlineStr">
        <is>
          <t>De LUZ ADRIANA HIPIA RIASCOS</t>
        </is>
      </c>
      <c r="D7" s="13" t="n">
        <v>20400</v>
      </c>
      <c r="E7" s="11" t="n">
        <v>2069945.39</v>
      </c>
    </row>
    <row r="8">
      <c r="A8" s="11" t="n">
        <v>7</v>
      </c>
      <c r="B8" s="12" t="n">
        <v>46112</v>
      </c>
      <c r="C8" s="11" t="inlineStr">
        <is>
          <t>De LUIS FERNANDO CHAVEZ</t>
        </is>
      </c>
      <c r="D8" s="13" t="n">
        <v>38000</v>
      </c>
      <c r="E8" s="11" t="n">
        <v>2049545.39</v>
      </c>
    </row>
    <row r="9">
      <c r="A9" s="11" t="n">
        <v>8</v>
      </c>
      <c r="B9" s="12" t="n">
        <v>46112</v>
      </c>
      <c r="C9" s="11" t="inlineStr">
        <is>
          <t>De CLAUDIA PATRICIA MEZA</t>
        </is>
      </c>
      <c r="D9" s="13" t="n">
        <v>26600</v>
      </c>
      <c r="E9" s="11" t="n">
        <v>2011545.39</v>
      </c>
    </row>
    <row r="10">
      <c r="A10" s="11" t="n">
        <v>9</v>
      </c>
      <c r="B10" s="12" t="n">
        <v>46112</v>
      </c>
      <c r="C10" s="11" t="inlineStr">
        <is>
          <t>De DANIELA FERNANDA AVILA</t>
        </is>
      </c>
      <c r="D10" s="13" t="n">
        <v>11600</v>
      </c>
      <c r="E10" s="11" t="n">
        <v>1984945.39</v>
      </c>
    </row>
    <row r="11">
      <c r="A11" s="11" t="n">
        <v>10</v>
      </c>
      <c r="B11" s="12" t="n">
        <v>46112</v>
      </c>
      <c r="C11" s="11" t="inlineStr">
        <is>
          <t>De CAROLINE SALDANA PINTO</t>
        </is>
      </c>
      <c r="D11" s="13" t="n">
        <v>4700</v>
      </c>
      <c r="E11" s="11" t="n">
        <v>1973345.39</v>
      </c>
    </row>
    <row r="12">
      <c r="A12" s="11" t="n">
        <v>11</v>
      </c>
      <c r="B12" s="12" t="n">
        <v>46112</v>
      </c>
      <c r="C12" s="11" t="inlineStr">
        <is>
          <t>De JHON JAIRO SANTOS</t>
        </is>
      </c>
      <c r="D12" s="13" t="n">
        <v>40000</v>
      </c>
      <c r="E12" s="11" t="n">
        <v>1968645.39</v>
      </c>
    </row>
    <row r="13">
      <c r="A13" s="11" t="n">
        <v>12</v>
      </c>
      <c r="B13" s="12" t="n">
        <v>46112</v>
      </c>
      <c r="C13" s="11" t="inlineStr">
        <is>
          <t>De OLGA EDILMA LOPEZ</t>
        </is>
      </c>
      <c r="D13" s="13" t="n">
        <v>300000</v>
      </c>
      <c r="E13" s="11" t="n">
        <v>1928645.39</v>
      </c>
    </row>
    <row r="14">
      <c r="A14" s="11" t="n">
        <v>13</v>
      </c>
      <c r="B14" s="12" t="n">
        <v>46112</v>
      </c>
      <c r="C14" s="11" t="inlineStr">
        <is>
          <t>De ANDRY MAYERLY LOPEZ</t>
        </is>
      </c>
      <c r="D14" s="13" t="n">
        <v>500000</v>
      </c>
      <c r="E14" s="11" t="n">
        <v>1628645.39</v>
      </c>
    </row>
    <row r="15">
      <c r="A15" s="11" t="n">
        <v>14</v>
      </c>
      <c r="B15" s="12" t="n">
        <v>46112</v>
      </c>
      <c r="C15" s="11" t="inlineStr">
        <is>
          <t>De DIANA KATERINE CORDERO</t>
        </is>
      </c>
      <c r="D15" s="13" t="n">
        <v>23700</v>
      </c>
      <c r="E15" s="11" t="n">
        <v>1128645.39</v>
      </c>
    </row>
    <row r="16">
      <c r="A16" s="11" t="n">
        <v>15</v>
      </c>
      <c r="B16" s="12" t="n">
        <v>46112</v>
      </c>
      <c r="C16" s="11" t="inlineStr">
        <is>
          <t>De KELLY SAMANTA GUERRERO</t>
        </is>
      </c>
      <c r="D16" s="13" t="n">
        <v>11600</v>
      </c>
      <c r="E16" s="11" t="n">
        <v>1104945.39</v>
      </c>
    </row>
    <row r="17">
      <c r="A17" s="11" t="n">
        <v>16</v>
      </c>
      <c r="B17" s="12" t="n">
        <v>46112</v>
      </c>
      <c r="C17" s="11" t="inlineStr">
        <is>
          <t>De KAREN TATIANA RODRIGUEZ</t>
        </is>
      </c>
      <c r="D17" s="13" t="n">
        <v>4600</v>
      </c>
      <c r="E17" s="11" t="n">
        <v>1093345.39</v>
      </c>
    </row>
    <row r="18">
      <c r="A18" s="11" t="n">
        <v>17</v>
      </c>
      <c r="B18" s="12" t="n">
        <v>46112</v>
      </c>
      <c r="C18" s="11" t="inlineStr">
        <is>
          <t>De RODRIGO ORLANDO</t>
        </is>
      </c>
      <c r="D18" s="13" t="n">
        <v>29500</v>
      </c>
      <c r="E18" s="11" t="n">
        <v>1088745.39</v>
      </c>
    </row>
    <row r="19">
      <c r="A19" s="11" t="n">
        <v>18</v>
      </c>
      <c r="B19" s="12" t="n">
        <v>46112</v>
      </c>
      <c r="C19" s="11" t="inlineStr">
        <is>
          <t>De SEGUNDO RICARDO</t>
        </is>
      </c>
      <c r="D19" s="13" t="n">
        <v>14000</v>
      </c>
      <c r="E19" s="11" t="n">
        <v>1059245.39</v>
      </c>
    </row>
    <row r="20">
      <c r="A20" s="11" t="n">
        <v>19</v>
      </c>
      <c r="B20" s="12" t="n">
        <v>46112</v>
      </c>
      <c r="C20" s="11" t="inlineStr">
        <is>
          <t>De YENNY YOHANA ROJAS</t>
        </is>
      </c>
      <c r="D20" s="13" t="n">
        <v>12300</v>
      </c>
      <c r="E20" s="11" t="n">
        <v>1045245.39</v>
      </c>
    </row>
    <row r="21">
      <c r="A21" s="11" t="n">
        <v>20</v>
      </c>
      <c r="B21" s="12" t="n">
        <v>46112</v>
      </c>
      <c r="C21" s="11" t="inlineStr">
        <is>
          <t>De MARTHA LILIANA MARTINEZ</t>
        </is>
      </c>
      <c r="D21" s="13" t="n">
        <v>5900</v>
      </c>
      <c r="E21" s="11" t="n">
        <v>1032945.39</v>
      </c>
    </row>
    <row r="22">
      <c r="A22" s="11" t="n">
        <v>21</v>
      </c>
      <c r="B22" s="12" t="n">
        <v>46112</v>
      </c>
      <c r="C22" s="11" t="inlineStr">
        <is>
          <t>De HOVER ALBERTO PEREZ</t>
        </is>
      </c>
      <c r="D22" s="13" t="n">
        <v>23500</v>
      </c>
      <c r="E22" s="11" t="n">
        <v>1027045.39</v>
      </c>
    </row>
    <row r="23">
      <c r="A23" s="11" t="n">
        <v>22</v>
      </c>
      <c r="B23" s="12" t="n">
        <v>46112</v>
      </c>
      <c r="C23" s="11" t="inlineStr">
        <is>
          <t>De JANIER EDUARDO TAICUS</t>
        </is>
      </c>
      <c r="D23" s="13" t="n">
        <v>4000</v>
      </c>
      <c r="E23" s="11" t="n">
        <v>1003545.39</v>
      </c>
    </row>
    <row r="24">
      <c r="A24" s="11" t="n">
        <v>23</v>
      </c>
      <c r="B24" s="12" t="n">
        <v>46112</v>
      </c>
      <c r="C24" s="11" t="inlineStr">
        <is>
          <t>De SEGUNDO RICARDO</t>
        </is>
      </c>
      <c r="D24" s="13" t="n">
        <v>8200</v>
      </c>
      <c r="E24" s="11" t="n">
        <v>999545.39</v>
      </c>
    </row>
    <row r="25">
      <c r="A25" s="11" t="n">
        <v>24</v>
      </c>
      <c r="B25" s="12" t="n">
        <v>46112</v>
      </c>
      <c r="C25" s="11" t="inlineStr">
        <is>
          <t>De JUAN DAVID GUERRERO</t>
        </is>
      </c>
      <c r="D25" s="13" t="n">
        <v>35300</v>
      </c>
      <c r="E25" s="11" t="n">
        <v>991345.39</v>
      </c>
    </row>
    <row r="26">
      <c r="A26" s="11" t="n">
        <v>25</v>
      </c>
      <c r="B26" s="12" t="n">
        <v>46112</v>
      </c>
      <c r="C26" s="11" t="inlineStr">
        <is>
          <t>De ANA BENAVIDES RODRIGUEZ</t>
        </is>
      </c>
      <c r="D26" s="13" t="n">
        <v>18500</v>
      </c>
      <c r="E26" s="11" t="n">
        <v>956045.39</v>
      </c>
    </row>
    <row r="27">
      <c r="A27" s="11" t="n">
        <v>26</v>
      </c>
      <c r="B27" s="12" t="n">
        <v>46112</v>
      </c>
      <c r="C27" s="11" t="inlineStr">
        <is>
          <t>De NATALY ALEXANDRA MILLAN</t>
        </is>
      </c>
      <c r="D27" s="13" t="n">
        <v>11200</v>
      </c>
      <c r="E27" s="11" t="n">
        <v>937545.39</v>
      </c>
    </row>
    <row r="28">
      <c r="A28" s="11" t="n">
        <v>27</v>
      </c>
      <c r="B28" s="12" t="n">
        <v>46112</v>
      </c>
      <c r="C28" s="11" t="inlineStr">
        <is>
          <t>De MONICA LEINETH BURBANO</t>
        </is>
      </c>
      <c r="D28" s="13" t="n">
        <v>47500</v>
      </c>
      <c r="E28" s="11" t="n">
        <v>926345.39</v>
      </c>
    </row>
    <row r="29">
      <c r="A29" s="11" t="n">
        <v>28</v>
      </c>
      <c r="B29" s="12" t="n">
        <v>46112</v>
      </c>
      <c r="C29" s="11" t="inlineStr">
        <is>
          <t>De JOHAN ALDANA RENTERIA</t>
        </is>
      </c>
      <c r="D29" s="13" t="n">
        <v>2200</v>
      </c>
      <c r="E29" s="11" t="n">
        <v>878845.39</v>
      </c>
    </row>
    <row r="30">
      <c r="A30" s="11" t="n">
        <v>29</v>
      </c>
      <c r="B30" s="12" t="n">
        <v>46112</v>
      </c>
      <c r="C30" s="11" t="inlineStr">
        <is>
          <t>De EDWAR ANDRES BRAVO</t>
        </is>
      </c>
      <c r="D30" s="13" t="n">
        <v>1500</v>
      </c>
      <c r="E30" s="11" t="n">
        <v>876645.39</v>
      </c>
    </row>
    <row r="31">
      <c r="A31" s="11" t="n">
        <v>30</v>
      </c>
      <c r="B31" s="12" t="n">
        <v>46112</v>
      </c>
      <c r="C31" s="11" t="inlineStr">
        <is>
          <t>PLASTICAUCHO COLOMBIA SA</t>
        </is>
      </c>
      <c r="D31" s="13" t="n">
        <v>-1393007</v>
      </c>
      <c r="E31" s="11" t="n">
        <v>875145.39</v>
      </c>
    </row>
    <row r="32">
      <c r="A32" s="11" t="n">
        <v>31</v>
      </c>
      <c r="B32" s="12" t="n">
        <v>46112</v>
      </c>
      <c r="C32" s="11" t="inlineStr">
        <is>
          <t>Gravamen al Movimiento</t>
        </is>
      </c>
      <c r="D32" s="13" t="n">
        <v>-5572.03</v>
      </c>
      <c r="E32" s="11" t="n">
        <v>2268152.39</v>
      </c>
    </row>
    <row r="33">
      <c r="A33" s="11" t="n">
        <v>32</v>
      </c>
      <c r="B33" s="12" t="n">
        <v>46112</v>
      </c>
      <c r="C33" s="11" t="inlineStr">
        <is>
          <t>RECIBI POR BRE-B DE: CLAUDIA</t>
        </is>
      </c>
      <c r="D33" s="13" t="n">
        <v>157600</v>
      </c>
      <c r="E33" s="11" t="n">
        <v>2273724.42</v>
      </c>
    </row>
    <row r="34">
      <c r="A34" s="11" t="n">
        <v>33</v>
      </c>
      <c r="B34" s="12" t="n">
        <v>46112</v>
      </c>
      <c r="C34" s="11" t="inlineStr">
        <is>
          <t>De NIVIA CUBILLOS ORDONES</t>
        </is>
      </c>
      <c r="D34" s="13" t="n">
        <v>11300</v>
      </c>
      <c r="E34" s="11" t="n">
        <v>2116124.42</v>
      </c>
    </row>
    <row r="35">
      <c r="A35" s="11" t="n">
        <v>34</v>
      </c>
      <c r="B35" s="12" t="n">
        <v>46111</v>
      </c>
      <c r="C35" s="11" t="inlineStr">
        <is>
          <t>De ISMENIA CAHUASA ANGULO</t>
        </is>
      </c>
      <c r="D35" s="13" t="n">
        <v>31700</v>
      </c>
      <c r="E35" s="11" t="n">
        <v>2104824.42</v>
      </c>
    </row>
    <row r="36">
      <c r="A36" s="11" t="n">
        <v>35</v>
      </c>
      <c r="B36" s="12" t="n">
        <v>46111</v>
      </c>
      <c r="C36" s="11" t="inlineStr">
        <is>
          <t>De MARWIN DUVANY ERAZO</t>
        </is>
      </c>
      <c r="D36" s="13" t="n">
        <v>8800</v>
      </c>
      <c r="E36" s="11" t="n">
        <v>2073124.42</v>
      </c>
    </row>
    <row r="37">
      <c r="A37" s="11" t="n">
        <v>36</v>
      </c>
      <c r="B37" s="12" t="n">
        <v>46111</v>
      </c>
      <c r="C37" s="11" t="inlineStr">
        <is>
          <t>RECIBI POR BRE-B DE: ELKIN</t>
        </is>
      </c>
      <c r="D37" s="13" t="n">
        <v>21100</v>
      </c>
      <c r="E37" s="11" t="n">
        <v>2064324.42</v>
      </c>
    </row>
    <row r="38">
      <c r="A38" s="11" t="n">
        <v>37</v>
      </c>
      <c r="B38" s="12" t="n">
        <v>46111</v>
      </c>
      <c r="C38" s="11" t="inlineStr">
        <is>
          <t>RECIBI POR BRE-B DE: JUDY</t>
        </is>
      </c>
      <c r="D38" s="13" t="n">
        <v>60900</v>
      </c>
      <c r="E38" s="11" t="n">
        <v>2043224.42</v>
      </c>
    </row>
    <row r="39">
      <c r="A39" s="11" t="n">
        <v>38</v>
      </c>
      <c r="B39" s="12" t="n">
        <v>46111</v>
      </c>
      <c r="C39" s="11" t="inlineStr">
        <is>
          <t>De HUGO CUBILLOS</t>
        </is>
      </c>
      <c r="D39" s="13" t="n">
        <v>38300</v>
      </c>
      <c r="E39" s="11" t="n">
        <v>1982324.42</v>
      </c>
    </row>
    <row r="40">
      <c r="A40" s="11" t="n">
        <v>39</v>
      </c>
      <c r="B40" s="12" t="n">
        <v>46111</v>
      </c>
      <c r="C40" s="11" t="inlineStr">
        <is>
          <t>De LISSETH PAOLA FAJARDO</t>
        </is>
      </c>
      <c r="D40" s="13" t="n">
        <v>42400</v>
      </c>
      <c r="E40" s="11" t="n">
        <v>1944024.42</v>
      </c>
    </row>
    <row r="41">
      <c r="A41" s="11" t="n">
        <v>40</v>
      </c>
      <c r="B41" s="12" t="n">
        <v>46111</v>
      </c>
      <c r="C41" s="11" t="inlineStr">
        <is>
          <t>De GREISY GIRALDO POLANIAS</t>
        </is>
      </c>
      <c r="D41" s="13" t="n">
        <v>10000</v>
      </c>
      <c r="E41" s="11" t="n">
        <v>1901624.42</v>
      </c>
    </row>
    <row r="42">
      <c r="A42" s="11" t="n">
        <v>41</v>
      </c>
      <c r="B42" s="12" t="n">
        <v>46111</v>
      </c>
      <c r="C42" s="11" t="inlineStr">
        <is>
          <t>De DIANA KATERINE CORDERO</t>
        </is>
      </c>
      <c r="D42" s="13" t="n">
        <v>55000</v>
      </c>
      <c r="E42" s="11" t="n">
        <v>1891624.42</v>
      </c>
    </row>
    <row r="43">
      <c r="A43" s="11" t="n">
        <v>42</v>
      </c>
      <c r="B43" s="12" t="n">
        <v>46111</v>
      </c>
      <c r="C43" s="11" t="inlineStr">
        <is>
          <t>Recarga desde Bancolombia</t>
        </is>
      </c>
      <c r="D43" s="13" t="n">
        <v>55800</v>
      </c>
      <c r="E43" s="11" t="n">
        <v>1836624.42</v>
      </c>
    </row>
    <row r="44">
      <c r="A44" s="11" t="n">
        <v>43</v>
      </c>
      <c r="B44" s="12" t="n">
        <v>46111</v>
      </c>
      <c r="C44" s="11" t="inlineStr">
        <is>
          <t>De EDISON ARBEY TARAZONA</t>
        </is>
      </c>
      <c r="D44" s="13" t="n">
        <v>19000</v>
      </c>
      <c r="E44" s="11" t="n">
        <v>1780824.42</v>
      </c>
    </row>
    <row r="45">
      <c r="A45" s="11" t="n">
        <v>44</v>
      </c>
      <c r="B45" s="12" t="n">
        <v>46111</v>
      </c>
      <c r="C45" s="11" t="inlineStr">
        <is>
          <t>De LINDA KATHERINE</t>
        </is>
      </c>
      <c r="D45" s="13" t="n">
        <v>114000</v>
      </c>
      <c r="E45" s="11" t="n">
        <v>1761824.42</v>
      </c>
    </row>
    <row r="46">
      <c r="A46" s="11" t="n">
        <v>45</v>
      </c>
      <c r="B46" s="12" t="n">
        <v>46111</v>
      </c>
      <c r="C46" s="11" t="inlineStr">
        <is>
          <t>De EMELY SOFIA PANTOJA</t>
        </is>
      </c>
      <c r="D46" s="13" t="n">
        <v>19000</v>
      </c>
      <c r="E46" s="11" t="n">
        <v>1647824.42</v>
      </c>
    </row>
    <row r="47">
      <c r="A47" s="11" t="n">
        <v>46</v>
      </c>
      <c r="B47" s="12" t="n">
        <v>46111</v>
      </c>
      <c r="C47" s="11" t="inlineStr">
        <is>
          <t>De DIEGO DANIEL VARGAS</t>
        </is>
      </c>
      <c r="D47" s="13" t="n">
        <v>6400</v>
      </c>
      <c r="E47" s="11" t="n">
        <v>1628824.42</v>
      </c>
    </row>
    <row r="48">
      <c r="A48" s="11" t="n">
        <v>47</v>
      </c>
      <c r="B48" s="12" t="n">
        <v>46111</v>
      </c>
      <c r="C48" s="11" t="inlineStr">
        <is>
          <t>De SANTIAGO GOMEZ MANCO</t>
        </is>
      </c>
      <c r="D48" s="13" t="n">
        <v>5500</v>
      </c>
      <c r="E48" s="11" t="n">
        <v>1622424.42</v>
      </c>
    </row>
    <row r="49">
      <c r="A49" s="11" t="n">
        <v>48</v>
      </c>
      <c r="B49" s="12" t="n">
        <v>46111</v>
      </c>
      <c r="C49" s="11" t="inlineStr">
        <is>
          <t>RECIBI POR BRE-B DE: MARIA</t>
        </is>
      </c>
      <c r="D49" s="13" t="n">
        <v>1000</v>
      </c>
      <c r="E49" s="11" t="n">
        <v>1616924.42</v>
      </c>
    </row>
    <row r="50">
      <c r="A50" s="11" t="n">
        <v>49</v>
      </c>
      <c r="B50" s="12" t="n">
        <v>46111</v>
      </c>
      <c r="C50" s="11" t="inlineStr">
        <is>
          <t>De DANIELA FERNANDA LEIVA</t>
        </is>
      </c>
      <c r="D50" s="13" t="n">
        <v>8000</v>
      </c>
      <c r="E50" s="11" t="n">
        <v>1615924.42</v>
      </c>
    </row>
    <row r="51">
      <c r="A51" s="11" t="n">
        <v>50</v>
      </c>
      <c r="B51" s="12" t="n">
        <v>46111</v>
      </c>
      <c r="C51" s="11" t="inlineStr">
        <is>
          <t>De ALEJO TISOY JACANAMIJOY</t>
        </is>
      </c>
      <c r="D51" s="13" t="n">
        <v>37300</v>
      </c>
      <c r="E51" s="11" t="n">
        <v>1607924.42</v>
      </c>
    </row>
    <row r="52">
      <c r="A52" s="11" t="n">
        <v>51</v>
      </c>
      <c r="B52" s="12" t="n">
        <v>46111</v>
      </c>
      <c r="C52" s="11" t="inlineStr">
        <is>
          <t>De RODRIGO ORLANDO</t>
        </is>
      </c>
      <c r="D52" s="13" t="n">
        <v>96000</v>
      </c>
      <c r="E52" s="11" t="n">
        <v>1570624.42</v>
      </c>
    </row>
    <row r="53">
      <c r="A53" s="11" t="n">
        <v>52</v>
      </c>
      <c r="B53" s="12" t="n">
        <v>46111</v>
      </c>
      <c r="C53" s="11" t="inlineStr">
        <is>
          <t>De WILSON ALEXANDER</t>
        </is>
      </c>
      <c r="D53" s="13" t="n">
        <v>10000</v>
      </c>
      <c r="E53" s="11" t="n">
        <v>1474624.42</v>
      </c>
    </row>
    <row r="54">
      <c r="A54" s="11" t="n">
        <v>53</v>
      </c>
      <c r="B54" s="12" t="n">
        <v>46111</v>
      </c>
      <c r="C54" s="11" t="inlineStr">
        <is>
          <t>RECIBI POR BRE-B DE: JEINY</t>
        </is>
      </c>
      <c r="D54" s="13" t="n">
        <v>50900</v>
      </c>
      <c r="E54" s="11" t="n">
        <v>1464624.42</v>
      </c>
    </row>
    <row r="55">
      <c r="A55" s="11" t="n">
        <v>54</v>
      </c>
      <c r="B55" s="12" t="n">
        <v>46111</v>
      </c>
      <c r="C55" s="11" t="inlineStr">
        <is>
          <t>De ANDREA MARGARITA</t>
        </is>
      </c>
      <c r="D55" s="13" t="n">
        <v>40000</v>
      </c>
      <c r="E55" s="11" t="n">
        <v>1413724.42</v>
      </c>
    </row>
    <row r="56">
      <c r="A56" s="11" t="n">
        <v>55</v>
      </c>
      <c r="B56" s="12" t="n">
        <v>46111</v>
      </c>
      <c r="C56" s="11" t="inlineStr">
        <is>
          <t>De YESSICA TATIANA CUARAN</t>
        </is>
      </c>
      <c r="D56" s="13" t="n">
        <v>91400</v>
      </c>
      <c r="E56" s="11" t="n">
        <v>1373724.42</v>
      </c>
    </row>
    <row r="57">
      <c r="A57" s="11" t="n">
        <v>56</v>
      </c>
      <c r="B57" s="12" t="n">
        <v>46111</v>
      </c>
      <c r="C57" s="11" t="inlineStr">
        <is>
          <t>RECIBI POR BRE-B DE: JOHN</t>
        </is>
      </c>
      <c r="D57" s="13" t="n">
        <v>8100</v>
      </c>
      <c r="E57" s="11" t="n">
        <v>1282324.42</v>
      </c>
    </row>
    <row r="58">
      <c r="A58" s="11" t="n">
        <v>57</v>
      </c>
      <c r="B58" s="12" t="n">
        <v>46111</v>
      </c>
      <c r="C58" s="11" t="inlineStr">
        <is>
          <t>RECIBI POR BRE-B DE: ELCY</t>
        </is>
      </c>
      <c r="D58" s="13" t="n">
        <v>193800</v>
      </c>
      <c r="E58" s="11" t="n">
        <v>1274224.42</v>
      </c>
    </row>
    <row r="59">
      <c r="A59" s="11" t="n">
        <v>58</v>
      </c>
      <c r="B59" s="12" t="n">
        <v>46111</v>
      </c>
      <c r="C59" s="11" t="inlineStr">
        <is>
          <t>De HELIDA FRANCA CORTEZ</t>
        </is>
      </c>
      <c r="D59" s="13" t="n">
        <v>5700</v>
      </c>
      <c r="E59" s="11" t="n">
        <v>1080424.42</v>
      </c>
    </row>
    <row r="60">
      <c r="A60" s="11" t="n">
        <v>59</v>
      </c>
      <c r="B60" s="12" t="n">
        <v>46111</v>
      </c>
      <c r="C60" s="11" t="inlineStr">
        <is>
          <t>De JIMMY ANDRES QUENGUAN</t>
        </is>
      </c>
      <c r="D60" s="13" t="n">
        <v>28000</v>
      </c>
      <c r="E60" s="11" t="n">
        <v>1074724.42</v>
      </c>
    </row>
    <row r="61">
      <c r="A61" s="11" t="n">
        <v>60</v>
      </c>
      <c r="B61" s="12" t="n">
        <v>46111</v>
      </c>
      <c r="C61" s="11" t="inlineStr">
        <is>
          <t>Recarga desde Bancolombia QR</t>
        </is>
      </c>
      <c r="D61" s="13" t="n">
        <v>50400</v>
      </c>
      <c r="E61" s="11" t="n">
        <v>1046724.42</v>
      </c>
    </row>
    <row r="62">
      <c r="A62" s="11" t="n">
        <v>61</v>
      </c>
      <c r="B62" s="12" t="n">
        <v>46111</v>
      </c>
      <c r="C62" s="11" t="inlineStr">
        <is>
          <t>De JUAN DAVID ZAMBRANO</t>
        </is>
      </c>
      <c r="D62" s="13" t="n">
        <v>1200</v>
      </c>
      <c r="E62" s="11" t="n">
        <v>996324.42</v>
      </c>
    </row>
    <row r="63">
      <c r="A63" s="11" t="n">
        <v>62</v>
      </c>
      <c r="B63" s="12" t="n">
        <v>46111</v>
      </c>
      <c r="C63" s="11" t="inlineStr">
        <is>
          <t>De JUAN DAVID ZAMBRANO</t>
        </is>
      </c>
      <c r="D63" s="13" t="n">
        <v>22700</v>
      </c>
      <c r="E63" s="11" t="n">
        <v>995124.42</v>
      </c>
    </row>
    <row r="64">
      <c r="A64" s="11" t="n">
        <v>63</v>
      </c>
      <c r="B64" s="12" t="n">
        <v>46111</v>
      </c>
      <c r="C64" s="11" t="inlineStr">
        <is>
          <t>De DANNY ANDRES ORTEGA</t>
        </is>
      </c>
      <c r="D64" s="13" t="n">
        <v>34600</v>
      </c>
      <c r="E64" s="11" t="n">
        <v>972424.42</v>
      </c>
    </row>
    <row r="65">
      <c r="A65" s="11" t="n">
        <v>64</v>
      </c>
      <c r="B65" s="12" t="n">
        <v>46111</v>
      </c>
      <c r="C65" s="11" t="inlineStr">
        <is>
          <t>De DAVID ESTEBAN NARVAEZ</t>
        </is>
      </c>
      <c r="D65" s="13" t="n">
        <v>4000</v>
      </c>
      <c r="E65" s="11" t="n">
        <v>937824.42</v>
      </c>
    </row>
    <row r="66">
      <c r="A66" s="11" t="n">
        <v>65</v>
      </c>
      <c r="B66" s="12" t="n">
        <v>46111</v>
      </c>
      <c r="C66" s="11" t="inlineStr">
        <is>
          <t>De FERNEY ALEXANDER ITUYAN</t>
        </is>
      </c>
      <c r="D66" s="13" t="n">
        <v>5000</v>
      </c>
      <c r="E66" s="11" t="n">
        <v>933824.42</v>
      </c>
    </row>
    <row r="67">
      <c r="A67" s="11" t="n">
        <v>66</v>
      </c>
      <c r="B67" s="12" t="n">
        <v>46111</v>
      </c>
      <c r="C67" s="11" t="inlineStr">
        <is>
          <t>De IDALY ESPERANZA NARVAEZ</t>
        </is>
      </c>
      <c r="D67" s="13" t="n">
        <v>10200</v>
      </c>
      <c r="E67" s="11" t="n">
        <v>928824.42</v>
      </c>
    </row>
    <row r="68">
      <c r="A68" s="11" t="n">
        <v>67</v>
      </c>
      <c r="B68" s="12" t="n">
        <v>46111</v>
      </c>
      <c r="C68" s="11" t="inlineStr">
        <is>
          <t>De JORDAN JAIR CONGOTTE</t>
        </is>
      </c>
      <c r="D68" s="13" t="n">
        <v>12800</v>
      </c>
      <c r="E68" s="11" t="n">
        <v>918624.42</v>
      </c>
    </row>
    <row r="69">
      <c r="A69" s="11" t="n">
        <v>68</v>
      </c>
      <c r="B69" s="12" t="n">
        <v>46111</v>
      </c>
      <c r="C69" s="11" t="inlineStr">
        <is>
          <t>De DIANA KATERINE CORDERO</t>
        </is>
      </c>
      <c r="D69" s="13" t="n">
        <v>24000</v>
      </c>
      <c r="E69" s="11" t="n">
        <v>905824.42</v>
      </c>
    </row>
    <row r="70">
      <c r="A70" s="11" t="n">
        <v>69</v>
      </c>
      <c r="B70" s="12" t="n">
        <v>46111</v>
      </c>
      <c r="C70" s="11" t="inlineStr">
        <is>
          <t>Recarga desde Bancolombia QR</t>
        </is>
      </c>
      <c r="D70" s="13" t="n">
        <v>32086</v>
      </c>
      <c r="E70" s="11" t="n">
        <v>881824.42</v>
      </c>
    </row>
    <row r="71">
      <c r="A71" s="11" t="n">
        <v>70</v>
      </c>
      <c r="B71" s="12" t="n">
        <v>46111</v>
      </c>
      <c r="C71" s="11" t="inlineStr">
        <is>
          <t>De OMAR YESID ZAMBRANO</t>
        </is>
      </c>
      <c r="D71" s="13" t="n">
        <v>8000</v>
      </c>
      <c r="E71" s="11" t="n">
        <v>849738.42</v>
      </c>
    </row>
    <row r="72">
      <c r="A72" s="11" t="n">
        <v>71</v>
      </c>
      <c r="B72" s="12" t="n">
        <v>46111</v>
      </c>
      <c r="C72" s="11" t="inlineStr">
        <is>
          <t>De LEIDY CARVAJAL PORTILLA</t>
        </is>
      </c>
      <c r="D72" s="13" t="n">
        <v>6500</v>
      </c>
      <c r="E72" s="11" t="n">
        <v>841738.42</v>
      </c>
    </row>
    <row r="73">
      <c r="A73" s="11" t="n">
        <v>72</v>
      </c>
      <c r="B73" s="12" t="n">
        <v>46111</v>
      </c>
      <c r="C73" s="11" t="inlineStr">
        <is>
          <t>De CLARA HELENA FUENTES</t>
        </is>
      </c>
      <c r="D73" s="13" t="n">
        <v>26300</v>
      </c>
      <c r="E73" s="11" t="n">
        <v>835238.42</v>
      </c>
    </row>
    <row r="74">
      <c r="A74" s="11" t="n">
        <v>73</v>
      </c>
      <c r="B74" s="12" t="n">
        <v>46111</v>
      </c>
      <c r="C74" s="11" t="inlineStr">
        <is>
          <t>Gravamen al Movimiento</t>
        </is>
      </c>
      <c r="D74" s="13" t="n">
        <v>-8348.41</v>
      </c>
      <c r="E74" s="11" t="n">
        <v>808938.42</v>
      </c>
    </row>
    <row r="75">
      <c r="A75" s="11" t="n">
        <v>74</v>
      </c>
      <c r="B75" s="12" t="n">
        <v>46111</v>
      </c>
      <c r="C75" s="11" t="inlineStr">
        <is>
          <t>HER*** ANT*** PAT***</t>
        </is>
      </c>
      <c r="D75" s="13" t="n">
        <v>-2087101</v>
      </c>
      <c r="E75" s="11" t="n">
        <v>817286.83</v>
      </c>
    </row>
    <row r="76">
      <c r="A76" s="11" t="n">
        <v>75</v>
      </c>
      <c r="B76" s="12" t="n">
        <v>46111</v>
      </c>
      <c r="C76" s="11" t="inlineStr">
        <is>
          <t>De NINY JHOANA SANTANDER</t>
        </is>
      </c>
      <c r="D76" s="13" t="n">
        <v>2200</v>
      </c>
      <c r="E76" s="11" t="n">
        <v>2904387.83</v>
      </c>
    </row>
    <row r="77">
      <c r="A77" s="11" t="n">
        <v>76</v>
      </c>
      <c r="B77" s="12" t="n">
        <v>46111</v>
      </c>
      <c r="C77" s="11" t="inlineStr">
        <is>
          <t>Gravamen al Movimiento</t>
        </is>
      </c>
      <c r="D77" s="13" t="n">
        <v>-1978.44</v>
      </c>
      <c r="E77" s="11" t="n">
        <v>2902187.83</v>
      </c>
    </row>
    <row r="78">
      <c r="A78" s="11" t="n">
        <v>77</v>
      </c>
      <c r="B78" s="12" t="n">
        <v>46111</v>
      </c>
      <c r="C78" s="11" t="inlineStr">
        <is>
          <t>Surtiventas de Narino</t>
        </is>
      </c>
      <c r="D78" s="13" t="n">
        <v>-494608</v>
      </c>
      <c r="E78" s="11" t="n">
        <v>2904166.27</v>
      </c>
    </row>
    <row r="79">
      <c r="A79" s="11" t="n">
        <v>78</v>
      </c>
      <c r="B79" s="12" t="n">
        <v>46111</v>
      </c>
      <c r="C79" s="11" t="inlineStr">
        <is>
          <t>Gravamen al Movimiento</t>
        </is>
      </c>
      <c r="D79" s="13" t="n">
        <v>-3829.9</v>
      </c>
      <c r="E79" s="11" t="n">
        <v>3398774.27</v>
      </c>
    </row>
    <row r="80">
      <c r="A80" s="11" t="n">
        <v>79</v>
      </c>
      <c r="B80" s="12" t="n">
        <v>46111</v>
      </c>
      <c r="C80" s="11" t="inlineStr">
        <is>
          <t>DISTRIBUCIONES AXA SAS</t>
        </is>
      </c>
      <c r="D80" s="13" t="n">
        <v>-957475</v>
      </c>
      <c r="E80" s="11" t="n">
        <v>3402604.17</v>
      </c>
    </row>
    <row r="81">
      <c r="A81" s="11" t="n">
        <v>80</v>
      </c>
      <c r="B81" s="12" t="n">
        <v>46111</v>
      </c>
      <c r="C81" s="11" t="inlineStr">
        <is>
          <t>De LINDA JOSHIRA ROMO</t>
        </is>
      </c>
      <c r="D81" s="13" t="n">
        <v>21000</v>
      </c>
      <c r="E81" s="11" t="n">
        <v>4360079.17</v>
      </c>
    </row>
    <row r="82">
      <c r="A82" s="11" t="n">
        <v>81</v>
      </c>
      <c r="B82" s="12" t="n">
        <v>46111</v>
      </c>
      <c r="C82" s="11" t="inlineStr">
        <is>
          <t>De MONICA JOHANA CORDERO</t>
        </is>
      </c>
      <c r="D82" s="13" t="n">
        <v>35100</v>
      </c>
      <c r="E82" s="11" t="n">
        <v>4339079.17</v>
      </c>
    </row>
    <row r="83">
      <c r="A83" s="11" t="n">
        <v>82</v>
      </c>
      <c r="B83" s="12" t="n">
        <v>46111</v>
      </c>
      <c r="C83" s="11" t="inlineStr">
        <is>
          <t>De DAYAN LISETH CONGOTTE</t>
        </is>
      </c>
      <c r="D83" s="13" t="n">
        <v>15200</v>
      </c>
      <c r="E83" s="11" t="n">
        <v>4303979.17</v>
      </c>
    </row>
    <row r="84">
      <c r="A84" s="11" t="n">
        <v>83</v>
      </c>
      <c r="B84" s="12" t="n">
        <v>46111</v>
      </c>
      <c r="C84" s="11" t="inlineStr">
        <is>
          <t>De ADRIANA NINO</t>
        </is>
      </c>
      <c r="D84" s="13" t="n">
        <v>5900</v>
      </c>
      <c r="E84" s="11" t="n">
        <v>4288779.17</v>
      </c>
    </row>
    <row r="85">
      <c r="A85" s="11" t="n">
        <v>84</v>
      </c>
      <c r="B85" s="12" t="n">
        <v>46111</v>
      </c>
      <c r="C85" s="11" t="inlineStr">
        <is>
          <t>De ORLANDO ELIAS CORDOBA</t>
        </is>
      </c>
      <c r="D85" s="13" t="n">
        <v>34500</v>
      </c>
      <c r="E85" s="11" t="n">
        <v>4282879.17</v>
      </c>
    </row>
    <row r="86">
      <c r="A86" s="11" t="n">
        <v>85</v>
      </c>
      <c r="B86" s="12" t="n">
        <v>46110</v>
      </c>
      <c r="C86" s="11" t="inlineStr">
        <is>
          <t>De JHOANA ALEXANDRA</t>
        </is>
      </c>
      <c r="D86" s="13" t="n">
        <v>107100</v>
      </c>
      <c r="E86" s="11" t="n">
        <v>4248379.17</v>
      </c>
    </row>
    <row r="87">
      <c r="A87" s="11" t="n">
        <v>86</v>
      </c>
      <c r="B87" s="12" t="n">
        <v>46110</v>
      </c>
      <c r="C87" s="11" t="inlineStr">
        <is>
          <t>De INGRID DAYERLI QUINTERO</t>
        </is>
      </c>
      <c r="D87" s="13" t="n">
        <v>16100</v>
      </c>
      <c r="E87" s="11" t="n">
        <v>4141279.17</v>
      </c>
    </row>
    <row r="88">
      <c r="A88" s="11" t="n">
        <v>87</v>
      </c>
      <c r="B88" s="12" t="n">
        <v>46110</v>
      </c>
      <c r="C88" s="11" t="inlineStr">
        <is>
          <t>De DORA EMILCE MARTINEZ</t>
        </is>
      </c>
      <c r="D88" s="13" t="n">
        <v>24100</v>
      </c>
      <c r="E88" s="11" t="n">
        <v>4125179.17</v>
      </c>
    </row>
    <row r="89">
      <c r="A89" s="11" t="n">
        <v>88</v>
      </c>
      <c r="B89" s="12" t="n">
        <v>46110</v>
      </c>
      <c r="C89" s="11" t="inlineStr">
        <is>
          <t>De HECTOR MANUEL DIAZ</t>
        </is>
      </c>
      <c r="D89" s="13" t="n">
        <v>18000</v>
      </c>
      <c r="E89" s="11" t="n">
        <v>4101079.17</v>
      </c>
    </row>
    <row r="90">
      <c r="A90" s="11" t="n">
        <v>89</v>
      </c>
      <c r="B90" s="12" t="n">
        <v>46110</v>
      </c>
      <c r="C90" s="11" t="inlineStr">
        <is>
          <t>De MONICA LEINETH BURBANO</t>
        </is>
      </c>
      <c r="D90" s="13" t="n">
        <v>38200</v>
      </c>
      <c r="E90" s="11" t="n">
        <v>4083079.17</v>
      </c>
    </row>
    <row r="91">
      <c r="A91" s="11" t="n">
        <v>90</v>
      </c>
      <c r="B91" s="12" t="n">
        <v>46110</v>
      </c>
      <c r="C91" s="11" t="inlineStr">
        <is>
          <t>De ALVARO ESTEBAN BURBANO</t>
        </is>
      </c>
      <c r="D91" s="13" t="n">
        <v>37500</v>
      </c>
      <c r="E91" s="11" t="n">
        <v>4044879.17</v>
      </c>
    </row>
    <row r="92">
      <c r="A92" s="11" t="n">
        <v>91</v>
      </c>
      <c r="B92" s="12" t="n">
        <v>46110</v>
      </c>
      <c r="C92" s="11" t="inlineStr">
        <is>
          <t>RECIBI POR BRE-B DE: EDISSON</t>
        </is>
      </c>
      <c r="D92" s="13" t="n">
        <v>35900</v>
      </c>
      <c r="E92" s="11" t="n">
        <v>4007379.17</v>
      </c>
    </row>
    <row r="93">
      <c r="A93" s="11" t="n">
        <v>92</v>
      </c>
      <c r="B93" s="12" t="n">
        <v>46110</v>
      </c>
      <c r="C93" s="11" t="inlineStr">
        <is>
          <t>De EDISSON JUNIOR CHANA</t>
        </is>
      </c>
      <c r="D93" s="13" t="n">
        <v>98900</v>
      </c>
      <c r="E93" s="11" t="n">
        <v>3971479.17</v>
      </c>
    </row>
    <row r="94">
      <c r="A94" s="11" t="n">
        <v>93</v>
      </c>
      <c r="B94" s="12" t="n">
        <v>46110</v>
      </c>
      <c r="C94" s="11" t="inlineStr">
        <is>
          <t>De GERARDO RODRIGO TAICUS</t>
        </is>
      </c>
      <c r="D94" s="13" t="n">
        <v>54300</v>
      </c>
      <c r="E94" s="11" t="n">
        <v>3872579.17</v>
      </c>
    </row>
    <row r="95">
      <c r="A95" s="11" t="n">
        <v>94</v>
      </c>
      <c r="B95" s="12" t="n">
        <v>46110</v>
      </c>
      <c r="C95" s="11" t="inlineStr">
        <is>
          <t>De YURANI SHIRLEY MOREANO</t>
        </is>
      </c>
      <c r="D95" s="13" t="n">
        <v>30000</v>
      </c>
      <c r="E95" s="11" t="n">
        <v>3818279.17</v>
      </c>
    </row>
    <row r="96">
      <c r="A96" s="11" t="n">
        <v>95</v>
      </c>
      <c r="B96" s="12" t="n">
        <v>46110</v>
      </c>
      <c r="C96" s="11" t="inlineStr">
        <is>
          <t>De RUTH ELENA JOSA RUIZ</t>
        </is>
      </c>
      <c r="D96" s="13" t="n">
        <v>24700</v>
      </c>
      <c r="E96" s="11" t="n">
        <v>3788279.17</v>
      </c>
    </row>
    <row r="97">
      <c r="A97" s="11" t="n">
        <v>96</v>
      </c>
      <c r="B97" s="12" t="n">
        <v>46110</v>
      </c>
      <c r="C97" s="11" t="inlineStr">
        <is>
          <t>De ALEXANDER CORREA</t>
        </is>
      </c>
      <c r="D97" s="13" t="n">
        <v>71900</v>
      </c>
      <c r="E97" s="11" t="n">
        <v>3763579.17</v>
      </c>
    </row>
    <row r="98">
      <c r="A98" s="11" t="n">
        <v>97</v>
      </c>
      <c r="B98" s="12" t="n">
        <v>46110</v>
      </c>
      <c r="C98" s="11" t="inlineStr">
        <is>
          <t>De JHONIER ALEXIS SEGURA</t>
        </is>
      </c>
      <c r="D98" s="13" t="n">
        <v>11300</v>
      </c>
      <c r="E98" s="11" t="n">
        <v>3691679.17</v>
      </c>
    </row>
    <row r="99">
      <c r="A99" s="11" t="n">
        <v>98</v>
      </c>
      <c r="B99" s="12" t="n">
        <v>46110</v>
      </c>
      <c r="C99" s="11" t="inlineStr">
        <is>
          <t>De VICTOR MANUEL CARDOZO</t>
        </is>
      </c>
      <c r="D99" s="13" t="n">
        <v>5200</v>
      </c>
      <c r="E99" s="11" t="n">
        <v>3680379.17</v>
      </c>
    </row>
    <row r="100">
      <c r="A100" s="11" t="n">
        <v>99</v>
      </c>
      <c r="B100" s="12" t="n">
        <v>46110</v>
      </c>
      <c r="C100" s="11" t="inlineStr">
        <is>
          <t>De LEIDY PAOLA PANTOJA</t>
        </is>
      </c>
      <c r="D100" s="13" t="n">
        <v>16200</v>
      </c>
      <c r="E100" s="11" t="n">
        <v>3675179.17</v>
      </c>
    </row>
    <row r="101">
      <c r="A101" s="11" t="n">
        <v>100</v>
      </c>
      <c r="B101" s="12" t="n">
        <v>46110</v>
      </c>
      <c r="C101" s="11" t="inlineStr">
        <is>
          <t>De HERNEY IVAN MONTENEGRO</t>
        </is>
      </c>
      <c r="D101" s="13" t="n">
        <v>10000</v>
      </c>
      <c r="E101" s="11" t="n">
        <v>3658979.17</v>
      </c>
    </row>
    <row r="102">
      <c r="A102" s="11" t="n">
        <v>101</v>
      </c>
      <c r="B102" s="12" t="n">
        <v>46110</v>
      </c>
      <c r="C102" s="11" t="inlineStr">
        <is>
          <t>De OMAR YESID ZAMBRANO</t>
        </is>
      </c>
      <c r="D102" s="13" t="n">
        <v>7300</v>
      </c>
      <c r="E102" s="11" t="n">
        <v>3648979.17</v>
      </c>
    </row>
    <row r="103">
      <c r="A103" s="11" t="n">
        <v>102</v>
      </c>
      <c r="B103" s="12" t="n">
        <v>46110</v>
      </c>
      <c r="C103" s="11" t="inlineStr">
        <is>
          <t>Recarga desde Bancolombia</t>
        </is>
      </c>
      <c r="D103" s="13" t="n">
        <v>64600</v>
      </c>
      <c r="E103" s="11" t="n">
        <v>3641679.17</v>
      </c>
    </row>
    <row r="104">
      <c r="A104" s="11" t="n">
        <v>103</v>
      </c>
      <c r="B104" s="12" t="n">
        <v>46110</v>
      </c>
      <c r="C104" s="11" t="inlineStr">
        <is>
          <t>Recarga desde Bancolombia</t>
        </is>
      </c>
      <c r="D104" s="13" t="n">
        <v>9400</v>
      </c>
      <c r="E104" s="11" t="n">
        <v>3577079.17</v>
      </c>
    </row>
    <row r="105">
      <c r="A105" s="11" t="n">
        <v>104</v>
      </c>
      <c r="B105" s="12" t="n">
        <v>46110</v>
      </c>
      <c r="C105" s="11" t="inlineStr">
        <is>
          <t>RECIBI POR BRE-B DE: ELKIN</t>
        </is>
      </c>
      <c r="D105" s="13" t="n">
        <v>44200</v>
      </c>
      <c r="E105" s="11" t="n">
        <v>3567679.17</v>
      </c>
    </row>
    <row r="106">
      <c r="A106" s="11" t="n">
        <v>105</v>
      </c>
      <c r="B106" s="12" t="n">
        <v>46110</v>
      </c>
      <c r="C106" s="11" t="inlineStr">
        <is>
          <t>De NUBIA BATERO CORTES</t>
        </is>
      </c>
      <c r="D106" s="13" t="n">
        <v>4000</v>
      </c>
      <c r="E106" s="11" t="n">
        <v>3523479.17</v>
      </c>
    </row>
    <row r="107">
      <c r="A107" s="11" t="n">
        <v>106</v>
      </c>
      <c r="B107" s="12" t="n">
        <v>46110</v>
      </c>
      <c r="C107" s="11" t="inlineStr">
        <is>
          <t>De NUBIA BATERO CORTES</t>
        </is>
      </c>
      <c r="D107" s="13" t="n">
        <v>72800</v>
      </c>
      <c r="E107" s="11" t="n">
        <v>3519479.17</v>
      </c>
    </row>
    <row r="108">
      <c r="A108" s="11" t="n">
        <v>107</v>
      </c>
      <c r="B108" s="12" t="n">
        <v>46110</v>
      </c>
      <c r="C108" s="11" t="inlineStr">
        <is>
          <t>De JENNY FERNANDA</t>
        </is>
      </c>
      <c r="D108" s="13" t="n">
        <v>12100</v>
      </c>
      <c r="E108" s="11" t="n">
        <v>3446679.17</v>
      </c>
    </row>
    <row r="109">
      <c r="A109" s="11" t="n">
        <v>108</v>
      </c>
      <c r="B109" s="12" t="n">
        <v>46110</v>
      </c>
      <c r="C109" s="11" t="inlineStr">
        <is>
          <t>De YURI OMAYRA GARCES</t>
        </is>
      </c>
      <c r="D109" s="13" t="n">
        <v>20000</v>
      </c>
      <c r="E109" s="11" t="n">
        <v>3434579.17</v>
      </c>
    </row>
    <row r="110">
      <c r="A110" s="11" t="n">
        <v>109</v>
      </c>
      <c r="B110" s="12" t="n">
        <v>46110</v>
      </c>
      <c r="C110" s="11" t="inlineStr">
        <is>
          <t>De MARIA JULIETH OSORIO</t>
        </is>
      </c>
      <c r="D110" s="13" t="n">
        <v>24200</v>
      </c>
      <c r="E110" s="11" t="n">
        <v>3414579.17</v>
      </c>
    </row>
    <row r="111">
      <c r="A111" s="11" t="n">
        <v>110</v>
      </c>
      <c r="B111" s="12" t="n">
        <v>46110</v>
      </c>
      <c r="C111" s="11" t="inlineStr">
        <is>
          <t>De JORDAN JAIR CONGOTTE</t>
        </is>
      </c>
      <c r="D111" s="13" t="n">
        <v>8000</v>
      </c>
      <c r="E111" s="11" t="n">
        <v>3390379.17</v>
      </c>
    </row>
    <row r="112">
      <c r="A112" s="11" t="n">
        <v>111</v>
      </c>
      <c r="B112" s="12" t="n">
        <v>46110</v>
      </c>
      <c r="C112" s="11" t="inlineStr">
        <is>
          <t>De NARKY ALEXANDRA</t>
        </is>
      </c>
      <c r="D112" s="13" t="n">
        <v>30600</v>
      </c>
      <c r="E112" s="11" t="n">
        <v>3382379.17</v>
      </c>
    </row>
    <row r="113">
      <c r="A113" s="11" t="n">
        <v>112</v>
      </c>
      <c r="B113" s="12" t="n">
        <v>46110</v>
      </c>
      <c r="C113" s="11" t="inlineStr">
        <is>
          <t>De NEFER JULIAN CASTRO</t>
        </is>
      </c>
      <c r="D113" s="13" t="n">
        <v>14500</v>
      </c>
      <c r="E113" s="11" t="n">
        <v>3351779.17</v>
      </c>
    </row>
    <row r="114">
      <c r="A114" s="11" t="n">
        <v>113</v>
      </c>
      <c r="B114" s="12" t="n">
        <v>46110</v>
      </c>
      <c r="C114" s="11" t="inlineStr">
        <is>
          <t>De JHONN ANDERSON</t>
        </is>
      </c>
      <c r="D114" s="13" t="n">
        <v>14100</v>
      </c>
      <c r="E114" s="11" t="n">
        <v>3337279.17</v>
      </c>
    </row>
    <row r="115">
      <c r="A115" s="11" t="n">
        <v>114</v>
      </c>
      <c r="B115" s="12" t="n">
        <v>46110</v>
      </c>
      <c r="C115" s="11" t="inlineStr">
        <is>
          <t>RECIBI POR BRE-B DE: DANILO</t>
        </is>
      </c>
      <c r="D115" s="13" t="n">
        <v>23300</v>
      </c>
      <c r="E115" s="11" t="n">
        <v>3323179.17</v>
      </c>
    </row>
    <row r="116">
      <c r="A116" s="11" t="n">
        <v>115</v>
      </c>
      <c r="B116" s="12" t="n">
        <v>46110</v>
      </c>
      <c r="C116" s="11" t="inlineStr">
        <is>
          <t>De CARLOS MENDOZA</t>
        </is>
      </c>
      <c r="D116" s="13" t="n">
        <v>18000</v>
      </c>
      <c r="E116" s="11" t="n">
        <v>3299879.17</v>
      </c>
    </row>
    <row r="117">
      <c r="A117" s="11" t="n">
        <v>116</v>
      </c>
      <c r="B117" s="12" t="n">
        <v>46110</v>
      </c>
      <c r="C117" s="11" t="inlineStr">
        <is>
          <t>De CARMEN DANIELA CARVAJAL</t>
        </is>
      </c>
      <c r="D117" s="13" t="n">
        <v>17500</v>
      </c>
      <c r="E117" s="11" t="n">
        <v>3281879.17</v>
      </c>
    </row>
    <row r="118">
      <c r="A118" s="11" t="n">
        <v>117</v>
      </c>
      <c r="B118" s="12" t="n">
        <v>46110</v>
      </c>
      <c r="C118" s="11" t="inlineStr">
        <is>
          <t>De JARBEY ESPANA CRIOLLO</t>
        </is>
      </c>
      <c r="D118" s="13" t="n">
        <v>30200</v>
      </c>
      <c r="E118" s="11" t="n">
        <v>3264379.17</v>
      </c>
    </row>
    <row r="119">
      <c r="A119" s="11" t="n">
        <v>118</v>
      </c>
      <c r="B119" s="12" t="n">
        <v>46110</v>
      </c>
      <c r="C119" s="11" t="inlineStr">
        <is>
          <t>De WILSON ALEXANDER</t>
        </is>
      </c>
      <c r="D119" s="13" t="n">
        <v>10000</v>
      </c>
      <c r="E119" s="11" t="n">
        <v>3234179.17</v>
      </c>
    </row>
    <row r="120">
      <c r="A120" s="11" t="n">
        <v>119</v>
      </c>
      <c r="B120" s="12" t="n">
        <v>46110</v>
      </c>
      <c r="C120" s="11" t="inlineStr">
        <is>
          <t>De FRESKEY VERGARA BORJA</t>
        </is>
      </c>
      <c r="D120" s="13" t="n">
        <v>7700</v>
      </c>
      <c r="E120" s="11" t="n">
        <v>3224179.17</v>
      </c>
    </row>
    <row r="121">
      <c r="A121" s="11" t="n">
        <v>120</v>
      </c>
      <c r="B121" s="12" t="n">
        <v>46110</v>
      </c>
      <c r="C121" s="11" t="inlineStr">
        <is>
          <t>RECIBI POR BRE-B DE: DIANA</t>
        </is>
      </c>
      <c r="D121" s="13" t="n">
        <v>40200</v>
      </c>
      <c r="E121" s="11" t="n">
        <v>3216479.17</v>
      </c>
    </row>
    <row r="122">
      <c r="A122" s="11" t="n">
        <v>121</v>
      </c>
      <c r="B122" s="12" t="n">
        <v>46110</v>
      </c>
      <c r="C122" s="11" t="inlineStr">
        <is>
          <t>De FRESKEY VERGARA BORJA</t>
        </is>
      </c>
      <c r="D122" s="13" t="n">
        <v>137000</v>
      </c>
      <c r="E122" s="11" t="n">
        <v>3176279.17</v>
      </c>
    </row>
    <row r="123">
      <c r="A123" s="11" t="n">
        <v>122</v>
      </c>
      <c r="B123" s="12" t="n">
        <v>46110</v>
      </c>
      <c r="C123" s="11" t="inlineStr">
        <is>
          <t>De ANGGIE LILIANA MOSQUERA</t>
        </is>
      </c>
      <c r="D123" s="13" t="n">
        <v>10000</v>
      </c>
      <c r="E123" s="11" t="n">
        <v>3039279.17</v>
      </c>
    </row>
    <row r="124">
      <c r="A124" s="11" t="n">
        <v>123</v>
      </c>
      <c r="B124" s="12" t="n">
        <v>46110</v>
      </c>
      <c r="C124" s="11" t="inlineStr">
        <is>
          <t>De JEINY JACKELINE MORALES</t>
        </is>
      </c>
      <c r="D124" s="13" t="n">
        <v>19100</v>
      </c>
      <c r="E124" s="11" t="n">
        <v>3029279.17</v>
      </c>
    </row>
    <row r="125">
      <c r="A125" s="11" t="n">
        <v>124</v>
      </c>
      <c r="B125" s="12" t="n">
        <v>46110</v>
      </c>
      <c r="C125" s="11" t="inlineStr">
        <is>
          <t>De ANYI LORENA PRADO</t>
        </is>
      </c>
      <c r="D125" s="13" t="n">
        <v>14000</v>
      </c>
      <c r="E125" s="11" t="n">
        <v>3010179.17</v>
      </c>
    </row>
    <row r="126">
      <c r="A126" s="11" t="n">
        <v>125</v>
      </c>
      <c r="B126" s="12" t="n">
        <v>46110</v>
      </c>
      <c r="C126" s="11" t="inlineStr">
        <is>
          <t>De KEINY LORENA MARTINEZ</t>
        </is>
      </c>
      <c r="D126" s="13" t="n">
        <v>71700</v>
      </c>
      <c r="E126" s="11" t="n">
        <v>2996179.17</v>
      </c>
    </row>
    <row r="127">
      <c r="A127" s="11" t="n">
        <v>126</v>
      </c>
      <c r="B127" s="12" t="n">
        <v>46110</v>
      </c>
      <c r="C127" s="11" t="inlineStr">
        <is>
          <t>De BRAYAN ALFONSO AVILA</t>
        </is>
      </c>
      <c r="D127" s="13" t="n">
        <v>35400</v>
      </c>
      <c r="E127" s="11" t="n">
        <v>2924479.17</v>
      </c>
    </row>
    <row r="128">
      <c r="A128" s="11" t="n">
        <v>127</v>
      </c>
      <c r="B128" s="12" t="n">
        <v>46110</v>
      </c>
      <c r="C128" s="11" t="inlineStr">
        <is>
          <t>De MONICA JOHANA CORDERO</t>
        </is>
      </c>
      <c r="D128" s="13" t="n">
        <v>36400</v>
      </c>
      <c r="E128" s="11" t="n">
        <v>2889079.17</v>
      </c>
    </row>
    <row r="129">
      <c r="A129" s="11" t="n">
        <v>128</v>
      </c>
      <c r="B129" s="12" t="n">
        <v>46110</v>
      </c>
      <c r="C129" s="11" t="inlineStr">
        <is>
          <t>De VALERY FERNANDA</t>
        </is>
      </c>
      <c r="D129" s="13" t="n">
        <v>6000</v>
      </c>
      <c r="E129" s="11" t="n">
        <v>2852679.17</v>
      </c>
    </row>
    <row r="130">
      <c r="A130" s="11" t="n">
        <v>129</v>
      </c>
      <c r="B130" s="12" t="n">
        <v>46110</v>
      </c>
      <c r="C130" s="11" t="inlineStr">
        <is>
          <t>De ALBERT JHON PALMA</t>
        </is>
      </c>
      <c r="D130" s="13" t="n">
        <v>7400</v>
      </c>
      <c r="E130" s="11" t="n">
        <v>2846679.17</v>
      </c>
    </row>
    <row r="131">
      <c r="A131" s="11" t="n">
        <v>130</v>
      </c>
      <c r="B131" s="12" t="n">
        <v>46110</v>
      </c>
      <c r="C131" s="11" t="inlineStr">
        <is>
          <t>Recarga desde Bancolombia QR</t>
        </is>
      </c>
      <c r="D131" s="13" t="n">
        <v>36100</v>
      </c>
      <c r="E131" s="11" t="n">
        <v>2839279.17</v>
      </c>
    </row>
    <row r="132">
      <c r="A132" s="11" t="n">
        <v>131</v>
      </c>
      <c r="B132" s="12" t="n">
        <v>46110</v>
      </c>
      <c r="C132" s="11" t="inlineStr">
        <is>
          <t>De LUZ AMPARO PINO MEDINA</t>
        </is>
      </c>
      <c r="D132" s="13" t="n">
        <v>12700</v>
      </c>
      <c r="E132" s="11" t="n">
        <v>2803179.17</v>
      </c>
    </row>
    <row r="133">
      <c r="A133" s="11" t="n">
        <v>132</v>
      </c>
      <c r="B133" s="12" t="n">
        <v>46110</v>
      </c>
      <c r="C133" s="11" t="inlineStr">
        <is>
          <t>RECIBI POR BRE-B DE: SHIRLEY</t>
        </is>
      </c>
      <c r="D133" s="13" t="n">
        <v>10300</v>
      </c>
      <c r="E133" s="11" t="n">
        <v>2790479.17</v>
      </c>
    </row>
    <row r="134">
      <c r="A134" s="11" t="n">
        <v>133</v>
      </c>
      <c r="B134" s="12" t="n">
        <v>46110</v>
      </c>
      <c r="C134" s="11" t="inlineStr">
        <is>
          <t>De HELEN BRIGITTE MOSQUERA</t>
        </is>
      </c>
      <c r="D134" s="13" t="n">
        <v>10700</v>
      </c>
      <c r="E134" s="11" t="n">
        <v>2780179.17</v>
      </c>
    </row>
    <row r="135">
      <c r="A135" s="11" t="n">
        <v>134</v>
      </c>
      <c r="B135" s="12" t="n">
        <v>46110</v>
      </c>
      <c r="C135" s="11" t="inlineStr">
        <is>
          <t>De LUZ ANGELICA BERNAL</t>
        </is>
      </c>
      <c r="D135" s="13" t="n">
        <v>7500</v>
      </c>
      <c r="E135" s="11" t="n">
        <v>2769479.17</v>
      </c>
    </row>
    <row r="136">
      <c r="A136" s="11" t="n">
        <v>135</v>
      </c>
      <c r="B136" s="12" t="n">
        <v>46110</v>
      </c>
      <c r="C136" s="11" t="inlineStr">
        <is>
          <t>De LUZ ANGELICA BERNAL</t>
        </is>
      </c>
      <c r="D136" s="13" t="n">
        <v>9800</v>
      </c>
      <c r="E136" s="11" t="n">
        <v>2761979.17</v>
      </c>
    </row>
    <row r="137">
      <c r="A137" s="11" t="n">
        <v>136</v>
      </c>
      <c r="B137" s="12" t="n">
        <v>46109</v>
      </c>
      <c r="C137" s="11" t="inlineStr">
        <is>
          <t>De ISMENIA CAHUASA ANGULO</t>
        </is>
      </c>
      <c r="D137" s="13" t="n">
        <v>7000</v>
      </c>
      <c r="E137" s="11" t="n">
        <v>2752179.17</v>
      </c>
    </row>
    <row r="138">
      <c r="A138" s="11" t="n">
        <v>137</v>
      </c>
      <c r="B138" s="12" t="n">
        <v>46109</v>
      </c>
      <c r="C138" s="11" t="inlineStr">
        <is>
          <t>De ISMENIA CAHUASA ANGULO</t>
        </is>
      </c>
      <c r="D138" s="13" t="n">
        <v>23000</v>
      </c>
      <c r="E138" s="11" t="n">
        <v>2745179.17</v>
      </c>
    </row>
    <row r="139">
      <c r="A139" s="11" t="n">
        <v>138</v>
      </c>
      <c r="B139" s="12" t="n">
        <v>46109</v>
      </c>
      <c r="C139" s="11" t="inlineStr">
        <is>
          <t>De HANDERSON CAMILO</t>
        </is>
      </c>
      <c r="D139" s="13" t="n">
        <v>63000</v>
      </c>
      <c r="E139" s="11" t="n">
        <v>2722179.17</v>
      </c>
    </row>
    <row r="140">
      <c r="A140" s="11" t="n">
        <v>139</v>
      </c>
      <c r="B140" s="12" t="n">
        <v>46109</v>
      </c>
      <c r="C140" s="11" t="inlineStr">
        <is>
          <t>De JENNIFER YULIETH</t>
        </is>
      </c>
      <c r="D140" s="13" t="n">
        <v>38000</v>
      </c>
      <c r="E140" s="11" t="n">
        <v>2659179.17</v>
      </c>
    </row>
    <row r="141">
      <c r="A141" s="11" t="n">
        <v>140</v>
      </c>
      <c r="B141" s="12" t="n">
        <v>46109</v>
      </c>
      <c r="C141" s="11" t="inlineStr">
        <is>
          <t>De ANYI LORENA PRADO</t>
        </is>
      </c>
      <c r="D141" s="13" t="n">
        <v>7500</v>
      </c>
      <c r="E141" s="11" t="n">
        <v>2621179.17</v>
      </c>
    </row>
    <row r="142">
      <c r="A142" s="11" t="n">
        <v>141</v>
      </c>
      <c r="B142" s="12" t="n">
        <v>46109</v>
      </c>
      <c r="C142" s="11" t="inlineStr">
        <is>
          <t>De JOHAN ESTEBAN PANTOJA</t>
        </is>
      </c>
      <c r="D142" s="13" t="n">
        <v>117500</v>
      </c>
      <c r="E142" s="11" t="n">
        <v>2613679.17</v>
      </c>
    </row>
    <row r="143">
      <c r="A143" s="11" t="n">
        <v>142</v>
      </c>
      <c r="B143" s="12" t="n">
        <v>46109</v>
      </c>
      <c r="C143" s="11" t="inlineStr">
        <is>
          <t>De JURGEN CAMILO MORALES</t>
        </is>
      </c>
      <c r="D143" s="13" t="n">
        <v>6500</v>
      </c>
      <c r="E143" s="11" t="n">
        <v>2496179.17</v>
      </c>
    </row>
    <row r="144">
      <c r="A144" s="11" t="n">
        <v>143</v>
      </c>
      <c r="B144" s="12" t="n">
        <v>46109</v>
      </c>
      <c r="C144" s="11" t="inlineStr">
        <is>
          <t>De DANIEL HERAZO BELENO</t>
        </is>
      </c>
      <c r="D144" s="13" t="n">
        <v>36000</v>
      </c>
      <c r="E144" s="11" t="n">
        <v>2489679.17</v>
      </c>
    </row>
    <row r="145">
      <c r="A145" s="11" t="n">
        <v>144</v>
      </c>
      <c r="B145" s="12" t="n">
        <v>46109</v>
      </c>
      <c r="C145" s="11" t="inlineStr">
        <is>
          <t>De BRIGETH PAMELA</t>
        </is>
      </c>
      <c r="D145" s="13" t="n">
        <v>34000</v>
      </c>
      <c r="E145" s="11" t="n">
        <v>2453679.17</v>
      </c>
    </row>
    <row r="146">
      <c r="A146" s="11" t="n">
        <v>145</v>
      </c>
      <c r="B146" s="12" t="n">
        <v>46109</v>
      </c>
      <c r="C146" s="11" t="inlineStr">
        <is>
          <t>De MIGUEL ANGEL DIAZ</t>
        </is>
      </c>
      <c r="D146" s="13" t="n">
        <v>26100</v>
      </c>
      <c r="E146" s="11" t="n">
        <v>2419679.17</v>
      </c>
    </row>
    <row r="147">
      <c r="A147" s="11" t="n">
        <v>146</v>
      </c>
      <c r="B147" s="12" t="n">
        <v>46109</v>
      </c>
      <c r="C147" s="11" t="inlineStr">
        <is>
          <t>Recarga desde Bancolombia QR</t>
        </is>
      </c>
      <c r="D147" s="13" t="n">
        <v>47300</v>
      </c>
      <c r="E147" s="11" t="n">
        <v>2393579.17</v>
      </c>
    </row>
    <row r="148">
      <c r="A148" s="11" t="n">
        <v>147</v>
      </c>
      <c r="B148" s="12" t="n">
        <v>46109</v>
      </c>
      <c r="C148" s="11" t="inlineStr">
        <is>
          <t>De NURY ADRIANA MORA</t>
        </is>
      </c>
      <c r="D148" s="13" t="n">
        <v>24600</v>
      </c>
      <c r="E148" s="11" t="n">
        <v>2346279.17</v>
      </c>
    </row>
    <row r="149">
      <c r="A149" s="11" t="n">
        <v>148</v>
      </c>
      <c r="B149" s="12" t="n">
        <v>46109</v>
      </c>
      <c r="C149" s="11" t="inlineStr">
        <is>
          <t>De ANGIE ALEXANDRA PINTO</t>
        </is>
      </c>
      <c r="D149" s="13" t="n">
        <v>37400</v>
      </c>
      <c r="E149" s="11" t="n">
        <v>2321679.17</v>
      </c>
    </row>
    <row r="150">
      <c r="A150" s="11" t="n">
        <v>149</v>
      </c>
      <c r="B150" s="12" t="n">
        <v>46109</v>
      </c>
      <c r="C150" s="11" t="inlineStr">
        <is>
          <t>RECIBI POR BRE-B DE: WILSON</t>
        </is>
      </c>
      <c r="D150" s="13" t="n">
        <v>12700</v>
      </c>
      <c r="E150" s="11" t="n">
        <v>2284279.17</v>
      </c>
    </row>
    <row r="151">
      <c r="A151" s="11" t="n">
        <v>150</v>
      </c>
      <c r="B151" s="12" t="n">
        <v>46109</v>
      </c>
      <c r="C151" s="11" t="inlineStr">
        <is>
          <t>De IDALY ESPERANZA NARVAEZ</t>
        </is>
      </c>
      <c r="D151" s="13" t="n">
        <v>14900</v>
      </c>
      <c r="E151" s="11" t="n">
        <v>2271579.17</v>
      </c>
    </row>
    <row r="152">
      <c r="A152" s="11" t="n">
        <v>151</v>
      </c>
      <c r="B152" s="12" t="n">
        <v>46109</v>
      </c>
      <c r="C152" s="11" t="inlineStr">
        <is>
          <t>De MARIA QUELAL TORO</t>
        </is>
      </c>
      <c r="D152" s="13" t="n">
        <v>32200</v>
      </c>
      <c r="E152" s="11" t="n">
        <v>2256679.17</v>
      </c>
    </row>
    <row r="153">
      <c r="A153" s="11" t="n">
        <v>152</v>
      </c>
      <c r="B153" s="12" t="n">
        <v>46109</v>
      </c>
      <c r="C153" s="11" t="inlineStr">
        <is>
          <t>De ANGGI CAMILA GELPU</t>
        </is>
      </c>
      <c r="D153" s="13" t="n">
        <v>17000</v>
      </c>
      <c r="E153" s="11" t="n">
        <v>2224479.17</v>
      </c>
    </row>
    <row r="154">
      <c r="A154" s="11" t="n">
        <v>153</v>
      </c>
      <c r="B154" s="12" t="n">
        <v>46109</v>
      </c>
      <c r="C154" s="11" t="inlineStr">
        <is>
          <t>Recarga desde Bancolombia QR</t>
        </is>
      </c>
      <c r="D154" s="13" t="n">
        <v>45700</v>
      </c>
      <c r="E154" s="11" t="n">
        <v>2207479.17</v>
      </c>
    </row>
    <row r="155">
      <c r="A155" s="11" t="n">
        <v>154</v>
      </c>
      <c r="B155" s="12" t="n">
        <v>46109</v>
      </c>
      <c r="C155" s="11" t="inlineStr">
        <is>
          <t>De LEIDY ANDREA DIAZ QUIROZ</t>
        </is>
      </c>
      <c r="D155" s="13" t="n">
        <v>19800</v>
      </c>
      <c r="E155" s="11" t="n">
        <v>2161779.17</v>
      </c>
    </row>
    <row r="156">
      <c r="A156" s="11" t="n">
        <v>155</v>
      </c>
      <c r="B156" s="12" t="n">
        <v>46109</v>
      </c>
      <c r="C156" s="11" t="inlineStr">
        <is>
          <t>De JEINY JACKELINE MORALES</t>
        </is>
      </c>
      <c r="D156" s="13" t="n">
        <v>23700</v>
      </c>
      <c r="E156" s="11" t="n">
        <v>2141979.17</v>
      </c>
    </row>
    <row r="157">
      <c r="A157" s="11" t="n">
        <v>156</v>
      </c>
      <c r="B157" s="12" t="n">
        <v>46109</v>
      </c>
      <c r="C157" s="11" t="inlineStr">
        <is>
          <t>De ANDRY MAYERLY LOPEZ</t>
        </is>
      </c>
      <c r="D157" s="13" t="n">
        <v>1500000</v>
      </c>
      <c r="E157" s="11" t="n">
        <v>2118279.17</v>
      </c>
    </row>
    <row r="158">
      <c r="A158" s="11" t="n">
        <v>157</v>
      </c>
      <c r="B158" s="12" t="n">
        <v>46109</v>
      </c>
      <c r="C158" s="11" t="inlineStr">
        <is>
          <t>De NURY ADRIANA MORA</t>
        </is>
      </c>
      <c r="D158" s="13" t="n">
        <v>57600</v>
      </c>
      <c r="E158" s="11" t="n">
        <v>618279.17</v>
      </c>
    </row>
    <row r="159">
      <c r="A159" s="11" t="n">
        <v>158</v>
      </c>
      <c r="B159" s="12" t="n">
        <v>46109</v>
      </c>
      <c r="C159" s="11" t="inlineStr">
        <is>
          <t>De ISMENIA CAHUASA ANGULO</t>
        </is>
      </c>
      <c r="D159" s="13" t="n">
        <v>10500</v>
      </c>
      <c r="E159" s="11" t="n">
        <v>560679.17</v>
      </c>
    </row>
    <row r="160">
      <c r="A160" s="11" t="n">
        <v>159</v>
      </c>
      <c r="B160" s="12" t="n">
        <v>46109</v>
      </c>
      <c r="C160" s="11" t="inlineStr">
        <is>
          <t>De ELMER MENESES</t>
        </is>
      </c>
      <c r="D160" s="13" t="n">
        <v>10900</v>
      </c>
      <c r="E160" s="11" t="n">
        <v>550179.17</v>
      </c>
    </row>
    <row r="161">
      <c r="A161" s="11" t="n">
        <v>160</v>
      </c>
      <c r="B161" s="12" t="n">
        <v>46109</v>
      </c>
      <c r="C161" s="11" t="inlineStr">
        <is>
          <t>De BRIGETH PAMELA</t>
        </is>
      </c>
      <c r="D161" s="13" t="n">
        <v>57100</v>
      </c>
      <c r="E161" s="11" t="n">
        <v>539279.17</v>
      </c>
    </row>
    <row r="162">
      <c r="A162" s="11" t="n">
        <v>161</v>
      </c>
      <c r="B162" s="12" t="n">
        <v>46109</v>
      </c>
      <c r="C162" s="11" t="inlineStr">
        <is>
          <t>De NASLY JAQUELINE RUALES</t>
        </is>
      </c>
      <c r="D162" s="13" t="n">
        <v>3400</v>
      </c>
      <c r="E162" s="11" t="n">
        <v>482179.17</v>
      </c>
    </row>
    <row r="163">
      <c r="A163" s="11" t="n">
        <v>162</v>
      </c>
      <c r="B163" s="12" t="n">
        <v>46109</v>
      </c>
      <c r="C163" s="11" t="inlineStr">
        <is>
          <t>De HANNIER ALEXANDER</t>
        </is>
      </c>
      <c r="D163" s="13" t="n">
        <v>9800</v>
      </c>
      <c r="E163" s="11" t="n">
        <v>478779.17</v>
      </c>
    </row>
    <row r="164">
      <c r="A164" s="11" t="n">
        <v>163</v>
      </c>
      <c r="B164" s="12" t="n">
        <v>46109</v>
      </c>
      <c r="C164" s="11" t="inlineStr">
        <is>
          <t>RECIBI POR BRE-B DE: Ana</t>
        </is>
      </c>
      <c r="D164" s="13" t="n">
        <v>106100</v>
      </c>
      <c r="E164" s="11" t="n">
        <v>468979.17</v>
      </c>
    </row>
    <row r="165">
      <c r="A165" s="11" t="n">
        <v>164</v>
      </c>
      <c r="B165" s="12" t="n">
        <v>46109</v>
      </c>
      <c r="C165" s="11" t="inlineStr">
        <is>
          <t>De WILMAN RENE ROQUE</t>
        </is>
      </c>
      <c r="D165" s="13" t="n">
        <v>11000</v>
      </c>
      <c r="E165" s="11" t="n">
        <v>362879.17</v>
      </c>
    </row>
    <row r="166">
      <c r="A166" s="11" t="n">
        <v>165</v>
      </c>
      <c r="B166" s="12" t="n">
        <v>46109</v>
      </c>
      <c r="C166" s="11" t="inlineStr">
        <is>
          <t>De JUAN DAVID ZAMBRANO</t>
        </is>
      </c>
      <c r="D166" s="13" t="n">
        <v>11600</v>
      </c>
      <c r="E166" s="11" t="n">
        <v>351879.17</v>
      </c>
    </row>
    <row r="167">
      <c r="A167" s="11" t="n">
        <v>166</v>
      </c>
      <c r="B167" s="12" t="n">
        <v>46109</v>
      </c>
      <c r="C167" s="11" t="inlineStr">
        <is>
          <t>De HELEN BRIGITTE MOSQUERA</t>
        </is>
      </c>
      <c r="D167" s="13" t="n">
        <v>40400</v>
      </c>
      <c r="E167" s="11" t="n">
        <v>340279.17</v>
      </c>
    </row>
    <row r="168">
      <c r="A168" s="11" t="n">
        <v>167</v>
      </c>
      <c r="B168" s="12" t="n">
        <v>46109</v>
      </c>
      <c r="C168" s="11" t="inlineStr">
        <is>
          <t>De YESID FLOREZ LONDONO</t>
        </is>
      </c>
      <c r="D168" s="13" t="n">
        <v>38700</v>
      </c>
      <c r="E168" s="11" t="n">
        <v>299879.17</v>
      </c>
    </row>
    <row r="169">
      <c r="A169" s="11" t="n">
        <v>168</v>
      </c>
      <c r="B169" s="12" t="n">
        <v>46109</v>
      </c>
      <c r="C169" s="11" t="inlineStr">
        <is>
          <t>De JEINY JACKELINE MORALES</t>
        </is>
      </c>
      <c r="D169" s="13" t="n">
        <v>22800</v>
      </c>
      <c r="E169" s="11" t="n">
        <v>261179.17</v>
      </c>
    </row>
    <row r="170">
      <c r="A170" s="11" t="n">
        <v>169</v>
      </c>
      <c r="B170" s="12" t="n">
        <v>46109</v>
      </c>
      <c r="C170" s="11" t="inlineStr">
        <is>
          <t>De EVELIO RENE ERASO CERON</t>
        </is>
      </c>
      <c r="D170" s="13" t="n">
        <v>53000</v>
      </c>
      <c r="E170" s="11" t="n">
        <v>238379.17</v>
      </c>
    </row>
    <row r="171">
      <c r="A171" s="11" t="n">
        <v>170</v>
      </c>
      <c r="B171" s="12" t="n">
        <v>46109</v>
      </c>
      <c r="C171" s="11" t="inlineStr">
        <is>
          <t>De DAYAN FLOREZ REYES</t>
        </is>
      </c>
      <c r="D171" s="13" t="n">
        <v>18100</v>
      </c>
      <c r="E171" s="11" t="n">
        <v>185379.17</v>
      </c>
    </row>
    <row r="172">
      <c r="A172" s="11" t="n">
        <v>171</v>
      </c>
      <c r="B172" s="12" t="n">
        <v>46109</v>
      </c>
      <c r="C172" s="11" t="inlineStr">
        <is>
          <t>De DIEGO ARBEY HERRERA</t>
        </is>
      </c>
      <c r="D172" s="13" t="n">
        <v>6000</v>
      </c>
      <c r="E172" s="11" t="n">
        <v>167279.17</v>
      </c>
    </row>
    <row r="173">
      <c r="A173" s="11" t="n">
        <v>172</v>
      </c>
      <c r="B173" s="12" t="n">
        <v>46109</v>
      </c>
      <c r="C173" s="11" t="inlineStr">
        <is>
          <t>De CLARA HELENA FUENTES</t>
        </is>
      </c>
      <c r="D173" s="13" t="n">
        <v>19700</v>
      </c>
      <c r="E173" s="11" t="n">
        <v>161279.17</v>
      </c>
    </row>
    <row r="174">
      <c r="A174" s="11" t="n">
        <v>173</v>
      </c>
      <c r="B174" s="12" t="n">
        <v>46109</v>
      </c>
      <c r="C174" s="11" t="inlineStr">
        <is>
          <t>De NIVIA CUBILLOS ORDONES</t>
        </is>
      </c>
      <c r="D174" s="13" t="n">
        <v>15000</v>
      </c>
      <c r="E174" s="11" t="n">
        <v>141579.17</v>
      </c>
    </row>
    <row r="175">
      <c r="A175" s="11" t="n">
        <v>174</v>
      </c>
      <c r="B175" s="12" t="n">
        <v>46109</v>
      </c>
      <c r="C175" s="11" t="inlineStr">
        <is>
          <t>De STEFANY PAOLA CASANOVA</t>
        </is>
      </c>
      <c r="D175" s="13" t="n">
        <v>16800</v>
      </c>
      <c r="E175" s="11" t="n">
        <v>126579.17</v>
      </c>
    </row>
    <row r="176">
      <c r="A176" s="11" t="n">
        <v>175</v>
      </c>
      <c r="B176" s="12" t="n">
        <v>46109</v>
      </c>
      <c r="C176" s="11" t="inlineStr">
        <is>
          <t>Gravamen al Movimiento</t>
        </is>
      </c>
      <c r="D176" s="13" t="n">
        <v>-18358.85</v>
      </c>
      <c r="E176" s="11" t="n">
        <v>109779.17</v>
      </c>
    </row>
    <row r="177">
      <c r="A177" s="11" t="n">
        <v>176</v>
      </c>
      <c r="B177" s="12" t="n">
        <v>46109</v>
      </c>
      <c r="C177" s="11" t="inlineStr">
        <is>
          <t>COMPRA PSE EN Ajover SAS</t>
        </is>
      </c>
      <c r="D177" s="13" t="n">
        <v>-4589711</v>
      </c>
      <c r="E177" s="11" t="n">
        <v>128138.02</v>
      </c>
    </row>
    <row r="178">
      <c r="A178" s="11" t="n">
        <v>177</v>
      </c>
      <c r="B178" s="12" t="n">
        <v>46109</v>
      </c>
      <c r="C178" s="11" t="inlineStr">
        <is>
          <t>De YURI YOLANDA JOSA</t>
        </is>
      </c>
      <c r="D178" s="13" t="n">
        <v>40800</v>
      </c>
      <c r="E178" s="11" t="n">
        <v>4717849.02</v>
      </c>
    </row>
    <row r="179">
      <c r="A179" s="11" t="n">
        <v>178</v>
      </c>
      <c r="B179" s="12" t="n">
        <v>46109</v>
      </c>
      <c r="C179" s="11" t="inlineStr">
        <is>
          <t>De WILSON ALEXANDER</t>
        </is>
      </c>
      <c r="D179" s="13" t="n">
        <v>5000</v>
      </c>
      <c r="E179" s="11" t="n">
        <v>4677049.02</v>
      </c>
    </row>
    <row r="180">
      <c r="A180" s="11" t="n">
        <v>179</v>
      </c>
      <c r="B180" s="12" t="n">
        <v>46109</v>
      </c>
      <c r="C180" s="11" t="inlineStr">
        <is>
          <t>Recarga desde Bancolombia QR</t>
        </is>
      </c>
      <c r="D180" s="13" t="n">
        <v>4800</v>
      </c>
      <c r="E180" s="11" t="n">
        <v>4672049.02</v>
      </c>
    </row>
    <row r="181">
      <c r="A181" s="11" t="n">
        <v>180</v>
      </c>
      <c r="B181" s="12" t="n">
        <v>46108</v>
      </c>
      <c r="C181" s="11" t="inlineStr">
        <is>
          <t>RECIBI POR BRE-B DE: SANDRA</t>
        </is>
      </c>
      <c r="D181" s="13" t="n">
        <v>29100</v>
      </c>
      <c r="E181" s="11" t="n">
        <v>4667249.02</v>
      </c>
    </row>
    <row r="182">
      <c r="A182" s="11" t="n">
        <v>181</v>
      </c>
      <c r="B182" s="12" t="n">
        <v>46108</v>
      </c>
      <c r="C182" s="11" t="inlineStr">
        <is>
          <t>De LUIS JULIAN JURADO GORDO</t>
        </is>
      </c>
      <c r="D182" s="13" t="n">
        <v>23500</v>
      </c>
      <c r="E182" s="11" t="n">
        <v>4638149.02</v>
      </c>
    </row>
    <row r="183">
      <c r="A183" s="11" t="n">
        <v>182</v>
      </c>
      <c r="B183" s="12" t="n">
        <v>46108</v>
      </c>
      <c r="C183" s="11" t="inlineStr">
        <is>
          <t>De KATTY LORENY MARROQUIN</t>
        </is>
      </c>
      <c r="D183" s="13" t="n">
        <v>18800</v>
      </c>
      <c r="E183" s="11" t="n">
        <v>4614649.02</v>
      </c>
    </row>
    <row r="184">
      <c r="A184" s="11" t="n">
        <v>183</v>
      </c>
      <c r="B184" s="12" t="n">
        <v>46108</v>
      </c>
      <c r="C184" s="11" t="inlineStr">
        <is>
          <t>De ELIANA ESNEIDA ESCOBAR</t>
        </is>
      </c>
      <c r="D184" s="13" t="n">
        <v>16300</v>
      </c>
      <c r="E184" s="11" t="n">
        <v>4595849.02</v>
      </c>
    </row>
    <row r="185">
      <c r="A185" s="11" t="n">
        <v>184</v>
      </c>
      <c r="B185" s="12" t="n">
        <v>46108</v>
      </c>
      <c r="C185" s="11" t="inlineStr">
        <is>
          <t>De DIANA KATERINE CORDERO</t>
        </is>
      </c>
      <c r="D185" s="13" t="n">
        <v>42600</v>
      </c>
      <c r="E185" s="11" t="n">
        <v>4579549.02</v>
      </c>
    </row>
    <row r="186">
      <c r="A186" s="11" t="n">
        <v>185</v>
      </c>
      <c r="B186" s="12" t="n">
        <v>46108</v>
      </c>
      <c r="C186" s="11" t="inlineStr">
        <is>
          <t>De ANGEL BARNEY CABRERA</t>
        </is>
      </c>
      <c r="D186" s="13" t="n">
        <v>37000</v>
      </c>
      <c r="E186" s="11" t="n">
        <v>4536949.02</v>
      </c>
    </row>
    <row r="187">
      <c r="A187" s="11" t="n">
        <v>186</v>
      </c>
      <c r="B187" s="12" t="n">
        <v>46108</v>
      </c>
      <c r="C187" s="11" t="inlineStr">
        <is>
          <t>De CRISTIAN HERNANDO VEGA</t>
        </is>
      </c>
      <c r="D187" s="13" t="n">
        <v>29800</v>
      </c>
      <c r="E187" s="11" t="n">
        <v>4499949.02</v>
      </c>
    </row>
    <row r="188">
      <c r="A188" s="11" t="n">
        <v>187</v>
      </c>
      <c r="B188" s="12" t="n">
        <v>46108</v>
      </c>
      <c r="C188" s="11" t="inlineStr">
        <is>
          <t>De YIBI JHALINE REALPE DAZA</t>
        </is>
      </c>
      <c r="D188" s="13" t="n">
        <v>68000</v>
      </c>
      <c r="E188" s="11" t="n">
        <v>4470149.02</v>
      </c>
    </row>
    <row r="189">
      <c r="A189" s="11" t="n">
        <v>188</v>
      </c>
      <c r="B189" s="12" t="n">
        <v>46108</v>
      </c>
      <c r="C189" s="11" t="inlineStr">
        <is>
          <t>Recarga desde Bancolombia QR</t>
        </is>
      </c>
      <c r="D189" s="13" t="n">
        <v>71200</v>
      </c>
      <c r="E189" s="11" t="n">
        <v>4402149.02</v>
      </c>
    </row>
    <row r="190">
      <c r="A190" s="11" t="n">
        <v>189</v>
      </c>
      <c r="B190" s="12" t="n">
        <v>46108</v>
      </c>
      <c r="C190" s="11" t="inlineStr">
        <is>
          <t>De EDGAR ENRIQUE QUINONEZ</t>
        </is>
      </c>
      <c r="D190" s="13" t="n">
        <v>10200</v>
      </c>
      <c r="E190" s="11" t="n">
        <v>4330949.02</v>
      </c>
    </row>
    <row r="191">
      <c r="A191" s="11" t="n">
        <v>190</v>
      </c>
      <c r="B191" s="12" t="n">
        <v>46108</v>
      </c>
      <c r="C191" s="11" t="inlineStr">
        <is>
          <t>De YURI YOLANDA JOSA</t>
        </is>
      </c>
      <c r="D191" s="13" t="n">
        <v>22300</v>
      </c>
      <c r="E191" s="11" t="n">
        <v>4320749.02</v>
      </c>
    </row>
    <row r="192">
      <c r="A192" s="11" t="n">
        <v>191</v>
      </c>
      <c r="B192" s="12" t="n">
        <v>46108</v>
      </c>
      <c r="C192" s="11" t="inlineStr">
        <is>
          <t>De LILIANA ANDREA PANTOJA</t>
        </is>
      </c>
      <c r="D192" s="13" t="n">
        <v>30000</v>
      </c>
      <c r="E192" s="11" t="n">
        <v>4298449.02</v>
      </c>
    </row>
    <row r="193">
      <c r="A193" s="11" t="n">
        <v>192</v>
      </c>
      <c r="B193" s="12" t="n">
        <v>46108</v>
      </c>
      <c r="C193" s="11" t="inlineStr">
        <is>
          <t>De ANA DEL CARMEN ALVAREZ</t>
        </is>
      </c>
      <c r="D193" s="13" t="n">
        <v>9400</v>
      </c>
      <c r="E193" s="11" t="n">
        <v>4268449.02</v>
      </c>
    </row>
    <row r="194">
      <c r="A194" s="11" t="n">
        <v>193</v>
      </c>
      <c r="B194" s="12" t="n">
        <v>46108</v>
      </c>
      <c r="C194" s="11" t="inlineStr">
        <is>
          <t>De JAMES MUNOZ PIPICANO</t>
        </is>
      </c>
      <c r="D194" s="13" t="n">
        <v>10000</v>
      </c>
      <c r="E194" s="11" t="n">
        <v>4259049.02</v>
      </c>
    </row>
    <row r="195">
      <c r="A195" s="11" t="n">
        <v>194</v>
      </c>
      <c r="B195" s="12" t="n">
        <v>46108</v>
      </c>
      <c r="C195" s="11" t="inlineStr">
        <is>
          <t>De JUAN DAVID ZAMBRANO</t>
        </is>
      </c>
      <c r="D195" s="13" t="n">
        <v>16900</v>
      </c>
      <c r="E195" s="11" t="n">
        <v>4249049.02</v>
      </c>
    </row>
    <row r="196">
      <c r="A196" s="11" t="n">
        <v>195</v>
      </c>
      <c r="B196" s="12" t="n">
        <v>46108</v>
      </c>
      <c r="C196" s="11" t="inlineStr">
        <is>
          <t>De DIANA KATERINE CORDERO</t>
        </is>
      </c>
      <c r="D196" s="13" t="n">
        <v>8600</v>
      </c>
      <c r="E196" s="11" t="n">
        <v>4232149.02</v>
      </c>
    </row>
    <row r="197">
      <c r="A197" s="11" t="n">
        <v>196</v>
      </c>
      <c r="B197" s="12" t="n">
        <v>46108</v>
      </c>
      <c r="C197" s="11" t="inlineStr">
        <is>
          <t>De ADRIANA NATHALY VASQUEZ</t>
        </is>
      </c>
      <c r="D197" s="13" t="n">
        <v>16500</v>
      </c>
      <c r="E197" s="11" t="n">
        <v>4223549.02</v>
      </c>
    </row>
    <row r="198">
      <c r="A198" s="11" t="n">
        <v>197</v>
      </c>
      <c r="B198" s="12" t="n">
        <v>46108</v>
      </c>
      <c r="C198" s="11" t="inlineStr">
        <is>
          <t>RECIBI POR BRE-B DE: EDISSON</t>
        </is>
      </c>
      <c r="D198" s="13" t="n">
        <v>8900</v>
      </c>
      <c r="E198" s="11" t="n">
        <v>4207049.02</v>
      </c>
    </row>
    <row r="199">
      <c r="A199" s="11" t="n">
        <v>198</v>
      </c>
      <c r="B199" s="12" t="n">
        <v>46108</v>
      </c>
      <c r="C199" s="11" t="inlineStr">
        <is>
          <t>Recarga desde Bancolombia QR</t>
        </is>
      </c>
      <c r="D199" s="13" t="n">
        <v>13200</v>
      </c>
      <c r="E199" s="11" t="n">
        <v>4198149.02</v>
      </c>
    </row>
    <row r="200">
      <c r="A200" s="11" t="n">
        <v>199</v>
      </c>
      <c r="B200" s="12" t="n">
        <v>46108</v>
      </c>
      <c r="C200" s="11" t="inlineStr">
        <is>
          <t>De DORA ANGELA BURBANO</t>
        </is>
      </c>
      <c r="D200" s="13" t="n">
        <v>9400</v>
      </c>
      <c r="E200" s="11" t="n">
        <v>4184949.02</v>
      </c>
    </row>
    <row r="201">
      <c r="A201" s="11" t="n">
        <v>200</v>
      </c>
      <c r="B201" s="12" t="n">
        <v>46108</v>
      </c>
      <c r="C201" s="11" t="inlineStr">
        <is>
          <t>De JESICA MILENA NACEQUIA</t>
        </is>
      </c>
      <c r="D201" s="13" t="n">
        <v>12300</v>
      </c>
      <c r="E201" s="11" t="n">
        <v>4175549.02</v>
      </c>
    </row>
    <row r="202">
      <c r="A202" s="11" t="n">
        <v>201</v>
      </c>
      <c r="B202" s="12" t="n">
        <v>46108</v>
      </c>
      <c r="C202" s="11" t="inlineStr">
        <is>
          <t>De BRIYITH DAYANA YELA</t>
        </is>
      </c>
      <c r="D202" s="13" t="n">
        <v>8600</v>
      </c>
      <c r="E202" s="11" t="n">
        <v>4163249.02</v>
      </c>
    </row>
    <row r="203">
      <c r="A203" s="11" t="n">
        <v>202</v>
      </c>
      <c r="B203" s="12" t="n">
        <v>46108</v>
      </c>
      <c r="C203" s="11" t="inlineStr">
        <is>
          <t>De HUGO GABRIEL ARAGON</t>
        </is>
      </c>
      <c r="D203" s="13" t="n">
        <v>12600</v>
      </c>
      <c r="E203" s="11" t="n">
        <v>4154649.02</v>
      </c>
    </row>
    <row r="204">
      <c r="A204" s="11" t="n">
        <v>203</v>
      </c>
      <c r="B204" s="12" t="n">
        <v>46108</v>
      </c>
      <c r="C204" s="11" t="inlineStr">
        <is>
          <t>De JENIFER ROSERO LUNA</t>
        </is>
      </c>
      <c r="D204" s="13" t="n">
        <v>18800</v>
      </c>
      <c r="E204" s="11" t="n">
        <v>4142049.02</v>
      </c>
    </row>
    <row r="205">
      <c r="A205" s="11" t="n">
        <v>204</v>
      </c>
      <c r="B205" s="12" t="n">
        <v>46108</v>
      </c>
      <c r="C205" s="11" t="inlineStr">
        <is>
          <t>De DOLY VARGAS GAMBOA</t>
        </is>
      </c>
      <c r="D205" s="13" t="n">
        <v>33200</v>
      </c>
      <c r="E205" s="11" t="n">
        <v>4123249.02</v>
      </c>
    </row>
    <row r="206">
      <c r="A206" s="11" t="n">
        <v>205</v>
      </c>
      <c r="B206" s="12" t="n">
        <v>46108</v>
      </c>
      <c r="C206" s="11" t="inlineStr">
        <is>
          <t>De MONICA LEINETH BURBANO</t>
        </is>
      </c>
      <c r="D206" s="13" t="n">
        <v>4000</v>
      </c>
      <c r="E206" s="11" t="n">
        <v>4090049.02</v>
      </c>
    </row>
    <row r="207">
      <c r="A207" s="11" t="n">
        <v>206</v>
      </c>
      <c r="B207" s="12" t="n">
        <v>46108</v>
      </c>
      <c r="C207" s="11" t="inlineStr">
        <is>
          <t>De MONICA LEINETH BURBANO</t>
        </is>
      </c>
      <c r="D207" s="13" t="n">
        <v>46600</v>
      </c>
      <c r="E207" s="11" t="n">
        <v>4086049.02</v>
      </c>
    </row>
    <row r="208">
      <c r="A208" s="11" t="n">
        <v>207</v>
      </c>
      <c r="B208" s="12" t="n">
        <v>46108</v>
      </c>
      <c r="C208" s="11" t="inlineStr">
        <is>
          <t>De KEVIN GUANGA</t>
        </is>
      </c>
      <c r="D208" s="13" t="n">
        <v>20300</v>
      </c>
      <c r="E208" s="11" t="n">
        <v>4039449.02</v>
      </c>
    </row>
    <row r="209">
      <c r="A209" s="11" t="n">
        <v>208</v>
      </c>
      <c r="B209" s="12" t="n">
        <v>46108</v>
      </c>
      <c r="C209" s="11" t="inlineStr">
        <is>
          <t>De JEISSON ORLIN CHAMORRO</t>
        </is>
      </c>
      <c r="D209" s="13" t="n">
        <v>37000</v>
      </c>
      <c r="E209" s="11" t="n">
        <v>4019149.02</v>
      </c>
    </row>
    <row r="210">
      <c r="A210" s="11" t="n">
        <v>209</v>
      </c>
      <c r="B210" s="12" t="n">
        <v>46108</v>
      </c>
      <c r="C210" s="11" t="inlineStr">
        <is>
          <t>De YESIKA ALEJANDRA RIVERA</t>
        </is>
      </c>
      <c r="D210" s="13" t="n">
        <v>262700</v>
      </c>
      <c r="E210" s="11" t="n">
        <v>3982149.02</v>
      </c>
    </row>
    <row r="211">
      <c r="A211" s="11" t="n">
        <v>210</v>
      </c>
      <c r="B211" s="12" t="n">
        <v>46108</v>
      </c>
      <c r="C211" s="11" t="inlineStr">
        <is>
          <t>De DINA LUZ MENDEZ</t>
        </is>
      </c>
      <c r="D211" s="13" t="n">
        <v>13400</v>
      </c>
      <c r="E211" s="11" t="n">
        <v>3719449.02</v>
      </c>
    </row>
    <row r="212">
      <c r="A212" s="11" t="n">
        <v>211</v>
      </c>
      <c r="B212" s="12" t="n">
        <v>46108</v>
      </c>
      <c r="C212" s="11" t="inlineStr">
        <is>
          <t>De KAREN TATIANA CANGREJO</t>
        </is>
      </c>
      <c r="D212" s="13" t="n">
        <v>13200</v>
      </c>
      <c r="E212" s="11" t="n">
        <v>3706049.02</v>
      </c>
    </row>
    <row r="213">
      <c r="A213" s="11" t="n">
        <v>212</v>
      </c>
      <c r="B213" s="12" t="n">
        <v>46108</v>
      </c>
      <c r="C213" s="11" t="inlineStr">
        <is>
          <t>De PATRICIA PEREZ BECERRA</t>
        </is>
      </c>
      <c r="D213" s="13" t="n">
        <v>11100</v>
      </c>
      <c r="E213" s="11" t="n">
        <v>3692849.02</v>
      </c>
    </row>
    <row r="214">
      <c r="A214" s="11" t="n">
        <v>213</v>
      </c>
      <c r="B214" s="12" t="n">
        <v>46108</v>
      </c>
      <c r="C214" s="11" t="inlineStr">
        <is>
          <t>De NAHOMY BRAVO ZUNIGA</t>
        </is>
      </c>
      <c r="D214" s="13" t="n">
        <v>9100</v>
      </c>
      <c r="E214" s="11" t="n">
        <v>3681749.02</v>
      </c>
    </row>
    <row r="215">
      <c r="A215" s="11" t="n">
        <v>214</v>
      </c>
      <c r="B215" s="12" t="n">
        <v>46108</v>
      </c>
      <c r="C215" s="11" t="inlineStr">
        <is>
          <t>De ERIKA YULISSA ROSALES</t>
        </is>
      </c>
      <c r="D215" s="13" t="n">
        <v>400</v>
      </c>
      <c r="E215" s="11" t="n">
        <v>3672649.02</v>
      </c>
    </row>
    <row r="216">
      <c r="A216" s="11" t="n">
        <v>215</v>
      </c>
      <c r="B216" s="12" t="n">
        <v>46108</v>
      </c>
      <c r="C216" s="11" t="inlineStr">
        <is>
          <t>De AZUCENA FRANCO RUBIANO</t>
        </is>
      </c>
      <c r="D216" s="13" t="n">
        <v>12800</v>
      </c>
      <c r="E216" s="11" t="n">
        <v>3672249.02</v>
      </c>
    </row>
    <row r="217">
      <c r="A217" s="11" t="n">
        <v>216</v>
      </c>
      <c r="B217" s="12" t="n">
        <v>46108</v>
      </c>
      <c r="C217" s="11" t="inlineStr">
        <is>
          <t>De ERIKA MARCELA MUNOZ</t>
        </is>
      </c>
      <c r="D217" s="13" t="n">
        <v>32800</v>
      </c>
      <c r="E217" s="11" t="n">
        <v>3659449.02</v>
      </c>
    </row>
    <row r="218">
      <c r="A218" s="11" t="n">
        <v>217</v>
      </c>
      <c r="B218" s="12" t="n">
        <v>46108</v>
      </c>
      <c r="C218" s="11" t="inlineStr">
        <is>
          <t>Recarga desde Bancolombia QR</t>
        </is>
      </c>
      <c r="D218" s="13" t="n">
        <v>7200</v>
      </c>
      <c r="E218" s="11" t="n">
        <v>3626649.02</v>
      </c>
    </row>
    <row r="219">
      <c r="A219" s="11" t="n">
        <v>218</v>
      </c>
      <c r="B219" s="12" t="n">
        <v>46108</v>
      </c>
      <c r="C219" s="11" t="inlineStr">
        <is>
          <t>De DARWIN ARLEY CUACIALPUD</t>
        </is>
      </c>
      <c r="D219" s="13" t="n">
        <v>12500</v>
      </c>
      <c r="E219" s="11" t="n">
        <v>3619449.02</v>
      </c>
    </row>
    <row r="220">
      <c r="A220" s="11" t="n">
        <v>219</v>
      </c>
      <c r="B220" s="12" t="n">
        <v>46108</v>
      </c>
      <c r="C220" s="11" t="inlineStr">
        <is>
          <t>De MARILUZ ARMERO</t>
        </is>
      </c>
      <c r="D220" s="13" t="n">
        <v>18800</v>
      </c>
      <c r="E220" s="11" t="n">
        <v>3606949.02</v>
      </c>
    </row>
    <row r="221">
      <c r="A221" s="11" t="n">
        <v>220</v>
      </c>
      <c r="B221" s="12" t="n">
        <v>46108</v>
      </c>
      <c r="C221" s="11" t="inlineStr">
        <is>
          <t>De WILSON ALEXANDER</t>
        </is>
      </c>
      <c r="D221" s="13" t="n">
        <v>13000</v>
      </c>
      <c r="E221" s="11" t="n">
        <v>3588149.02</v>
      </c>
    </row>
    <row r="222">
      <c r="A222" s="11" t="n">
        <v>221</v>
      </c>
      <c r="B222" s="12" t="n">
        <v>46107</v>
      </c>
      <c r="C222" s="11" t="inlineStr">
        <is>
          <t>De JEIMY TATIANA DIAZ</t>
        </is>
      </c>
      <c r="D222" s="13" t="n">
        <v>13800</v>
      </c>
      <c r="E222" s="11" t="n">
        <v>3575149.02</v>
      </c>
    </row>
    <row r="223">
      <c r="A223" s="11" t="n">
        <v>222</v>
      </c>
      <c r="B223" s="12" t="n">
        <v>46107</v>
      </c>
      <c r="C223" s="11" t="inlineStr">
        <is>
          <t>De SANDRA DORELY POTOSI</t>
        </is>
      </c>
      <c r="D223" s="13" t="n">
        <v>7500</v>
      </c>
      <c r="E223" s="11" t="n">
        <v>3561349.02</v>
      </c>
    </row>
    <row r="224">
      <c r="A224" s="11" t="n">
        <v>223</v>
      </c>
      <c r="B224" s="12" t="n">
        <v>46107</v>
      </c>
      <c r="C224" s="11" t="inlineStr">
        <is>
          <t>De LUISA FERNANDA</t>
        </is>
      </c>
      <c r="D224" s="13" t="n">
        <v>6500</v>
      </c>
      <c r="E224" s="11" t="n">
        <v>3553849.02</v>
      </c>
    </row>
    <row r="225">
      <c r="A225" s="11" t="n">
        <v>224</v>
      </c>
      <c r="B225" s="12" t="n">
        <v>46107</v>
      </c>
      <c r="C225" s="11" t="inlineStr">
        <is>
          <t>De FRANKLIN NORBEY</t>
        </is>
      </c>
      <c r="D225" s="13" t="n">
        <v>14800</v>
      </c>
      <c r="E225" s="11" t="n">
        <v>3547349.02</v>
      </c>
    </row>
    <row r="226">
      <c r="A226" s="11" t="n">
        <v>225</v>
      </c>
      <c r="B226" s="12" t="n">
        <v>46107</v>
      </c>
      <c r="C226" s="11" t="inlineStr">
        <is>
          <t>Pago de Intereses</t>
        </is>
      </c>
      <c r="D226" s="13" t="n">
        <v>229.52</v>
      </c>
      <c r="E226" s="11" t="n">
        <v>3532549.02</v>
      </c>
    </row>
    <row r="227">
      <c r="A227" s="11" t="n">
        <v>226</v>
      </c>
      <c r="B227" s="12" t="n">
        <v>46107</v>
      </c>
      <c r="C227" s="11" t="inlineStr">
        <is>
          <t>De KAROL DAYANNA MOLINA</t>
        </is>
      </c>
      <c r="D227" s="13" t="n">
        <v>27800</v>
      </c>
      <c r="E227" s="11" t="n">
        <v>3532319.5</v>
      </c>
    </row>
    <row r="228">
      <c r="A228" s="11" t="n">
        <v>227</v>
      </c>
      <c r="B228" s="12" t="n">
        <v>46107</v>
      </c>
      <c r="C228" s="11" t="inlineStr">
        <is>
          <t>De YESIKA ALEJANDRA RIVERA</t>
        </is>
      </c>
      <c r="D228" s="13" t="n">
        <v>35000</v>
      </c>
      <c r="E228" s="11" t="n">
        <v>3504519.5</v>
      </c>
    </row>
    <row r="229">
      <c r="A229" s="11" t="n">
        <v>228</v>
      </c>
      <c r="B229" s="12" t="n">
        <v>46107</v>
      </c>
      <c r="C229" s="11" t="inlineStr">
        <is>
          <t>De MARIA ARACELI RAYO</t>
        </is>
      </c>
      <c r="D229" s="13" t="n">
        <v>11400</v>
      </c>
      <c r="E229" s="11" t="n">
        <v>3469519.5</v>
      </c>
    </row>
    <row r="230">
      <c r="A230" s="11" t="n">
        <v>229</v>
      </c>
      <c r="B230" s="12" t="n">
        <v>46107</v>
      </c>
      <c r="C230" s="11" t="inlineStr">
        <is>
          <t>De NIVIA CUBILLOS ORDONES</t>
        </is>
      </c>
      <c r="D230" s="13" t="n">
        <v>11700</v>
      </c>
      <c r="E230" s="11" t="n">
        <v>3458119.5</v>
      </c>
    </row>
    <row r="231">
      <c r="A231" s="11" t="n">
        <v>230</v>
      </c>
      <c r="B231" s="12" t="n">
        <v>46107</v>
      </c>
      <c r="C231" s="11" t="inlineStr">
        <is>
          <t>De CRISTIAN DAVID ALVAREZ</t>
        </is>
      </c>
      <c r="D231" s="13" t="n">
        <v>14400</v>
      </c>
      <c r="E231" s="11" t="n">
        <v>3446419.5</v>
      </c>
    </row>
    <row r="232">
      <c r="A232" s="11" t="n">
        <v>231</v>
      </c>
      <c r="B232" s="12" t="n">
        <v>46107</v>
      </c>
      <c r="C232" s="11" t="inlineStr">
        <is>
          <t>De LINDA LUCIA YEPES</t>
        </is>
      </c>
      <c r="D232" s="13" t="n">
        <v>17500</v>
      </c>
      <c r="E232" s="11" t="n">
        <v>3432019.5</v>
      </c>
    </row>
    <row r="233">
      <c r="A233" s="11" t="n">
        <v>232</v>
      </c>
      <c r="B233" s="12" t="n">
        <v>46107</v>
      </c>
      <c r="C233" s="11" t="inlineStr">
        <is>
          <t>De YESID FLOREZ LONDONO</t>
        </is>
      </c>
      <c r="D233" s="13" t="n">
        <v>36000</v>
      </c>
      <c r="E233" s="11" t="n">
        <v>3414519.5</v>
      </c>
    </row>
    <row r="234">
      <c r="A234" s="11" t="n">
        <v>233</v>
      </c>
      <c r="B234" s="12" t="n">
        <v>46107</v>
      </c>
      <c r="C234" s="11" t="inlineStr">
        <is>
          <t>De PAULA ANDREA BERNAL</t>
        </is>
      </c>
      <c r="D234" s="13" t="n">
        <v>7000</v>
      </c>
      <c r="E234" s="11" t="n">
        <v>3378519.5</v>
      </c>
    </row>
    <row r="235">
      <c r="A235" s="11" t="n">
        <v>234</v>
      </c>
      <c r="B235" s="12" t="n">
        <v>46107</v>
      </c>
      <c r="C235" s="11" t="inlineStr">
        <is>
          <t>De JHON ALEXANDER SANCHEZ</t>
        </is>
      </c>
      <c r="D235" s="13" t="n">
        <v>41700</v>
      </c>
      <c r="E235" s="11" t="n">
        <v>3371519.5</v>
      </c>
    </row>
    <row r="236">
      <c r="A236" s="11" t="n">
        <v>235</v>
      </c>
      <c r="B236" s="12" t="n">
        <v>46107</v>
      </c>
      <c r="C236" s="11" t="inlineStr">
        <is>
          <t>Recarga desde Bancolombia</t>
        </is>
      </c>
      <c r="D236" s="13" t="n">
        <v>26100</v>
      </c>
      <c r="E236" s="11" t="n">
        <v>3329819.5</v>
      </c>
    </row>
    <row r="237">
      <c r="A237" s="11" t="n">
        <v>236</v>
      </c>
      <c r="B237" s="12" t="n">
        <v>46107</v>
      </c>
      <c r="C237" s="11" t="inlineStr">
        <is>
          <t>De OSCAR CARRETERO DIAZ</t>
        </is>
      </c>
      <c r="D237" s="13" t="n">
        <v>13000</v>
      </c>
      <c r="E237" s="11" t="n">
        <v>3303719.5</v>
      </c>
    </row>
    <row r="238">
      <c r="A238" s="11" t="n">
        <v>237</v>
      </c>
      <c r="B238" s="12" t="n">
        <v>46107</v>
      </c>
      <c r="C238" s="11" t="inlineStr">
        <is>
          <t>De NATALY ALEXANDRA MILLAN</t>
        </is>
      </c>
      <c r="D238" s="13" t="n">
        <v>14900</v>
      </c>
      <c r="E238" s="11" t="n">
        <v>3290719.5</v>
      </c>
    </row>
    <row r="239">
      <c r="A239" s="11" t="n">
        <v>238</v>
      </c>
      <c r="B239" s="12" t="n">
        <v>46107</v>
      </c>
      <c r="C239" s="11" t="inlineStr">
        <is>
          <t>De YUDI ALEXANDRA</t>
        </is>
      </c>
      <c r="D239" s="13" t="n">
        <v>51200</v>
      </c>
      <c r="E239" s="11" t="n">
        <v>3275819.5</v>
      </c>
    </row>
    <row r="240">
      <c r="A240" s="11" t="n">
        <v>239</v>
      </c>
      <c r="B240" s="12" t="n">
        <v>46107</v>
      </c>
      <c r="C240" s="11" t="inlineStr">
        <is>
          <t>De KAREN TATIANA RODRIGUEZ</t>
        </is>
      </c>
      <c r="D240" s="13" t="n">
        <v>13000</v>
      </c>
      <c r="E240" s="11" t="n">
        <v>3224619.5</v>
      </c>
    </row>
    <row r="241">
      <c r="A241" s="11" t="n">
        <v>240</v>
      </c>
      <c r="B241" s="12" t="n">
        <v>46107</v>
      </c>
      <c r="C241" s="11" t="inlineStr">
        <is>
          <t>De JOHAN ALDANA RENTERIA</t>
        </is>
      </c>
      <c r="D241" s="13" t="n">
        <v>4200</v>
      </c>
      <c r="E241" s="11" t="n">
        <v>3211619.5</v>
      </c>
    </row>
    <row r="242">
      <c r="A242" s="11" t="n">
        <v>241</v>
      </c>
      <c r="B242" s="12" t="n">
        <v>46107</v>
      </c>
      <c r="C242" s="11" t="inlineStr">
        <is>
          <t>De MARIO ANDRES GALLON</t>
        </is>
      </c>
      <c r="D242" s="13" t="n">
        <v>11300</v>
      </c>
      <c r="E242" s="11" t="n">
        <v>3207419.5</v>
      </c>
    </row>
    <row r="243">
      <c r="A243" s="11" t="n">
        <v>242</v>
      </c>
      <c r="B243" s="12" t="n">
        <v>46107</v>
      </c>
      <c r="C243" s="11" t="inlineStr">
        <is>
          <t>De NOLBERTO JAIR MARTINEZ</t>
        </is>
      </c>
      <c r="D243" s="13" t="n">
        <v>11500</v>
      </c>
      <c r="E243" s="11" t="n">
        <v>3196119.5</v>
      </c>
    </row>
    <row r="244">
      <c r="A244" s="11" t="n">
        <v>243</v>
      </c>
      <c r="B244" s="12" t="n">
        <v>46107</v>
      </c>
      <c r="C244" s="11" t="inlineStr">
        <is>
          <t>De CLARA ALICIA MANTILLA</t>
        </is>
      </c>
      <c r="D244" s="13" t="n">
        <v>55100</v>
      </c>
      <c r="E244" s="11" t="n">
        <v>3184619.5</v>
      </c>
    </row>
    <row r="245">
      <c r="A245" s="11" t="n">
        <v>244</v>
      </c>
      <c r="B245" s="12" t="n">
        <v>46107</v>
      </c>
      <c r="C245" s="11" t="inlineStr">
        <is>
          <t>De LUIS CARLOS OROZCO URAN</t>
        </is>
      </c>
      <c r="D245" s="13" t="n">
        <v>19500</v>
      </c>
      <c r="E245" s="11" t="n">
        <v>3129519.5</v>
      </c>
    </row>
    <row r="246">
      <c r="A246" s="11" t="n">
        <v>245</v>
      </c>
      <c r="B246" s="12" t="n">
        <v>46107</v>
      </c>
      <c r="C246" s="11" t="inlineStr">
        <is>
          <t>De ANGELA MARIA</t>
        </is>
      </c>
      <c r="D246" s="13" t="n">
        <v>7800</v>
      </c>
      <c r="E246" s="11" t="n">
        <v>3110019.5</v>
      </c>
    </row>
    <row r="247">
      <c r="A247" s="11" t="n">
        <v>246</v>
      </c>
      <c r="B247" s="12" t="n">
        <v>46107</v>
      </c>
      <c r="C247" s="11" t="inlineStr">
        <is>
          <t>De ANGELA MARIA</t>
        </is>
      </c>
      <c r="D247" s="13" t="n">
        <v>22100</v>
      </c>
      <c r="E247" s="11" t="n">
        <v>3102219.5</v>
      </c>
    </row>
    <row r="248">
      <c r="A248" s="11" t="n">
        <v>247</v>
      </c>
      <c r="B248" s="12" t="n">
        <v>46107</v>
      </c>
      <c r="C248" s="11" t="inlineStr">
        <is>
          <t>De DIANA KATHERINE MARIN</t>
        </is>
      </c>
      <c r="D248" s="13" t="n">
        <v>12000</v>
      </c>
      <c r="E248" s="11" t="n">
        <v>3080119.5</v>
      </c>
    </row>
    <row r="249">
      <c r="A249" s="11" t="n">
        <v>248</v>
      </c>
      <c r="B249" s="12" t="n">
        <v>46107</v>
      </c>
      <c r="C249" s="11" t="inlineStr">
        <is>
          <t>De SIRLEN CASTILLO</t>
        </is>
      </c>
      <c r="D249" s="13" t="n">
        <v>10000</v>
      </c>
      <c r="E249" s="11" t="n">
        <v>3068119.5</v>
      </c>
    </row>
    <row r="250">
      <c r="A250" s="11" t="n">
        <v>249</v>
      </c>
      <c r="B250" s="12" t="n">
        <v>46107</v>
      </c>
      <c r="C250" s="11" t="inlineStr">
        <is>
          <t>De MARLON STIVEN JURADO</t>
        </is>
      </c>
      <c r="D250" s="13" t="n">
        <v>4700</v>
      </c>
      <c r="E250" s="11" t="n">
        <v>3058119.5</v>
      </c>
    </row>
    <row r="251">
      <c r="A251" s="11" t="n">
        <v>250</v>
      </c>
      <c r="B251" s="12" t="n">
        <v>46107</v>
      </c>
      <c r="C251" s="11" t="inlineStr">
        <is>
          <t>De JENNIFER PAOLA YARCE</t>
        </is>
      </c>
      <c r="D251" s="13" t="n">
        <v>8000</v>
      </c>
      <c r="E251" s="11" t="n">
        <v>3053419.5</v>
      </c>
    </row>
    <row r="252">
      <c r="A252" s="11" t="n">
        <v>251</v>
      </c>
      <c r="B252" s="12" t="n">
        <v>46107</v>
      </c>
      <c r="C252" s="11" t="inlineStr">
        <is>
          <t>De SIRLEN CASTILLO</t>
        </is>
      </c>
      <c r="D252" s="13" t="n">
        <v>40000</v>
      </c>
      <c r="E252" s="11" t="n">
        <v>3045419.5</v>
      </c>
    </row>
    <row r="253">
      <c r="A253" s="11" t="n">
        <v>252</v>
      </c>
      <c r="B253" s="12" t="n">
        <v>46107</v>
      </c>
      <c r="C253" s="11" t="inlineStr">
        <is>
          <t>De ANYERLI JULIETH</t>
        </is>
      </c>
      <c r="D253" s="13" t="n">
        <v>43200</v>
      </c>
      <c r="E253" s="11" t="n">
        <v>3005419.5</v>
      </c>
    </row>
    <row r="254">
      <c r="A254" s="11" t="n">
        <v>253</v>
      </c>
      <c r="B254" s="12" t="n">
        <v>46107</v>
      </c>
      <c r="C254" s="11" t="inlineStr">
        <is>
          <t>De ISMENIA CAHUASA ANGULO</t>
        </is>
      </c>
      <c r="D254" s="13" t="n">
        <v>22400</v>
      </c>
      <c r="E254" s="11" t="n">
        <v>2962219.5</v>
      </c>
    </row>
    <row r="255">
      <c r="A255" s="11" t="n">
        <v>254</v>
      </c>
      <c r="B255" s="12" t="n">
        <v>46107</v>
      </c>
      <c r="C255" s="11" t="inlineStr">
        <is>
          <t>De KAREN TATIANA RODRIGUEZ</t>
        </is>
      </c>
      <c r="D255" s="13" t="n">
        <v>10000</v>
      </c>
      <c r="E255" s="11" t="n">
        <v>2939819.5</v>
      </c>
    </row>
    <row r="256">
      <c r="A256" s="11" t="n">
        <v>255</v>
      </c>
      <c r="B256" s="12" t="n">
        <v>46107</v>
      </c>
      <c r="C256" s="11" t="inlineStr">
        <is>
          <t>De DINA LUZ MENDEZ</t>
        </is>
      </c>
      <c r="D256" s="13" t="n">
        <v>10000</v>
      </c>
      <c r="E256" s="11" t="n">
        <v>2929819.5</v>
      </c>
    </row>
    <row r="257">
      <c r="A257" s="11" t="n">
        <v>256</v>
      </c>
      <c r="B257" s="12" t="n">
        <v>46107</v>
      </c>
      <c r="C257" s="11" t="inlineStr">
        <is>
          <t>De DANIELA FERNANDA AVILA</t>
        </is>
      </c>
      <c r="D257" s="13" t="n">
        <v>25800</v>
      </c>
      <c r="E257" s="11" t="n">
        <v>2919819.5</v>
      </c>
    </row>
    <row r="258">
      <c r="A258" s="11" t="n">
        <v>257</v>
      </c>
      <c r="B258" s="12" t="n">
        <v>46107</v>
      </c>
      <c r="C258" s="11" t="inlineStr">
        <is>
          <t>De DANIEL REINALDO BRAVO</t>
        </is>
      </c>
      <c r="D258" s="13" t="n">
        <v>5120</v>
      </c>
      <c r="E258" s="11" t="n">
        <v>2894019.5</v>
      </c>
    </row>
    <row r="259">
      <c r="A259" s="11" t="n">
        <v>258</v>
      </c>
      <c r="B259" s="12" t="n">
        <v>46107</v>
      </c>
      <c r="C259" s="11" t="inlineStr">
        <is>
          <t>De CARMEN DANIELA CARVAJAL</t>
        </is>
      </c>
      <c r="D259" s="13" t="n">
        <v>9500</v>
      </c>
      <c r="E259" s="11" t="n">
        <v>2888899.5</v>
      </c>
    </row>
    <row r="260">
      <c r="A260" s="11" t="n">
        <v>259</v>
      </c>
      <c r="B260" s="12" t="n">
        <v>46107</v>
      </c>
      <c r="C260" s="11" t="inlineStr">
        <is>
          <t>De JORGE ELIAS SALAZAR</t>
        </is>
      </c>
      <c r="D260" s="13" t="n">
        <v>17000</v>
      </c>
      <c r="E260" s="11" t="n">
        <v>2879399.5</v>
      </c>
    </row>
    <row r="261">
      <c r="A261" s="11" t="n">
        <v>260</v>
      </c>
      <c r="B261" s="12" t="n">
        <v>46107</v>
      </c>
      <c r="C261" s="11" t="inlineStr">
        <is>
          <t>De NIVIA CUBILLOS ORDONES</t>
        </is>
      </c>
      <c r="D261" s="13" t="n">
        <v>16800</v>
      </c>
      <c r="E261" s="11" t="n">
        <v>2862399.5</v>
      </c>
    </row>
    <row r="262">
      <c r="A262" s="11" t="n">
        <v>261</v>
      </c>
      <c r="B262" s="12" t="n">
        <v>46107</v>
      </c>
      <c r="C262" s="11" t="inlineStr">
        <is>
          <t>De ANA TERESA OROPEZA</t>
        </is>
      </c>
      <c r="D262" s="13" t="n">
        <v>13400</v>
      </c>
      <c r="E262" s="11" t="n">
        <v>2845599.5</v>
      </c>
    </row>
    <row r="263">
      <c r="A263" s="11" t="n">
        <v>262</v>
      </c>
      <c r="B263" s="12" t="n">
        <v>46107</v>
      </c>
      <c r="C263" s="11" t="inlineStr">
        <is>
          <t>De JAIME PAEZ MANRIQUE</t>
        </is>
      </c>
      <c r="D263" s="13" t="n">
        <v>13100</v>
      </c>
      <c r="E263" s="11" t="n">
        <v>2832199.5</v>
      </c>
    </row>
    <row r="264">
      <c r="A264" s="11" t="n">
        <v>263</v>
      </c>
      <c r="B264" s="12" t="n">
        <v>46107</v>
      </c>
      <c r="C264" s="11" t="inlineStr">
        <is>
          <t>De EVA LINET DIAZ</t>
        </is>
      </c>
      <c r="D264" s="13" t="n">
        <v>16800</v>
      </c>
      <c r="E264" s="11" t="n">
        <v>2819099.5</v>
      </c>
    </row>
    <row r="265">
      <c r="A265" s="11" t="n">
        <v>264</v>
      </c>
      <c r="B265" s="12" t="n">
        <v>46107</v>
      </c>
      <c r="C265" s="11" t="inlineStr">
        <is>
          <t>De JOSE PATINO VEGA</t>
        </is>
      </c>
      <c r="D265" s="13" t="n">
        <v>7900</v>
      </c>
      <c r="E265" s="11" t="n">
        <v>2802299.5</v>
      </c>
    </row>
    <row r="266">
      <c r="A266" s="11" t="n">
        <v>265</v>
      </c>
      <c r="B266" s="12" t="n">
        <v>46107</v>
      </c>
      <c r="C266" s="11" t="inlineStr">
        <is>
          <t>De LUISA FERNANDA</t>
        </is>
      </c>
      <c r="D266" s="13" t="n">
        <v>21000</v>
      </c>
      <c r="E266" s="11" t="n">
        <v>2794399.5</v>
      </c>
    </row>
    <row r="267">
      <c r="A267" s="11" t="n">
        <v>266</v>
      </c>
      <c r="B267" s="12" t="n">
        <v>46106</v>
      </c>
      <c r="C267" s="11" t="inlineStr">
        <is>
          <t>De SANDRA DORELY POTOSI</t>
        </is>
      </c>
      <c r="D267" s="13" t="n">
        <v>20600</v>
      </c>
      <c r="E267" s="11" t="n">
        <v>2773399.5</v>
      </c>
    </row>
    <row r="268">
      <c r="A268" s="11" t="n">
        <v>267</v>
      </c>
      <c r="B268" s="12" t="n">
        <v>46106</v>
      </c>
      <c r="C268" s="11" t="inlineStr">
        <is>
          <t>De WILSON ALEXANDER</t>
        </is>
      </c>
      <c r="D268" s="13" t="n">
        <v>21200</v>
      </c>
      <c r="E268" s="11" t="n">
        <v>2752799.5</v>
      </c>
    </row>
    <row r="269">
      <c r="A269" s="11" t="n">
        <v>268</v>
      </c>
      <c r="B269" s="12" t="n">
        <v>46106</v>
      </c>
      <c r="C269" s="11" t="inlineStr">
        <is>
          <t>De CARLA PATRICIA MORIANO</t>
        </is>
      </c>
      <c r="D269" s="13" t="n">
        <v>6800</v>
      </c>
      <c r="E269" s="11" t="n">
        <v>2731599.5</v>
      </c>
    </row>
    <row r="270">
      <c r="A270" s="11" t="n">
        <v>269</v>
      </c>
      <c r="B270" s="12" t="n">
        <v>46106</v>
      </c>
      <c r="C270" s="11" t="inlineStr">
        <is>
          <t>De JHON SEBASTIAN OVIEDO</t>
        </is>
      </c>
      <c r="D270" s="13" t="n">
        <v>14400</v>
      </c>
      <c r="E270" s="11" t="n">
        <v>2724799.5</v>
      </c>
    </row>
    <row r="271">
      <c r="A271" s="11" t="n">
        <v>270</v>
      </c>
      <c r="B271" s="12" t="n">
        <v>46106</v>
      </c>
      <c r="C271" s="11" t="inlineStr">
        <is>
          <t>De JOAN DAVID ARBOLEDA</t>
        </is>
      </c>
      <c r="D271" s="13" t="n">
        <v>19100</v>
      </c>
      <c r="E271" s="11" t="n">
        <v>2710399.5</v>
      </c>
    </row>
    <row r="272">
      <c r="A272" s="11" t="n">
        <v>271</v>
      </c>
      <c r="B272" s="12" t="n">
        <v>46106</v>
      </c>
      <c r="C272" s="11" t="inlineStr">
        <is>
          <t>De JORGE LUIS SANCHEZ</t>
        </is>
      </c>
      <c r="D272" s="13" t="n">
        <v>26200</v>
      </c>
      <c r="E272" s="11" t="n">
        <v>2691299.5</v>
      </c>
    </row>
    <row r="273">
      <c r="A273" s="11" t="n">
        <v>272</v>
      </c>
      <c r="B273" s="12" t="n">
        <v>46106</v>
      </c>
      <c r="C273" s="11" t="inlineStr">
        <is>
          <t>De MARIA DAYANI GETIAL</t>
        </is>
      </c>
      <c r="D273" s="13" t="n">
        <v>19600</v>
      </c>
      <c r="E273" s="11" t="n">
        <v>2665099.5</v>
      </c>
    </row>
    <row r="274">
      <c r="A274" s="11" t="n">
        <v>273</v>
      </c>
      <c r="B274" s="12" t="n">
        <v>46106</v>
      </c>
      <c r="C274" s="11" t="inlineStr">
        <is>
          <t>De JHON ALEXANDER SANCHEZ</t>
        </is>
      </c>
      <c r="D274" s="13" t="n">
        <v>18100</v>
      </c>
      <c r="E274" s="11" t="n">
        <v>2645499.5</v>
      </c>
    </row>
    <row r="275">
      <c r="A275" s="11" t="n">
        <v>274</v>
      </c>
      <c r="B275" s="12" t="n">
        <v>46106</v>
      </c>
      <c r="C275" s="11" t="inlineStr">
        <is>
          <t>De MARIO JACINTO LUNA CRUZ</t>
        </is>
      </c>
      <c r="D275" s="13" t="n">
        <v>26400</v>
      </c>
      <c r="E275" s="11" t="n">
        <v>2627399.5</v>
      </c>
    </row>
    <row r="276">
      <c r="A276" s="11" t="n">
        <v>275</v>
      </c>
      <c r="B276" s="12" t="n">
        <v>46106</v>
      </c>
      <c r="C276" s="11" t="inlineStr">
        <is>
          <t>De BRENDA MARCELA</t>
        </is>
      </c>
      <c r="D276" s="13" t="n">
        <v>27900</v>
      </c>
      <c r="E276" s="11" t="n">
        <v>2600999.5</v>
      </c>
    </row>
    <row r="277">
      <c r="A277" s="11" t="n">
        <v>276</v>
      </c>
      <c r="B277" s="12" t="n">
        <v>46106</v>
      </c>
      <c r="C277" s="11" t="inlineStr">
        <is>
          <t>De KEINY LORENA MARTINEZ</t>
        </is>
      </c>
      <c r="D277" s="13" t="n">
        <v>12800</v>
      </c>
      <c r="E277" s="11" t="n">
        <v>2573099.5</v>
      </c>
    </row>
    <row r="278">
      <c r="A278" s="11" t="n">
        <v>277</v>
      </c>
      <c r="B278" s="12" t="n">
        <v>46106</v>
      </c>
      <c r="C278" s="11" t="inlineStr">
        <is>
          <t>De JESUS DAVID GARCIA</t>
        </is>
      </c>
      <c r="D278" s="13" t="n">
        <v>13000</v>
      </c>
      <c r="E278" s="11" t="n">
        <v>2560299.5</v>
      </c>
    </row>
    <row r="279">
      <c r="A279" s="11" t="n">
        <v>278</v>
      </c>
      <c r="B279" s="12" t="n">
        <v>46106</v>
      </c>
      <c r="C279" s="11" t="inlineStr">
        <is>
          <t>De KAREN TATIANA CANGREJO</t>
        </is>
      </c>
      <c r="D279" s="13" t="n">
        <v>13000</v>
      </c>
      <c r="E279" s="11" t="n">
        <v>2547299.5</v>
      </c>
    </row>
    <row r="280">
      <c r="A280" s="11" t="n">
        <v>279</v>
      </c>
      <c r="B280" s="12" t="n">
        <v>46106</v>
      </c>
      <c r="C280" s="11" t="inlineStr">
        <is>
          <t>De DEISSY NAVARRO ARIZA</t>
        </is>
      </c>
      <c r="D280" s="13" t="n">
        <v>43500</v>
      </c>
      <c r="E280" s="11" t="n">
        <v>2534299.5</v>
      </c>
    </row>
    <row r="281">
      <c r="A281" s="11" t="n">
        <v>280</v>
      </c>
      <c r="B281" s="12" t="n">
        <v>46106</v>
      </c>
      <c r="C281" s="11" t="inlineStr">
        <is>
          <t>De YULI VIVIANA ERAZO</t>
        </is>
      </c>
      <c r="D281" s="13" t="n">
        <v>48000</v>
      </c>
      <c r="E281" s="11" t="n">
        <v>2490799.5</v>
      </c>
    </row>
    <row r="282">
      <c r="A282" s="11" t="n">
        <v>281</v>
      </c>
      <c r="B282" s="12" t="n">
        <v>46106</v>
      </c>
      <c r="C282" s="11" t="inlineStr">
        <is>
          <t>De DIEGO FABRICIO DIAZ</t>
        </is>
      </c>
      <c r="D282" s="13" t="n">
        <v>21000</v>
      </c>
      <c r="E282" s="11" t="n">
        <v>2442799.5</v>
      </c>
    </row>
    <row r="283">
      <c r="A283" s="11" t="n">
        <v>282</v>
      </c>
      <c r="B283" s="12" t="n">
        <v>46106</v>
      </c>
      <c r="C283" s="11" t="inlineStr">
        <is>
          <t>De LIZETH KARINA ROJAS</t>
        </is>
      </c>
      <c r="D283" s="13" t="n">
        <v>94800</v>
      </c>
      <c r="E283" s="11" t="n">
        <v>2421799.5</v>
      </c>
    </row>
    <row r="284">
      <c r="A284" s="11" t="n">
        <v>283</v>
      </c>
      <c r="B284" s="12" t="n">
        <v>46106</v>
      </c>
      <c r="C284" s="11" t="inlineStr">
        <is>
          <t>De KELLY JOHANA ORTIZ PEREZ</t>
        </is>
      </c>
      <c r="D284" s="13" t="n">
        <v>5400</v>
      </c>
      <c r="E284" s="11" t="n">
        <v>2326999.5</v>
      </c>
    </row>
    <row r="285">
      <c r="A285" s="11" t="n">
        <v>284</v>
      </c>
      <c r="B285" s="12" t="n">
        <v>46106</v>
      </c>
      <c r="C285" s="11" t="inlineStr">
        <is>
          <t>De KAREN JISSELA RENTERIA</t>
        </is>
      </c>
      <c r="D285" s="13" t="n">
        <v>50800</v>
      </c>
      <c r="E285" s="11" t="n">
        <v>2321599.5</v>
      </c>
    </row>
    <row r="286">
      <c r="A286" s="11" t="n">
        <v>285</v>
      </c>
      <c r="B286" s="12" t="n">
        <v>46106</v>
      </c>
      <c r="C286" s="11" t="inlineStr">
        <is>
          <t>De ANA LUCIA ERAZO CERON</t>
        </is>
      </c>
      <c r="D286" s="13" t="n">
        <v>84000</v>
      </c>
      <c r="E286" s="11" t="n">
        <v>2270799.5</v>
      </c>
    </row>
    <row r="287">
      <c r="A287" s="11" t="n">
        <v>286</v>
      </c>
      <c r="B287" s="12" t="n">
        <v>46106</v>
      </c>
      <c r="C287" s="11" t="inlineStr">
        <is>
          <t>De ISAIR YAGARI</t>
        </is>
      </c>
      <c r="D287" s="13" t="n">
        <v>44900</v>
      </c>
      <c r="E287" s="11" t="n">
        <v>2186799.5</v>
      </c>
    </row>
    <row r="288">
      <c r="A288" s="11" t="n">
        <v>287</v>
      </c>
      <c r="B288" s="12" t="n">
        <v>46106</v>
      </c>
      <c r="C288" s="11" t="inlineStr">
        <is>
          <t>GRAVAMEN AL MOVIMIENTO</t>
        </is>
      </c>
      <c r="D288" s="13" t="n">
        <v>-5841.97</v>
      </c>
      <c r="E288" s="11" t="n">
        <v>2141899.5</v>
      </c>
    </row>
    <row r="289">
      <c r="A289" s="11" t="n">
        <v>288</v>
      </c>
      <c r="B289" s="12" t="n">
        <v>46106</v>
      </c>
      <c r="C289" s="11" t="inlineStr">
        <is>
          <t>PAGO EN QR BRE-B:</t>
        </is>
      </c>
      <c r="D289" s="13" t="n">
        <v>-1460492</v>
      </c>
      <c r="E289" s="11" t="n">
        <v>2147741.47</v>
      </c>
    </row>
    <row r="290">
      <c r="A290" s="11" t="n">
        <v>289</v>
      </c>
      <c r="B290" s="12" t="n">
        <v>46106</v>
      </c>
      <c r="C290" s="11" t="inlineStr">
        <is>
          <t>De DANNY ANDRES ORTEGA</t>
        </is>
      </c>
      <c r="D290" s="13" t="n">
        <v>14800</v>
      </c>
      <c r="E290" s="11" t="n">
        <v>3608233.47</v>
      </c>
    </row>
    <row r="291">
      <c r="A291" s="11" t="n">
        <v>290</v>
      </c>
      <c r="B291" s="12" t="n">
        <v>46106</v>
      </c>
      <c r="C291" s="11" t="inlineStr">
        <is>
          <t>De JACKELINE PANTOJA</t>
        </is>
      </c>
      <c r="D291" s="13" t="n">
        <v>4700</v>
      </c>
      <c r="E291" s="11" t="n">
        <v>3593433.47</v>
      </c>
    </row>
    <row r="292">
      <c r="A292" s="11" t="n">
        <v>291</v>
      </c>
      <c r="B292" s="12" t="n">
        <v>46106</v>
      </c>
      <c r="C292" s="11" t="inlineStr">
        <is>
          <t>De MARIO FERNANDO</t>
        </is>
      </c>
      <c r="D292" s="13" t="n">
        <v>26500</v>
      </c>
      <c r="E292" s="11" t="n">
        <v>3588733.47</v>
      </c>
    </row>
    <row r="293">
      <c r="A293" s="11" t="n">
        <v>292</v>
      </c>
      <c r="B293" s="12" t="n">
        <v>46106</v>
      </c>
      <c r="C293" s="11" t="inlineStr">
        <is>
          <t>De KELLY SAMANTA GUERRERO</t>
        </is>
      </c>
      <c r="D293" s="13" t="n">
        <v>12300</v>
      </c>
      <c r="E293" s="11" t="n">
        <v>3562233.47</v>
      </c>
    </row>
    <row r="294">
      <c r="A294" s="11" t="n">
        <v>293</v>
      </c>
      <c r="B294" s="12" t="n">
        <v>46106</v>
      </c>
      <c r="C294" s="11" t="inlineStr">
        <is>
          <t>De JESUS RODOLFO ROSERO</t>
        </is>
      </c>
      <c r="D294" s="13" t="n">
        <v>8400</v>
      </c>
      <c r="E294" s="11" t="n">
        <v>3549933.47</v>
      </c>
    </row>
    <row r="295">
      <c r="A295" s="11" t="n">
        <v>294</v>
      </c>
      <c r="B295" s="12" t="n">
        <v>46106</v>
      </c>
      <c r="C295" s="11" t="inlineStr">
        <is>
          <t>Recarga desde Bancolombia QR</t>
        </is>
      </c>
      <c r="D295" s="13" t="n">
        <v>7200</v>
      </c>
      <c r="E295" s="11" t="n">
        <v>3541533.47</v>
      </c>
    </row>
    <row r="296">
      <c r="A296" s="11" t="n">
        <v>295</v>
      </c>
      <c r="B296" s="12" t="n">
        <v>46106</v>
      </c>
      <c r="C296" s="11" t="inlineStr">
        <is>
          <t>RECIBI POR BRE-B DE: WILSON</t>
        </is>
      </c>
      <c r="D296" s="13" t="n">
        <v>12100</v>
      </c>
      <c r="E296" s="11" t="n">
        <v>3534333.47</v>
      </c>
    </row>
    <row r="297">
      <c r="A297" s="11" t="n">
        <v>296</v>
      </c>
      <c r="B297" s="12" t="n">
        <v>46106</v>
      </c>
      <c r="C297" s="11" t="inlineStr">
        <is>
          <t>De CARMELINA ERAZO TOBAR</t>
        </is>
      </c>
      <c r="D297" s="13" t="n">
        <v>3500</v>
      </c>
      <c r="E297" s="11" t="n">
        <v>3522233.47</v>
      </c>
    </row>
    <row r="298">
      <c r="A298" s="11" t="n">
        <v>297</v>
      </c>
      <c r="B298" s="12" t="n">
        <v>46106</v>
      </c>
      <c r="C298" s="11" t="inlineStr">
        <is>
          <t>De DINA LUZ MENDEZ</t>
        </is>
      </c>
      <c r="D298" s="13" t="n">
        <v>36000</v>
      </c>
      <c r="E298" s="11" t="n">
        <v>3518733.47</v>
      </c>
    </row>
    <row r="299">
      <c r="A299" s="11" t="n">
        <v>298</v>
      </c>
      <c r="B299" s="12" t="n">
        <v>46106</v>
      </c>
      <c r="C299" s="11" t="inlineStr">
        <is>
          <t>De YIDI YULISSA ROSERO</t>
        </is>
      </c>
      <c r="D299" s="13" t="n">
        <v>44300</v>
      </c>
      <c r="E299" s="11" t="n">
        <v>3482733.47</v>
      </c>
    </row>
    <row r="300">
      <c r="A300" s="11" t="n">
        <v>299</v>
      </c>
      <c r="B300" s="12" t="n">
        <v>46106</v>
      </c>
      <c r="C300" s="11" t="inlineStr">
        <is>
          <t>De MARVEL KATHERINE</t>
        </is>
      </c>
      <c r="D300" s="13" t="n">
        <v>30000</v>
      </c>
      <c r="E300" s="11" t="n">
        <v>3438433.47</v>
      </c>
    </row>
    <row r="301">
      <c r="A301" s="11" t="n">
        <v>300</v>
      </c>
      <c r="B301" s="12" t="n">
        <v>46106</v>
      </c>
      <c r="C301" s="11" t="inlineStr">
        <is>
          <t>De DEISY LORENA ZAMBRANO</t>
        </is>
      </c>
      <c r="D301" s="13" t="n">
        <v>9400</v>
      </c>
      <c r="E301" s="11" t="n">
        <v>3408433.47</v>
      </c>
    </row>
    <row r="302">
      <c r="A302" s="11" t="n">
        <v>301</v>
      </c>
      <c r="B302" s="12" t="n">
        <v>46106</v>
      </c>
      <c r="C302" s="11" t="inlineStr">
        <is>
          <t>De MILEIDY NUPAN HERNANDEZ</t>
        </is>
      </c>
      <c r="D302" s="13" t="n">
        <v>5000</v>
      </c>
      <c r="E302" s="11" t="n">
        <v>3399033.47</v>
      </c>
    </row>
    <row r="303">
      <c r="A303" s="11" t="n">
        <v>302</v>
      </c>
      <c r="B303" s="12" t="n">
        <v>46106</v>
      </c>
      <c r="C303" s="11" t="inlineStr">
        <is>
          <t>De ANYELA PATRICIA DIAZ</t>
        </is>
      </c>
      <c r="D303" s="13" t="n">
        <v>51500</v>
      </c>
      <c r="E303" s="11" t="n">
        <v>3394033.47</v>
      </c>
    </row>
    <row r="304">
      <c r="A304" s="11" t="n">
        <v>303</v>
      </c>
      <c r="B304" s="12" t="n">
        <v>46106</v>
      </c>
      <c r="C304" s="11" t="inlineStr">
        <is>
          <t>De CARMEN DANIELA CARVAJAL</t>
        </is>
      </c>
      <c r="D304" s="13" t="n">
        <v>11900</v>
      </c>
      <c r="E304" s="11" t="n">
        <v>3342533.47</v>
      </c>
    </row>
    <row r="305">
      <c r="A305" s="11" t="n">
        <v>304</v>
      </c>
      <c r="B305" s="12" t="n">
        <v>46106</v>
      </c>
      <c r="C305" s="11" t="inlineStr">
        <is>
          <t>Recarga desde Bancolombia QR</t>
        </is>
      </c>
      <c r="D305" s="13" t="n">
        <v>27900</v>
      </c>
      <c r="E305" s="11" t="n">
        <v>3330633.47</v>
      </c>
    </row>
    <row r="306">
      <c r="A306" s="11" t="n">
        <v>305</v>
      </c>
      <c r="B306" s="12" t="n">
        <v>46106</v>
      </c>
      <c r="C306" s="11" t="inlineStr">
        <is>
          <t>De ELKIN ORLANDO JIMENEZ</t>
        </is>
      </c>
      <c r="D306" s="13" t="n">
        <v>44200</v>
      </c>
      <c r="E306" s="11" t="n">
        <v>3302733.47</v>
      </c>
    </row>
    <row r="307">
      <c r="A307" s="11" t="n">
        <v>306</v>
      </c>
      <c r="B307" s="12" t="n">
        <v>46106</v>
      </c>
      <c r="C307" s="11" t="inlineStr">
        <is>
          <t>De CELIANO IBANEZ</t>
        </is>
      </c>
      <c r="D307" s="13" t="n">
        <v>11400</v>
      </c>
      <c r="E307" s="11" t="n">
        <v>3258533.47</v>
      </c>
    </row>
    <row r="308">
      <c r="A308" s="11" t="n">
        <v>307</v>
      </c>
      <c r="B308" s="12" t="n">
        <v>46106</v>
      </c>
      <c r="C308" s="11" t="inlineStr">
        <is>
          <t>De EVA LINET DIAZ</t>
        </is>
      </c>
      <c r="D308" s="13" t="n">
        <v>26900</v>
      </c>
      <c r="E308" s="11" t="n">
        <v>3247133.47</v>
      </c>
    </row>
    <row r="309">
      <c r="A309" s="11" t="n">
        <v>308</v>
      </c>
      <c r="B309" s="12" t="n">
        <v>46105</v>
      </c>
      <c r="C309" s="11" t="inlineStr">
        <is>
          <t>De BRIGETH PAMELA</t>
        </is>
      </c>
      <c r="D309" s="13" t="n">
        <v>42600</v>
      </c>
      <c r="E309" s="11" t="n">
        <v>3220233.47</v>
      </c>
    </row>
    <row r="310">
      <c r="A310" s="11" t="n">
        <v>309</v>
      </c>
      <c r="B310" s="12" t="n">
        <v>46105</v>
      </c>
      <c r="C310" s="11" t="inlineStr">
        <is>
          <t>RECIBI POR BRE-B DE: WILSON</t>
        </is>
      </c>
      <c r="D310" s="13" t="n">
        <v>56600</v>
      </c>
      <c r="E310" s="11" t="n">
        <v>3177633.47</v>
      </c>
    </row>
    <row r="311">
      <c r="A311" s="11" t="n">
        <v>310</v>
      </c>
      <c r="B311" s="12" t="n">
        <v>46105</v>
      </c>
      <c r="C311" s="11" t="inlineStr">
        <is>
          <t>Recarga desde Bancolombia</t>
        </is>
      </c>
      <c r="D311" s="13" t="n">
        <v>15500</v>
      </c>
      <c r="E311" s="11" t="n">
        <v>3121033.47</v>
      </c>
    </row>
    <row r="312">
      <c r="A312" s="11" t="n">
        <v>311</v>
      </c>
      <c r="B312" s="12" t="n">
        <v>46105</v>
      </c>
      <c r="C312" s="11" t="inlineStr">
        <is>
          <t>De JHON JAIRO SANTOS</t>
        </is>
      </c>
      <c r="D312" s="13" t="n">
        <v>40000</v>
      </c>
      <c r="E312" s="11" t="n">
        <v>3105533.47</v>
      </c>
    </row>
    <row r="313">
      <c r="A313" s="11" t="n">
        <v>312</v>
      </c>
      <c r="B313" s="12" t="n">
        <v>46105</v>
      </c>
      <c r="C313" s="11" t="inlineStr">
        <is>
          <t>De FRANCELINA DEL CARMEN</t>
        </is>
      </c>
      <c r="D313" s="13" t="n">
        <v>6400</v>
      </c>
      <c r="E313" s="11" t="n">
        <v>3065533.47</v>
      </c>
    </row>
    <row r="314">
      <c r="A314" s="11" t="n">
        <v>313</v>
      </c>
      <c r="B314" s="12" t="n">
        <v>46105</v>
      </c>
      <c r="C314" s="11" t="inlineStr">
        <is>
          <t>Recarga desde Bancolombia</t>
        </is>
      </c>
      <c r="D314" s="13" t="n">
        <v>12500</v>
      </c>
      <c r="E314" s="11" t="n">
        <v>3059133.47</v>
      </c>
    </row>
    <row r="315">
      <c r="A315" s="11" t="n">
        <v>314</v>
      </c>
      <c r="B315" s="12" t="n">
        <v>46105</v>
      </c>
      <c r="C315" s="11" t="inlineStr">
        <is>
          <t>De WILSON ALEXANDER</t>
        </is>
      </c>
      <c r="D315" s="13" t="n">
        <v>8000</v>
      </c>
      <c r="E315" s="11" t="n">
        <v>3046633.47</v>
      </c>
    </row>
    <row r="316">
      <c r="A316" s="11" t="n">
        <v>315</v>
      </c>
      <c r="B316" s="12" t="n">
        <v>46105</v>
      </c>
      <c r="C316" s="11" t="inlineStr">
        <is>
          <t>De YUSMARY JOSEFINA MEDINA</t>
        </is>
      </c>
      <c r="D316" s="13" t="n">
        <v>39000</v>
      </c>
      <c r="E316" s="11" t="n">
        <v>3038633.47</v>
      </c>
    </row>
    <row r="317">
      <c r="A317" s="11" t="n">
        <v>316</v>
      </c>
      <c r="B317" s="12" t="n">
        <v>46105</v>
      </c>
      <c r="C317" s="11" t="inlineStr">
        <is>
          <t>Recarga desde Bancolombia</t>
        </is>
      </c>
      <c r="D317" s="13" t="n">
        <v>28100</v>
      </c>
      <c r="E317" s="11" t="n">
        <v>2999633.47</v>
      </c>
    </row>
    <row r="318">
      <c r="A318" s="11" t="n">
        <v>317</v>
      </c>
      <c r="B318" s="12" t="n">
        <v>46105</v>
      </c>
      <c r="C318" s="11" t="inlineStr">
        <is>
          <t>De ANDRES SEGURA VARGAS</t>
        </is>
      </c>
      <c r="D318" s="13" t="n">
        <v>52300</v>
      </c>
      <c r="E318" s="11" t="n">
        <v>2971533.47</v>
      </c>
    </row>
    <row r="319">
      <c r="A319" s="11" t="n">
        <v>318</v>
      </c>
      <c r="B319" s="12" t="n">
        <v>46105</v>
      </c>
      <c r="C319" s="11" t="inlineStr">
        <is>
          <t>De HERNAN WILIAN CASTILLO</t>
        </is>
      </c>
      <c r="D319" s="13" t="n">
        <v>21800</v>
      </c>
      <c r="E319" s="11" t="n">
        <v>2919233.47</v>
      </c>
    </row>
    <row r="320">
      <c r="A320" s="11" t="n">
        <v>319</v>
      </c>
      <c r="B320" s="12" t="n">
        <v>46105</v>
      </c>
      <c r="C320" s="11" t="inlineStr">
        <is>
          <t>De RODRIGO ANTONIO GOMEZ</t>
        </is>
      </c>
      <c r="D320" s="13" t="n">
        <v>18000</v>
      </c>
      <c r="E320" s="11" t="n">
        <v>2897433.47</v>
      </c>
    </row>
    <row r="321">
      <c r="A321" s="11" t="n">
        <v>320</v>
      </c>
      <c r="B321" s="12" t="n">
        <v>46105</v>
      </c>
      <c r="C321" s="11" t="inlineStr">
        <is>
          <t>De MILEIDY NUPAN HERNANDEZ</t>
        </is>
      </c>
      <c r="D321" s="13" t="n">
        <v>2500</v>
      </c>
      <c r="E321" s="11" t="n">
        <v>2879433.47</v>
      </c>
    </row>
    <row r="322">
      <c r="A322" s="11" t="n">
        <v>321</v>
      </c>
      <c r="B322" s="12" t="n">
        <v>46105</v>
      </c>
      <c r="C322" s="11" t="inlineStr">
        <is>
          <t>De RODRIGO ANTONIO GOMEZ</t>
        </is>
      </c>
      <c r="D322" s="13" t="n">
        <v>10000</v>
      </c>
      <c r="E322" s="11" t="n">
        <v>2876933.47</v>
      </c>
    </row>
    <row r="323">
      <c r="A323" s="11" t="n">
        <v>322</v>
      </c>
      <c r="B323" s="12" t="n">
        <v>46105</v>
      </c>
      <c r="C323" s="11" t="inlineStr">
        <is>
          <t>De ZULY MILENA ZAMORA</t>
        </is>
      </c>
      <c r="D323" s="13" t="n">
        <v>7800</v>
      </c>
      <c r="E323" s="11" t="n">
        <v>2866933.47</v>
      </c>
    </row>
    <row r="324">
      <c r="A324" s="11" t="n">
        <v>323</v>
      </c>
      <c r="B324" s="12" t="n">
        <v>46105</v>
      </c>
      <c r="C324" s="11" t="inlineStr">
        <is>
          <t>De FRANCO HERNEY QUIROZ</t>
        </is>
      </c>
      <c r="D324" s="13" t="n">
        <v>5300</v>
      </c>
      <c r="E324" s="11" t="n">
        <v>2859133.47</v>
      </c>
    </row>
    <row r="325">
      <c r="A325" s="11" t="n">
        <v>324</v>
      </c>
      <c r="B325" s="12" t="n">
        <v>46105</v>
      </c>
      <c r="C325" s="11" t="inlineStr">
        <is>
          <t>De MARIA EUGENIA LARA</t>
        </is>
      </c>
      <c r="D325" s="13" t="n">
        <v>50000</v>
      </c>
      <c r="E325" s="11" t="n">
        <v>2853833.47</v>
      </c>
    </row>
    <row r="326">
      <c r="A326" s="11" t="n">
        <v>325</v>
      </c>
      <c r="B326" s="12" t="n">
        <v>46105</v>
      </c>
      <c r="C326" s="11" t="inlineStr">
        <is>
          <t>De YUDI ALEXANDRA</t>
        </is>
      </c>
      <c r="D326" s="13" t="n">
        <v>20900</v>
      </c>
      <c r="E326" s="11" t="n">
        <v>2803833.47</v>
      </c>
    </row>
    <row r="327">
      <c r="A327" s="11" t="n">
        <v>326</v>
      </c>
      <c r="B327" s="12" t="n">
        <v>46105</v>
      </c>
      <c r="C327" s="11" t="inlineStr">
        <is>
          <t>De DANNY ANDRES ORTEGA</t>
        </is>
      </c>
      <c r="D327" s="13" t="n">
        <v>22200</v>
      </c>
      <c r="E327" s="11" t="n">
        <v>2782933.47</v>
      </c>
    </row>
    <row r="328">
      <c r="A328" s="11" t="n">
        <v>327</v>
      </c>
      <c r="B328" s="12" t="n">
        <v>46105</v>
      </c>
      <c r="C328" s="11" t="inlineStr">
        <is>
          <t>De DOLY VARGAS GAMBOA</t>
        </is>
      </c>
      <c r="D328" s="13" t="n">
        <v>4500</v>
      </c>
      <c r="E328" s="11" t="n">
        <v>2760733.47</v>
      </c>
    </row>
    <row r="329">
      <c r="A329" s="11" t="n">
        <v>328</v>
      </c>
      <c r="B329" s="12" t="n">
        <v>46105</v>
      </c>
      <c r="C329" s="11" t="inlineStr">
        <is>
          <t>De SIRLEN CASTILLO</t>
        </is>
      </c>
      <c r="D329" s="13" t="n">
        <v>26000</v>
      </c>
      <c r="E329" s="11" t="n">
        <v>2756233.47</v>
      </c>
    </row>
    <row r="330">
      <c r="A330" s="11" t="n">
        <v>329</v>
      </c>
      <c r="B330" s="12" t="n">
        <v>46105</v>
      </c>
      <c r="C330" s="11" t="inlineStr">
        <is>
          <t>De SARA DANIELA NATI</t>
        </is>
      </c>
      <c r="D330" s="13" t="n">
        <v>21700</v>
      </c>
      <c r="E330" s="11" t="n">
        <v>2730233.47</v>
      </c>
    </row>
    <row r="331">
      <c r="A331" s="11" t="n">
        <v>330</v>
      </c>
      <c r="B331" s="12" t="n">
        <v>46105</v>
      </c>
      <c r="C331" s="11" t="inlineStr">
        <is>
          <t>De JULIO CESAR NACEQUIA</t>
        </is>
      </c>
      <c r="D331" s="13" t="n">
        <v>16000</v>
      </c>
      <c r="E331" s="11" t="n">
        <v>2708533.47</v>
      </c>
    </row>
    <row r="332">
      <c r="A332" s="11" t="n">
        <v>331</v>
      </c>
      <c r="B332" s="12" t="n">
        <v>46105</v>
      </c>
      <c r="C332" s="11" t="inlineStr">
        <is>
          <t>De JHON MAURICIO JARAMILLO</t>
        </is>
      </c>
      <c r="D332" s="13" t="n">
        <v>29900</v>
      </c>
      <c r="E332" s="11" t="n">
        <v>2692533.47</v>
      </c>
    </row>
    <row r="333">
      <c r="A333" s="11" t="n">
        <v>332</v>
      </c>
      <c r="B333" s="12" t="n">
        <v>46105</v>
      </c>
      <c r="C333" s="11" t="inlineStr">
        <is>
          <t>De DORA EMILCE MARTINEZ</t>
        </is>
      </c>
      <c r="D333" s="13" t="n">
        <v>12500</v>
      </c>
      <c r="E333" s="11" t="n">
        <v>2662633.47</v>
      </c>
    </row>
    <row r="334">
      <c r="A334" s="11" t="n">
        <v>333</v>
      </c>
      <c r="B334" s="12" t="n">
        <v>46105</v>
      </c>
      <c r="C334" s="11" t="inlineStr">
        <is>
          <t>De LISBETH PAOLA PENA</t>
        </is>
      </c>
      <c r="D334" s="13" t="n">
        <v>4700</v>
      </c>
      <c r="E334" s="11" t="n">
        <v>2650133.47</v>
      </c>
    </row>
    <row r="335">
      <c r="A335" s="11" t="n">
        <v>334</v>
      </c>
      <c r="B335" s="12" t="n">
        <v>46105</v>
      </c>
      <c r="C335" s="11" t="inlineStr">
        <is>
          <t>De KAREN DAYANA BASTIDAS</t>
        </is>
      </c>
      <c r="D335" s="13" t="n">
        <v>7100</v>
      </c>
      <c r="E335" s="11" t="n">
        <v>2645433.47</v>
      </c>
    </row>
    <row r="336">
      <c r="A336" s="11" t="n">
        <v>335</v>
      </c>
      <c r="B336" s="12" t="n">
        <v>46105</v>
      </c>
      <c r="C336" s="11" t="inlineStr">
        <is>
          <t>De ALEXANDER MACUACE</t>
        </is>
      </c>
      <c r="D336" s="13" t="n">
        <v>12100</v>
      </c>
      <c r="E336" s="11" t="n">
        <v>2638333.47</v>
      </c>
    </row>
    <row r="337">
      <c r="A337" s="11" t="n">
        <v>336</v>
      </c>
      <c r="B337" s="12" t="n">
        <v>46105</v>
      </c>
      <c r="C337" s="11" t="inlineStr">
        <is>
          <t>De KELI YOJANA FLOREZ CAEZ</t>
        </is>
      </c>
      <c r="D337" s="13" t="n">
        <v>22700</v>
      </c>
      <c r="E337" s="11" t="n">
        <v>2626233.47</v>
      </c>
    </row>
    <row r="338">
      <c r="A338" s="11" t="n">
        <v>337</v>
      </c>
      <c r="B338" s="12" t="n">
        <v>46105</v>
      </c>
      <c r="C338" s="11" t="inlineStr">
        <is>
          <t>De JHONATAN SANTIAGO</t>
        </is>
      </c>
      <c r="D338" s="13" t="n">
        <v>21100</v>
      </c>
      <c r="E338" s="11" t="n">
        <v>2603533.47</v>
      </c>
    </row>
    <row r="339">
      <c r="A339" s="11" t="n">
        <v>338</v>
      </c>
      <c r="B339" s="12" t="n">
        <v>46105</v>
      </c>
      <c r="C339" s="11" t="inlineStr">
        <is>
          <t>De BRIYITH DAYANA YELA</t>
        </is>
      </c>
      <c r="D339" s="13" t="n">
        <v>4200</v>
      </c>
      <c r="E339" s="11" t="n">
        <v>2582433.47</v>
      </c>
    </row>
    <row r="340">
      <c r="A340" s="11" t="n">
        <v>339</v>
      </c>
      <c r="B340" s="12" t="n">
        <v>46105</v>
      </c>
      <c r="C340" s="11" t="inlineStr">
        <is>
          <t>De HUGO GABRIEL ARAGON</t>
        </is>
      </c>
      <c r="D340" s="13" t="n">
        <v>56800</v>
      </c>
      <c r="E340" s="11" t="n">
        <v>2578233.47</v>
      </c>
    </row>
    <row r="341">
      <c r="A341" s="11" t="n">
        <v>340</v>
      </c>
      <c r="B341" s="12" t="n">
        <v>46105</v>
      </c>
      <c r="C341" s="11" t="inlineStr">
        <is>
          <t>De CRISTHIAN CAMILO RIVEROS</t>
        </is>
      </c>
      <c r="D341" s="13" t="n">
        <v>10500</v>
      </c>
      <c r="E341" s="11" t="n">
        <v>2521433.47</v>
      </c>
    </row>
    <row r="342">
      <c r="A342" s="11" t="n">
        <v>341</v>
      </c>
      <c r="B342" s="12" t="n">
        <v>46105</v>
      </c>
      <c r="C342" s="11" t="inlineStr">
        <is>
          <t>De LORENY ALEJANDRA</t>
        </is>
      </c>
      <c r="D342" s="13" t="n">
        <v>13300</v>
      </c>
      <c r="E342" s="11" t="n">
        <v>2510933.47</v>
      </c>
    </row>
    <row r="343">
      <c r="A343" s="11" t="n">
        <v>342</v>
      </c>
      <c r="B343" s="12" t="n">
        <v>46105</v>
      </c>
      <c r="C343" s="11" t="inlineStr">
        <is>
          <t>Recarga desde Bancolombia</t>
        </is>
      </c>
      <c r="D343" s="13" t="n">
        <v>18200</v>
      </c>
      <c r="E343" s="11" t="n">
        <v>2497633.47</v>
      </c>
    </row>
    <row r="344">
      <c r="A344" s="11" t="n">
        <v>343</v>
      </c>
      <c r="B344" s="12" t="n">
        <v>46105</v>
      </c>
      <c r="C344" s="11" t="inlineStr">
        <is>
          <t>De DOLY VARGAS GAMBOA</t>
        </is>
      </c>
      <c r="D344" s="13" t="n">
        <v>60000</v>
      </c>
      <c r="E344" s="11" t="n">
        <v>2479433.47</v>
      </c>
    </row>
    <row r="345">
      <c r="A345" s="11" t="n">
        <v>344</v>
      </c>
      <c r="B345" s="12" t="n">
        <v>46105</v>
      </c>
      <c r="C345" s="11" t="inlineStr">
        <is>
          <t>De DAYAN FLOREZ REYES</t>
        </is>
      </c>
      <c r="D345" s="13" t="n">
        <v>25400</v>
      </c>
      <c r="E345" s="11" t="n">
        <v>2419433.47</v>
      </c>
    </row>
    <row r="346">
      <c r="A346" s="11" t="n">
        <v>345</v>
      </c>
      <c r="B346" s="12" t="n">
        <v>46105</v>
      </c>
      <c r="C346" s="11" t="inlineStr">
        <is>
          <t>De LUZ MORA HERMOSA</t>
        </is>
      </c>
      <c r="D346" s="13" t="n">
        <v>36100</v>
      </c>
      <c r="E346" s="11" t="n">
        <v>2394033.47</v>
      </c>
    </row>
    <row r="347">
      <c r="A347" s="11" t="n">
        <v>346</v>
      </c>
      <c r="B347" s="12" t="n">
        <v>46105</v>
      </c>
      <c r="C347" s="11" t="inlineStr">
        <is>
          <t>De YINNA PAOLA VISCAYA</t>
        </is>
      </c>
      <c r="D347" s="13" t="n">
        <v>19800</v>
      </c>
      <c r="E347" s="11" t="n">
        <v>2357933.47</v>
      </c>
    </row>
    <row r="348">
      <c r="A348" s="11" t="n">
        <v>347</v>
      </c>
      <c r="B348" s="12" t="n">
        <v>46105</v>
      </c>
      <c r="C348" s="11" t="inlineStr">
        <is>
          <t>De ANYI CATALEYA TAPIA</t>
        </is>
      </c>
      <c r="D348" s="13" t="n">
        <v>12400</v>
      </c>
      <c r="E348" s="11" t="n">
        <v>2338133.47</v>
      </c>
    </row>
    <row r="349">
      <c r="A349" s="11" t="n">
        <v>348</v>
      </c>
      <c r="B349" s="12" t="n">
        <v>46105</v>
      </c>
      <c r="C349" s="11" t="inlineStr">
        <is>
          <t>De ALEXANDER BETANCUR</t>
        </is>
      </c>
      <c r="D349" s="13" t="n">
        <v>27200</v>
      </c>
      <c r="E349" s="11" t="n">
        <v>2325733.47</v>
      </c>
    </row>
    <row r="350">
      <c r="A350" s="11" t="n">
        <v>349</v>
      </c>
      <c r="B350" s="12" t="n">
        <v>46105</v>
      </c>
      <c r="C350" s="11" t="inlineStr">
        <is>
          <t>De TATIANA CORREA</t>
        </is>
      </c>
      <c r="D350" s="13" t="n">
        <v>7800</v>
      </c>
      <c r="E350" s="11" t="n">
        <v>2298533.47</v>
      </c>
    </row>
    <row r="351">
      <c r="A351" s="11" t="n">
        <v>350</v>
      </c>
      <c r="B351" s="12" t="n">
        <v>46105</v>
      </c>
      <c r="C351" s="11" t="inlineStr">
        <is>
          <t>De JHON ESTEBAN GOMEZ</t>
        </is>
      </c>
      <c r="D351" s="13" t="n">
        <v>18000</v>
      </c>
      <c r="E351" s="11" t="n">
        <v>2290733.47</v>
      </c>
    </row>
    <row r="352">
      <c r="A352" s="11" t="n">
        <v>351</v>
      </c>
      <c r="B352" s="12" t="n">
        <v>46105</v>
      </c>
      <c r="C352" s="11" t="inlineStr">
        <is>
          <t>De DEISSY NAVARRO ARIZA</t>
        </is>
      </c>
      <c r="D352" s="13" t="n">
        <v>56300</v>
      </c>
      <c r="E352" s="11" t="n">
        <v>2272733.47</v>
      </c>
    </row>
    <row r="353">
      <c r="A353" s="11" t="n">
        <v>352</v>
      </c>
      <c r="B353" s="12" t="n">
        <v>46105</v>
      </c>
      <c r="C353" s="11" t="inlineStr">
        <is>
          <t>De LEIDY MARCELA VIUCHE</t>
        </is>
      </c>
      <c r="D353" s="13" t="n">
        <v>4200</v>
      </c>
      <c r="E353" s="11" t="n">
        <v>2216433.47</v>
      </c>
    </row>
    <row r="354">
      <c r="A354" s="11" t="n">
        <v>353</v>
      </c>
      <c r="B354" s="12" t="n">
        <v>46105</v>
      </c>
      <c r="C354" s="11" t="inlineStr">
        <is>
          <t>De JULIETH ALEJANDRA</t>
        </is>
      </c>
      <c r="D354" s="13" t="n">
        <v>11000</v>
      </c>
      <c r="E354" s="11" t="n">
        <v>2212233.47</v>
      </c>
    </row>
    <row r="355">
      <c r="A355" s="11" t="n">
        <v>354</v>
      </c>
      <c r="B355" s="12" t="n">
        <v>46105</v>
      </c>
      <c r="C355" s="11" t="inlineStr">
        <is>
          <t>De JACKELINE ROSERO</t>
        </is>
      </c>
      <c r="D355" s="13" t="n">
        <v>14800</v>
      </c>
      <c r="E355" s="11" t="n">
        <v>2201233.47</v>
      </c>
    </row>
    <row r="356">
      <c r="A356" s="11" t="n">
        <v>355</v>
      </c>
      <c r="B356" s="12" t="n">
        <v>46105</v>
      </c>
      <c r="C356" s="11" t="inlineStr">
        <is>
          <t>De HEDITA ELEISA RIASCOS</t>
        </is>
      </c>
      <c r="D356" s="13" t="n">
        <v>49800</v>
      </c>
      <c r="E356" s="11" t="n">
        <v>2186433.47</v>
      </c>
    </row>
    <row r="357">
      <c r="A357" s="11" t="n">
        <v>356</v>
      </c>
      <c r="B357" s="12" t="n">
        <v>46105</v>
      </c>
      <c r="C357" s="11" t="inlineStr">
        <is>
          <t>Recarga desde Bancolombia QR</t>
        </is>
      </c>
      <c r="D357" s="13" t="n">
        <v>28000</v>
      </c>
      <c r="E357" s="11" t="n">
        <v>2136633.47</v>
      </c>
    </row>
    <row r="358">
      <c r="A358" s="11" t="n">
        <v>357</v>
      </c>
      <c r="B358" s="12" t="n">
        <v>46105</v>
      </c>
      <c r="C358" s="11" t="inlineStr">
        <is>
          <t>De YONATAN RUIZ SUAREZ</t>
        </is>
      </c>
      <c r="D358" s="13" t="n">
        <v>93000</v>
      </c>
      <c r="E358" s="11" t="n">
        <v>2108633.47</v>
      </c>
    </row>
    <row r="359">
      <c r="A359" s="11" t="n">
        <v>358</v>
      </c>
      <c r="B359" s="12" t="n">
        <v>46105</v>
      </c>
      <c r="C359" s="11" t="inlineStr">
        <is>
          <t>De MARIA QUELAL TORO</t>
        </is>
      </c>
      <c r="D359" s="13" t="n">
        <v>20500</v>
      </c>
      <c r="E359" s="11" t="n">
        <v>2015633.47</v>
      </c>
    </row>
    <row r="360">
      <c r="A360" s="11" t="n">
        <v>359</v>
      </c>
      <c r="B360" s="12" t="n">
        <v>46105</v>
      </c>
      <c r="C360" s="11" t="inlineStr">
        <is>
          <t>De RIGOBERTO VANEGAS</t>
        </is>
      </c>
      <c r="D360" s="13" t="n">
        <v>22700</v>
      </c>
      <c r="E360" s="11" t="n">
        <v>1995133.47</v>
      </c>
    </row>
    <row r="361">
      <c r="A361" s="11" t="n">
        <v>360</v>
      </c>
      <c r="B361" s="12" t="n">
        <v>46105</v>
      </c>
      <c r="C361" s="11" t="inlineStr">
        <is>
          <t>De JULISSA CABEZAS</t>
        </is>
      </c>
      <c r="D361" s="13" t="n">
        <v>18600</v>
      </c>
      <c r="E361" s="11" t="n">
        <v>1972433.47</v>
      </c>
    </row>
    <row r="362">
      <c r="A362" s="11" t="n">
        <v>361</v>
      </c>
      <c r="B362" s="12" t="n">
        <v>46105</v>
      </c>
      <c r="C362" s="11" t="inlineStr">
        <is>
          <t>De MARIO FERNANDO</t>
        </is>
      </c>
      <c r="D362" s="13" t="n">
        <v>5600</v>
      </c>
      <c r="E362" s="11" t="n">
        <v>1953833.47</v>
      </c>
    </row>
    <row r="363">
      <c r="A363" s="11" t="n">
        <v>362</v>
      </c>
      <c r="B363" s="12" t="n">
        <v>46105</v>
      </c>
      <c r="C363" s="11" t="inlineStr">
        <is>
          <t>De FRESKEY VERGARA BORJA</t>
        </is>
      </c>
      <c r="D363" s="13" t="n">
        <v>41400</v>
      </c>
      <c r="E363" s="11" t="n">
        <v>1948233.47</v>
      </c>
    </row>
    <row r="364">
      <c r="A364" s="11" t="n">
        <v>363</v>
      </c>
      <c r="B364" s="12" t="n">
        <v>46105</v>
      </c>
      <c r="C364" s="11" t="inlineStr">
        <is>
          <t>De JOSE ALEXANDER PEPINOSA</t>
        </is>
      </c>
      <c r="D364" s="13" t="n">
        <v>27700</v>
      </c>
      <c r="E364" s="11" t="n">
        <v>1906833.47</v>
      </c>
    </row>
    <row r="365">
      <c r="A365" s="11" t="n">
        <v>364</v>
      </c>
      <c r="B365" s="12" t="n">
        <v>46105</v>
      </c>
      <c r="C365" s="11" t="inlineStr">
        <is>
          <t>De FRESKEY VERGARA BORJA</t>
        </is>
      </c>
      <c r="D365" s="13" t="n">
        <v>11900</v>
      </c>
      <c r="E365" s="11" t="n">
        <v>1879133.47</v>
      </c>
    </row>
    <row r="366">
      <c r="A366" s="11" t="n">
        <v>365</v>
      </c>
      <c r="B366" s="12" t="n">
        <v>46104</v>
      </c>
      <c r="C366" s="11" t="inlineStr">
        <is>
          <t>De JHON SEBAS GETIAL</t>
        </is>
      </c>
      <c r="D366" s="13" t="n">
        <v>13500</v>
      </c>
      <c r="E366" s="11" t="n">
        <v>1867233.47</v>
      </c>
    </row>
    <row r="367">
      <c r="A367" s="11" t="n">
        <v>366</v>
      </c>
      <c r="B367" s="12" t="n">
        <v>46104</v>
      </c>
      <c r="C367" s="11" t="inlineStr">
        <is>
          <t>De YINETH PENA</t>
        </is>
      </c>
      <c r="D367" s="13" t="n">
        <v>13600</v>
      </c>
      <c r="E367" s="11" t="n">
        <v>1853733.47</v>
      </c>
    </row>
    <row r="368">
      <c r="A368" s="11" t="n">
        <v>367</v>
      </c>
      <c r="B368" s="12" t="n">
        <v>46104</v>
      </c>
      <c r="C368" s="11" t="inlineStr">
        <is>
          <t>De GUENDY JAQUELIN GARRIDO</t>
        </is>
      </c>
      <c r="D368" s="13" t="n">
        <v>21500</v>
      </c>
      <c r="E368" s="11" t="n">
        <v>1840133.47</v>
      </c>
    </row>
    <row r="369">
      <c r="A369" s="11" t="n">
        <v>368</v>
      </c>
      <c r="B369" s="12" t="n">
        <v>46104</v>
      </c>
      <c r="C369" s="11" t="inlineStr">
        <is>
          <t>De JHON JAIR BRAVO MOREANO</t>
        </is>
      </c>
      <c r="D369" s="13" t="n">
        <v>50000</v>
      </c>
      <c r="E369" s="11" t="n">
        <v>1818633.47</v>
      </c>
    </row>
    <row r="370">
      <c r="A370" s="11" t="n">
        <v>369</v>
      </c>
      <c r="B370" s="12" t="n">
        <v>46104</v>
      </c>
      <c r="C370" s="11" t="inlineStr">
        <is>
          <t>De JAILER EDALBER GUARABE</t>
        </is>
      </c>
      <c r="D370" s="13" t="n">
        <v>131200</v>
      </c>
      <c r="E370" s="11" t="n">
        <v>1768633.47</v>
      </c>
    </row>
    <row r="371">
      <c r="A371" s="11" t="n">
        <v>370</v>
      </c>
      <c r="B371" s="12" t="n">
        <v>46104</v>
      </c>
      <c r="C371" s="11" t="inlineStr">
        <is>
          <t>De CELIANO IBANEZ</t>
        </is>
      </c>
      <c r="D371" s="13" t="n">
        <v>2200</v>
      </c>
      <c r="E371" s="11" t="n">
        <v>1637433.47</v>
      </c>
    </row>
    <row r="372">
      <c r="A372" s="11" t="n">
        <v>371</v>
      </c>
      <c r="B372" s="12" t="n">
        <v>46104</v>
      </c>
      <c r="C372" s="11" t="inlineStr">
        <is>
          <t>De NIVIA CUBILLOS ORDONES</t>
        </is>
      </c>
      <c r="D372" s="13" t="n">
        <v>12300</v>
      </c>
      <c r="E372" s="11" t="n">
        <v>1635233.47</v>
      </c>
    </row>
    <row r="373">
      <c r="A373" s="11" t="n">
        <v>372</v>
      </c>
      <c r="B373" s="12" t="n">
        <v>46104</v>
      </c>
      <c r="C373" s="11" t="inlineStr">
        <is>
          <t>De LILIA FANNY MONTENEGRO</t>
        </is>
      </c>
      <c r="D373" s="13" t="n">
        <v>15700</v>
      </c>
      <c r="E373" s="11" t="n">
        <v>1622933.47</v>
      </c>
    </row>
    <row r="374">
      <c r="A374" s="11" t="n">
        <v>373</v>
      </c>
      <c r="B374" s="12" t="n">
        <v>46104</v>
      </c>
      <c r="C374" s="11" t="inlineStr">
        <is>
          <t>De CARLOS MENDOZA</t>
        </is>
      </c>
      <c r="D374" s="13" t="n">
        <v>49300</v>
      </c>
      <c r="E374" s="11" t="n">
        <v>1607233.47</v>
      </c>
    </row>
    <row r="375">
      <c r="A375" s="11" t="n">
        <v>374</v>
      </c>
      <c r="B375" s="12" t="n">
        <v>46104</v>
      </c>
      <c r="C375" s="11" t="inlineStr">
        <is>
          <t>De PATRICIA PEREZ BECERRA</t>
        </is>
      </c>
      <c r="D375" s="13" t="n">
        <v>37800</v>
      </c>
      <c r="E375" s="11" t="n">
        <v>1557933.47</v>
      </c>
    </row>
    <row r="376">
      <c r="A376" s="11" t="n">
        <v>375</v>
      </c>
      <c r="B376" s="12" t="n">
        <v>46104</v>
      </c>
      <c r="C376" s="11" t="inlineStr">
        <is>
          <t>De JUAN CAMILO CAICEDO</t>
        </is>
      </c>
      <c r="D376" s="13" t="n">
        <v>12000</v>
      </c>
      <c r="E376" s="11" t="n">
        <v>1520133.47</v>
      </c>
    </row>
    <row r="377">
      <c r="A377" s="11" t="n">
        <v>376</v>
      </c>
      <c r="B377" s="12" t="n">
        <v>46104</v>
      </c>
      <c r="C377" s="11" t="inlineStr">
        <is>
          <t>De YOLANDA TORO QUINTERO</t>
        </is>
      </c>
      <c r="D377" s="13" t="n">
        <v>96500</v>
      </c>
      <c r="E377" s="11" t="n">
        <v>1508133.47</v>
      </c>
    </row>
    <row r="378">
      <c r="A378" s="11" t="n">
        <v>377</v>
      </c>
      <c r="B378" s="12" t="n">
        <v>46104</v>
      </c>
      <c r="C378" s="11" t="inlineStr">
        <is>
          <t>De YEIMI ELISABETH MORIANO</t>
        </is>
      </c>
      <c r="D378" s="13" t="n">
        <v>37800</v>
      </c>
      <c r="E378" s="11" t="n">
        <v>1411633.47</v>
      </c>
    </row>
    <row r="379">
      <c r="A379" s="11" t="n">
        <v>378</v>
      </c>
      <c r="B379" s="12" t="n">
        <v>46104</v>
      </c>
      <c r="C379" s="11" t="inlineStr">
        <is>
          <t>De JORGE EDUARDO</t>
        </is>
      </c>
      <c r="D379" s="13" t="n">
        <v>18500</v>
      </c>
      <c r="E379" s="11" t="n">
        <v>1373833.47</v>
      </c>
    </row>
    <row r="380">
      <c r="A380" s="11" t="n">
        <v>379</v>
      </c>
      <c r="B380" s="12" t="n">
        <v>46104</v>
      </c>
      <c r="C380" s="11" t="inlineStr">
        <is>
          <t>De JOHAN BRANDON ORTIZ</t>
        </is>
      </c>
      <c r="D380" s="13" t="n">
        <v>42000</v>
      </c>
      <c r="E380" s="11" t="n">
        <v>1355333.47</v>
      </c>
    </row>
    <row r="381">
      <c r="A381" s="11" t="n">
        <v>380</v>
      </c>
      <c r="B381" s="12" t="n">
        <v>46104</v>
      </c>
      <c r="C381" s="11" t="inlineStr">
        <is>
          <t>De FRESKEY VERGARA BORJA</t>
        </is>
      </c>
      <c r="D381" s="13" t="n">
        <v>11900</v>
      </c>
      <c r="E381" s="11" t="n">
        <v>1313333.47</v>
      </c>
    </row>
    <row r="382">
      <c r="A382" s="11" t="n">
        <v>381</v>
      </c>
      <c r="B382" s="12" t="n">
        <v>46104</v>
      </c>
      <c r="C382" s="11" t="inlineStr">
        <is>
          <t>De JEIMY MARCELA RIASCOS</t>
        </is>
      </c>
      <c r="D382" s="13" t="n">
        <v>4100</v>
      </c>
      <c r="E382" s="11" t="n">
        <v>1301433.47</v>
      </c>
    </row>
    <row r="383">
      <c r="A383" s="11" t="n">
        <v>382</v>
      </c>
      <c r="B383" s="12" t="n">
        <v>46104</v>
      </c>
      <c r="C383" s="11" t="inlineStr">
        <is>
          <t>De JHON ALEXANDER SANCHEZ</t>
        </is>
      </c>
      <c r="D383" s="13" t="n">
        <v>37500</v>
      </c>
      <c r="E383" s="11" t="n">
        <v>1297333.47</v>
      </c>
    </row>
    <row r="384">
      <c r="A384" s="11" t="n">
        <v>383</v>
      </c>
      <c r="B384" s="12" t="n">
        <v>46104</v>
      </c>
      <c r="C384" s="11" t="inlineStr">
        <is>
          <t>De FAVER DE JESUS AGUDELO</t>
        </is>
      </c>
      <c r="D384" s="13" t="n">
        <v>50000</v>
      </c>
      <c r="E384" s="11" t="n">
        <v>1259833.47</v>
      </c>
    </row>
    <row r="385">
      <c r="A385" s="11" t="n">
        <v>384</v>
      </c>
      <c r="B385" s="12" t="n">
        <v>46104</v>
      </c>
      <c r="C385" s="11" t="inlineStr">
        <is>
          <t>De LYDA MARYELI SANTACRUZ</t>
        </is>
      </c>
      <c r="D385" s="13" t="n">
        <v>32900</v>
      </c>
      <c r="E385" s="11" t="n">
        <v>1209833.47</v>
      </c>
    </row>
    <row r="386">
      <c r="A386" s="11" t="n">
        <v>385</v>
      </c>
      <c r="B386" s="12" t="n">
        <v>46104</v>
      </c>
      <c r="C386" s="11" t="inlineStr">
        <is>
          <t>De JENNY FERNANDA</t>
        </is>
      </c>
      <c r="D386" s="13" t="n">
        <v>6800</v>
      </c>
      <c r="E386" s="11" t="n">
        <v>1176933.47</v>
      </c>
    </row>
    <row r="387">
      <c r="A387" s="11" t="n">
        <v>386</v>
      </c>
      <c r="B387" s="12" t="n">
        <v>46104</v>
      </c>
      <c r="C387" s="11" t="inlineStr">
        <is>
          <t>De DEXY ESPERANZA</t>
        </is>
      </c>
      <c r="D387" s="13" t="n">
        <v>18100</v>
      </c>
      <c r="E387" s="11" t="n">
        <v>1170133.47</v>
      </c>
    </row>
    <row r="388">
      <c r="A388" s="11" t="n">
        <v>387</v>
      </c>
      <c r="B388" s="12" t="n">
        <v>46104</v>
      </c>
      <c r="C388" s="11" t="inlineStr">
        <is>
          <t>De YURI MAGALI RIASCOS</t>
        </is>
      </c>
      <c r="D388" s="13" t="n">
        <v>12240</v>
      </c>
      <c r="E388" s="11" t="n">
        <v>1152033.47</v>
      </c>
    </row>
    <row r="389">
      <c r="A389" s="11" t="n">
        <v>388</v>
      </c>
      <c r="B389" s="12" t="n">
        <v>46104</v>
      </c>
      <c r="C389" s="11" t="inlineStr">
        <is>
          <t>De EVA LINET DIAZ</t>
        </is>
      </c>
      <c r="D389" s="13" t="n">
        <v>13500</v>
      </c>
      <c r="E389" s="11" t="n">
        <v>1139793.47</v>
      </c>
    </row>
    <row r="390">
      <c r="A390" s="11" t="n">
        <v>389</v>
      </c>
      <c r="B390" s="12" t="n">
        <v>46104</v>
      </c>
      <c r="C390" s="11" t="inlineStr">
        <is>
          <t>De DOLY VARGAS GAMBOA</t>
        </is>
      </c>
      <c r="D390" s="13" t="n">
        <v>10000</v>
      </c>
      <c r="E390" s="11" t="n">
        <v>1126293.47</v>
      </c>
    </row>
    <row r="391">
      <c r="A391" s="11" t="n">
        <v>390</v>
      </c>
      <c r="B391" s="12" t="n">
        <v>46104</v>
      </c>
      <c r="C391" s="11" t="inlineStr">
        <is>
          <t>De ANDRES SEGURA BOLANOS</t>
        </is>
      </c>
      <c r="D391" s="13" t="n">
        <v>50000</v>
      </c>
      <c r="E391" s="11" t="n">
        <v>1116293.47</v>
      </c>
    </row>
    <row r="392">
      <c r="A392" s="11" t="n">
        <v>391</v>
      </c>
      <c r="B392" s="12" t="n">
        <v>46104</v>
      </c>
      <c r="C392" s="11" t="inlineStr">
        <is>
          <t>De LORENA ALVAREZ VALLEJO</t>
        </is>
      </c>
      <c r="D392" s="13" t="n">
        <v>61400</v>
      </c>
      <c r="E392" s="11" t="n">
        <v>1066293.47</v>
      </c>
    </row>
    <row r="393">
      <c r="A393" s="11" t="n">
        <v>392</v>
      </c>
      <c r="B393" s="12" t="n">
        <v>46104</v>
      </c>
      <c r="C393" s="11" t="inlineStr">
        <is>
          <t>De SIRLEN CASTILLO</t>
        </is>
      </c>
      <c r="D393" s="13" t="n">
        <v>21200</v>
      </c>
      <c r="E393" s="11" t="n">
        <v>1004893.47</v>
      </c>
    </row>
    <row r="394">
      <c r="A394" s="11" t="n">
        <v>393</v>
      </c>
      <c r="B394" s="12" t="n">
        <v>46104</v>
      </c>
      <c r="C394" s="11" t="inlineStr">
        <is>
          <t>De JHON ANDERSON MURCIA</t>
        </is>
      </c>
      <c r="D394" s="13" t="n">
        <v>6500</v>
      </c>
      <c r="E394" s="11" t="n">
        <v>983693.47</v>
      </c>
    </row>
    <row r="395">
      <c r="A395" s="11" t="n">
        <v>394</v>
      </c>
      <c r="B395" s="12" t="n">
        <v>46104</v>
      </c>
      <c r="C395" s="11" t="inlineStr">
        <is>
          <t>De IDALY ESPERANZA NARVAEZ</t>
        </is>
      </c>
      <c r="D395" s="13" t="n">
        <v>18900</v>
      </c>
      <c r="E395" s="11" t="n">
        <v>977193.47</v>
      </c>
    </row>
    <row r="396">
      <c r="A396" s="11" t="n">
        <v>395</v>
      </c>
      <c r="B396" s="12" t="n">
        <v>46104</v>
      </c>
      <c r="C396" s="11" t="inlineStr">
        <is>
          <t>De LEYDI NATALIA PRECIADO</t>
        </is>
      </c>
      <c r="D396" s="13" t="n">
        <v>15600</v>
      </c>
      <c r="E396" s="11" t="n">
        <v>958293.47</v>
      </c>
    </row>
    <row r="397">
      <c r="A397" s="11" t="n">
        <v>396</v>
      </c>
      <c r="B397" s="12" t="n">
        <v>46104</v>
      </c>
      <c r="C397" s="11" t="inlineStr">
        <is>
          <t>De YINA PAOLA MOTTA</t>
        </is>
      </c>
      <c r="D397" s="13" t="n">
        <v>21200</v>
      </c>
      <c r="E397" s="11" t="n">
        <v>942693.47</v>
      </c>
    </row>
    <row r="398">
      <c r="A398" s="11" t="n">
        <v>397</v>
      </c>
      <c r="B398" s="12" t="n">
        <v>46104</v>
      </c>
      <c r="C398" s="11" t="inlineStr">
        <is>
          <t>Gravamen al Movimiento</t>
        </is>
      </c>
      <c r="D398" s="13" t="n">
        <v>-5594.98</v>
      </c>
      <c r="E398" s="11" t="n">
        <v>921493.47</v>
      </c>
    </row>
    <row r="399">
      <c r="A399" s="11" t="n">
        <v>398</v>
      </c>
      <c r="B399" s="12" t="n">
        <v>46104</v>
      </c>
      <c r="C399" s="11" t="inlineStr">
        <is>
          <t>Surtiventas de Narino</t>
        </is>
      </c>
      <c r="D399" s="13" t="n">
        <v>-1398744</v>
      </c>
      <c r="E399" s="11" t="n">
        <v>927088.45</v>
      </c>
    </row>
    <row r="400">
      <c r="A400" s="11" t="n">
        <v>399</v>
      </c>
      <c r="B400" s="12" t="n">
        <v>46104</v>
      </c>
      <c r="C400" s="11" t="inlineStr">
        <is>
          <t>Recarga desde Bancolombia QR</t>
        </is>
      </c>
      <c r="D400" s="13" t="n">
        <v>27300</v>
      </c>
      <c r="E400" s="11" t="n">
        <v>2325832.45</v>
      </c>
    </row>
    <row r="401">
      <c r="A401" s="11" t="n">
        <v>400</v>
      </c>
      <c r="B401" s="12" t="n">
        <v>46104</v>
      </c>
      <c r="C401" s="11" t="inlineStr">
        <is>
          <t>HER*** ANT*** PAT***</t>
        </is>
      </c>
      <c r="D401" s="13" t="n">
        <v>-1706576</v>
      </c>
      <c r="E401" s="11" t="n">
        <v>2298532.45</v>
      </c>
    </row>
    <row r="402">
      <c r="A402" s="11" t="n">
        <v>401</v>
      </c>
      <c r="B402" s="12" t="n">
        <v>46104</v>
      </c>
      <c r="C402" s="11" t="inlineStr">
        <is>
          <t>Gravamen al Movimiento</t>
        </is>
      </c>
      <c r="D402" s="13" t="n">
        <v>-6826.31</v>
      </c>
      <c r="E402" s="11" t="n">
        <v>4005108.45</v>
      </c>
    </row>
    <row r="403">
      <c r="A403" s="11" t="n">
        <v>402</v>
      </c>
      <c r="B403" s="12" t="n">
        <v>46104</v>
      </c>
      <c r="C403" s="11" t="inlineStr">
        <is>
          <t>Gravamen al Movimiento</t>
        </is>
      </c>
      <c r="D403" s="13" t="n">
        <v>-2529.16</v>
      </c>
      <c r="E403" s="11" t="n">
        <v>4011934.76</v>
      </c>
    </row>
    <row r="404">
      <c r="A404" s="11" t="n">
        <v>403</v>
      </c>
      <c r="B404" s="12" t="n">
        <v>46104</v>
      </c>
      <c r="C404" s="11" t="inlineStr">
        <is>
          <t>dora ines paguatian</t>
        </is>
      </c>
      <c r="D404" s="13" t="n">
        <v>-632289</v>
      </c>
      <c r="E404" s="11" t="n">
        <v>4014463.92</v>
      </c>
    </row>
    <row r="405">
      <c r="A405" s="11" t="n">
        <v>404</v>
      </c>
      <c r="B405" s="12" t="n">
        <v>46104</v>
      </c>
      <c r="C405" s="11" t="inlineStr">
        <is>
          <t>Recarga desde Bancolombia QR</t>
        </is>
      </c>
      <c r="D405" s="13" t="n">
        <v>22400</v>
      </c>
      <c r="E405" s="11" t="n">
        <v>4646752.92</v>
      </c>
    </row>
    <row r="406">
      <c r="A406" s="11" t="n">
        <v>405</v>
      </c>
      <c r="B406" s="12" t="n">
        <v>46104</v>
      </c>
      <c r="C406" s="11" t="inlineStr">
        <is>
          <t>De LINDA JOSHIRA ROMO</t>
        </is>
      </c>
      <c r="D406" s="13" t="n">
        <v>1400</v>
      </c>
      <c r="E406" s="11" t="n">
        <v>4624352.92</v>
      </c>
    </row>
    <row r="407">
      <c r="A407" s="11" t="n">
        <v>406</v>
      </c>
      <c r="B407" s="12" t="n">
        <v>46104</v>
      </c>
      <c r="C407" s="11" t="inlineStr">
        <is>
          <t>De MARIA FERNANDA MAYORGA</t>
        </is>
      </c>
      <c r="D407" s="13" t="n">
        <v>10800</v>
      </c>
      <c r="E407" s="11" t="n">
        <v>4622952.92</v>
      </c>
    </row>
    <row r="408">
      <c r="A408" s="11" t="n">
        <v>407</v>
      </c>
      <c r="B408" s="12" t="n">
        <v>46104</v>
      </c>
      <c r="C408" s="11" t="inlineStr">
        <is>
          <t>De WILSON ALEXANDER</t>
        </is>
      </c>
      <c r="D408" s="13" t="n">
        <v>8000</v>
      </c>
      <c r="E408" s="11" t="n">
        <v>4612152.92</v>
      </c>
    </row>
    <row r="409">
      <c r="A409" s="11" t="n">
        <v>408</v>
      </c>
      <c r="B409" s="12" t="n">
        <v>46104</v>
      </c>
      <c r="C409" s="11" t="inlineStr">
        <is>
          <t>De CRISTIAN DAVID ALVAREZ</t>
        </is>
      </c>
      <c r="D409" s="13" t="n">
        <v>18200</v>
      </c>
      <c r="E409" s="11" t="n">
        <v>4604152.92</v>
      </c>
    </row>
    <row r="410">
      <c r="A410" s="11" t="n">
        <v>409</v>
      </c>
      <c r="B410" s="12" t="n">
        <v>46104</v>
      </c>
      <c r="C410" s="11" t="inlineStr">
        <is>
          <t>De JAIME PAEZ MANRIQUE</t>
        </is>
      </c>
      <c r="D410" s="13" t="n">
        <v>15000</v>
      </c>
      <c r="E410" s="11" t="n">
        <v>4585952.92</v>
      </c>
    </row>
    <row r="411">
      <c r="A411" s="11" t="n">
        <v>410</v>
      </c>
      <c r="B411" s="12" t="n">
        <v>46103</v>
      </c>
      <c r="C411" s="11" t="inlineStr">
        <is>
          <t>De TANIA MARIA CAMPO</t>
        </is>
      </c>
      <c r="D411" s="13" t="n">
        <v>6000</v>
      </c>
      <c r="E411" s="11" t="n">
        <v>4570952.92</v>
      </c>
    </row>
    <row r="412">
      <c r="A412" s="11" t="n">
        <v>411</v>
      </c>
      <c r="B412" s="12" t="n">
        <v>46103</v>
      </c>
      <c r="C412" s="11" t="inlineStr">
        <is>
          <t>De YONAR ARMANDO CORONEL</t>
        </is>
      </c>
      <c r="D412" s="13" t="n">
        <v>11000</v>
      </c>
      <c r="E412" s="11" t="n">
        <v>4564952.92</v>
      </c>
    </row>
    <row r="413">
      <c r="A413" s="11" t="n">
        <v>412</v>
      </c>
      <c r="B413" s="12" t="n">
        <v>46103</v>
      </c>
      <c r="C413" s="11" t="inlineStr">
        <is>
          <t>De MARLENY MATABANCHOY</t>
        </is>
      </c>
      <c r="D413" s="13" t="n">
        <v>15400</v>
      </c>
      <c r="E413" s="11" t="n">
        <v>4553952.92</v>
      </c>
    </row>
    <row r="414">
      <c r="A414" s="11" t="n">
        <v>413</v>
      </c>
      <c r="B414" s="12" t="n">
        <v>46103</v>
      </c>
      <c r="C414" s="11" t="inlineStr">
        <is>
          <t>De KAREN TATIANA RODRIGUEZ</t>
        </is>
      </c>
      <c r="D414" s="13" t="n">
        <v>3400</v>
      </c>
      <c r="E414" s="11" t="n">
        <v>4538552.92</v>
      </c>
    </row>
    <row r="415">
      <c r="A415" s="11" t="n">
        <v>414</v>
      </c>
      <c r="B415" s="12" t="n">
        <v>46103</v>
      </c>
      <c r="C415" s="11" t="inlineStr">
        <is>
          <t>De KAREN TATIANA RODRIGUEZ</t>
        </is>
      </c>
      <c r="D415" s="13" t="n">
        <v>25000</v>
      </c>
      <c r="E415" s="11" t="n">
        <v>4535152.92</v>
      </c>
    </row>
    <row r="416">
      <c r="A416" s="11" t="n">
        <v>415</v>
      </c>
      <c r="B416" s="12" t="n">
        <v>46103</v>
      </c>
      <c r="C416" s="11" t="inlineStr">
        <is>
          <t>De LIBARDO FAVIO MEJIA</t>
        </is>
      </c>
      <c r="D416" s="13" t="n">
        <v>216000</v>
      </c>
      <c r="E416" s="11" t="n">
        <v>4510152.92</v>
      </c>
    </row>
    <row r="417">
      <c r="A417" s="11" t="n">
        <v>416</v>
      </c>
      <c r="B417" s="12" t="n">
        <v>46103</v>
      </c>
      <c r="C417" s="11" t="inlineStr">
        <is>
          <t>RECIBI POR BRE-B DE: JESUS</t>
        </is>
      </c>
      <c r="D417" s="13" t="n">
        <v>49300</v>
      </c>
      <c r="E417" s="11" t="n">
        <v>4294152.92</v>
      </c>
    </row>
    <row r="418">
      <c r="A418" s="11" t="n">
        <v>417</v>
      </c>
      <c r="B418" s="12" t="n">
        <v>46103</v>
      </c>
      <c r="C418" s="11" t="inlineStr">
        <is>
          <t>De MONICA LEINETH BURBANO</t>
        </is>
      </c>
      <c r="D418" s="13" t="n">
        <v>11000</v>
      </c>
      <c r="E418" s="11" t="n">
        <v>4244852.92</v>
      </c>
    </row>
    <row r="419">
      <c r="A419" s="11" t="n">
        <v>418</v>
      </c>
      <c r="B419" s="12" t="n">
        <v>46103</v>
      </c>
      <c r="C419" s="11" t="inlineStr">
        <is>
          <t>De JOSE NICOLAS ANDRADE</t>
        </is>
      </c>
      <c r="D419" s="13" t="n">
        <v>5300</v>
      </c>
      <c r="E419" s="11" t="n">
        <v>4233852.92</v>
      </c>
    </row>
    <row r="420">
      <c r="A420" s="11" t="n">
        <v>419</v>
      </c>
      <c r="B420" s="12" t="n">
        <v>46103</v>
      </c>
      <c r="C420" s="11" t="inlineStr">
        <is>
          <t>De LILI AMILEC GUERRERO</t>
        </is>
      </c>
      <c r="D420" s="13" t="n">
        <v>6000</v>
      </c>
      <c r="E420" s="11" t="n">
        <v>4228552.92</v>
      </c>
    </row>
    <row r="421">
      <c r="A421" s="11" t="n">
        <v>420</v>
      </c>
      <c r="B421" s="12" t="n">
        <v>46103</v>
      </c>
      <c r="C421" s="11" t="inlineStr">
        <is>
          <t>De CARLOS FERNNDO</t>
        </is>
      </c>
      <c r="D421" s="13" t="n">
        <v>15000</v>
      </c>
      <c r="E421" s="11" t="n">
        <v>4222552.92</v>
      </c>
    </row>
    <row r="422">
      <c r="A422" s="11" t="n">
        <v>421</v>
      </c>
      <c r="B422" s="12" t="n">
        <v>46103</v>
      </c>
      <c r="C422" s="11" t="inlineStr">
        <is>
          <t>De HELIDA FRANCA CORTEZ</t>
        </is>
      </c>
      <c r="D422" s="13" t="n">
        <v>52200</v>
      </c>
      <c r="E422" s="11" t="n">
        <v>4207552.92</v>
      </c>
    </row>
    <row r="423">
      <c r="A423" s="11" t="n">
        <v>422</v>
      </c>
      <c r="B423" s="12" t="n">
        <v>46103</v>
      </c>
      <c r="C423" s="11" t="inlineStr">
        <is>
          <t>De LIBARDO FAVIO MEJIA</t>
        </is>
      </c>
      <c r="D423" s="13" t="n">
        <v>216000</v>
      </c>
      <c r="E423" s="11" t="n">
        <v>4155352.92</v>
      </c>
    </row>
    <row r="424">
      <c r="A424" s="11" t="n">
        <v>423</v>
      </c>
      <c r="B424" s="12" t="n">
        <v>46103</v>
      </c>
      <c r="C424" s="11" t="inlineStr">
        <is>
          <t>De JENNY ALEJANDRA LOPEZ</t>
        </is>
      </c>
      <c r="D424" s="13" t="n">
        <v>75000</v>
      </c>
      <c r="E424" s="11" t="n">
        <v>3939352.92</v>
      </c>
    </row>
    <row r="425">
      <c r="A425" s="11" t="n">
        <v>424</v>
      </c>
      <c r="B425" s="12" t="n">
        <v>46103</v>
      </c>
      <c r="C425" s="11" t="inlineStr">
        <is>
          <t>De ALEXIS SEBASTIAN</t>
        </is>
      </c>
      <c r="D425" s="13" t="n">
        <v>8200</v>
      </c>
      <c r="E425" s="11" t="n">
        <v>3864352.92</v>
      </c>
    </row>
    <row r="426">
      <c r="A426" s="11" t="n">
        <v>425</v>
      </c>
      <c r="B426" s="12" t="n">
        <v>46103</v>
      </c>
      <c r="C426" s="11" t="inlineStr">
        <is>
          <t>RECIBI POR BRE-B DE: JHON</t>
        </is>
      </c>
      <c r="D426" s="13" t="n">
        <v>6400</v>
      </c>
      <c r="E426" s="11" t="n">
        <v>3856152.92</v>
      </c>
    </row>
    <row r="427">
      <c r="A427" s="11" t="n">
        <v>426</v>
      </c>
      <c r="B427" s="12" t="n">
        <v>46103</v>
      </c>
      <c r="C427" s="11" t="inlineStr">
        <is>
          <t>De DEYANIRA FLOREZ</t>
        </is>
      </c>
      <c r="D427" s="13" t="n">
        <v>216000</v>
      </c>
      <c r="E427" s="11" t="n">
        <v>3849752.92</v>
      </c>
    </row>
    <row r="428">
      <c r="A428" s="11" t="n">
        <v>427</v>
      </c>
      <c r="B428" s="12" t="n">
        <v>46103</v>
      </c>
      <c r="C428" s="11" t="inlineStr">
        <is>
          <t>De ANGELA MARIA</t>
        </is>
      </c>
      <c r="D428" s="13" t="n">
        <v>5900</v>
      </c>
      <c r="E428" s="11" t="n">
        <v>3633752.92</v>
      </c>
    </row>
    <row r="429">
      <c r="A429" s="11" t="n">
        <v>428</v>
      </c>
      <c r="B429" s="12" t="n">
        <v>46103</v>
      </c>
      <c r="C429" s="11" t="inlineStr">
        <is>
          <t>De HERMES SALAZAR MENESES</t>
        </is>
      </c>
      <c r="D429" s="13" t="n">
        <v>37000</v>
      </c>
      <c r="E429" s="11" t="n">
        <v>3627852.92</v>
      </c>
    </row>
    <row r="430">
      <c r="A430" s="11" t="n">
        <v>429</v>
      </c>
      <c r="B430" s="12" t="n">
        <v>46103</v>
      </c>
      <c r="C430" s="11" t="inlineStr">
        <is>
          <t>De YENY FERNANDA</t>
        </is>
      </c>
      <c r="D430" s="13" t="n">
        <v>15300</v>
      </c>
      <c r="E430" s="11" t="n">
        <v>3590852.92</v>
      </c>
    </row>
    <row r="431">
      <c r="A431" s="11" t="n">
        <v>430</v>
      </c>
      <c r="B431" s="12" t="n">
        <v>46103</v>
      </c>
      <c r="C431" s="11" t="inlineStr">
        <is>
          <t>Recarga desde Bancolombia QR</t>
        </is>
      </c>
      <c r="D431" s="13" t="n">
        <v>15700</v>
      </c>
      <c r="E431" s="11" t="n">
        <v>3575552.92</v>
      </c>
    </row>
    <row r="432">
      <c r="A432" s="11" t="n">
        <v>431</v>
      </c>
      <c r="B432" s="12" t="n">
        <v>46103</v>
      </c>
      <c r="C432" s="11" t="inlineStr">
        <is>
          <t>De JIMMY ROBERTH RIASCOS</t>
        </is>
      </c>
      <c r="D432" s="13" t="n">
        <v>97000</v>
      </c>
      <c r="E432" s="11" t="n">
        <v>3559852.92</v>
      </c>
    </row>
    <row r="433">
      <c r="A433" s="11" t="n">
        <v>432</v>
      </c>
      <c r="B433" s="12" t="n">
        <v>46103</v>
      </c>
      <c r="C433" s="11" t="inlineStr">
        <is>
          <t>De MAGDA LILIANA ALEGRIA</t>
        </is>
      </c>
      <c r="D433" s="13" t="n">
        <v>13500</v>
      </c>
      <c r="E433" s="11" t="n">
        <v>3462852.92</v>
      </c>
    </row>
    <row r="434">
      <c r="A434" s="11" t="n">
        <v>433</v>
      </c>
      <c r="B434" s="12" t="n">
        <v>46103</v>
      </c>
      <c r="C434" s="11" t="inlineStr">
        <is>
          <t>De VALERY MICHELLE ALVAREZ</t>
        </is>
      </c>
      <c r="D434" s="13" t="n">
        <v>38500</v>
      </c>
      <c r="E434" s="11" t="n">
        <v>3449352.92</v>
      </c>
    </row>
    <row r="435">
      <c r="A435" s="11" t="n">
        <v>434</v>
      </c>
      <c r="B435" s="12" t="n">
        <v>46103</v>
      </c>
      <c r="C435" s="11" t="inlineStr">
        <is>
          <t>De DERLY ROCIO SERNA</t>
        </is>
      </c>
      <c r="D435" s="13" t="n">
        <v>8600</v>
      </c>
      <c r="E435" s="11" t="n">
        <v>3410852.92</v>
      </c>
    </row>
    <row r="436">
      <c r="A436" s="11" t="n">
        <v>435</v>
      </c>
      <c r="B436" s="12" t="n">
        <v>46103</v>
      </c>
      <c r="C436" s="11" t="inlineStr">
        <is>
          <t>De JAMES ADALBERTO</t>
        </is>
      </c>
      <c r="D436" s="13" t="n">
        <v>29800</v>
      </c>
      <c r="E436" s="11" t="n">
        <v>3402252.92</v>
      </c>
    </row>
    <row r="437">
      <c r="A437" s="11" t="n">
        <v>436</v>
      </c>
      <c r="B437" s="12" t="n">
        <v>46103</v>
      </c>
      <c r="C437" s="11" t="inlineStr">
        <is>
          <t>De LUZ ELENA CANO</t>
        </is>
      </c>
      <c r="D437" s="13" t="n">
        <v>42600</v>
      </c>
      <c r="E437" s="11" t="n">
        <v>3372452.92</v>
      </c>
    </row>
    <row r="438">
      <c r="A438" s="11" t="n">
        <v>437</v>
      </c>
      <c r="B438" s="12" t="n">
        <v>46103</v>
      </c>
      <c r="C438" s="11" t="inlineStr">
        <is>
          <t>Recarga desde Bancolombia QR</t>
        </is>
      </c>
      <c r="D438" s="13" t="n">
        <v>49650</v>
      </c>
      <c r="E438" s="11" t="n">
        <v>3329852.92</v>
      </c>
    </row>
    <row r="439">
      <c r="A439" s="11" t="n">
        <v>438</v>
      </c>
      <c r="B439" s="12" t="n">
        <v>46103</v>
      </c>
      <c r="C439" s="11" t="inlineStr">
        <is>
          <t>De CRISTIAN DAVID ALVAREZ</t>
        </is>
      </c>
      <c r="D439" s="13" t="n">
        <v>21500</v>
      </c>
      <c r="E439" s="11" t="n">
        <v>3280202.92</v>
      </c>
    </row>
    <row r="440">
      <c r="A440" s="11" t="n">
        <v>439</v>
      </c>
      <c r="B440" s="12" t="n">
        <v>46103</v>
      </c>
      <c r="C440" s="11" t="inlineStr">
        <is>
          <t>De MAYERLI TATIANA SANCHEZ</t>
        </is>
      </c>
      <c r="D440" s="13" t="n">
        <v>20900</v>
      </c>
      <c r="E440" s="11" t="n">
        <v>3258702.92</v>
      </c>
    </row>
    <row r="441">
      <c r="A441" s="11" t="n">
        <v>440</v>
      </c>
      <c r="B441" s="12" t="n">
        <v>46103</v>
      </c>
      <c r="C441" s="11" t="inlineStr">
        <is>
          <t>De WILSON ALEXANDER</t>
        </is>
      </c>
      <c r="D441" s="13" t="n">
        <v>16700</v>
      </c>
      <c r="E441" s="11" t="n">
        <v>3237802.92</v>
      </c>
    </row>
    <row r="442">
      <c r="A442" s="11" t="n">
        <v>441</v>
      </c>
      <c r="B442" s="12" t="n">
        <v>46103</v>
      </c>
      <c r="C442" s="11" t="inlineStr">
        <is>
          <t>De JOAN DAVID ARBOLEDA</t>
        </is>
      </c>
      <c r="D442" s="13" t="n">
        <v>5000</v>
      </c>
      <c r="E442" s="11" t="n">
        <v>3221102.92</v>
      </c>
    </row>
    <row r="443">
      <c r="A443" s="11" t="n">
        <v>442</v>
      </c>
      <c r="B443" s="12" t="n">
        <v>46103</v>
      </c>
      <c r="C443" s="11" t="inlineStr">
        <is>
          <t>De LICET YAELY CASTRO</t>
        </is>
      </c>
      <c r="D443" s="13" t="n">
        <v>22300</v>
      </c>
      <c r="E443" s="11" t="n">
        <v>3216102.92</v>
      </c>
    </row>
    <row r="444">
      <c r="A444" s="11" t="n">
        <v>443</v>
      </c>
      <c r="B444" s="12" t="n">
        <v>46103</v>
      </c>
      <c r="C444" s="11" t="inlineStr">
        <is>
          <t>De NASLY XIMENA ANDRADE</t>
        </is>
      </c>
      <c r="D444" s="13" t="n">
        <v>233000</v>
      </c>
      <c r="E444" s="11" t="n">
        <v>3193802.92</v>
      </c>
    </row>
    <row r="445">
      <c r="A445" s="11" t="n">
        <v>444</v>
      </c>
      <c r="B445" s="12" t="n">
        <v>46103</v>
      </c>
      <c r="C445" s="11" t="inlineStr">
        <is>
          <t>De SANDRA SOREYA CASTILLO</t>
        </is>
      </c>
      <c r="D445" s="13" t="n">
        <v>5800</v>
      </c>
      <c r="E445" s="11" t="n">
        <v>2960802.92</v>
      </c>
    </row>
    <row r="446">
      <c r="A446" s="11" t="n">
        <v>445</v>
      </c>
      <c r="B446" s="12" t="n">
        <v>46103</v>
      </c>
      <c r="C446" s="11" t="inlineStr">
        <is>
          <t>De JENNY FERNANDA</t>
        </is>
      </c>
      <c r="D446" s="13" t="n">
        <v>2000</v>
      </c>
      <c r="E446" s="11" t="n">
        <v>2955002.92</v>
      </c>
    </row>
    <row r="447">
      <c r="A447" s="11" t="n">
        <v>446</v>
      </c>
      <c r="B447" s="12" t="n">
        <v>46103</v>
      </c>
      <c r="C447" s="11" t="inlineStr">
        <is>
          <t>De JENNY FERNANDA</t>
        </is>
      </c>
      <c r="D447" s="13" t="n">
        <v>13100</v>
      </c>
      <c r="E447" s="11" t="n">
        <v>2953002.92</v>
      </c>
    </row>
    <row r="448">
      <c r="A448" s="11" t="n">
        <v>447</v>
      </c>
      <c r="B448" s="12" t="n">
        <v>46103</v>
      </c>
      <c r="C448" s="11" t="inlineStr">
        <is>
          <t>De EDWIN DAVID CASTRO</t>
        </is>
      </c>
      <c r="D448" s="13" t="n">
        <v>13500</v>
      </c>
      <c r="E448" s="11" t="n">
        <v>2939902.92</v>
      </c>
    </row>
    <row r="449">
      <c r="A449" s="11" t="n">
        <v>448</v>
      </c>
      <c r="B449" s="12" t="n">
        <v>46103</v>
      </c>
      <c r="C449" s="11" t="inlineStr">
        <is>
          <t>De KAROL DAYANNA MOLINA</t>
        </is>
      </c>
      <c r="D449" s="13" t="n">
        <v>8700</v>
      </c>
      <c r="E449" s="11" t="n">
        <v>2926402.92</v>
      </c>
    </row>
    <row r="450">
      <c r="A450" s="11" t="n">
        <v>449</v>
      </c>
      <c r="B450" s="12" t="n">
        <v>46103</v>
      </c>
      <c r="C450" s="11" t="inlineStr">
        <is>
          <t>De MARWIN DUVANY ERAZO</t>
        </is>
      </c>
      <c r="D450" s="13" t="n">
        <v>6000</v>
      </c>
      <c r="E450" s="11" t="n">
        <v>2917702.92</v>
      </c>
    </row>
    <row r="451">
      <c r="A451" s="11" t="n">
        <v>450</v>
      </c>
      <c r="B451" s="12" t="n">
        <v>46103</v>
      </c>
      <c r="C451" s="11" t="inlineStr">
        <is>
          <t>De ELISA ANDREA SALAZAR</t>
        </is>
      </c>
      <c r="D451" s="13" t="n">
        <v>22000</v>
      </c>
      <c r="E451" s="11" t="n">
        <v>2911702.92</v>
      </c>
    </row>
    <row r="452">
      <c r="A452" s="11" t="n">
        <v>451</v>
      </c>
      <c r="B452" s="12" t="n">
        <v>46103</v>
      </c>
      <c r="C452" s="11" t="inlineStr">
        <is>
          <t>De LUZ AMPARO PINO MEDINA</t>
        </is>
      </c>
      <c r="D452" s="13" t="n">
        <v>25700</v>
      </c>
      <c r="E452" s="11" t="n">
        <v>2889702.92</v>
      </c>
    </row>
    <row r="453">
      <c r="A453" s="11" t="n">
        <v>452</v>
      </c>
      <c r="B453" s="12" t="n">
        <v>46103</v>
      </c>
      <c r="C453" s="11" t="inlineStr">
        <is>
          <t>De JHON SEBASTIAN OVIEDO</t>
        </is>
      </c>
      <c r="D453" s="13" t="n">
        <v>62100</v>
      </c>
      <c r="E453" s="11" t="n">
        <v>2864002.92</v>
      </c>
    </row>
    <row r="454">
      <c r="A454" s="11" t="n">
        <v>453</v>
      </c>
      <c r="B454" s="12" t="n">
        <v>46103</v>
      </c>
      <c r="C454" s="11" t="inlineStr">
        <is>
          <t>De DEIBY SEBASTIAN LOPEZ</t>
        </is>
      </c>
      <c r="D454" s="13" t="n">
        <v>3000</v>
      </c>
      <c r="E454" s="11" t="n">
        <v>2801902.92</v>
      </c>
    </row>
    <row r="455">
      <c r="A455" s="11" t="n">
        <v>454</v>
      </c>
      <c r="B455" s="12" t="n">
        <v>46103</v>
      </c>
      <c r="C455" s="11" t="inlineStr">
        <is>
          <t>RECIBI POR BRE-B DE: SANDRA</t>
        </is>
      </c>
      <c r="D455" s="13" t="n">
        <v>31100</v>
      </c>
      <c r="E455" s="11" t="n">
        <v>2798902.92</v>
      </c>
    </row>
    <row r="456">
      <c r="A456" s="11" t="n">
        <v>455</v>
      </c>
      <c r="B456" s="12" t="n">
        <v>46103</v>
      </c>
      <c r="C456" s="11" t="inlineStr">
        <is>
          <t>De JAIME PAEZ MANRIQUE</t>
        </is>
      </c>
      <c r="D456" s="13" t="n">
        <v>19600</v>
      </c>
      <c r="E456" s="11" t="n">
        <v>2767802.92</v>
      </c>
    </row>
    <row r="457">
      <c r="A457" s="11" t="n">
        <v>456</v>
      </c>
      <c r="B457" s="12" t="n">
        <v>46103</v>
      </c>
      <c r="C457" s="11" t="inlineStr">
        <is>
          <t>De BRIYID LILIANA PEREZ</t>
        </is>
      </c>
      <c r="D457" s="13" t="n">
        <v>5200</v>
      </c>
      <c r="E457" s="11" t="n">
        <v>2748202.92</v>
      </c>
    </row>
    <row r="458">
      <c r="A458" s="11" t="n">
        <v>457</v>
      </c>
      <c r="B458" s="12" t="n">
        <v>46102</v>
      </c>
      <c r="C458" s="11" t="inlineStr">
        <is>
          <t>De ERICKA ANDREA CAMACHO</t>
        </is>
      </c>
      <c r="D458" s="13" t="n">
        <v>15800</v>
      </c>
      <c r="E458" s="11" t="n">
        <v>2743002.92</v>
      </c>
    </row>
    <row r="459">
      <c r="A459" s="11" t="n">
        <v>458</v>
      </c>
      <c r="B459" s="12" t="n">
        <v>46102</v>
      </c>
      <c r="C459" s="11" t="inlineStr">
        <is>
          <t>Recarga desde Bancolombia QR</t>
        </is>
      </c>
      <c r="D459" s="13" t="n">
        <v>11700</v>
      </c>
      <c r="E459" s="11" t="n">
        <v>2727202.92</v>
      </c>
    </row>
    <row r="460">
      <c r="A460" s="11" t="n">
        <v>459</v>
      </c>
      <c r="B460" s="12" t="n">
        <v>46102</v>
      </c>
      <c r="C460" s="11" t="inlineStr">
        <is>
          <t>De MANUEL FELIPE ZAMBRANO</t>
        </is>
      </c>
      <c r="D460" s="13" t="n">
        <v>13000</v>
      </c>
      <c r="E460" s="11" t="n">
        <v>2715502.92</v>
      </c>
    </row>
    <row r="461">
      <c r="A461" s="11" t="n">
        <v>460</v>
      </c>
      <c r="B461" s="12" t="n">
        <v>46102</v>
      </c>
      <c r="C461" s="11" t="inlineStr">
        <is>
          <t>De JENNIFER MOSQUERA</t>
        </is>
      </c>
      <c r="D461" s="13" t="n">
        <v>41900</v>
      </c>
      <c r="E461" s="11" t="n">
        <v>2702502.92</v>
      </c>
    </row>
    <row r="462">
      <c r="A462" s="11" t="n">
        <v>461</v>
      </c>
      <c r="B462" s="12" t="n">
        <v>46102</v>
      </c>
      <c r="C462" s="11" t="inlineStr">
        <is>
          <t>De MARIA FERNANDA SILVA</t>
        </is>
      </c>
      <c r="D462" s="13" t="n">
        <v>24500</v>
      </c>
      <c r="E462" s="11" t="n">
        <v>2660602.92</v>
      </c>
    </row>
    <row r="463">
      <c r="A463" s="11" t="n">
        <v>462</v>
      </c>
      <c r="B463" s="12" t="n">
        <v>46102</v>
      </c>
      <c r="C463" s="11" t="inlineStr">
        <is>
          <t>Recarga desde Bancolombia QR</t>
        </is>
      </c>
      <c r="D463" s="13" t="n">
        <v>5500</v>
      </c>
      <c r="E463" s="11" t="n">
        <v>2636102.92</v>
      </c>
    </row>
    <row r="464">
      <c r="A464" s="11" t="n">
        <v>463</v>
      </c>
      <c r="B464" s="12" t="n">
        <v>46102</v>
      </c>
      <c r="C464" s="11" t="inlineStr">
        <is>
          <t>De WILSON ALEXANDER</t>
        </is>
      </c>
      <c r="D464" s="13" t="n">
        <v>8500</v>
      </c>
      <c r="E464" s="11" t="n">
        <v>2630602.92</v>
      </c>
    </row>
    <row r="465">
      <c r="A465" s="11" t="n">
        <v>464</v>
      </c>
      <c r="B465" s="12" t="n">
        <v>46102</v>
      </c>
      <c r="C465" s="11" t="inlineStr">
        <is>
          <t>De LADY SMITH ALBA PEREZ</t>
        </is>
      </c>
      <c r="D465" s="13" t="n">
        <v>22000</v>
      </c>
      <c r="E465" s="11" t="n">
        <v>2622102.92</v>
      </c>
    </row>
    <row r="466">
      <c r="A466" s="11" t="n">
        <v>465</v>
      </c>
      <c r="B466" s="12" t="n">
        <v>46102</v>
      </c>
      <c r="C466" s="11" t="inlineStr">
        <is>
          <t>De ADRIANA YUBELI PATINO</t>
        </is>
      </c>
      <c r="D466" s="13" t="n">
        <v>31100</v>
      </c>
      <c r="E466" s="11" t="n">
        <v>2600102.92</v>
      </c>
    </row>
    <row r="467">
      <c r="A467" s="11" t="n">
        <v>466</v>
      </c>
      <c r="B467" s="12" t="n">
        <v>46102</v>
      </c>
      <c r="C467" s="11" t="inlineStr">
        <is>
          <t>RECIBI POR BRE-B DE: JUDY</t>
        </is>
      </c>
      <c r="D467" s="13" t="n">
        <v>10000</v>
      </c>
      <c r="E467" s="11" t="n">
        <v>2569002.92</v>
      </c>
    </row>
    <row r="468">
      <c r="A468" s="11" t="n">
        <v>467</v>
      </c>
      <c r="B468" s="12" t="n">
        <v>46102</v>
      </c>
      <c r="C468" s="11" t="inlineStr">
        <is>
          <t>Recarga desde Bancolombia QR</t>
        </is>
      </c>
      <c r="D468" s="13" t="n">
        <v>16400</v>
      </c>
      <c r="E468" s="11" t="n">
        <v>2559002.92</v>
      </c>
    </row>
    <row r="469">
      <c r="A469" s="11" t="n">
        <v>468</v>
      </c>
      <c r="B469" s="12" t="n">
        <v>46102</v>
      </c>
      <c r="C469" s="11" t="inlineStr">
        <is>
          <t>Recarga desde Bancolombia</t>
        </is>
      </c>
      <c r="D469" s="13" t="n">
        <v>201000</v>
      </c>
      <c r="E469" s="11" t="n">
        <v>2542602.92</v>
      </c>
    </row>
    <row r="470">
      <c r="A470" s="11" t="n">
        <v>469</v>
      </c>
      <c r="B470" s="12" t="n">
        <v>46102</v>
      </c>
      <c r="C470" s="11" t="inlineStr">
        <is>
          <t>De DERLY ALEIDA REVELO</t>
        </is>
      </c>
      <c r="D470" s="13" t="n">
        <v>12000</v>
      </c>
      <c r="E470" s="11" t="n">
        <v>2341602.92</v>
      </c>
    </row>
    <row r="471">
      <c r="A471" s="11" t="n">
        <v>470</v>
      </c>
      <c r="B471" s="12" t="n">
        <v>46102</v>
      </c>
      <c r="C471" s="11" t="inlineStr">
        <is>
          <t>De PEDRO ANTONIO MARTINEZ</t>
        </is>
      </c>
      <c r="D471" s="13" t="n">
        <v>3800</v>
      </c>
      <c r="E471" s="11" t="n">
        <v>2329602.92</v>
      </c>
    </row>
    <row r="472">
      <c r="A472" s="11" t="n">
        <v>471</v>
      </c>
      <c r="B472" s="12" t="n">
        <v>46102</v>
      </c>
      <c r="C472" s="11" t="inlineStr">
        <is>
          <t>De GHILARY DANIELA SEGURA</t>
        </is>
      </c>
      <c r="D472" s="13" t="n">
        <v>5000</v>
      </c>
      <c r="E472" s="11" t="n">
        <v>2325802.92</v>
      </c>
    </row>
    <row r="473">
      <c r="A473" s="11" t="n">
        <v>472</v>
      </c>
      <c r="B473" s="12" t="n">
        <v>46102</v>
      </c>
      <c r="C473" s="11" t="inlineStr">
        <is>
          <t>De JENNIFER YULIETH</t>
        </is>
      </c>
      <c r="D473" s="13" t="n">
        <v>94000</v>
      </c>
      <c r="E473" s="11" t="n">
        <v>2320802.92</v>
      </c>
    </row>
    <row r="474">
      <c r="A474" s="11" t="n">
        <v>473</v>
      </c>
      <c r="B474" s="12" t="n">
        <v>46102</v>
      </c>
      <c r="C474" s="11" t="inlineStr">
        <is>
          <t>De LYDA MARYELI SANTACRUZ</t>
        </is>
      </c>
      <c r="D474" s="13" t="n">
        <v>40000</v>
      </c>
      <c r="E474" s="11" t="n">
        <v>2226802.92</v>
      </c>
    </row>
    <row r="475">
      <c r="A475" s="11" t="n">
        <v>474</v>
      </c>
      <c r="B475" s="12" t="n">
        <v>46102</v>
      </c>
      <c r="C475" s="11" t="inlineStr">
        <is>
          <t>De LUIS EDUARDO QUITUMBO</t>
        </is>
      </c>
      <c r="D475" s="13" t="n">
        <v>40000</v>
      </c>
      <c r="E475" s="11" t="n">
        <v>2186802.92</v>
      </c>
    </row>
    <row r="476">
      <c r="A476" s="11" t="n">
        <v>475</v>
      </c>
      <c r="B476" s="12" t="n">
        <v>46102</v>
      </c>
      <c r="C476" s="11" t="inlineStr">
        <is>
          <t>De ANGEL BARNEY CABRERA</t>
        </is>
      </c>
      <c r="D476" s="13" t="n">
        <v>23200</v>
      </c>
      <c r="E476" s="11" t="n">
        <v>2146802.92</v>
      </c>
    </row>
    <row r="477">
      <c r="A477" s="11" t="n">
        <v>476</v>
      </c>
      <c r="B477" s="12" t="n">
        <v>46102</v>
      </c>
      <c r="C477" s="11" t="inlineStr">
        <is>
          <t>De RODRIGO ZAPATA</t>
        </is>
      </c>
      <c r="D477" s="13" t="n">
        <v>49900</v>
      </c>
      <c r="E477" s="11" t="n">
        <v>2123602.92</v>
      </c>
    </row>
    <row r="478">
      <c r="A478" s="11" t="n">
        <v>477</v>
      </c>
      <c r="B478" s="12" t="n">
        <v>46102</v>
      </c>
      <c r="C478" s="11" t="inlineStr">
        <is>
          <t>De PAOLA ALEXANDRA IDROBO</t>
        </is>
      </c>
      <c r="D478" s="13" t="n">
        <v>26400</v>
      </c>
      <c r="E478" s="11" t="n">
        <v>2073702.92</v>
      </c>
    </row>
    <row r="479">
      <c r="A479" s="11" t="n">
        <v>478</v>
      </c>
      <c r="B479" s="12" t="n">
        <v>46102</v>
      </c>
      <c r="C479" s="11" t="inlineStr">
        <is>
          <t>De HERNEY ALVEIRO ALVAREZ</t>
        </is>
      </c>
      <c r="D479" s="13" t="n">
        <v>20000</v>
      </c>
      <c r="E479" s="11" t="n">
        <v>2047302.92</v>
      </c>
    </row>
    <row r="480">
      <c r="A480" s="11" t="n">
        <v>479</v>
      </c>
      <c r="B480" s="12" t="n">
        <v>46102</v>
      </c>
      <c r="C480" s="11" t="inlineStr">
        <is>
          <t>De EDWAR FERNEY CORDOBA</t>
        </is>
      </c>
      <c r="D480" s="13" t="n">
        <v>29000</v>
      </c>
      <c r="E480" s="11" t="n">
        <v>2027302.92</v>
      </c>
    </row>
    <row r="481">
      <c r="A481" s="11" t="n">
        <v>480</v>
      </c>
      <c r="B481" s="12" t="n">
        <v>46102</v>
      </c>
      <c r="C481" s="11" t="inlineStr">
        <is>
          <t>De DIANA KATHERINE MARIN</t>
        </is>
      </c>
      <c r="D481" s="13" t="n">
        <v>20000</v>
      </c>
      <c r="E481" s="11" t="n">
        <v>1998302.92</v>
      </c>
    </row>
    <row r="482">
      <c r="A482" s="11" t="n">
        <v>481</v>
      </c>
      <c r="B482" s="12" t="n">
        <v>46102</v>
      </c>
      <c r="C482" s="11" t="inlineStr">
        <is>
          <t>De SALOME ALEJANDRA</t>
        </is>
      </c>
      <c r="D482" s="13" t="n">
        <v>25000</v>
      </c>
      <c r="E482" s="11" t="n">
        <v>1978302.92</v>
      </c>
    </row>
    <row r="483">
      <c r="A483" s="11" t="n">
        <v>482</v>
      </c>
      <c r="B483" s="12" t="n">
        <v>46102</v>
      </c>
      <c r="C483" s="11" t="inlineStr">
        <is>
          <t>De JORGE ELIAS SALAZAR</t>
        </is>
      </c>
      <c r="D483" s="13" t="n">
        <v>7500</v>
      </c>
      <c r="E483" s="11" t="n">
        <v>1953302.92</v>
      </c>
    </row>
    <row r="484">
      <c r="A484" s="11" t="n">
        <v>483</v>
      </c>
      <c r="B484" s="12" t="n">
        <v>46102</v>
      </c>
      <c r="C484" s="11" t="inlineStr">
        <is>
          <t>Recarga desde Bancolombia QR</t>
        </is>
      </c>
      <c r="D484" s="13" t="n">
        <v>75000</v>
      </c>
      <c r="E484" s="11" t="n">
        <v>1945802.92</v>
      </c>
    </row>
    <row r="485">
      <c r="A485" s="11" t="n">
        <v>484</v>
      </c>
      <c r="B485" s="12" t="n">
        <v>46102</v>
      </c>
      <c r="C485" s="11" t="inlineStr">
        <is>
          <t>De GENIS ROCIO ROJAS</t>
        </is>
      </c>
      <c r="D485" s="13" t="n">
        <v>40600</v>
      </c>
      <c r="E485" s="11" t="n">
        <v>1870802.92</v>
      </c>
    </row>
    <row r="486">
      <c r="A486" s="11" t="n">
        <v>485</v>
      </c>
      <c r="B486" s="12" t="n">
        <v>46102</v>
      </c>
      <c r="C486" s="11" t="inlineStr">
        <is>
          <t>De GLENIS VIVIANA BARGAS</t>
        </is>
      </c>
      <c r="D486" s="13" t="n">
        <v>38200</v>
      </c>
      <c r="E486" s="11" t="n">
        <v>1830202.92</v>
      </c>
    </row>
    <row r="487">
      <c r="A487" s="11" t="n">
        <v>486</v>
      </c>
      <c r="B487" s="12" t="n">
        <v>46102</v>
      </c>
      <c r="C487" s="11" t="inlineStr">
        <is>
          <t>De ZULEIMA TATIANA DIAZ</t>
        </is>
      </c>
      <c r="D487" s="13" t="n">
        <v>69300</v>
      </c>
      <c r="E487" s="11" t="n">
        <v>1792002.92</v>
      </c>
    </row>
    <row r="488">
      <c r="A488" s="11" t="n">
        <v>487</v>
      </c>
      <c r="B488" s="12" t="n">
        <v>46102</v>
      </c>
      <c r="C488" s="11" t="inlineStr">
        <is>
          <t>De MARIA ISABEL BASTIDAS</t>
        </is>
      </c>
      <c r="D488" s="13" t="n">
        <v>14000</v>
      </c>
      <c r="E488" s="11" t="n">
        <v>1722702.92</v>
      </c>
    </row>
    <row r="489">
      <c r="A489" s="11" t="n">
        <v>488</v>
      </c>
      <c r="B489" s="12" t="n">
        <v>46102</v>
      </c>
      <c r="C489" s="11" t="inlineStr">
        <is>
          <t>De RODRIGO ZAPATA</t>
        </is>
      </c>
      <c r="D489" s="13" t="n">
        <v>40000</v>
      </c>
      <c r="E489" s="11" t="n">
        <v>1708702.92</v>
      </c>
    </row>
    <row r="490">
      <c r="A490" s="11" t="n">
        <v>489</v>
      </c>
      <c r="B490" s="12" t="n">
        <v>46102</v>
      </c>
      <c r="C490" s="11" t="inlineStr">
        <is>
          <t>De KATHERINE CAICEDO</t>
        </is>
      </c>
      <c r="D490" s="13" t="n">
        <v>14400</v>
      </c>
      <c r="E490" s="11" t="n">
        <v>1668702.92</v>
      </c>
    </row>
    <row r="491">
      <c r="A491" s="11" t="n">
        <v>490</v>
      </c>
      <c r="B491" s="12" t="n">
        <v>46102</v>
      </c>
      <c r="C491" s="11" t="inlineStr">
        <is>
          <t>De DANILO ALBERTO CUCARDO</t>
        </is>
      </c>
      <c r="D491" s="13" t="n">
        <v>75000</v>
      </c>
      <c r="E491" s="11" t="n">
        <v>1654302.92</v>
      </c>
    </row>
    <row r="492">
      <c r="A492" s="11" t="n">
        <v>491</v>
      </c>
      <c r="B492" s="12" t="n">
        <v>46102</v>
      </c>
      <c r="C492" s="11" t="inlineStr">
        <is>
          <t>De DANNY ANDRES ORTEGA</t>
        </is>
      </c>
      <c r="D492" s="13" t="n">
        <v>24800</v>
      </c>
      <c r="E492" s="11" t="n">
        <v>1579302.92</v>
      </c>
    </row>
    <row r="493">
      <c r="A493" s="11" t="n">
        <v>492</v>
      </c>
      <c r="B493" s="12" t="n">
        <v>46102</v>
      </c>
      <c r="C493" s="11" t="inlineStr">
        <is>
          <t>Recarga desde Bancolombia QR</t>
        </is>
      </c>
      <c r="D493" s="13" t="n">
        <v>10700</v>
      </c>
      <c r="E493" s="11" t="n">
        <v>1554502.92</v>
      </c>
    </row>
    <row r="494">
      <c r="A494" s="11" t="n">
        <v>493</v>
      </c>
      <c r="B494" s="12" t="n">
        <v>46102</v>
      </c>
      <c r="C494" s="11" t="inlineStr">
        <is>
          <t>De JAMES ADALBERTO</t>
        </is>
      </c>
      <c r="D494" s="13" t="n">
        <v>30000</v>
      </c>
      <c r="E494" s="11" t="n">
        <v>1543802.92</v>
      </c>
    </row>
    <row r="495">
      <c r="A495" s="11" t="n">
        <v>494</v>
      </c>
      <c r="B495" s="12" t="n">
        <v>46102</v>
      </c>
      <c r="C495" s="11" t="inlineStr">
        <is>
          <t>De YULI VIVIANA ERAZO</t>
        </is>
      </c>
      <c r="D495" s="13" t="n">
        <v>9800</v>
      </c>
      <c r="E495" s="11" t="n">
        <v>1513802.92</v>
      </c>
    </row>
    <row r="496">
      <c r="A496" s="11" t="n">
        <v>495</v>
      </c>
      <c r="B496" s="12" t="n">
        <v>46102</v>
      </c>
      <c r="C496" s="11" t="inlineStr">
        <is>
          <t>RECIBI POR BRE-B DE: MARIA</t>
        </is>
      </c>
      <c r="D496" s="13" t="n">
        <v>60650</v>
      </c>
      <c r="E496" s="11" t="n">
        <v>1504002.92</v>
      </c>
    </row>
    <row r="497">
      <c r="A497" s="11" t="n">
        <v>496</v>
      </c>
      <c r="B497" s="12" t="n">
        <v>46102</v>
      </c>
      <c r="C497" s="11" t="inlineStr">
        <is>
          <t>Gravamen al Movimiento</t>
        </is>
      </c>
      <c r="D497" s="13" t="n">
        <v>-2180.35</v>
      </c>
      <c r="E497" s="11" t="n">
        <v>1443352.92</v>
      </c>
    </row>
    <row r="498">
      <c r="A498" s="11" t="n">
        <v>497</v>
      </c>
      <c r="B498" s="12" t="n">
        <v>46102</v>
      </c>
      <c r="C498" s="11" t="inlineStr">
        <is>
          <t>Surtiventas de Narino</t>
        </is>
      </c>
      <c r="D498" s="13" t="n">
        <v>-545087</v>
      </c>
      <c r="E498" s="11" t="n">
        <v>1445533.27</v>
      </c>
    </row>
    <row r="499">
      <c r="A499" s="11" t="n">
        <v>498</v>
      </c>
      <c r="B499" s="12" t="n">
        <v>46102</v>
      </c>
      <c r="C499" s="11" t="inlineStr">
        <is>
          <t>De LEIDY PAOLA PANTOJA</t>
        </is>
      </c>
      <c r="D499" s="13" t="n">
        <v>11300</v>
      </c>
      <c r="E499" s="11" t="n">
        <v>1990620.27</v>
      </c>
    </row>
    <row r="500">
      <c r="A500" s="11" t="n">
        <v>499</v>
      </c>
      <c r="B500" s="12" t="n">
        <v>46102</v>
      </c>
      <c r="C500" s="11" t="inlineStr">
        <is>
          <t>Recarga desde Bancolombia</t>
        </is>
      </c>
      <c r="D500" s="13" t="n">
        <v>3500</v>
      </c>
      <c r="E500" s="11" t="n">
        <v>1979320.27</v>
      </c>
    </row>
    <row r="501">
      <c r="A501" s="11" t="n">
        <v>500</v>
      </c>
      <c r="B501" s="12" t="n">
        <v>46102</v>
      </c>
      <c r="C501" s="11" t="inlineStr">
        <is>
          <t>Recarga desde Bancolombia</t>
        </is>
      </c>
      <c r="D501" s="13" t="n">
        <v>10100</v>
      </c>
      <c r="E501" s="11" t="n">
        <v>1975820.27</v>
      </c>
    </row>
    <row r="502">
      <c r="A502" s="11" t="n">
        <v>501</v>
      </c>
      <c r="B502" s="12" t="n">
        <v>46102</v>
      </c>
      <c r="C502" s="11" t="inlineStr">
        <is>
          <t>De DINA LUZ MENDEZ</t>
        </is>
      </c>
      <c r="D502" s="13" t="n">
        <v>15000</v>
      </c>
      <c r="E502" s="11" t="n">
        <v>1965720.27</v>
      </c>
    </row>
    <row r="503">
      <c r="A503" s="11" t="n">
        <v>502</v>
      </c>
      <c r="B503" s="12" t="n">
        <v>46102</v>
      </c>
      <c r="C503" s="11" t="inlineStr">
        <is>
          <t>De DAVINSON FERNANDO</t>
        </is>
      </c>
      <c r="D503" s="13" t="n">
        <v>6600</v>
      </c>
      <c r="E503" s="11" t="n">
        <v>1950720.27</v>
      </c>
    </row>
    <row r="504">
      <c r="A504" s="11" t="n">
        <v>503</v>
      </c>
      <c r="B504" s="12" t="n">
        <v>46102</v>
      </c>
      <c r="C504" s="11" t="inlineStr">
        <is>
          <t>De LEYDI ANDREA BURBANO</t>
        </is>
      </c>
      <c r="D504" s="13" t="n">
        <v>9100</v>
      </c>
      <c r="E504" s="11" t="n">
        <v>1944120.27</v>
      </c>
    </row>
    <row r="505">
      <c r="A505" s="11" t="n">
        <v>504</v>
      </c>
      <c r="B505" s="12" t="n">
        <v>46102</v>
      </c>
      <c r="C505" s="11" t="inlineStr">
        <is>
          <t>De SANDRA SOREYA CASTILLO</t>
        </is>
      </c>
      <c r="D505" s="13" t="n">
        <v>2000</v>
      </c>
      <c r="E505" s="11" t="n">
        <v>1935020.27</v>
      </c>
    </row>
    <row r="506">
      <c r="A506" s="11" t="n">
        <v>505</v>
      </c>
      <c r="B506" s="12" t="n">
        <v>46102</v>
      </c>
      <c r="C506" s="11" t="inlineStr">
        <is>
          <t>De SANDRA SOREYA CASTILLO</t>
        </is>
      </c>
      <c r="D506" s="13" t="n">
        <v>4500</v>
      </c>
      <c r="E506" s="11" t="n">
        <v>1933020.27</v>
      </c>
    </row>
    <row r="507">
      <c r="A507" s="11" t="n">
        <v>506</v>
      </c>
      <c r="B507" s="12" t="n">
        <v>46101</v>
      </c>
      <c r="C507" s="11" t="inlineStr">
        <is>
          <t>De CRISTIAN RENTERIA</t>
        </is>
      </c>
      <c r="D507" s="13" t="n">
        <v>70000</v>
      </c>
      <c r="E507" s="11" t="n">
        <v>1928520.27</v>
      </c>
    </row>
    <row r="508">
      <c r="A508" s="11" t="n">
        <v>507</v>
      </c>
      <c r="B508" s="12" t="n">
        <v>46101</v>
      </c>
      <c r="C508" s="11" t="inlineStr">
        <is>
          <t>De ALEXIS SEBASTIAN</t>
        </is>
      </c>
      <c r="D508" s="13" t="n">
        <v>20000</v>
      </c>
      <c r="E508" s="11" t="n">
        <v>1858520.27</v>
      </c>
    </row>
    <row r="509">
      <c r="A509" s="11" t="n">
        <v>508</v>
      </c>
      <c r="B509" s="12" t="n">
        <v>46101</v>
      </c>
      <c r="C509" s="11" t="inlineStr">
        <is>
          <t>De WILSON ALEXANDER</t>
        </is>
      </c>
      <c r="D509" s="13" t="n">
        <v>5000</v>
      </c>
      <c r="E509" s="11" t="n">
        <v>1838520.27</v>
      </c>
    </row>
    <row r="510">
      <c r="A510" s="11" t="n">
        <v>509</v>
      </c>
      <c r="B510" s="12" t="n">
        <v>46101</v>
      </c>
      <c r="C510" s="11" t="inlineStr">
        <is>
          <t>De OSCAR BENAVIDEZ</t>
        </is>
      </c>
      <c r="D510" s="13" t="n">
        <v>72700</v>
      </c>
      <c r="E510" s="11" t="n">
        <v>1833520.27</v>
      </c>
    </row>
    <row r="511">
      <c r="A511" s="11" t="n">
        <v>510</v>
      </c>
      <c r="B511" s="12" t="n">
        <v>46101</v>
      </c>
      <c r="C511" s="11" t="inlineStr">
        <is>
          <t>De EDWIN JAVIER PANTOJA</t>
        </is>
      </c>
      <c r="D511" s="13" t="n">
        <v>30900</v>
      </c>
      <c r="E511" s="11" t="n">
        <v>1760820.27</v>
      </c>
    </row>
    <row r="512">
      <c r="A512" s="11" t="n">
        <v>511</v>
      </c>
      <c r="B512" s="12" t="n">
        <v>46101</v>
      </c>
      <c r="C512" s="11" t="inlineStr">
        <is>
          <t>De RODRIGO ZAPATA</t>
        </is>
      </c>
      <c r="D512" s="13" t="n">
        <v>63000</v>
      </c>
      <c r="E512" s="11" t="n">
        <v>1729920.27</v>
      </c>
    </row>
    <row r="513">
      <c r="A513" s="11" t="n">
        <v>512</v>
      </c>
      <c r="B513" s="12" t="n">
        <v>46101</v>
      </c>
      <c r="C513" s="11" t="inlineStr">
        <is>
          <t>Recarga desde Bancolombia QR</t>
        </is>
      </c>
      <c r="D513" s="13" t="n">
        <v>23600</v>
      </c>
      <c r="E513" s="11" t="n">
        <v>1666920.27</v>
      </c>
    </row>
    <row r="514">
      <c r="A514" s="11" t="n">
        <v>513</v>
      </c>
      <c r="B514" s="12" t="n">
        <v>46101</v>
      </c>
      <c r="C514" s="11" t="inlineStr">
        <is>
          <t>RECIBI POR BRE-B DE: MARIA</t>
        </is>
      </c>
      <c r="D514" s="13" t="n">
        <v>27600</v>
      </c>
      <c r="E514" s="11" t="n">
        <v>1643320.27</v>
      </c>
    </row>
    <row r="515">
      <c r="A515" s="11" t="n">
        <v>514</v>
      </c>
      <c r="B515" s="12" t="n">
        <v>46101</v>
      </c>
      <c r="C515" s="11" t="inlineStr">
        <is>
          <t>De FRANKLI HERNAN BURBANO</t>
        </is>
      </c>
      <c r="D515" s="13" t="n">
        <v>5000</v>
      </c>
      <c r="E515" s="11" t="n">
        <v>1615720.27</v>
      </c>
    </row>
    <row r="516">
      <c r="A516" s="11" t="n">
        <v>515</v>
      </c>
      <c r="B516" s="12" t="n">
        <v>46101</v>
      </c>
      <c r="C516" s="11" t="inlineStr">
        <is>
          <t>De LUZ MARY ARANGO</t>
        </is>
      </c>
      <c r="D516" s="13" t="n">
        <v>12600</v>
      </c>
      <c r="E516" s="11" t="n">
        <v>1610720.27</v>
      </c>
    </row>
    <row r="517">
      <c r="A517" s="11" t="n">
        <v>516</v>
      </c>
      <c r="B517" s="12" t="n">
        <v>46101</v>
      </c>
      <c r="C517" s="11" t="inlineStr">
        <is>
          <t>De HERNEY IVAN MONTENEGRO</t>
        </is>
      </c>
      <c r="D517" s="13" t="n">
        <v>14000</v>
      </c>
      <c r="E517" s="11" t="n">
        <v>1598120.27</v>
      </c>
    </row>
    <row r="518">
      <c r="A518" s="11" t="n">
        <v>517</v>
      </c>
      <c r="B518" s="12" t="n">
        <v>46101</v>
      </c>
      <c r="C518" s="11" t="inlineStr">
        <is>
          <t>Recarga desde Bancolombia QR</t>
        </is>
      </c>
      <c r="D518" s="13" t="n">
        <v>40000</v>
      </c>
      <c r="E518" s="11" t="n">
        <v>1584120.27</v>
      </c>
    </row>
    <row r="519">
      <c r="A519" s="11" t="n">
        <v>518</v>
      </c>
      <c r="B519" s="12" t="n">
        <v>46101</v>
      </c>
      <c r="C519" s="11" t="inlineStr">
        <is>
          <t>De DELCY VALERIA CORAL</t>
        </is>
      </c>
      <c r="D519" s="13" t="n">
        <v>21600</v>
      </c>
      <c r="E519" s="11" t="n">
        <v>1544120.27</v>
      </c>
    </row>
    <row r="520">
      <c r="A520" s="11" t="n">
        <v>519</v>
      </c>
      <c r="B520" s="12" t="n">
        <v>46101</v>
      </c>
      <c r="C520" s="11" t="inlineStr">
        <is>
          <t>De OLGER BIANNEY MEZA</t>
        </is>
      </c>
      <c r="D520" s="13" t="n">
        <v>37500</v>
      </c>
      <c r="E520" s="11" t="n">
        <v>1522520.27</v>
      </c>
    </row>
    <row r="521">
      <c r="A521" s="11" t="n">
        <v>520</v>
      </c>
      <c r="B521" s="12" t="n">
        <v>46101</v>
      </c>
      <c r="C521" s="11" t="inlineStr">
        <is>
          <t>De LUIS YESID TOBIN BUITRAGO</t>
        </is>
      </c>
      <c r="D521" s="13" t="n">
        <v>45000</v>
      </c>
      <c r="E521" s="11" t="n">
        <v>1485020.27</v>
      </c>
    </row>
    <row r="522">
      <c r="A522" s="11" t="n">
        <v>521</v>
      </c>
      <c r="B522" s="12" t="n">
        <v>46101</v>
      </c>
      <c r="C522" s="11" t="inlineStr">
        <is>
          <t>De JUAN CARLOS SANCHEZ</t>
        </is>
      </c>
      <c r="D522" s="13" t="n">
        <v>10000</v>
      </c>
      <c r="E522" s="11" t="n">
        <v>1440020.27</v>
      </c>
    </row>
    <row r="523">
      <c r="A523" s="11" t="n">
        <v>522</v>
      </c>
      <c r="B523" s="12" t="n">
        <v>46101</v>
      </c>
      <c r="C523" s="11" t="inlineStr">
        <is>
          <t>De LISBETH PAOLA PENA</t>
        </is>
      </c>
      <c r="D523" s="13" t="n">
        <v>4700</v>
      </c>
      <c r="E523" s="11" t="n">
        <v>1430020.27</v>
      </c>
    </row>
    <row r="524">
      <c r="A524" s="11" t="n">
        <v>523</v>
      </c>
      <c r="B524" s="12" t="n">
        <v>46101</v>
      </c>
      <c r="C524" s="11" t="inlineStr">
        <is>
          <t>De LUZ BIYENI BADOS ORTEGA</t>
        </is>
      </c>
      <c r="D524" s="13" t="n">
        <v>49200</v>
      </c>
      <c r="E524" s="11" t="n">
        <v>1425320.27</v>
      </c>
    </row>
    <row r="525">
      <c r="A525" s="11" t="n">
        <v>524</v>
      </c>
      <c r="B525" s="12" t="n">
        <v>46101</v>
      </c>
      <c r="C525" s="11" t="inlineStr">
        <is>
          <t>De JUAN CARLOS SANCHEZ</t>
        </is>
      </c>
      <c r="D525" s="13" t="n">
        <v>6700</v>
      </c>
      <c r="E525" s="11" t="n">
        <v>1376120.27</v>
      </c>
    </row>
    <row r="526">
      <c r="A526" s="11" t="n">
        <v>525</v>
      </c>
      <c r="B526" s="12" t="n">
        <v>46101</v>
      </c>
      <c r="C526" s="11" t="inlineStr">
        <is>
          <t>De DOLY VARGAS GAMBOA</t>
        </is>
      </c>
      <c r="D526" s="13" t="n">
        <v>7000</v>
      </c>
      <c r="E526" s="11" t="n">
        <v>1369420.27</v>
      </c>
    </row>
    <row r="527">
      <c r="A527" s="11" t="n">
        <v>526</v>
      </c>
      <c r="B527" s="12" t="n">
        <v>46101</v>
      </c>
      <c r="C527" s="11" t="inlineStr">
        <is>
          <t>De MARTHA LILIANA QUISTIAL</t>
        </is>
      </c>
      <c r="D527" s="13" t="n">
        <v>31800</v>
      </c>
      <c r="E527" s="11" t="n">
        <v>1362420.27</v>
      </c>
    </row>
    <row r="528">
      <c r="A528" s="11" t="n">
        <v>527</v>
      </c>
      <c r="B528" s="12" t="n">
        <v>46101</v>
      </c>
      <c r="C528" s="11" t="inlineStr">
        <is>
          <t>De ENAR ALBERTO SANCHEZ</t>
        </is>
      </c>
      <c r="D528" s="13" t="n">
        <v>8400</v>
      </c>
      <c r="E528" s="11" t="n">
        <v>1330620.27</v>
      </c>
    </row>
    <row r="529">
      <c r="A529" s="11" t="n">
        <v>528</v>
      </c>
      <c r="B529" s="12" t="n">
        <v>46101</v>
      </c>
      <c r="C529" s="11" t="inlineStr">
        <is>
          <t>De TATIANA CHAVES IMBACHI</t>
        </is>
      </c>
      <c r="D529" s="13" t="n">
        <v>19300</v>
      </c>
      <c r="E529" s="11" t="n">
        <v>1322220.27</v>
      </c>
    </row>
    <row r="530">
      <c r="A530" s="11" t="n">
        <v>529</v>
      </c>
      <c r="B530" s="12" t="n">
        <v>46101</v>
      </c>
      <c r="C530" s="11" t="inlineStr">
        <is>
          <t>De MARIA ARACELI RAYO</t>
        </is>
      </c>
      <c r="D530" s="13" t="n">
        <v>15500</v>
      </c>
      <c r="E530" s="11" t="n">
        <v>1302920.27</v>
      </c>
    </row>
    <row r="531">
      <c r="A531" s="11" t="n">
        <v>530</v>
      </c>
      <c r="B531" s="12" t="n">
        <v>46101</v>
      </c>
      <c r="C531" s="11" t="inlineStr">
        <is>
          <t>De SHIRLEY CHAVES GONZALEZ</t>
        </is>
      </c>
      <c r="D531" s="13" t="n">
        <v>5200</v>
      </c>
      <c r="E531" s="11" t="n">
        <v>1287420.27</v>
      </c>
    </row>
    <row r="532">
      <c r="A532" s="11" t="n">
        <v>531</v>
      </c>
      <c r="B532" s="12" t="n">
        <v>46101</v>
      </c>
      <c r="C532" s="11" t="inlineStr">
        <is>
          <t>De MARTHA LUCIA CARRETERO</t>
        </is>
      </c>
      <c r="D532" s="13" t="n">
        <v>39400</v>
      </c>
      <c r="E532" s="11" t="n">
        <v>1282220.27</v>
      </c>
    </row>
    <row r="533">
      <c r="A533" s="11" t="n">
        <v>532</v>
      </c>
      <c r="B533" s="12" t="n">
        <v>46101</v>
      </c>
      <c r="C533" s="11" t="inlineStr">
        <is>
          <t>De JUAN JOSE RICARDO</t>
        </is>
      </c>
      <c r="D533" s="13" t="n">
        <v>2500</v>
      </c>
      <c r="E533" s="11" t="n">
        <v>1242820.27</v>
      </c>
    </row>
    <row r="534">
      <c r="A534" s="11" t="n">
        <v>533</v>
      </c>
      <c r="B534" s="12" t="n">
        <v>46101</v>
      </c>
      <c r="C534" s="11" t="inlineStr">
        <is>
          <t>De SALOME ALEJANDRA</t>
        </is>
      </c>
      <c r="D534" s="13" t="n">
        <v>3000</v>
      </c>
      <c r="E534" s="11" t="n">
        <v>1240320.27</v>
      </c>
    </row>
    <row r="535">
      <c r="A535" s="11" t="n">
        <v>534</v>
      </c>
      <c r="B535" s="12" t="n">
        <v>46101</v>
      </c>
      <c r="C535" s="11" t="inlineStr">
        <is>
          <t>De DAYAN FLOREZ REYES</t>
        </is>
      </c>
      <c r="D535" s="13" t="n">
        <v>25900</v>
      </c>
      <c r="E535" s="11" t="n">
        <v>1237320.27</v>
      </c>
    </row>
    <row r="536">
      <c r="A536" s="11" t="n">
        <v>535</v>
      </c>
      <c r="B536" s="12" t="n">
        <v>46101</v>
      </c>
      <c r="C536" s="11" t="inlineStr">
        <is>
          <t>De NATALY ALEXANDRA MILLAN</t>
        </is>
      </c>
      <c r="D536" s="13" t="n">
        <v>9010</v>
      </c>
      <c r="E536" s="11" t="n">
        <v>1211420.27</v>
      </c>
    </row>
    <row r="537">
      <c r="A537" s="11" t="n">
        <v>536</v>
      </c>
      <c r="B537" s="12" t="n">
        <v>46101</v>
      </c>
      <c r="C537" s="11" t="inlineStr">
        <is>
          <t>De MARIA DEL CARMEN</t>
        </is>
      </c>
      <c r="D537" s="13" t="n">
        <v>70000</v>
      </c>
      <c r="E537" s="11" t="n">
        <v>1202410.27</v>
      </c>
    </row>
    <row r="538">
      <c r="A538" s="11" t="n">
        <v>537</v>
      </c>
      <c r="B538" s="12" t="n">
        <v>46101</v>
      </c>
      <c r="C538" s="11" t="inlineStr">
        <is>
          <t>RECIBI POR BRE-B DE: WILSON</t>
        </is>
      </c>
      <c r="D538" s="13" t="n">
        <v>6700</v>
      </c>
      <c r="E538" s="11" t="n">
        <v>1132410.27</v>
      </c>
    </row>
    <row r="539">
      <c r="A539" s="11" t="n">
        <v>538</v>
      </c>
      <c r="B539" s="12" t="n">
        <v>46101</v>
      </c>
      <c r="C539" s="11" t="inlineStr">
        <is>
          <t>De JIMMY MIPAZ MUNOZ</t>
        </is>
      </c>
      <c r="D539" s="13" t="n">
        <v>22800</v>
      </c>
      <c r="E539" s="11" t="n">
        <v>1125710.27</v>
      </c>
    </row>
    <row r="540">
      <c r="A540" s="11" t="n">
        <v>539</v>
      </c>
      <c r="B540" s="12" t="n">
        <v>46101</v>
      </c>
      <c r="C540" s="11" t="inlineStr">
        <is>
          <t>De NANCY MAIDOLY MEJIA PAEZ</t>
        </is>
      </c>
      <c r="D540" s="13" t="n">
        <v>16000</v>
      </c>
      <c r="E540" s="11" t="n">
        <v>1102910.27</v>
      </c>
    </row>
    <row r="541">
      <c r="A541" s="11" t="n">
        <v>540</v>
      </c>
      <c r="B541" s="12" t="n">
        <v>46101</v>
      </c>
      <c r="C541" s="11" t="inlineStr">
        <is>
          <t>De LEIDY MARCELA VIUCHE</t>
        </is>
      </c>
      <c r="D541" s="13" t="n">
        <v>28400</v>
      </c>
      <c r="E541" s="11" t="n">
        <v>1086910.27</v>
      </c>
    </row>
    <row r="542">
      <c r="A542" s="11" t="n">
        <v>541</v>
      </c>
      <c r="B542" s="12" t="n">
        <v>46101</v>
      </c>
      <c r="C542" s="11" t="inlineStr">
        <is>
          <t>De MILTON ALFREDO CUASPUD</t>
        </is>
      </c>
      <c r="D542" s="13" t="n">
        <v>37000</v>
      </c>
      <c r="E542" s="11" t="n">
        <v>1058510.27</v>
      </c>
    </row>
    <row r="543">
      <c r="A543" s="11" t="n">
        <v>542</v>
      </c>
      <c r="B543" s="12" t="n">
        <v>46101</v>
      </c>
      <c r="C543" s="11" t="inlineStr">
        <is>
          <t>De GLINIS FERNANDA CUARAN</t>
        </is>
      </c>
      <c r="D543" s="13" t="n">
        <v>7500</v>
      </c>
      <c r="E543" s="11" t="n">
        <v>1021510.27</v>
      </c>
    </row>
    <row r="544">
      <c r="A544" s="11" t="n">
        <v>543</v>
      </c>
      <c r="B544" s="12" t="n">
        <v>46101</v>
      </c>
      <c r="C544" s="11" t="inlineStr">
        <is>
          <t>De DENIER FERNANDO</t>
        </is>
      </c>
      <c r="D544" s="13" t="n">
        <v>25800</v>
      </c>
      <c r="E544" s="11" t="n">
        <v>1014010.27</v>
      </c>
    </row>
    <row r="545">
      <c r="A545" s="11" t="n">
        <v>544</v>
      </c>
      <c r="B545" s="12" t="n">
        <v>46101</v>
      </c>
      <c r="C545" s="11" t="inlineStr">
        <is>
          <t>De GERMAN STIVEN CASANOVA</t>
        </is>
      </c>
      <c r="D545" s="13" t="n">
        <v>12000</v>
      </c>
      <c r="E545" s="11" t="n">
        <v>988210.27</v>
      </c>
    </row>
    <row r="546">
      <c r="A546" s="11" t="n">
        <v>545</v>
      </c>
      <c r="B546" s="12" t="n">
        <v>46100</v>
      </c>
      <c r="C546" s="11" t="inlineStr">
        <is>
          <t>De JENNIFER JULIETH GUZMAN</t>
        </is>
      </c>
      <c r="D546" s="13" t="n">
        <v>165600</v>
      </c>
      <c r="E546" s="11" t="n">
        <v>976210.27</v>
      </c>
    </row>
    <row r="547">
      <c r="A547" s="11" t="n">
        <v>546</v>
      </c>
      <c r="B547" s="12" t="n">
        <v>46100</v>
      </c>
      <c r="C547" s="11" t="inlineStr">
        <is>
          <t>Recarga desde Bancolombia QR</t>
        </is>
      </c>
      <c r="D547" s="13" t="n">
        <v>35500</v>
      </c>
      <c r="E547" s="11" t="n">
        <v>810610.27</v>
      </c>
    </row>
    <row r="548">
      <c r="A548" s="11" t="n">
        <v>547</v>
      </c>
      <c r="B548" s="12" t="n">
        <v>46100</v>
      </c>
      <c r="C548" s="11" t="inlineStr">
        <is>
          <t>De LEYDI MENESES BURBANO</t>
        </is>
      </c>
      <c r="D548" s="13" t="n">
        <v>21100</v>
      </c>
      <c r="E548" s="11" t="n">
        <v>775110.27</v>
      </c>
    </row>
    <row r="549">
      <c r="A549" s="11" t="n">
        <v>548</v>
      </c>
      <c r="B549" s="12" t="n">
        <v>46100</v>
      </c>
      <c r="C549" s="11" t="inlineStr">
        <is>
          <t>De DOLY VARGAS GAMBOA</t>
        </is>
      </c>
      <c r="D549" s="13" t="n">
        <v>32000</v>
      </c>
      <c r="E549" s="11" t="n">
        <v>754010.27</v>
      </c>
    </row>
    <row r="550">
      <c r="A550" s="11" t="n">
        <v>549</v>
      </c>
      <c r="B550" s="12" t="n">
        <v>46100</v>
      </c>
      <c r="C550" s="11" t="inlineStr">
        <is>
          <t>De OSCAR BENAVIDEZ</t>
        </is>
      </c>
      <c r="D550" s="13" t="n">
        <v>16900</v>
      </c>
      <c r="E550" s="11" t="n">
        <v>722010.27</v>
      </c>
    </row>
    <row r="551">
      <c r="A551" s="11" t="n">
        <v>550</v>
      </c>
      <c r="B551" s="12" t="n">
        <v>46100</v>
      </c>
      <c r="C551" s="11" t="inlineStr">
        <is>
          <t>Recarga desde Bancolombia QR</t>
        </is>
      </c>
      <c r="D551" s="13" t="n">
        <v>23200</v>
      </c>
      <c r="E551" s="11" t="n">
        <v>705110.27</v>
      </c>
    </row>
    <row r="552">
      <c r="A552" s="11" t="n">
        <v>551</v>
      </c>
      <c r="B552" s="12" t="n">
        <v>46100</v>
      </c>
      <c r="C552" s="11" t="inlineStr">
        <is>
          <t>De KAREN MARITZA GUIZA</t>
        </is>
      </c>
      <c r="D552" s="13" t="n">
        <v>36500</v>
      </c>
      <c r="E552" s="11" t="n">
        <v>681910.27</v>
      </c>
    </row>
    <row r="553">
      <c r="A553" s="11" t="n">
        <v>552</v>
      </c>
      <c r="B553" s="12" t="n">
        <v>46100</v>
      </c>
      <c r="C553" s="11" t="inlineStr">
        <is>
          <t>De LEIDY PAOLA PANTOJA</t>
        </is>
      </c>
      <c r="D553" s="13" t="n">
        <v>40500</v>
      </c>
      <c r="E553" s="11" t="n">
        <v>645410.27</v>
      </c>
    </row>
    <row r="554">
      <c r="A554" s="11" t="n">
        <v>553</v>
      </c>
      <c r="B554" s="12" t="n">
        <v>46100</v>
      </c>
      <c r="C554" s="11" t="inlineStr">
        <is>
          <t>De MILTON ANCIZAR HUERTAS</t>
        </is>
      </c>
      <c r="D554" s="13" t="n">
        <v>18800</v>
      </c>
      <c r="E554" s="11" t="n">
        <v>604910.27</v>
      </c>
    </row>
    <row r="555">
      <c r="A555" s="11" t="n">
        <v>554</v>
      </c>
      <c r="B555" s="12" t="n">
        <v>46100</v>
      </c>
      <c r="C555" s="11" t="inlineStr">
        <is>
          <t>De DANIELA FERNANDA LEIVA</t>
        </is>
      </c>
      <c r="D555" s="13" t="n">
        <v>4600</v>
      </c>
      <c r="E555" s="11" t="n">
        <v>586110.27</v>
      </c>
    </row>
    <row r="556">
      <c r="A556" s="11" t="n">
        <v>555</v>
      </c>
      <c r="B556" s="12" t="n">
        <v>46100</v>
      </c>
      <c r="C556" s="11" t="inlineStr">
        <is>
          <t>De CAROLAIN ANDREA ARIZA</t>
        </is>
      </c>
      <c r="D556" s="13" t="n">
        <v>122900</v>
      </c>
      <c r="E556" s="11" t="n">
        <v>581510.27</v>
      </c>
    </row>
    <row r="557">
      <c r="A557" s="11" t="n">
        <v>556</v>
      </c>
      <c r="B557" s="12" t="n">
        <v>46100</v>
      </c>
      <c r="C557" s="11" t="inlineStr">
        <is>
          <t>De WILSON ALEXANDER</t>
        </is>
      </c>
      <c r="D557" s="13" t="n">
        <v>4000</v>
      </c>
      <c r="E557" s="11" t="n">
        <v>458610.27</v>
      </c>
    </row>
    <row r="558">
      <c r="A558" s="11" t="n">
        <v>557</v>
      </c>
      <c r="B558" s="12" t="n">
        <v>46100</v>
      </c>
      <c r="C558" s="11" t="inlineStr">
        <is>
          <t>De ANA CRISTINA CUERVO</t>
        </is>
      </c>
      <c r="D558" s="13" t="n">
        <v>6400</v>
      </c>
      <c r="E558" s="11" t="n">
        <v>454610.27</v>
      </c>
    </row>
    <row r="559">
      <c r="A559" s="11" t="n">
        <v>558</v>
      </c>
      <c r="B559" s="12" t="n">
        <v>46100</v>
      </c>
      <c r="C559" s="11" t="inlineStr">
        <is>
          <t>De DIANA MARCELA TIMANA</t>
        </is>
      </c>
      <c r="D559" s="13" t="n">
        <v>14500</v>
      </c>
      <c r="E559" s="11" t="n">
        <v>448210.27</v>
      </c>
    </row>
    <row r="560">
      <c r="A560" s="11" t="n">
        <v>559</v>
      </c>
      <c r="B560" s="12" t="n">
        <v>46100</v>
      </c>
      <c r="C560" s="11" t="inlineStr">
        <is>
          <t>De HERNEY IVAN MONTENEGRO</t>
        </is>
      </c>
      <c r="D560" s="13" t="n">
        <v>15000</v>
      </c>
      <c r="E560" s="11" t="n">
        <v>433710.27</v>
      </c>
    </row>
    <row r="561">
      <c r="A561" s="11" t="n">
        <v>560</v>
      </c>
      <c r="B561" s="12" t="n">
        <v>46100</v>
      </c>
      <c r="C561" s="11" t="inlineStr">
        <is>
          <t>De JANNY MARCELA SALCEDO</t>
        </is>
      </c>
      <c r="D561" s="13" t="n">
        <v>12200</v>
      </c>
      <c r="E561" s="11" t="n">
        <v>418710.27</v>
      </c>
    </row>
    <row r="562">
      <c r="A562" s="11" t="n">
        <v>561</v>
      </c>
      <c r="B562" s="12" t="n">
        <v>46100</v>
      </c>
      <c r="C562" s="11" t="inlineStr">
        <is>
          <t>Recarga desde Bancolombia QR</t>
        </is>
      </c>
      <c r="D562" s="13" t="n">
        <v>12300</v>
      </c>
      <c r="E562" s="11" t="n">
        <v>406510.27</v>
      </c>
    </row>
    <row r="563">
      <c r="A563" s="11" t="n">
        <v>562</v>
      </c>
      <c r="B563" s="12" t="n">
        <v>46100</v>
      </c>
      <c r="C563" s="11" t="inlineStr">
        <is>
          <t>De MARILUZ ARMERO</t>
        </is>
      </c>
      <c r="D563" s="13" t="n">
        <v>62200</v>
      </c>
      <c r="E563" s="11" t="n">
        <v>394210.27</v>
      </c>
    </row>
    <row r="564">
      <c r="A564" s="11" t="n">
        <v>563</v>
      </c>
      <c r="B564" s="12" t="n">
        <v>46100</v>
      </c>
      <c r="C564" s="11" t="inlineStr">
        <is>
          <t>De RODRIGO ZAPATA</t>
        </is>
      </c>
      <c r="D564" s="13" t="n">
        <v>41200</v>
      </c>
      <c r="E564" s="11" t="n">
        <v>332010.27</v>
      </c>
    </row>
    <row r="565">
      <c r="A565" s="11" t="n">
        <v>564</v>
      </c>
      <c r="B565" s="12" t="n">
        <v>46100</v>
      </c>
      <c r="C565" s="11" t="inlineStr">
        <is>
          <t>De JANIER ARBEY CORAL</t>
        </is>
      </c>
      <c r="D565" s="13" t="n">
        <v>9750</v>
      </c>
      <c r="E565" s="11" t="n">
        <v>290810.27</v>
      </c>
    </row>
    <row r="566">
      <c r="A566" s="11" t="n">
        <v>565</v>
      </c>
      <c r="B566" s="12" t="n">
        <v>46100</v>
      </c>
      <c r="C566" s="11" t="inlineStr">
        <is>
          <t>De JOSE ANCIZAR GUTIERREZ</t>
        </is>
      </c>
      <c r="D566" s="13" t="n">
        <v>75600</v>
      </c>
      <c r="E566" s="11" t="n">
        <v>281060.27</v>
      </c>
    </row>
    <row r="567">
      <c r="A567" s="11" t="n">
        <v>566</v>
      </c>
      <c r="B567" s="12" t="n">
        <v>46100</v>
      </c>
      <c r="C567" s="11" t="inlineStr">
        <is>
          <t>De JOSE ANCIZAR GUTIERREZ</t>
        </is>
      </c>
      <c r="D567" s="13" t="n">
        <v>8400</v>
      </c>
      <c r="E567" s="11" t="n">
        <v>205460.27</v>
      </c>
    </row>
    <row r="568">
      <c r="A568" s="11" t="n">
        <v>567</v>
      </c>
      <c r="B568" s="12" t="n">
        <v>46100</v>
      </c>
      <c r="C568" s="11" t="inlineStr">
        <is>
          <t>De AMILO FERNEY LOPEZ</t>
        </is>
      </c>
      <c r="D568" s="13" t="n">
        <v>4900</v>
      </c>
      <c r="E568" s="11" t="n">
        <v>197060.27</v>
      </c>
    </row>
    <row r="569">
      <c r="A569" s="11" t="n">
        <v>568</v>
      </c>
      <c r="B569" s="12" t="n">
        <v>46100</v>
      </c>
      <c r="C569" s="11" t="inlineStr">
        <is>
          <t>GRAVAMEN AL MOVIMIENTO</t>
        </is>
      </c>
      <c r="D569" s="13" t="n">
        <v>-2766.98</v>
      </c>
      <c r="E569" s="11" t="n">
        <v>192160.27</v>
      </c>
    </row>
    <row r="570">
      <c r="A570" s="11" t="n">
        <v>569</v>
      </c>
      <c r="B570" s="12" t="n">
        <v>46100</v>
      </c>
      <c r="C570" s="11" t="inlineStr">
        <is>
          <t>PAGO EN QR BRE-B:</t>
        </is>
      </c>
      <c r="D570" s="13" t="n">
        <v>-691746</v>
      </c>
      <c r="E570" s="11" t="n">
        <v>194927.25</v>
      </c>
    </row>
    <row r="571">
      <c r="A571" s="11" t="n">
        <v>570</v>
      </c>
      <c r="B571" s="12" t="n">
        <v>46100</v>
      </c>
      <c r="C571" s="11" t="inlineStr">
        <is>
          <t>De ANA CRISTINA RODRIGUEZ</t>
        </is>
      </c>
      <c r="D571" s="13" t="n">
        <v>9600</v>
      </c>
      <c r="E571" s="11" t="n">
        <v>886673.25</v>
      </c>
    </row>
    <row r="572">
      <c r="A572" s="11" t="n">
        <v>571</v>
      </c>
      <c r="B572" s="12" t="n">
        <v>46100</v>
      </c>
      <c r="C572" s="11" t="inlineStr">
        <is>
          <t>De AMILO FERNEY LOPEZ</t>
        </is>
      </c>
      <c r="D572" s="13" t="n">
        <v>11700</v>
      </c>
      <c r="E572" s="11" t="n">
        <v>877073.25</v>
      </c>
    </row>
    <row r="573">
      <c r="A573" s="11" t="n">
        <v>572</v>
      </c>
      <c r="B573" s="12" t="n">
        <v>46100</v>
      </c>
      <c r="C573" s="11" t="inlineStr">
        <is>
          <t>De PASCUAL PULIDO</t>
        </is>
      </c>
      <c r="D573" s="13" t="n">
        <v>9500</v>
      </c>
      <c r="E573" s="11" t="n">
        <v>865373.25</v>
      </c>
    </row>
    <row r="574">
      <c r="A574" s="11" t="n">
        <v>573</v>
      </c>
      <c r="B574" s="12" t="n">
        <v>46100</v>
      </c>
      <c r="C574" s="11" t="inlineStr">
        <is>
          <t>De LEYDI ANDREA BURBANO</t>
        </is>
      </c>
      <c r="D574" s="13" t="n">
        <v>6100</v>
      </c>
      <c r="E574" s="11" t="n">
        <v>855873.25</v>
      </c>
    </row>
    <row r="575">
      <c r="A575" s="11" t="n">
        <v>574</v>
      </c>
      <c r="B575" s="12" t="n">
        <v>46100</v>
      </c>
      <c r="C575" s="11" t="inlineStr">
        <is>
          <t>De NINY JHOANA SANTANDER</t>
        </is>
      </c>
      <c r="D575" s="13" t="n">
        <v>29400</v>
      </c>
      <c r="E575" s="11" t="n">
        <v>849773.25</v>
      </c>
    </row>
    <row r="576">
      <c r="A576" s="11" t="n">
        <v>575</v>
      </c>
      <c r="B576" s="12" t="n">
        <v>46100</v>
      </c>
      <c r="C576" s="11" t="inlineStr">
        <is>
          <t>De ERIKA NAYELY BURBANO</t>
        </is>
      </c>
      <c r="D576" s="13" t="n">
        <v>5200</v>
      </c>
      <c r="E576" s="11" t="n">
        <v>820373.25</v>
      </c>
    </row>
    <row r="577">
      <c r="A577" s="11" t="n">
        <v>576</v>
      </c>
      <c r="B577" s="12" t="n">
        <v>46100</v>
      </c>
      <c r="C577" s="11" t="inlineStr">
        <is>
          <t>Gravamen al Movimiento</t>
        </is>
      </c>
      <c r="D577" s="13" t="n">
        <v>-15891.71</v>
      </c>
      <c r="E577" s="11" t="n">
        <v>815173.25</v>
      </c>
    </row>
    <row r="578">
      <c r="A578" s="11" t="n">
        <v>577</v>
      </c>
      <c r="B578" s="12" t="n">
        <v>46100</v>
      </c>
      <c r="C578" s="11" t="inlineStr">
        <is>
          <t>FRA*** ADR*** BEN*** SAN***</t>
        </is>
      </c>
      <c r="D578" s="13" t="n">
        <v>-3972927</v>
      </c>
      <c r="E578" s="11" t="n">
        <v>831064.96</v>
      </c>
    </row>
    <row r="579">
      <c r="A579" s="11" t="n">
        <v>578</v>
      </c>
      <c r="B579" s="12" t="n">
        <v>46100</v>
      </c>
      <c r="C579" s="11" t="inlineStr">
        <is>
          <t>De JHONATAN SANTIAGO</t>
        </is>
      </c>
      <c r="D579" s="13" t="n">
        <v>3000</v>
      </c>
      <c r="E579" s="11" t="n">
        <v>4803991.96</v>
      </c>
    </row>
    <row r="580">
      <c r="A580" s="11" t="n">
        <v>579</v>
      </c>
      <c r="B580" s="12" t="n">
        <v>46100</v>
      </c>
      <c r="C580" s="11" t="inlineStr">
        <is>
          <t>De KELLY JHOANA PEREA</t>
        </is>
      </c>
      <c r="D580" s="13" t="n">
        <v>24400</v>
      </c>
      <c r="E580" s="11" t="n">
        <v>4800991.96</v>
      </c>
    </row>
    <row r="581">
      <c r="A581" s="11" t="n">
        <v>580</v>
      </c>
      <c r="B581" s="12" t="n">
        <v>46100</v>
      </c>
      <c r="C581" s="11" t="inlineStr">
        <is>
          <t>De ALEXI GARCIA</t>
        </is>
      </c>
      <c r="D581" s="13" t="n">
        <v>25900</v>
      </c>
      <c r="E581" s="11" t="n">
        <v>4776591.96</v>
      </c>
    </row>
    <row r="582">
      <c r="A582" s="11" t="n">
        <v>581</v>
      </c>
      <c r="B582" s="12" t="n">
        <v>46100</v>
      </c>
      <c r="C582" s="11" t="inlineStr">
        <is>
          <t>De LADY SMITH ALBA PEREZ</t>
        </is>
      </c>
      <c r="D582" s="13" t="n">
        <v>29200</v>
      </c>
      <c r="E582" s="11" t="n">
        <v>4750691.96</v>
      </c>
    </row>
    <row r="583">
      <c r="A583" s="11" t="n">
        <v>582</v>
      </c>
      <c r="B583" s="12" t="n">
        <v>46100</v>
      </c>
      <c r="C583" s="11" t="inlineStr">
        <is>
          <t>De DELCY VALERIA CORAL</t>
        </is>
      </c>
      <c r="D583" s="13" t="n">
        <v>21500</v>
      </c>
      <c r="E583" s="11" t="n">
        <v>4721491.96</v>
      </c>
    </row>
    <row r="584">
      <c r="A584" s="11" t="n">
        <v>583</v>
      </c>
      <c r="B584" s="12" t="n">
        <v>46100</v>
      </c>
      <c r="C584" s="11" t="inlineStr">
        <is>
          <t>De HELIDA FRANCA CORTEZ</t>
        </is>
      </c>
      <c r="D584" s="13" t="n">
        <v>81570</v>
      </c>
      <c r="E584" s="11" t="n">
        <v>4699991.96</v>
      </c>
    </row>
    <row r="585">
      <c r="A585" s="11" t="n">
        <v>584</v>
      </c>
      <c r="B585" s="12" t="n">
        <v>46100</v>
      </c>
      <c r="C585" s="11" t="inlineStr">
        <is>
          <t>De JHONN ANDERSON</t>
        </is>
      </c>
      <c r="D585" s="13" t="n">
        <v>6100</v>
      </c>
      <c r="E585" s="11" t="n">
        <v>4618421.96</v>
      </c>
    </row>
    <row r="586">
      <c r="A586" s="11" t="n">
        <v>585</v>
      </c>
      <c r="B586" s="12" t="n">
        <v>46100</v>
      </c>
      <c r="C586" s="11" t="inlineStr">
        <is>
          <t>De FRANK YINNER HENAO</t>
        </is>
      </c>
      <c r="D586" s="13" t="n">
        <v>88400</v>
      </c>
      <c r="E586" s="11" t="n">
        <v>4612321.96</v>
      </c>
    </row>
    <row r="587">
      <c r="A587" s="11" t="n">
        <v>586</v>
      </c>
      <c r="B587" s="12" t="n">
        <v>46100</v>
      </c>
      <c r="C587" s="11" t="inlineStr">
        <is>
          <t>Recarga desde Bancolombia QR</t>
        </is>
      </c>
      <c r="D587" s="13" t="n">
        <v>21200</v>
      </c>
      <c r="E587" s="11" t="n">
        <v>4523921.96</v>
      </c>
    </row>
    <row r="588">
      <c r="A588" s="11" t="n">
        <v>587</v>
      </c>
      <c r="B588" s="12" t="n">
        <v>46100</v>
      </c>
      <c r="C588" s="11" t="inlineStr">
        <is>
          <t>De NATALY ALEXANDRA MILLAN</t>
        </is>
      </c>
      <c r="D588" s="13" t="n">
        <v>21910</v>
      </c>
      <c r="E588" s="11" t="n">
        <v>4502721.96</v>
      </c>
    </row>
    <row r="589">
      <c r="A589" s="11" t="n">
        <v>588</v>
      </c>
      <c r="B589" s="12" t="n">
        <v>46100</v>
      </c>
      <c r="C589" s="11" t="inlineStr">
        <is>
          <t>De HUGO ARMANDO GONZALEZ</t>
        </is>
      </c>
      <c r="D589" s="13" t="n">
        <v>12000</v>
      </c>
      <c r="E589" s="11" t="n">
        <v>4480811.96</v>
      </c>
    </row>
    <row r="590">
      <c r="A590" s="11" t="n">
        <v>589</v>
      </c>
      <c r="B590" s="12" t="n">
        <v>46100</v>
      </c>
      <c r="C590" s="11" t="inlineStr">
        <is>
          <t>De SOBEIDA TRUJILLO</t>
        </is>
      </c>
      <c r="D590" s="13" t="n">
        <v>7400</v>
      </c>
      <c r="E590" s="11" t="n">
        <v>4468811.96</v>
      </c>
    </row>
    <row r="591">
      <c r="A591" s="11" t="n">
        <v>590</v>
      </c>
      <c r="B591" s="12" t="n">
        <v>46100</v>
      </c>
      <c r="C591" s="11" t="inlineStr">
        <is>
          <t>De EVILA ESTHER DOVIGAMA</t>
        </is>
      </c>
      <c r="D591" s="13" t="n">
        <v>20100</v>
      </c>
      <c r="E591" s="11" t="n">
        <v>4461411.96</v>
      </c>
    </row>
    <row r="592">
      <c r="A592" s="11" t="n">
        <v>591</v>
      </c>
      <c r="B592" s="12" t="n">
        <v>46100</v>
      </c>
      <c r="C592" s="11" t="inlineStr">
        <is>
          <t>De OMAR ALEJANDRO</t>
        </is>
      </c>
      <c r="D592" s="13" t="n">
        <v>6500</v>
      </c>
      <c r="E592" s="11" t="n">
        <v>4441311.96</v>
      </c>
    </row>
    <row r="593">
      <c r="A593" s="11" t="n">
        <v>592</v>
      </c>
      <c r="B593" s="12" t="n">
        <v>46100</v>
      </c>
      <c r="C593" s="11" t="inlineStr">
        <is>
          <t>De LEYDI MILENA OSORIO</t>
        </is>
      </c>
      <c r="D593" s="13" t="n">
        <v>275000</v>
      </c>
      <c r="E593" s="11" t="n">
        <v>4434811.96</v>
      </c>
    </row>
    <row r="594">
      <c r="A594" s="11" t="n">
        <v>593</v>
      </c>
      <c r="B594" s="12" t="n">
        <v>46100</v>
      </c>
      <c r="C594" s="11" t="inlineStr">
        <is>
          <t>De WILSON ALEXANDER</t>
        </is>
      </c>
      <c r="D594" s="13" t="n">
        <v>5000</v>
      </c>
      <c r="E594" s="11" t="n">
        <v>4159811.96</v>
      </c>
    </row>
    <row r="595">
      <c r="A595" s="11" t="n">
        <v>594</v>
      </c>
      <c r="B595" s="12" t="n">
        <v>46100</v>
      </c>
      <c r="C595" s="11" t="inlineStr">
        <is>
          <t>De ALVEIRO ORDONEZ POLANIA</t>
        </is>
      </c>
      <c r="D595" s="13" t="n">
        <v>75500</v>
      </c>
      <c r="E595" s="11" t="n">
        <v>4154811.96</v>
      </c>
    </row>
    <row r="596">
      <c r="A596" s="11" t="n">
        <v>595</v>
      </c>
      <c r="B596" s="12" t="n">
        <v>46100</v>
      </c>
      <c r="C596" s="11" t="inlineStr">
        <is>
          <t>De ANGIE CAROLINA CAGUA</t>
        </is>
      </c>
      <c r="D596" s="13" t="n">
        <v>21600</v>
      </c>
      <c r="E596" s="11" t="n">
        <v>4079311.96</v>
      </c>
    </row>
    <row r="597">
      <c r="A597" s="11" t="n">
        <v>596</v>
      </c>
      <c r="B597" s="12" t="n">
        <v>46100</v>
      </c>
      <c r="C597" s="11" t="inlineStr">
        <is>
          <t>De NEFI SEPULVEDA PEREZ</t>
        </is>
      </c>
      <c r="D597" s="13" t="n">
        <v>22800</v>
      </c>
      <c r="E597" s="11" t="n">
        <v>4057711.96</v>
      </c>
    </row>
    <row r="598">
      <c r="A598" s="11" t="n">
        <v>597</v>
      </c>
      <c r="B598" s="12" t="n">
        <v>46100</v>
      </c>
      <c r="C598" s="11" t="inlineStr">
        <is>
          <t>Recarga Nequi PSE</t>
        </is>
      </c>
      <c r="D598" s="13" t="n">
        <v>200100</v>
      </c>
      <c r="E598" s="11" t="n">
        <v>4034911.96</v>
      </c>
    </row>
    <row r="599">
      <c r="A599" s="11" t="n">
        <v>598</v>
      </c>
      <c r="B599" s="12" t="n">
        <v>46100</v>
      </c>
      <c r="C599" s="11" t="inlineStr">
        <is>
          <t>De JEIMY TATIANA DIAZ</t>
        </is>
      </c>
      <c r="D599" s="13" t="n">
        <v>4600</v>
      </c>
      <c r="E599" s="11" t="n">
        <v>3834811.96</v>
      </c>
    </row>
    <row r="600">
      <c r="A600" s="11" t="n">
        <v>599</v>
      </c>
      <c r="B600" s="12" t="n">
        <v>46100</v>
      </c>
      <c r="C600" s="11" t="inlineStr">
        <is>
          <t>De EVA LINET DIAZ</t>
        </is>
      </c>
      <c r="D600" s="13" t="n">
        <v>6000</v>
      </c>
      <c r="E600" s="11" t="n">
        <v>3830211.96</v>
      </c>
    </row>
    <row r="601">
      <c r="A601" s="11" t="n">
        <v>600</v>
      </c>
      <c r="B601" s="12" t="n">
        <v>46100</v>
      </c>
      <c r="C601" s="11" t="inlineStr">
        <is>
          <t>De TATIANA CHAVES IMBACHI</t>
        </is>
      </c>
      <c r="D601" s="13" t="n">
        <v>34900</v>
      </c>
      <c r="E601" s="11" t="n">
        <v>3824211.96</v>
      </c>
    </row>
    <row r="602">
      <c r="A602" s="11" t="n">
        <v>601</v>
      </c>
      <c r="B602" s="12" t="n">
        <v>46099</v>
      </c>
      <c r="C602" s="11" t="inlineStr">
        <is>
          <t>De SEGUNDO RICARDO</t>
        </is>
      </c>
      <c r="D602" s="13" t="n">
        <v>6400</v>
      </c>
      <c r="E602" s="11" t="n">
        <v>3789311.96</v>
      </c>
    </row>
    <row r="603">
      <c r="A603" s="11" t="n">
        <v>602</v>
      </c>
      <c r="B603" s="12" t="n">
        <v>46099</v>
      </c>
      <c r="C603" s="11" t="inlineStr">
        <is>
          <t>De JHONN ANDERSON</t>
        </is>
      </c>
      <c r="D603" s="13" t="n">
        <v>23500</v>
      </c>
      <c r="E603" s="11" t="n">
        <v>3782911.96</v>
      </c>
    </row>
    <row r="604">
      <c r="A604" s="11" t="n">
        <v>603</v>
      </c>
      <c r="B604" s="12" t="n">
        <v>46099</v>
      </c>
      <c r="C604" s="11" t="inlineStr">
        <is>
          <t>De JEFFERSON NUPAN</t>
        </is>
      </c>
      <c r="D604" s="13" t="n">
        <v>16900</v>
      </c>
      <c r="E604" s="11" t="n">
        <v>3759411.96</v>
      </c>
    </row>
    <row r="605">
      <c r="A605" s="11" t="n">
        <v>604</v>
      </c>
      <c r="B605" s="12" t="n">
        <v>46099</v>
      </c>
      <c r="C605" s="11" t="inlineStr">
        <is>
          <t>De ANDRES SEGURA VARGAS</t>
        </is>
      </c>
      <c r="D605" s="13" t="n">
        <v>44140</v>
      </c>
      <c r="E605" s="11" t="n">
        <v>3742511.96</v>
      </c>
    </row>
    <row r="606">
      <c r="A606" s="11" t="n">
        <v>605</v>
      </c>
      <c r="B606" s="12" t="n">
        <v>46099</v>
      </c>
      <c r="C606" s="11" t="inlineStr">
        <is>
          <t>De MARLENY MATABANCHOY</t>
        </is>
      </c>
      <c r="D606" s="13" t="n">
        <v>4700</v>
      </c>
      <c r="E606" s="11" t="n">
        <v>3698371.96</v>
      </c>
    </row>
    <row r="607">
      <c r="A607" s="11" t="n">
        <v>606</v>
      </c>
      <c r="B607" s="12" t="n">
        <v>46099</v>
      </c>
      <c r="C607" s="11" t="inlineStr">
        <is>
          <t>De LINDA JOSHIRA ROMO</t>
        </is>
      </c>
      <c r="D607" s="13" t="n">
        <v>10000</v>
      </c>
      <c r="E607" s="11" t="n">
        <v>3693671.96</v>
      </c>
    </row>
    <row r="608">
      <c r="A608" s="11" t="n">
        <v>607</v>
      </c>
      <c r="B608" s="12" t="n">
        <v>46099</v>
      </c>
      <c r="C608" s="11" t="inlineStr">
        <is>
          <t>De MARWIN DUVANY ERAZO</t>
        </is>
      </c>
      <c r="D608" s="13" t="n">
        <v>29000</v>
      </c>
      <c r="E608" s="11" t="n">
        <v>3683671.96</v>
      </c>
    </row>
    <row r="609">
      <c r="A609" s="11" t="n">
        <v>608</v>
      </c>
      <c r="B609" s="12" t="n">
        <v>46099</v>
      </c>
      <c r="C609" s="11" t="inlineStr">
        <is>
          <t>De HERNAN WILIAN CASTILLO</t>
        </is>
      </c>
      <c r="D609" s="13" t="n">
        <v>33200</v>
      </c>
      <c r="E609" s="11" t="n">
        <v>3654671.96</v>
      </c>
    </row>
    <row r="610">
      <c r="A610" s="11" t="n">
        <v>609</v>
      </c>
      <c r="B610" s="12" t="n">
        <v>46099</v>
      </c>
      <c r="C610" s="11" t="inlineStr">
        <is>
          <t>De JHUDYT JIMENA LEITON</t>
        </is>
      </c>
      <c r="D610" s="13" t="n">
        <v>76300</v>
      </c>
      <c r="E610" s="11" t="n">
        <v>3621471.96</v>
      </c>
    </row>
    <row r="611">
      <c r="A611" s="11" t="n">
        <v>610</v>
      </c>
      <c r="B611" s="12" t="n">
        <v>46099</v>
      </c>
      <c r="C611" s="11" t="inlineStr">
        <is>
          <t>De MANUEL FELIPE ZAMBRANO</t>
        </is>
      </c>
      <c r="D611" s="13" t="n">
        <v>10700</v>
      </c>
      <c r="E611" s="11" t="n">
        <v>3545171.96</v>
      </c>
    </row>
    <row r="612">
      <c r="A612" s="11" t="n">
        <v>611</v>
      </c>
      <c r="B612" s="12" t="n">
        <v>46099</v>
      </c>
      <c r="C612" s="11" t="inlineStr">
        <is>
          <t>RECIBI POR BRE-B DE: WILSON</t>
        </is>
      </c>
      <c r="D612" s="13" t="n">
        <v>20800</v>
      </c>
      <c r="E612" s="11" t="n">
        <v>3534471.96</v>
      </c>
    </row>
    <row r="613">
      <c r="A613" s="11" t="n">
        <v>612</v>
      </c>
      <c r="B613" s="12" t="n">
        <v>46099</v>
      </c>
      <c r="C613" s="11" t="inlineStr">
        <is>
          <t>De YOLANDA FORERO MORA</t>
        </is>
      </c>
      <c r="D613" s="13" t="n">
        <v>22700</v>
      </c>
      <c r="E613" s="11" t="n">
        <v>3513671.96</v>
      </c>
    </row>
    <row r="614">
      <c r="A614" s="11" t="n">
        <v>613</v>
      </c>
      <c r="B614" s="12" t="n">
        <v>46099</v>
      </c>
      <c r="C614" s="11" t="inlineStr">
        <is>
          <t>De ALFONSO JHOVANI RUIZ</t>
        </is>
      </c>
      <c r="D614" s="13" t="n">
        <v>33500</v>
      </c>
      <c r="E614" s="11" t="n">
        <v>3490971.96</v>
      </c>
    </row>
    <row r="615">
      <c r="A615" s="11" t="n">
        <v>614</v>
      </c>
      <c r="B615" s="12" t="n">
        <v>46099</v>
      </c>
      <c r="C615" s="11" t="inlineStr">
        <is>
          <t>De BLANCA CECILIA GIRALDO</t>
        </is>
      </c>
      <c r="D615" s="13" t="n">
        <v>8100</v>
      </c>
      <c r="E615" s="11" t="n">
        <v>3457471.96</v>
      </c>
    </row>
    <row r="616">
      <c r="A616" s="11" t="n">
        <v>615</v>
      </c>
      <c r="B616" s="12" t="n">
        <v>46099</v>
      </c>
      <c r="C616" s="11" t="inlineStr">
        <is>
          <t>De OSCAR ALBEIRO</t>
        </is>
      </c>
      <c r="D616" s="13" t="n">
        <v>33600</v>
      </c>
      <c r="E616" s="11" t="n">
        <v>3449371.96</v>
      </c>
    </row>
    <row r="617">
      <c r="A617" s="11" t="n">
        <v>616</v>
      </c>
      <c r="B617" s="12" t="n">
        <v>46099</v>
      </c>
      <c r="C617" s="11" t="inlineStr">
        <is>
          <t>De INGRID DAYERLI QUINTERO</t>
        </is>
      </c>
      <c r="D617" s="13" t="n">
        <v>11200</v>
      </c>
      <c r="E617" s="11" t="n">
        <v>3415771.96</v>
      </c>
    </row>
    <row r="618">
      <c r="A618" s="11" t="n">
        <v>617</v>
      </c>
      <c r="B618" s="12" t="n">
        <v>46099</v>
      </c>
      <c r="C618" s="11" t="inlineStr">
        <is>
          <t>Recarga desde Bancolombia QR</t>
        </is>
      </c>
      <c r="D618" s="13" t="n">
        <v>28100</v>
      </c>
      <c r="E618" s="11" t="n">
        <v>3404571.96</v>
      </c>
    </row>
    <row r="619">
      <c r="A619" s="11" t="n">
        <v>618</v>
      </c>
      <c r="B619" s="12" t="n">
        <v>46099</v>
      </c>
      <c r="C619" s="11" t="inlineStr">
        <is>
          <t>De NINY JHOANA SANTANDER</t>
        </is>
      </c>
      <c r="D619" s="13" t="n">
        <v>20600</v>
      </c>
      <c r="E619" s="11" t="n">
        <v>3376471.96</v>
      </c>
    </row>
    <row r="620">
      <c r="A620" s="11" t="n">
        <v>619</v>
      </c>
      <c r="B620" s="12" t="n">
        <v>46099</v>
      </c>
      <c r="C620" s="11" t="inlineStr">
        <is>
          <t>De YEISON ANDRES TORRES</t>
        </is>
      </c>
      <c r="D620" s="13" t="n">
        <v>13900</v>
      </c>
      <c r="E620" s="11" t="n">
        <v>3355871.96</v>
      </c>
    </row>
    <row r="621">
      <c r="A621" s="11" t="n">
        <v>620</v>
      </c>
      <c r="B621" s="12" t="n">
        <v>46099</v>
      </c>
      <c r="C621" s="11" t="inlineStr">
        <is>
          <t>Recarga desde Bancolombia QR</t>
        </is>
      </c>
      <c r="D621" s="13" t="n">
        <v>13100</v>
      </c>
      <c r="E621" s="11" t="n">
        <v>3341971.96</v>
      </c>
    </row>
    <row r="622">
      <c r="A622" s="11" t="n">
        <v>621</v>
      </c>
      <c r="B622" s="12" t="n">
        <v>46099</v>
      </c>
      <c r="C622" s="11" t="inlineStr">
        <is>
          <t>RECIBI POR BRE-B DE: JUDY</t>
        </is>
      </c>
      <c r="D622" s="13" t="n">
        <v>28400</v>
      </c>
      <c r="E622" s="11" t="n">
        <v>3328871.96</v>
      </c>
    </row>
    <row r="623">
      <c r="A623" s="11" t="n">
        <v>622</v>
      </c>
      <c r="B623" s="12" t="n">
        <v>46099</v>
      </c>
      <c r="C623" s="11" t="inlineStr">
        <is>
          <t>De GREISY GIRALDO POLANIAS</t>
        </is>
      </c>
      <c r="D623" s="13" t="n">
        <v>15000</v>
      </c>
      <c r="E623" s="11" t="n">
        <v>3300471.96</v>
      </c>
    </row>
    <row r="624">
      <c r="A624" s="11" t="n">
        <v>623</v>
      </c>
      <c r="B624" s="12" t="n">
        <v>46099</v>
      </c>
      <c r="C624" s="11" t="inlineStr">
        <is>
          <t>De LUISA FERNANDA ARENAS</t>
        </is>
      </c>
      <c r="D624" s="13" t="n">
        <v>5200</v>
      </c>
      <c r="E624" s="11" t="n">
        <v>3285471.96</v>
      </c>
    </row>
    <row r="625">
      <c r="A625" s="11" t="n">
        <v>624</v>
      </c>
      <c r="B625" s="12" t="n">
        <v>46099</v>
      </c>
      <c r="C625" s="11" t="inlineStr">
        <is>
          <t>De RUBY ANDREA MOSQUERA</t>
        </is>
      </c>
      <c r="D625" s="13" t="n">
        <v>6800</v>
      </c>
      <c r="E625" s="11" t="n">
        <v>3280271.96</v>
      </c>
    </row>
    <row r="626">
      <c r="A626" s="11" t="n">
        <v>625</v>
      </c>
      <c r="B626" s="12" t="n">
        <v>46099</v>
      </c>
      <c r="C626" s="11" t="inlineStr">
        <is>
          <t>De JENNIFER MOSQUERA</t>
        </is>
      </c>
      <c r="D626" s="13" t="n">
        <v>11600</v>
      </c>
      <c r="E626" s="11" t="n">
        <v>3273471.96</v>
      </c>
    </row>
    <row r="627">
      <c r="A627" s="11" t="n">
        <v>626</v>
      </c>
      <c r="B627" s="12" t="n">
        <v>46099</v>
      </c>
      <c r="C627" s="11" t="inlineStr">
        <is>
          <t>RECIBI POR BRE-B DE: DEEN</t>
        </is>
      </c>
      <c r="D627" s="13" t="n">
        <v>345500</v>
      </c>
      <c r="E627" s="11" t="n">
        <v>3261871.96</v>
      </c>
    </row>
    <row r="628">
      <c r="A628" s="11" t="n">
        <v>627</v>
      </c>
      <c r="B628" s="12" t="n">
        <v>46099</v>
      </c>
      <c r="C628" s="11" t="inlineStr">
        <is>
          <t>De SEGUNDO RICARDO</t>
        </is>
      </c>
      <c r="D628" s="13" t="n">
        <v>40000</v>
      </c>
      <c r="E628" s="11" t="n">
        <v>2916371.96</v>
      </c>
    </row>
    <row r="629">
      <c r="A629" s="11" t="n">
        <v>628</v>
      </c>
      <c r="B629" s="12" t="n">
        <v>46099</v>
      </c>
      <c r="C629" s="11" t="inlineStr">
        <is>
          <t>De FLORALBA MARTINEZ</t>
        </is>
      </c>
      <c r="D629" s="13" t="n">
        <v>49400</v>
      </c>
      <c r="E629" s="11" t="n">
        <v>2876371.96</v>
      </c>
    </row>
    <row r="630">
      <c r="A630" s="11" t="n">
        <v>629</v>
      </c>
      <c r="B630" s="12" t="n">
        <v>46099</v>
      </c>
      <c r="C630" s="11" t="inlineStr">
        <is>
          <t>De CLAUDIA PATRICIA MEZA</t>
        </is>
      </c>
      <c r="D630" s="13" t="n">
        <v>10500</v>
      </c>
      <c r="E630" s="11" t="n">
        <v>2826971.96</v>
      </c>
    </row>
    <row r="631">
      <c r="A631" s="11" t="n">
        <v>630</v>
      </c>
      <c r="B631" s="12" t="n">
        <v>46099</v>
      </c>
      <c r="C631" s="11" t="inlineStr">
        <is>
          <t>De JENNY FERNANDA</t>
        </is>
      </c>
      <c r="D631" s="13" t="n">
        <v>15000</v>
      </c>
      <c r="E631" s="11" t="n">
        <v>2816471.96</v>
      </c>
    </row>
    <row r="632">
      <c r="A632" s="11" t="n">
        <v>631</v>
      </c>
      <c r="B632" s="12" t="n">
        <v>46099</v>
      </c>
      <c r="C632" s="11" t="inlineStr">
        <is>
          <t>De ALEXANDER CRUZ REMISIO</t>
        </is>
      </c>
      <c r="D632" s="13" t="n">
        <v>9200</v>
      </c>
      <c r="E632" s="11" t="n">
        <v>2801471.96</v>
      </c>
    </row>
    <row r="633">
      <c r="A633" s="11" t="n">
        <v>632</v>
      </c>
      <c r="B633" s="12" t="n">
        <v>46099</v>
      </c>
      <c r="C633" s="11" t="inlineStr">
        <is>
          <t>De CARLOS MENDOZA</t>
        </is>
      </c>
      <c r="D633" s="13" t="n">
        <v>24600</v>
      </c>
      <c r="E633" s="11" t="n">
        <v>2792271.96</v>
      </c>
    </row>
    <row r="634">
      <c r="A634" s="11" t="n">
        <v>633</v>
      </c>
      <c r="B634" s="12" t="n">
        <v>46099</v>
      </c>
      <c r="C634" s="11" t="inlineStr">
        <is>
          <t>De NAHOMY BRAVO ZUNIGA</t>
        </is>
      </c>
      <c r="D634" s="13" t="n">
        <v>28400</v>
      </c>
      <c r="E634" s="11" t="n">
        <v>2767671.96</v>
      </c>
    </row>
    <row r="635">
      <c r="A635" s="11" t="n">
        <v>634</v>
      </c>
      <c r="B635" s="12" t="n">
        <v>46099</v>
      </c>
      <c r="C635" s="11" t="inlineStr">
        <is>
          <t>RECIBI POR BRE-B DE: NARLY</t>
        </is>
      </c>
      <c r="D635" s="13" t="n">
        <v>11500</v>
      </c>
      <c r="E635" s="11" t="n">
        <v>2739271.96</v>
      </c>
    </row>
    <row r="636">
      <c r="A636" s="11" t="n">
        <v>635</v>
      </c>
      <c r="B636" s="12" t="n">
        <v>46099</v>
      </c>
      <c r="C636" s="11" t="inlineStr">
        <is>
          <t>De LISETH STEPHANY NAVARRO</t>
        </is>
      </c>
      <c r="D636" s="13" t="n">
        <v>11900</v>
      </c>
      <c r="E636" s="11" t="n">
        <v>2727771.96</v>
      </c>
    </row>
    <row r="637">
      <c r="A637" s="11" t="n">
        <v>636</v>
      </c>
      <c r="B637" s="12" t="n">
        <v>46099</v>
      </c>
      <c r="C637" s="11" t="inlineStr">
        <is>
          <t>De NIVIA CUBILLOS ORDONES</t>
        </is>
      </c>
      <c r="D637" s="13" t="n">
        <v>24600</v>
      </c>
      <c r="E637" s="11" t="n">
        <v>2715871.96</v>
      </c>
    </row>
    <row r="638">
      <c r="A638" s="11" t="n">
        <v>637</v>
      </c>
      <c r="B638" s="12" t="n">
        <v>46098</v>
      </c>
      <c r="C638" s="11" t="inlineStr">
        <is>
          <t>Recarga desde Bancolombia QR</t>
        </is>
      </c>
      <c r="D638" s="13" t="n">
        <v>48400</v>
      </c>
      <c r="E638" s="11" t="n">
        <v>2691271.96</v>
      </c>
    </row>
    <row r="639">
      <c r="A639" s="11" t="n">
        <v>638</v>
      </c>
      <c r="B639" s="12" t="n">
        <v>46098</v>
      </c>
      <c r="C639" s="11" t="inlineStr">
        <is>
          <t>De MAGDA LILIANA ALEGRIA</t>
        </is>
      </c>
      <c r="D639" s="13" t="n">
        <v>20100</v>
      </c>
      <c r="E639" s="11" t="n">
        <v>2642871.96</v>
      </c>
    </row>
    <row r="640">
      <c r="A640" s="11" t="n">
        <v>639</v>
      </c>
      <c r="B640" s="12" t="n">
        <v>46098</v>
      </c>
      <c r="C640" s="11" t="inlineStr">
        <is>
          <t>De BEYDI MARCELA BASTIDAS</t>
        </is>
      </c>
      <c r="D640" s="13" t="n">
        <v>19000</v>
      </c>
      <c r="E640" s="11" t="n">
        <v>2622771.96</v>
      </c>
    </row>
    <row r="641">
      <c r="A641" s="11" t="n">
        <v>640</v>
      </c>
      <c r="B641" s="12" t="n">
        <v>46098</v>
      </c>
      <c r="C641" s="11" t="inlineStr">
        <is>
          <t>De NASLY VALENTINA RAMIREZ</t>
        </is>
      </c>
      <c r="D641" s="13" t="n">
        <v>22000</v>
      </c>
      <c r="E641" s="11" t="n">
        <v>2603771.96</v>
      </c>
    </row>
    <row r="642">
      <c r="A642" s="11" t="n">
        <v>641</v>
      </c>
      <c r="B642" s="12" t="n">
        <v>46098</v>
      </c>
      <c r="C642" s="11" t="inlineStr">
        <is>
          <t>De KELLY SAMANTA GUERRERO</t>
        </is>
      </c>
      <c r="D642" s="13" t="n">
        <v>15700</v>
      </c>
      <c r="E642" s="11" t="n">
        <v>2581771.96</v>
      </c>
    </row>
    <row r="643">
      <c r="A643" s="11" t="n">
        <v>642</v>
      </c>
      <c r="B643" s="12" t="n">
        <v>46098</v>
      </c>
      <c r="C643" s="11" t="inlineStr">
        <is>
          <t>De NEIBER ANTONIO ERASO</t>
        </is>
      </c>
      <c r="D643" s="13" t="n">
        <v>8800</v>
      </c>
      <c r="E643" s="11" t="n">
        <v>2566071.96</v>
      </c>
    </row>
    <row r="644">
      <c r="A644" s="11" t="n">
        <v>643</v>
      </c>
      <c r="B644" s="12" t="n">
        <v>46098</v>
      </c>
      <c r="C644" s="11" t="inlineStr">
        <is>
          <t>De AZUCENA FRANCO RUBIANO</t>
        </is>
      </c>
      <c r="D644" s="13" t="n">
        <v>17900</v>
      </c>
      <c r="E644" s="11" t="n">
        <v>2557271.96</v>
      </c>
    </row>
    <row r="645">
      <c r="A645" s="11" t="n">
        <v>644</v>
      </c>
      <c r="B645" s="12" t="n">
        <v>46098</v>
      </c>
      <c r="C645" s="11" t="inlineStr">
        <is>
          <t>De ANA MARCELA CAICEDO</t>
        </is>
      </c>
      <c r="D645" s="13" t="n">
        <v>32800</v>
      </c>
      <c r="E645" s="11" t="n">
        <v>2539371.96</v>
      </c>
    </row>
    <row r="646">
      <c r="A646" s="11" t="n">
        <v>645</v>
      </c>
      <c r="B646" s="12" t="n">
        <v>46098</v>
      </c>
      <c r="C646" s="11" t="inlineStr">
        <is>
          <t>De CARLOS ANDRES MERCHAN</t>
        </is>
      </c>
      <c r="D646" s="13" t="n">
        <v>9100</v>
      </c>
      <c r="E646" s="11" t="n">
        <v>2506571.96</v>
      </c>
    </row>
    <row r="647">
      <c r="A647" s="11" t="n">
        <v>646</v>
      </c>
      <c r="B647" s="12" t="n">
        <v>46098</v>
      </c>
      <c r="C647" s="11" t="inlineStr">
        <is>
          <t>De JORGE EDUARDO</t>
        </is>
      </c>
      <c r="D647" s="13" t="n">
        <v>27100</v>
      </c>
      <c r="E647" s="11" t="n">
        <v>2497471.96</v>
      </c>
    </row>
    <row r="648">
      <c r="A648" s="11" t="n">
        <v>647</v>
      </c>
      <c r="B648" s="12" t="n">
        <v>46098</v>
      </c>
      <c r="C648" s="11" t="inlineStr">
        <is>
          <t>De DORA EMILCE MARTINEZ</t>
        </is>
      </c>
      <c r="D648" s="13" t="n">
        <v>26800</v>
      </c>
      <c r="E648" s="11" t="n">
        <v>2470371.96</v>
      </c>
    </row>
    <row r="649">
      <c r="A649" s="11" t="n">
        <v>648</v>
      </c>
      <c r="B649" s="12" t="n">
        <v>46098</v>
      </c>
      <c r="C649" s="11" t="inlineStr">
        <is>
          <t>De SALOME ALEJANDRA</t>
        </is>
      </c>
      <c r="D649" s="13" t="n">
        <v>18800</v>
      </c>
      <c r="E649" s="11" t="n">
        <v>2443571.96</v>
      </c>
    </row>
    <row r="650">
      <c r="A650" s="11" t="n">
        <v>649</v>
      </c>
      <c r="B650" s="12" t="n">
        <v>46098</v>
      </c>
      <c r="C650" s="11" t="inlineStr">
        <is>
          <t>De NURY ADRIANA MORA</t>
        </is>
      </c>
      <c r="D650" s="13" t="n">
        <v>112000</v>
      </c>
      <c r="E650" s="11" t="n">
        <v>2424771.96</v>
      </c>
    </row>
    <row r="651">
      <c r="A651" s="11" t="n">
        <v>650</v>
      </c>
      <c r="B651" s="12" t="n">
        <v>46098</v>
      </c>
      <c r="C651" s="11" t="inlineStr">
        <is>
          <t>De MARLENY MATABANCHOY</t>
        </is>
      </c>
      <c r="D651" s="13" t="n">
        <v>23500</v>
      </c>
      <c r="E651" s="11" t="n">
        <v>2312771.96</v>
      </c>
    </row>
    <row r="652">
      <c r="A652" s="11" t="n">
        <v>651</v>
      </c>
      <c r="B652" s="12" t="n">
        <v>46098</v>
      </c>
      <c r="C652" s="11" t="inlineStr">
        <is>
          <t>De AMILO FERNEY LOPEZ</t>
        </is>
      </c>
      <c r="D652" s="13" t="n">
        <v>42700</v>
      </c>
      <c r="E652" s="11" t="n">
        <v>2289271.96</v>
      </c>
    </row>
    <row r="653">
      <c r="A653" s="11" t="n">
        <v>652</v>
      </c>
      <c r="B653" s="12" t="n">
        <v>46098</v>
      </c>
      <c r="C653" s="11" t="inlineStr">
        <is>
          <t>De DOLY VARGAS GAMBOA</t>
        </is>
      </c>
      <c r="D653" s="13" t="n">
        <v>38000</v>
      </c>
      <c r="E653" s="11" t="n">
        <v>2246571.96</v>
      </c>
    </row>
    <row r="654">
      <c r="A654" s="11" t="n">
        <v>653</v>
      </c>
      <c r="B654" s="12" t="n">
        <v>46098</v>
      </c>
      <c r="C654" s="11" t="inlineStr">
        <is>
          <t>Recarga desde Bancolombia</t>
        </is>
      </c>
      <c r="D654" s="13" t="n">
        <v>44000</v>
      </c>
      <c r="E654" s="11" t="n">
        <v>2208571.96</v>
      </c>
    </row>
    <row r="655">
      <c r="A655" s="11" t="n">
        <v>654</v>
      </c>
      <c r="B655" s="12" t="n">
        <v>46098</v>
      </c>
      <c r="C655" s="11" t="inlineStr">
        <is>
          <t>De NATALIA LIZBETH ESPANA</t>
        </is>
      </c>
      <c r="D655" s="13" t="n">
        <v>24000</v>
      </c>
      <c r="E655" s="11" t="n">
        <v>2164571.96</v>
      </c>
    </row>
    <row r="656">
      <c r="A656" s="11" t="n">
        <v>655</v>
      </c>
      <c r="B656" s="12" t="n">
        <v>46098</v>
      </c>
      <c r="C656" s="11" t="inlineStr">
        <is>
          <t>De KAREN EILIN MARROQUIN</t>
        </is>
      </c>
      <c r="D656" s="13" t="n">
        <v>9400</v>
      </c>
      <c r="E656" s="11" t="n">
        <v>2140571.96</v>
      </c>
    </row>
    <row r="657">
      <c r="A657" s="11" t="n">
        <v>656</v>
      </c>
      <c r="B657" s="12" t="n">
        <v>46098</v>
      </c>
      <c r="C657" s="11" t="inlineStr">
        <is>
          <t>De BLADIMIR ALFREDO</t>
        </is>
      </c>
      <c r="D657" s="13" t="n">
        <v>11800</v>
      </c>
      <c r="E657" s="11" t="n">
        <v>2131171.96</v>
      </c>
    </row>
    <row r="658">
      <c r="A658" s="11" t="n">
        <v>657</v>
      </c>
      <c r="B658" s="12" t="n">
        <v>46098</v>
      </c>
      <c r="C658" s="11" t="inlineStr">
        <is>
          <t>De YURI YOLANDA JOSA</t>
        </is>
      </c>
      <c r="D658" s="13" t="n">
        <v>21200</v>
      </c>
      <c r="E658" s="11" t="n">
        <v>2119371.96</v>
      </c>
    </row>
    <row r="659">
      <c r="A659" s="11" t="n">
        <v>658</v>
      </c>
      <c r="B659" s="12" t="n">
        <v>46098</v>
      </c>
      <c r="C659" s="11" t="inlineStr">
        <is>
          <t>De YULIETH CAROLINA</t>
        </is>
      </c>
      <c r="D659" s="13" t="n">
        <v>9400</v>
      </c>
      <c r="E659" s="11" t="n">
        <v>2098171.96</v>
      </c>
    </row>
    <row r="660">
      <c r="A660" s="11" t="n">
        <v>659</v>
      </c>
      <c r="B660" s="12" t="n">
        <v>46098</v>
      </c>
      <c r="C660" s="11" t="inlineStr">
        <is>
          <t>De JUAN DAVID ZAMBRANO</t>
        </is>
      </c>
      <c r="D660" s="13" t="n">
        <v>15500</v>
      </c>
      <c r="E660" s="11" t="n">
        <v>2088771.96</v>
      </c>
    </row>
    <row r="661">
      <c r="A661" s="11" t="n">
        <v>660</v>
      </c>
      <c r="B661" s="12" t="n">
        <v>46098</v>
      </c>
      <c r="C661" s="11" t="inlineStr">
        <is>
          <t>De DIANA KATERINE CORDERO</t>
        </is>
      </c>
      <c r="D661" s="13" t="n">
        <v>35500</v>
      </c>
      <c r="E661" s="11" t="n">
        <v>2073271.96</v>
      </c>
    </row>
    <row r="662">
      <c r="A662" s="11" t="n">
        <v>661</v>
      </c>
      <c r="B662" s="12" t="n">
        <v>46098</v>
      </c>
      <c r="C662" s="11" t="inlineStr">
        <is>
          <t>De EDWAR FERNEY CORDOBA</t>
        </is>
      </c>
      <c r="D662" s="13" t="n">
        <v>3000</v>
      </c>
      <c r="E662" s="11" t="n">
        <v>2037771.96</v>
      </c>
    </row>
    <row r="663">
      <c r="A663" s="11" t="n">
        <v>662</v>
      </c>
      <c r="B663" s="12" t="n">
        <v>46098</v>
      </c>
      <c r="C663" s="11" t="inlineStr">
        <is>
          <t>De SIRLEN CASTILLO</t>
        </is>
      </c>
      <c r="D663" s="13" t="n">
        <v>3000</v>
      </c>
      <c r="E663" s="11" t="n">
        <v>2034771.96</v>
      </c>
    </row>
    <row r="664">
      <c r="A664" s="11" t="n">
        <v>663</v>
      </c>
      <c r="B664" s="12" t="n">
        <v>46098</v>
      </c>
      <c r="C664" s="11" t="inlineStr">
        <is>
          <t>De CRISTIAN ANDRES MARIN</t>
        </is>
      </c>
      <c r="D664" s="13" t="n">
        <v>3500</v>
      </c>
      <c r="E664" s="11" t="n">
        <v>2031771.96</v>
      </c>
    </row>
    <row r="665">
      <c r="A665" s="11" t="n">
        <v>664</v>
      </c>
      <c r="B665" s="12" t="n">
        <v>46098</v>
      </c>
      <c r="C665" s="11" t="inlineStr">
        <is>
          <t>De DIEGO FELIPE MORA</t>
        </is>
      </c>
      <c r="D665" s="13" t="n">
        <v>6400</v>
      </c>
      <c r="E665" s="11" t="n">
        <v>2028271.96</v>
      </c>
    </row>
    <row r="666">
      <c r="A666" s="11" t="n">
        <v>665</v>
      </c>
      <c r="B666" s="12" t="n">
        <v>46098</v>
      </c>
      <c r="C666" s="11" t="inlineStr">
        <is>
          <t>De ADRIANA NINO</t>
        </is>
      </c>
      <c r="D666" s="13" t="n">
        <v>8100</v>
      </c>
      <c r="E666" s="11" t="n">
        <v>2021871.96</v>
      </c>
    </row>
    <row r="667">
      <c r="A667" s="11" t="n">
        <v>666</v>
      </c>
      <c r="B667" s="12" t="n">
        <v>46098</v>
      </c>
      <c r="C667" s="11" t="inlineStr">
        <is>
          <t>De ESTHER MELISSA BUITRON</t>
        </is>
      </c>
      <c r="D667" s="13" t="n">
        <v>25600</v>
      </c>
      <c r="E667" s="11" t="n">
        <v>2013771.96</v>
      </c>
    </row>
    <row r="668">
      <c r="A668" s="11" t="n">
        <v>667</v>
      </c>
      <c r="B668" s="12" t="n">
        <v>46098</v>
      </c>
      <c r="C668" s="11" t="inlineStr">
        <is>
          <t>De INGRID LORENA VARGAS</t>
        </is>
      </c>
      <c r="D668" s="13" t="n">
        <v>17500</v>
      </c>
      <c r="E668" s="11" t="n">
        <v>1988171.96</v>
      </c>
    </row>
    <row r="669">
      <c r="A669" s="11" t="n">
        <v>668</v>
      </c>
      <c r="B669" s="12" t="n">
        <v>46098</v>
      </c>
      <c r="C669" s="11" t="inlineStr">
        <is>
          <t>De NATALY ALEXANDRA MILLAN</t>
        </is>
      </c>
      <c r="D669" s="13" t="n">
        <v>11400</v>
      </c>
      <c r="E669" s="11" t="n">
        <v>1970671.96</v>
      </c>
    </row>
    <row r="670">
      <c r="A670" s="11" t="n">
        <v>669</v>
      </c>
      <c r="B670" s="12" t="n">
        <v>46098</v>
      </c>
      <c r="C670" s="11" t="inlineStr">
        <is>
          <t>De LEYDI MENESES BURBANO</t>
        </is>
      </c>
      <c r="D670" s="13" t="n">
        <v>24900</v>
      </c>
      <c r="E670" s="11" t="n">
        <v>1959271.96</v>
      </c>
    </row>
    <row r="671">
      <c r="A671" s="11" t="n">
        <v>670</v>
      </c>
      <c r="B671" s="12" t="n">
        <v>46098</v>
      </c>
      <c r="C671" s="11" t="inlineStr">
        <is>
          <t>De DEXY ESPERANZA</t>
        </is>
      </c>
      <c r="D671" s="13" t="n">
        <v>10620</v>
      </c>
      <c r="E671" s="11" t="n">
        <v>1934371.96</v>
      </c>
    </row>
    <row r="672">
      <c r="A672" s="11" t="n">
        <v>671</v>
      </c>
      <c r="B672" s="12" t="n">
        <v>46098</v>
      </c>
      <c r="C672" s="11" t="inlineStr">
        <is>
          <t>De ADRIANA YUBELI PATINO</t>
        </is>
      </c>
      <c r="D672" s="13" t="n">
        <v>15800</v>
      </c>
      <c r="E672" s="11" t="n">
        <v>1923751.96</v>
      </c>
    </row>
    <row r="673">
      <c r="A673" s="11" t="n">
        <v>672</v>
      </c>
      <c r="B673" s="12" t="n">
        <v>46098</v>
      </c>
      <c r="C673" s="11" t="inlineStr">
        <is>
          <t>De SEGUNDO RICARDO</t>
        </is>
      </c>
      <c r="D673" s="13" t="n">
        <v>30000</v>
      </c>
      <c r="E673" s="11" t="n">
        <v>1907951.96</v>
      </c>
    </row>
    <row r="674">
      <c r="A674" s="11" t="n">
        <v>673</v>
      </c>
      <c r="B674" s="12" t="n">
        <v>46098</v>
      </c>
      <c r="C674" s="11" t="inlineStr">
        <is>
          <t>De JAIME PAEZ MANRIQUE</t>
        </is>
      </c>
      <c r="D674" s="13" t="n">
        <v>58800</v>
      </c>
      <c r="E674" s="11" t="n">
        <v>1877951.96</v>
      </c>
    </row>
    <row r="675">
      <c r="A675" s="11" t="n">
        <v>674</v>
      </c>
      <c r="B675" s="12" t="n">
        <v>46098</v>
      </c>
      <c r="C675" s="11" t="inlineStr">
        <is>
          <t>De OMAR ALEJANDRO</t>
        </is>
      </c>
      <c r="D675" s="13" t="n">
        <v>6500</v>
      </c>
      <c r="E675" s="11" t="n">
        <v>1819151.96</v>
      </c>
    </row>
    <row r="676">
      <c r="A676" s="11" t="n">
        <v>675</v>
      </c>
      <c r="B676" s="12" t="n">
        <v>46097</v>
      </c>
      <c r="C676" s="11" t="inlineStr">
        <is>
          <t>De LORENA ALVAREZ VALLEJO</t>
        </is>
      </c>
      <c r="D676" s="13" t="n">
        <v>98000</v>
      </c>
      <c r="E676" s="11" t="n">
        <v>1812651.96</v>
      </c>
    </row>
    <row r="677">
      <c r="A677" s="11" t="n">
        <v>676</v>
      </c>
      <c r="B677" s="12" t="n">
        <v>46097</v>
      </c>
      <c r="C677" s="11" t="inlineStr">
        <is>
          <t>De NIVIA CUBILLOS ORDONES</t>
        </is>
      </c>
      <c r="D677" s="13" t="n">
        <v>28400</v>
      </c>
      <c r="E677" s="11" t="n">
        <v>1714651.96</v>
      </c>
    </row>
    <row r="678">
      <c r="A678" s="11" t="n">
        <v>677</v>
      </c>
      <c r="B678" s="12" t="n">
        <v>46097</v>
      </c>
      <c r="C678" s="11" t="inlineStr">
        <is>
          <t>De ANGIE TATIANA CHAPUEL</t>
        </is>
      </c>
      <c r="D678" s="13" t="n">
        <v>22100</v>
      </c>
      <c r="E678" s="11" t="n">
        <v>1686251.96</v>
      </c>
    </row>
    <row r="679">
      <c r="A679" s="11" t="n">
        <v>678</v>
      </c>
      <c r="B679" s="12" t="n">
        <v>46097</v>
      </c>
      <c r="C679" s="11" t="inlineStr">
        <is>
          <t>De JANNY MARCELA SALCEDO</t>
        </is>
      </c>
      <c r="D679" s="13" t="n">
        <v>25800</v>
      </c>
      <c r="E679" s="11" t="n">
        <v>1664151.96</v>
      </c>
    </row>
    <row r="680">
      <c r="A680" s="11" t="n">
        <v>679</v>
      </c>
      <c r="B680" s="12" t="n">
        <v>46097</v>
      </c>
      <c r="C680" s="11" t="inlineStr">
        <is>
          <t>Recarga desde Bancolombia QR</t>
        </is>
      </c>
      <c r="D680" s="13" t="n">
        <v>414000</v>
      </c>
      <c r="E680" s="11" t="n">
        <v>1638351.96</v>
      </c>
    </row>
    <row r="681">
      <c r="A681" s="11" t="n">
        <v>680</v>
      </c>
      <c r="B681" s="12" t="n">
        <v>46097</v>
      </c>
      <c r="C681" s="11" t="inlineStr">
        <is>
          <t>De DANIER ELIAN GONZALEZ</t>
        </is>
      </c>
      <c r="D681" s="13" t="n">
        <v>12000</v>
      </c>
      <c r="E681" s="11" t="n">
        <v>1224351.96</v>
      </c>
    </row>
    <row r="682">
      <c r="A682" s="11" t="n">
        <v>681</v>
      </c>
      <c r="B682" s="12" t="n">
        <v>46097</v>
      </c>
      <c r="C682" s="11" t="inlineStr">
        <is>
          <t>RECIBI POR BRE-B DE: Edier</t>
        </is>
      </c>
      <c r="D682" s="13" t="n">
        <v>28900</v>
      </c>
      <c r="E682" s="11" t="n">
        <v>1212351.96</v>
      </c>
    </row>
    <row r="683">
      <c r="A683" s="11" t="n">
        <v>682</v>
      </c>
      <c r="B683" s="12" t="n">
        <v>46097</v>
      </c>
      <c r="C683" s="11" t="inlineStr">
        <is>
          <t>De JESSIKA JASBLEY</t>
        </is>
      </c>
      <c r="D683" s="13" t="n">
        <v>19600</v>
      </c>
      <c r="E683" s="11" t="n">
        <v>1183451.96</v>
      </c>
    </row>
    <row r="684">
      <c r="A684" s="11" t="n">
        <v>683</v>
      </c>
      <c r="B684" s="12" t="n">
        <v>46097</v>
      </c>
      <c r="C684" s="11" t="inlineStr">
        <is>
          <t>RECIBI POR BRE-B DE: JEIMY</t>
        </is>
      </c>
      <c r="D684" s="13" t="n">
        <v>28000</v>
      </c>
      <c r="E684" s="11" t="n">
        <v>1163851.96</v>
      </c>
    </row>
    <row r="685">
      <c r="A685" s="11" t="n">
        <v>684</v>
      </c>
      <c r="B685" s="12" t="n">
        <v>46097</v>
      </c>
      <c r="C685" s="11" t="inlineStr">
        <is>
          <t>RECIBI POR BRE-B DE: JUDY</t>
        </is>
      </c>
      <c r="D685" s="13" t="n">
        <v>15000</v>
      </c>
      <c r="E685" s="11" t="n">
        <v>1135851.96</v>
      </c>
    </row>
    <row r="686">
      <c r="A686" s="11" t="n">
        <v>685</v>
      </c>
      <c r="B686" s="12" t="n">
        <v>46097</v>
      </c>
      <c r="C686" s="11" t="inlineStr">
        <is>
          <t>De LINDA LUCIA YEPES</t>
        </is>
      </c>
      <c r="D686" s="13" t="n">
        <v>31900</v>
      </c>
      <c r="E686" s="11" t="n">
        <v>1120851.96</v>
      </c>
    </row>
    <row r="687">
      <c r="A687" s="11" t="n">
        <v>686</v>
      </c>
      <c r="B687" s="12" t="n">
        <v>46097</v>
      </c>
      <c r="C687" s="11" t="inlineStr">
        <is>
          <t>De LEIDY LILIANA URBANO</t>
        </is>
      </c>
      <c r="D687" s="13" t="n">
        <v>10000</v>
      </c>
      <c r="E687" s="11" t="n">
        <v>1088951.96</v>
      </c>
    </row>
    <row r="688">
      <c r="A688" s="11" t="n">
        <v>687</v>
      </c>
      <c r="B688" s="12" t="n">
        <v>46097</v>
      </c>
      <c r="C688" s="11" t="inlineStr">
        <is>
          <t>De LEIDY LILIANA URBANO</t>
        </is>
      </c>
      <c r="D688" s="13" t="n">
        <v>232500</v>
      </c>
      <c r="E688" s="11" t="n">
        <v>1078951.96</v>
      </c>
    </row>
    <row r="689">
      <c r="A689" s="11" t="n">
        <v>688</v>
      </c>
      <c r="B689" s="12" t="n">
        <v>46097</v>
      </c>
      <c r="C689" s="11" t="inlineStr">
        <is>
          <t>De MARTHA CECILIA ROSERO</t>
        </is>
      </c>
      <c r="D689" s="13" t="n">
        <v>61700</v>
      </c>
      <c r="E689" s="11" t="n">
        <v>846451.96</v>
      </c>
    </row>
    <row r="690">
      <c r="A690" s="11" t="n">
        <v>689</v>
      </c>
      <c r="B690" s="12" t="n">
        <v>46097</v>
      </c>
      <c r="C690" s="11" t="inlineStr">
        <is>
          <t>De ANGHELA AMELIA CERON</t>
        </is>
      </c>
      <c r="D690" s="13" t="n">
        <v>6000</v>
      </c>
      <c r="E690" s="11" t="n">
        <v>784751.96</v>
      </c>
    </row>
    <row r="691">
      <c r="A691" s="11" t="n">
        <v>690</v>
      </c>
      <c r="B691" s="12" t="n">
        <v>46097</v>
      </c>
      <c r="C691" s="11" t="inlineStr">
        <is>
          <t>De MARIA EVA CHICO BUENO</t>
        </is>
      </c>
      <c r="D691" s="13" t="n">
        <v>18900</v>
      </c>
      <c r="E691" s="11" t="n">
        <v>778751.96</v>
      </c>
    </row>
    <row r="692">
      <c r="A692" s="11" t="n">
        <v>691</v>
      </c>
      <c r="B692" s="12" t="n">
        <v>46097</v>
      </c>
      <c r="C692" s="11" t="inlineStr">
        <is>
          <t>De MAURA ISABEL MORALES</t>
        </is>
      </c>
      <c r="D692" s="13" t="n">
        <v>210000</v>
      </c>
      <c r="E692" s="11" t="n">
        <v>759851.96</v>
      </c>
    </row>
    <row r="693">
      <c r="A693" s="11" t="n">
        <v>692</v>
      </c>
      <c r="B693" s="12" t="n">
        <v>46097</v>
      </c>
      <c r="C693" s="11" t="inlineStr">
        <is>
          <t>De JUAN CAMILO BENAVIDES</t>
        </is>
      </c>
      <c r="D693" s="13" t="n">
        <v>2000</v>
      </c>
      <c r="E693" s="11" t="n">
        <v>549851.96</v>
      </c>
    </row>
    <row r="694">
      <c r="A694" s="11" t="n">
        <v>693</v>
      </c>
      <c r="B694" s="12" t="n">
        <v>46097</v>
      </c>
      <c r="C694" s="11" t="inlineStr">
        <is>
          <t>De NAYIBE ORTIZ MANZANO</t>
        </is>
      </c>
      <c r="D694" s="13" t="n">
        <v>39900</v>
      </c>
      <c r="E694" s="11" t="n">
        <v>547851.96</v>
      </c>
    </row>
    <row r="695">
      <c r="A695" s="11" t="n">
        <v>694</v>
      </c>
      <c r="B695" s="12" t="n">
        <v>46097</v>
      </c>
      <c r="C695" s="11" t="inlineStr">
        <is>
          <t>Recarga desde Bancolombia</t>
        </is>
      </c>
      <c r="D695" s="13" t="n">
        <v>7600</v>
      </c>
      <c r="E695" s="11" t="n">
        <v>507951.96</v>
      </c>
    </row>
    <row r="696">
      <c r="A696" s="11" t="n">
        <v>695</v>
      </c>
      <c r="B696" s="12" t="n">
        <v>46097</v>
      </c>
      <c r="C696" s="11" t="inlineStr">
        <is>
          <t>Recarga desde Bancolombia</t>
        </is>
      </c>
      <c r="D696" s="13" t="n">
        <v>47900</v>
      </c>
      <c r="E696" s="11" t="n">
        <v>500351.96</v>
      </c>
    </row>
    <row r="697">
      <c r="A697" s="11" t="n">
        <v>696</v>
      </c>
      <c r="B697" s="12" t="n">
        <v>46097</v>
      </c>
      <c r="C697" s="11" t="inlineStr">
        <is>
          <t>De ANA LUCIA ERAZO CERON</t>
        </is>
      </c>
      <c r="D697" s="13" t="n">
        <v>16500</v>
      </c>
      <c r="E697" s="11" t="n">
        <v>452451.96</v>
      </c>
    </row>
    <row r="698">
      <c r="A698" s="11" t="n">
        <v>697</v>
      </c>
      <c r="B698" s="12" t="n">
        <v>46097</v>
      </c>
      <c r="C698" s="11" t="inlineStr">
        <is>
          <t>De DAIANA MARTINEZ</t>
        </is>
      </c>
      <c r="D698" s="13" t="n">
        <v>31500</v>
      </c>
      <c r="E698" s="11" t="n">
        <v>435951.96</v>
      </c>
    </row>
    <row r="699">
      <c r="A699" s="11" t="n">
        <v>698</v>
      </c>
      <c r="B699" s="12" t="n">
        <v>46097</v>
      </c>
      <c r="C699" s="11" t="inlineStr">
        <is>
          <t>Gravamen al Movimiento</t>
        </is>
      </c>
      <c r="D699" s="13" t="n">
        <v>-5946.94</v>
      </c>
      <c r="E699" s="11" t="n">
        <v>404451.96</v>
      </c>
    </row>
    <row r="700">
      <c r="A700" s="11" t="n">
        <v>699</v>
      </c>
      <c r="B700" s="12" t="n">
        <v>46097</v>
      </c>
      <c r="C700" s="11" t="inlineStr">
        <is>
          <t>dora ines paguatian</t>
        </is>
      </c>
      <c r="D700" s="13" t="n">
        <v>-1486735</v>
      </c>
      <c r="E700" s="11" t="n">
        <v>410398.9</v>
      </c>
    </row>
    <row r="701">
      <c r="A701" s="11" t="n">
        <v>700</v>
      </c>
      <c r="B701" s="12" t="n">
        <v>46097</v>
      </c>
      <c r="C701" s="11" t="inlineStr">
        <is>
          <t>Gravamen al Movimiento</t>
        </is>
      </c>
      <c r="D701" s="13" t="n">
        <v>-8777.98</v>
      </c>
      <c r="E701" s="11" t="n">
        <v>1897133.9</v>
      </c>
    </row>
    <row r="702">
      <c r="A702" s="11" t="n">
        <v>701</v>
      </c>
      <c r="B702" s="12" t="n">
        <v>46097</v>
      </c>
      <c r="C702" s="11" t="inlineStr">
        <is>
          <t>HER*** ANT*** PAT***</t>
        </is>
      </c>
      <c r="D702" s="13" t="n">
        <v>-2194495</v>
      </c>
      <c r="E702" s="11" t="n">
        <v>1905911.88</v>
      </c>
    </row>
    <row r="703">
      <c r="A703" s="11" t="n">
        <v>702</v>
      </c>
      <c r="B703" s="12" t="n">
        <v>46097</v>
      </c>
      <c r="C703" s="11" t="inlineStr">
        <is>
          <t>De HUBER GILBERTO ROSERO</t>
        </is>
      </c>
      <c r="D703" s="13" t="n">
        <v>45500</v>
      </c>
      <c r="E703" s="11" t="n">
        <v>4100406.88</v>
      </c>
    </row>
    <row r="704">
      <c r="A704" s="11" t="n">
        <v>703</v>
      </c>
      <c r="B704" s="12" t="n">
        <v>46097</v>
      </c>
      <c r="C704" s="11" t="inlineStr">
        <is>
          <t>De FRANK YINNER HENAO</t>
        </is>
      </c>
      <c r="D704" s="13" t="n">
        <v>44200</v>
      </c>
      <c r="E704" s="11" t="n">
        <v>4054906.88</v>
      </c>
    </row>
    <row r="705">
      <c r="A705" s="11" t="n">
        <v>704</v>
      </c>
      <c r="B705" s="12" t="n">
        <v>46097</v>
      </c>
      <c r="C705" s="11" t="inlineStr">
        <is>
          <t>De CELIANO IBANEZ</t>
        </is>
      </c>
      <c r="D705" s="13" t="n">
        <v>273800</v>
      </c>
      <c r="E705" s="11" t="n">
        <v>4010706.88</v>
      </c>
    </row>
    <row r="706">
      <c r="A706" s="11" t="n">
        <v>705</v>
      </c>
      <c r="B706" s="12" t="n">
        <v>46097</v>
      </c>
      <c r="C706" s="11" t="inlineStr">
        <is>
          <t>Recarga desde Bancolombia</t>
        </is>
      </c>
      <c r="D706" s="13" t="n">
        <v>8000</v>
      </c>
      <c r="E706" s="11" t="n">
        <v>3736906.88</v>
      </c>
    </row>
    <row r="707">
      <c r="A707" s="11" t="n">
        <v>706</v>
      </c>
      <c r="B707" s="12" t="n">
        <v>46097</v>
      </c>
      <c r="C707" s="11" t="inlineStr">
        <is>
          <t>De CESAR CAMILO PORTILLA</t>
        </is>
      </c>
      <c r="D707" s="13" t="n">
        <v>20500</v>
      </c>
      <c r="E707" s="11" t="n">
        <v>3728906.88</v>
      </c>
    </row>
    <row r="708">
      <c r="A708" s="11" t="n">
        <v>707</v>
      </c>
      <c r="B708" s="12" t="n">
        <v>46097</v>
      </c>
      <c r="C708" s="11" t="inlineStr">
        <is>
          <t>De HELEN TATIANA ZARAMA</t>
        </is>
      </c>
      <c r="D708" s="13" t="n">
        <v>15400</v>
      </c>
      <c r="E708" s="11" t="n">
        <v>3708406.88</v>
      </c>
    </row>
    <row r="709">
      <c r="A709" s="11" t="n">
        <v>708</v>
      </c>
      <c r="B709" s="12" t="n">
        <v>46097</v>
      </c>
      <c r="C709" s="11" t="inlineStr">
        <is>
          <t>RECIBI POR BRE-B DE: JEIMY</t>
        </is>
      </c>
      <c r="D709" s="13" t="n">
        <v>6000</v>
      </c>
      <c r="E709" s="11" t="n">
        <v>3693006.88</v>
      </c>
    </row>
    <row r="710">
      <c r="A710" s="11" t="n">
        <v>709</v>
      </c>
      <c r="B710" s="12" t="n">
        <v>46097</v>
      </c>
      <c r="C710" s="11" t="inlineStr">
        <is>
          <t>Recarga desde Bancolombia QR</t>
        </is>
      </c>
      <c r="D710" s="13" t="n">
        <v>3500</v>
      </c>
      <c r="E710" s="11" t="n">
        <v>3687006.88</v>
      </c>
    </row>
    <row r="711">
      <c r="A711" s="11" t="n">
        <v>710</v>
      </c>
      <c r="B711" s="12" t="n">
        <v>46097</v>
      </c>
      <c r="C711" s="11" t="inlineStr">
        <is>
          <t>De PABLO PEREGRINO CORTES</t>
        </is>
      </c>
      <c r="D711" s="13" t="n">
        <v>17800</v>
      </c>
      <c r="E711" s="11" t="n">
        <v>3683506.88</v>
      </c>
    </row>
    <row r="712">
      <c r="A712" s="11" t="n">
        <v>711</v>
      </c>
      <c r="B712" s="12" t="n">
        <v>46097</v>
      </c>
      <c r="C712" s="11" t="inlineStr">
        <is>
          <t>De ISAIAS BAQUERO OLAYA</t>
        </is>
      </c>
      <c r="D712" s="13" t="n">
        <v>25000</v>
      </c>
      <c r="E712" s="11" t="n">
        <v>3665706.88</v>
      </c>
    </row>
    <row r="713">
      <c r="A713" s="11" t="n">
        <v>712</v>
      </c>
      <c r="B713" s="12" t="n">
        <v>46097</v>
      </c>
      <c r="C713" s="11" t="inlineStr">
        <is>
          <t>RECIBI POR BRE-B DE: JEIMY</t>
        </is>
      </c>
      <c r="D713" s="13" t="n">
        <v>25200</v>
      </c>
      <c r="E713" s="11" t="n">
        <v>3640706.88</v>
      </c>
    </row>
    <row r="714">
      <c r="A714" s="11" t="n">
        <v>713</v>
      </c>
      <c r="B714" s="12" t="n">
        <v>46097</v>
      </c>
      <c r="C714" s="11" t="inlineStr">
        <is>
          <t>De MIRIAM ACOSTA MOLINA</t>
        </is>
      </c>
      <c r="D714" s="13" t="n">
        <v>20000</v>
      </c>
      <c r="E714" s="11" t="n">
        <v>3615506.88</v>
      </c>
    </row>
    <row r="715">
      <c r="A715" s="11" t="n">
        <v>714</v>
      </c>
      <c r="B715" s="12" t="n">
        <v>46097</v>
      </c>
      <c r="C715" s="11" t="inlineStr">
        <is>
          <t>De KELI YOJANA FLOREZ CAEZ</t>
        </is>
      </c>
      <c r="D715" s="13" t="n">
        <v>29500</v>
      </c>
      <c r="E715" s="11" t="n">
        <v>3595506.88</v>
      </c>
    </row>
    <row r="716">
      <c r="A716" s="11" t="n">
        <v>715</v>
      </c>
      <c r="B716" s="12" t="n">
        <v>46097</v>
      </c>
      <c r="C716" s="11" t="inlineStr">
        <is>
          <t>De SANDRA LILIANA PESILLO</t>
        </is>
      </c>
      <c r="D716" s="13" t="n">
        <v>5900</v>
      </c>
      <c r="E716" s="11" t="n">
        <v>3566006.88</v>
      </c>
    </row>
    <row r="717">
      <c r="A717" s="11" t="n">
        <v>716</v>
      </c>
      <c r="B717" s="12" t="n">
        <v>46097</v>
      </c>
      <c r="C717" s="11" t="inlineStr">
        <is>
          <t>De MARTHA BECERRA ZAMORA</t>
        </is>
      </c>
      <c r="D717" s="13" t="n">
        <v>51500</v>
      </c>
      <c r="E717" s="11" t="n">
        <v>3560106.88</v>
      </c>
    </row>
    <row r="718">
      <c r="A718" s="11" t="n">
        <v>717</v>
      </c>
      <c r="B718" s="12" t="n">
        <v>46097</v>
      </c>
      <c r="C718" s="11" t="inlineStr">
        <is>
          <t>De JACKELINE ROSERO</t>
        </is>
      </c>
      <c r="D718" s="13" t="n">
        <v>19300</v>
      </c>
      <c r="E718" s="11" t="n">
        <v>3508606.88</v>
      </c>
    </row>
    <row r="719">
      <c r="A719" s="11" t="n">
        <v>718</v>
      </c>
      <c r="B719" s="12" t="n">
        <v>46097</v>
      </c>
      <c r="C719" s="11" t="inlineStr">
        <is>
          <t>Recarga desde Bancolombia</t>
        </is>
      </c>
      <c r="D719" s="13" t="n">
        <v>97100</v>
      </c>
      <c r="E719" s="11" t="n">
        <v>3489306.88</v>
      </c>
    </row>
    <row r="720">
      <c r="A720" s="11" t="n">
        <v>719</v>
      </c>
      <c r="B720" s="12" t="n">
        <v>46097</v>
      </c>
      <c r="C720" s="11" t="inlineStr">
        <is>
          <t>De DIANA CAROLINA BARRAGAN</t>
        </is>
      </c>
      <c r="D720" s="13" t="n">
        <v>15000</v>
      </c>
      <c r="E720" s="11" t="n">
        <v>3392206.88</v>
      </c>
    </row>
    <row r="721">
      <c r="A721" s="11" t="n">
        <v>720</v>
      </c>
      <c r="B721" s="12" t="n">
        <v>46097</v>
      </c>
      <c r="C721" s="11" t="inlineStr">
        <is>
          <t>De REINALDO ALEXIS BELTRAN</t>
        </is>
      </c>
      <c r="D721" s="13" t="n">
        <v>17200</v>
      </c>
      <c r="E721" s="11" t="n">
        <v>3377206.88</v>
      </c>
    </row>
    <row r="722">
      <c r="A722" s="11" t="n">
        <v>721</v>
      </c>
      <c r="B722" s="12" t="n">
        <v>46096</v>
      </c>
      <c r="C722" s="11" t="inlineStr">
        <is>
          <t>De DORA EMILCE MARTINEZ</t>
        </is>
      </c>
      <c r="D722" s="13" t="n">
        <v>26800</v>
      </c>
      <c r="E722" s="11" t="n">
        <v>3360006.88</v>
      </c>
    </row>
    <row r="723">
      <c r="A723" s="11" t="n">
        <v>722</v>
      </c>
      <c r="B723" s="12" t="n">
        <v>46096</v>
      </c>
      <c r="C723" s="11" t="inlineStr">
        <is>
          <t>De SOFIA VALENTINA TAQUEZ</t>
        </is>
      </c>
      <c r="D723" s="13" t="n">
        <v>8000</v>
      </c>
      <c r="E723" s="11" t="n">
        <v>3333206.88</v>
      </c>
    </row>
    <row r="724">
      <c r="A724" s="11" t="n">
        <v>723</v>
      </c>
      <c r="B724" s="12" t="n">
        <v>46096</v>
      </c>
      <c r="C724" s="11" t="inlineStr">
        <is>
          <t>De KAREN YADIRA IMBACHI</t>
        </is>
      </c>
      <c r="D724" s="13" t="n">
        <v>12600</v>
      </c>
      <c r="E724" s="11" t="n">
        <v>3325206.88</v>
      </c>
    </row>
    <row r="725">
      <c r="A725" s="11" t="n">
        <v>724</v>
      </c>
      <c r="B725" s="12" t="n">
        <v>46096</v>
      </c>
      <c r="C725" s="11" t="inlineStr">
        <is>
          <t>De OMAR ALEJANDRO</t>
        </is>
      </c>
      <c r="D725" s="13" t="n">
        <v>6500</v>
      </c>
      <c r="E725" s="11" t="n">
        <v>3312606.88</v>
      </c>
    </row>
    <row r="726">
      <c r="A726" s="11" t="n">
        <v>725</v>
      </c>
      <c r="B726" s="12" t="n">
        <v>46096</v>
      </c>
      <c r="C726" s="11" t="inlineStr">
        <is>
          <t>De VICTOR ARNULFO HORTUA</t>
        </is>
      </c>
      <c r="D726" s="13" t="n">
        <v>39700</v>
      </c>
      <c r="E726" s="11" t="n">
        <v>3306106.88</v>
      </c>
    </row>
    <row r="727">
      <c r="A727" s="11" t="n">
        <v>726</v>
      </c>
      <c r="B727" s="12" t="n">
        <v>46096</v>
      </c>
      <c r="C727" s="11" t="inlineStr">
        <is>
          <t>De ALEX ENRIQUEZ YAGUAPAZ</t>
        </is>
      </c>
      <c r="D727" s="13" t="n">
        <v>25600</v>
      </c>
      <c r="E727" s="11" t="n">
        <v>3266406.88</v>
      </c>
    </row>
    <row r="728">
      <c r="A728" s="11" t="n">
        <v>727</v>
      </c>
      <c r="B728" s="12" t="n">
        <v>46096</v>
      </c>
      <c r="C728" s="11" t="inlineStr">
        <is>
          <t>De EVA LINET DIAZ</t>
        </is>
      </c>
      <c r="D728" s="13" t="n">
        <v>61500</v>
      </c>
      <c r="E728" s="11" t="n">
        <v>3240806.88</v>
      </c>
    </row>
    <row r="729">
      <c r="A729" s="11" t="n">
        <v>728</v>
      </c>
      <c r="B729" s="12" t="n">
        <v>46096</v>
      </c>
      <c r="C729" s="11" t="inlineStr">
        <is>
          <t>De EMIR YAQUELINE ROSERO</t>
        </is>
      </c>
      <c r="D729" s="13" t="n">
        <v>2800</v>
      </c>
      <c r="E729" s="11" t="n">
        <v>3179306.88</v>
      </c>
    </row>
    <row r="730">
      <c r="A730" s="11" t="n">
        <v>729</v>
      </c>
      <c r="B730" s="12" t="n">
        <v>46096</v>
      </c>
      <c r="C730" s="11" t="inlineStr">
        <is>
          <t>De SALOME ALEJANDRA</t>
        </is>
      </c>
      <c r="D730" s="13" t="n">
        <v>12000</v>
      </c>
      <c r="E730" s="11" t="n">
        <v>3176506.88</v>
      </c>
    </row>
    <row r="731">
      <c r="A731" s="11" t="n">
        <v>730</v>
      </c>
      <c r="B731" s="12" t="n">
        <v>46096</v>
      </c>
      <c r="C731" s="11" t="inlineStr">
        <is>
          <t>De EFRAIN GOMEZ</t>
        </is>
      </c>
      <c r="D731" s="13" t="n">
        <v>12500</v>
      </c>
      <c r="E731" s="11" t="n">
        <v>3164506.88</v>
      </c>
    </row>
    <row r="732">
      <c r="A732" s="11" t="n">
        <v>731</v>
      </c>
      <c r="B732" s="12" t="n">
        <v>46096</v>
      </c>
      <c r="C732" s="11" t="inlineStr">
        <is>
          <t>Recarga desde Bancolombia QR</t>
        </is>
      </c>
      <c r="D732" s="13" t="n">
        <v>9200</v>
      </c>
      <c r="E732" s="11" t="n">
        <v>3152006.88</v>
      </c>
    </row>
    <row r="733">
      <c r="A733" s="11" t="n">
        <v>732</v>
      </c>
      <c r="B733" s="12" t="n">
        <v>46096</v>
      </c>
      <c r="C733" s="11" t="inlineStr">
        <is>
          <t>De JOSE JAIVER PORTILLA</t>
        </is>
      </c>
      <c r="D733" s="13" t="n">
        <v>10000</v>
      </c>
      <c r="E733" s="11" t="n">
        <v>3142806.88</v>
      </c>
    </row>
    <row r="734">
      <c r="A734" s="11" t="n">
        <v>733</v>
      </c>
      <c r="B734" s="12" t="n">
        <v>46096</v>
      </c>
      <c r="C734" s="11" t="inlineStr">
        <is>
          <t>De MONICA ALEXANDRA</t>
        </is>
      </c>
      <c r="D734" s="13" t="n">
        <v>31500</v>
      </c>
      <c r="E734" s="11" t="n">
        <v>3132806.88</v>
      </c>
    </row>
    <row r="735">
      <c r="A735" s="11" t="n">
        <v>734</v>
      </c>
      <c r="B735" s="12" t="n">
        <v>46096</v>
      </c>
      <c r="C735" s="11" t="inlineStr">
        <is>
          <t>De JHON ALEXANDER SANCHEZ</t>
        </is>
      </c>
      <c r="D735" s="13" t="n">
        <v>77913</v>
      </c>
      <c r="E735" s="11" t="n">
        <v>3101306.88</v>
      </c>
    </row>
    <row r="736">
      <c r="A736" s="11" t="n">
        <v>735</v>
      </c>
      <c r="B736" s="12" t="n">
        <v>46096</v>
      </c>
      <c r="C736" s="11" t="inlineStr">
        <is>
          <t>De EDER PEDROZA PEDROZA</t>
        </is>
      </c>
      <c r="D736" s="13" t="n">
        <v>17800</v>
      </c>
      <c r="E736" s="11" t="n">
        <v>3023393.88</v>
      </c>
    </row>
    <row r="737">
      <c r="A737" s="11" t="n">
        <v>736</v>
      </c>
      <c r="B737" s="12" t="n">
        <v>46096</v>
      </c>
      <c r="C737" s="11" t="inlineStr">
        <is>
          <t>De ANLLELY ORTEGA</t>
        </is>
      </c>
      <c r="D737" s="13" t="n">
        <v>28000</v>
      </c>
      <c r="E737" s="11" t="n">
        <v>3005593.88</v>
      </c>
    </row>
    <row r="738">
      <c r="A738" s="11" t="n">
        <v>737</v>
      </c>
      <c r="B738" s="12" t="n">
        <v>46096</v>
      </c>
      <c r="C738" s="11" t="inlineStr">
        <is>
          <t>RECIBI POR BRE-B DE: JESUS</t>
        </is>
      </c>
      <c r="D738" s="13" t="n">
        <v>40000</v>
      </c>
      <c r="E738" s="11" t="n">
        <v>2977593.88</v>
      </c>
    </row>
    <row r="739">
      <c r="A739" s="11" t="n">
        <v>738</v>
      </c>
      <c r="B739" s="12" t="n">
        <v>46096</v>
      </c>
      <c r="C739" s="11" t="inlineStr">
        <is>
          <t>De YOLANDA TORO QUINTERO</t>
        </is>
      </c>
      <c r="D739" s="13" t="n">
        <v>23500</v>
      </c>
      <c r="E739" s="11" t="n">
        <v>2937593.88</v>
      </c>
    </row>
    <row r="740">
      <c r="A740" s="11" t="n">
        <v>739</v>
      </c>
      <c r="B740" s="12" t="n">
        <v>46096</v>
      </c>
      <c r="C740" s="11" t="inlineStr">
        <is>
          <t>De AYDA GOMEZ</t>
        </is>
      </c>
      <c r="D740" s="13" t="n">
        <v>40000</v>
      </c>
      <c r="E740" s="11" t="n">
        <v>2914093.88</v>
      </c>
    </row>
    <row r="741">
      <c r="A741" s="11" t="n">
        <v>740</v>
      </c>
      <c r="B741" s="12" t="n">
        <v>46096</v>
      </c>
      <c r="C741" s="11" t="inlineStr">
        <is>
          <t>De ALEJANDRA CATERINE</t>
        </is>
      </c>
      <c r="D741" s="13" t="n">
        <v>15900</v>
      </c>
      <c r="E741" s="11" t="n">
        <v>2874093.88</v>
      </c>
    </row>
    <row r="742">
      <c r="A742" s="11" t="n">
        <v>741</v>
      </c>
      <c r="B742" s="12" t="n">
        <v>46096</v>
      </c>
      <c r="C742" s="11" t="inlineStr">
        <is>
          <t>De JHOANA ALEXANDRA</t>
        </is>
      </c>
      <c r="D742" s="13" t="n">
        <v>60000</v>
      </c>
      <c r="E742" s="11" t="n">
        <v>2858193.88</v>
      </c>
    </row>
    <row r="743">
      <c r="A743" s="11" t="n">
        <v>742</v>
      </c>
      <c r="B743" s="12" t="n">
        <v>46096</v>
      </c>
      <c r="C743" s="11" t="inlineStr">
        <is>
          <t>De KAREN DANIELA CIFUENTES</t>
        </is>
      </c>
      <c r="D743" s="13" t="n">
        <v>28500</v>
      </c>
      <c r="E743" s="11" t="n">
        <v>2798193.88</v>
      </c>
    </row>
    <row r="744">
      <c r="A744" s="11" t="n">
        <v>743</v>
      </c>
      <c r="B744" s="12" t="n">
        <v>46096</v>
      </c>
      <c r="C744" s="11" t="inlineStr">
        <is>
          <t>Recarga desde Bancolombia QR</t>
        </is>
      </c>
      <c r="D744" s="13" t="n">
        <v>10000</v>
      </c>
      <c r="E744" s="11" t="n">
        <v>2769693.88</v>
      </c>
    </row>
    <row r="745">
      <c r="A745" s="11" t="n">
        <v>744</v>
      </c>
      <c r="B745" s="12" t="n">
        <v>46096</v>
      </c>
      <c r="C745" s="11" t="inlineStr">
        <is>
          <t>Recarga desde Bancolombia QR</t>
        </is>
      </c>
      <c r="D745" s="13" t="n">
        <v>17800</v>
      </c>
      <c r="E745" s="11" t="n">
        <v>2759693.88</v>
      </c>
    </row>
    <row r="746">
      <c r="A746" s="11" t="n">
        <v>745</v>
      </c>
      <c r="B746" s="12" t="n">
        <v>46096</v>
      </c>
      <c r="C746" s="11" t="inlineStr">
        <is>
          <t>De CARLOS MENDOZA</t>
        </is>
      </c>
      <c r="D746" s="13" t="n">
        <v>55374</v>
      </c>
      <c r="E746" s="11" t="n">
        <v>2741893.88</v>
      </c>
    </row>
    <row r="747">
      <c r="A747" s="11" t="n">
        <v>746</v>
      </c>
      <c r="B747" s="12" t="n">
        <v>46096</v>
      </c>
      <c r="C747" s="11" t="inlineStr">
        <is>
          <t>De WILLIAM LOPEZ MOTTA</t>
        </is>
      </c>
      <c r="D747" s="13" t="n">
        <v>12500</v>
      </c>
      <c r="E747" s="11" t="n">
        <v>2686519.88</v>
      </c>
    </row>
    <row r="748">
      <c r="A748" s="11" t="n">
        <v>747</v>
      </c>
      <c r="B748" s="12" t="n">
        <v>46096</v>
      </c>
      <c r="C748" s="11" t="inlineStr">
        <is>
          <t>De ANA CAROLINA DIAZ OSPINA</t>
        </is>
      </c>
      <c r="D748" s="13" t="n">
        <v>40000</v>
      </c>
      <c r="E748" s="11" t="n">
        <v>2674019.88</v>
      </c>
    </row>
    <row r="749">
      <c r="A749" s="11" t="n">
        <v>748</v>
      </c>
      <c r="B749" s="12" t="n">
        <v>46096</v>
      </c>
      <c r="C749" s="11" t="inlineStr">
        <is>
          <t>De LEYDI LORENA CERON</t>
        </is>
      </c>
      <c r="D749" s="13" t="n">
        <v>43600</v>
      </c>
      <c r="E749" s="11" t="n">
        <v>2634019.88</v>
      </c>
    </row>
    <row r="750">
      <c r="A750" s="11" t="n">
        <v>749</v>
      </c>
      <c r="B750" s="12" t="n">
        <v>46096</v>
      </c>
      <c r="C750" s="11" t="inlineStr">
        <is>
          <t>De LUISA FERNANDA</t>
        </is>
      </c>
      <c r="D750" s="13" t="n">
        <v>22100</v>
      </c>
      <c r="E750" s="11" t="n">
        <v>2590419.88</v>
      </c>
    </row>
    <row r="751">
      <c r="A751" s="11" t="n">
        <v>750</v>
      </c>
      <c r="B751" s="12" t="n">
        <v>46096</v>
      </c>
      <c r="C751" s="11" t="inlineStr">
        <is>
          <t>RECIBI POR BRE-B DE: DIANA</t>
        </is>
      </c>
      <c r="D751" s="13" t="n">
        <v>39500</v>
      </c>
      <c r="E751" s="11" t="n">
        <v>2568319.88</v>
      </c>
    </row>
    <row r="752">
      <c r="A752" s="11" t="n">
        <v>751</v>
      </c>
      <c r="B752" s="12" t="n">
        <v>46096</v>
      </c>
      <c r="C752" s="11" t="inlineStr">
        <is>
          <t>De MAURA ISABEL MORALES</t>
        </is>
      </c>
      <c r="D752" s="13" t="n">
        <v>32100</v>
      </c>
      <c r="E752" s="11" t="n">
        <v>2528819.88</v>
      </c>
    </row>
    <row r="753">
      <c r="A753" s="11" t="n">
        <v>752</v>
      </c>
      <c r="B753" s="12" t="n">
        <v>46096</v>
      </c>
      <c r="C753" s="11" t="inlineStr">
        <is>
          <t>De JADY KATHERINE ESCOBAR</t>
        </is>
      </c>
      <c r="D753" s="13" t="n">
        <v>60000</v>
      </c>
      <c r="E753" s="11" t="n">
        <v>2496719.88</v>
      </c>
    </row>
    <row r="754">
      <c r="A754" s="11" t="n">
        <v>753</v>
      </c>
      <c r="B754" s="12" t="n">
        <v>46096</v>
      </c>
      <c r="C754" s="11" t="inlineStr">
        <is>
          <t>De DEXY ESPERANZA</t>
        </is>
      </c>
      <c r="D754" s="13" t="n">
        <v>31300</v>
      </c>
      <c r="E754" s="11" t="n">
        <v>2436719.88</v>
      </c>
    </row>
    <row r="755">
      <c r="A755" s="11" t="n">
        <v>754</v>
      </c>
      <c r="B755" s="12" t="n">
        <v>46096</v>
      </c>
      <c r="C755" s="11" t="inlineStr">
        <is>
          <t>De ELKIN DANIEL QUINTERO</t>
        </is>
      </c>
      <c r="D755" s="13" t="n">
        <v>41500</v>
      </c>
      <c r="E755" s="11" t="n">
        <v>2405419.88</v>
      </c>
    </row>
    <row r="756">
      <c r="A756" s="11" t="n">
        <v>755</v>
      </c>
      <c r="B756" s="12" t="n">
        <v>46096</v>
      </c>
      <c r="C756" s="11" t="inlineStr">
        <is>
          <t>De MERLYN DAYANA BURBANO</t>
        </is>
      </c>
      <c r="D756" s="13" t="n">
        <v>4800</v>
      </c>
      <c r="E756" s="11" t="n">
        <v>2363919.88</v>
      </c>
    </row>
    <row r="757">
      <c r="A757" s="11" t="n">
        <v>756</v>
      </c>
      <c r="B757" s="12" t="n">
        <v>46096</v>
      </c>
      <c r="C757" s="11" t="inlineStr">
        <is>
          <t>De KATYVANESSA RIVEROS</t>
        </is>
      </c>
      <c r="D757" s="13" t="n">
        <v>10000</v>
      </c>
      <c r="E757" s="11" t="n">
        <v>2359119.88</v>
      </c>
    </row>
    <row r="758">
      <c r="A758" s="11" t="n">
        <v>757</v>
      </c>
      <c r="B758" s="12" t="n">
        <v>46096</v>
      </c>
      <c r="C758" s="11" t="inlineStr">
        <is>
          <t>De CARMEN DANIELA CARVAJAL</t>
        </is>
      </c>
      <c r="D758" s="13" t="n">
        <v>9200</v>
      </c>
      <c r="E758" s="11" t="n">
        <v>2349119.88</v>
      </c>
    </row>
    <row r="759">
      <c r="A759" s="11" t="n">
        <v>758</v>
      </c>
      <c r="B759" s="12" t="n">
        <v>46096</v>
      </c>
      <c r="C759" s="11" t="inlineStr">
        <is>
          <t>De BREINER STEVEN AGUIRRE</t>
        </is>
      </c>
      <c r="D759" s="13" t="n">
        <v>52000</v>
      </c>
      <c r="E759" s="11" t="n">
        <v>2339919.88</v>
      </c>
    </row>
    <row r="760">
      <c r="A760" s="11" t="n">
        <v>759</v>
      </c>
      <c r="B760" s="12" t="n">
        <v>46096</v>
      </c>
      <c r="C760" s="11" t="inlineStr">
        <is>
          <t>De INGRI YAJAIRA LA</t>
        </is>
      </c>
      <c r="D760" s="13" t="n">
        <v>15400</v>
      </c>
      <c r="E760" s="11" t="n">
        <v>2287919.88</v>
      </c>
    </row>
    <row r="761">
      <c r="A761" s="11" t="n">
        <v>760</v>
      </c>
      <c r="B761" s="12" t="n">
        <v>46096</v>
      </c>
      <c r="C761" s="11" t="inlineStr">
        <is>
          <t>De REINALDO ALEXIS BELTRAN</t>
        </is>
      </c>
      <c r="D761" s="13" t="n">
        <v>22600</v>
      </c>
      <c r="E761" s="11" t="n">
        <v>2272519.88</v>
      </c>
    </row>
    <row r="762">
      <c r="A762" s="11" t="n">
        <v>761</v>
      </c>
      <c r="B762" s="12" t="n">
        <v>46095</v>
      </c>
      <c r="C762" s="11" t="inlineStr">
        <is>
          <t>De MARIA FERNANDA DIAZ</t>
        </is>
      </c>
      <c r="D762" s="13" t="n">
        <v>32700</v>
      </c>
      <c r="E762" s="11" t="n">
        <v>2249919.88</v>
      </c>
    </row>
    <row r="763">
      <c r="A763" s="11" t="n">
        <v>762</v>
      </c>
      <c r="B763" s="12" t="n">
        <v>46095</v>
      </c>
      <c r="C763" s="11" t="inlineStr">
        <is>
          <t>De JENNIFER YULIETH</t>
        </is>
      </c>
      <c r="D763" s="13" t="n">
        <v>3000</v>
      </c>
      <c r="E763" s="11" t="n">
        <v>2217219.88</v>
      </c>
    </row>
    <row r="764">
      <c r="A764" s="11" t="n">
        <v>763</v>
      </c>
      <c r="B764" s="12" t="n">
        <v>46095</v>
      </c>
      <c r="C764" s="11" t="inlineStr">
        <is>
          <t>De SANDRA DORELY POTOSI</t>
        </is>
      </c>
      <c r="D764" s="13" t="n">
        <v>10900</v>
      </c>
      <c r="E764" s="11" t="n">
        <v>2214219.88</v>
      </c>
    </row>
    <row r="765">
      <c r="A765" s="11" t="n">
        <v>764</v>
      </c>
      <c r="B765" s="12" t="n">
        <v>46095</v>
      </c>
      <c r="C765" s="11" t="inlineStr">
        <is>
          <t>RECIBI POR BRE-B DE: JEIMY</t>
        </is>
      </c>
      <c r="D765" s="13" t="n">
        <v>15300</v>
      </c>
      <c r="E765" s="11" t="n">
        <v>2203319.88</v>
      </c>
    </row>
    <row r="766">
      <c r="A766" s="11" t="n">
        <v>765</v>
      </c>
      <c r="B766" s="12" t="n">
        <v>46095</v>
      </c>
      <c r="C766" s="11" t="inlineStr">
        <is>
          <t>De JUAN MANUEL PERAFAN</t>
        </is>
      </c>
      <c r="D766" s="13" t="n">
        <v>13800</v>
      </c>
      <c r="E766" s="11" t="n">
        <v>2188019.88</v>
      </c>
    </row>
    <row r="767">
      <c r="A767" s="11" t="n">
        <v>766</v>
      </c>
      <c r="B767" s="12" t="n">
        <v>46095</v>
      </c>
      <c r="C767" s="11" t="inlineStr">
        <is>
          <t>De VICTOR ARNULFO HORTUA</t>
        </is>
      </c>
      <c r="D767" s="13" t="n">
        <v>20300</v>
      </c>
      <c r="E767" s="11" t="n">
        <v>2174219.88</v>
      </c>
    </row>
    <row r="768">
      <c r="A768" s="11" t="n">
        <v>767</v>
      </c>
      <c r="B768" s="12" t="n">
        <v>46095</v>
      </c>
      <c r="C768" s="11" t="inlineStr">
        <is>
          <t>De DANIEL ANDRES BENAVIDES</t>
        </is>
      </c>
      <c r="D768" s="13" t="n">
        <v>25000</v>
      </c>
      <c r="E768" s="11" t="n">
        <v>2153919.88</v>
      </c>
    </row>
    <row r="769">
      <c r="A769" s="11" t="n">
        <v>768</v>
      </c>
      <c r="B769" s="12" t="n">
        <v>46095</v>
      </c>
      <c r="C769" s="11" t="inlineStr">
        <is>
          <t>De CARMEN DANIELA CARVAJAL</t>
        </is>
      </c>
      <c r="D769" s="13" t="n">
        <v>10800</v>
      </c>
      <c r="E769" s="11" t="n">
        <v>2128919.88</v>
      </c>
    </row>
    <row r="770">
      <c r="A770" s="11" t="n">
        <v>769</v>
      </c>
      <c r="B770" s="12" t="n">
        <v>46095</v>
      </c>
      <c r="C770" s="11" t="inlineStr">
        <is>
          <t>De DEYSI ESPERANZA</t>
        </is>
      </c>
      <c r="D770" s="13" t="n">
        <v>50000</v>
      </c>
      <c r="E770" s="11" t="n">
        <v>2118119.88</v>
      </c>
    </row>
    <row r="771">
      <c r="A771" s="11" t="n">
        <v>770</v>
      </c>
      <c r="B771" s="12" t="n">
        <v>46095</v>
      </c>
      <c r="C771" s="11" t="inlineStr">
        <is>
          <t>De SEGUNDO RICARDO</t>
        </is>
      </c>
      <c r="D771" s="13" t="n">
        <v>20000</v>
      </c>
      <c r="E771" s="11" t="n">
        <v>2068119.88</v>
      </c>
    </row>
    <row r="772">
      <c r="A772" s="11" t="n">
        <v>771</v>
      </c>
      <c r="B772" s="12" t="n">
        <v>46095</v>
      </c>
      <c r="C772" s="11" t="inlineStr">
        <is>
          <t>De INGRI YAJAIRA LA</t>
        </is>
      </c>
      <c r="D772" s="13" t="n">
        <v>26200</v>
      </c>
      <c r="E772" s="11" t="n">
        <v>2048119.88</v>
      </c>
    </row>
    <row r="773">
      <c r="A773" s="11" t="n">
        <v>772</v>
      </c>
      <c r="B773" s="12" t="n">
        <v>46095</v>
      </c>
      <c r="C773" s="11" t="inlineStr">
        <is>
          <t>De DANIEL ANDRES BENAVIDES</t>
        </is>
      </c>
      <c r="D773" s="13" t="n">
        <v>38000</v>
      </c>
      <c r="E773" s="11" t="n">
        <v>2021919.88</v>
      </c>
    </row>
    <row r="774">
      <c r="A774" s="11" t="n">
        <v>773</v>
      </c>
      <c r="B774" s="12" t="n">
        <v>46095</v>
      </c>
      <c r="C774" s="11" t="inlineStr">
        <is>
          <t>De NIVIA CUBILLOS ORDONES</t>
        </is>
      </c>
      <c r="D774" s="13" t="n">
        <v>32200</v>
      </c>
      <c r="E774" s="11" t="n">
        <v>1983919.88</v>
      </c>
    </row>
    <row r="775">
      <c r="A775" s="11" t="n">
        <v>774</v>
      </c>
      <c r="B775" s="12" t="n">
        <v>46095</v>
      </c>
      <c r="C775" s="11" t="inlineStr">
        <is>
          <t>De CELIANO IBANEZ</t>
        </is>
      </c>
      <c r="D775" s="13" t="n">
        <v>18400</v>
      </c>
      <c r="E775" s="11" t="n">
        <v>1951719.88</v>
      </c>
    </row>
    <row r="776">
      <c r="A776" s="11" t="n">
        <v>775</v>
      </c>
      <c r="B776" s="12" t="n">
        <v>46095</v>
      </c>
      <c r="C776" s="11" t="inlineStr">
        <is>
          <t>RECIBI POR BRE-B DE: FARUK</t>
        </is>
      </c>
      <c r="D776" s="13" t="n">
        <v>15000</v>
      </c>
      <c r="E776" s="11" t="n">
        <v>1933319.88</v>
      </c>
    </row>
    <row r="777">
      <c r="A777" s="11" t="n">
        <v>776</v>
      </c>
      <c r="B777" s="12" t="n">
        <v>46095</v>
      </c>
      <c r="C777" s="11" t="inlineStr">
        <is>
          <t>De JULIO CESAR CUSIS</t>
        </is>
      </c>
      <c r="D777" s="13" t="n">
        <v>121800</v>
      </c>
      <c r="E777" s="11" t="n">
        <v>1918319.88</v>
      </c>
    </row>
    <row r="778">
      <c r="A778" s="11" t="n">
        <v>777</v>
      </c>
      <c r="B778" s="12" t="n">
        <v>46095</v>
      </c>
      <c r="C778" s="11" t="inlineStr">
        <is>
          <t>De FABIAN AUGUSTO</t>
        </is>
      </c>
      <c r="D778" s="13" t="n">
        <v>12000</v>
      </c>
      <c r="E778" s="11" t="n">
        <v>1796519.88</v>
      </c>
    </row>
    <row r="779">
      <c r="A779" s="11" t="n">
        <v>778</v>
      </c>
      <c r="B779" s="12" t="n">
        <v>46095</v>
      </c>
      <c r="C779" s="11" t="inlineStr">
        <is>
          <t>De MARIA JULIETH OSORIO</t>
        </is>
      </c>
      <c r="D779" s="13" t="n">
        <v>21600</v>
      </c>
      <c r="E779" s="11" t="n">
        <v>1784519.88</v>
      </c>
    </row>
    <row r="780">
      <c r="A780" s="11" t="n">
        <v>779</v>
      </c>
      <c r="B780" s="12" t="n">
        <v>46095</v>
      </c>
      <c r="C780" s="11" t="inlineStr">
        <is>
          <t>De KAREN YULISA YELA</t>
        </is>
      </c>
      <c r="D780" s="13" t="n">
        <v>7400</v>
      </c>
      <c r="E780" s="11" t="n">
        <v>1762919.88</v>
      </c>
    </row>
    <row r="781">
      <c r="A781" s="11" t="n">
        <v>780</v>
      </c>
      <c r="B781" s="12" t="n">
        <v>46095</v>
      </c>
      <c r="C781" s="11" t="inlineStr">
        <is>
          <t>De DANIEL ANDRES BENAVIDES</t>
        </is>
      </c>
      <c r="D781" s="13" t="n">
        <v>14300</v>
      </c>
      <c r="E781" s="11" t="n">
        <v>1755519.88</v>
      </c>
    </row>
    <row r="782">
      <c r="A782" s="11" t="n">
        <v>781</v>
      </c>
      <c r="B782" s="12" t="n">
        <v>46095</v>
      </c>
      <c r="C782" s="11" t="inlineStr">
        <is>
          <t>De KELI YOJANA FLOREZ CAEZ</t>
        </is>
      </c>
      <c r="D782" s="13" t="n">
        <v>20000</v>
      </c>
      <c r="E782" s="11" t="n">
        <v>1741219.88</v>
      </c>
    </row>
    <row r="783">
      <c r="A783" s="11" t="n">
        <v>782</v>
      </c>
      <c r="B783" s="12" t="n">
        <v>46095</v>
      </c>
      <c r="C783" s="11" t="inlineStr">
        <is>
          <t>De VIVIANA ALEXANDRA</t>
        </is>
      </c>
      <c r="D783" s="13" t="n">
        <v>20200</v>
      </c>
      <c r="E783" s="11" t="n">
        <v>1721219.88</v>
      </c>
    </row>
    <row r="784">
      <c r="A784" s="11" t="n">
        <v>783</v>
      </c>
      <c r="B784" s="12" t="n">
        <v>46095</v>
      </c>
      <c r="C784" s="11" t="inlineStr">
        <is>
          <t>De AYDA TOBAR RIASCOS</t>
        </is>
      </c>
      <c r="D784" s="13" t="n">
        <v>57600</v>
      </c>
      <c r="E784" s="11" t="n">
        <v>1701019.88</v>
      </c>
    </row>
    <row r="785">
      <c r="A785" s="11" t="n">
        <v>784</v>
      </c>
      <c r="B785" s="12" t="n">
        <v>46095</v>
      </c>
      <c r="C785" s="11" t="inlineStr">
        <is>
          <t>De DEXY ESPERANZA</t>
        </is>
      </c>
      <c r="D785" s="13" t="n">
        <v>32400</v>
      </c>
      <c r="E785" s="11" t="n">
        <v>1643419.88</v>
      </c>
    </row>
    <row r="786">
      <c r="A786" s="11" t="n">
        <v>785</v>
      </c>
      <c r="B786" s="12" t="n">
        <v>46095</v>
      </c>
      <c r="C786" s="11" t="inlineStr">
        <is>
          <t>De NEFER JULIAN CASTRO</t>
        </is>
      </c>
      <c r="D786" s="13" t="n">
        <v>8000</v>
      </c>
      <c r="E786" s="11" t="n">
        <v>1611019.88</v>
      </c>
    </row>
    <row r="787">
      <c r="A787" s="11" t="n">
        <v>786</v>
      </c>
      <c r="B787" s="12" t="n">
        <v>46095</v>
      </c>
      <c r="C787" s="11" t="inlineStr">
        <is>
          <t>De NEFER JULIAN CASTRO</t>
        </is>
      </c>
      <c r="D787" s="13" t="n">
        <v>52500</v>
      </c>
      <c r="E787" s="11" t="n">
        <v>1603019.88</v>
      </c>
    </row>
    <row r="788">
      <c r="A788" s="11" t="n">
        <v>787</v>
      </c>
      <c r="B788" s="12" t="n">
        <v>46095</v>
      </c>
      <c r="C788" s="11" t="inlineStr">
        <is>
          <t>De AZUCENA FRANCO RUBIANO</t>
        </is>
      </c>
      <c r="D788" s="13" t="n">
        <v>12500</v>
      </c>
      <c r="E788" s="11" t="n">
        <v>1550519.88</v>
      </c>
    </row>
    <row r="789">
      <c r="A789" s="11" t="n">
        <v>788</v>
      </c>
      <c r="B789" s="12" t="n">
        <v>46095</v>
      </c>
      <c r="C789" s="11" t="inlineStr">
        <is>
          <t>De VICTOR ARNULFO HORTUA</t>
        </is>
      </c>
      <c r="D789" s="13" t="n">
        <v>30600</v>
      </c>
      <c r="E789" s="11" t="n">
        <v>1538019.88</v>
      </c>
    </row>
    <row r="790">
      <c r="A790" s="11" t="n">
        <v>789</v>
      </c>
      <c r="B790" s="12" t="n">
        <v>46095</v>
      </c>
      <c r="C790" s="11" t="inlineStr">
        <is>
          <t>De PEDRO LEONARDO ALBA</t>
        </is>
      </c>
      <c r="D790" s="13" t="n">
        <v>23200</v>
      </c>
      <c r="E790" s="11" t="n">
        <v>1507419.88</v>
      </c>
    </row>
    <row r="791">
      <c r="A791" s="11" t="n">
        <v>790</v>
      </c>
      <c r="B791" s="12" t="n">
        <v>46095</v>
      </c>
      <c r="C791" s="11" t="inlineStr">
        <is>
          <t>De DANIEL REINALDO BRAVO</t>
        </is>
      </c>
      <c r="D791" s="13" t="n">
        <v>10100</v>
      </c>
      <c r="E791" s="11" t="n">
        <v>1484219.88</v>
      </c>
    </row>
    <row r="792">
      <c r="A792" s="11" t="n">
        <v>791</v>
      </c>
      <c r="B792" s="12" t="n">
        <v>46095</v>
      </c>
      <c r="C792" s="11" t="inlineStr">
        <is>
          <t>De JHONATAN STIVEN RUALES</t>
        </is>
      </c>
      <c r="D792" s="13" t="n">
        <v>47800</v>
      </c>
      <c r="E792" s="11" t="n">
        <v>1474119.88</v>
      </c>
    </row>
    <row r="793">
      <c r="A793" s="11" t="n">
        <v>792</v>
      </c>
      <c r="B793" s="12" t="n">
        <v>46095</v>
      </c>
      <c r="C793" s="11" t="inlineStr">
        <is>
          <t>De JUAN CARLOS SANCHEZ</t>
        </is>
      </c>
      <c r="D793" s="13" t="n">
        <v>11600</v>
      </c>
      <c r="E793" s="11" t="n">
        <v>1426319.88</v>
      </c>
    </row>
    <row r="794">
      <c r="A794" s="11" t="n">
        <v>793</v>
      </c>
      <c r="B794" s="12" t="n">
        <v>46095</v>
      </c>
      <c r="C794" s="11" t="inlineStr">
        <is>
          <t>De YANIRA YURANI SEVILLANO</t>
        </is>
      </c>
      <c r="D794" s="13" t="n">
        <v>11800</v>
      </c>
      <c r="E794" s="11" t="n">
        <v>1414719.88</v>
      </c>
    </row>
    <row r="795">
      <c r="A795" s="11" t="n">
        <v>794</v>
      </c>
      <c r="B795" s="12" t="n">
        <v>46095</v>
      </c>
      <c r="C795" s="11" t="inlineStr">
        <is>
          <t>De JESSICA PAREDES SALAZAR</t>
        </is>
      </c>
      <c r="D795" s="13" t="n">
        <v>26200</v>
      </c>
      <c r="E795" s="11" t="n">
        <v>1402919.88</v>
      </c>
    </row>
    <row r="796">
      <c r="A796" s="11" t="n">
        <v>795</v>
      </c>
      <c r="B796" s="12" t="n">
        <v>46095</v>
      </c>
      <c r="C796" s="11" t="inlineStr">
        <is>
          <t>Recarga desde Bancolombia</t>
        </is>
      </c>
      <c r="D796" s="13" t="n">
        <v>7800</v>
      </c>
      <c r="E796" s="11" t="n">
        <v>1376719.88</v>
      </c>
    </row>
    <row r="797">
      <c r="A797" s="11" t="n">
        <v>796</v>
      </c>
      <c r="B797" s="12" t="n">
        <v>46095</v>
      </c>
      <c r="C797" s="11" t="inlineStr">
        <is>
          <t>De ANDREA VICTORIA DE LA</t>
        </is>
      </c>
      <c r="D797" s="13" t="n">
        <v>103500</v>
      </c>
      <c r="E797" s="11" t="n">
        <v>1368919.88</v>
      </c>
    </row>
    <row r="798">
      <c r="A798" s="11" t="n">
        <v>797</v>
      </c>
      <c r="B798" s="12" t="n">
        <v>46095</v>
      </c>
      <c r="C798" s="11" t="inlineStr">
        <is>
          <t>De ANA LUCIA ERAZO CERON</t>
        </is>
      </c>
      <c r="D798" s="13" t="n">
        <v>101800</v>
      </c>
      <c r="E798" s="11" t="n">
        <v>1265419.88</v>
      </c>
    </row>
    <row r="799">
      <c r="A799" s="11" t="n">
        <v>798</v>
      </c>
      <c r="B799" s="12" t="n">
        <v>46095</v>
      </c>
      <c r="C799" s="11" t="inlineStr">
        <is>
          <t>De ALEXANDER BETANCUR</t>
        </is>
      </c>
      <c r="D799" s="13" t="n">
        <v>29700</v>
      </c>
      <c r="E799" s="11" t="n">
        <v>1163619.88</v>
      </c>
    </row>
    <row r="800">
      <c r="A800" s="11" t="n">
        <v>799</v>
      </c>
      <c r="B800" s="12" t="n">
        <v>46095</v>
      </c>
      <c r="C800" s="11" t="inlineStr">
        <is>
          <t>De NURY ADRIANA MORA</t>
        </is>
      </c>
      <c r="D800" s="13" t="n">
        <v>171100</v>
      </c>
      <c r="E800" s="11" t="n">
        <v>1133919.88</v>
      </c>
    </row>
    <row r="801">
      <c r="A801" s="11" t="n">
        <v>800</v>
      </c>
      <c r="B801" s="12" t="n">
        <v>46095</v>
      </c>
      <c r="C801" s="11" t="inlineStr">
        <is>
          <t>De IDALY ESPERANZA NARVAEZ</t>
        </is>
      </c>
      <c r="D801" s="13" t="n">
        <v>82300</v>
      </c>
      <c r="E801" s="11" t="n">
        <v>962819.88</v>
      </c>
    </row>
    <row r="802">
      <c r="A802" s="11" t="n">
        <v>801</v>
      </c>
      <c r="B802" s="12" t="n">
        <v>46095</v>
      </c>
      <c r="C802" s="11" t="inlineStr">
        <is>
          <t>Recarga desde Bancolombia QR</t>
        </is>
      </c>
      <c r="D802" s="13" t="n">
        <v>45600</v>
      </c>
      <c r="E802" s="11" t="n">
        <v>880519.88</v>
      </c>
    </row>
    <row r="803">
      <c r="A803" s="11" t="n">
        <v>802</v>
      </c>
      <c r="B803" s="12" t="n">
        <v>46095</v>
      </c>
      <c r="C803" s="11" t="inlineStr">
        <is>
          <t>De WILSON BLADIMIR CUEVA</t>
        </is>
      </c>
      <c r="D803" s="13" t="n">
        <v>8200</v>
      </c>
      <c r="E803" s="11" t="n">
        <v>834919.88</v>
      </c>
    </row>
    <row r="804">
      <c r="A804" s="11" t="n">
        <v>803</v>
      </c>
      <c r="B804" s="12" t="n">
        <v>46095</v>
      </c>
      <c r="C804" s="11" t="inlineStr">
        <is>
          <t>De LUZ ELENA CANO</t>
        </is>
      </c>
      <c r="D804" s="13" t="n">
        <v>48300</v>
      </c>
      <c r="E804" s="11" t="n">
        <v>826719.88</v>
      </c>
    </row>
    <row r="805">
      <c r="A805" s="11" t="n">
        <v>804</v>
      </c>
      <c r="B805" s="12" t="n">
        <v>46095</v>
      </c>
      <c r="C805" s="11" t="inlineStr">
        <is>
          <t>De JESSICA PAOLA SCARPETA</t>
        </is>
      </c>
      <c r="D805" s="13" t="n">
        <v>18000</v>
      </c>
      <c r="E805" s="11" t="n">
        <v>778419.88</v>
      </c>
    </row>
    <row r="806">
      <c r="A806" s="11" t="n">
        <v>805</v>
      </c>
      <c r="B806" s="12" t="n">
        <v>46095</v>
      </c>
      <c r="C806" s="11" t="inlineStr">
        <is>
          <t>De JOSE DOMINGO CERON</t>
        </is>
      </c>
      <c r="D806" s="13" t="n">
        <v>13000</v>
      </c>
      <c r="E806" s="11" t="n">
        <v>760419.88</v>
      </c>
    </row>
    <row r="807">
      <c r="A807" s="11" t="n">
        <v>806</v>
      </c>
      <c r="B807" s="12" t="n">
        <v>46095</v>
      </c>
      <c r="C807" s="11" t="inlineStr">
        <is>
          <t>De NURY ADRIANA MORA</t>
        </is>
      </c>
      <c r="D807" s="13" t="n">
        <v>12500</v>
      </c>
      <c r="E807" s="11" t="n">
        <v>747419.88</v>
      </c>
    </row>
    <row r="808">
      <c r="A808" s="11" t="n">
        <v>807</v>
      </c>
      <c r="B808" s="12" t="n">
        <v>46095</v>
      </c>
      <c r="C808" s="11" t="inlineStr">
        <is>
          <t>De CARLOS EDUARDO COIME</t>
        </is>
      </c>
      <c r="D808" s="13" t="n">
        <v>4500</v>
      </c>
      <c r="E808" s="11" t="n">
        <v>734919.88</v>
      </c>
    </row>
    <row r="809">
      <c r="A809" s="11" t="n">
        <v>808</v>
      </c>
      <c r="B809" s="12" t="n">
        <v>46095</v>
      </c>
      <c r="C809" s="11" t="inlineStr">
        <is>
          <t>De ANYI LORENA PRADO</t>
        </is>
      </c>
      <c r="D809" s="13" t="n">
        <v>20000</v>
      </c>
      <c r="E809" s="11" t="n">
        <v>730419.88</v>
      </c>
    </row>
    <row r="810">
      <c r="A810" s="11" t="n">
        <v>809</v>
      </c>
      <c r="B810" s="12" t="n">
        <v>46095</v>
      </c>
      <c r="C810" s="11" t="inlineStr">
        <is>
          <t>De LEIDY LILIANA URBANO</t>
        </is>
      </c>
      <c r="D810" s="13" t="n">
        <v>24600</v>
      </c>
      <c r="E810" s="11" t="n">
        <v>710419.88</v>
      </c>
    </row>
    <row r="811">
      <c r="A811" s="11" t="n">
        <v>810</v>
      </c>
      <c r="B811" s="12" t="n">
        <v>46094</v>
      </c>
      <c r="C811" s="11" t="inlineStr">
        <is>
          <t>De RUBI ARMINDA BUELVAS</t>
        </is>
      </c>
      <c r="D811" s="13" t="n">
        <v>5000</v>
      </c>
      <c r="E811" s="11" t="n">
        <v>685819.88</v>
      </c>
    </row>
    <row r="812">
      <c r="A812" s="11" t="n">
        <v>811</v>
      </c>
      <c r="B812" s="12" t="n">
        <v>46094</v>
      </c>
      <c r="C812" s="11" t="inlineStr">
        <is>
          <t>De RUBI ARMINDA BUELVAS</t>
        </is>
      </c>
      <c r="D812" s="13" t="n">
        <v>19900</v>
      </c>
      <c r="E812" s="11" t="n">
        <v>680819.88</v>
      </c>
    </row>
    <row r="813">
      <c r="A813" s="11" t="n">
        <v>812</v>
      </c>
      <c r="B813" s="12" t="n">
        <v>46094</v>
      </c>
      <c r="C813" s="11" t="inlineStr">
        <is>
          <t>De ANA MARCELA CAICEDO</t>
        </is>
      </c>
      <c r="D813" s="13" t="n">
        <v>18800</v>
      </c>
      <c r="E813" s="11" t="n">
        <v>660919.88</v>
      </c>
    </row>
    <row r="814">
      <c r="A814" s="11" t="n">
        <v>813</v>
      </c>
      <c r="B814" s="12" t="n">
        <v>46094</v>
      </c>
      <c r="C814" s="11" t="inlineStr">
        <is>
          <t>De ALVARO ASNORALDO</t>
        </is>
      </c>
      <c r="D814" s="13" t="n">
        <v>76000</v>
      </c>
      <c r="E814" s="11" t="n">
        <v>642119.88</v>
      </c>
    </row>
    <row r="815">
      <c r="A815" s="11" t="n">
        <v>814</v>
      </c>
      <c r="B815" s="12" t="n">
        <v>46094</v>
      </c>
      <c r="C815" s="11" t="inlineStr">
        <is>
          <t>De CARMEN DANIELA CARVAJAL</t>
        </is>
      </c>
      <c r="D815" s="13" t="n">
        <v>10000</v>
      </c>
      <c r="E815" s="11" t="n">
        <v>566119.88</v>
      </c>
    </row>
    <row r="816">
      <c r="A816" s="11" t="n">
        <v>815</v>
      </c>
      <c r="B816" s="12" t="n">
        <v>46094</v>
      </c>
      <c r="C816" s="11" t="inlineStr">
        <is>
          <t>De YOLANDA LUZ DARY</t>
        </is>
      </c>
      <c r="D816" s="13" t="n">
        <v>19000</v>
      </c>
      <c r="E816" s="11" t="n">
        <v>556119.88</v>
      </c>
    </row>
    <row r="817">
      <c r="A817" s="11" t="n">
        <v>816</v>
      </c>
      <c r="B817" s="12" t="n">
        <v>46094</v>
      </c>
      <c r="C817" s="11" t="inlineStr">
        <is>
          <t>De LEYDI LORENA CERON</t>
        </is>
      </c>
      <c r="D817" s="13" t="n">
        <v>34000</v>
      </c>
      <c r="E817" s="11" t="n">
        <v>537119.88</v>
      </c>
    </row>
    <row r="818">
      <c r="A818" s="11" t="n">
        <v>817</v>
      </c>
      <c r="B818" s="12" t="n">
        <v>46094</v>
      </c>
      <c r="C818" s="11" t="inlineStr">
        <is>
          <t>De JENNIFER MOSQUERA</t>
        </is>
      </c>
      <c r="D818" s="13" t="n">
        <v>17800</v>
      </c>
      <c r="E818" s="11" t="n">
        <v>503119.88</v>
      </c>
    </row>
    <row r="819">
      <c r="A819" s="11" t="n">
        <v>818</v>
      </c>
      <c r="B819" s="12" t="n">
        <v>46094</v>
      </c>
      <c r="C819" s="11" t="inlineStr">
        <is>
          <t>De DANIEL ANDRES BENAVIDES</t>
        </is>
      </c>
      <c r="D819" s="13" t="n">
        <v>48100</v>
      </c>
      <c r="E819" s="11" t="n">
        <v>485319.88</v>
      </c>
    </row>
    <row r="820">
      <c r="A820" s="11" t="n">
        <v>819</v>
      </c>
      <c r="B820" s="12" t="n">
        <v>46094</v>
      </c>
      <c r="C820" s="11" t="inlineStr">
        <is>
          <t>De ANYELA PATRICIA DIAZ</t>
        </is>
      </c>
      <c r="D820" s="13" t="n">
        <v>30000</v>
      </c>
      <c r="E820" s="11" t="n">
        <v>437219.88</v>
      </c>
    </row>
    <row r="821">
      <c r="A821" s="11" t="n">
        <v>820</v>
      </c>
      <c r="B821" s="12" t="n">
        <v>46094</v>
      </c>
      <c r="C821" s="11" t="inlineStr">
        <is>
          <t>De CENAIDA DAVID</t>
        </is>
      </c>
      <c r="D821" s="13" t="n">
        <v>155700</v>
      </c>
      <c r="E821" s="11" t="n">
        <v>407219.88</v>
      </c>
    </row>
    <row r="822">
      <c r="A822" s="11" t="n">
        <v>821</v>
      </c>
      <c r="B822" s="12" t="n">
        <v>46094</v>
      </c>
      <c r="C822" s="11" t="inlineStr">
        <is>
          <t>De AYDA GOMEZ</t>
        </is>
      </c>
      <c r="D822" s="13" t="n">
        <v>30700</v>
      </c>
      <c r="E822" s="11" t="n">
        <v>251519.88</v>
      </c>
    </row>
    <row r="823">
      <c r="A823" s="11" t="n">
        <v>822</v>
      </c>
      <c r="B823" s="12" t="n">
        <v>46094</v>
      </c>
      <c r="C823" s="11" t="inlineStr">
        <is>
          <t>De JANNY MARCELA SALCEDO</t>
        </is>
      </c>
      <c r="D823" s="13" t="n">
        <v>17500</v>
      </c>
      <c r="E823" s="11" t="n">
        <v>220819.88</v>
      </c>
    </row>
    <row r="824">
      <c r="A824" s="11" t="n">
        <v>823</v>
      </c>
      <c r="B824" s="12" t="n">
        <v>46094</v>
      </c>
      <c r="C824" s="11" t="inlineStr">
        <is>
          <t>RECIBI POR BRE-B DE: JUDY</t>
        </is>
      </c>
      <c r="D824" s="13" t="n">
        <v>45400</v>
      </c>
      <c r="E824" s="11" t="n">
        <v>203319.88</v>
      </c>
    </row>
    <row r="825">
      <c r="A825" s="11" t="n">
        <v>824</v>
      </c>
      <c r="B825" s="12" t="n">
        <v>46094</v>
      </c>
      <c r="C825" s="11" t="inlineStr">
        <is>
          <t>De WILSON BLADIMIR CUEVA</t>
        </is>
      </c>
      <c r="D825" s="13" t="n">
        <v>3000</v>
      </c>
      <c r="E825" s="11" t="n">
        <v>157919.88</v>
      </c>
    </row>
    <row r="826">
      <c r="A826" s="11" t="n">
        <v>825</v>
      </c>
      <c r="B826" s="12" t="n">
        <v>46094</v>
      </c>
      <c r="C826" s="11" t="inlineStr">
        <is>
          <t>Recarga desde Bancolombia QR</t>
        </is>
      </c>
      <c r="D826" s="13" t="n">
        <v>3200</v>
      </c>
      <c r="E826" s="11" t="n">
        <v>154919.88</v>
      </c>
    </row>
    <row r="827">
      <c r="A827" s="11" t="n">
        <v>826</v>
      </c>
      <c r="B827" s="12" t="n">
        <v>46094</v>
      </c>
      <c r="C827" s="11" t="inlineStr">
        <is>
          <t>De LINDA LUCIA YEPES</t>
        </is>
      </c>
      <c r="D827" s="13" t="n">
        <v>25500</v>
      </c>
      <c r="E827" s="11" t="n">
        <v>151719.88</v>
      </c>
    </row>
    <row r="828">
      <c r="A828" s="11" t="n">
        <v>827</v>
      </c>
      <c r="B828" s="12" t="n">
        <v>46094</v>
      </c>
      <c r="C828" s="11" t="inlineStr">
        <is>
          <t>RECIBI POR BRE-B DE: MARIA</t>
        </is>
      </c>
      <c r="D828" s="13" t="n">
        <v>14700</v>
      </c>
      <c r="E828" s="11" t="n">
        <v>126219.88</v>
      </c>
    </row>
    <row r="829">
      <c r="A829" s="11" t="n">
        <v>828</v>
      </c>
      <c r="B829" s="12" t="n">
        <v>46094</v>
      </c>
      <c r="C829" s="11" t="inlineStr">
        <is>
          <t>De PATRICINIO CAICEDO</t>
        </is>
      </c>
      <c r="D829" s="13" t="n">
        <v>32800</v>
      </c>
      <c r="E829" s="11" t="n">
        <v>111519.88</v>
      </c>
    </row>
    <row r="830">
      <c r="A830" s="11" t="n">
        <v>829</v>
      </c>
      <c r="B830" s="12" t="n">
        <v>46094</v>
      </c>
      <c r="C830" s="11" t="inlineStr">
        <is>
          <t>Gravamen al Movimiento</t>
        </is>
      </c>
      <c r="D830" s="13" t="n">
        <v>-2487.58</v>
      </c>
      <c r="E830" s="11" t="n">
        <v>78719.88</v>
      </c>
    </row>
    <row r="831">
      <c r="A831" s="11" t="n">
        <v>830</v>
      </c>
      <c r="B831" s="12" t="n">
        <v>46094</v>
      </c>
      <c r="C831" s="11" t="inlineStr">
        <is>
          <t>COMPRA PSE EN Ajover SAS</t>
        </is>
      </c>
      <c r="D831" s="13" t="n">
        <v>-621894</v>
      </c>
      <c r="E831" s="11" t="n">
        <v>81207.46000000001</v>
      </c>
    </row>
    <row r="832">
      <c r="A832" s="11" t="n">
        <v>831</v>
      </c>
      <c r="B832" s="12" t="n">
        <v>46094</v>
      </c>
      <c r="C832" s="11" t="inlineStr">
        <is>
          <t>De ERIKA YENITH RODRIGUEZ</t>
        </is>
      </c>
      <c r="D832" s="13" t="n">
        <v>6000</v>
      </c>
      <c r="E832" s="11" t="n">
        <v>703101.46</v>
      </c>
    </row>
    <row r="833">
      <c r="A833" s="11" t="n">
        <v>832</v>
      </c>
      <c r="B833" s="12" t="n">
        <v>46094</v>
      </c>
      <c r="C833" s="11" t="inlineStr">
        <is>
          <t>DISTRIBUCIONES AXA SAS</t>
        </is>
      </c>
      <c r="D833" s="13" t="n">
        <v>-1333688</v>
      </c>
      <c r="E833" s="11" t="n">
        <v>697101.46</v>
      </c>
    </row>
    <row r="834">
      <c r="A834" s="11" t="n">
        <v>833</v>
      </c>
      <c r="B834" s="12" t="n">
        <v>46094</v>
      </c>
      <c r="C834" s="11" t="inlineStr">
        <is>
          <t>Gravamen al Movimiento</t>
        </is>
      </c>
      <c r="D834" s="13" t="n">
        <v>-5334.76</v>
      </c>
      <c r="E834" s="11" t="n">
        <v>2030789.46</v>
      </c>
    </row>
    <row r="835">
      <c r="A835" s="11" t="n">
        <v>834</v>
      </c>
      <c r="B835" s="12" t="n">
        <v>46094</v>
      </c>
      <c r="C835" s="11" t="inlineStr">
        <is>
          <t>harinera del valle</t>
        </is>
      </c>
      <c r="D835" s="13" t="n">
        <v>-493585</v>
      </c>
      <c r="E835" s="11" t="n">
        <v>2036124.22</v>
      </c>
    </row>
    <row r="836">
      <c r="A836" s="11" t="n">
        <v>835</v>
      </c>
      <c r="B836" s="12" t="n">
        <v>46094</v>
      </c>
      <c r="C836" s="11" t="inlineStr">
        <is>
          <t>Gravamen al Movimiento</t>
        </is>
      </c>
      <c r="D836" s="13" t="n">
        <v>-1974.34</v>
      </c>
      <c r="E836" s="11" t="n">
        <v>2529709.22</v>
      </c>
    </row>
    <row r="837">
      <c r="A837" s="11" t="n">
        <v>836</v>
      </c>
      <c r="B837" s="12" t="n">
        <v>46094</v>
      </c>
      <c r="C837" s="11" t="inlineStr">
        <is>
          <t>De SARITH RENATA DELGADO</t>
        </is>
      </c>
      <c r="D837" s="13" t="n">
        <v>6000</v>
      </c>
      <c r="E837" s="11" t="n">
        <v>2531683.56</v>
      </c>
    </row>
    <row r="838">
      <c r="A838" s="11" t="n">
        <v>837</v>
      </c>
      <c r="B838" s="12" t="n">
        <v>46094</v>
      </c>
      <c r="C838" s="11" t="inlineStr">
        <is>
          <t>De CARLOS ANDRES MERCHAN</t>
        </is>
      </c>
      <c r="D838" s="13" t="n">
        <v>3900</v>
      </c>
      <c r="E838" s="11" t="n">
        <v>2525683.56</v>
      </c>
    </row>
    <row r="839">
      <c r="A839" s="11" t="n">
        <v>838</v>
      </c>
      <c r="B839" s="12" t="n">
        <v>46094</v>
      </c>
      <c r="C839" s="11" t="inlineStr">
        <is>
          <t>De CARLOS MENDOZA</t>
        </is>
      </c>
      <c r="D839" s="13" t="n">
        <v>16500</v>
      </c>
      <c r="E839" s="11" t="n">
        <v>2521783.56</v>
      </c>
    </row>
    <row r="840">
      <c r="A840" s="11" t="n">
        <v>839</v>
      </c>
      <c r="B840" s="12" t="n">
        <v>46094</v>
      </c>
      <c r="C840" s="11" t="inlineStr">
        <is>
          <t>De RUBY VIVIANA MORENO</t>
        </is>
      </c>
      <c r="D840" s="13" t="n">
        <v>21000</v>
      </c>
      <c r="E840" s="11" t="n">
        <v>2505283.56</v>
      </c>
    </row>
    <row r="841">
      <c r="A841" s="11" t="n">
        <v>840</v>
      </c>
      <c r="B841" s="12" t="n">
        <v>46094</v>
      </c>
      <c r="C841" s="11" t="inlineStr">
        <is>
          <t>De YANIRA YURANI SEVILLANO</t>
        </is>
      </c>
      <c r="D841" s="13" t="n">
        <v>14000</v>
      </c>
      <c r="E841" s="11" t="n">
        <v>2484283.56</v>
      </c>
    </row>
    <row r="842">
      <c r="A842" s="11" t="n">
        <v>841</v>
      </c>
      <c r="B842" s="12" t="n">
        <v>46094</v>
      </c>
      <c r="C842" s="11" t="inlineStr">
        <is>
          <t>De REINALDO ALEXIS BELTRAN</t>
        </is>
      </c>
      <c r="D842" s="13" t="n">
        <v>12700</v>
      </c>
      <c r="E842" s="11" t="n">
        <v>2470283.56</v>
      </c>
    </row>
    <row r="843">
      <c r="A843" s="11" t="n">
        <v>842</v>
      </c>
      <c r="B843" s="12" t="n">
        <v>46094</v>
      </c>
      <c r="C843" s="11" t="inlineStr">
        <is>
          <t>De NATALY ALEXANDRA MILLAN</t>
        </is>
      </c>
      <c r="D843" s="13" t="n">
        <v>15600</v>
      </c>
      <c r="E843" s="11" t="n">
        <v>2457583.56</v>
      </c>
    </row>
    <row r="844">
      <c r="A844" s="11" t="n">
        <v>843</v>
      </c>
      <c r="B844" s="12" t="n">
        <v>46094</v>
      </c>
      <c r="C844" s="11" t="inlineStr">
        <is>
          <t>De ELSA PINTO CORTES</t>
        </is>
      </c>
      <c r="D844" s="13" t="n">
        <v>29100</v>
      </c>
      <c r="E844" s="11" t="n">
        <v>2441983.56</v>
      </c>
    </row>
    <row r="845">
      <c r="A845" s="11" t="n">
        <v>844</v>
      </c>
      <c r="B845" s="12" t="n">
        <v>46094</v>
      </c>
      <c r="C845" s="11" t="inlineStr">
        <is>
          <t>De ERIKA YENITH RODRIGUEZ</t>
        </is>
      </c>
      <c r="D845" s="13" t="n">
        <v>4500</v>
      </c>
      <c r="E845" s="11" t="n">
        <v>2412883.56</v>
      </c>
    </row>
    <row r="846">
      <c r="A846" s="11" t="n">
        <v>845</v>
      </c>
      <c r="B846" s="12" t="n">
        <v>46094</v>
      </c>
      <c r="C846" s="11" t="inlineStr">
        <is>
          <t>De ANTONY DURLEY SEGURA</t>
        </is>
      </c>
      <c r="D846" s="13" t="n">
        <v>18000</v>
      </c>
      <c r="E846" s="11" t="n">
        <v>2408383.56</v>
      </c>
    </row>
    <row r="847">
      <c r="A847" s="11" t="n">
        <v>846</v>
      </c>
      <c r="B847" s="12" t="n">
        <v>46094</v>
      </c>
      <c r="C847" s="11" t="inlineStr">
        <is>
          <t>De ANGEL SEBASTIAN VERA</t>
        </is>
      </c>
      <c r="D847" s="13" t="n">
        <v>11900</v>
      </c>
      <c r="E847" s="11" t="n">
        <v>2390383.56</v>
      </c>
    </row>
    <row r="848">
      <c r="A848" s="11" t="n">
        <v>847</v>
      </c>
      <c r="B848" s="12" t="n">
        <v>46094</v>
      </c>
      <c r="C848" s="11" t="inlineStr">
        <is>
          <t>De LEIDY PAOLA PANTOJA</t>
        </is>
      </c>
      <c r="D848" s="13" t="n">
        <v>14000</v>
      </c>
      <c r="E848" s="11" t="n">
        <v>2378483.56</v>
      </c>
    </row>
    <row r="849">
      <c r="A849" s="11" t="n">
        <v>848</v>
      </c>
      <c r="B849" s="12" t="n">
        <v>46094</v>
      </c>
      <c r="C849" s="11" t="inlineStr">
        <is>
          <t>De YULIANA VALENTINA</t>
        </is>
      </c>
      <c r="D849" s="13" t="n">
        <v>7800</v>
      </c>
      <c r="E849" s="11" t="n">
        <v>2364483.56</v>
      </c>
    </row>
    <row r="850">
      <c r="A850" s="11" t="n">
        <v>849</v>
      </c>
      <c r="B850" s="12" t="n">
        <v>46094</v>
      </c>
      <c r="C850" s="11" t="inlineStr">
        <is>
          <t>De JHON ALEXAANDER ARIAS</t>
        </is>
      </c>
      <c r="D850" s="13" t="n">
        <v>37300</v>
      </c>
      <c r="E850" s="11" t="n">
        <v>2356683.56</v>
      </c>
    </row>
    <row r="851">
      <c r="A851" s="11" t="n">
        <v>850</v>
      </c>
      <c r="B851" s="12" t="n">
        <v>46094</v>
      </c>
      <c r="C851" s="11" t="inlineStr">
        <is>
          <t>De YOLANDA FORERO MORA</t>
        </is>
      </c>
      <c r="D851" s="13" t="n">
        <v>8200</v>
      </c>
      <c r="E851" s="11" t="n">
        <v>2319383.56</v>
      </c>
    </row>
    <row r="852">
      <c r="A852" s="11" t="n">
        <v>851</v>
      </c>
      <c r="B852" s="12" t="n">
        <v>46094</v>
      </c>
      <c r="C852" s="11" t="inlineStr">
        <is>
          <t>De NINY JHOANA SANTANDER</t>
        </is>
      </c>
      <c r="D852" s="13" t="n">
        <v>2500</v>
      </c>
      <c r="E852" s="11" t="n">
        <v>2311183.56</v>
      </c>
    </row>
    <row r="853">
      <c r="A853" s="11" t="n">
        <v>852</v>
      </c>
      <c r="B853" s="12" t="n">
        <v>46094</v>
      </c>
      <c r="C853" s="11" t="inlineStr">
        <is>
          <t>De NINY JHOANA SANTANDER</t>
        </is>
      </c>
      <c r="D853" s="13" t="n">
        <v>22100</v>
      </c>
      <c r="E853" s="11" t="n">
        <v>2308683.56</v>
      </c>
    </row>
    <row r="854">
      <c r="A854" s="11" t="n">
        <v>853</v>
      </c>
      <c r="B854" s="12" t="n">
        <v>46094</v>
      </c>
      <c r="C854" s="11" t="inlineStr">
        <is>
          <t>De LINDA JOSHIRA ROMO</t>
        </is>
      </c>
      <c r="D854" s="13" t="n">
        <v>86000</v>
      </c>
      <c r="E854" s="11" t="n">
        <v>2286583.56</v>
      </c>
    </row>
    <row r="855">
      <c r="A855" s="11" t="n">
        <v>854</v>
      </c>
      <c r="B855" s="12" t="n">
        <v>46094</v>
      </c>
      <c r="C855" s="11" t="inlineStr">
        <is>
          <t>Recarga desde Bancolombia QR</t>
        </is>
      </c>
      <c r="D855" s="13" t="n">
        <v>5900</v>
      </c>
      <c r="E855" s="11" t="n">
        <v>2200583.56</v>
      </c>
    </row>
    <row r="856">
      <c r="A856" s="11" t="n">
        <v>855</v>
      </c>
      <c r="B856" s="12" t="n">
        <v>46094</v>
      </c>
      <c r="C856" s="11" t="inlineStr">
        <is>
          <t>De NIVIA CUBILLOS ORDONES</t>
        </is>
      </c>
      <c r="D856" s="13" t="n">
        <v>18500</v>
      </c>
      <c r="E856" s="11" t="n">
        <v>2194683.56</v>
      </c>
    </row>
    <row r="857">
      <c r="A857" s="11" t="n">
        <v>856</v>
      </c>
      <c r="B857" s="12" t="n">
        <v>46094</v>
      </c>
      <c r="C857" s="11" t="inlineStr">
        <is>
          <t>De JEINER JEIFREY MENA PAI</t>
        </is>
      </c>
      <c r="D857" s="13" t="n">
        <v>16800</v>
      </c>
      <c r="E857" s="11" t="n">
        <v>2176183.56</v>
      </c>
    </row>
    <row r="858">
      <c r="A858" s="11" t="n">
        <v>857</v>
      </c>
      <c r="B858" s="12" t="n">
        <v>46094</v>
      </c>
      <c r="C858" s="11" t="inlineStr">
        <is>
          <t>RECIBI POR BRE-B DE: SOL</t>
        </is>
      </c>
      <c r="D858" s="13" t="n">
        <v>14800</v>
      </c>
      <c r="E858" s="11" t="n">
        <v>2159383.56</v>
      </c>
    </row>
    <row r="859">
      <c r="A859" s="11" t="n">
        <v>858</v>
      </c>
      <c r="B859" s="12" t="n">
        <v>46093</v>
      </c>
      <c r="C859" s="11" t="inlineStr">
        <is>
          <t>De ARLENSON CAICEDO</t>
        </is>
      </c>
      <c r="D859" s="13" t="n">
        <v>60000</v>
      </c>
      <c r="E859" s="11" t="n">
        <v>2144583.56</v>
      </c>
    </row>
    <row r="860">
      <c r="A860" s="11" t="n">
        <v>859</v>
      </c>
      <c r="B860" s="12" t="n">
        <v>46093</v>
      </c>
      <c r="C860" s="11" t="inlineStr">
        <is>
          <t>De NIRSON FABIAN YULE</t>
        </is>
      </c>
      <c r="D860" s="13" t="n">
        <v>11000</v>
      </c>
      <c r="E860" s="11" t="n">
        <v>2084583.56</v>
      </c>
    </row>
    <row r="861">
      <c r="A861" s="11" t="n">
        <v>860</v>
      </c>
      <c r="B861" s="12" t="n">
        <v>46093</v>
      </c>
      <c r="C861" s="11" t="inlineStr">
        <is>
          <t>Recarga desde Bancolombia QR</t>
        </is>
      </c>
      <c r="D861" s="13" t="n">
        <v>11000</v>
      </c>
      <c r="E861" s="11" t="n">
        <v>2073583.56</v>
      </c>
    </row>
    <row r="862">
      <c r="A862" s="11" t="n">
        <v>861</v>
      </c>
      <c r="B862" s="12" t="n">
        <v>46093</v>
      </c>
      <c r="C862" s="11" t="inlineStr">
        <is>
          <t>De ALEXANDER CORREA</t>
        </is>
      </c>
      <c r="D862" s="13" t="n">
        <v>121400</v>
      </c>
      <c r="E862" s="11" t="n">
        <v>2062583.56</v>
      </c>
    </row>
    <row r="863">
      <c r="A863" s="11" t="n">
        <v>862</v>
      </c>
      <c r="B863" s="12" t="n">
        <v>46093</v>
      </c>
      <c r="C863" s="11" t="inlineStr">
        <is>
          <t>De CESAR OTONIEL MELO</t>
        </is>
      </c>
      <c r="D863" s="13" t="n">
        <v>41400</v>
      </c>
      <c r="E863" s="11" t="n">
        <v>1941183.56</v>
      </c>
    </row>
    <row r="864">
      <c r="A864" s="11" t="n">
        <v>863</v>
      </c>
      <c r="B864" s="12" t="n">
        <v>46093</v>
      </c>
      <c r="C864" s="11" t="inlineStr">
        <is>
          <t>De RODRIGO ZAPATA</t>
        </is>
      </c>
      <c r="D864" s="13" t="n">
        <v>19900</v>
      </c>
      <c r="E864" s="11" t="n">
        <v>1899783.56</v>
      </c>
    </row>
    <row r="865">
      <c r="A865" s="11" t="n">
        <v>864</v>
      </c>
      <c r="B865" s="12" t="n">
        <v>46093</v>
      </c>
      <c r="C865" s="11" t="inlineStr">
        <is>
          <t>Recarga desde Bancolombia QR</t>
        </is>
      </c>
      <c r="D865" s="13" t="n">
        <v>44000</v>
      </c>
      <c r="E865" s="11" t="n">
        <v>1879883.56</v>
      </c>
    </row>
    <row r="866">
      <c r="A866" s="11" t="n">
        <v>865</v>
      </c>
      <c r="B866" s="12" t="n">
        <v>46093</v>
      </c>
      <c r="C866" s="11" t="inlineStr">
        <is>
          <t>De LESLY EVERYNG</t>
        </is>
      </c>
      <c r="D866" s="13" t="n">
        <v>15000</v>
      </c>
      <c r="E866" s="11" t="n">
        <v>1835883.56</v>
      </c>
    </row>
    <row r="867">
      <c r="A867" s="11" t="n">
        <v>866</v>
      </c>
      <c r="B867" s="12" t="n">
        <v>46093</v>
      </c>
      <c r="C867" s="11" t="inlineStr">
        <is>
          <t>De LINDA JOSHIRA ROMO</t>
        </is>
      </c>
      <c r="D867" s="13" t="n">
        <v>18900</v>
      </c>
      <c r="E867" s="11" t="n">
        <v>1820883.56</v>
      </c>
    </row>
    <row r="868">
      <c r="A868" s="11" t="n">
        <v>867</v>
      </c>
      <c r="B868" s="12" t="n">
        <v>46093</v>
      </c>
      <c r="C868" s="11" t="inlineStr">
        <is>
          <t>RECIBI POR BRE-B DE: WILSON</t>
        </is>
      </c>
      <c r="D868" s="13" t="n">
        <v>24000</v>
      </c>
      <c r="E868" s="11" t="n">
        <v>1801983.56</v>
      </c>
    </row>
    <row r="869">
      <c r="A869" s="11" t="n">
        <v>868</v>
      </c>
      <c r="B869" s="12" t="n">
        <v>46093</v>
      </c>
      <c r="C869" s="11" t="inlineStr">
        <is>
          <t>RECIBI POR BRE-B DE: WILSON</t>
        </is>
      </c>
      <c r="D869" s="13" t="n">
        <v>12000</v>
      </c>
      <c r="E869" s="11" t="n">
        <v>1777983.56</v>
      </c>
    </row>
    <row r="870">
      <c r="A870" s="11" t="n">
        <v>869</v>
      </c>
      <c r="B870" s="12" t="n">
        <v>46093</v>
      </c>
      <c r="C870" s="11" t="inlineStr">
        <is>
          <t>De MARYURY MOSQUERA</t>
        </is>
      </c>
      <c r="D870" s="13" t="n">
        <v>16500</v>
      </c>
      <c r="E870" s="11" t="n">
        <v>1765983.56</v>
      </c>
    </row>
    <row r="871">
      <c r="A871" s="11" t="n">
        <v>870</v>
      </c>
      <c r="B871" s="12" t="n">
        <v>46093</v>
      </c>
      <c r="C871" s="11" t="inlineStr">
        <is>
          <t>De NEIRA YUWISSA CORDOBA</t>
        </is>
      </c>
      <c r="D871" s="13" t="n">
        <v>23200</v>
      </c>
      <c r="E871" s="11" t="n">
        <v>1749483.56</v>
      </c>
    </row>
    <row r="872">
      <c r="A872" s="11" t="n">
        <v>871</v>
      </c>
      <c r="B872" s="12" t="n">
        <v>46093</v>
      </c>
      <c r="C872" s="11" t="inlineStr">
        <is>
          <t>De RODRIGO ZAPATA</t>
        </is>
      </c>
      <c r="D872" s="13" t="n">
        <v>16900</v>
      </c>
      <c r="E872" s="11" t="n">
        <v>1726283.56</v>
      </c>
    </row>
    <row r="873">
      <c r="A873" s="11" t="n">
        <v>872</v>
      </c>
      <c r="B873" s="12" t="n">
        <v>46093</v>
      </c>
      <c r="C873" s="11" t="inlineStr">
        <is>
          <t>De JUDY VIVIANA ORDONEZ</t>
        </is>
      </c>
      <c r="D873" s="13" t="n">
        <v>47200</v>
      </c>
      <c r="E873" s="11" t="n">
        <v>1709383.56</v>
      </c>
    </row>
    <row r="874">
      <c r="A874" s="11" t="n">
        <v>873</v>
      </c>
      <c r="B874" s="12" t="n">
        <v>46093</v>
      </c>
      <c r="C874" s="11" t="inlineStr">
        <is>
          <t>De ANGIE MARISOL CORTES</t>
        </is>
      </c>
      <c r="D874" s="13" t="n">
        <v>9000</v>
      </c>
      <c r="E874" s="11" t="n">
        <v>1662183.56</v>
      </c>
    </row>
    <row r="875">
      <c r="A875" s="11" t="n">
        <v>874</v>
      </c>
      <c r="B875" s="12" t="n">
        <v>46093</v>
      </c>
      <c r="C875" s="11" t="inlineStr">
        <is>
          <t>De VICTOR HUGO CABEZAS</t>
        </is>
      </c>
      <c r="D875" s="13" t="n">
        <v>5900</v>
      </c>
      <c r="E875" s="11" t="n">
        <v>1653183.56</v>
      </c>
    </row>
    <row r="876">
      <c r="A876" s="11" t="n">
        <v>875</v>
      </c>
      <c r="B876" s="12" t="n">
        <v>46093</v>
      </c>
      <c r="C876" s="11" t="inlineStr">
        <is>
          <t>De DIANA KATERINE ARTEAGA</t>
        </is>
      </c>
      <c r="D876" s="13" t="n">
        <v>5400</v>
      </c>
      <c r="E876" s="11" t="n">
        <v>1647283.56</v>
      </c>
    </row>
    <row r="877">
      <c r="A877" s="11" t="n">
        <v>876</v>
      </c>
      <c r="B877" s="12" t="n">
        <v>46093</v>
      </c>
      <c r="C877" s="11" t="inlineStr">
        <is>
          <t>RECIBI POR BRE-B DE: DIANA</t>
        </is>
      </c>
      <c r="D877" s="13" t="n">
        <v>7100</v>
      </c>
      <c r="E877" s="11" t="n">
        <v>1641883.56</v>
      </c>
    </row>
    <row r="878">
      <c r="A878" s="11" t="n">
        <v>877</v>
      </c>
      <c r="B878" s="12" t="n">
        <v>46093</v>
      </c>
      <c r="C878" s="11" t="inlineStr">
        <is>
          <t>De MARIO FERNANDO</t>
        </is>
      </c>
      <c r="D878" s="13" t="n">
        <v>16000</v>
      </c>
      <c r="E878" s="11" t="n">
        <v>1634783.56</v>
      </c>
    </row>
    <row r="879">
      <c r="A879" s="11" t="n">
        <v>878</v>
      </c>
      <c r="B879" s="12" t="n">
        <v>46093</v>
      </c>
      <c r="C879" s="11" t="inlineStr">
        <is>
          <t>Recarga desde Bancolombia QR</t>
        </is>
      </c>
      <c r="D879" s="13" t="n">
        <v>2000</v>
      </c>
      <c r="E879" s="11" t="n">
        <v>1618783.56</v>
      </c>
    </row>
    <row r="880">
      <c r="A880" s="11" t="n">
        <v>879</v>
      </c>
      <c r="B880" s="12" t="n">
        <v>46093</v>
      </c>
      <c r="C880" s="11" t="inlineStr">
        <is>
          <t>Recarga desde Bancolombia</t>
        </is>
      </c>
      <c r="D880" s="13" t="n">
        <v>22700</v>
      </c>
      <c r="E880" s="11" t="n">
        <v>1616783.56</v>
      </c>
    </row>
    <row r="881">
      <c r="A881" s="11" t="n">
        <v>880</v>
      </c>
      <c r="B881" s="12" t="n">
        <v>46093</v>
      </c>
      <c r="C881" s="11" t="inlineStr">
        <is>
          <t>De LISBETH PAOLA PENA</t>
        </is>
      </c>
      <c r="D881" s="13" t="n">
        <v>9300</v>
      </c>
      <c r="E881" s="11" t="n">
        <v>1594083.56</v>
      </c>
    </row>
    <row r="882">
      <c r="A882" s="11" t="n">
        <v>881</v>
      </c>
      <c r="B882" s="12" t="n">
        <v>46093</v>
      </c>
      <c r="C882" s="11" t="inlineStr">
        <is>
          <t>De LINA MARIA GONZALEZ</t>
        </is>
      </c>
      <c r="D882" s="13" t="n">
        <v>9000</v>
      </c>
      <c r="E882" s="11" t="n">
        <v>1584783.56</v>
      </c>
    </row>
    <row r="883">
      <c r="A883" s="11" t="n">
        <v>882</v>
      </c>
      <c r="B883" s="12" t="n">
        <v>46093</v>
      </c>
      <c r="C883" s="11" t="inlineStr">
        <is>
          <t>De DIXIE VERONICA DANIELS</t>
        </is>
      </c>
      <c r="D883" s="13" t="n">
        <v>8700</v>
      </c>
      <c r="E883" s="11" t="n">
        <v>1575783.56</v>
      </c>
    </row>
    <row r="884">
      <c r="A884" s="11" t="n">
        <v>883</v>
      </c>
      <c r="B884" s="12" t="n">
        <v>46093</v>
      </c>
      <c r="C884" s="11" t="inlineStr">
        <is>
          <t>Recarga desde Bancolombia QR</t>
        </is>
      </c>
      <c r="D884" s="13" t="n">
        <v>6000</v>
      </c>
      <c r="E884" s="11" t="n">
        <v>1567083.56</v>
      </c>
    </row>
    <row r="885">
      <c r="A885" s="11" t="n">
        <v>884</v>
      </c>
      <c r="B885" s="12" t="n">
        <v>46093</v>
      </c>
      <c r="C885" s="11" t="inlineStr">
        <is>
          <t>De JENNIFER YULIETH</t>
        </is>
      </c>
      <c r="D885" s="13" t="n">
        <v>11400</v>
      </c>
      <c r="E885" s="11" t="n">
        <v>1561083.56</v>
      </c>
    </row>
    <row r="886">
      <c r="A886" s="11" t="n">
        <v>885</v>
      </c>
      <c r="B886" s="12" t="n">
        <v>46093</v>
      </c>
      <c r="C886" s="11" t="inlineStr">
        <is>
          <t>De JHON LIDO RIASCOS</t>
        </is>
      </c>
      <c r="D886" s="13" t="n">
        <v>6200</v>
      </c>
      <c r="E886" s="11" t="n">
        <v>1549683.56</v>
      </c>
    </row>
    <row r="887">
      <c r="A887" s="11" t="n">
        <v>886</v>
      </c>
      <c r="B887" s="12" t="n">
        <v>46093</v>
      </c>
      <c r="C887" s="11" t="inlineStr">
        <is>
          <t>Recarga desde Bancolombia</t>
        </is>
      </c>
      <c r="D887" s="13" t="n">
        <v>26000</v>
      </c>
      <c r="E887" s="11" t="n">
        <v>1543483.56</v>
      </c>
    </row>
    <row r="888">
      <c r="A888" s="11" t="n">
        <v>887</v>
      </c>
      <c r="B888" s="12" t="n">
        <v>46093</v>
      </c>
      <c r="C888" s="11" t="inlineStr">
        <is>
          <t>De LEIDY CARVAJAL PORTILLA</t>
        </is>
      </c>
      <c r="D888" s="13" t="n">
        <v>16600</v>
      </c>
      <c r="E888" s="11" t="n">
        <v>1517483.56</v>
      </c>
    </row>
    <row r="889">
      <c r="A889" s="11" t="n">
        <v>888</v>
      </c>
      <c r="B889" s="12" t="n">
        <v>46093</v>
      </c>
      <c r="C889" s="11" t="inlineStr">
        <is>
          <t>De PATRICIA PEREZ BECERRA</t>
        </is>
      </c>
      <c r="D889" s="13" t="n">
        <v>15720</v>
      </c>
      <c r="E889" s="11" t="n">
        <v>1500883.56</v>
      </c>
    </row>
    <row r="890">
      <c r="A890" s="11" t="n">
        <v>889</v>
      </c>
      <c r="B890" s="12" t="n">
        <v>46093</v>
      </c>
      <c r="C890" s="11" t="inlineStr">
        <is>
          <t>De JENNIFER JULIETH GUZMAN</t>
        </is>
      </c>
      <c r="D890" s="13" t="n">
        <v>25700</v>
      </c>
      <c r="E890" s="11" t="n">
        <v>1485163.56</v>
      </c>
    </row>
    <row r="891">
      <c r="A891" s="11" t="n">
        <v>890</v>
      </c>
      <c r="B891" s="12" t="n">
        <v>46093</v>
      </c>
      <c r="C891" s="11" t="inlineStr">
        <is>
          <t>De HENRY HERIQUE SEVILLANO</t>
        </is>
      </c>
      <c r="D891" s="13" t="n">
        <v>40000</v>
      </c>
      <c r="E891" s="11" t="n">
        <v>1459463.56</v>
      </c>
    </row>
    <row r="892">
      <c r="A892" s="11" t="n">
        <v>891</v>
      </c>
      <c r="B892" s="12" t="n">
        <v>46093</v>
      </c>
      <c r="C892" s="11" t="inlineStr">
        <is>
          <t>De JENNIFER MOSQUERA</t>
        </is>
      </c>
      <c r="D892" s="13" t="n">
        <v>12900</v>
      </c>
      <c r="E892" s="11" t="n">
        <v>1419463.56</v>
      </c>
    </row>
    <row r="893">
      <c r="A893" s="11" t="n">
        <v>892</v>
      </c>
      <c r="B893" s="12" t="n">
        <v>46093</v>
      </c>
      <c r="C893" s="11" t="inlineStr">
        <is>
          <t>De LUIS FERNANDO CHAVEZ</t>
        </is>
      </c>
      <c r="D893" s="13" t="n">
        <v>21000</v>
      </c>
      <c r="E893" s="11" t="n">
        <v>1406563.56</v>
      </c>
    </row>
    <row r="894">
      <c r="A894" s="11" t="n">
        <v>893</v>
      </c>
      <c r="B894" s="12" t="n">
        <v>46093</v>
      </c>
      <c r="C894" s="11" t="inlineStr">
        <is>
          <t>De CARLOS MENDOZA</t>
        </is>
      </c>
      <c r="D894" s="13" t="n">
        <v>16300</v>
      </c>
      <c r="E894" s="11" t="n">
        <v>1385563.56</v>
      </c>
    </row>
    <row r="895">
      <c r="A895" s="11" t="n">
        <v>894</v>
      </c>
      <c r="B895" s="12" t="n">
        <v>46092</v>
      </c>
      <c r="C895" s="11" t="inlineStr">
        <is>
          <t>De ALEXANDER CORREA</t>
        </is>
      </c>
      <c r="D895" s="13" t="n">
        <v>52900</v>
      </c>
      <c r="E895" s="11" t="n">
        <v>1369263.56</v>
      </c>
    </row>
    <row r="896">
      <c r="A896" s="11" t="n">
        <v>895</v>
      </c>
      <c r="B896" s="12" t="n">
        <v>46092</v>
      </c>
      <c r="C896" s="11" t="inlineStr">
        <is>
          <t>De ANA MILENA NAVARRO</t>
        </is>
      </c>
      <c r="D896" s="13" t="n">
        <v>26300</v>
      </c>
      <c r="E896" s="11" t="n">
        <v>1316363.56</v>
      </c>
    </row>
    <row r="897">
      <c r="A897" s="11" t="n">
        <v>896</v>
      </c>
      <c r="B897" s="12" t="n">
        <v>46092</v>
      </c>
      <c r="C897" s="11" t="inlineStr">
        <is>
          <t>De NIVIA CUBILLOS ORDONES</t>
        </is>
      </c>
      <c r="D897" s="13" t="n">
        <v>22800</v>
      </c>
      <c r="E897" s="11" t="n">
        <v>1290063.56</v>
      </c>
    </row>
    <row r="898">
      <c r="A898" s="11" t="n">
        <v>897</v>
      </c>
      <c r="B898" s="12" t="n">
        <v>46092</v>
      </c>
      <c r="C898" s="11" t="inlineStr">
        <is>
          <t>De AZUCENA FRANCO RUBIANO</t>
        </is>
      </c>
      <c r="D898" s="13" t="n">
        <v>28900</v>
      </c>
      <c r="E898" s="11" t="n">
        <v>1267263.56</v>
      </c>
    </row>
    <row r="899">
      <c r="A899" s="11" t="n">
        <v>898</v>
      </c>
      <c r="B899" s="12" t="n">
        <v>46092</v>
      </c>
      <c r="C899" s="11" t="inlineStr">
        <is>
          <t>De ALFONSO JHOVANI RUIZ</t>
        </is>
      </c>
      <c r="D899" s="13" t="n">
        <v>15400</v>
      </c>
      <c r="E899" s="11" t="n">
        <v>1238363.56</v>
      </c>
    </row>
    <row r="900">
      <c r="A900" s="11" t="n">
        <v>899</v>
      </c>
      <c r="B900" s="12" t="n">
        <v>46092</v>
      </c>
      <c r="C900" s="11" t="inlineStr">
        <is>
          <t>Recarga desde Bancolombia QR</t>
        </is>
      </c>
      <c r="D900" s="13" t="n">
        <v>155700</v>
      </c>
      <c r="E900" s="11" t="n">
        <v>1222963.56</v>
      </c>
    </row>
    <row r="901">
      <c r="A901" s="11" t="n">
        <v>900</v>
      </c>
      <c r="B901" s="12" t="n">
        <v>46092</v>
      </c>
      <c r="C901" s="11" t="inlineStr">
        <is>
          <t>De IVAN GERARDO HERNANDEZ</t>
        </is>
      </c>
      <c r="D901" s="13" t="n">
        <v>40000</v>
      </c>
      <c r="E901" s="11" t="n">
        <v>1067263.56</v>
      </c>
    </row>
    <row r="902">
      <c r="A902" s="11" t="n">
        <v>901</v>
      </c>
      <c r="B902" s="12" t="n">
        <v>46092</v>
      </c>
      <c r="C902" s="11" t="inlineStr">
        <is>
          <t>RECIBI POR BRE-B DE: NELCY</t>
        </is>
      </c>
      <c r="D902" s="13" t="n">
        <v>27600</v>
      </c>
      <c r="E902" s="11" t="n">
        <v>1027263.56</v>
      </c>
    </row>
    <row r="903">
      <c r="A903" s="11" t="n">
        <v>902</v>
      </c>
      <c r="B903" s="12" t="n">
        <v>46092</v>
      </c>
      <c r="C903" s="11" t="inlineStr">
        <is>
          <t>Recarga desde Bancolombia QR</t>
        </is>
      </c>
      <c r="D903" s="13" t="n">
        <v>30800</v>
      </c>
      <c r="E903" s="11" t="n">
        <v>999663.5600000001</v>
      </c>
    </row>
    <row r="904">
      <c r="A904" s="11" t="n">
        <v>903</v>
      </c>
      <c r="B904" s="12" t="n">
        <v>46092</v>
      </c>
      <c r="C904" s="11" t="inlineStr">
        <is>
          <t>RECIBI POR BRE-B DE: LEIDY</t>
        </is>
      </c>
      <c r="D904" s="13" t="n">
        <v>5900</v>
      </c>
      <c r="E904" s="11" t="n">
        <v>968863.5600000001</v>
      </c>
    </row>
    <row r="905">
      <c r="A905" s="11" t="n">
        <v>904</v>
      </c>
      <c r="B905" s="12" t="n">
        <v>46092</v>
      </c>
      <c r="C905" s="11" t="inlineStr">
        <is>
          <t>Recarga desde Bancolombia QR</t>
        </is>
      </c>
      <c r="D905" s="13" t="n">
        <v>24000</v>
      </c>
      <c r="E905" s="11" t="n">
        <v>962963.5600000001</v>
      </c>
    </row>
    <row r="906">
      <c r="A906" s="11" t="n">
        <v>905</v>
      </c>
      <c r="B906" s="12" t="n">
        <v>46092</v>
      </c>
      <c r="C906" s="11" t="inlineStr">
        <is>
          <t>De EVIN DANIEL MARCILLO</t>
        </is>
      </c>
      <c r="D906" s="13" t="n">
        <v>4500</v>
      </c>
      <c r="E906" s="11" t="n">
        <v>938963.5600000001</v>
      </c>
    </row>
    <row r="907">
      <c r="A907" s="11" t="n">
        <v>906</v>
      </c>
      <c r="B907" s="12" t="n">
        <v>46092</v>
      </c>
      <c r="C907" s="11" t="inlineStr">
        <is>
          <t>De ISMENIA CAHUASA ANGULO</t>
        </is>
      </c>
      <c r="D907" s="13" t="n">
        <v>20000</v>
      </c>
      <c r="E907" s="11" t="n">
        <v>934463.5600000001</v>
      </c>
    </row>
    <row r="908">
      <c r="A908" s="11" t="n">
        <v>907</v>
      </c>
      <c r="B908" s="12" t="n">
        <v>46092</v>
      </c>
      <c r="C908" s="11" t="inlineStr">
        <is>
          <t>De ANDRES FRANCISCO</t>
        </is>
      </c>
      <c r="D908" s="13" t="n">
        <v>12200</v>
      </c>
      <c r="E908" s="11" t="n">
        <v>914463.5600000001</v>
      </c>
    </row>
    <row r="909">
      <c r="A909" s="11" t="n">
        <v>908</v>
      </c>
      <c r="B909" s="12" t="n">
        <v>46092</v>
      </c>
      <c r="C909" s="11" t="inlineStr">
        <is>
          <t>De EVA LINET DIAZ</t>
        </is>
      </c>
      <c r="D909" s="13" t="n">
        <v>20400</v>
      </c>
      <c r="E909" s="11" t="n">
        <v>902263.5600000001</v>
      </c>
    </row>
    <row r="910">
      <c r="A910" s="11" t="n">
        <v>909</v>
      </c>
      <c r="B910" s="12" t="n">
        <v>46092</v>
      </c>
      <c r="C910" s="11" t="inlineStr">
        <is>
          <t>De SHERLYN GUENIZ</t>
        </is>
      </c>
      <c r="D910" s="13" t="n">
        <v>30600</v>
      </c>
      <c r="E910" s="11" t="n">
        <v>881863.5600000001</v>
      </c>
    </row>
    <row r="911">
      <c r="A911" s="11" t="n">
        <v>910</v>
      </c>
      <c r="B911" s="12" t="n">
        <v>46092</v>
      </c>
      <c r="C911" s="11" t="inlineStr">
        <is>
          <t>De AMILO FERNEY LOPEZ</t>
        </is>
      </c>
      <c r="D911" s="13" t="n">
        <v>21200</v>
      </c>
      <c r="E911" s="11" t="n">
        <v>851263.5600000001</v>
      </c>
    </row>
    <row r="912">
      <c r="A912" s="11" t="n">
        <v>911</v>
      </c>
      <c r="B912" s="12" t="n">
        <v>46092</v>
      </c>
      <c r="C912" s="11" t="inlineStr">
        <is>
          <t>De VICTOR MANUEL DIAZ DIAZ</t>
        </is>
      </c>
      <c r="D912" s="13" t="n">
        <v>5600</v>
      </c>
      <c r="E912" s="11" t="n">
        <v>830063.5600000001</v>
      </c>
    </row>
    <row r="913">
      <c r="A913" s="11" t="n">
        <v>912</v>
      </c>
      <c r="B913" s="12" t="n">
        <v>46092</v>
      </c>
      <c r="C913" s="11" t="inlineStr">
        <is>
          <t>De JEISSON ORLIN CHAMORRO</t>
        </is>
      </c>
      <c r="D913" s="13" t="n">
        <v>4700</v>
      </c>
      <c r="E913" s="11" t="n">
        <v>824463.5600000001</v>
      </c>
    </row>
    <row r="914">
      <c r="A914" s="11" t="n">
        <v>913</v>
      </c>
      <c r="B914" s="12" t="n">
        <v>46092</v>
      </c>
      <c r="C914" s="11" t="inlineStr">
        <is>
          <t>De TATIANA CHAVES IMBACHI</t>
        </is>
      </c>
      <c r="D914" s="13" t="n">
        <v>58500</v>
      </c>
      <c r="E914" s="11" t="n">
        <v>819763.5600000001</v>
      </c>
    </row>
    <row r="915">
      <c r="A915" s="11" t="n">
        <v>914</v>
      </c>
      <c r="B915" s="12" t="n">
        <v>46092</v>
      </c>
      <c r="C915" s="11" t="inlineStr">
        <is>
          <t>De IDALY ESPERANZA NARVAEZ</t>
        </is>
      </c>
      <c r="D915" s="13" t="n">
        <v>32600</v>
      </c>
      <c r="E915" s="11" t="n">
        <v>761263.5600000001</v>
      </c>
    </row>
    <row r="916">
      <c r="A916" s="11" t="n">
        <v>915</v>
      </c>
      <c r="B916" s="12" t="n">
        <v>46092</v>
      </c>
      <c r="C916" s="11" t="inlineStr">
        <is>
          <t>Recarga desde Bancolombia QR</t>
        </is>
      </c>
      <c r="D916" s="13" t="n">
        <v>14000</v>
      </c>
      <c r="E916" s="11" t="n">
        <v>728663.5600000001</v>
      </c>
    </row>
    <row r="917">
      <c r="A917" s="11" t="n">
        <v>916</v>
      </c>
      <c r="B917" s="12" t="n">
        <v>46092</v>
      </c>
      <c r="C917" s="11" t="inlineStr">
        <is>
          <t>De ANA DEL CARMEN ALVAREZ</t>
        </is>
      </c>
      <c r="D917" s="13" t="n">
        <v>12300</v>
      </c>
      <c r="E917" s="11" t="n">
        <v>714663.5600000001</v>
      </c>
    </row>
    <row r="918">
      <c r="A918" s="11" t="n">
        <v>917</v>
      </c>
      <c r="B918" s="12" t="n">
        <v>46092</v>
      </c>
      <c r="C918" s="11" t="inlineStr">
        <is>
          <t>De KENETH SEBASTIAN</t>
        </is>
      </c>
      <c r="D918" s="13" t="n">
        <v>7000</v>
      </c>
      <c r="E918" s="11" t="n">
        <v>702363.5600000001</v>
      </c>
    </row>
    <row r="919">
      <c r="A919" s="11" t="n">
        <v>918</v>
      </c>
      <c r="B919" s="12" t="n">
        <v>46092</v>
      </c>
      <c r="C919" s="11" t="inlineStr">
        <is>
          <t>De ANGIE CAROLINA CAGUA</t>
        </is>
      </c>
      <c r="D919" s="13" t="n">
        <v>26100</v>
      </c>
      <c r="E919" s="11" t="n">
        <v>695363.5600000001</v>
      </c>
    </row>
    <row r="920">
      <c r="A920" s="11" t="n">
        <v>919</v>
      </c>
      <c r="B920" s="12" t="n">
        <v>46092</v>
      </c>
      <c r="C920" s="11" t="inlineStr">
        <is>
          <t>De LORENY ALEJANDRA</t>
        </is>
      </c>
      <c r="D920" s="13" t="n">
        <v>12900</v>
      </c>
      <c r="E920" s="11" t="n">
        <v>669263.5600000001</v>
      </c>
    </row>
    <row r="921">
      <c r="A921" s="11" t="n">
        <v>920</v>
      </c>
      <c r="B921" s="12" t="n">
        <v>46092</v>
      </c>
      <c r="C921" s="11" t="inlineStr">
        <is>
          <t>De LEIDY CAROLINA DIAZ</t>
        </is>
      </c>
      <c r="D921" s="13" t="n">
        <v>25700</v>
      </c>
      <c r="E921" s="11" t="n">
        <v>656363.5600000001</v>
      </c>
    </row>
    <row r="922">
      <c r="A922" s="11" t="n">
        <v>921</v>
      </c>
      <c r="B922" s="12" t="n">
        <v>46092</v>
      </c>
      <c r="C922" s="11" t="inlineStr">
        <is>
          <t>De DAYAN LISETH CONGOTTE</t>
        </is>
      </c>
      <c r="D922" s="13" t="n">
        <v>6300</v>
      </c>
      <c r="E922" s="11" t="n">
        <v>630663.5600000001</v>
      </c>
    </row>
    <row r="923">
      <c r="A923" s="11" t="n">
        <v>922</v>
      </c>
      <c r="B923" s="12" t="n">
        <v>46092</v>
      </c>
      <c r="C923" s="11" t="inlineStr">
        <is>
          <t>De ANYI CATALEYA TAPIA</t>
        </is>
      </c>
      <c r="D923" s="13" t="n">
        <v>10700</v>
      </c>
      <c r="E923" s="11" t="n">
        <v>624363.5600000001</v>
      </c>
    </row>
    <row r="924">
      <c r="A924" s="11" t="n">
        <v>923</v>
      </c>
      <c r="B924" s="12" t="n">
        <v>46092</v>
      </c>
      <c r="C924" s="11" t="inlineStr">
        <is>
          <t>De SHIRLEY CHAVES GONZALEZ</t>
        </is>
      </c>
      <c r="D924" s="13" t="n">
        <v>16800</v>
      </c>
      <c r="E924" s="11" t="n">
        <v>613663.5600000001</v>
      </c>
    </row>
    <row r="925">
      <c r="A925" s="11" t="n">
        <v>924</v>
      </c>
      <c r="B925" s="12" t="n">
        <v>46092</v>
      </c>
      <c r="C925" s="11" t="inlineStr">
        <is>
          <t>Recarga desde Bancolombia QR</t>
        </is>
      </c>
      <c r="D925" s="13" t="n">
        <v>59600</v>
      </c>
      <c r="E925" s="11" t="n">
        <v>596863.5600000001</v>
      </c>
    </row>
    <row r="926">
      <c r="A926" s="11" t="n">
        <v>925</v>
      </c>
      <c r="B926" s="12" t="n">
        <v>46092</v>
      </c>
      <c r="C926" s="11" t="inlineStr">
        <is>
          <t>De HELEN TATIANA ZARAMA</t>
        </is>
      </c>
      <c r="D926" s="13" t="n">
        <v>32800</v>
      </c>
      <c r="E926" s="11" t="n">
        <v>537263.5600000001</v>
      </c>
    </row>
    <row r="927">
      <c r="A927" s="11" t="n">
        <v>926</v>
      </c>
      <c r="B927" s="12" t="n">
        <v>46092</v>
      </c>
      <c r="C927" s="11" t="inlineStr">
        <is>
          <t>De JEISSON ORLIN CHAMORRO</t>
        </is>
      </c>
      <c r="D927" s="13" t="n">
        <v>30900</v>
      </c>
      <c r="E927" s="11" t="n">
        <v>504463.56</v>
      </c>
    </row>
    <row r="928">
      <c r="A928" s="11" t="n">
        <v>927</v>
      </c>
      <c r="B928" s="12" t="n">
        <v>46092</v>
      </c>
      <c r="C928" s="11" t="inlineStr">
        <is>
          <t>Recarga desde Bancolombia QR</t>
        </is>
      </c>
      <c r="D928" s="13" t="n">
        <v>164600</v>
      </c>
      <c r="E928" s="11" t="n">
        <v>473563.56</v>
      </c>
    </row>
    <row r="929">
      <c r="A929" s="11" t="n">
        <v>928</v>
      </c>
      <c r="B929" s="12" t="n">
        <v>46092</v>
      </c>
      <c r="C929" s="11" t="inlineStr">
        <is>
          <t>De FRANK YINNER HENAO</t>
        </is>
      </c>
      <c r="D929" s="13" t="n">
        <v>45000</v>
      </c>
      <c r="E929" s="11" t="n">
        <v>308963.56</v>
      </c>
    </row>
    <row r="930">
      <c r="A930" s="11" t="n">
        <v>929</v>
      </c>
      <c r="B930" s="12" t="n">
        <v>46092</v>
      </c>
      <c r="C930" s="11" t="inlineStr">
        <is>
          <t>Gravamen al Movimiento</t>
        </is>
      </c>
      <c r="D930" s="13" t="n">
        <v>-8393.98</v>
      </c>
      <c r="E930" s="11" t="n">
        <v>263963.56</v>
      </c>
    </row>
    <row r="931">
      <c r="A931" s="11" t="n">
        <v>930</v>
      </c>
      <c r="B931" s="12" t="n">
        <v>46092</v>
      </c>
      <c r="C931" s="11" t="inlineStr">
        <is>
          <t>DISTRIBUCIONES ALDANA Y CIA</t>
        </is>
      </c>
      <c r="D931" s="13" t="n">
        <v>-2098494</v>
      </c>
      <c r="E931" s="11" t="n">
        <v>272357.54</v>
      </c>
    </row>
    <row r="932">
      <c r="A932" s="11" t="n">
        <v>931</v>
      </c>
      <c r="B932" s="12" t="n">
        <v>46092</v>
      </c>
      <c r="C932" s="11" t="inlineStr">
        <is>
          <t>De LINDA JOSHIRA ROMO</t>
        </is>
      </c>
      <c r="D932" s="13" t="n">
        <v>19600</v>
      </c>
      <c r="E932" s="11" t="n">
        <v>2370851.54</v>
      </c>
    </row>
    <row r="933">
      <c r="A933" s="11" t="n">
        <v>932</v>
      </c>
      <c r="B933" s="12" t="n">
        <v>46092</v>
      </c>
      <c r="C933" s="11" t="inlineStr">
        <is>
          <t>GRAVAMEN AL MOVIMIENTO</t>
        </is>
      </c>
      <c r="D933" s="13" t="n">
        <v>-3361.09</v>
      </c>
      <c r="E933" s="11" t="n">
        <v>2351251.54</v>
      </c>
    </row>
    <row r="934">
      <c r="A934" s="11" t="n">
        <v>933</v>
      </c>
      <c r="B934" s="12" t="n">
        <v>46092</v>
      </c>
      <c r="C934" s="11" t="inlineStr">
        <is>
          <t>PAGO EN QR BRE-B:</t>
        </is>
      </c>
      <c r="D934" s="13" t="n">
        <v>-840273</v>
      </c>
      <c r="E934" s="11" t="n">
        <v>2354612.63</v>
      </c>
    </row>
    <row r="935">
      <c r="A935" s="11" t="n">
        <v>934</v>
      </c>
      <c r="B935" s="12" t="n">
        <v>46092</v>
      </c>
      <c r="C935" s="11" t="inlineStr">
        <is>
          <t>Gravamen al Movimiento</t>
        </is>
      </c>
      <c r="D935" s="13" t="n">
        <v>-4521.56</v>
      </c>
      <c r="E935" s="11" t="n">
        <v>3194885.63</v>
      </c>
    </row>
    <row r="936">
      <c r="A936" s="11" t="n">
        <v>935</v>
      </c>
      <c r="B936" s="12" t="n">
        <v>46092</v>
      </c>
      <c r="C936" s="11" t="inlineStr">
        <is>
          <t>dora ines paguatian</t>
        </is>
      </c>
      <c r="D936" s="13" t="n">
        <v>-1130388</v>
      </c>
      <c r="E936" s="11" t="n">
        <v>3199407.19</v>
      </c>
    </row>
    <row r="937">
      <c r="A937" s="11" t="n">
        <v>936</v>
      </c>
      <c r="B937" s="12" t="n">
        <v>46092</v>
      </c>
      <c r="C937" s="11" t="inlineStr">
        <is>
          <t>De DANIELA FERNANDA TIQUE</t>
        </is>
      </c>
      <c r="D937" s="13" t="n">
        <v>61510</v>
      </c>
      <c r="E937" s="11" t="n">
        <v>4329795.19</v>
      </c>
    </row>
    <row r="938">
      <c r="A938" s="11" t="n">
        <v>937</v>
      </c>
      <c r="B938" s="12" t="n">
        <v>46092</v>
      </c>
      <c r="C938" s="11" t="inlineStr">
        <is>
          <t>De GLINIS FERNANDA CUARAN</t>
        </is>
      </c>
      <c r="D938" s="13" t="n">
        <v>21900</v>
      </c>
      <c r="E938" s="11" t="n">
        <v>4268285.19</v>
      </c>
    </row>
    <row r="939">
      <c r="A939" s="11" t="n">
        <v>938</v>
      </c>
      <c r="B939" s="12" t="n">
        <v>46092</v>
      </c>
      <c r="C939" s="11" t="inlineStr">
        <is>
          <t>De JEINER JEIFREY MENA PAI</t>
        </is>
      </c>
      <c r="D939" s="13" t="n">
        <v>28700</v>
      </c>
      <c r="E939" s="11" t="n">
        <v>4246385.19</v>
      </c>
    </row>
    <row r="940">
      <c r="A940" s="11" t="n">
        <v>939</v>
      </c>
      <c r="B940" s="12" t="n">
        <v>46092</v>
      </c>
      <c r="C940" s="11" t="inlineStr">
        <is>
          <t>De LUZ ELENA CANO</t>
        </is>
      </c>
      <c r="D940" s="13" t="n">
        <v>33100</v>
      </c>
      <c r="E940" s="11" t="n">
        <v>4217685.19</v>
      </c>
    </row>
    <row r="941">
      <c r="A941" s="11" t="n">
        <v>940</v>
      </c>
      <c r="B941" s="12" t="n">
        <v>46091</v>
      </c>
      <c r="C941" s="11" t="inlineStr">
        <is>
          <t>Recarga desde Bancolombia</t>
        </is>
      </c>
      <c r="D941" s="13" t="n">
        <v>18500</v>
      </c>
      <c r="E941" s="11" t="n">
        <v>4184585.19</v>
      </c>
    </row>
    <row r="942">
      <c r="A942" s="11" t="n">
        <v>941</v>
      </c>
      <c r="B942" s="12" t="n">
        <v>46091</v>
      </c>
      <c r="C942" s="11" t="inlineStr">
        <is>
          <t>De LISBETH YURANY LAGOS</t>
        </is>
      </c>
      <c r="D942" s="13" t="n">
        <v>23400</v>
      </c>
      <c r="E942" s="11" t="n">
        <v>4166085.19</v>
      </c>
    </row>
    <row r="943">
      <c r="A943" s="11" t="n">
        <v>942</v>
      </c>
      <c r="B943" s="12" t="n">
        <v>46091</v>
      </c>
      <c r="C943" s="11" t="inlineStr">
        <is>
          <t>De JEISSON ORLIN CHAMORRO</t>
        </is>
      </c>
      <c r="D943" s="13" t="n">
        <v>23700</v>
      </c>
      <c r="E943" s="11" t="n">
        <v>4142685.19</v>
      </c>
    </row>
    <row r="944">
      <c r="A944" s="11" t="n">
        <v>943</v>
      </c>
      <c r="B944" s="12" t="n">
        <v>46091</v>
      </c>
      <c r="C944" s="11" t="inlineStr">
        <is>
          <t>De YESICA PAOLA SANDOVAL</t>
        </is>
      </c>
      <c r="D944" s="13" t="n">
        <v>28700</v>
      </c>
      <c r="E944" s="11" t="n">
        <v>4118985.19</v>
      </c>
    </row>
    <row r="945">
      <c r="A945" s="11" t="n">
        <v>944</v>
      </c>
      <c r="B945" s="12" t="n">
        <v>46091</v>
      </c>
      <c r="C945" s="11" t="inlineStr">
        <is>
          <t>De WILLIAM HERNANDO SILVA</t>
        </is>
      </c>
      <c r="D945" s="13" t="n">
        <v>113700</v>
      </c>
      <c r="E945" s="11" t="n">
        <v>4090285.19</v>
      </c>
    </row>
    <row r="946">
      <c r="A946" s="11" t="n">
        <v>945</v>
      </c>
      <c r="B946" s="12" t="n">
        <v>46091</v>
      </c>
      <c r="C946" s="11" t="inlineStr">
        <is>
          <t>De SANDRA HELENA RAMOS</t>
        </is>
      </c>
      <c r="D946" s="13" t="n">
        <v>90000</v>
      </c>
      <c r="E946" s="11" t="n">
        <v>3976585.19</v>
      </c>
    </row>
    <row r="947">
      <c r="A947" s="11" t="n">
        <v>946</v>
      </c>
      <c r="B947" s="12" t="n">
        <v>46091</v>
      </c>
      <c r="C947" s="11" t="inlineStr">
        <is>
          <t>De ALVARO GERMAN BUELVAS</t>
        </is>
      </c>
      <c r="D947" s="13" t="n">
        <v>6200</v>
      </c>
      <c r="E947" s="11" t="n">
        <v>3886585.19</v>
      </c>
    </row>
    <row r="948">
      <c r="A948" s="11" t="n">
        <v>947</v>
      </c>
      <c r="B948" s="12" t="n">
        <v>46091</v>
      </c>
      <c r="C948" s="11" t="inlineStr">
        <is>
          <t>De DIEGO FELIPE MORA</t>
        </is>
      </c>
      <c r="D948" s="13" t="n">
        <v>9600</v>
      </c>
      <c r="E948" s="11" t="n">
        <v>3880385.19</v>
      </c>
    </row>
    <row r="949">
      <c r="A949" s="11" t="n">
        <v>948</v>
      </c>
      <c r="B949" s="12" t="n">
        <v>46091</v>
      </c>
      <c r="C949" s="11" t="inlineStr">
        <is>
          <t>De KEVIN GUANGA</t>
        </is>
      </c>
      <c r="D949" s="13" t="n">
        <v>6500</v>
      </c>
      <c r="E949" s="11" t="n">
        <v>3870785.19</v>
      </c>
    </row>
    <row r="950">
      <c r="A950" s="11" t="n">
        <v>949</v>
      </c>
      <c r="B950" s="12" t="n">
        <v>46091</v>
      </c>
      <c r="C950" s="11" t="inlineStr">
        <is>
          <t>RECIBI POR BRE-B DE: EDISSON</t>
        </is>
      </c>
      <c r="D950" s="13" t="n">
        <v>41800</v>
      </c>
      <c r="E950" s="11" t="n">
        <v>3864285.19</v>
      </c>
    </row>
    <row r="951">
      <c r="A951" s="11" t="n">
        <v>950</v>
      </c>
      <c r="B951" s="12" t="n">
        <v>46091</v>
      </c>
      <c r="C951" s="11" t="inlineStr">
        <is>
          <t>De NATALY ALEXANDRA MILLAN</t>
        </is>
      </c>
      <c r="D951" s="13" t="n">
        <v>17100</v>
      </c>
      <c r="E951" s="11" t="n">
        <v>3822485.19</v>
      </c>
    </row>
    <row r="952">
      <c r="A952" s="11" t="n">
        <v>951</v>
      </c>
      <c r="B952" s="12" t="n">
        <v>46091</v>
      </c>
      <c r="C952" s="11" t="inlineStr">
        <is>
          <t>Recarga desde Bancolombia QR</t>
        </is>
      </c>
      <c r="D952" s="13" t="n">
        <v>26300</v>
      </c>
      <c r="E952" s="11" t="n">
        <v>3805385.19</v>
      </c>
    </row>
    <row r="953">
      <c r="A953" s="11" t="n">
        <v>952</v>
      </c>
      <c r="B953" s="12" t="n">
        <v>46091</v>
      </c>
      <c r="C953" s="11" t="inlineStr">
        <is>
          <t>De ALVARO GERMAN BUELVAS</t>
        </is>
      </c>
      <c r="D953" s="13" t="n">
        <v>19100</v>
      </c>
      <c r="E953" s="11" t="n">
        <v>3779085.19</v>
      </c>
    </row>
    <row r="954">
      <c r="A954" s="11" t="n">
        <v>953</v>
      </c>
      <c r="B954" s="12" t="n">
        <v>46091</v>
      </c>
      <c r="C954" s="11" t="inlineStr">
        <is>
          <t>De SANDRA PATRICIA MUNOZ</t>
        </is>
      </c>
      <c r="D954" s="13" t="n">
        <v>173600</v>
      </c>
      <c r="E954" s="11" t="n">
        <v>3759985.19</v>
      </c>
    </row>
    <row r="955">
      <c r="A955" s="11" t="n">
        <v>954</v>
      </c>
      <c r="B955" s="12" t="n">
        <v>46091</v>
      </c>
      <c r="C955" s="11" t="inlineStr">
        <is>
          <t>De PAOLA URREGO BELTRAN</t>
        </is>
      </c>
      <c r="D955" s="13" t="n">
        <v>14300</v>
      </c>
      <c r="E955" s="11" t="n">
        <v>3586385.19</v>
      </c>
    </row>
    <row r="956">
      <c r="A956" s="11" t="n">
        <v>955</v>
      </c>
      <c r="B956" s="12" t="n">
        <v>46091</v>
      </c>
      <c r="C956" s="11" t="inlineStr">
        <is>
          <t>De RODRIGO ZAPATA</t>
        </is>
      </c>
      <c r="D956" s="13" t="n">
        <v>33900</v>
      </c>
      <c r="E956" s="11" t="n">
        <v>3572085.19</v>
      </c>
    </row>
    <row r="957">
      <c r="A957" s="11" t="n">
        <v>956</v>
      </c>
      <c r="B957" s="12" t="n">
        <v>46091</v>
      </c>
      <c r="C957" s="11" t="inlineStr">
        <is>
          <t>De MARIBEL GUERRA GOMEZ</t>
        </is>
      </c>
      <c r="D957" s="13" t="n">
        <v>20100</v>
      </c>
      <c r="E957" s="11" t="n">
        <v>3538185.19</v>
      </c>
    </row>
    <row r="958">
      <c r="A958" s="11" t="n">
        <v>957</v>
      </c>
      <c r="B958" s="12" t="n">
        <v>46091</v>
      </c>
      <c r="C958" s="11" t="inlineStr">
        <is>
          <t>Recarga desde Bancolombia QR</t>
        </is>
      </c>
      <c r="D958" s="13" t="n">
        <v>15500</v>
      </c>
      <c r="E958" s="11" t="n">
        <v>3518085.19</v>
      </c>
    </row>
    <row r="959">
      <c r="A959" s="11" t="n">
        <v>958</v>
      </c>
      <c r="B959" s="12" t="n">
        <v>46091</v>
      </c>
      <c r="C959" s="11" t="inlineStr">
        <is>
          <t>De JOSE AUGUSTO MARTINEZ</t>
        </is>
      </c>
      <c r="D959" s="13" t="n">
        <v>74900</v>
      </c>
      <c r="E959" s="11" t="n">
        <v>3502585.19</v>
      </c>
    </row>
    <row r="960">
      <c r="A960" s="11" t="n">
        <v>959</v>
      </c>
      <c r="B960" s="12" t="n">
        <v>46091</v>
      </c>
      <c r="C960" s="11" t="inlineStr">
        <is>
          <t>De ELSA PINTO CORTES</t>
        </is>
      </c>
      <c r="D960" s="13" t="n">
        <v>10300</v>
      </c>
      <c r="E960" s="11" t="n">
        <v>3427685.19</v>
      </c>
    </row>
    <row r="961">
      <c r="A961" s="11" t="n">
        <v>960</v>
      </c>
      <c r="B961" s="12" t="n">
        <v>46091</v>
      </c>
      <c r="C961" s="11" t="inlineStr">
        <is>
          <t>De KENETH SEBASTIAN</t>
        </is>
      </c>
      <c r="D961" s="13" t="n">
        <v>7000</v>
      </c>
      <c r="E961" s="11" t="n">
        <v>3417385.19</v>
      </c>
    </row>
    <row r="962">
      <c r="A962" s="11" t="n">
        <v>961</v>
      </c>
      <c r="B962" s="12" t="n">
        <v>46091</v>
      </c>
      <c r="C962" s="11" t="inlineStr">
        <is>
          <t>De KEVIN YESID ALTAMIRANDA</t>
        </is>
      </c>
      <c r="D962" s="13" t="n">
        <v>10200</v>
      </c>
      <c r="E962" s="11" t="n">
        <v>3410385.19</v>
      </c>
    </row>
    <row r="963">
      <c r="A963" s="11" t="n">
        <v>962</v>
      </c>
      <c r="B963" s="12" t="n">
        <v>46091</v>
      </c>
      <c r="C963" s="11" t="inlineStr">
        <is>
          <t>De YEIMY LORENA GARCIA</t>
        </is>
      </c>
      <c r="D963" s="13" t="n">
        <v>34400</v>
      </c>
      <c r="E963" s="11" t="n">
        <v>3400185.19</v>
      </c>
    </row>
    <row r="964">
      <c r="A964" s="11" t="n">
        <v>963</v>
      </c>
      <c r="B964" s="12" t="n">
        <v>46091</v>
      </c>
      <c r="C964" s="11" t="inlineStr">
        <is>
          <t>De AMALIA EDILMA RUIZ GARCIA</t>
        </is>
      </c>
      <c r="D964" s="13" t="n">
        <v>8000</v>
      </c>
      <c r="E964" s="11" t="n">
        <v>3365785.19</v>
      </c>
    </row>
    <row r="965">
      <c r="A965" s="11" t="n">
        <v>964</v>
      </c>
      <c r="B965" s="12" t="n">
        <v>46091</v>
      </c>
      <c r="C965" s="11" t="inlineStr">
        <is>
          <t>De ALEXI YURANY ORTIZ</t>
        </is>
      </c>
      <c r="D965" s="13" t="n">
        <v>22000</v>
      </c>
      <c r="E965" s="11" t="n">
        <v>3357785.19</v>
      </c>
    </row>
    <row r="966">
      <c r="A966" s="11" t="n">
        <v>965</v>
      </c>
      <c r="B966" s="12" t="n">
        <v>46091</v>
      </c>
      <c r="C966" s="11" t="inlineStr">
        <is>
          <t>Recarga desde Bancolombia</t>
        </is>
      </c>
      <c r="D966" s="13" t="n">
        <v>7000</v>
      </c>
      <c r="E966" s="11" t="n">
        <v>3335785.19</v>
      </c>
    </row>
    <row r="967">
      <c r="A967" s="11" t="n">
        <v>966</v>
      </c>
      <c r="B967" s="12" t="n">
        <v>46091</v>
      </c>
      <c r="C967" s="11" t="inlineStr">
        <is>
          <t>De JOSE JAIVER PORTILLA</t>
        </is>
      </c>
      <c r="D967" s="13" t="n">
        <v>15700</v>
      </c>
      <c r="E967" s="11" t="n">
        <v>3328785.19</v>
      </c>
    </row>
    <row r="968">
      <c r="A968" s="11" t="n">
        <v>967</v>
      </c>
      <c r="B968" s="12" t="n">
        <v>46091</v>
      </c>
      <c r="C968" s="11" t="inlineStr">
        <is>
          <t>RECIBI POR BRE-B DE: DAYANA</t>
        </is>
      </c>
      <c r="D968" s="13" t="n">
        <v>37200</v>
      </c>
      <c r="E968" s="11" t="n">
        <v>3313085.19</v>
      </c>
    </row>
    <row r="969">
      <c r="A969" s="11" t="n">
        <v>968</v>
      </c>
      <c r="B969" s="12" t="n">
        <v>46091</v>
      </c>
      <c r="C969" s="11" t="inlineStr">
        <is>
          <t>De DEISY CUARAN MURILLO</t>
        </is>
      </c>
      <c r="D969" s="13" t="n">
        <v>23000</v>
      </c>
      <c r="E969" s="11" t="n">
        <v>3275885.19</v>
      </c>
    </row>
    <row r="970">
      <c r="A970" s="11" t="n">
        <v>969</v>
      </c>
      <c r="B970" s="12" t="n">
        <v>46091</v>
      </c>
      <c r="C970" s="11" t="inlineStr">
        <is>
          <t>De ORLANDO ELIAS CORDOBA</t>
        </is>
      </c>
      <c r="D970" s="13" t="n">
        <v>23500</v>
      </c>
      <c r="E970" s="11" t="n">
        <v>3252885.19</v>
      </c>
    </row>
    <row r="971">
      <c r="A971" s="11" t="n">
        <v>970</v>
      </c>
      <c r="B971" s="12" t="n">
        <v>46091</v>
      </c>
      <c r="C971" s="11" t="inlineStr">
        <is>
          <t>De NICOLAS DANIEL MURIEL</t>
        </is>
      </c>
      <c r="D971" s="13" t="n">
        <v>3900</v>
      </c>
      <c r="E971" s="11" t="n">
        <v>3229385.19</v>
      </c>
    </row>
    <row r="972">
      <c r="A972" s="11" t="n">
        <v>971</v>
      </c>
      <c r="B972" s="12" t="n">
        <v>46091</v>
      </c>
      <c r="C972" s="11" t="inlineStr">
        <is>
          <t>De ISMENIA CAHUASA ANGULO</t>
        </is>
      </c>
      <c r="D972" s="13" t="n">
        <v>3300</v>
      </c>
      <c r="E972" s="11" t="n">
        <v>3225485.19</v>
      </c>
    </row>
    <row r="973">
      <c r="A973" s="11" t="n">
        <v>972</v>
      </c>
      <c r="B973" s="12" t="n">
        <v>46091</v>
      </c>
      <c r="C973" s="11" t="inlineStr">
        <is>
          <t>De CARLOS ANDRES TRUJILLO</t>
        </is>
      </c>
      <c r="D973" s="13" t="n">
        <v>37500</v>
      </c>
      <c r="E973" s="11" t="n">
        <v>3222185.19</v>
      </c>
    </row>
    <row r="974">
      <c r="A974" s="11" t="n">
        <v>973</v>
      </c>
      <c r="B974" s="12" t="n">
        <v>46091</v>
      </c>
      <c r="C974" s="11" t="inlineStr">
        <is>
          <t>De YOLEYDA NATALY NARVAEZ</t>
        </is>
      </c>
      <c r="D974" s="13" t="n">
        <v>10800</v>
      </c>
      <c r="E974" s="11" t="n">
        <v>3184685.19</v>
      </c>
    </row>
    <row r="975">
      <c r="A975" s="11" t="n">
        <v>974</v>
      </c>
      <c r="B975" s="12" t="n">
        <v>46091</v>
      </c>
      <c r="C975" s="11" t="inlineStr">
        <is>
          <t>De ADRIANA LICETH JOSA</t>
        </is>
      </c>
      <c r="D975" s="13" t="n">
        <v>9400</v>
      </c>
      <c r="E975" s="11" t="n">
        <v>3173885.19</v>
      </c>
    </row>
    <row r="976">
      <c r="A976" s="11" t="n">
        <v>975</v>
      </c>
      <c r="B976" s="12" t="n">
        <v>46091</v>
      </c>
      <c r="C976" s="11" t="inlineStr">
        <is>
          <t>De JEFFERSON NUPAN</t>
        </is>
      </c>
      <c r="D976" s="13" t="n">
        <v>30000</v>
      </c>
      <c r="E976" s="11" t="n">
        <v>3164485.19</v>
      </c>
    </row>
    <row r="977">
      <c r="A977" s="11" t="n">
        <v>976</v>
      </c>
      <c r="B977" s="12" t="n">
        <v>46091</v>
      </c>
      <c r="C977" s="11" t="inlineStr">
        <is>
          <t>De YUDI MARCELA CARDOSO</t>
        </is>
      </c>
      <c r="D977" s="13" t="n">
        <v>9800</v>
      </c>
      <c r="E977" s="11" t="n">
        <v>3134485.19</v>
      </c>
    </row>
    <row r="978">
      <c r="A978" s="11" t="n">
        <v>977</v>
      </c>
      <c r="B978" s="12" t="n">
        <v>46091</v>
      </c>
      <c r="C978" s="11" t="inlineStr">
        <is>
          <t>De JEFFERSON NUPAN</t>
        </is>
      </c>
      <c r="D978" s="13" t="n">
        <v>15000</v>
      </c>
      <c r="E978" s="11" t="n">
        <v>3124685.19</v>
      </c>
    </row>
    <row r="979">
      <c r="A979" s="11" t="n">
        <v>978</v>
      </c>
      <c r="B979" s="12" t="n">
        <v>46091</v>
      </c>
      <c r="C979" s="11" t="inlineStr">
        <is>
          <t>De ALEXANDER PORTILLA</t>
        </is>
      </c>
      <c r="D979" s="13" t="n">
        <v>31100</v>
      </c>
      <c r="E979" s="11" t="n">
        <v>3109685.19</v>
      </c>
    </row>
    <row r="980">
      <c r="A980" s="11" t="n">
        <v>979</v>
      </c>
      <c r="B980" s="12" t="n">
        <v>46090</v>
      </c>
      <c r="C980" s="11" t="inlineStr">
        <is>
          <t>De YULI MARTINEZ CALLES</t>
        </is>
      </c>
      <c r="D980" s="13" t="n">
        <v>22600</v>
      </c>
      <c r="E980" s="11" t="n">
        <v>3078585.19</v>
      </c>
    </row>
    <row r="981">
      <c r="A981" s="11" t="n">
        <v>980</v>
      </c>
      <c r="B981" s="12" t="n">
        <v>46090</v>
      </c>
      <c r="C981" s="11" t="inlineStr">
        <is>
          <t>Recarga desde Bancolombia</t>
        </is>
      </c>
      <c r="D981" s="13" t="n">
        <v>19900</v>
      </c>
      <c r="E981" s="11" t="n">
        <v>3055985.19</v>
      </c>
    </row>
    <row r="982">
      <c r="A982" s="11" t="n">
        <v>981</v>
      </c>
      <c r="B982" s="12" t="n">
        <v>46090</v>
      </c>
      <c r="C982" s="11" t="inlineStr">
        <is>
          <t>Recarga desde Bancolombia QR</t>
        </is>
      </c>
      <c r="D982" s="13" t="n">
        <v>12300</v>
      </c>
      <c r="E982" s="11" t="n">
        <v>3036085.19</v>
      </c>
    </row>
    <row r="983">
      <c r="A983" s="11" t="n">
        <v>982</v>
      </c>
      <c r="B983" s="12" t="n">
        <v>46090</v>
      </c>
      <c r="C983" s="11" t="inlineStr">
        <is>
          <t>De EVIN DANIEL MARCILLO</t>
        </is>
      </c>
      <c r="D983" s="13" t="n">
        <v>16200</v>
      </c>
      <c r="E983" s="11" t="n">
        <v>3023785.19</v>
      </c>
    </row>
    <row r="984">
      <c r="A984" s="11" t="n">
        <v>983</v>
      </c>
      <c r="B984" s="12" t="n">
        <v>46090</v>
      </c>
      <c r="C984" s="11" t="inlineStr">
        <is>
          <t>De KEVIN YESID ALTAMIRANDA</t>
        </is>
      </c>
      <c r="D984" s="13" t="n">
        <v>43300</v>
      </c>
      <c r="E984" s="11" t="n">
        <v>3007585.19</v>
      </c>
    </row>
    <row r="985">
      <c r="A985" s="11" t="n">
        <v>984</v>
      </c>
      <c r="B985" s="12" t="n">
        <v>46090</v>
      </c>
      <c r="C985" s="11" t="inlineStr">
        <is>
          <t>De INGRID DAYERLI QUINTERO</t>
        </is>
      </c>
      <c r="D985" s="13" t="n">
        <v>1000</v>
      </c>
      <c r="E985" s="11" t="n">
        <v>2964285.19</v>
      </c>
    </row>
    <row r="986">
      <c r="A986" s="11" t="n">
        <v>985</v>
      </c>
      <c r="B986" s="12" t="n">
        <v>46090</v>
      </c>
      <c r="C986" s="11" t="inlineStr">
        <is>
          <t>De XIMENA GOMEZ GOMEZ</t>
        </is>
      </c>
      <c r="D986" s="13" t="n">
        <v>8000</v>
      </c>
      <c r="E986" s="11" t="n">
        <v>2963285.19</v>
      </c>
    </row>
    <row r="987">
      <c r="A987" s="11" t="n">
        <v>986</v>
      </c>
      <c r="B987" s="12" t="n">
        <v>46090</v>
      </c>
      <c r="C987" s="11" t="inlineStr">
        <is>
          <t>De EDISSON JUNIOR CHANA</t>
        </is>
      </c>
      <c r="D987" s="13" t="n">
        <v>16400</v>
      </c>
      <c r="E987" s="11" t="n">
        <v>2955285.19</v>
      </c>
    </row>
    <row r="988">
      <c r="A988" s="11" t="n">
        <v>987</v>
      </c>
      <c r="B988" s="12" t="n">
        <v>46090</v>
      </c>
      <c r="C988" s="11" t="inlineStr">
        <is>
          <t>De EDISSON JUNIOR CHANA</t>
        </is>
      </c>
      <c r="D988" s="13" t="n">
        <v>46000</v>
      </c>
      <c r="E988" s="11" t="n">
        <v>2938885.19</v>
      </c>
    </row>
    <row r="989">
      <c r="A989" s="11" t="n">
        <v>988</v>
      </c>
      <c r="B989" s="12" t="n">
        <v>46090</v>
      </c>
      <c r="C989" s="11" t="inlineStr">
        <is>
          <t>De JESSICA FERNANDA JOAQUI</t>
        </is>
      </c>
      <c r="D989" s="13" t="n">
        <v>25300</v>
      </c>
      <c r="E989" s="11" t="n">
        <v>2892885.19</v>
      </c>
    </row>
    <row r="990">
      <c r="A990" s="11" t="n">
        <v>989</v>
      </c>
      <c r="B990" s="12" t="n">
        <v>46090</v>
      </c>
      <c r="C990" s="11" t="inlineStr">
        <is>
          <t>De NATALY ALEXANDRA MILLAN</t>
        </is>
      </c>
      <c r="D990" s="13" t="n">
        <v>19600</v>
      </c>
      <c r="E990" s="11" t="n">
        <v>2867585.19</v>
      </c>
    </row>
    <row r="991">
      <c r="A991" s="11" t="n">
        <v>990</v>
      </c>
      <c r="B991" s="12" t="n">
        <v>46090</v>
      </c>
      <c r="C991" s="11" t="inlineStr">
        <is>
          <t>Recarga desde Bancolombia QR</t>
        </is>
      </c>
      <c r="D991" s="13" t="n">
        <v>124800</v>
      </c>
      <c r="E991" s="11" t="n">
        <v>2847985.19</v>
      </c>
    </row>
    <row r="992">
      <c r="A992" s="11" t="n">
        <v>991</v>
      </c>
      <c r="B992" s="12" t="n">
        <v>46090</v>
      </c>
      <c r="C992" s="11" t="inlineStr">
        <is>
          <t>De NARKY ALEXANDRA</t>
        </is>
      </c>
      <c r="D992" s="13" t="n">
        <v>18500</v>
      </c>
      <c r="E992" s="11" t="n">
        <v>2723185.19</v>
      </c>
    </row>
    <row r="993">
      <c r="A993" s="11" t="n">
        <v>992</v>
      </c>
      <c r="B993" s="12" t="n">
        <v>46090</v>
      </c>
      <c r="C993" s="11" t="inlineStr">
        <is>
          <t>De MARIA FERNANDA MAYORGA</t>
        </is>
      </c>
      <c r="D993" s="13" t="n">
        <v>15600</v>
      </c>
      <c r="E993" s="11" t="n">
        <v>2704685.19</v>
      </c>
    </row>
    <row r="994">
      <c r="A994" s="11" t="n">
        <v>993</v>
      </c>
      <c r="B994" s="12" t="n">
        <v>46090</v>
      </c>
      <c r="C994" s="11" t="inlineStr">
        <is>
          <t>De DORA ANGELA BURBANO</t>
        </is>
      </c>
      <c r="D994" s="13" t="n">
        <v>6000</v>
      </c>
      <c r="E994" s="11" t="n">
        <v>2689085.19</v>
      </c>
    </row>
    <row r="995">
      <c r="A995" s="11" t="n">
        <v>994</v>
      </c>
      <c r="B995" s="12" t="n">
        <v>46090</v>
      </c>
      <c r="C995" s="11" t="inlineStr">
        <is>
          <t>HER*** ANT*** PAT***</t>
        </is>
      </c>
      <c r="D995" s="13" t="n">
        <v>-2168575</v>
      </c>
      <c r="E995" s="11" t="n">
        <v>2683085.19</v>
      </c>
    </row>
    <row r="996">
      <c r="A996" s="11" t="n">
        <v>995</v>
      </c>
      <c r="B996" s="12" t="n">
        <v>46090</v>
      </c>
      <c r="C996" s="11" t="inlineStr">
        <is>
          <t>Gravamen al Movimiento</t>
        </is>
      </c>
      <c r="D996" s="13" t="n">
        <v>-8674.299999999999</v>
      </c>
      <c r="E996" s="11" t="n">
        <v>4851660.19</v>
      </c>
    </row>
    <row r="997">
      <c r="A997" s="11" t="n">
        <v>996</v>
      </c>
      <c r="B997" s="12" t="n">
        <v>46090</v>
      </c>
      <c r="C997" s="11" t="inlineStr">
        <is>
          <t>De JOSE JAIVER PORTILLA</t>
        </is>
      </c>
      <c r="D997" s="13" t="n">
        <v>16000</v>
      </c>
      <c r="E997" s="11" t="n">
        <v>4860334.49</v>
      </c>
    </row>
    <row r="998">
      <c r="A998" s="11" t="n">
        <v>997</v>
      </c>
      <c r="B998" s="12" t="n">
        <v>46090</v>
      </c>
      <c r="C998" s="11" t="inlineStr">
        <is>
          <t>De LUZ AMPARO PINO MEDINA</t>
        </is>
      </c>
      <c r="D998" s="13" t="n">
        <v>7700</v>
      </c>
      <c r="E998" s="11" t="n">
        <v>4844334.49</v>
      </c>
    </row>
    <row r="999">
      <c r="A999" s="11" t="n">
        <v>998</v>
      </c>
      <c r="B999" s="12" t="n">
        <v>46090</v>
      </c>
      <c r="C999" s="11" t="inlineStr">
        <is>
          <t>De MELBA ELISA ORTIZ</t>
        </is>
      </c>
      <c r="D999" s="13" t="n">
        <v>5200</v>
      </c>
      <c r="E999" s="11" t="n">
        <v>4836634.49</v>
      </c>
    </row>
    <row r="1000">
      <c r="A1000" s="11" t="n">
        <v>999</v>
      </c>
      <c r="B1000" s="12" t="n">
        <v>46090</v>
      </c>
      <c r="C1000" s="11" t="inlineStr">
        <is>
          <t>De ARNOLD DAVID DUQUE</t>
        </is>
      </c>
      <c r="D1000" s="13" t="n">
        <v>60000</v>
      </c>
      <c r="E1000" s="11" t="n">
        <v>4831434.49</v>
      </c>
    </row>
    <row r="1001">
      <c r="A1001" s="11" t="n">
        <v>1000</v>
      </c>
      <c r="B1001" s="12" t="n">
        <v>46090</v>
      </c>
      <c r="C1001" s="11" t="inlineStr">
        <is>
          <t>De HEIDY TATIANA ROJAS</t>
        </is>
      </c>
      <c r="D1001" s="13" t="n">
        <v>48300</v>
      </c>
      <c r="E1001" s="11" t="n">
        <v>4771434.49</v>
      </c>
    </row>
    <row r="1002">
      <c r="A1002" s="11" t="n">
        <v>1001</v>
      </c>
      <c r="B1002" s="12" t="n">
        <v>46090</v>
      </c>
      <c r="C1002" s="11" t="inlineStr">
        <is>
          <t>De PAOLA URREGO BELTRAN</t>
        </is>
      </c>
      <c r="D1002" s="13" t="n">
        <v>17600</v>
      </c>
      <c r="E1002" s="11" t="n">
        <v>4723134.49</v>
      </c>
    </row>
    <row r="1003">
      <c r="A1003" s="11" t="n">
        <v>1002</v>
      </c>
      <c r="B1003" s="12" t="n">
        <v>46090</v>
      </c>
      <c r="C1003" s="11" t="inlineStr">
        <is>
          <t>De OMAR ALEJANDRO</t>
        </is>
      </c>
      <c r="D1003" s="13" t="n">
        <v>6500</v>
      </c>
      <c r="E1003" s="11" t="n">
        <v>4705534.49</v>
      </c>
    </row>
    <row r="1004">
      <c r="A1004" s="11" t="n">
        <v>1003</v>
      </c>
      <c r="B1004" s="12" t="n">
        <v>46090</v>
      </c>
      <c r="C1004" s="11" t="inlineStr">
        <is>
          <t>De JOHAN ALDANA RENTERIA</t>
        </is>
      </c>
      <c r="D1004" s="13" t="n">
        <v>5600</v>
      </c>
      <c r="E1004" s="11" t="n">
        <v>4699034.49</v>
      </c>
    </row>
    <row r="1005">
      <c r="A1005" s="11" t="n">
        <v>1004</v>
      </c>
      <c r="B1005" s="12" t="n">
        <v>46090</v>
      </c>
      <c r="C1005" s="11" t="inlineStr">
        <is>
          <t>De KAREN TATIANA RODRIGUEZ</t>
        </is>
      </c>
      <c r="D1005" s="13" t="n">
        <v>18300</v>
      </c>
      <c r="E1005" s="11" t="n">
        <v>4693434.49</v>
      </c>
    </row>
    <row r="1006">
      <c r="A1006" s="11" t="n">
        <v>1005</v>
      </c>
      <c r="B1006" s="12" t="n">
        <v>46090</v>
      </c>
      <c r="C1006" s="11" t="inlineStr">
        <is>
          <t>De LUISA FERNANDA ARENAS</t>
        </is>
      </c>
      <c r="D1006" s="13" t="n">
        <v>103100</v>
      </c>
      <c r="E1006" s="11" t="n">
        <v>4675134.49</v>
      </c>
    </row>
    <row r="1007">
      <c r="A1007" s="11" t="n">
        <v>1006</v>
      </c>
      <c r="B1007" s="12" t="n">
        <v>46090</v>
      </c>
      <c r="C1007" s="11" t="inlineStr">
        <is>
          <t>RECIBI POR BRE-B DE:</t>
        </is>
      </c>
      <c r="D1007" s="13" t="n">
        <v>13500</v>
      </c>
      <c r="E1007" s="11" t="n">
        <v>4572034.49</v>
      </c>
    </row>
    <row r="1008">
      <c r="A1008" s="11" t="n">
        <v>1007</v>
      </c>
      <c r="B1008" s="12" t="n">
        <v>46090</v>
      </c>
      <c r="C1008" s="11" t="inlineStr">
        <is>
          <t>Recarga desde Bancolombia</t>
        </is>
      </c>
      <c r="D1008" s="13" t="n">
        <v>15000</v>
      </c>
      <c r="E1008" s="11" t="n">
        <v>4558534.49</v>
      </c>
    </row>
    <row r="1009">
      <c r="A1009" s="11" t="n">
        <v>1008</v>
      </c>
      <c r="B1009" s="12" t="n">
        <v>46090</v>
      </c>
      <c r="C1009" s="11" t="inlineStr">
        <is>
          <t>De JENNIFER MOSQUERA</t>
        </is>
      </c>
      <c r="D1009" s="13" t="n">
        <v>19500</v>
      </c>
      <c r="E1009" s="11" t="n">
        <v>4543534.49</v>
      </c>
    </row>
    <row r="1010">
      <c r="A1010" s="11" t="n">
        <v>1009</v>
      </c>
      <c r="B1010" s="12" t="n">
        <v>46090</v>
      </c>
      <c r="C1010" s="11" t="inlineStr">
        <is>
          <t>RECIBI POR BRE-B DE: NARLY</t>
        </is>
      </c>
      <c r="D1010" s="13" t="n">
        <v>23800</v>
      </c>
      <c r="E1010" s="11" t="n">
        <v>4524034.49</v>
      </c>
    </row>
    <row r="1011">
      <c r="A1011" s="11" t="n">
        <v>1010</v>
      </c>
      <c r="B1011" s="12" t="n">
        <v>46090</v>
      </c>
      <c r="C1011" s="11" t="inlineStr">
        <is>
          <t>De WILSON YESID CARVAJAL</t>
        </is>
      </c>
      <c r="D1011" s="13" t="n">
        <v>278800</v>
      </c>
      <c r="E1011" s="11" t="n">
        <v>4500234.49</v>
      </c>
    </row>
    <row r="1012">
      <c r="A1012" s="11" t="n">
        <v>1011</v>
      </c>
      <c r="B1012" s="12" t="n">
        <v>46090</v>
      </c>
      <c r="C1012" s="11" t="inlineStr">
        <is>
          <t>Recarga desde Bancolombia</t>
        </is>
      </c>
      <c r="D1012" s="13" t="n">
        <v>4000</v>
      </c>
      <c r="E1012" s="11" t="n">
        <v>4221434.49</v>
      </c>
    </row>
    <row r="1013">
      <c r="A1013" s="11" t="n">
        <v>1012</v>
      </c>
      <c r="B1013" s="12" t="n">
        <v>46090</v>
      </c>
      <c r="C1013" s="11" t="inlineStr">
        <is>
          <t>De JESSICA ANDREA RENDON</t>
        </is>
      </c>
      <c r="D1013" s="13" t="n">
        <v>14200</v>
      </c>
      <c r="E1013" s="11" t="n">
        <v>4217434.49</v>
      </c>
    </row>
    <row r="1014">
      <c r="A1014" s="11" t="n">
        <v>1013</v>
      </c>
      <c r="B1014" s="12" t="n">
        <v>46090</v>
      </c>
      <c r="C1014" s="11" t="inlineStr">
        <is>
          <t>De FEBE MAYGLE GARCIA</t>
        </is>
      </c>
      <c r="D1014" s="13" t="n">
        <v>5200</v>
      </c>
      <c r="E1014" s="11" t="n">
        <v>4203234.49</v>
      </c>
    </row>
    <row r="1015">
      <c r="A1015" s="11" t="n">
        <v>1014</v>
      </c>
      <c r="B1015" s="12" t="n">
        <v>46090</v>
      </c>
      <c r="C1015" s="11" t="inlineStr">
        <is>
          <t>RECIBI POR BRE-B DE: Daniela</t>
        </is>
      </c>
      <c r="D1015" s="13" t="n">
        <v>20000</v>
      </c>
      <c r="E1015" s="11" t="n">
        <v>4198034.49</v>
      </c>
    </row>
    <row r="1016">
      <c r="A1016" s="11" t="n">
        <v>1015</v>
      </c>
      <c r="B1016" s="12" t="n">
        <v>46090</v>
      </c>
      <c r="C1016" s="11" t="inlineStr">
        <is>
          <t>De MARIA LUCILA</t>
        </is>
      </c>
      <c r="D1016" s="13" t="n">
        <v>48100</v>
      </c>
      <c r="E1016" s="11" t="n">
        <v>4178034.49</v>
      </c>
    </row>
    <row r="1017">
      <c r="A1017" s="11" t="n">
        <v>1016</v>
      </c>
      <c r="B1017" s="12" t="n">
        <v>46090</v>
      </c>
      <c r="C1017" s="11" t="inlineStr">
        <is>
          <t>De NINY JHOANA SANTANDER</t>
        </is>
      </c>
      <c r="D1017" s="13" t="n">
        <v>2500</v>
      </c>
      <c r="E1017" s="11" t="n">
        <v>4129934.49</v>
      </c>
    </row>
    <row r="1018">
      <c r="A1018" s="11" t="n">
        <v>1017</v>
      </c>
      <c r="B1018" s="12" t="n">
        <v>46090</v>
      </c>
      <c r="C1018" s="11" t="inlineStr">
        <is>
          <t>Recarga desde Bancolombia QR</t>
        </is>
      </c>
      <c r="D1018" s="13" t="n">
        <v>44000</v>
      </c>
      <c r="E1018" s="11" t="n">
        <v>4127434.49</v>
      </c>
    </row>
    <row r="1019">
      <c r="A1019" s="11" t="n">
        <v>1018</v>
      </c>
      <c r="B1019" s="12" t="n">
        <v>46090</v>
      </c>
      <c r="C1019" s="11" t="inlineStr">
        <is>
          <t>Recarga desde Bancolombia</t>
        </is>
      </c>
      <c r="D1019" s="13" t="n">
        <v>15000</v>
      </c>
      <c r="E1019" s="11" t="n">
        <v>4083434.49</v>
      </c>
    </row>
    <row r="1020">
      <c r="A1020" s="11" t="n">
        <v>1019</v>
      </c>
      <c r="B1020" s="12" t="n">
        <v>46090</v>
      </c>
      <c r="C1020" s="11" t="inlineStr">
        <is>
          <t>De EVA LINET DIAZ</t>
        </is>
      </c>
      <c r="D1020" s="13" t="n">
        <v>16000</v>
      </c>
      <c r="E1020" s="11" t="n">
        <v>4068434.49</v>
      </c>
    </row>
    <row r="1021">
      <c r="A1021" s="11" t="n">
        <v>1020</v>
      </c>
      <c r="B1021" s="12" t="n">
        <v>46089</v>
      </c>
      <c r="C1021" s="11" t="inlineStr">
        <is>
          <t>Recarga desde Bancolombia QR</t>
        </is>
      </c>
      <c r="D1021" s="13" t="n">
        <v>80000</v>
      </c>
      <c r="E1021" s="11" t="n">
        <v>4052434.49</v>
      </c>
    </row>
    <row r="1022">
      <c r="A1022" s="11" t="n">
        <v>1021</v>
      </c>
      <c r="B1022" s="12" t="n">
        <v>46089</v>
      </c>
      <c r="C1022" s="11" t="inlineStr">
        <is>
          <t>De EVELIN YAJHAIRA PALMA</t>
        </is>
      </c>
      <c r="D1022" s="13" t="n">
        <v>10300</v>
      </c>
      <c r="E1022" s="11" t="n">
        <v>3972434.49</v>
      </c>
    </row>
    <row r="1023">
      <c r="A1023" s="11" t="n">
        <v>1022</v>
      </c>
      <c r="B1023" s="12" t="n">
        <v>46089</v>
      </c>
      <c r="C1023" s="11" t="inlineStr">
        <is>
          <t>De JESUS ARLEY PATASCOY</t>
        </is>
      </c>
      <c r="D1023" s="13" t="n">
        <v>25000</v>
      </c>
      <c r="E1023" s="11" t="n">
        <v>3962134.49</v>
      </c>
    </row>
    <row r="1024">
      <c r="A1024" s="11" t="n">
        <v>1023</v>
      </c>
      <c r="B1024" s="12" t="n">
        <v>46089</v>
      </c>
      <c r="C1024" s="11" t="inlineStr">
        <is>
          <t>De LIZETH ESCOBAR</t>
        </is>
      </c>
      <c r="D1024" s="13" t="n">
        <v>10000</v>
      </c>
      <c r="E1024" s="11" t="n">
        <v>3937134.49</v>
      </c>
    </row>
    <row r="1025">
      <c r="A1025" s="11" t="n">
        <v>1024</v>
      </c>
      <c r="B1025" s="12" t="n">
        <v>46089</v>
      </c>
      <c r="C1025" s="11" t="inlineStr">
        <is>
          <t>De KELLY JOHANNA CASAS</t>
        </is>
      </c>
      <c r="D1025" s="13" t="n">
        <v>4200</v>
      </c>
      <c r="E1025" s="11" t="n">
        <v>3927134.49</v>
      </c>
    </row>
    <row r="1026">
      <c r="A1026" s="11" t="n">
        <v>1025</v>
      </c>
      <c r="B1026" s="12" t="n">
        <v>46089</v>
      </c>
      <c r="C1026" s="11" t="inlineStr">
        <is>
          <t>De CRISTIAN DAVID MORALES</t>
        </is>
      </c>
      <c r="D1026" s="13" t="n">
        <v>93200</v>
      </c>
      <c r="E1026" s="11" t="n">
        <v>3922934.49</v>
      </c>
    </row>
    <row r="1027">
      <c r="A1027" s="11" t="n">
        <v>1026</v>
      </c>
      <c r="B1027" s="12" t="n">
        <v>46089</v>
      </c>
      <c r="C1027" s="11" t="inlineStr">
        <is>
          <t>De JUAN MANUEL PERAFAN</t>
        </is>
      </c>
      <c r="D1027" s="13" t="n">
        <v>25700</v>
      </c>
      <c r="E1027" s="11" t="n">
        <v>3829734.49</v>
      </c>
    </row>
    <row r="1028">
      <c r="A1028" s="11" t="n">
        <v>1027</v>
      </c>
      <c r="B1028" s="12" t="n">
        <v>46089</v>
      </c>
      <c r="C1028" s="11" t="inlineStr">
        <is>
          <t>Recarga desde Bancolombia</t>
        </is>
      </c>
      <c r="D1028" s="13" t="n">
        <v>43600</v>
      </c>
      <c r="E1028" s="11" t="n">
        <v>3804034.49</v>
      </c>
    </row>
    <row r="1029">
      <c r="A1029" s="11" t="n">
        <v>1028</v>
      </c>
      <c r="B1029" s="12" t="n">
        <v>46089</v>
      </c>
      <c r="C1029" s="11" t="inlineStr">
        <is>
          <t>De YUDI MARCELA CARDOSO</t>
        </is>
      </c>
      <c r="D1029" s="13" t="n">
        <v>6500</v>
      </c>
      <c r="E1029" s="11" t="n">
        <v>3760434.49</v>
      </c>
    </row>
    <row r="1030">
      <c r="A1030" s="11" t="n">
        <v>1029</v>
      </c>
      <c r="B1030" s="12" t="n">
        <v>46089</v>
      </c>
      <c r="C1030" s="11" t="inlineStr">
        <is>
          <t>De MONICA ALEXANDRA</t>
        </is>
      </c>
      <c r="D1030" s="13" t="n">
        <v>14000</v>
      </c>
      <c r="E1030" s="11" t="n">
        <v>3753934.49</v>
      </c>
    </row>
    <row r="1031">
      <c r="A1031" s="11" t="n">
        <v>1030</v>
      </c>
      <c r="B1031" s="12" t="n">
        <v>46089</v>
      </c>
      <c r="C1031" s="11" t="inlineStr">
        <is>
          <t>De MONICA ALEXANDRA</t>
        </is>
      </c>
      <c r="D1031" s="13" t="n">
        <v>21700</v>
      </c>
      <c r="E1031" s="11" t="n">
        <v>3739934.49</v>
      </c>
    </row>
    <row r="1032">
      <c r="A1032" s="11" t="n">
        <v>1031</v>
      </c>
      <c r="B1032" s="12" t="n">
        <v>46089</v>
      </c>
      <c r="C1032" s="11" t="inlineStr">
        <is>
          <t>De MARTHA BECERRA ZAMORA</t>
        </is>
      </c>
      <c r="D1032" s="13" t="n">
        <v>79800</v>
      </c>
      <c r="E1032" s="11" t="n">
        <v>3718234.49</v>
      </c>
    </row>
    <row r="1033">
      <c r="A1033" s="11" t="n">
        <v>1032</v>
      </c>
      <c r="B1033" s="12" t="n">
        <v>46089</v>
      </c>
      <c r="C1033" s="11" t="inlineStr">
        <is>
          <t>De OMAR ALEJANDRO</t>
        </is>
      </c>
      <c r="D1033" s="13" t="n">
        <v>6500</v>
      </c>
      <c r="E1033" s="11" t="n">
        <v>3638434.49</v>
      </c>
    </row>
    <row r="1034">
      <c r="A1034" s="11" t="n">
        <v>1033</v>
      </c>
      <c r="B1034" s="12" t="n">
        <v>46089</v>
      </c>
      <c r="C1034" s="11" t="inlineStr">
        <is>
          <t>De LUIS FERNANDO CHAVEZ</t>
        </is>
      </c>
      <c r="D1034" s="13" t="n">
        <v>45000</v>
      </c>
      <c r="E1034" s="11" t="n">
        <v>3631934.49</v>
      </c>
    </row>
    <row r="1035">
      <c r="A1035" s="11" t="n">
        <v>1034</v>
      </c>
      <c r="B1035" s="12" t="n">
        <v>46089</v>
      </c>
      <c r="C1035" s="11" t="inlineStr">
        <is>
          <t>De DENIER FERNANDO</t>
        </is>
      </c>
      <c r="D1035" s="13" t="n">
        <v>38700</v>
      </c>
      <c r="E1035" s="11" t="n">
        <v>3586934.49</v>
      </c>
    </row>
    <row r="1036">
      <c r="A1036" s="11" t="n">
        <v>1035</v>
      </c>
      <c r="B1036" s="12" t="n">
        <v>46089</v>
      </c>
      <c r="C1036" s="11" t="inlineStr">
        <is>
          <t>De ALEXI YURANY ORTIZ</t>
        </is>
      </c>
      <c r="D1036" s="13" t="n">
        <v>24800</v>
      </c>
      <c r="E1036" s="11" t="n">
        <v>3548234.49</v>
      </c>
    </row>
    <row r="1037">
      <c r="A1037" s="11" t="n">
        <v>1036</v>
      </c>
      <c r="B1037" s="12" t="n">
        <v>46089</v>
      </c>
      <c r="C1037" s="11" t="inlineStr">
        <is>
          <t>De GENITH MARILY CRIOLLO</t>
        </is>
      </c>
      <c r="D1037" s="13" t="n">
        <v>109000</v>
      </c>
      <c r="E1037" s="11" t="n">
        <v>3523434.49</v>
      </c>
    </row>
    <row r="1038">
      <c r="A1038" s="11" t="n">
        <v>1037</v>
      </c>
      <c r="B1038" s="12" t="n">
        <v>46089</v>
      </c>
      <c r="C1038" s="11" t="inlineStr">
        <is>
          <t>De DOLY VARGAS GAMBOA</t>
        </is>
      </c>
      <c r="D1038" s="13" t="n">
        <v>100000</v>
      </c>
      <c r="E1038" s="11" t="n">
        <v>3414434.49</v>
      </c>
    </row>
    <row r="1039">
      <c r="A1039" s="11" t="n">
        <v>1038</v>
      </c>
      <c r="B1039" s="12" t="n">
        <v>46089</v>
      </c>
      <c r="C1039" s="11" t="inlineStr">
        <is>
          <t>De ALBA JOANA ARAUJO</t>
        </is>
      </c>
      <c r="D1039" s="13" t="n">
        <v>31000</v>
      </c>
      <c r="E1039" s="11" t="n">
        <v>3314434.49</v>
      </c>
    </row>
    <row r="1040">
      <c r="A1040" s="11" t="n">
        <v>1039</v>
      </c>
      <c r="B1040" s="12" t="n">
        <v>46089</v>
      </c>
      <c r="C1040" s="11" t="inlineStr">
        <is>
          <t>Recarga desde Bancolombia</t>
        </is>
      </c>
      <c r="D1040" s="13" t="n">
        <v>6100</v>
      </c>
      <c r="E1040" s="11" t="n">
        <v>3283434.49</v>
      </c>
    </row>
    <row r="1041">
      <c r="A1041" s="11" t="n">
        <v>1040</v>
      </c>
      <c r="B1041" s="12" t="n">
        <v>46089</v>
      </c>
      <c r="C1041" s="11" t="inlineStr">
        <is>
          <t>Recarga desde Bancolombia</t>
        </is>
      </c>
      <c r="D1041" s="13" t="n">
        <v>25900</v>
      </c>
      <c r="E1041" s="11" t="n">
        <v>3277334.49</v>
      </c>
    </row>
    <row r="1042">
      <c r="A1042" s="11" t="n">
        <v>1041</v>
      </c>
      <c r="B1042" s="12" t="n">
        <v>46089</v>
      </c>
      <c r="C1042" s="11" t="inlineStr">
        <is>
          <t>De JOSE DIONEY TORRES</t>
        </is>
      </c>
      <c r="D1042" s="13" t="n">
        <v>118800</v>
      </c>
      <c r="E1042" s="11" t="n">
        <v>3251434.49</v>
      </c>
    </row>
    <row r="1043">
      <c r="A1043" s="11" t="n">
        <v>1042</v>
      </c>
      <c r="B1043" s="12" t="n">
        <v>46089</v>
      </c>
      <c r="C1043" s="11" t="inlineStr">
        <is>
          <t>RECIBI POR BRE-B DE: WILSON</t>
        </is>
      </c>
      <c r="D1043" s="13" t="n">
        <v>20200</v>
      </c>
      <c r="E1043" s="11" t="n">
        <v>3132634.49</v>
      </c>
    </row>
    <row r="1044">
      <c r="A1044" s="11" t="n">
        <v>1043</v>
      </c>
      <c r="B1044" s="12" t="n">
        <v>46089</v>
      </c>
      <c r="C1044" s="11" t="inlineStr">
        <is>
          <t>De NORIDA PATRICIA RAMIREZ</t>
        </is>
      </c>
      <c r="D1044" s="13" t="n">
        <v>51800</v>
      </c>
      <c r="E1044" s="11" t="n">
        <v>3112434.49</v>
      </c>
    </row>
    <row r="1045">
      <c r="A1045" s="11" t="n">
        <v>1044</v>
      </c>
      <c r="B1045" s="12" t="n">
        <v>46089</v>
      </c>
      <c r="C1045" s="11" t="inlineStr">
        <is>
          <t>RECIBI POR BRE-B DE: FRESLEY</t>
        </is>
      </c>
      <c r="D1045" s="13" t="n">
        <v>148300</v>
      </c>
      <c r="E1045" s="11" t="n">
        <v>3060634.49</v>
      </c>
    </row>
    <row r="1046">
      <c r="A1046" s="11" t="n">
        <v>1045</v>
      </c>
      <c r="B1046" s="12" t="n">
        <v>46089</v>
      </c>
      <c r="C1046" s="11" t="inlineStr">
        <is>
          <t>De KELLY JOHANA ORTIZ PEREZ</t>
        </is>
      </c>
      <c r="D1046" s="13" t="n">
        <v>25700</v>
      </c>
      <c r="E1046" s="11" t="n">
        <v>2912334.49</v>
      </c>
    </row>
    <row r="1047">
      <c r="A1047" s="11" t="n">
        <v>1046</v>
      </c>
      <c r="B1047" s="12" t="n">
        <v>46089</v>
      </c>
      <c r="C1047" s="11" t="inlineStr">
        <is>
          <t>De MARLENIR ACOSTA</t>
        </is>
      </c>
      <c r="D1047" s="13" t="n">
        <v>11600</v>
      </c>
      <c r="E1047" s="11" t="n">
        <v>2886634.49</v>
      </c>
    </row>
    <row r="1048">
      <c r="A1048" s="11" t="n">
        <v>1047</v>
      </c>
      <c r="B1048" s="12" t="n">
        <v>46089</v>
      </c>
      <c r="C1048" s="11" t="inlineStr">
        <is>
          <t>De ASLEIDY ALEJANDRA</t>
        </is>
      </c>
      <c r="D1048" s="13" t="n">
        <v>27900</v>
      </c>
      <c r="E1048" s="11" t="n">
        <v>2875034.49</v>
      </c>
    </row>
    <row r="1049">
      <c r="A1049" s="11" t="n">
        <v>1048</v>
      </c>
      <c r="B1049" s="12" t="n">
        <v>46089</v>
      </c>
      <c r="C1049" s="11" t="inlineStr">
        <is>
          <t>De YEISON ANDRES TORRES</t>
        </is>
      </c>
      <c r="D1049" s="13" t="n">
        <v>12900</v>
      </c>
      <c r="E1049" s="11" t="n">
        <v>2847134.49</v>
      </c>
    </row>
    <row r="1050">
      <c r="A1050" s="11" t="n">
        <v>1049</v>
      </c>
      <c r="B1050" s="12" t="n">
        <v>46089</v>
      </c>
      <c r="C1050" s="11" t="inlineStr">
        <is>
          <t>De KEVIN GUANGA</t>
        </is>
      </c>
      <c r="D1050" s="13" t="n">
        <v>69100</v>
      </c>
      <c r="E1050" s="11" t="n">
        <v>2834234.49</v>
      </c>
    </row>
    <row r="1051">
      <c r="A1051" s="11" t="n">
        <v>1050</v>
      </c>
      <c r="B1051" s="12" t="n">
        <v>46089</v>
      </c>
      <c r="C1051" s="11" t="inlineStr">
        <is>
          <t>De ELISA MARISOL JARAMILLO</t>
        </is>
      </c>
      <c r="D1051" s="13" t="n">
        <v>9200</v>
      </c>
      <c r="E1051" s="11" t="n">
        <v>2765134.49</v>
      </c>
    </row>
    <row r="1052">
      <c r="A1052" s="11" t="n">
        <v>1051</v>
      </c>
      <c r="B1052" s="12" t="n">
        <v>46089</v>
      </c>
      <c r="C1052" s="11" t="inlineStr">
        <is>
          <t>RECIBI POR BRE-B DE:</t>
        </is>
      </c>
      <c r="D1052" s="13" t="n">
        <v>24500</v>
      </c>
      <c r="E1052" s="11" t="n">
        <v>2755934.49</v>
      </c>
    </row>
    <row r="1053">
      <c r="A1053" s="11" t="n">
        <v>1052</v>
      </c>
      <c r="B1053" s="12" t="n">
        <v>46089</v>
      </c>
      <c r="C1053" s="11" t="inlineStr">
        <is>
          <t>De DORA ANGELA BURBANO</t>
        </is>
      </c>
      <c r="D1053" s="13" t="n">
        <v>19300</v>
      </c>
      <c r="E1053" s="11" t="n">
        <v>2731434.49</v>
      </c>
    </row>
    <row r="1054">
      <c r="A1054" s="11" t="n">
        <v>1053</v>
      </c>
      <c r="B1054" s="12" t="n">
        <v>46089</v>
      </c>
      <c r="C1054" s="11" t="inlineStr">
        <is>
          <t>De LUIS ENRIQUE AVILA RIVERA</t>
        </is>
      </c>
      <c r="D1054" s="13" t="n">
        <v>11600</v>
      </c>
      <c r="E1054" s="11" t="n">
        <v>2712134.49</v>
      </c>
    </row>
    <row r="1055">
      <c r="A1055" s="11" t="n">
        <v>1054</v>
      </c>
      <c r="B1055" s="12" t="n">
        <v>46089</v>
      </c>
      <c r="C1055" s="11" t="inlineStr">
        <is>
          <t>De ANGIE MARISOL CORTES</t>
        </is>
      </c>
      <c r="D1055" s="13" t="n">
        <v>13700</v>
      </c>
      <c r="E1055" s="11" t="n">
        <v>2700534.49</v>
      </c>
    </row>
    <row r="1056">
      <c r="A1056" s="11" t="n">
        <v>1055</v>
      </c>
      <c r="B1056" s="12" t="n">
        <v>46089</v>
      </c>
      <c r="C1056" s="11" t="inlineStr">
        <is>
          <t>De CARLA PATRICIA MORIANO</t>
        </is>
      </c>
      <c r="D1056" s="13" t="n">
        <v>60300</v>
      </c>
      <c r="E1056" s="11" t="n">
        <v>2686834.49</v>
      </c>
    </row>
    <row r="1057">
      <c r="A1057" s="11" t="n">
        <v>1056</v>
      </c>
      <c r="B1057" s="12" t="n">
        <v>46089</v>
      </c>
      <c r="C1057" s="11" t="inlineStr">
        <is>
          <t>De ARLEY DAVID VELASQUEZ</t>
        </is>
      </c>
      <c r="D1057" s="13" t="n">
        <v>15000</v>
      </c>
      <c r="E1057" s="11" t="n">
        <v>2626534.49</v>
      </c>
    </row>
    <row r="1058">
      <c r="A1058" s="11" t="n">
        <v>1057</v>
      </c>
      <c r="B1058" s="12" t="n">
        <v>46088</v>
      </c>
      <c r="C1058" s="11" t="inlineStr">
        <is>
          <t>De EDGAR ENRIQUE QUINONEZ</t>
        </is>
      </c>
      <c r="D1058" s="13" t="n">
        <v>2000</v>
      </c>
      <c r="E1058" s="11" t="n">
        <v>2611534.49</v>
      </c>
    </row>
    <row r="1059">
      <c r="A1059" s="11" t="n">
        <v>1058</v>
      </c>
      <c r="B1059" s="12" t="n">
        <v>46088</v>
      </c>
      <c r="C1059" s="11" t="inlineStr">
        <is>
          <t>De TANIA MARIA CAMPO</t>
        </is>
      </c>
      <c r="D1059" s="13" t="n">
        <v>18900</v>
      </c>
      <c r="E1059" s="11" t="n">
        <v>2609534.49</v>
      </c>
    </row>
    <row r="1060">
      <c r="A1060" s="11" t="n">
        <v>1059</v>
      </c>
      <c r="B1060" s="12" t="n">
        <v>46088</v>
      </c>
      <c r="C1060" s="11" t="inlineStr">
        <is>
          <t>De JHON ALEXAANDER ARIAS</t>
        </is>
      </c>
      <c r="D1060" s="13" t="n">
        <v>19600</v>
      </c>
      <c r="E1060" s="11" t="n">
        <v>2590634.49</v>
      </c>
    </row>
    <row r="1061">
      <c r="A1061" s="11" t="n">
        <v>1060</v>
      </c>
      <c r="B1061" s="12" t="n">
        <v>46088</v>
      </c>
      <c r="C1061" s="11" t="inlineStr">
        <is>
          <t>Recarga desde Bancolombia QR</t>
        </is>
      </c>
      <c r="D1061" s="13" t="n">
        <v>12000</v>
      </c>
      <c r="E1061" s="11" t="n">
        <v>2571034.49</v>
      </c>
    </row>
    <row r="1062">
      <c r="A1062" s="11" t="n">
        <v>1061</v>
      </c>
      <c r="B1062" s="12" t="n">
        <v>46088</v>
      </c>
      <c r="C1062" s="11" t="inlineStr">
        <is>
          <t>De HERNAN WILIAN CASTILLO</t>
        </is>
      </c>
      <c r="D1062" s="13" t="n">
        <v>120000</v>
      </c>
      <c r="E1062" s="11" t="n">
        <v>2559034.49</v>
      </c>
    </row>
    <row r="1063">
      <c r="A1063" s="11" t="n">
        <v>1062</v>
      </c>
      <c r="B1063" s="12" t="n">
        <v>46088</v>
      </c>
      <c r="C1063" s="11" t="inlineStr">
        <is>
          <t>Recarga desde Bancolombia QR</t>
        </is>
      </c>
      <c r="D1063" s="13" t="n">
        <v>41100</v>
      </c>
      <c r="E1063" s="11" t="n">
        <v>2439034.49</v>
      </c>
    </row>
    <row r="1064">
      <c r="A1064" s="11" t="n">
        <v>1063</v>
      </c>
      <c r="B1064" s="12" t="n">
        <v>46088</v>
      </c>
      <c r="C1064" s="11" t="inlineStr">
        <is>
          <t>De KEINY LORENA MARTINEZ</t>
        </is>
      </c>
      <c r="D1064" s="13" t="n">
        <v>40400</v>
      </c>
      <c r="E1064" s="11" t="n">
        <v>2397934.49</v>
      </c>
    </row>
    <row r="1065">
      <c r="A1065" s="11" t="n">
        <v>1064</v>
      </c>
      <c r="B1065" s="12" t="n">
        <v>46088</v>
      </c>
      <c r="C1065" s="11" t="inlineStr">
        <is>
          <t>De JENNIFER MOSQUERA</t>
        </is>
      </c>
      <c r="D1065" s="13" t="n">
        <v>11800</v>
      </c>
      <c r="E1065" s="11" t="n">
        <v>2357534.49</v>
      </c>
    </row>
    <row r="1066">
      <c r="A1066" s="11" t="n">
        <v>1065</v>
      </c>
      <c r="B1066" s="12" t="n">
        <v>46088</v>
      </c>
      <c r="C1066" s="11" t="inlineStr">
        <is>
          <t>De IVONNE PATRICIA GOMAJOA</t>
        </is>
      </c>
      <c r="D1066" s="13" t="n">
        <v>9800</v>
      </c>
      <c r="E1066" s="11" t="n">
        <v>2345734.49</v>
      </c>
    </row>
    <row r="1067">
      <c r="A1067" s="11" t="n">
        <v>1066</v>
      </c>
      <c r="B1067" s="12" t="n">
        <v>46088</v>
      </c>
      <c r="C1067" s="11" t="inlineStr">
        <is>
          <t>De JULIETH CHIRLEY</t>
        </is>
      </c>
      <c r="D1067" s="13" t="n">
        <v>12700</v>
      </c>
      <c r="E1067" s="11" t="n">
        <v>2335934.49</v>
      </c>
    </row>
    <row r="1068">
      <c r="A1068" s="11" t="n">
        <v>1067</v>
      </c>
      <c r="B1068" s="12" t="n">
        <v>46088</v>
      </c>
      <c r="C1068" s="11" t="inlineStr">
        <is>
          <t>De HERNAN WILIAN CASTILLO</t>
        </is>
      </c>
      <c r="D1068" s="13" t="n">
        <v>75000</v>
      </c>
      <c r="E1068" s="11" t="n">
        <v>2323234.49</v>
      </c>
    </row>
    <row r="1069">
      <c r="A1069" s="11" t="n">
        <v>1068</v>
      </c>
      <c r="B1069" s="12" t="n">
        <v>46088</v>
      </c>
      <c r="C1069" s="11" t="inlineStr">
        <is>
          <t>De DELCY VALERIA CORAL</t>
        </is>
      </c>
      <c r="D1069" s="13" t="n">
        <v>5500</v>
      </c>
      <c r="E1069" s="11" t="n">
        <v>2248234.49</v>
      </c>
    </row>
    <row r="1070">
      <c r="A1070" s="11" t="n">
        <v>1069</v>
      </c>
      <c r="B1070" s="12" t="n">
        <v>46088</v>
      </c>
      <c r="C1070" s="11" t="inlineStr">
        <is>
          <t>De DANIEL ALFREDO OBANDO</t>
        </is>
      </c>
      <c r="D1070" s="13" t="n">
        <v>10400</v>
      </c>
      <c r="E1070" s="11" t="n">
        <v>2242734.49</v>
      </c>
    </row>
    <row r="1071">
      <c r="A1071" s="11" t="n">
        <v>1070</v>
      </c>
      <c r="B1071" s="12" t="n">
        <v>46088</v>
      </c>
      <c r="C1071" s="11" t="inlineStr">
        <is>
          <t>RECIBI POR BRE-B DE: JOSE</t>
        </is>
      </c>
      <c r="D1071" s="13" t="n">
        <v>52500</v>
      </c>
      <c r="E1071" s="11" t="n">
        <v>2232334.49</v>
      </c>
    </row>
    <row r="1072">
      <c r="A1072" s="11" t="n">
        <v>1071</v>
      </c>
      <c r="B1072" s="12" t="n">
        <v>46088</v>
      </c>
      <c r="C1072" s="11" t="inlineStr">
        <is>
          <t>De JUAN CARLOS DIAZ</t>
        </is>
      </c>
      <c r="D1072" s="13" t="n">
        <v>111800</v>
      </c>
      <c r="E1072" s="11" t="n">
        <v>2179834.49</v>
      </c>
    </row>
    <row r="1073">
      <c r="A1073" s="11" t="n">
        <v>1072</v>
      </c>
      <c r="B1073" s="12" t="n">
        <v>46088</v>
      </c>
      <c r="C1073" s="11" t="inlineStr">
        <is>
          <t>De BRAYAN ANDRES CAMPOS</t>
        </is>
      </c>
      <c r="D1073" s="13" t="n">
        <v>63500</v>
      </c>
      <c r="E1073" s="11" t="n">
        <v>2068034.49</v>
      </c>
    </row>
    <row r="1074">
      <c r="A1074" s="11" t="n">
        <v>1073</v>
      </c>
      <c r="B1074" s="12" t="n">
        <v>46088</v>
      </c>
      <c r="C1074" s="11" t="inlineStr">
        <is>
          <t>RECIBI POR BRE-B DE: YISSELF</t>
        </is>
      </c>
      <c r="D1074" s="13" t="n">
        <v>53400</v>
      </c>
      <c r="E1074" s="11" t="n">
        <v>2004534.49</v>
      </c>
    </row>
    <row r="1075">
      <c r="A1075" s="11" t="n">
        <v>1074</v>
      </c>
      <c r="B1075" s="12" t="n">
        <v>46088</v>
      </c>
      <c r="C1075" s="11" t="inlineStr">
        <is>
          <t>De EDWAR FERNEY CORDOBA</t>
        </is>
      </c>
      <c r="D1075" s="13" t="n">
        <v>33200</v>
      </c>
      <c r="E1075" s="11" t="n">
        <v>1951134.49</v>
      </c>
    </row>
    <row r="1076">
      <c r="A1076" s="11" t="n">
        <v>1075</v>
      </c>
      <c r="B1076" s="12" t="n">
        <v>46088</v>
      </c>
      <c r="C1076" s="11" t="inlineStr">
        <is>
          <t>De ANGGIE LILIANA MOSQUERA</t>
        </is>
      </c>
      <c r="D1076" s="13" t="n">
        <v>58800</v>
      </c>
      <c r="E1076" s="11" t="n">
        <v>1917934.49</v>
      </c>
    </row>
    <row r="1077">
      <c r="A1077" s="11" t="n">
        <v>1076</v>
      </c>
      <c r="B1077" s="12" t="n">
        <v>46088</v>
      </c>
      <c r="C1077" s="11" t="inlineStr">
        <is>
          <t>De IDALY ESPERANZA NARVAEZ</t>
        </is>
      </c>
      <c r="D1077" s="13" t="n">
        <v>2200</v>
      </c>
      <c r="E1077" s="11" t="n">
        <v>1859134.49</v>
      </c>
    </row>
    <row r="1078">
      <c r="A1078" s="11" t="n">
        <v>1077</v>
      </c>
      <c r="B1078" s="12" t="n">
        <v>46088</v>
      </c>
      <c r="C1078" s="11" t="inlineStr">
        <is>
          <t>De MAGDA LILIANA ALEGRIA</t>
        </is>
      </c>
      <c r="D1078" s="13" t="n">
        <v>11100</v>
      </c>
      <c r="E1078" s="11" t="n">
        <v>1856934.49</v>
      </c>
    </row>
    <row r="1079">
      <c r="A1079" s="11" t="n">
        <v>1078</v>
      </c>
      <c r="B1079" s="12" t="n">
        <v>46088</v>
      </c>
      <c r="C1079" s="11" t="inlineStr">
        <is>
          <t>De JUAN DAVID ZAMBRANO</t>
        </is>
      </c>
      <c r="D1079" s="13" t="n">
        <v>36058</v>
      </c>
      <c r="E1079" s="11" t="n">
        <v>1845834.49</v>
      </c>
    </row>
    <row r="1080">
      <c r="A1080" s="11" t="n">
        <v>1079</v>
      </c>
      <c r="B1080" s="12" t="n">
        <v>46088</v>
      </c>
      <c r="C1080" s="11" t="inlineStr">
        <is>
          <t>De KAROL LIZETH FLOREZ</t>
        </is>
      </c>
      <c r="D1080" s="13" t="n">
        <v>1800</v>
      </c>
      <c r="E1080" s="11" t="n">
        <v>1809776.49</v>
      </c>
    </row>
    <row r="1081">
      <c r="A1081" s="11" t="n">
        <v>1080</v>
      </c>
      <c r="B1081" s="12" t="n">
        <v>46088</v>
      </c>
      <c r="C1081" s="11" t="inlineStr">
        <is>
          <t>De DARWIN FABIAN PALADINES</t>
        </is>
      </c>
      <c r="D1081" s="13" t="n">
        <v>21400</v>
      </c>
      <c r="E1081" s="11" t="n">
        <v>1807976.49</v>
      </c>
    </row>
    <row r="1082">
      <c r="A1082" s="11" t="n">
        <v>1081</v>
      </c>
      <c r="B1082" s="12" t="n">
        <v>46088</v>
      </c>
      <c r="C1082" s="11" t="inlineStr">
        <is>
          <t>De OMAIRA BOLANOS ROSERO</t>
        </is>
      </c>
      <c r="D1082" s="13" t="n">
        <v>20000</v>
      </c>
      <c r="E1082" s="11" t="n">
        <v>1786576.49</v>
      </c>
    </row>
    <row r="1083">
      <c r="A1083" s="11" t="n">
        <v>1082</v>
      </c>
      <c r="B1083" s="12" t="n">
        <v>46088</v>
      </c>
      <c r="C1083" s="11" t="inlineStr">
        <is>
          <t>De SALOME ALEJANDRA</t>
        </is>
      </c>
      <c r="D1083" s="13" t="n">
        <v>18000</v>
      </c>
      <c r="E1083" s="11" t="n">
        <v>1766576.49</v>
      </c>
    </row>
    <row r="1084">
      <c r="A1084" s="11" t="n">
        <v>1083</v>
      </c>
      <c r="B1084" s="12" t="n">
        <v>46088</v>
      </c>
      <c r="C1084" s="11" t="inlineStr">
        <is>
          <t>De HELLEN HALLEY FARFAN</t>
        </is>
      </c>
      <c r="D1084" s="13" t="n">
        <v>8000</v>
      </c>
      <c r="E1084" s="11" t="n">
        <v>1748576.49</v>
      </c>
    </row>
    <row r="1085">
      <c r="A1085" s="11" t="n">
        <v>1084</v>
      </c>
      <c r="B1085" s="12" t="n">
        <v>46088</v>
      </c>
      <c r="C1085" s="11" t="inlineStr">
        <is>
          <t>RECIBI POR BRE-B DE: ALEXIS</t>
        </is>
      </c>
      <c r="D1085" s="13" t="n">
        <v>19400</v>
      </c>
      <c r="E1085" s="11" t="n">
        <v>1740576.49</v>
      </c>
    </row>
    <row r="1086">
      <c r="A1086" s="11" t="n">
        <v>1085</v>
      </c>
      <c r="B1086" s="12" t="n">
        <v>46088</v>
      </c>
      <c r="C1086" s="11" t="inlineStr">
        <is>
          <t>De SEGUNDO RICARDO</t>
        </is>
      </c>
      <c r="D1086" s="13" t="n">
        <v>3000</v>
      </c>
      <c r="E1086" s="11" t="n">
        <v>1721176.49</v>
      </c>
    </row>
    <row r="1087">
      <c r="A1087" s="11" t="n">
        <v>1086</v>
      </c>
      <c r="B1087" s="12" t="n">
        <v>46088</v>
      </c>
      <c r="C1087" s="11" t="inlineStr">
        <is>
          <t>De SANTIAGO GOMEZ MANCO</t>
        </is>
      </c>
      <c r="D1087" s="13" t="n">
        <v>25000</v>
      </c>
      <c r="E1087" s="11" t="n">
        <v>1718176.49</v>
      </c>
    </row>
    <row r="1088">
      <c r="A1088" s="11" t="n">
        <v>1087</v>
      </c>
      <c r="B1088" s="12" t="n">
        <v>46088</v>
      </c>
      <c r="C1088" s="11" t="inlineStr">
        <is>
          <t>Recarga desde Bancolombia</t>
        </is>
      </c>
      <c r="D1088" s="13" t="n">
        <v>17000</v>
      </c>
      <c r="E1088" s="11" t="n">
        <v>1693176.49</v>
      </c>
    </row>
    <row r="1089">
      <c r="A1089" s="11" t="n">
        <v>1088</v>
      </c>
      <c r="B1089" s="12" t="n">
        <v>46088</v>
      </c>
      <c r="C1089" s="11" t="inlineStr">
        <is>
          <t>De YESICA KATHERINE ARAGON</t>
        </is>
      </c>
      <c r="D1089" s="13" t="n">
        <v>24000</v>
      </c>
      <c r="E1089" s="11" t="n">
        <v>1676176.49</v>
      </c>
    </row>
    <row r="1090">
      <c r="A1090" s="11" t="n">
        <v>1089</v>
      </c>
      <c r="B1090" s="12" t="n">
        <v>46088</v>
      </c>
      <c r="C1090" s="11" t="inlineStr">
        <is>
          <t>De KAROL DAYANNA MOLINA</t>
        </is>
      </c>
      <c r="D1090" s="13" t="n">
        <v>20600</v>
      </c>
      <c r="E1090" s="11" t="n">
        <v>1652176.49</v>
      </c>
    </row>
    <row r="1091">
      <c r="A1091" s="11" t="n">
        <v>1090</v>
      </c>
      <c r="B1091" s="12" t="n">
        <v>46088</v>
      </c>
      <c r="C1091" s="11" t="inlineStr">
        <is>
          <t>De DANIELA ALEXANDRA ORTIZ</t>
        </is>
      </c>
      <c r="D1091" s="13" t="n">
        <v>20300</v>
      </c>
      <c r="E1091" s="11" t="n">
        <v>1631576.49</v>
      </c>
    </row>
    <row r="1092">
      <c r="A1092" s="11" t="n">
        <v>1091</v>
      </c>
      <c r="B1092" s="12" t="n">
        <v>46088</v>
      </c>
      <c r="C1092" s="11" t="inlineStr">
        <is>
          <t>RECIBI POR BRE-B DE: JUDY</t>
        </is>
      </c>
      <c r="D1092" s="13" t="n">
        <v>64800</v>
      </c>
      <c r="E1092" s="11" t="n">
        <v>1611276.49</v>
      </c>
    </row>
    <row r="1093">
      <c r="A1093" s="11" t="n">
        <v>1092</v>
      </c>
      <c r="B1093" s="12" t="n">
        <v>46088</v>
      </c>
      <c r="C1093" s="11" t="inlineStr">
        <is>
          <t>De LUZ AMPARO PINO MEDINA</t>
        </is>
      </c>
      <c r="D1093" s="13" t="n">
        <v>17100</v>
      </c>
      <c r="E1093" s="11" t="n">
        <v>1546476.49</v>
      </c>
    </row>
    <row r="1094">
      <c r="A1094" s="11" t="n">
        <v>1093</v>
      </c>
      <c r="B1094" s="12" t="n">
        <v>46088</v>
      </c>
      <c r="C1094" s="11" t="inlineStr">
        <is>
          <t>De JESUS ARLEY PATASCOY</t>
        </is>
      </c>
      <c r="D1094" s="13" t="n">
        <v>27600</v>
      </c>
      <c r="E1094" s="11" t="n">
        <v>1529376.49</v>
      </c>
    </row>
    <row r="1095">
      <c r="A1095" s="11" t="n">
        <v>1094</v>
      </c>
      <c r="B1095" s="12" t="n">
        <v>46088</v>
      </c>
      <c r="C1095" s="11" t="inlineStr">
        <is>
          <t>De DINA LUZ MENDEZ</t>
        </is>
      </c>
      <c r="D1095" s="13" t="n">
        <v>10000</v>
      </c>
      <c r="E1095" s="11" t="n">
        <v>1501776.49</v>
      </c>
    </row>
    <row r="1096">
      <c r="A1096" s="11" t="n">
        <v>1095</v>
      </c>
      <c r="B1096" s="12" t="n">
        <v>46088</v>
      </c>
      <c r="C1096" s="11" t="inlineStr">
        <is>
          <t>De LIZETH ESCOBAR</t>
        </is>
      </c>
      <c r="D1096" s="13" t="n">
        <v>7600</v>
      </c>
      <c r="E1096" s="11" t="n">
        <v>1491776.49</v>
      </c>
    </row>
    <row r="1097">
      <c r="A1097" s="11" t="n">
        <v>1096</v>
      </c>
      <c r="B1097" s="12" t="n">
        <v>46088</v>
      </c>
      <c r="C1097" s="11" t="inlineStr">
        <is>
          <t>Sky sas</t>
        </is>
      </c>
      <c r="D1097" s="13" t="n">
        <v>-906629</v>
      </c>
      <c r="E1097" s="11" t="n">
        <v>1484176.49</v>
      </c>
    </row>
    <row r="1098">
      <c r="A1098" s="11" t="n">
        <v>1097</v>
      </c>
      <c r="B1098" s="12" t="n">
        <v>46088</v>
      </c>
      <c r="C1098" s="11" t="inlineStr">
        <is>
          <t>Gravamen al Movimiento</t>
        </is>
      </c>
      <c r="D1098" s="13" t="n">
        <v>-3626.52</v>
      </c>
      <c r="E1098" s="11" t="n">
        <v>2390805.49</v>
      </c>
    </row>
    <row r="1099">
      <c r="A1099" s="11" t="n">
        <v>1098</v>
      </c>
      <c r="B1099" s="12" t="n">
        <v>46088</v>
      </c>
      <c r="C1099" s="11" t="inlineStr">
        <is>
          <t>De ALEXIS GUTIERREZ</t>
        </is>
      </c>
      <c r="D1099" s="13" t="n">
        <v>22000</v>
      </c>
      <c r="E1099" s="11" t="n">
        <v>2394432.01</v>
      </c>
    </row>
    <row r="1100">
      <c r="A1100" s="11" t="n">
        <v>1099</v>
      </c>
      <c r="B1100" s="12" t="n">
        <v>46088</v>
      </c>
      <c r="C1100" s="11" t="inlineStr">
        <is>
          <t>De NIDIA CRUZ GUAZAQUILLO</t>
        </is>
      </c>
      <c r="D1100" s="13" t="n">
        <v>19600</v>
      </c>
      <c r="E1100" s="11" t="n">
        <v>2372432.01</v>
      </c>
    </row>
    <row r="1101">
      <c r="A1101" s="11" t="n">
        <v>1100</v>
      </c>
      <c r="B1101" s="12" t="n">
        <v>46088</v>
      </c>
      <c r="C1101" s="11" t="inlineStr">
        <is>
          <t>De MARIA ARACELI RAYO</t>
        </is>
      </c>
      <c r="D1101" s="13" t="n">
        <v>15000</v>
      </c>
      <c r="E1101" s="11" t="n">
        <v>2352832.01</v>
      </c>
    </row>
    <row r="1102">
      <c r="A1102" s="11" t="n">
        <v>1101</v>
      </c>
      <c r="B1102" s="12" t="n">
        <v>46088</v>
      </c>
      <c r="C1102" s="11" t="inlineStr">
        <is>
          <t>De PAOLA ANDREA GIRALDO</t>
        </is>
      </c>
      <c r="D1102" s="13" t="n">
        <v>21300</v>
      </c>
      <c r="E1102" s="11" t="n">
        <v>2337832.01</v>
      </c>
    </row>
    <row r="1103">
      <c r="A1103" s="11" t="n">
        <v>1102</v>
      </c>
      <c r="B1103" s="12" t="n">
        <v>46088</v>
      </c>
      <c r="C1103" s="11" t="inlineStr">
        <is>
          <t>De LINDA JOSHIRA ROMO</t>
        </is>
      </c>
      <c r="D1103" s="13" t="n">
        <v>10000</v>
      </c>
      <c r="E1103" s="11" t="n">
        <v>2316532.01</v>
      </c>
    </row>
    <row r="1104">
      <c r="A1104" s="11" t="n">
        <v>1103</v>
      </c>
      <c r="B1104" s="12" t="n">
        <v>46088</v>
      </c>
      <c r="C1104" s="11" t="inlineStr">
        <is>
          <t>De EDWAR ANDRES BRAVO</t>
        </is>
      </c>
      <c r="D1104" s="13" t="n">
        <v>5000</v>
      </c>
      <c r="E1104" s="11" t="n">
        <v>2306532.01</v>
      </c>
    </row>
    <row r="1105">
      <c r="A1105" s="11" t="n">
        <v>1104</v>
      </c>
      <c r="B1105" s="12" t="n">
        <v>46088</v>
      </c>
      <c r="C1105" s="11" t="inlineStr">
        <is>
          <t>De ALVARO GERMAN BUELVAS</t>
        </is>
      </c>
      <c r="D1105" s="13" t="n">
        <v>30300</v>
      </c>
      <c r="E1105" s="11" t="n">
        <v>2301532.01</v>
      </c>
    </row>
    <row r="1106">
      <c r="A1106" s="11" t="n">
        <v>1105</v>
      </c>
      <c r="B1106" s="12" t="n">
        <v>46087</v>
      </c>
      <c r="C1106" s="11" t="inlineStr">
        <is>
          <t>De RUBY SIRLEY RIVERA</t>
        </is>
      </c>
      <c r="D1106" s="13" t="n">
        <v>12900</v>
      </c>
      <c r="E1106" s="11" t="n">
        <v>2271232.01</v>
      </c>
    </row>
    <row r="1107">
      <c r="A1107" s="11" t="n">
        <v>1106</v>
      </c>
      <c r="B1107" s="12" t="n">
        <v>46087</v>
      </c>
      <c r="C1107" s="11" t="inlineStr">
        <is>
          <t>De DENIER FERNANDO</t>
        </is>
      </c>
      <c r="D1107" s="13" t="n">
        <v>80500</v>
      </c>
      <c r="E1107" s="11" t="n">
        <v>2258332.01</v>
      </c>
    </row>
    <row r="1108">
      <c r="A1108" s="11" t="n">
        <v>1107</v>
      </c>
      <c r="B1108" s="12" t="n">
        <v>46087</v>
      </c>
      <c r="C1108" s="11" t="inlineStr">
        <is>
          <t>De KEVIN ESTIVEN AGUDELO</t>
        </is>
      </c>
      <c r="D1108" s="13" t="n">
        <v>11400</v>
      </c>
      <c r="E1108" s="11" t="n">
        <v>2177832.01</v>
      </c>
    </row>
    <row r="1109">
      <c r="A1109" s="11" t="n">
        <v>1108</v>
      </c>
      <c r="B1109" s="12" t="n">
        <v>46087</v>
      </c>
      <c r="C1109" s="11" t="inlineStr">
        <is>
          <t>De CAMILA ALEJANDRA</t>
        </is>
      </c>
      <c r="D1109" s="13" t="n">
        <v>6000</v>
      </c>
      <c r="E1109" s="11" t="n">
        <v>2166432.01</v>
      </c>
    </row>
    <row r="1110">
      <c r="A1110" s="11" t="n">
        <v>1109</v>
      </c>
      <c r="B1110" s="12" t="n">
        <v>46087</v>
      </c>
      <c r="C1110" s="11" t="inlineStr">
        <is>
          <t>De SALOME ALEJANDRA</t>
        </is>
      </c>
      <c r="D1110" s="13" t="n">
        <v>18000</v>
      </c>
      <c r="E1110" s="11" t="n">
        <v>2160432.01</v>
      </c>
    </row>
    <row r="1111">
      <c r="A1111" s="11" t="n">
        <v>1110</v>
      </c>
      <c r="B1111" s="12" t="n">
        <v>46087</v>
      </c>
      <c r="C1111" s="11" t="inlineStr">
        <is>
          <t>De LEIDY VIVIANA RODRIGUEZ</t>
        </is>
      </c>
      <c r="D1111" s="13" t="n">
        <v>30700</v>
      </c>
      <c r="E1111" s="11" t="n">
        <v>2142432.01</v>
      </c>
    </row>
    <row r="1112">
      <c r="A1112" s="11" t="n">
        <v>1111</v>
      </c>
      <c r="B1112" s="12" t="n">
        <v>46087</v>
      </c>
      <c r="C1112" s="11" t="inlineStr">
        <is>
          <t>De WILLIAM ISMAEL VALBUENA</t>
        </is>
      </c>
      <c r="D1112" s="13" t="n">
        <v>66848</v>
      </c>
      <c r="E1112" s="11" t="n">
        <v>2111732.01</v>
      </c>
    </row>
    <row r="1113">
      <c r="A1113" s="11" t="n">
        <v>1112</v>
      </c>
      <c r="B1113" s="12" t="n">
        <v>46087</v>
      </c>
      <c r="C1113" s="11" t="inlineStr">
        <is>
          <t>De ANDREA VICTORIA DE LA</t>
        </is>
      </c>
      <c r="D1113" s="13" t="n">
        <v>108300</v>
      </c>
      <c r="E1113" s="11" t="n">
        <v>2044884.01</v>
      </c>
    </row>
    <row r="1114">
      <c r="A1114" s="11" t="n">
        <v>1113</v>
      </c>
      <c r="B1114" s="12" t="n">
        <v>46087</v>
      </c>
      <c r="C1114" s="11" t="inlineStr">
        <is>
          <t>Recarga desde Bancolombia</t>
        </is>
      </c>
      <c r="D1114" s="13" t="n">
        <v>16400</v>
      </c>
      <c r="E1114" s="11" t="n">
        <v>1936584.01</v>
      </c>
    </row>
    <row r="1115">
      <c r="A1115" s="11" t="n">
        <v>1114</v>
      </c>
      <c r="B1115" s="12" t="n">
        <v>46087</v>
      </c>
      <c r="C1115" s="11" t="inlineStr">
        <is>
          <t>De RODRIGO ZAPATA</t>
        </is>
      </c>
      <c r="D1115" s="13" t="n">
        <v>13800</v>
      </c>
      <c r="E1115" s="11" t="n">
        <v>1920184.01</v>
      </c>
    </row>
    <row r="1116">
      <c r="A1116" s="11" t="n">
        <v>1115</v>
      </c>
      <c r="B1116" s="12" t="n">
        <v>46087</v>
      </c>
      <c r="C1116" s="11" t="inlineStr">
        <is>
          <t>De FRANK YINNER HENAO</t>
        </is>
      </c>
      <c r="D1116" s="13" t="n">
        <v>27000</v>
      </c>
      <c r="E1116" s="11" t="n">
        <v>1906384.01</v>
      </c>
    </row>
    <row r="1117">
      <c r="A1117" s="11" t="n">
        <v>1116</v>
      </c>
      <c r="B1117" s="12" t="n">
        <v>46087</v>
      </c>
      <c r="C1117" s="11" t="inlineStr">
        <is>
          <t>De AYDA GOMEZ</t>
        </is>
      </c>
      <c r="D1117" s="13" t="n">
        <v>20000</v>
      </c>
      <c r="E1117" s="11" t="n">
        <v>1879384.01</v>
      </c>
    </row>
    <row r="1118">
      <c r="A1118" s="11" t="n">
        <v>1117</v>
      </c>
      <c r="B1118" s="12" t="n">
        <v>46087</v>
      </c>
      <c r="C1118" s="11" t="inlineStr">
        <is>
          <t>dora ines paguatian</t>
        </is>
      </c>
      <c r="D1118" s="13" t="n">
        <v>-1859910</v>
      </c>
      <c r="E1118" s="11" t="n">
        <v>1859384.01</v>
      </c>
    </row>
    <row r="1119">
      <c r="A1119" s="11" t="n">
        <v>1118</v>
      </c>
      <c r="B1119" s="12" t="n">
        <v>46087</v>
      </c>
      <c r="C1119" s="11" t="inlineStr">
        <is>
          <t>Gravamen al Movimiento</t>
        </is>
      </c>
      <c r="D1119" s="13" t="n">
        <v>-7439.64</v>
      </c>
      <c r="E1119" s="11" t="n">
        <v>3719294.01</v>
      </c>
    </row>
    <row r="1120">
      <c r="A1120" s="11" t="n">
        <v>1119</v>
      </c>
      <c r="B1120" s="12" t="n">
        <v>46087</v>
      </c>
      <c r="C1120" s="11" t="inlineStr">
        <is>
          <t>Recarga desde Bancolombia</t>
        </is>
      </c>
      <c r="D1120" s="13" t="n">
        <v>49000</v>
      </c>
      <c r="E1120" s="11" t="n">
        <v>3726733.65</v>
      </c>
    </row>
    <row r="1121">
      <c r="A1121" s="11" t="n">
        <v>1120</v>
      </c>
      <c r="B1121" s="12" t="n">
        <v>46087</v>
      </c>
      <c r="C1121" s="11" t="inlineStr">
        <is>
          <t>RECIBI POR BRE-B DE: Johan</t>
        </is>
      </c>
      <c r="D1121" s="13" t="n">
        <v>7100</v>
      </c>
      <c r="E1121" s="11" t="n">
        <v>3677733.65</v>
      </c>
    </row>
    <row r="1122">
      <c r="A1122" s="11" t="n">
        <v>1121</v>
      </c>
      <c r="B1122" s="12" t="n">
        <v>46087</v>
      </c>
      <c r="C1122" s="11" t="inlineStr">
        <is>
          <t>De HELIDA FRANCA CORTEZ</t>
        </is>
      </c>
      <c r="D1122" s="13" t="n">
        <v>10000</v>
      </c>
      <c r="E1122" s="11" t="n">
        <v>3670633.65</v>
      </c>
    </row>
    <row r="1123">
      <c r="A1123" s="11" t="n">
        <v>1122</v>
      </c>
      <c r="B1123" s="12" t="n">
        <v>46087</v>
      </c>
      <c r="C1123" s="11" t="inlineStr">
        <is>
          <t>De ENAR JOSE ESTUPINAN</t>
        </is>
      </c>
      <c r="D1123" s="13" t="n">
        <v>60000</v>
      </c>
      <c r="E1123" s="11" t="n">
        <v>3660633.65</v>
      </c>
    </row>
    <row r="1124">
      <c r="A1124" s="11" t="n">
        <v>1123</v>
      </c>
      <c r="B1124" s="12" t="n">
        <v>46087</v>
      </c>
      <c r="C1124" s="11" t="inlineStr">
        <is>
          <t>De ESNEDA STEFANIA</t>
        </is>
      </c>
      <c r="D1124" s="13" t="n">
        <v>14600</v>
      </c>
      <c r="E1124" s="11" t="n">
        <v>3600633.65</v>
      </c>
    </row>
    <row r="1125">
      <c r="A1125" s="11" t="n">
        <v>1124</v>
      </c>
      <c r="B1125" s="12" t="n">
        <v>46087</v>
      </c>
      <c r="C1125" s="11" t="inlineStr">
        <is>
          <t>De CARMEN DANIELA CARVAJAL</t>
        </is>
      </c>
      <c r="D1125" s="13" t="n">
        <v>10000</v>
      </c>
      <c r="E1125" s="11" t="n">
        <v>3586033.65</v>
      </c>
    </row>
    <row r="1126">
      <c r="A1126" s="11" t="n">
        <v>1125</v>
      </c>
      <c r="B1126" s="12" t="n">
        <v>46087</v>
      </c>
      <c r="C1126" s="11" t="inlineStr">
        <is>
          <t>De BRIYITH ESTEFANY PEREA</t>
        </is>
      </c>
      <c r="D1126" s="13" t="n">
        <v>10700</v>
      </c>
      <c r="E1126" s="11" t="n">
        <v>3576033.65</v>
      </c>
    </row>
    <row r="1127">
      <c r="A1127" s="11" t="n">
        <v>1126</v>
      </c>
      <c r="B1127" s="12" t="n">
        <v>46087</v>
      </c>
      <c r="C1127" s="11" t="inlineStr">
        <is>
          <t>De GREISY GIRALDO POLANIAS</t>
        </is>
      </c>
      <c r="D1127" s="13" t="n">
        <v>17700</v>
      </c>
      <c r="E1127" s="11" t="n">
        <v>3565333.65</v>
      </c>
    </row>
    <row r="1128">
      <c r="A1128" s="11" t="n">
        <v>1127</v>
      </c>
      <c r="B1128" s="12" t="n">
        <v>46087</v>
      </c>
      <c r="C1128" s="11" t="inlineStr">
        <is>
          <t>De INGRI YAJAIRA LA</t>
        </is>
      </c>
      <c r="D1128" s="13" t="n">
        <v>37100</v>
      </c>
      <c r="E1128" s="11" t="n">
        <v>3547633.65</v>
      </c>
    </row>
    <row r="1129">
      <c r="A1129" s="11" t="n">
        <v>1128</v>
      </c>
      <c r="B1129" s="12" t="n">
        <v>46087</v>
      </c>
      <c r="C1129" s="11" t="inlineStr">
        <is>
          <t>De IDALY ESPERANZA NARVAEZ</t>
        </is>
      </c>
      <c r="D1129" s="13" t="n">
        <v>19300</v>
      </c>
      <c r="E1129" s="11" t="n">
        <v>3510533.65</v>
      </c>
    </row>
    <row r="1130">
      <c r="A1130" s="11" t="n">
        <v>1129</v>
      </c>
      <c r="B1130" s="12" t="n">
        <v>46087</v>
      </c>
      <c r="C1130" s="11" t="inlineStr">
        <is>
          <t>De JOSE ANCIZAR GUTIERREZ</t>
        </is>
      </c>
      <c r="D1130" s="13" t="n">
        <v>11200</v>
      </c>
      <c r="E1130" s="11" t="n">
        <v>3491233.65</v>
      </c>
    </row>
    <row r="1131">
      <c r="A1131" s="11" t="n">
        <v>1130</v>
      </c>
      <c r="B1131" s="12" t="n">
        <v>46087</v>
      </c>
      <c r="C1131" s="11" t="inlineStr">
        <is>
          <t>De LINDA LUCIA YEPES</t>
        </is>
      </c>
      <c r="D1131" s="13" t="n">
        <v>31800</v>
      </c>
      <c r="E1131" s="11" t="n">
        <v>3480033.65</v>
      </c>
    </row>
    <row r="1132">
      <c r="A1132" s="11" t="n">
        <v>1131</v>
      </c>
      <c r="B1132" s="12" t="n">
        <v>46087</v>
      </c>
      <c r="C1132" s="11" t="inlineStr">
        <is>
          <t>De CLARA HELENA FUENTES</t>
        </is>
      </c>
      <c r="D1132" s="13" t="n">
        <v>17500</v>
      </c>
      <c r="E1132" s="11" t="n">
        <v>3448233.65</v>
      </c>
    </row>
    <row r="1133">
      <c r="A1133" s="11" t="n">
        <v>1132</v>
      </c>
      <c r="B1133" s="12" t="n">
        <v>46087</v>
      </c>
      <c r="C1133" s="11" t="inlineStr">
        <is>
          <t>De DENIER FERNANDO</t>
        </is>
      </c>
      <c r="D1133" s="13" t="n">
        <v>16600</v>
      </c>
      <c r="E1133" s="11" t="n">
        <v>3430733.65</v>
      </c>
    </row>
    <row r="1134">
      <c r="A1134" s="11" t="n">
        <v>1133</v>
      </c>
      <c r="B1134" s="12" t="n">
        <v>46087</v>
      </c>
      <c r="C1134" s="11" t="inlineStr">
        <is>
          <t>De JUDITH JANETH JIMENEZ</t>
        </is>
      </c>
      <c r="D1134" s="13" t="n">
        <v>304030</v>
      </c>
      <c r="E1134" s="11" t="n">
        <v>3414133.65</v>
      </c>
    </row>
    <row r="1135">
      <c r="A1135" s="11" t="n">
        <v>1134</v>
      </c>
      <c r="B1135" s="12" t="n">
        <v>46087</v>
      </c>
      <c r="C1135" s="11" t="inlineStr">
        <is>
          <t>De NANCY LINARES</t>
        </is>
      </c>
      <c r="D1135" s="13" t="n">
        <v>40000</v>
      </c>
      <c r="E1135" s="11" t="n">
        <v>3110103.65</v>
      </c>
    </row>
    <row r="1136">
      <c r="A1136" s="11" t="n">
        <v>1135</v>
      </c>
      <c r="B1136" s="12" t="n">
        <v>46087</v>
      </c>
      <c r="C1136" s="11" t="inlineStr">
        <is>
          <t>De ALVARO LIVANIEL BERNAL</t>
        </is>
      </c>
      <c r="D1136" s="13" t="n">
        <v>13500</v>
      </c>
      <c r="E1136" s="11" t="n">
        <v>3070103.65</v>
      </c>
    </row>
    <row r="1137">
      <c r="A1137" s="11" t="n">
        <v>1136</v>
      </c>
      <c r="B1137" s="12" t="n">
        <v>46087</v>
      </c>
      <c r="C1137" s="11" t="inlineStr">
        <is>
          <t>De MONICA LEINETH BURBANO</t>
        </is>
      </c>
      <c r="D1137" s="13" t="n">
        <v>49600</v>
      </c>
      <c r="E1137" s="11" t="n">
        <v>3056603.65</v>
      </c>
    </row>
    <row r="1138">
      <c r="A1138" s="11" t="n">
        <v>1137</v>
      </c>
      <c r="B1138" s="12" t="n">
        <v>46087</v>
      </c>
      <c r="C1138" s="11" t="inlineStr">
        <is>
          <t>De CARLOS MENDOZA</t>
        </is>
      </c>
      <c r="D1138" s="13" t="n">
        <v>10000</v>
      </c>
      <c r="E1138" s="11" t="n">
        <v>3007003.65</v>
      </c>
    </row>
    <row r="1139">
      <c r="A1139" s="11" t="n">
        <v>1138</v>
      </c>
      <c r="B1139" s="12" t="n">
        <v>46087</v>
      </c>
      <c r="C1139" s="11" t="inlineStr">
        <is>
          <t>De MARIA EUGENIA LARA</t>
        </is>
      </c>
      <c r="D1139" s="13" t="n">
        <v>77600</v>
      </c>
      <c r="E1139" s="11" t="n">
        <v>2997003.65</v>
      </c>
    </row>
    <row r="1140">
      <c r="A1140" s="11" t="n">
        <v>1139</v>
      </c>
      <c r="B1140" s="12" t="n">
        <v>46087</v>
      </c>
      <c r="C1140" s="11" t="inlineStr">
        <is>
          <t>De MARIA EUGENIA LARA</t>
        </is>
      </c>
      <c r="D1140" s="13" t="n">
        <v>13200</v>
      </c>
      <c r="E1140" s="11" t="n">
        <v>2919403.65</v>
      </c>
    </row>
    <row r="1141">
      <c r="A1141" s="11" t="n">
        <v>1140</v>
      </c>
      <c r="B1141" s="12" t="n">
        <v>46087</v>
      </c>
      <c r="C1141" s="11" t="inlineStr">
        <is>
          <t>De DEYSI ESPERANZA</t>
        </is>
      </c>
      <c r="D1141" s="13" t="n">
        <v>210600</v>
      </c>
      <c r="E1141" s="11" t="n">
        <v>2906203.65</v>
      </c>
    </row>
    <row r="1142">
      <c r="A1142" s="11" t="n">
        <v>1141</v>
      </c>
      <c r="B1142" s="12" t="n">
        <v>46087</v>
      </c>
      <c r="C1142" s="11" t="inlineStr">
        <is>
          <t>De DEIVID ANDERSON</t>
        </is>
      </c>
      <c r="D1142" s="13" t="n">
        <v>2700</v>
      </c>
      <c r="E1142" s="11" t="n">
        <v>2695603.65</v>
      </c>
    </row>
    <row r="1143">
      <c r="A1143" s="11" t="n">
        <v>1142</v>
      </c>
      <c r="B1143" s="12" t="n">
        <v>46086</v>
      </c>
      <c r="C1143" s="11" t="inlineStr">
        <is>
          <t>De DANIEL DANIEL MORA</t>
        </is>
      </c>
      <c r="D1143" s="13" t="n">
        <v>20400</v>
      </c>
      <c r="E1143" s="11" t="n">
        <v>2692903.65</v>
      </c>
    </row>
    <row r="1144">
      <c r="A1144" s="11" t="n">
        <v>1143</v>
      </c>
      <c r="B1144" s="12" t="n">
        <v>46086</v>
      </c>
      <c r="C1144" s="11" t="inlineStr">
        <is>
          <t>De WALTER ESTIVEN CORREA</t>
        </is>
      </c>
      <c r="D1144" s="13" t="n">
        <v>34500</v>
      </c>
      <c r="E1144" s="11" t="n">
        <v>2672503.65</v>
      </c>
    </row>
    <row r="1145">
      <c r="A1145" s="11" t="n">
        <v>1144</v>
      </c>
      <c r="B1145" s="12" t="n">
        <v>46086</v>
      </c>
      <c r="C1145" s="11" t="inlineStr">
        <is>
          <t>Recarga desde Bancolombia QR</t>
        </is>
      </c>
      <c r="D1145" s="13" t="n">
        <v>157200</v>
      </c>
      <c r="E1145" s="11" t="n">
        <v>2638003.65</v>
      </c>
    </row>
    <row r="1146">
      <c r="A1146" s="11" t="n">
        <v>1145</v>
      </c>
      <c r="B1146" s="12" t="n">
        <v>46086</v>
      </c>
      <c r="C1146" s="11" t="inlineStr">
        <is>
          <t>De MARTHA ELENA RODRIGUEZ</t>
        </is>
      </c>
      <c r="D1146" s="13" t="n">
        <v>30400</v>
      </c>
      <c r="E1146" s="11" t="n">
        <v>2480803.65</v>
      </c>
    </row>
    <row r="1147">
      <c r="A1147" s="11" t="n">
        <v>1146</v>
      </c>
      <c r="B1147" s="12" t="n">
        <v>46086</v>
      </c>
      <c r="C1147" s="11" t="inlineStr">
        <is>
          <t>De JENNIFER MOSQUERA</t>
        </is>
      </c>
      <c r="D1147" s="13" t="n">
        <v>79200</v>
      </c>
      <c r="E1147" s="11" t="n">
        <v>2450403.65</v>
      </c>
    </row>
    <row r="1148">
      <c r="A1148" s="11" t="n">
        <v>1147</v>
      </c>
      <c r="B1148" s="12" t="n">
        <v>46086</v>
      </c>
      <c r="C1148" s="11" t="inlineStr">
        <is>
          <t>De DIANA KATERINE CORDERO</t>
        </is>
      </c>
      <c r="D1148" s="13" t="n">
        <v>105700</v>
      </c>
      <c r="E1148" s="11" t="n">
        <v>2371203.65</v>
      </c>
    </row>
    <row r="1149">
      <c r="A1149" s="11" t="n">
        <v>1148</v>
      </c>
      <c r="B1149" s="12" t="n">
        <v>46086</v>
      </c>
      <c r="C1149" s="11" t="inlineStr">
        <is>
          <t>Recarga desde Bancolombia</t>
        </is>
      </c>
      <c r="D1149" s="13" t="n">
        <v>26800</v>
      </c>
      <c r="E1149" s="11" t="n">
        <v>2265503.65</v>
      </c>
    </row>
    <row r="1150">
      <c r="A1150" s="11" t="n">
        <v>1149</v>
      </c>
      <c r="B1150" s="12" t="n">
        <v>46086</v>
      </c>
      <c r="C1150" s="11" t="inlineStr">
        <is>
          <t>De JHON SEBAS GETIAL</t>
        </is>
      </c>
      <c r="D1150" s="13" t="n">
        <v>9500</v>
      </c>
      <c r="E1150" s="11" t="n">
        <v>2238703.65</v>
      </c>
    </row>
    <row r="1151">
      <c r="A1151" s="11" t="n">
        <v>1150</v>
      </c>
      <c r="B1151" s="12" t="n">
        <v>46086</v>
      </c>
      <c r="C1151" s="11" t="inlineStr">
        <is>
          <t>De NARHEN YAIR CHAMORRO</t>
        </is>
      </c>
      <c r="D1151" s="13" t="n">
        <v>33600</v>
      </c>
      <c r="E1151" s="11" t="n">
        <v>2229203.65</v>
      </c>
    </row>
    <row r="1152">
      <c r="A1152" s="11" t="n">
        <v>1151</v>
      </c>
      <c r="B1152" s="12" t="n">
        <v>46086</v>
      </c>
      <c r="C1152" s="11" t="inlineStr">
        <is>
          <t>De YESID FLOREZ LONDONO</t>
        </is>
      </c>
      <c r="D1152" s="13" t="n">
        <v>35500</v>
      </c>
      <c r="E1152" s="11" t="n">
        <v>2195603.65</v>
      </c>
    </row>
    <row r="1153">
      <c r="A1153" s="11" t="n">
        <v>1152</v>
      </c>
      <c r="B1153" s="12" t="n">
        <v>46086</v>
      </c>
      <c r="C1153" s="11" t="inlineStr">
        <is>
          <t>De PAOLA ANDREA GIRALDO</t>
        </is>
      </c>
      <c r="D1153" s="13" t="n">
        <v>24600</v>
      </c>
      <c r="E1153" s="11" t="n">
        <v>2160103.65</v>
      </c>
    </row>
    <row r="1154">
      <c r="A1154" s="11" t="n">
        <v>1153</v>
      </c>
      <c r="B1154" s="12" t="n">
        <v>46086</v>
      </c>
      <c r="C1154" s="11" t="inlineStr">
        <is>
          <t>De JHON JAIRO MORALES</t>
        </is>
      </c>
      <c r="D1154" s="13" t="n">
        <v>10800</v>
      </c>
      <c r="E1154" s="11" t="n">
        <v>2135503.65</v>
      </c>
    </row>
    <row r="1155">
      <c r="A1155" s="11" t="n">
        <v>1154</v>
      </c>
      <c r="B1155" s="12" t="n">
        <v>46086</v>
      </c>
      <c r="C1155" s="11" t="inlineStr">
        <is>
          <t>De MARISOL AVILA</t>
        </is>
      </c>
      <c r="D1155" s="13" t="n">
        <v>11600</v>
      </c>
      <c r="E1155" s="11" t="n">
        <v>2124703.65</v>
      </c>
    </row>
    <row r="1156">
      <c r="A1156" s="11" t="n">
        <v>1155</v>
      </c>
      <c r="B1156" s="12" t="n">
        <v>46086</v>
      </c>
      <c r="C1156" s="11" t="inlineStr">
        <is>
          <t>De DIEGO FABRICIO DIAZ</t>
        </is>
      </c>
      <c r="D1156" s="13" t="n">
        <v>15000</v>
      </c>
      <c r="E1156" s="11" t="n">
        <v>2113103.65</v>
      </c>
    </row>
    <row r="1157">
      <c r="A1157" s="11" t="n">
        <v>1156</v>
      </c>
      <c r="B1157" s="12" t="n">
        <v>46086</v>
      </c>
      <c r="C1157" s="11" t="inlineStr">
        <is>
          <t>De JUAN CARLOS DIAZ</t>
        </is>
      </c>
      <c r="D1157" s="13" t="n">
        <v>86000</v>
      </c>
      <c r="E1157" s="11" t="n">
        <v>2098103.65</v>
      </c>
    </row>
    <row r="1158">
      <c r="A1158" s="11" t="n">
        <v>1157</v>
      </c>
      <c r="B1158" s="12" t="n">
        <v>46086</v>
      </c>
      <c r="C1158" s="11" t="inlineStr">
        <is>
          <t>De JORGE EDUARDO</t>
        </is>
      </c>
      <c r="D1158" s="13" t="n">
        <v>42500</v>
      </c>
      <c r="E1158" s="11" t="n">
        <v>2012103.65</v>
      </c>
    </row>
    <row r="1159">
      <c r="A1159" s="11" t="n">
        <v>1158</v>
      </c>
      <c r="B1159" s="12" t="n">
        <v>46086</v>
      </c>
      <c r="C1159" s="11" t="inlineStr">
        <is>
          <t>De CRISTIAN DAVID ALVAREZ</t>
        </is>
      </c>
      <c r="D1159" s="13" t="n">
        <v>443500</v>
      </c>
      <c r="E1159" s="11" t="n">
        <v>1969603.65</v>
      </c>
    </row>
    <row r="1160">
      <c r="A1160" s="11" t="n">
        <v>1159</v>
      </c>
      <c r="B1160" s="12" t="n">
        <v>46086</v>
      </c>
      <c r="C1160" s="11" t="inlineStr">
        <is>
          <t>De JOSE DOMINGO CERON</t>
        </is>
      </c>
      <c r="D1160" s="13" t="n">
        <v>9600</v>
      </c>
      <c r="E1160" s="11" t="n">
        <v>1526103.65</v>
      </c>
    </row>
    <row r="1161">
      <c r="A1161" s="11" t="n">
        <v>1160</v>
      </c>
      <c r="B1161" s="12" t="n">
        <v>46086</v>
      </c>
      <c r="C1161" s="11" t="inlineStr">
        <is>
          <t>De YOLANDA TORO QUINTERO</t>
        </is>
      </c>
      <c r="D1161" s="13" t="n">
        <v>30500</v>
      </c>
      <c r="E1161" s="11" t="n">
        <v>1516503.65</v>
      </c>
    </row>
    <row r="1162">
      <c r="A1162" s="11" t="n">
        <v>1161</v>
      </c>
      <c r="B1162" s="12" t="n">
        <v>46086</v>
      </c>
      <c r="C1162" s="11" t="inlineStr">
        <is>
          <t>De JOSE DOMINGO CERON</t>
        </is>
      </c>
      <c r="D1162" s="13" t="n">
        <v>25300</v>
      </c>
      <c r="E1162" s="11" t="n">
        <v>1486003.65</v>
      </c>
    </row>
    <row r="1163">
      <c r="A1163" s="11" t="n">
        <v>1162</v>
      </c>
      <c r="B1163" s="12" t="n">
        <v>46086</v>
      </c>
      <c r="C1163" s="11" t="inlineStr">
        <is>
          <t>De DOLY VARGAS GAMBOA</t>
        </is>
      </c>
      <c r="D1163" s="13" t="n">
        <v>70000</v>
      </c>
      <c r="E1163" s="11" t="n">
        <v>1460703.65</v>
      </c>
    </row>
    <row r="1164">
      <c r="A1164" s="11" t="n">
        <v>1163</v>
      </c>
      <c r="B1164" s="12" t="n">
        <v>46086</v>
      </c>
      <c r="C1164" s="11" t="inlineStr">
        <is>
          <t>De EVA LINET DIAZ</t>
        </is>
      </c>
      <c r="D1164" s="13" t="n">
        <v>26300</v>
      </c>
      <c r="E1164" s="11" t="n">
        <v>1390703.65</v>
      </c>
    </row>
    <row r="1165">
      <c r="A1165" s="11" t="n">
        <v>1164</v>
      </c>
      <c r="B1165" s="12" t="n">
        <v>46086</v>
      </c>
      <c r="C1165" s="11" t="inlineStr">
        <is>
          <t>De MARIA DE LOS ANGELES</t>
        </is>
      </c>
      <c r="D1165" s="13" t="n">
        <v>244900</v>
      </c>
      <c r="E1165" s="11" t="n">
        <v>1364403.65</v>
      </c>
    </row>
    <row r="1166">
      <c r="A1166" s="11" t="n">
        <v>1165</v>
      </c>
      <c r="B1166" s="12" t="n">
        <v>46086</v>
      </c>
      <c r="C1166" s="11" t="inlineStr">
        <is>
          <t>De JORGE ELIAS SALAZAR</t>
        </is>
      </c>
      <c r="D1166" s="13" t="n">
        <v>4000</v>
      </c>
      <c r="E1166" s="11" t="n">
        <v>1119503.65</v>
      </c>
    </row>
    <row r="1167">
      <c r="A1167" s="11" t="n">
        <v>1166</v>
      </c>
      <c r="B1167" s="12" t="n">
        <v>46086</v>
      </c>
      <c r="C1167" s="11" t="inlineStr">
        <is>
          <t>De SEGUNDO RICARDO</t>
        </is>
      </c>
      <c r="D1167" s="13" t="n">
        <v>4400</v>
      </c>
      <c r="E1167" s="11" t="n">
        <v>1115503.65</v>
      </c>
    </row>
    <row r="1168">
      <c r="A1168" s="11" t="n">
        <v>1167</v>
      </c>
      <c r="B1168" s="12" t="n">
        <v>46086</v>
      </c>
      <c r="C1168" s="11" t="inlineStr">
        <is>
          <t>De MONICA ALEXANDRA</t>
        </is>
      </c>
      <c r="D1168" s="13" t="n">
        <v>15100</v>
      </c>
      <c r="E1168" s="11" t="n">
        <v>1111103.65</v>
      </c>
    </row>
    <row r="1169">
      <c r="A1169" s="11" t="n">
        <v>1168</v>
      </c>
      <c r="B1169" s="12" t="n">
        <v>46086</v>
      </c>
      <c r="C1169" s="11" t="inlineStr">
        <is>
          <t>Recarga desde Bancolombia QR</t>
        </is>
      </c>
      <c r="D1169" s="13" t="n">
        <v>220900</v>
      </c>
      <c r="E1169" s="11" t="n">
        <v>1096003.65</v>
      </c>
    </row>
    <row r="1170">
      <c r="A1170" s="11" t="n">
        <v>1169</v>
      </c>
      <c r="B1170" s="12" t="n">
        <v>46086</v>
      </c>
      <c r="C1170" s="11" t="inlineStr">
        <is>
          <t>De CLAUDIA PATRICIA MEZA</t>
        </is>
      </c>
      <c r="D1170" s="13" t="n">
        <v>4800</v>
      </c>
      <c r="E1170" s="11" t="n">
        <v>875103.65</v>
      </c>
    </row>
    <row r="1171">
      <c r="A1171" s="11" t="n">
        <v>1170</v>
      </c>
      <c r="B1171" s="12" t="n">
        <v>46086</v>
      </c>
      <c r="C1171" s="11" t="inlineStr">
        <is>
          <t>De ADRIANA NINO</t>
        </is>
      </c>
      <c r="D1171" s="13" t="n">
        <v>32200</v>
      </c>
      <c r="E1171" s="11" t="n">
        <v>870303.65</v>
      </c>
    </row>
    <row r="1172">
      <c r="A1172" s="11" t="n">
        <v>1171</v>
      </c>
      <c r="B1172" s="12" t="n">
        <v>46086</v>
      </c>
      <c r="C1172" s="11" t="inlineStr">
        <is>
          <t>De PAULA ANDREA BERNAL</t>
        </is>
      </c>
      <c r="D1172" s="13" t="n">
        <v>14800</v>
      </c>
      <c r="E1172" s="11" t="n">
        <v>838103.65</v>
      </c>
    </row>
    <row r="1173">
      <c r="A1173" s="11" t="n">
        <v>1172</v>
      </c>
      <c r="B1173" s="12" t="n">
        <v>46086</v>
      </c>
      <c r="C1173" s="11" t="inlineStr">
        <is>
          <t>De JHONN ANDERSON</t>
        </is>
      </c>
      <c r="D1173" s="13" t="n">
        <v>10000</v>
      </c>
      <c r="E1173" s="11" t="n">
        <v>823303.65</v>
      </c>
    </row>
    <row r="1174">
      <c r="A1174" s="11" t="n">
        <v>1173</v>
      </c>
      <c r="B1174" s="12" t="n">
        <v>46086</v>
      </c>
      <c r="C1174" s="11" t="inlineStr">
        <is>
          <t>De HERIBERTO GALINDEZ</t>
        </is>
      </c>
      <c r="D1174" s="13" t="n">
        <v>37200</v>
      </c>
      <c r="E1174" s="11" t="n">
        <v>813303.65</v>
      </c>
    </row>
    <row r="1175">
      <c r="A1175" s="11" t="n">
        <v>1174</v>
      </c>
      <c r="B1175" s="12" t="n">
        <v>46086</v>
      </c>
      <c r="C1175" s="11" t="inlineStr">
        <is>
          <t>De RODRIGO ANTONIO GOMEZ</t>
        </is>
      </c>
      <c r="D1175" s="13" t="n">
        <v>4000</v>
      </c>
      <c r="E1175" s="11" t="n">
        <v>776103.65</v>
      </c>
    </row>
    <row r="1176">
      <c r="A1176" s="11" t="n">
        <v>1175</v>
      </c>
      <c r="B1176" s="12" t="n">
        <v>46086</v>
      </c>
      <c r="C1176" s="11" t="inlineStr">
        <is>
          <t>De NATALY ALEXANDRA MILLAN</t>
        </is>
      </c>
      <c r="D1176" s="13" t="n">
        <v>5500</v>
      </c>
      <c r="E1176" s="11" t="n">
        <v>772103.65</v>
      </c>
    </row>
    <row r="1177">
      <c r="A1177" s="11" t="n">
        <v>1176</v>
      </c>
      <c r="B1177" s="12" t="n">
        <v>46086</v>
      </c>
      <c r="C1177" s="11" t="inlineStr">
        <is>
          <t>De NATALY ALEXANDRA MILLAN</t>
        </is>
      </c>
      <c r="D1177" s="13" t="n">
        <v>14200</v>
      </c>
      <c r="E1177" s="11" t="n">
        <v>766603.65</v>
      </c>
    </row>
    <row r="1178">
      <c r="A1178" s="11" t="n">
        <v>1177</v>
      </c>
      <c r="B1178" s="12" t="n">
        <v>46086</v>
      </c>
      <c r="C1178" s="11" t="inlineStr">
        <is>
          <t>De PATRICIA PEREZ BECERRA</t>
        </is>
      </c>
      <c r="D1178" s="13" t="n">
        <v>20500</v>
      </c>
      <c r="E1178" s="11" t="n">
        <v>752403.65</v>
      </c>
    </row>
    <row r="1179">
      <c r="A1179" s="11" t="n">
        <v>1178</v>
      </c>
      <c r="B1179" s="12" t="n">
        <v>46086</v>
      </c>
      <c r="C1179" s="11" t="inlineStr">
        <is>
          <t>De JONATHAN ALEXANDER</t>
        </is>
      </c>
      <c r="D1179" s="13" t="n">
        <v>10200</v>
      </c>
      <c r="E1179" s="11" t="n">
        <v>731903.65</v>
      </c>
    </row>
    <row r="1180">
      <c r="A1180" s="11" t="n">
        <v>1179</v>
      </c>
      <c r="B1180" s="12" t="n">
        <v>46086</v>
      </c>
      <c r="C1180" s="11" t="inlineStr">
        <is>
          <t>De DIEGO FELIPE MORA</t>
        </is>
      </c>
      <c r="D1180" s="13" t="n">
        <v>23800</v>
      </c>
      <c r="E1180" s="11" t="n">
        <v>721703.65</v>
      </c>
    </row>
    <row r="1181">
      <c r="A1181" s="11" t="n">
        <v>1180</v>
      </c>
      <c r="B1181" s="12" t="n">
        <v>46086</v>
      </c>
      <c r="C1181" s="11" t="inlineStr">
        <is>
          <t>De NEIBER ANTONIO ERASO</t>
        </is>
      </c>
      <c r="D1181" s="13" t="n">
        <v>11500</v>
      </c>
      <c r="E1181" s="11" t="n">
        <v>697903.65</v>
      </c>
    </row>
    <row r="1182">
      <c r="A1182" s="11" t="n">
        <v>1181</v>
      </c>
      <c r="B1182" s="12" t="n">
        <v>46086</v>
      </c>
      <c r="C1182" s="11" t="inlineStr">
        <is>
          <t>De YESID FLOREZ LONDONO</t>
        </is>
      </c>
      <c r="D1182" s="13" t="n">
        <v>104600</v>
      </c>
      <c r="E1182" s="11" t="n">
        <v>686403.65</v>
      </c>
    </row>
    <row r="1183">
      <c r="A1183" s="11" t="n">
        <v>1182</v>
      </c>
      <c r="B1183" s="12" t="n">
        <v>46085</v>
      </c>
      <c r="C1183" s="11" t="inlineStr">
        <is>
          <t>De JINNETH HERNANDEZ</t>
        </is>
      </c>
      <c r="D1183" s="13" t="n">
        <v>177800</v>
      </c>
      <c r="E1183" s="11" t="n">
        <v>581803.65</v>
      </c>
    </row>
    <row r="1184">
      <c r="A1184" s="11" t="n">
        <v>1183</v>
      </c>
      <c r="B1184" s="12" t="n">
        <v>46085</v>
      </c>
      <c r="C1184" s="11" t="inlineStr">
        <is>
          <t>De CRISTIAN DAVID ALVAREZ</t>
        </is>
      </c>
      <c r="D1184" s="13" t="n">
        <v>10900</v>
      </c>
      <c r="E1184" s="11" t="n">
        <v>404003.65</v>
      </c>
    </row>
    <row r="1185">
      <c r="A1185" s="11" t="n">
        <v>1184</v>
      </c>
      <c r="B1185" s="12" t="n">
        <v>46085</v>
      </c>
      <c r="C1185" s="11" t="inlineStr">
        <is>
          <t>De LESLY EVERYNG</t>
        </is>
      </c>
      <c r="D1185" s="13" t="n">
        <v>10600</v>
      </c>
      <c r="E1185" s="11" t="n">
        <v>393103.65</v>
      </c>
    </row>
    <row r="1186">
      <c r="A1186" s="11" t="n">
        <v>1185</v>
      </c>
      <c r="B1186" s="12" t="n">
        <v>46085</v>
      </c>
      <c r="C1186" s="11" t="inlineStr">
        <is>
          <t>RECIBI POR BRE-B DE: EDISSON</t>
        </is>
      </c>
      <c r="D1186" s="13" t="n">
        <v>13200</v>
      </c>
      <c r="E1186" s="11" t="n">
        <v>382503.65</v>
      </c>
    </row>
    <row r="1187">
      <c r="A1187" s="11" t="n">
        <v>1186</v>
      </c>
      <c r="B1187" s="12" t="n">
        <v>46085</v>
      </c>
      <c r="C1187" s="11" t="inlineStr">
        <is>
          <t>De EDISSON JUNIOR CHANA</t>
        </is>
      </c>
      <c r="D1187" s="13" t="n">
        <v>56900</v>
      </c>
      <c r="E1187" s="11" t="n">
        <v>369303.65</v>
      </c>
    </row>
    <row r="1188">
      <c r="A1188" s="11" t="n">
        <v>1187</v>
      </c>
      <c r="B1188" s="12" t="n">
        <v>46085</v>
      </c>
      <c r="C1188" s="11" t="inlineStr">
        <is>
          <t>De LUIS ALFONSO OBANDO</t>
        </is>
      </c>
      <c r="D1188" s="13" t="n">
        <v>26500</v>
      </c>
      <c r="E1188" s="11" t="n">
        <v>312403.65</v>
      </c>
    </row>
    <row r="1189">
      <c r="A1189" s="11" t="n">
        <v>1188</v>
      </c>
      <c r="B1189" s="12" t="n">
        <v>46085</v>
      </c>
      <c r="C1189" s="11" t="inlineStr">
        <is>
          <t>Recarga desde Bancolombia QR</t>
        </is>
      </c>
      <c r="D1189" s="13" t="n">
        <v>73000</v>
      </c>
      <c r="E1189" s="11" t="n">
        <v>285903.65</v>
      </c>
    </row>
    <row r="1190">
      <c r="A1190" s="11" t="n">
        <v>1189</v>
      </c>
      <c r="B1190" s="12" t="n">
        <v>46085</v>
      </c>
      <c r="C1190" s="11" t="inlineStr">
        <is>
          <t>De DORA EMILCE MARTINEZ</t>
        </is>
      </c>
      <c r="D1190" s="13" t="n">
        <v>13900</v>
      </c>
      <c r="E1190" s="11" t="n">
        <v>212903.65</v>
      </c>
    </row>
    <row r="1191">
      <c r="A1191" s="11" t="n">
        <v>1190</v>
      </c>
      <c r="B1191" s="12" t="n">
        <v>46085</v>
      </c>
      <c r="C1191" s="11" t="inlineStr">
        <is>
          <t>De ALEXIS SEBASTIAN</t>
        </is>
      </c>
      <c r="D1191" s="13" t="n">
        <v>11900</v>
      </c>
      <c r="E1191" s="11" t="n">
        <v>199003.65</v>
      </c>
    </row>
    <row r="1192">
      <c r="A1192" s="11" t="n">
        <v>1191</v>
      </c>
      <c r="B1192" s="12" t="n">
        <v>46085</v>
      </c>
      <c r="C1192" s="11" t="inlineStr">
        <is>
          <t>De CLAUDIA PATRICIA MEZA</t>
        </is>
      </c>
      <c r="D1192" s="13" t="n">
        <v>35800</v>
      </c>
      <c r="E1192" s="11" t="n">
        <v>187103.65</v>
      </c>
    </row>
    <row r="1193">
      <c r="A1193" s="11" t="n">
        <v>1192</v>
      </c>
      <c r="B1193" s="12" t="n">
        <v>46085</v>
      </c>
      <c r="C1193" s="11" t="inlineStr">
        <is>
          <t>De JHEIMY CATHERINE ROSERO</t>
        </is>
      </c>
      <c r="D1193" s="13" t="n">
        <v>24000</v>
      </c>
      <c r="E1193" s="11" t="n">
        <v>151303.65</v>
      </c>
    </row>
    <row r="1194">
      <c r="A1194" s="11" t="n">
        <v>1193</v>
      </c>
      <c r="B1194" s="12" t="n">
        <v>46085</v>
      </c>
      <c r="C1194" s="11" t="inlineStr">
        <is>
          <t>De DILEY JOHANNA GUISA</t>
        </is>
      </c>
      <c r="D1194" s="13" t="n">
        <v>23900</v>
      </c>
      <c r="E1194" s="11" t="n">
        <v>127303.65</v>
      </c>
    </row>
    <row r="1195">
      <c r="A1195" s="11" t="n">
        <v>1194</v>
      </c>
      <c r="B1195" s="12" t="n">
        <v>46085</v>
      </c>
      <c r="C1195" s="11" t="inlineStr">
        <is>
          <t>RECIBI POR BRE-B DE: ANGELA</t>
        </is>
      </c>
      <c r="D1195" s="13" t="n">
        <v>22500</v>
      </c>
      <c r="E1195" s="11" t="n">
        <v>103403.65</v>
      </c>
    </row>
    <row r="1196">
      <c r="A1196" s="11" t="n">
        <v>1195</v>
      </c>
      <c r="B1196" s="12" t="n">
        <v>46085</v>
      </c>
      <c r="C1196" s="11" t="inlineStr">
        <is>
          <t>De JHON JAIRO AYERVE</t>
        </is>
      </c>
      <c r="D1196" s="13" t="n">
        <v>22800</v>
      </c>
      <c r="E1196" s="11" t="n">
        <v>80903.64999999999</v>
      </c>
    </row>
    <row r="1197">
      <c r="A1197" s="11" t="n">
        <v>1196</v>
      </c>
      <c r="B1197" s="12" t="n">
        <v>46085</v>
      </c>
      <c r="C1197" s="11" t="inlineStr">
        <is>
          <t>GRAVAMEN AL MOVIMIENTO</t>
        </is>
      </c>
      <c r="D1197" s="13" t="n">
        <v>-11048.01</v>
      </c>
      <c r="E1197" s="11" t="n">
        <v>58103.65</v>
      </c>
    </row>
    <row r="1198">
      <c r="A1198" s="11" t="n">
        <v>1197</v>
      </c>
      <c r="B1198" s="12" t="n">
        <v>46085</v>
      </c>
      <c r="C1198" s="11" t="inlineStr">
        <is>
          <t>PAGO EN QR BRE-B:</t>
        </is>
      </c>
      <c r="D1198" s="13" t="n">
        <v>-2762002</v>
      </c>
      <c r="E1198" s="11" t="n">
        <v>69151.66</v>
      </c>
    </row>
    <row r="1199">
      <c r="A1199" s="11" t="n">
        <v>1198</v>
      </c>
      <c r="B1199" s="12" t="n">
        <v>46085</v>
      </c>
      <c r="C1199" s="11" t="inlineStr">
        <is>
          <t>VELAS Y VELONES SAN JORGE</t>
        </is>
      </c>
      <c r="D1199" s="13" t="n">
        <v>-366168</v>
      </c>
      <c r="E1199" s="11" t="n">
        <v>2831153.66</v>
      </c>
    </row>
    <row r="1200">
      <c r="A1200" s="11" t="n">
        <v>1199</v>
      </c>
      <c r="B1200" s="12" t="n">
        <v>46085</v>
      </c>
      <c r="C1200" s="11" t="inlineStr">
        <is>
          <t>Gravamen al Movimiento</t>
        </is>
      </c>
      <c r="D1200" s="13" t="n">
        <v>-1464.68</v>
      </c>
      <c r="E1200" s="11" t="n">
        <v>3197321.66</v>
      </c>
    </row>
    <row r="1201">
      <c r="A1201" s="11" t="n">
        <v>1200</v>
      </c>
      <c r="B1201" s="12" t="n">
        <v>46085</v>
      </c>
      <c r="C1201" s="11" t="inlineStr">
        <is>
          <t>De NINY JHOANA SANTANDER</t>
        </is>
      </c>
      <c r="D1201" s="13" t="n">
        <v>12000</v>
      </c>
      <c r="E1201" s="11" t="n">
        <v>3198786.34</v>
      </c>
    </row>
    <row r="1202">
      <c r="A1202" s="11" t="n">
        <v>1201</v>
      </c>
      <c r="B1202" s="12" t="n">
        <v>46085</v>
      </c>
      <c r="C1202" s="11" t="inlineStr">
        <is>
          <t>De MAGDA JINETH RUIZ</t>
        </is>
      </c>
      <c r="D1202" s="13" t="n">
        <v>12100</v>
      </c>
      <c r="E1202" s="11" t="n">
        <v>3186786.34</v>
      </c>
    </row>
    <row r="1203">
      <c r="A1203" s="11" t="n">
        <v>1202</v>
      </c>
      <c r="B1203" s="12" t="n">
        <v>46085</v>
      </c>
      <c r="C1203" s="11" t="inlineStr">
        <is>
          <t>De LUIS ENRIQUE AVILA RIVERA</t>
        </is>
      </c>
      <c r="D1203" s="13" t="n">
        <v>6000</v>
      </c>
      <c r="E1203" s="11" t="n">
        <v>3174686.34</v>
      </c>
    </row>
    <row r="1204">
      <c r="A1204" s="11" t="n">
        <v>1203</v>
      </c>
      <c r="B1204" s="12" t="n">
        <v>46085</v>
      </c>
      <c r="C1204" s="11" t="inlineStr">
        <is>
          <t>De FRAYDER SANCHEZ</t>
        </is>
      </c>
      <c r="D1204" s="13" t="n">
        <v>300</v>
      </c>
      <c r="E1204" s="11" t="n">
        <v>3168686.34</v>
      </c>
    </row>
    <row r="1205">
      <c r="A1205" s="11" t="n">
        <v>1204</v>
      </c>
      <c r="B1205" s="12" t="n">
        <v>46085</v>
      </c>
      <c r="C1205" s="11" t="inlineStr">
        <is>
          <t>De FRAYDER SANCHEZ</t>
        </is>
      </c>
      <c r="D1205" s="13" t="n">
        <v>10200</v>
      </c>
      <c r="E1205" s="11" t="n">
        <v>3168386.34</v>
      </c>
    </row>
    <row r="1206">
      <c r="A1206" s="11" t="n">
        <v>1205</v>
      </c>
      <c r="B1206" s="12" t="n">
        <v>46085</v>
      </c>
      <c r="C1206" s="11" t="inlineStr">
        <is>
          <t>De NASLY YULIETH MARTINEZ</t>
        </is>
      </c>
      <c r="D1206" s="13" t="n">
        <v>3800</v>
      </c>
      <c r="E1206" s="11" t="n">
        <v>3158186.34</v>
      </c>
    </row>
    <row r="1207">
      <c r="A1207" s="11" t="n">
        <v>1206</v>
      </c>
      <c r="B1207" s="12" t="n">
        <v>46085</v>
      </c>
      <c r="C1207" s="11" t="inlineStr">
        <is>
          <t>De JOHAN ALDANA RENTERIA</t>
        </is>
      </c>
      <c r="D1207" s="13" t="n">
        <v>3000</v>
      </c>
      <c r="E1207" s="11" t="n">
        <v>3154386.34</v>
      </c>
    </row>
    <row r="1208">
      <c r="A1208" s="11" t="n">
        <v>1207</v>
      </c>
      <c r="B1208" s="12" t="n">
        <v>46085</v>
      </c>
      <c r="C1208" s="11" t="inlineStr">
        <is>
          <t>De ALISON MELIZA BOLANOS</t>
        </is>
      </c>
      <c r="D1208" s="13" t="n">
        <v>17400</v>
      </c>
      <c r="E1208" s="11" t="n">
        <v>3151386.34</v>
      </c>
    </row>
    <row r="1209">
      <c r="A1209" s="11" t="n">
        <v>1208</v>
      </c>
      <c r="B1209" s="12" t="n">
        <v>46085</v>
      </c>
      <c r="C1209" s="11" t="inlineStr">
        <is>
          <t>Recarga desde Bancolombia QR</t>
        </is>
      </c>
      <c r="D1209" s="13" t="n">
        <v>16400</v>
      </c>
      <c r="E1209" s="11" t="n">
        <v>3133986.34</v>
      </c>
    </row>
    <row r="1210">
      <c r="A1210" s="11" t="n">
        <v>1209</v>
      </c>
      <c r="B1210" s="12" t="n">
        <v>46085</v>
      </c>
      <c r="C1210" s="11" t="inlineStr">
        <is>
          <t>De LUIS ANDRES CORREA</t>
        </is>
      </c>
      <c r="D1210" s="13" t="n">
        <v>6400</v>
      </c>
      <c r="E1210" s="11" t="n">
        <v>3117586.34</v>
      </c>
    </row>
    <row r="1211">
      <c r="A1211" s="11" t="n">
        <v>1210</v>
      </c>
      <c r="B1211" s="12" t="n">
        <v>46085</v>
      </c>
      <c r="C1211" s="11" t="inlineStr">
        <is>
          <t>De JHONATAN ARLEY MELO</t>
        </is>
      </c>
      <c r="D1211" s="13" t="n">
        <v>28800</v>
      </c>
      <c r="E1211" s="11" t="n">
        <v>3111186.34</v>
      </c>
    </row>
    <row r="1212">
      <c r="A1212" s="11" t="n">
        <v>1211</v>
      </c>
      <c r="B1212" s="12" t="n">
        <v>46085</v>
      </c>
      <c r="C1212" s="11" t="inlineStr">
        <is>
          <t>RECIBI POR BRE-B DE: MARIA</t>
        </is>
      </c>
      <c r="D1212" s="13" t="n">
        <v>8000</v>
      </c>
      <c r="E1212" s="11" t="n">
        <v>3082386.34</v>
      </c>
    </row>
    <row r="1213">
      <c r="A1213" s="11" t="n">
        <v>1212</v>
      </c>
      <c r="B1213" s="12" t="n">
        <v>46085</v>
      </c>
      <c r="C1213" s="11" t="inlineStr">
        <is>
          <t>De DANNA YULETHZY MORENO</t>
        </is>
      </c>
      <c r="D1213" s="13" t="n">
        <v>3000</v>
      </c>
      <c r="E1213" s="11" t="n">
        <v>3074386.34</v>
      </c>
    </row>
    <row r="1214">
      <c r="A1214" s="11" t="n">
        <v>1213</v>
      </c>
      <c r="B1214" s="12" t="n">
        <v>46085</v>
      </c>
      <c r="C1214" s="11" t="inlineStr">
        <is>
          <t>De HERIBERTO GALINDEZ</t>
        </is>
      </c>
      <c r="D1214" s="13" t="n">
        <v>43500</v>
      </c>
      <c r="E1214" s="11" t="n">
        <v>3071386.34</v>
      </c>
    </row>
    <row r="1215">
      <c r="A1215" s="11" t="n">
        <v>1214</v>
      </c>
      <c r="B1215" s="12" t="n">
        <v>46084</v>
      </c>
      <c r="C1215" s="11" t="inlineStr">
        <is>
          <t>Recarga desde Bancolombia QR</t>
        </is>
      </c>
      <c r="D1215" s="13" t="n">
        <v>62400</v>
      </c>
      <c r="E1215" s="11" t="n">
        <v>3027886.34</v>
      </c>
    </row>
    <row r="1216">
      <c r="A1216" s="11" t="n">
        <v>1215</v>
      </c>
      <c r="B1216" s="12" t="n">
        <v>46084</v>
      </c>
      <c r="C1216" s="11" t="inlineStr">
        <is>
          <t>De JHON SEBAS GETIAL</t>
        </is>
      </c>
      <c r="D1216" s="13" t="n">
        <v>4000</v>
      </c>
      <c r="E1216" s="11" t="n">
        <v>2965486.34</v>
      </c>
    </row>
    <row r="1217">
      <c r="A1217" s="11" t="n">
        <v>1216</v>
      </c>
      <c r="B1217" s="12" t="n">
        <v>46084</v>
      </c>
      <c r="C1217" s="11" t="inlineStr">
        <is>
          <t>Recarga desde Bancolombia</t>
        </is>
      </c>
      <c r="D1217" s="13" t="n">
        <v>55900</v>
      </c>
      <c r="E1217" s="11" t="n">
        <v>2961486.34</v>
      </c>
    </row>
    <row r="1218">
      <c r="A1218" s="11" t="n">
        <v>1217</v>
      </c>
      <c r="B1218" s="12" t="n">
        <v>46084</v>
      </c>
      <c r="C1218" s="11" t="inlineStr">
        <is>
          <t>De JENNIFER MOSQUERA</t>
        </is>
      </c>
      <c r="D1218" s="13" t="n">
        <v>38000</v>
      </c>
      <c r="E1218" s="11" t="n">
        <v>2905586.34</v>
      </c>
    </row>
    <row r="1219">
      <c r="A1219" s="11" t="n">
        <v>1218</v>
      </c>
      <c r="B1219" s="12" t="n">
        <v>46084</v>
      </c>
      <c r="C1219" s="11" t="inlineStr">
        <is>
          <t>De MIGUEL ANGEL DIAZ</t>
        </is>
      </c>
      <c r="D1219" s="13" t="n">
        <v>32500</v>
      </c>
      <c r="E1219" s="11" t="n">
        <v>2867586.34</v>
      </c>
    </row>
    <row r="1220">
      <c r="A1220" s="11" t="n">
        <v>1219</v>
      </c>
      <c r="B1220" s="12" t="n">
        <v>46084</v>
      </c>
      <c r="C1220" s="11" t="inlineStr">
        <is>
          <t>De LUIS FERNANDO CHAVEZ</t>
        </is>
      </c>
      <c r="D1220" s="13" t="n">
        <v>2000</v>
      </c>
      <c r="E1220" s="11" t="n">
        <v>2835086.34</v>
      </c>
    </row>
    <row r="1221">
      <c r="A1221" s="11" t="n">
        <v>1220</v>
      </c>
      <c r="B1221" s="12" t="n">
        <v>46084</v>
      </c>
      <c r="C1221" s="11" t="inlineStr">
        <is>
          <t>De ISAIR YAGARI</t>
        </is>
      </c>
      <c r="D1221" s="13" t="n">
        <v>18000</v>
      </c>
      <c r="E1221" s="11" t="n">
        <v>2833086.34</v>
      </c>
    </row>
    <row r="1222">
      <c r="A1222" s="11" t="n">
        <v>1221</v>
      </c>
      <c r="B1222" s="12" t="n">
        <v>46084</v>
      </c>
      <c r="C1222" s="11" t="inlineStr">
        <is>
          <t>De DIXIE VERONICA DANIELS</t>
        </is>
      </c>
      <c r="D1222" s="13" t="n">
        <v>20600</v>
      </c>
      <c r="E1222" s="11" t="n">
        <v>2815086.34</v>
      </c>
    </row>
    <row r="1223">
      <c r="A1223" s="11" t="n">
        <v>1222</v>
      </c>
      <c r="B1223" s="12" t="n">
        <v>46084</v>
      </c>
      <c r="C1223" s="11" t="inlineStr">
        <is>
          <t>De ADRIANA MARCELA MEDINA</t>
        </is>
      </c>
      <c r="D1223" s="13" t="n">
        <v>5900</v>
      </c>
      <c r="E1223" s="11" t="n">
        <v>2794486.34</v>
      </c>
    </row>
    <row r="1224">
      <c r="A1224" s="11" t="n">
        <v>1223</v>
      </c>
      <c r="B1224" s="12" t="n">
        <v>46084</v>
      </c>
      <c r="C1224" s="11" t="inlineStr">
        <is>
          <t>RECIBI POR BRE-B DE: WILSON</t>
        </is>
      </c>
      <c r="D1224" s="13" t="n">
        <v>15200</v>
      </c>
      <c r="E1224" s="11" t="n">
        <v>2788586.34</v>
      </c>
    </row>
    <row r="1225">
      <c r="A1225" s="11" t="n">
        <v>1224</v>
      </c>
      <c r="B1225" s="12" t="n">
        <v>46084</v>
      </c>
      <c r="C1225" s="11" t="inlineStr">
        <is>
          <t>De MANUEL ANTONIO MORA</t>
        </is>
      </c>
      <c r="D1225" s="13" t="n">
        <v>49500</v>
      </c>
      <c r="E1225" s="11" t="n">
        <v>2773386.34</v>
      </c>
    </row>
    <row r="1226">
      <c r="A1226" s="11" t="n">
        <v>1225</v>
      </c>
      <c r="B1226" s="12" t="n">
        <v>46084</v>
      </c>
      <c r="C1226" s="11" t="inlineStr">
        <is>
          <t>De CRISTIAN DAVID ALVAREZ</t>
        </is>
      </c>
      <c r="D1226" s="13" t="n">
        <v>15000</v>
      </c>
      <c r="E1226" s="11" t="n">
        <v>2723886.34</v>
      </c>
    </row>
    <row r="1227">
      <c r="A1227" s="11" t="n">
        <v>1226</v>
      </c>
      <c r="B1227" s="12" t="n">
        <v>46084</v>
      </c>
      <c r="C1227" s="11" t="inlineStr">
        <is>
          <t>De LUIS DANIEL RUIZ TARAPUEZ</t>
        </is>
      </c>
      <c r="D1227" s="13" t="n">
        <v>17500</v>
      </c>
      <c r="E1227" s="11" t="n">
        <v>2708886.34</v>
      </c>
    </row>
    <row r="1228">
      <c r="A1228" s="11" t="n">
        <v>1227</v>
      </c>
      <c r="B1228" s="12" t="n">
        <v>46084</v>
      </c>
      <c r="C1228" s="11" t="inlineStr">
        <is>
          <t>De NILSON MOSQUERA</t>
        </is>
      </c>
      <c r="D1228" s="13" t="n">
        <v>6400</v>
      </c>
      <c r="E1228" s="11" t="n">
        <v>2691386.34</v>
      </c>
    </row>
    <row r="1229">
      <c r="A1229" s="11" t="n">
        <v>1228</v>
      </c>
      <c r="B1229" s="12" t="n">
        <v>46084</v>
      </c>
      <c r="C1229" s="11" t="inlineStr">
        <is>
          <t>De ISAIR YAGARI</t>
        </is>
      </c>
      <c r="D1229" s="13" t="n">
        <v>77100</v>
      </c>
      <c r="E1229" s="11" t="n">
        <v>2684986.34</v>
      </c>
    </row>
    <row r="1230">
      <c r="A1230" s="11" t="n">
        <v>1229</v>
      </c>
      <c r="B1230" s="12" t="n">
        <v>46084</v>
      </c>
      <c r="C1230" s="11" t="inlineStr">
        <is>
          <t>De MARLEY BASTIDAS</t>
        </is>
      </c>
      <c r="D1230" s="13" t="n">
        <v>60200</v>
      </c>
      <c r="E1230" s="11" t="n">
        <v>2607886.34</v>
      </c>
    </row>
    <row r="1231">
      <c r="A1231" s="11" t="n">
        <v>1230</v>
      </c>
      <c r="B1231" s="12" t="n">
        <v>46084</v>
      </c>
      <c r="C1231" s="11" t="inlineStr">
        <is>
          <t>De DOLY VARGAS GAMBOA</t>
        </is>
      </c>
      <c r="D1231" s="13" t="n">
        <v>110000</v>
      </c>
      <c r="E1231" s="11" t="n">
        <v>2547686.34</v>
      </c>
    </row>
    <row r="1232">
      <c r="A1232" s="11" t="n">
        <v>1231</v>
      </c>
      <c r="B1232" s="12" t="n">
        <v>46084</v>
      </c>
      <c r="C1232" s="11" t="inlineStr">
        <is>
          <t>De DOLY VARGAS GAMBOA</t>
        </is>
      </c>
      <c r="D1232" s="13" t="n">
        <v>5800</v>
      </c>
      <c r="E1232" s="11" t="n">
        <v>2437686.34</v>
      </c>
    </row>
    <row r="1233">
      <c r="A1233" s="11" t="n">
        <v>1232</v>
      </c>
      <c r="B1233" s="12" t="n">
        <v>46084</v>
      </c>
      <c r="C1233" s="11" t="inlineStr">
        <is>
          <t>De DANIELA FERNANDA LEIVA</t>
        </is>
      </c>
      <c r="D1233" s="13" t="n">
        <v>27200</v>
      </c>
      <c r="E1233" s="11" t="n">
        <v>2431886.34</v>
      </c>
    </row>
    <row r="1234">
      <c r="A1234" s="11" t="n">
        <v>1233</v>
      </c>
      <c r="B1234" s="12" t="n">
        <v>46084</v>
      </c>
      <c r="C1234" s="11" t="inlineStr">
        <is>
          <t>De STEVEN MAURICIO RECALDE</t>
        </is>
      </c>
      <c r="D1234" s="13" t="n">
        <v>22400</v>
      </c>
      <c r="E1234" s="11" t="n">
        <v>2404686.34</v>
      </c>
    </row>
    <row r="1235">
      <c r="A1235" s="11" t="n">
        <v>1234</v>
      </c>
      <c r="B1235" s="12" t="n">
        <v>46084</v>
      </c>
      <c r="C1235" s="11" t="inlineStr">
        <is>
          <t>De YOLANDA TORO QUINTERO</t>
        </is>
      </c>
      <c r="D1235" s="13" t="n">
        <v>31800</v>
      </c>
      <c r="E1235" s="11" t="n">
        <v>2382286.34</v>
      </c>
    </row>
    <row r="1236">
      <c r="A1236" s="11" t="n">
        <v>1235</v>
      </c>
      <c r="B1236" s="12" t="n">
        <v>46084</v>
      </c>
      <c r="C1236" s="11" t="inlineStr">
        <is>
          <t>De ANGELA MILADY SANCHEZ</t>
        </is>
      </c>
      <c r="D1236" s="13" t="n">
        <v>13800</v>
      </c>
      <c r="E1236" s="11" t="n">
        <v>2350486.34</v>
      </c>
    </row>
    <row r="1237">
      <c r="A1237" s="11" t="n">
        <v>1236</v>
      </c>
      <c r="B1237" s="12" t="n">
        <v>46084</v>
      </c>
      <c r="C1237" s="11" t="inlineStr">
        <is>
          <t>De JHIMMY GEOVANI TORO</t>
        </is>
      </c>
      <c r="D1237" s="13" t="n">
        <v>6500</v>
      </c>
      <c r="E1237" s="11" t="n">
        <v>2336686.34</v>
      </c>
    </row>
    <row r="1238">
      <c r="A1238" s="11" t="n">
        <v>1237</v>
      </c>
      <c r="B1238" s="12" t="n">
        <v>46084</v>
      </c>
      <c r="C1238" s="11" t="inlineStr">
        <is>
          <t>Para JHON HENRRY BECERRA</t>
        </is>
      </c>
      <c r="D1238" s="13" t="n">
        <v>-1000000</v>
      </c>
      <c r="E1238" s="11" t="n">
        <v>2330186.34</v>
      </c>
    </row>
    <row r="1239">
      <c r="A1239" s="11" t="n">
        <v>1238</v>
      </c>
      <c r="B1239" s="12" t="n">
        <v>46084</v>
      </c>
      <c r="C1239" s="11" t="inlineStr">
        <is>
          <t>Gravamen al Movimiento</t>
        </is>
      </c>
      <c r="D1239" s="13" t="n">
        <v>-4000</v>
      </c>
      <c r="E1239" s="11" t="n">
        <v>3330186.34</v>
      </c>
    </row>
    <row r="1240">
      <c r="A1240" s="11" t="n">
        <v>1239</v>
      </c>
      <c r="B1240" s="12" t="n">
        <v>46084</v>
      </c>
      <c r="C1240" s="11" t="inlineStr">
        <is>
          <t>De JUAN CARLOS SANCHEZ</t>
        </is>
      </c>
      <c r="D1240" s="13" t="n">
        <v>3200</v>
      </c>
      <c r="E1240" s="11" t="n">
        <v>3334186.34</v>
      </c>
    </row>
    <row r="1241">
      <c r="A1241" s="11" t="n">
        <v>1240</v>
      </c>
      <c r="B1241" s="12" t="n">
        <v>46084</v>
      </c>
      <c r="C1241" s="11" t="inlineStr">
        <is>
          <t>Recarga desde Bancolombia QR</t>
        </is>
      </c>
      <c r="D1241" s="13" t="n">
        <v>15200</v>
      </c>
      <c r="E1241" s="11" t="n">
        <v>3330986.34</v>
      </c>
    </row>
    <row r="1242">
      <c r="A1242" s="11" t="n">
        <v>1241</v>
      </c>
      <c r="B1242" s="12" t="n">
        <v>46084</v>
      </c>
      <c r="C1242" s="11" t="inlineStr">
        <is>
          <t>De ALVARO LIVANIEL BERNAL</t>
        </is>
      </c>
      <c r="D1242" s="13" t="n">
        <v>21900</v>
      </c>
      <c r="E1242" s="11" t="n">
        <v>3315786.34</v>
      </c>
    </row>
    <row r="1243">
      <c r="A1243" s="11" t="n">
        <v>1242</v>
      </c>
      <c r="B1243" s="12" t="n">
        <v>46084</v>
      </c>
      <c r="C1243" s="11" t="inlineStr">
        <is>
          <t>De JENNY RENATA RAMIREZ</t>
        </is>
      </c>
      <c r="D1243" s="13" t="n">
        <v>36400</v>
      </c>
      <c r="E1243" s="11" t="n">
        <v>3293886.34</v>
      </c>
    </row>
    <row r="1244">
      <c r="A1244" s="11" t="n">
        <v>1243</v>
      </c>
      <c r="B1244" s="12" t="n">
        <v>46084</v>
      </c>
      <c r="C1244" s="11" t="inlineStr">
        <is>
          <t>De MONICA ALEXANDRA</t>
        </is>
      </c>
      <c r="D1244" s="13" t="n">
        <v>14300</v>
      </c>
      <c r="E1244" s="11" t="n">
        <v>3257486.34</v>
      </c>
    </row>
    <row r="1245">
      <c r="A1245" s="11" t="n">
        <v>1244</v>
      </c>
      <c r="B1245" s="12" t="n">
        <v>46084</v>
      </c>
      <c r="C1245" s="11" t="inlineStr">
        <is>
          <t>De LUIS ALEXANDER DOVIGAMA</t>
        </is>
      </c>
      <c r="D1245" s="13" t="n">
        <v>26000</v>
      </c>
      <c r="E1245" s="11" t="n">
        <v>3243186.34</v>
      </c>
    </row>
    <row r="1246">
      <c r="A1246" s="11" t="n">
        <v>1245</v>
      </c>
      <c r="B1246" s="12" t="n">
        <v>46084</v>
      </c>
      <c r="C1246" s="11" t="inlineStr">
        <is>
          <t>De NANCY CARO CASTRO</t>
        </is>
      </c>
      <c r="D1246" s="13" t="n">
        <v>22500</v>
      </c>
      <c r="E1246" s="11" t="n">
        <v>3217186.34</v>
      </c>
    </row>
    <row r="1247">
      <c r="A1247" s="11" t="n">
        <v>1246</v>
      </c>
      <c r="B1247" s="12" t="n">
        <v>46084</v>
      </c>
      <c r="C1247" s="11" t="inlineStr">
        <is>
          <t>De LINDA LUCIA YEPES</t>
        </is>
      </c>
      <c r="D1247" s="13" t="n">
        <v>21100</v>
      </c>
      <c r="E1247" s="11" t="n">
        <v>3194686.34</v>
      </c>
    </row>
    <row r="1248">
      <c r="A1248" s="11" t="n">
        <v>1247</v>
      </c>
      <c r="B1248" s="12" t="n">
        <v>46084</v>
      </c>
      <c r="C1248" s="11" t="inlineStr">
        <is>
          <t>Recarga desde Bancolombia QR</t>
        </is>
      </c>
      <c r="D1248" s="13" t="n">
        <v>41800</v>
      </c>
      <c r="E1248" s="11" t="n">
        <v>3173586.34</v>
      </c>
    </row>
    <row r="1249">
      <c r="A1249" s="11" t="n">
        <v>1248</v>
      </c>
      <c r="B1249" s="12" t="n">
        <v>46084</v>
      </c>
      <c r="C1249" s="11" t="inlineStr">
        <is>
          <t>De ERIKA NAYELY BURBANO</t>
        </is>
      </c>
      <c r="D1249" s="13" t="n">
        <v>7700</v>
      </c>
      <c r="E1249" s="11" t="n">
        <v>3131786.34</v>
      </c>
    </row>
    <row r="1250">
      <c r="A1250" s="11" t="n">
        <v>1249</v>
      </c>
      <c r="B1250" s="12" t="n">
        <v>46084</v>
      </c>
      <c r="C1250" s="11" t="inlineStr">
        <is>
          <t>De CAROLINA RENDON GARCIA</t>
        </is>
      </c>
      <c r="D1250" s="13" t="n">
        <v>8000</v>
      </c>
      <c r="E1250" s="11" t="n">
        <v>3124086.34</v>
      </c>
    </row>
    <row r="1251">
      <c r="A1251" s="11" t="n">
        <v>1250</v>
      </c>
      <c r="B1251" s="12" t="n">
        <v>46084</v>
      </c>
      <c r="C1251" s="11" t="inlineStr">
        <is>
          <t>De NEIBER ANTONIO ERASO</t>
        </is>
      </c>
      <c r="D1251" s="13" t="n">
        <v>26200</v>
      </c>
      <c r="E1251" s="11" t="n">
        <v>3116086.34</v>
      </c>
    </row>
    <row r="1252">
      <c r="A1252" s="11" t="n">
        <v>1251</v>
      </c>
      <c r="B1252" s="12" t="n">
        <v>46084</v>
      </c>
      <c r="C1252" s="11" t="inlineStr">
        <is>
          <t>De FRAYDER SANCHEZ</t>
        </is>
      </c>
      <c r="D1252" s="13" t="n">
        <v>23000</v>
      </c>
      <c r="E1252" s="11" t="n">
        <v>3089886.34</v>
      </c>
    </row>
    <row r="1253">
      <c r="A1253" s="11" t="n">
        <v>1252</v>
      </c>
      <c r="B1253" s="12" t="n">
        <v>46084</v>
      </c>
      <c r="C1253" s="11" t="inlineStr">
        <is>
          <t>Gravamen al Movimiento</t>
        </is>
      </c>
      <c r="D1253" s="13" t="n">
        <v>-845.46</v>
      </c>
      <c r="E1253" s="11" t="n">
        <v>3066886.34</v>
      </c>
    </row>
    <row r="1254">
      <c r="A1254" s="11" t="n">
        <v>1253</v>
      </c>
      <c r="B1254" s="12" t="n">
        <v>46084</v>
      </c>
      <c r="C1254" s="11" t="inlineStr">
        <is>
          <t>Carlos Hernan Cardona Lozano</t>
        </is>
      </c>
      <c r="D1254" s="13" t="n">
        <v>-211365</v>
      </c>
      <c r="E1254" s="11" t="n">
        <v>3067731.8</v>
      </c>
    </row>
    <row r="1255">
      <c r="A1255" s="11" t="n">
        <v>1254</v>
      </c>
      <c r="B1255" s="12" t="n">
        <v>46084</v>
      </c>
      <c r="C1255" s="11" t="inlineStr">
        <is>
          <t>De CARLOS MENDOZA</t>
        </is>
      </c>
      <c r="D1255" s="13" t="n">
        <v>20100</v>
      </c>
      <c r="E1255" s="11" t="n">
        <v>3279096.8</v>
      </c>
    </row>
    <row r="1256">
      <c r="A1256" s="11" t="n">
        <v>1255</v>
      </c>
      <c r="B1256" s="12" t="n">
        <v>46084</v>
      </c>
      <c r="C1256" s="11" t="inlineStr">
        <is>
          <t>De ADA SULAN ZAMBRANO</t>
        </is>
      </c>
      <c r="D1256" s="13" t="n">
        <v>16800</v>
      </c>
      <c r="E1256" s="11" t="n">
        <v>3258996.8</v>
      </c>
    </row>
    <row r="1257">
      <c r="A1257" s="11" t="n">
        <v>1256</v>
      </c>
      <c r="B1257" s="12" t="n">
        <v>46084</v>
      </c>
      <c r="C1257" s="11" t="inlineStr">
        <is>
          <t>Recarga desde Bancolombia QR</t>
        </is>
      </c>
      <c r="D1257" s="13" t="n">
        <v>13200</v>
      </c>
      <c r="E1257" s="11" t="n">
        <v>3242196.8</v>
      </c>
    </row>
    <row r="1258">
      <c r="A1258" s="11" t="n">
        <v>1257</v>
      </c>
      <c r="B1258" s="12" t="n">
        <v>46084</v>
      </c>
      <c r="C1258" s="11" t="inlineStr">
        <is>
          <t>De BLANCA CECILIA GIRALDO</t>
        </is>
      </c>
      <c r="D1258" s="13" t="n">
        <v>30000</v>
      </c>
      <c r="E1258" s="11" t="n">
        <v>3228996.8</v>
      </c>
    </row>
    <row r="1259">
      <c r="A1259" s="11" t="n">
        <v>1258</v>
      </c>
      <c r="B1259" s="12" t="n">
        <v>46084</v>
      </c>
      <c r="C1259" s="11" t="inlineStr">
        <is>
          <t>De MONICA LEINETH BURBANO</t>
        </is>
      </c>
      <c r="D1259" s="13" t="n">
        <v>49100</v>
      </c>
      <c r="E1259" s="11" t="n">
        <v>3198996.8</v>
      </c>
    </row>
    <row r="1260">
      <c r="A1260" s="11" t="n">
        <v>1259</v>
      </c>
      <c r="B1260" s="12" t="n">
        <v>46084</v>
      </c>
      <c r="C1260" s="11" t="inlineStr">
        <is>
          <t>De YULIETH DANIELA PAEZ</t>
        </is>
      </c>
      <c r="D1260" s="13" t="n">
        <v>5100</v>
      </c>
      <c r="E1260" s="11" t="n">
        <v>3149896.8</v>
      </c>
    </row>
    <row r="1261">
      <c r="A1261" s="11" t="n">
        <v>1260</v>
      </c>
      <c r="B1261" s="12" t="n">
        <v>46084</v>
      </c>
      <c r="C1261" s="11" t="inlineStr">
        <is>
          <t>De MARTHA BECERRA ZAMORA</t>
        </is>
      </c>
      <c r="D1261" s="13" t="n">
        <v>34000</v>
      </c>
      <c r="E1261" s="11" t="n">
        <v>3144796.8</v>
      </c>
    </row>
    <row r="1262">
      <c r="A1262" s="11" t="n">
        <v>1261</v>
      </c>
      <c r="B1262" s="12" t="n">
        <v>46084</v>
      </c>
      <c r="C1262" s="11" t="inlineStr">
        <is>
          <t>RECIBI POR BRE-B DE: MARIA</t>
        </is>
      </c>
      <c r="D1262" s="13" t="n">
        <v>7800</v>
      </c>
      <c r="E1262" s="11" t="n">
        <v>3110796.8</v>
      </c>
    </row>
    <row r="1263">
      <c r="A1263" s="11" t="n">
        <v>1262</v>
      </c>
      <c r="B1263" s="12" t="n">
        <v>46083</v>
      </c>
      <c r="C1263" s="11" t="inlineStr">
        <is>
          <t>De KAREN CHAZATAR BOTINA</t>
        </is>
      </c>
      <c r="D1263" s="13" t="n">
        <v>14000</v>
      </c>
      <c r="E1263" s="11" t="n">
        <v>3102996.8</v>
      </c>
    </row>
    <row r="1264">
      <c r="A1264" s="11" t="n">
        <v>1263</v>
      </c>
      <c r="B1264" s="12" t="n">
        <v>46083</v>
      </c>
      <c r="C1264" s="11" t="inlineStr">
        <is>
          <t>Recarga desde Bancolombia QR</t>
        </is>
      </c>
      <c r="D1264" s="13" t="n">
        <v>39600</v>
      </c>
      <c r="E1264" s="11" t="n">
        <v>3088996.8</v>
      </c>
    </row>
    <row r="1265">
      <c r="A1265" s="11" t="n">
        <v>1264</v>
      </c>
      <c r="B1265" s="12" t="n">
        <v>46083</v>
      </c>
      <c r="C1265" s="11" t="inlineStr">
        <is>
          <t>De ANGEL BARNEY CABRERA</t>
        </is>
      </c>
      <c r="D1265" s="13" t="n">
        <v>36500</v>
      </c>
      <c r="E1265" s="11" t="n">
        <v>3049396.8</v>
      </c>
    </row>
    <row r="1266">
      <c r="A1266" s="11" t="n">
        <v>1265</v>
      </c>
      <c r="B1266" s="12" t="n">
        <v>46083</v>
      </c>
      <c r="C1266" s="11" t="inlineStr">
        <is>
          <t>De YEISON ESTACIO</t>
        </is>
      </c>
      <c r="D1266" s="13" t="n">
        <v>33800</v>
      </c>
      <c r="E1266" s="11" t="n">
        <v>3012896.8</v>
      </c>
    </row>
    <row r="1267">
      <c r="A1267" s="11" t="n">
        <v>1266</v>
      </c>
      <c r="B1267" s="12" t="n">
        <v>46083</v>
      </c>
      <c r="C1267" s="11" t="inlineStr">
        <is>
          <t>Recarga desde Bancolombia QR</t>
        </is>
      </c>
      <c r="D1267" s="13" t="n">
        <v>3500</v>
      </c>
      <c r="E1267" s="11" t="n">
        <v>2979096.8</v>
      </c>
    </row>
    <row r="1268">
      <c r="A1268" s="11" t="n">
        <v>1267</v>
      </c>
      <c r="B1268" s="12" t="n">
        <v>46083</v>
      </c>
      <c r="C1268" s="11" t="inlineStr">
        <is>
          <t>De ALEXI YURANY ORTIZ</t>
        </is>
      </c>
      <c r="D1268" s="13" t="n">
        <v>40300</v>
      </c>
      <c r="E1268" s="11" t="n">
        <v>2975596.8</v>
      </c>
    </row>
    <row r="1269">
      <c r="A1269" s="11" t="n">
        <v>1268</v>
      </c>
      <c r="B1269" s="12" t="n">
        <v>46083</v>
      </c>
      <c r="C1269" s="11" t="inlineStr">
        <is>
          <t>Recarga desde Bancolombia QR</t>
        </is>
      </c>
      <c r="D1269" s="13" t="n">
        <v>46500</v>
      </c>
      <c r="E1269" s="11" t="n">
        <v>2935296.8</v>
      </c>
    </row>
    <row r="1270">
      <c r="A1270" s="11" t="n">
        <v>1269</v>
      </c>
      <c r="B1270" s="12" t="n">
        <v>46083</v>
      </c>
      <c r="C1270" s="11" t="inlineStr">
        <is>
          <t>De SALOME ALEJANDRA</t>
        </is>
      </c>
      <c r="D1270" s="13" t="n">
        <v>23200</v>
      </c>
      <c r="E1270" s="11" t="n">
        <v>2888796.8</v>
      </c>
    </row>
    <row r="1271">
      <c r="A1271" s="11" t="n">
        <v>1270</v>
      </c>
      <c r="B1271" s="12" t="n">
        <v>46083</v>
      </c>
      <c r="C1271" s="11" t="inlineStr">
        <is>
          <t>RECIBI POR BRE-B DE: ANGUIE</t>
        </is>
      </c>
      <c r="D1271" s="13" t="n">
        <v>93100</v>
      </c>
      <c r="E1271" s="11" t="n">
        <v>2865596.8</v>
      </c>
    </row>
    <row r="1272">
      <c r="A1272" s="11" t="n">
        <v>1271</v>
      </c>
      <c r="B1272" s="12" t="n">
        <v>46083</v>
      </c>
      <c r="C1272" s="11" t="inlineStr">
        <is>
          <t>De LICET YAELY CASTRO</t>
        </is>
      </c>
      <c r="D1272" s="13" t="n">
        <v>17200</v>
      </c>
      <c r="E1272" s="11" t="n">
        <v>2772496.8</v>
      </c>
    </row>
    <row r="1273">
      <c r="A1273" s="11" t="n">
        <v>1272</v>
      </c>
      <c r="B1273" s="12" t="n">
        <v>46083</v>
      </c>
      <c r="C1273" s="11" t="inlineStr">
        <is>
          <t>De YESID FLOREZ LONDONO</t>
        </is>
      </c>
      <c r="D1273" s="13" t="n">
        <v>24700</v>
      </c>
      <c r="E1273" s="11" t="n">
        <v>2755296.8</v>
      </c>
    </row>
    <row r="1274">
      <c r="A1274" s="11" t="n">
        <v>1273</v>
      </c>
      <c r="B1274" s="12" t="n">
        <v>46083</v>
      </c>
      <c r="C1274" s="11" t="inlineStr">
        <is>
          <t>De MARIO JACINTO LUNA CRUZ</t>
        </is>
      </c>
      <c r="D1274" s="13" t="n">
        <v>20500</v>
      </c>
      <c r="E1274" s="11" t="n">
        <v>2730596.8</v>
      </c>
    </row>
    <row r="1275">
      <c r="A1275" s="11" t="n">
        <v>1274</v>
      </c>
      <c r="B1275" s="12" t="n">
        <v>46083</v>
      </c>
      <c r="C1275" s="11" t="inlineStr">
        <is>
          <t>Recarga desde Bancolombia</t>
        </is>
      </c>
      <c r="D1275" s="13" t="n">
        <v>51300</v>
      </c>
      <c r="E1275" s="11" t="n">
        <v>2710096.8</v>
      </c>
    </row>
    <row r="1276">
      <c r="A1276" s="11" t="n">
        <v>1275</v>
      </c>
      <c r="B1276" s="12" t="n">
        <v>46083</v>
      </c>
      <c r="C1276" s="11" t="inlineStr">
        <is>
          <t>De DAYAN LISETH CONGOTTE</t>
        </is>
      </c>
      <c r="D1276" s="13" t="n">
        <v>55636</v>
      </c>
      <c r="E1276" s="11" t="n">
        <v>2658796.8</v>
      </c>
    </row>
    <row r="1277">
      <c r="A1277" s="11" t="n">
        <v>1276</v>
      </c>
      <c r="B1277" s="12" t="n">
        <v>46083</v>
      </c>
      <c r="C1277" s="11" t="inlineStr">
        <is>
          <t>De WILLIAM HERNANDO SILVA</t>
        </is>
      </c>
      <c r="D1277" s="13" t="n">
        <v>51435</v>
      </c>
      <c r="E1277" s="11" t="n">
        <v>2603160.8</v>
      </c>
    </row>
    <row r="1278">
      <c r="A1278" s="11" t="n">
        <v>1277</v>
      </c>
      <c r="B1278" s="12" t="n">
        <v>46083</v>
      </c>
      <c r="C1278" s="11" t="inlineStr">
        <is>
          <t>Gravamen al Movimiento</t>
        </is>
      </c>
      <c r="D1278" s="13" t="n">
        <v>-9511.76</v>
      </c>
      <c r="E1278" s="11" t="n">
        <v>2551725.8</v>
      </c>
    </row>
    <row r="1279">
      <c r="A1279" s="11" t="n">
        <v>1278</v>
      </c>
      <c r="B1279" s="12" t="n">
        <v>46083</v>
      </c>
      <c r="C1279" s="11" t="inlineStr">
        <is>
          <t>HER*** ANT*** PAT***</t>
        </is>
      </c>
      <c r="D1279" s="13" t="n">
        <v>-2377939</v>
      </c>
      <c r="E1279" s="11" t="n">
        <v>2561237.56</v>
      </c>
    </row>
    <row r="1280">
      <c r="A1280" s="11" t="n">
        <v>1279</v>
      </c>
      <c r="B1280" s="12" t="n">
        <v>46083</v>
      </c>
      <c r="C1280" s="11" t="inlineStr">
        <is>
          <t>De VICTOR HUGO IMBACUAN</t>
        </is>
      </c>
      <c r="D1280" s="13" t="n">
        <v>24800</v>
      </c>
      <c r="E1280" s="11" t="n">
        <v>4939176.56</v>
      </c>
    </row>
    <row r="1281">
      <c r="A1281" s="11" t="n">
        <v>1280</v>
      </c>
      <c r="B1281" s="12" t="n">
        <v>46083</v>
      </c>
      <c r="C1281" s="11" t="inlineStr">
        <is>
          <t>De JENNY FERNANDA</t>
        </is>
      </c>
      <c r="D1281" s="13" t="n">
        <v>47700</v>
      </c>
      <c r="E1281" s="11" t="n">
        <v>4914376.56</v>
      </c>
    </row>
    <row r="1282">
      <c r="A1282" s="11" t="n">
        <v>1281</v>
      </c>
      <c r="B1282" s="12" t="n">
        <v>46083</v>
      </c>
      <c r="C1282" s="11" t="inlineStr">
        <is>
          <t>De MARYORY SANCHEZ CRUZ</t>
        </is>
      </c>
      <c r="D1282" s="13" t="n">
        <v>17200</v>
      </c>
      <c r="E1282" s="11" t="n">
        <v>4866676.56</v>
      </c>
    </row>
    <row r="1283">
      <c r="A1283" s="11" t="n">
        <v>1282</v>
      </c>
      <c r="B1283" s="12" t="n">
        <v>46083</v>
      </c>
      <c r="C1283" s="11" t="inlineStr">
        <is>
          <t>RECIBI POR BRE-B DE:</t>
        </is>
      </c>
      <c r="D1283" s="13" t="n">
        <v>12900</v>
      </c>
      <c r="E1283" s="11" t="n">
        <v>4849476.56</v>
      </c>
    </row>
    <row r="1284">
      <c r="A1284" s="11" t="n">
        <v>1283</v>
      </c>
      <c r="B1284" s="12" t="n">
        <v>46083</v>
      </c>
      <c r="C1284" s="11" t="inlineStr">
        <is>
          <t>RECIBI POR BRE-B DE:</t>
        </is>
      </c>
      <c r="D1284" s="13" t="n">
        <v>38100</v>
      </c>
      <c r="E1284" s="11" t="n">
        <v>4836576.56</v>
      </c>
    </row>
    <row r="1285">
      <c r="A1285" s="11" t="n">
        <v>1284</v>
      </c>
      <c r="B1285" s="12" t="n">
        <v>46083</v>
      </c>
      <c r="C1285" s="11" t="inlineStr">
        <is>
          <t>RECIBI POR BRE-B DE: EDWIN</t>
        </is>
      </c>
      <c r="D1285" s="13" t="n">
        <v>36500</v>
      </c>
      <c r="E1285" s="11" t="n">
        <v>4798476.56</v>
      </c>
    </row>
    <row r="1286">
      <c r="A1286" s="11" t="n">
        <v>1285</v>
      </c>
      <c r="B1286" s="12" t="n">
        <v>46083</v>
      </c>
      <c r="C1286" s="11" t="inlineStr">
        <is>
          <t>De JOHAN ALDANA RENTERIA</t>
        </is>
      </c>
      <c r="D1286" s="13" t="n">
        <v>6000</v>
      </c>
      <c r="E1286" s="11" t="n">
        <v>4761976.56</v>
      </c>
    </row>
    <row r="1287">
      <c r="A1287" s="11" t="n">
        <v>1286</v>
      </c>
      <c r="B1287" s="12" t="n">
        <v>46083</v>
      </c>
      <c r="C1287" s="11" t="inlineStr">
        <is>
          <t>De EDISSON JUNIOR CHANA</t>
        </is>
      </c>
      <c r="D1287" s="13" t="n">
        <v>33000</v>
      </c>
      <c r="E1287" s="11" t="n">
        <v>4755976.56</v>
      </c>
    </row>
    <row r="1288">
      <c r="A1288" s="11" t="n">
        <v>1287</v>
      </c>
      <c r="B1288" s="12" t="n">
        <v>46083</v>
      </c>
      <c r="C1288" s="11" t="inlineStr">
        <is>
          <t>De INGRI GISSEL ORTEGA</t>
        </is>
      </c>
      <c r="D1288" s="13" t="n">
        <v>17400</v>
      </c>
      <c r="E1288" s="11" t="n">
        <v>4722976.56</v>
      </c>
    </row>
    <row r="1289">
      <c r="A1289" s="11" t="n">
        <v>1288</v>
      </c>
      <c r="B1289" s="12" t="n">
        <v>46083</v>
      </c>
      <c r="C1289" s="11" t="inlineStr">
        <is>
          <t>De KEINY LORENA MARTINEZ</t>
        </is>
      </c>
      <c r="D1289" s="13" t="n">
        <v>14000</v>
      </c>
      <c r="E1289" s="11" t="n">
        <v>4705576.56</v>
      </c>
    </row>
    <row r="1290">
      <c r="A1290" s="11" t="n">
        <v>1289</v>
      </c>
      <c r="B1290" s="12" t="n">
        <v>46083</v>
      </c>
      <c r="C1290" s="11" t="inlineStr">
        <is>
          <t>De KAREN JISSELA RENTERIA</t>
        </is>
      </c>
      <c r="D1290" s="13" t="n">
        <v>25100</v>
      </c>
      <c r="E1290" s="11" t="n">
        <v>4691576.56</v>
      </c>
    </row>
    <row r="1291">
      <c r="A1291" s="11" t="n">
        <v>1290</v>
      </c>
      <c r="B1291" s="12" t="n">
        <v>46083</v>
      </c>
      <c r="C1291" s="11" t="inlineStr">
        <is>
          <t>De MARTHA LILIANA QUISTIAL</t>
        </is>
      </c>
      <c r="D1291" s="13" t="n">
        <v>14300</v>
      </c>
      <c r="E1291" s="11" t="n">
        <v>4666476.56</v>
      </c>
    </row>
    <row r="1292">
      <c r="A1292" s="11" t="n">
        <v>1291</v>
      </c>
      <c r="B1292" s="12" t="n">
        <v>46083</v>
      </c>
      <c r="C1292" s="11" t="inlineStr">
        <is>
          <t>De KATHERINE EGAS CUARTAS</t>
        </is>
      </c>
      <c r="D1292" s="13" t="n">
        <v>10000</v>
      </c>
      <c r="E1292" s="11" t="n">
        <v>4652176.56</v>
      </c>
    </row>
    <row r="1293">
      <c r="A1293" s="11" t="n">
        <v>1292</v>
      </c>
      <c r="B1293" s="12" t="n">
        <v>46083</v>
      </c>
      <c r="C1293" s="11" t="inlineStr">
        <is>
          <t>Recarga desde Bancolombia QR</t>
        </is>
      </c>
      <c r="D1293" s="13" t="n">
        <v>52100</v>
      </c>
      <c r="E1293" s="11" t="n">
        <v>4642176.56</v>
      </c>
    </row>
    <row r="1294">
      <c r="A1294" s="11" t="n">
        <v>1293</v>
      </c>
      <c r="B1294" s="12" t="n">
        <v>46083</v>
      </c>
      <c r="C1294" s="11" t="inlineStr">
        <is>
          <t>De DOLY VARGAS GAMBOA</t>
        </is>
      </c>
      <c r="D1294" s="13" t="n">
        <v>335000</v>
      </c>
      <c r="E1294" s="11" t="n">
        <v>4590076.56</v>
      </c>
    </row>
    <row r="1295">
      <c r="A1295" s="11" t="n">
        <v>1294</v>
      </c>
      <c r="B1295" s="12" t="n">
        <v>46083</v>
      </c>
      <c r="C1295" s="11" t="inlineStr">
        <is>
          <t>De JAMES ADALBERTO</t>
        </is>
      </c>
      <c r="D1295" s="13" t="n">
        <v>10000</v>
      </c>
      <c r="E1295" s="11" t="n">
        <v>4255076.56</v>
      </c>
    </row>
    <row r="1296">
      <c r="A1296" s="11" t="n">
        <v>1295</v>
      </c>
      <c r="B1296" s="12" t="n">
        <v>46083</v>
      </c>
      <c r="C1296" s="11" t="inlineStr">
        <is>
          <t>Recarga desde Bancolombia QR</t>
        </is>
      </c>
      <c r="D1296" s="13" t="n">
        <v>6000</v>
      </c>
      <c r="E1296" s="11" t="n">
        <v>4245076.56</v>
      </c>
    </row>
    <row r="1297">
      <c r="A1297" s="11" t="n">
        <v>1296</v>
      </c>
      <c r="B1297" s="12" t="n">
        <v>46083</v>
      </c>
      <c r="C1297" s="11" t="inlineStr">
        <is>
          <t>De NELCI GLADIS DELGADO</t>
        </is>
      </c>
      <c r="D1297" s="13" t="n">
        <v>137500</v>
      </c>
      <c r="E1297" s="11" t="n">
        <v>4239076.56</v>
      </c>
    </row>
    <row r="1298">
      <c r="A1298" s="11" t="n">
        <v>1297</v>
      </c>
      <c r="B1298" s="12" t="n">
        <v>46083</v>
      </c>
      <c r="C1298" s="11" t="inlineStr">
        <is>
          <t>De KAREN TATIANA RODRIGUEZ</t>
        </is>
      </c>
      <c r="D1298" s="13" t="n">
        <v>2800</v>
      </c>
      <c r="E1298" s="11" t="n">
        <v>4101576.56</v>
      </c>
    </row>
    <row r="1299">
      <c r="A1299" s="11" t="n">
        <v>1298</v>
      </c>
      <c r="B1299" s="12" t="n">
        <v>46083</v>
      </c>
      <c r="C1299" s="11" t="inlineStr">
        <is>
          <t>De NICOLAS DANIEL MURIEL</t>
        </is>
      </c>
      <c r="D1299" s="13" t="n">
        <v>9100</v>
      </c>
      <c r="E1299" s="11" t="n">
        <v>4098776.56</v>
      </c>
    </row>
    <row r="1300">
      <c r="A1300" s="11" t="n">
        <v>1299</v>
      </c>
      <c r="B1300" s="12" t="n">
        <v>46083</v>
      </c>
      <c r="C1300" s="11" t="inlineStr">
        <is>
          <t>De MAGALY RUIZ LUNA</t>
        </is>
      </c>
      <c r="D1300" s="13" t="n">
        <v>60000</v>
      </c>
      <c r="E1300" s="11" t="n">
        <v>4089676.56</v>
      </c>
    </row>
    <row r="1301">
      <c r="A1301" s="11" t="n">
        <v>1300</v>
      </c>
      <c r="B1301" s="12" t="n">
        <v>46083</v>
      </c>
      <c r="C1301" s="11" t="inlineStr">
        <is>
          <t>De EMIR YAQUELINE ROSERO</t>
        </is>
      </c>
      <c r="D1301" s="13" t="n">
        <v>7400</v>
      </c>
      <c r="E1301" s="11" t="n">
        <v>4029676.56</v>
      </c>
    </row>
    <row r="1302">
      <c r="A1302" s="11" t="n">
        <v>1301</v>
      </c>
      <c r="B1302" s="12" t="n">
        <v>46083</v>
      </c>
      <c r="C1302" s="11" t="inlineStr">
        <is>
          <t>De EDWAR ANDRES BRAVO</t>
        </is>
      </c>
      <c r="D1302" s="13" t="n">
        <v>15000</v>
      </c>
      <c r="E1302" s="11" t="n">
        <v>4022276.56</v>
      </c>
    </row>
    <row r="1303">
      <c r="A1303" s="11" t="n">
        <v>1302</v>
      </c>
      <c r="B1303" s="12" t="n">
        <v>46083</v>
      </c>
      <c r="C1303" s="11" t="inlineStr">
        <is>
          <t>De EMIR YAQUELINE ROSERO</t>
        </is>
      </c>
      <c r="D1303" s="13" t="n">
        <v>11600</v>
      </c>
      <c r="E1303" s="11" t="n">
        <v>4007276.56</v>
      </c>
    </row>
    <row r="1304">
      <c r="A1304" s="11" t="n">
        <v>1303</v>
      </c>
      <c r="B1304" s="12" t="n">
        <v>46083</v>
      </c>
      <c r="C1304" s="11" t="inlineStr">
        <is>
          <t>De NICOLAS DANIEL MURIEL</t>
        </is>
      </c>
      <c r="D1304" s="13" t="n">
        <v>5500</v>
      </c>
      <c r="E1304" s="11" t="n">
        <v>3995676.56</v>
      </c>
    </row>
    <row r="1305">
      <c r="A1305" s="11" t="n">
        <v>1304</v>
      </c>
      <c r="B1305" s="12" t="n">
        <v>46083</v>
      </c>
      <c r="C1305" s="11" t="inlineStr">
        <is>
          <t>RECIBI POR BRE-B DE: VICTOR</t>
        </is>
      </c>
      <c r="D1305" s="13" t="n">
        <v>39500</v>
      </c>
      <c r="E1305" s="11" t="n">
        <v>3990176.56</v>
      </c>
    </row>
    <row r="1306">
      <c r="A1306" s="11" t="n">
        <v>1305</v>
      </c>
      <c r="B1306" s="12" t="n">
        <v>46083</v>
      </c>
      <c r="C1306" s="11" t="inlineStr">
        <is>
          <t>De WEYTMAN HERNAN</t>
        </is>
      </c>
      <c r="D1306" s="13" t="n">
        <v>15900</v>
      </c>
      <c r="E1306" s="11" t="n">
        <v>3950676.56</v>
      </c>
    </row>
    <row r="1307">
      <c r="A1307" s="11" t="n">
        <v>1306</v>
      </c>
      <c r="B1307" s="12" t="n">
        <v>46083</v>
      </c>
      <c r="C1307" s="11" t="inlineStr">
        <is>
          <t>De JENNIFER MOSQUERA</t>
        </is>
      </c>
      <c r="D1307" s="13" t="n">
        <v>15000</v>
      </c>
      <c r="E1307" s="11" t="n">
        <v>3934776.56</v>
      </c>
    </row>
    <row r="1308">
      <c r="A1308" s="11" t="n">
        <v>1307</v>
      </c>
      <c r="B1308" s="12" t="n">
        <v>46083</v>
      </c>
      <c r="C1308" s="11" t="inlineStr">
        <is>
          <t>De PAULA ANDREA BERNAL</t>
        </is>
      </c>
      <c r="D1308" s="13" t="n">
        <v>44600</v>
      </c>
      <c r="E1308" s="11" t="n">
        <v>3919776.56</v>
      </c>
    </row>
    <row r="1309">
      <c r="A1309" s="11" t="n">
        <v>1308</v>
      </c>
      <c r="B1309" s="12" t="n">
        <v>46083</v>
      </c>
      <c r="C1309" s="11" t="inlineStr">
        <is>
          <t>De JUAN CARLOS SANCHEZ</t>
        </is>
      </c>
      <c r="D1309" s="13" t="n">
        <v>14300</v>
      </c>
      <c r="E1309" s="11" t="n">
        <v>3875176.56</v>
      </c>
    </row>
    <row r="1310">
      <c r="A1310" s="11" t="n">
        <v>1309</v>
      </c>
      <c r="B1310" s="12" t="n">
        <v>46083</v>
      </c>
      <c r="C1310" s="11" t="inlineStr">
        <is>
          <t>De AMILO FERNEY LOPEZ</t>
        </is>
      </c>
      <c r="D1310" s="13" t="n">
        <v>20000</v>
      </c>
      <c r="E1310" s="11" t="n">
        <v>3860876.56</v>
      </c>
    </row>
    <row r="1311">
      <c r="A1311" s="11" t="n">
        <v>1310</v>
      </c>
      <c r="B1311" s="12" t="n">
        <v>46083</v>
      </c>
      <c r="C1311" s="11" t="inlineStr">
        <is>
          <t>De LEIDY VANESSA ARIAS</t>
        </is>
      </c>
      <c r="D1311" s="13" t="n">
        <v>16800</v>
      </c>
      <c r="E1311" s="11" t="n">
        <v>3840876.56</v>
      </c>
    </row>
    <row r="1312">
      <c r="A1312" s="11" t="n">
        <v>1311</v>
      </c>
      <c r="B1312" s="12" t="n">
        <v>46083</v>
      </c>
      <c r="C1312" s="11" t="inlineStr">
        <is>
          <t>De MARTHA LUCIA MUNOZ</t>
        </is>
      </c>
      <c r="D1312" s="13" t="n">
        <v>3000</v>
      </c>
      <c r="E1312" s="11" t="n">
        <v>3824076.56</v>
      </c>
    </row>
    <row r="1313">
      <c r="A1313" s="11" t="n">
        <v>1312</v>
      </c>
      <c r="B1313" s="12" t="n">
        <v>46083</v>
      </c>
      <c r="C1313" s="11" t="inlineStr">
        <is>
          <t>De NANCY LINARES</t>
        </is>
      </c>
      <c r="D1313" s="13" t="n">
        <v>22200</v>
      </c>
      <c r="E1313" s="11" t="n">
        <v>3821076.56</v>
      </c>
    </row>
    <row r="1314">
      <c r="A1314" s="11" t="n">
        <v>1313</v>
      </c>
      <c r="B1314" s="12" t="n">
        <v>46083</v>
      </c>
      <c r="C1314" s="11" t="inlineStr">
        <is>
          <t>De PATRICIA PEREZ BECERRA</t>
        </is>
      </c>
      <c r="D1314" s="13" t="n">
        <v>30000</v>
      </c>
      <c r="E1314" s="11" t="n">
        <v>3798876.56</v>
      </c>
    </row>
    <row r="1315">
      <c r="A1315" s="11" t="n">
        <v>1314</v>
      </c>
      <c r="B1315" s="12" t="n">
        <v>46083</v>
      </c>
      <c r="C1315" s="11" t="inlineStr">
        <is>
          <t>De OMAR ALEJANDRO</t>
        </is>
      </c>
      <c r="D1315" s="13" t="n">
        <v>6500</v>
      </c>
      <c r="E1315" s="11" t="n">
        <v>3768876.56</v>
      </c>
    </row>
    <row r="1316">
      <c r="A1316" s="11" t="n">
        <v>1315</v>
      </c>
      <c r="B1316" s="12" t="n">
        <v>46083</v>
      </c>
      <c r="C1316" s="11" t="inlineStr">
        <is>
          <t>De ANGELICA JANETH TORO</t>
        </is>
      </c>
      <c r="D1316" s="13" t="n">
        <v>14600</v>
      </c>
      <c r="E1316" s="11" t="n">
        <v>3762376.56</v>
      </c>
    </row>
    <row r="1317">
      <c r="A1317" s="11" t="n">
        <v>1316</v>
      </c>
      <c r="B1317" s="12" t="n">
        <v>46082</v>
      </c>
      <c r="C1317" s="11" t="inlineStr">
        <is>
          <t>De MARIA CAMILA MONCAYO</t>
        </is>
      </c>
      <c r="D1317" s="13" t="n">
        <v>5800</v>
      </c>
      <c r="E1317" s="11" t="n">
        <v>3747776.56</v>
      </c>
    </row>
    <row r="1318">
      <c r="A1318" s="11" t="n">
        <v>1317</v>
      </c>
      <c r="B1318" s="12" t="n">
        <v>46082</v>
      </c>
      <c r="C1318" s="11" t="inlineStr">
        <is>
          <t>De ALVARO LIVANIEL BERNAL</t>
        </is>
      </c>
      <c r="D1318" s="13" t="n">
        <v>22500</v>
      </c>
      <c r="E1318" s="11" t="n">
        <v>3741976.56</v>
      </c>
    </row>
    <row r="1319">
      <c r="A1319" s="11" t="n">
        <v>1318</v>
      </c>
      <c r="B1319" s="12" t="n">
        <v>46082</v>
      </c>
      <c r="C1319" s="11" t="inlineStr">
        <is>
          <t>De JHON JAIRO DAZA DIAZ</t>
        </is>
      </c>
      <c r="D1319" s="13" t="n">
        <v>6400</v>
      </c>
      <c r="E1319" s="11" t="n">
        <v>3719476.56</v>
      </c>
    </row>
    <row r="1320">
      <c r="A1320" s="11" t="n">
        <v>1319</v>
      </c>
      <c r="B1320" s="12" t="n">
        <v>46082</v>
      </c>
      <c r="C1320" s="11" t="inlineStr">
        <is>
          <t>De DORIS ONEYDA PEREZ</t>
        </is>
      </c>
      <c r="D1320" s="13" t="n">
        <v>19100</v>
      </c>
      <c r="E1320" s="11" t="n">
        <v>3713076.56</v>
      </c>
    </row>
    <row r="1321">
      <c r="A1321" s="11" t="n">
        <v>1320</v>
      </c>
      <c r="B1321" s="12" t="n">
        <v>46082</v>
      </c>
      <c r="C1321" s="11" t="inlineStr">
        <is>
          <t>De ANGIE PAOLA MORALES</t>
        </is>
      </c>
      <c r="D1321" s="13" t="n">
        <v>8210</v>
      </c>
      <c r="E1321" s="11" t="n">
        <v>3693976.56</v>
      </c>
    </row>
    <row r="1322">
      <c r="A1322" s="11" t="n">
        <v>1321</v>
      </c>
      <c r="B1322" s="12" t="n">
        <v>46082</v>
      </c>
      <c r="C1322" s="11" t="inlineStr">
        <is>
          <t>De NELSON NORVEY ENRIQUEZ</t>
        </is>
      </c>
      <c r="D1322" s="13" t="n">
        <v>18000</v>
      </c>
      <c r="E1322" s="11" t="n">
        <v>3685766.56</v>
      </c>
    </row>
    <row r="1323">
      <c r="A1323" s="11" t="n">
        <v>1322</v>
      </c>
      <c r="B1323" s="12" t="n">
        <v>46082</v>
      </c>
      <c r="C1323" s="11" t="inlineStr">
        <is>
          <t>De BRENDA MARCELA</t>
        </is>
      </c>
      <c r="D1323" s="13" t="n">
        <v>33000</v>
      </c>
      <c r="E1323" s="11" t="n">
        <v>3667766.56</v>
      </c>
    </row>
    <row r="1324">
      <c r="A1324" s="11" t="n">
        <v>1323</v>
      </c>
      <c r="B1324" s="12" t="n">
        <v>46082</v>
      </c>
      <c r="C1324" s="11" t="inlineStr">
        <is>
          <t>De CRISTIAN DAVID ALVAREZ</t>
        </is>
      </c>
      <c r="D1324" s="13" t="n">
        <v>38800</v>
      </c>
      <c r="E1324" s="11" t="n">
        <v>3634766.56</v>
      </c>
    </row>
    <row r="1325">
      <c r="A1325" s="11" t="n">
        <v>1324</v>
      </c>
      <c r="B1325" s="12" t="n">
        <v>46082</v>
      </c>
      <c r="C1325" s="11" t="inlineStr">
        <is>
          <t>De JORGE CHITO TRUJILLO</t>
        </is>
      </c>
      <c r="D1325" s="13" t="n">
        <v>5900</v>
      </c>
      <c r="E1325" s="11" t="n">
        <v>3595966.56</v>
      </c>
    </row>
    <row r="1326">
      <c r="A1326" s="11" t="n">
        <v>1325</v>
      </c>
      <c r="B1326" s="12" t="n">
        <v>46082</v>
      </c>
      <c r="C1326" s="11" t="inlineStr">
        <is>
          <t>RECIBI POR BRE-B DE: EDISSON</t>
        </is>
      </c>
      <c r="D1326" s="13" t="n">
        <v>30600</v>
      </c>
      <c r="E1326" s="11" t="n">
        <v>3590066.56</v>
      </c>
    </row>
    <row r="1327">
      <c r="A1327" s="11" t="n">
        <v>1326</v>
      </c>
      <c r="B1327" s="12" t="n">
        <v>46082</v>
      </c>
      <c r="C1327" s="11" t="inlineStr">
        <is>
          <t>De CARLOS MENDOZA</t>
        </is>
      </c>
      <c r="D1327" s="13" t="n">
        <v>14800</v>
      </c>
      <c r="E1327" s="11" t="n">
        <v>3559466.56</v>
      </c>
    </row>
    <row r="1328">
      <c r="A1328" s="11" t="n">
        <v>1327</v>
      </c>
      <c r="B1328" s="12" t="n">
        <v>46082</v>
      </c>
      <c r="C1328" s="11" t="inlineStr">
        <is>
          <t>De JENIFER SCARLET</t>
        </is>
      </c>
      <c r="D1328" s="13" t="n">
        <v>12400</v>
      </c>
      <c r="E1328" s="11" t="n">
        <v>3544666.56</v>
      </c>
    </row>
    <row r="1329">
      <c r="A1329" s="11" t="n">
        <v>1328</v>
      </c>
      <c r="B1329" s="12" t="n">
        <v>46082</v>
      </c>
      <c r="C1329" s="11" t="inlineStr">
        <is>
          <t>De JOSE LUIS CUARAN</t>
        </is>
      </c>
      <c r="D1329" s="13" t="n">
        <v>6500</v>
      </c>
      <c r="E1329" s="11" t="n">
        <v>3532266.56</v>
      </c>
    </row>
    <row r="1330">
      <c r="A1330" s="11" t="n">
        <v>1329</v>
      </c>
      <c r="B1330" s="12" t="n">
        <v>46082</v>
      </c>
      <c r="C1330" s="11" t="inlineStr">
        <is>
          <t>RECIBI POR BRE-B DE: ZULMA</t>
        </is>
      </c>
      <c r="D1330" s="13" t="n">
        <v>19400</v>
      </c>
      <c r="E1330" s="11" t="n">
        <v>3525766.56</v>
      </c>
    </row>
    <row r="1331">
      <c r="A1331" s="11" t="n">
        <v>1330</v>
      </c>
      <c r="B1331" s="12" t="n">
        <v>46082</v>
      </c>
      <c r="C1331" s="11" t="inlineStr">
        <is>
          <t>De LORENA LUZFANI TULCAN</t>
        </is>
      </c>
      <c r="D1331" s="13" t="n">
        <v>11600</v>
      </c>
      <c r="E1331" s="11" t="n">
        <v>3506366.56</v>
      </c>
    </row>
    <row r="1332">
      <c r="A1332" s="11" t="n">
        <v>1331</v>
      </c>
      <c r="B1332" s="12" t="n">
        <v>46082</v>
      </c>
      <c r="C1332" s="11" t="inlineStr">
        <is>
          <t>De ALEXANDER MACUACE</t>
        </is>
      </c>
      <c r="D1332" s="13" t="n">
        <v>30000</v>
      </c>
      <c r="E1332" s="11" t="n">
        <v>3494766.56</v>
      </c>
    </row>
    <row r="1333">
      <c r="A1333" s="11" t="n">
        <v>1332</v>
      </c>
      <c r="B1333" s="12" t="n">
        <v>46082</v>
      </c>
      <c r="C1333" s="11" t="inlineStr">
        <is>
          <t>De JHOAN ESTIVEN SEVILLANO</t>
        </is>
      </c>
      <c r="D1333" s="13" t="n">
        <v>40000</v>
      </c>
      <c r="E1333" s="11" t="n">
        <v>3464766.56</v>
      </c>
    </row>
    <row r="1334">
      <c r="A1334" s="11" t="n">
        <v>1333</v>
      </c>
      <c r="B1334" s="12" t="n">
        <v>46082</v>
      </c>
      <c r="C1334" s="11" t="inlineStr">
        <is>
          <t>De CRISTIAN HERNANDO VEGA</t>
        </is>
      </c>
      <c r="D1334" s="13" t="n">
        <v>39100</v>
      </c>
      <c r="E1334" s="11" t="n">
        <v>3424766.56</v>
      </c>
    </row>
    <row r="1335">
      <c r="A1335" s="11" t="n">
        <v>1334</v>
      </c>
      <c r="B1335" s="12" t="n">
        <v>46082</v>
      </c>
      <c r="C1335" s="11" t="inlineStr">
        <is>
          <t>De YINA PAOLA MOTTA</t>
        </is>
      </c>
      <c r="D1335" s="13" t="n">
        <v>21120</v>
      </c>
      <c r="E1335" s="11" t="n">
        <v>3385666.56</v>
      </c>
    </row>
    <row r="1336">
      <c r="A1336" s="11" t="n">
        <v>1335</v>
      </c>
      <c r="B1336" s="12" t="n">
        <v>46082</v>
      </c>
      <c r="C1336" s="11" t="inlineStr">
        <is>
          <t>De JOSE PATINO VEGA</t>
        </is>
      </c>
      <c r="D1336" s="13" t="n">
        <v>62000</v>
      </c>
      <c r="E1336" s="11" t="n">
        <v>3364546.56</v>
      </c>
    </row>
    <row r="1337">
      <c r="A1337" s="11" t="n">
        <v>1336</v>
      </c>
      <c r="B1337" s="12" t="n">
        <v>46082</v>
      </c>
      <c r="C1337" s="11" t="inlineStr">
        <is>
          <t>De JENNIFER MOSQUERA</t>
        </is>
      </c>
      <c r="D1337" s="13" t="n">
        <v>36000</v>
      </c>
      <c r="E1337" s="11" t="n">
        <v>3302546.56</v>
      </c>
    </row>
    <row r="1338">
      <c r="A1338" s="11" t="n">
        <v>1337</v>
      </c>
      <c r="B1338" s="12" t="n">
        <v>46082</v>
      </c>
      <c r="C1338" s="11" t="inlineStr">
        <is>
          <t>De LY JONAITIS TANDIOY PEREZ</t>
        </is>
      </c>
      <c r="D1338" s="13" t="n">
        <v>38400</v>
      </c>
      <c r="E1338" s="11" t="n">
        <v>3266546.56</v>
      </c>
    </row>
    <row r="1339">
      <c r="A1339" s="11" t="n">
        <v>1338</v>
      </c>
      <c r="B1339" s="12" t="n">
        <v>46082</v>
      </c>
      <c r="C1339" s="11" t="inlineStr">
        <is>
          <t>De VIVIANA SANDRA HERRERA</t>
        </is>
      </c>
      <c r="D1339" s="13" t="n">
        <v>14800</v>
      </c>
      <c r="E1339" s="11" t="n">
        <v>3228146.56</v>
      </c>
    </row>
    <row r="1340">
      <c r="A1340" s="11" t="n">
        <v>1339</v>
      </c>
      <c r="B1340" s="12" t="n">
        <v>46082</v>
      </c>
      <c r="C1340" s="11" t="inlineStr">
        <is>
          <t>De JAMES MUNOZ PIPICANO</t>
        </is>
      </c>
      <c r="D1340" s="13" t="n">
        <v>65000</v>
      </c>
      <c r="E1340" s="11" t="n">
        <v>3213346.56</v>
      </c>
    </row>
    <row r="1341">
      <c r="A1341" s="11" t="n">
        <v>1340</v>
      </c>
      <c r="B1341" s="12" t="n">
        <v>46082</v>
      </c>
      <c r="C1341" s="11" t="inlineStr">
        <is>
          <t>De AURA ROSA SERNA</t>
        </is>
      </c>
      <c r="D1341" s="13" t="n">
        <v>22000</v>
      </c>
      <c r="E1341" s="11" t="n">
        <v>3148346.56</v>
      </c>
    </row>
    <row r="1342">
      <c r="A1342" s="11" t="n">
        <v>1341</v>
      </c>
      <c r="B1342" s="12" t="n">
        <v>46082</v>
      </c>
      <c r="C1342" s="11" t="inlineStr">
        <is>
          <t>De JHON ANDERSON MURCIA</t>
        </is>
      </c>
      <c r="D1342" s="13" t="n">
        <v>17500</v>
      </c>
      <c r="E1342" s="11" t="n">
        <v>3126346.56</v>
      </c>
    </row>
    <row r="1343">
      <c r="A1343" s="11" t="n">
        <v>1342</v>
      </c>
      <c r="B1343" s="12" t="n">
        <v>46082</v>
      </c>
      <c r="C1343" s="11" t="inlineStr">
        <is>
          <t>De DIANA MARCELA IPIALES</t>
        </is>
      </c>
      <c r="D1343" s="13" t="n">
        <v>15500</v>
      </c>
      <c r="E1343" s="11" t="n">
        <v>3108846.56</v>
      </c>
    </row>
    <row r="1344">
      <c r="A1344" s="11" t="n">
        <v>1343</v>
      </c>
      <c r="B1344" s="12" t="n">
        <v>46082</v>
      </c>
      <c r="C1344" s="11" t="inlineStr">
        <is>
          <t>RECIBI POR BRE-B DE: Edier</t>
        </is>
      </c>
      <c r="D1344" s="13" t="n">
        <v>10000</v>
      </c>
      <c r="E1344" s="11" t="n">
        <v>3093346.56</v>
      </c>
    </row>
    <row r="1345">
      <c r="A1345" s="11" t="n">
        <v>1344</v>
      </c>
      <c r="B1345" s="12" t="n">
        <v>46082</v>
      </c>
      <c r="C1345" s="11" t="inlineStr">
        <is>
          <t>De FREIMAN RENE DELGADO</t>
        </is>
      </c>
      <c r="D1345" s="13" t="n">
        <v>100000</v>
      </c>
      <c r="E1345" s="11" t="n">
        <v>3083346.56</v>
      </c>
    </row>
    <row r="1346">
      <c r="A1346" s="11" t="n">
        <v>1345</v>
      </c>
      <c r="B1346" s="12" t="n">
        <v>46082</v>
      </c>
      <c r="C1346" s="11" t="inlineStr">
        <is>
          <t>De SINDY VANESA OCAMPO</t>
        </is>
      </c>
      <c r="D1346" s="13" t="n">
        <v>19800</v>
      </c>
      <c r="E1346" s="11" t="n">
        <v>2983346.56</v>
      </c>
    </row>
    <row r="1347">
      <c r="A1347" s="11" t="n">
        <v>1346</v>
      </c>
      <c r="B1347" s="12" t="n">
        <v>46082</v>
      </c>
      <c r="C1347" s="11" t="inlineStr">
        <is>
          <t>De MARIA LUISA ESTACIO YELA</t>
        </is>
      </c>
      <c r="D1347" s="13" t="n">
        <v>8900</v>
      </c>
      <c r="E1347" s="11" t="n">
        <v>2963546.56</v>
      </c>
    </row>
    <row r="1348">
      <c r="A1348" s="11" t="n">
        <v>1347</v>
      </c>
      <c r="B1348" s="12" t="n">
        <v>46082</v>
      </c>
      <c r="C1348" s="11" t="inlineStr">
        <is>
          <t>De DIXIE VERONICA DANIELS</t>
        </is>
      </c>
      <c r="D1348" s="13" t="n">
        <v>20000</v>
      </c>
      <c r="E1348" s="11" t="n">
        <v>2954646.56</v>
      </c>
    </row>
    <row r="1349">
      <c r="A1349" s="11" t="n">
        <v>1348</v>
      </c>
      <c r="B1349" s="12" t="n">
        <v>46082</v>
      </c>
      <c r="C1349" s="11" t="inlineStr">
        <is>
          <t>De ANNY ISABEL RAMOS LOPEZ</t>
        </is>
      </c>
      <c r="D1349" s="13" t="n">
        <v>14000</v>
      </c>
      <c r="E1349" s="11" t="n">
        <v>2934646.56</v>
      </c>
    </row>
    <row r="1350">
      <c r="A1350" s="11" t="n">
        <v>1349</v>
      </c>
      <c r="B1350" s="12" t="n">
        <v>46082</v>
      </c>
      <c r="C1350" s="11" t="inlineStr">
        <is>
          <t>De JOSE AUGUSTO MARTINEZ</t>
        </is>
      </c>
      <c r="D1350" s="13" t="n">
        <v>32500</v>
      </c>
      <c r="E1350" s="11" t="n">
        <v>2920646.56</v>
      </c>
    </row>
    <row r="1351">
      <c r="A1351" s="11" t="n">
        <v>1350</v>
      </c>
      <c r="B1351" s="12" t="n">
        <v>46082</v>
      </c>
      <c r="C1351" s="11" t="inlineStr">
        <is>
          <t>De DIANA CAROLINA ORDONEZ</t>
        </is>
      </c>
      <c r="D1351" s="13" t="n">
        <v>5600</v>
      </c>
      <c r="E1351" s="11" t="n">
        <v>2888146.56</v>
      </c>
    </row>
    <row r="1352">
      <c r="A1352" s="11" t="n">
        <v>1351</v>
      </c>
      <c r="B1352" s="12" t="n">
        <v>46082</v>
      </c>
      <c r="C1352" s="11" t="inlineStr">
        <is>
          <t>De JHONATAN ALEXIS ARIAS</t>
        </is>
      </c>
      <c r="D1352" s="13" t="n">
        <v>21800</v>
      </c>
      <c r="E1352" s="11" t="n">
        <v>2882546.56</v>
      </c>
    </row>
    <row r="1353">
      <c r="A1353" s="11" t="n">
        <v>1352</v>
      </c>
      <c r="B1353" s="12" t="n">
        <v>46082</v>
      </c>
      <c r="C1353" s="11" t="inlineStr">
        <is>
          <t>De DAYAN LISETH CONGOTTE</t>
        </is>
      </c>
      <c r="D1353" s="13" t="n">
        <v>42100</v>
      </c>
      <c r="E1353" s="11" t="n">
        <v>2860746.56</v>
      </c>
    </row>
    <row r="1354">
      <c r="A1354" s="11" t="n">
        <v>1353</v>
      </c>
      <c r="B1354" s="12" t="n">
        <v>46082</v>
      </c>
      <c r="C1354" s="11" t="inlineStr">
        <is>
          <t>Recarga desde Bancolombia</t>
        </is>
      </c>
      <c r="D1354" s="13" t="n">
        <v>28640</v>
      </c>
      <c r="E1354" s="11" t="n">
        <v>2818646.56</v>
      </c>
    </row>
    <row r="1355">
      <c r="A1355" s="11" t="n">
        <v>1354</v>
      </c>
      <c r="B1355" s="12" t="n">
        <v>46082</v>
      </c>
      <c r="C1355" s="11" t="inlineStr">
        <is>
          <t>De RODRIGO ZAPATA</t>
        </is>
      </c>
      <c r="D1355" s="13" t="n">
        <v>100000</v>
      </c>
      <c r="E1355" s="11" t="n">
        <v>2790006.56</v>
      </c>
    </row>
    <row r="1356">
      <c r="A1356" s="11" t="n">
        <v>1355</v>
      </c>
      <c r="B1356" s="12" t="n">
        <v>46082</v>
      </c>
      <c r="C1356" s="11" t="inlineStr">
        <is>
          <t>GRAVAMEN AL MOVIMIENTO</t>
        </is>
      </c>
      <c r="D1356" s="13" t="n">
        <v>-518.53</v>
      </c>
      <c r="E1356" s="11" t="n">
        <v>2690006.56</v>
      </c>
    </row>
    <row r="1357">
      <c r="A1357" s="11" t="n">
        <v>1356</v>
      </c>
      <c r="B1357" s="12" t="n">
        <v>46082</v>
      </c>
      <c r="C1357" s="11" t="inlineStr">
        <is>
          <t>COMPRA EN GOOGLE</t>
        </is>
      </c>
      <c r="D1357" s="13" t="n">
        <v>-129634</v>
      </c>
      <c r="E1357" s="11" t="n">
        <v>2690525.09</v>
      </c>
    </row>
  </sheetData>
  <autoFilter ref="A1:E135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2" customWidth="1" min="3" max="3"/>
    <col width="12" customWidth="1" min="4" max="4"/>
    <col width="13" customWidth="1" min="5" max="5"/>
    <col width="22" customWidth="1" min="6" max="6"/>
    <col width="12" customWidth="1" min="7" max="7"/>
    <col width="18" customWidth="1" min="8" max="8"/>
    <col width="12" customWidth="1" min="9" max="9"/>
    <col width="12" customWidth="1" min="10" max="10"/>
  </cols>
  <sheetData>
    <row r="1">
      <c r="A1" s="8" t="inlineStr">
        <is>
          <t>id</t>
        </is>
      </c>
      <c r="B1" s="8" t="inlineStr">
        <is>
          <t>fecha</t>
        </is>
      </c>
      <c r="C1" s="8" t="inlineStr">
        <is>
          <t>doc</t>
        </is>
      </c>
      <c r="D1" s="8" t="inlineStr">
        <is>
          <t>numero</t>
        </is>
      </c>
      <c r="E1" s="8" t="inlineStr">
        <is>
          <t>tercero</t>
        </is>
      </c>
      <c r="F1" s="8" t="inlineStr">
        <is>
          <t>nombre_tercero</t>
        </is>
      </c>
      <c r="G1" s="8" t="inlineStr">
        <is>
          <t>doc_refer</t>
        </is>
      </c>
      <c r="H1" s="8" t="inlineStr">
        <is>
          <t>detalle</t>
        </is>
      </c>
      <c r="I1" s="8" t="inlineStr">
        <is>
          <t>debitos</t>
        </is>
      </c>
      <c r="J1" s="8" t="inlineStr">
        <is>
          <t>creditos</t>
        </is>
      </c>
    </row>
    <row r="2">
      <c r="A2" s="11" t="n">
        <v>1</v>
      </c>
      <c r="B2" s="12" t="n">
        <v>46082</v>
      </c>
      <c r="C2" s="11" t="inlineStr">
        <is>
          <t>INTF</t>
        </is>
      </c>
      <c r="D2" s="11" t="inlineStr">
        <is>
          <t>202603</t>
        </is>
      </c>
      <c r="E2" s="11" t="inlineStr">
        <is>
          <t>1123329434</t>
        </is>
      </c>
      <c r="F2" s="11" t="inlineStr">
        <is>
          <t>ORDOÑEZ JACANAMEJOY</t>
        </is>
      </c>
      <c r="G2" s="11" t="inlineStr"/>
      <c r="H2" s="11" t="inlineStr">
        <is>
          <t>INTERFACE P.O.S.</t>
        </is>
      </c>
      <c r="I2" s="11" t="n">
        <v>5600</v>
      </c>
      <c r="J2" s="11" t="inlineStr"/>
    </row>
    <row r="3">
      <c r="A3" s="11" t="n">
        <v>2</v>
      </c>
      <c r="B3" s="12" t="n">
        <v>46082</v>
      </c>
      <c r="C3" s="11" t="inlineStr">
        <is>
          <t>INTF</t>
        </is>
      </c>
      <c r="D3" s="11" t="inlineStr">
        <is>
          <t>202603</t>
        </is>
      </c>
      <c r="E3" s="11" t="inlineStr">
        <is>
          <t>75060429</t>
        </is>
      </c>
      <c r="F3" s="11" t="inlineStr">
        <is>
          <t>ZAPATA BETANCURTH RO</t>
        </is>
      </c>
      <c r="G3" s="11" t="inlineStr"/>
      <c r="H3" s="11" t="inlineStr">
        <is>
          <t>INTERFACE P.O.S.</t>
        </is>
      </c>
      <c r="I3" s="11" t="n">
        <v>100000</v>
      </c>
      <c r="J3" s="11" t="inlineStr"/>
    </row>
    <row r="4">
      <c r="A4" s="11" t="n">
        <v>3</v>
      </c>
      <c r="B4" s="12" t="n">
        <v>46082</v>
      </c>
      <c r="C4" s="11" t="inlineStr">
        <is>
          <t>INTF</t>
        </is>
      </c>
      <c r="D4" s="11" t="inlineStr">
        <is>
          <t>202603</t>
        </is>
      </c>
      <c r="E4" s="11" t="inlineStr">
        <is>
          <t>1006848438</t>
        </is>
      </c>
      <c r="F4" s="11" t="inlineStr">
        <is>
          <t>LEIVA CIRO DANIELA F</t>
        </is>
      </c>
      <c r="G4" s="11" t="inlineStr"/>
      <c r="H4" s="11" t="inlineStr">
        <is>
          <t>INTERFACE P.O.S.</t>
        </is>
      </c>
      <c r="I4" s="11" t="n">
        <v>39100</v>
      </c>
      <c r="J4" s="11" t="inlineStr"/>
    </row>
    <row r="5">
      <c r="A5" s="11" t="n">
        <v>4</v>
      </c>
      <c r="B5" s="12" t="n">
        <v>46082</v>
      </c>
      <c r="C5" s="11" t="inlineStr">
        <is>
          <t>INTF</t>
        </is>
      </c>
      <c r="D5" s="11" t="inlineStr">
        <is>
          <t>202603</t>
        </is>
      </c>
      <c r="E5" s="11" t="inlineStr">
        <is>
          <t>37082055</t>
        </is>
      </c>
      <c r="F5" s="11" t="inlineStr">
        <is>
          <t>QUIÑONES DELGADO BRE</t>
        </is>
      </c>
      <c r="G5" s="11" t="inlineStr"/>
      <c r="H5" s="11" t="inlineStr">
        <is>
          <t>INTERFACE P.O.S.</t>
        </is>
      </c>
      <c r="I5" s="11" t="n">
        <v>33000</v>
      </c>
      <c r="J5" s="11" t="inlineStr"/>
    </row>
    <row r="6">
      <c r="A6" s="11" t="n">
        <v>5</v>
      </c>
      <c r="B6" s="12" t="n">
        <v>46082</v>
      </c>
      <c r="C6" s="11" t="inlineStr">
        <is>
          <t>INTF</t>
        </is>
      </c>
      <c r="D6" s="11" t="inlineStr">
        <is>
          <t>202603</t>
        </is>
      </c>
      <c r="E6" s="11" t="inlineStr">
        <is>
          <t>1123322229</t>
        </is>
      </c>
      <c r="F6" s="11" t="inlineStr">
        <is>
          <t>DANIELS CIFUENTES DI</t>
        </is>
      </c>
      <c r="G6" s="11" t="inlineStr"/>
      <c r="H6" s="11" t="inlineStr">
        <is>
          <t>INTERFACE P.O.S.</t>
        </is>
      </c>
      <c r="I6" s="11" t="n">
        <v>20000</v>
      </c>
      <c r="J6" s="11" t="inlineStr"/>
    </row>
    <row r="7">
      <c r="A7" s="11" t="n">
        <v>6</v>
      </c>
      <c r="B7" s="12" t="n">
        <v>46082</v>
      </c>
      <c r="C7" s="11" t="inlineStr">
        <is>
          <t>INTF</t>
        </is>
      </c>
      <c r="D7" s="11" t="inlineStr">
        <is>
          <t>202603</t>
        </is>
      </c>
      <c r="E7" s="11" t="inlineStr">
        <is>
          <t>1007163126</t>
        </is>
      </c>
      <c r="F7" s="11" t="inlineStr">
        <is>
          <t>CHITO TRUJILLO JORGE</t>
        </is>
      </c>
      <c r="G7" s="11" t="inlineStr"/>
      <c r="H7" s="11" t="inlineStr">
        <is>
          <t>INTERFACE P.O.S.</t>
        </is>
      </c>
      <c r="I7" s="11" t="n">
        <v>5900</v>
      </c>
      <c r="J7" s="11" t="inlineStr"/>
    </row>
    <row r="8">
      <c r="A8" s="11" t="n">
        <v>7</v>
      </c>
      <c r="B8" s="12" t="n">
        <v>46082</v>
      </c>
      <c r="C8" s="11" t="inlineStr">
        <is>
          <t>INTF</t>
        </is>
      </c>
      <c r="D8" s="11" t="inlineStr">
        <is>
          <t>202603</t>
        </is>
      </c>
      <c r="E8" s="11" t="inlineStr">
        <is>
          <t>1123331100</t>
        </is>
      </c>
      <c r="F8" s="11" t="inlineStr">
        <is>
          <t>ENRIQUEZ BENAVIDES N</t>
        </is>
      </c>
      <c r="G8" s="11" t="inlineStr"/>
      <c r="H8" s="11" t="inlineStr">
        <is>
          <t>INTERFACE P.O.S.</t>
        </is>
      </c>
      <c r="I8" s="11" t="n">
        <v>18000</v>
      </c>
      <c r="J8" s="11" t="inlineStr"/>
    </row>
    <row r="9">
      <c r="A9" s="11" t="n">
        <v>8</v>
      </c>
      <c r="B9" s="12" t="n">
        <v>46082</v>
      </c>
      <c r="C9" s="11" t="inlineStr">
        <is>
          <t>INTF</t>
        </is>
      </c>
      <c r="D9" s="11" t="inlineStr">
        <is>
          <t>202603</t>
        </is>
      </c>
      <c r="E9" s="11" t="inlineStr">
        <is>
          <t>41120579</t>
        </is>
      </c>
      <c r="F9" s="11" t="inlineStr">
        <is>
          <t>HERRERA GONZALEZ VIV</t>
        </is>
      </c>
      <c r="G9" s="11" t="inlineStr"/>
      <c r="H9" s="11" t="inlineStr">
        <is>
          <t>INTERFACE P.O.S.</t>
        </is>
      </c>
      <c r="I9" s="11" t="n">
        <v>14800</v>
      </c>
      <c r="J9" s="11" t="inlineStr"/>
    </row>
    <row r="10">
      <c r="A10" s="11" t="n">
        <v>9</v>
      </c>
      <c r="B10" s="12" t="n">
        <v>46082</v>
      </c>
      <c r="C10" s="11" t="inlineStr">
        <is>
          <t>INTF</t>
        </is>
      </c>
      <c r="D10" s="11" t="inlineStr">
        <is>
          <t>202603</t>
        </is>
      </c>
      <c r="E10" s="11" t="inlineStr">
        <is>
          <t>1006996286</t>
        </is>
      </c>
      <c r="F10" s="11" t="inlineStr">
        <is>
          <t>CONGOTTE ARBOLEDA DA</t>
        </is>
      </c>
      <c r="G10" s="11" t="inlineStr"/>
      <c r="H10" s="11" t="inlineStr">
        <is>
          <t>INTERFACE P.O.S.</t>
        </is>
      </c>
      <c r="I10" s="11" t="n">
        <v>42100</v>
      </c>
      <c r="J10" s="11" t="inlineStr"/>
    </row>
    <row r="11">
      <c r="A11" s="11" t="n">
        <v>10</v>
      </c>
      <c r="B11" s="12" t="n">
        <v>46082</v>
      </c>
      <c r="C11" s="11" t="inlineStr">
        <is>
          <t>INTF</t>
        </is>
      </c>
      <c r="D11" s="11" t="inlineStr">
        <is>
          <t>202603</t>
        </is>
      </c>
      <c r="E11" s="11" t="inlineStr">
        <is>
          <t>38680249</t>
        </is>
      </c>
      <c r="F11" s="11" t="inlineStr">
        <is>
          <t>GRISALES MELO ZULMA</t>
        </is>
      </c>
      <c r="G11" s="11" t="inlineStr"/>
      <c r="H11" s="11" t="inlineStr">
        <is>
          <t>INTERFACE P.O.S.</t>
        </is>
      </c>
      <c r="I11" s="11" t="n">
        <v>19400</v>
      </c>
      <c r="J11" s="11" t="inlineStr"/>
    </row>
    <row r="12">
      <c r="A12" s="11" t="n">
        <v>11</v>
      </c>
      <c r="B12" s="12" t="n">
        <v>46082</v>
      </c>
      <c r="C12" s="11" t="inlineStr">
        <is>
          <t>INTF</t>
        </is>
      </c>
      <c r="D12" s="11" t="inlineStr">
        <is>
          <t>202603</t>
        </is>
      </c>
      <c r="E12" s="11" t="inlineStr">
        <is>
          <t>1006846044</t>
        </is>
      </c>
      <c r="F12" s="11" t="inlineStr">
        <is>
          <t>MARTINEZ NOLBERTO JA</t>
        </is>
      </c>
      <c r="G12" s="11" t="inlineStr"/>
      <c r="H12" s="11" t="inlineStr">
        <is>
          <t>INTERFACE P.O.S.</t>
        </is>
      </c>
      <c r="I12" s="11" t="n">
        <v>12400</v>
      </c>
      <c r="J12" s="11" t="inlineStr"/>
    </row>
    <row r="13">
      <c r="A13" s="11" t="n">
        <v>12</v>
      </c>
      <c r="B13" s="12" t="n">
        <v>46082</v>
      </c>
      <c r="C13" s="11" t="inlineStr">
        <is>
          <t>INTF</t>
        </is>
      </c>
      <c r="D13" s="11" t="inlineStr">
        <is>
          <t>202603</t>
        </is>
      </c>
      <c r="E13" s="11" t="inlineStr">
        <is>
          <t>18142717</t>
        </is>
      </c>
      <c r="F13" s="11" t="inlineStr">
        <is>
          <t>VEGA PATIÑO JOSE HER</t>
        </is>
      </c>
      <c r="G13" s="11" t="inlineStr"/>
      <c r="H13" s="11" t="inlineStr">
        <is>
          <t>INTERFACE P.O.S.</t>
        </is>
      </c>
      <c r="I13" s="11" t="n">
        <v>62000</v>
      </c>
      <c r="J13" s="11" t="inlineStr"/>
    </row>
    <row r="14">
      <c r="A14" s="11" t="n">
        <v>13</v>
      </c>
      <c r="B14" s="12" t="n">
        <v>46082</v>
      </c>
      <c r="C14" s="11" t="inlineStr">
        <is>
          <t>INTF</t>
        </is>
      </c>
      <c r="D14" s="11" t="inlineStr">
        <is>
          <t>202603</t>
        </is>
      </c>
      <c r="E14" s="11" t="inlineStr">
        <is>
          <t>22222222222</t>
        </is>
      </c>
      <c r="F14" s="11" t="inlineStr">
        <is>
          <t>CONSUMIDOR FINAL</t>
        </is>
      </c>
      <c r="G14" s="11" t="inlineStr"/>
      <c r="H14" s="11" t="inlineStr">
        <is>
          <t>INTERFACE P.O.S.</t>
        </is>
      </c>
      <c r="I14" s="11" t="n">
        <v>100000</v>
      </c>
      <c r="J14" s="11" t="inlineStr"/>
    </row>
    <row r="15">
      <c r="A15" s="11" t="n">
        <v>14</v>
      </c>
      <c r="B15" s="12" t="n">
        <v>46082</v>
      </c>
      <c r="C15" s="11" t="inlineStr">
        <is>
          <t>INTF</t>
        </is>
      </c>
      <c r="D15" s="11" t="inlineStr">
        <is>
          <t>202603</t>
        </is>
      </c>
      <c r="E15" s="11" t="inlineStr">
        <is>
          <t>72347212</t>
        </is>
      </c>
      <c r="F15" s="11" t="inlineStr">
        <is>
          <t>VERGARA ORELLANO JHO</t>
        </is>
      </c>
      <c r="G15" s="11" t="inlineStr"/>
      <c r="H15" s="11" t="inlineStr">
        <is>
          <t>INTERFACE P.O.S.</t>
        </is>
      </c>
      <c r="I15" s="11" t="n">
        <v>28640</v>
      </c>
      <c r="J15" s="11" t="inlineStr"/>
    </row>
    <row r="16">
      <c r="A16" s="11" t="n">
        <v>15</v>
      </c>
      <c r="B16" s="12" t="n">
        <v>46082</v>
      </c>
      <c r="C16" s="11" t="inlineStr">
        <is>
          <t>INTF</t>
        </is>
      </c>
      <c r="D16" s="11" t="inlineStr">
        <is>
          <t>202603</t>
        </is>
      </c>
      <c r="E16" s="11" t="inlineStr">
        <is>
          <t>1123322168</t>
        </is>
      </c>
      <c r="F16" s="11" t="inlineStr">
        <is>
          <t>MUÑOZ PIPICANO JAMES</t>
        </is>
      </c>
      <c r="G16" s="11" t="inlineStr"/>
      <c r="H16" s="11" t="inlineStr">
        <is>
          <t>INTERFACE P.O.S.</t>
        </is>
      </c>
      <c r="I16" s="11" t="n">
        <v>65000</v>
      </c>
      <c r="J16" s="11" t="inlineStr"/>
    </row>
    <row r="17">
      <c r="A17" s="11" t="n">
        <v>16</v>
      </c>
      <c r="B17" s="12" t="n">
        <v>46082</v>
      </c>
      <c r="C17" s="11" t="inlineStr">
        <is>
          <t>INTF</t>
        </is>
      </c>
      <c r="D17" s="11" t="inlineStr">
        <is>
          <t>202603</t>
        </is>
      </c>
      <c r="E17" s="11" t="inlineStr">
        <is>
          <t>12447282</t>
        </is>
      </c>
      <c r="F17" s="11" t="inlineStr">
        <is>
          <t>MENDOZA CARLOS EDUAR</t>
        </is>
      </c>
      <c r="G17" s="11" t="inlineStr"/>
      <c r="H17" s="11" t="inlineStr">
        <is>
          <t>INTERFACE P.O.S.</t>
        </is>
      </c>
      <c r="I17" s="11" t="n">
        <v>14800</v>
      </c>
      <c r="J17" s="11" t="inlineStr"/>
    </row>
    <row r="18">
      <c r="A18" s="11" t="n">
        <v>17</v>
      </c>
      <c r="B18" s="12" t="n">
        <v>46082</v>
      </c>
      <c r="C18" s="11" t="inlineStr">
        <is>
          <t>INTF</t>
        </is>
      </c>
      <c r="D18" s="11" t="inlineStr">
        <is>
          <t>202603</t>
        </is>
      </c>
      <c r="E18" s="11" t="inlineStr">
        <is>
          <t>18145823</t>
        </is>
      </c>
      <c r="F18" s="11" t="inlineStr">
        <is>
          <t>MACUACE FERRO ALEXAN</t>
        </is>
      </c>
      <c r="G18" s="11" t="inlineStr"/>
      <c r="H18" s="11" t="inlineStr">
        <is>
          <t>INTERFACE P.O.S.</t>
        </is>
      </c>
      <c r="I18" s="11" t="n">
        <v>30000</v>
      </c>
      <c r="J18" s="11" t="inlineStr"/>
    </row>
    <row r="19">
      <c r="A19" s="11" t="n">
        <v>18</v>
      </c>
      <c r="B19" s="12" t="n">
        <v>46082</v>
      </c>
      <c r="C19" s="11" t="inlineStr">
        <is>
          <t>INTF</t>
        </is>
      </c>
      <c r="D19" s="11" t="inlineStr">
        <is>
          <t>202603</t>
        </is>
      </c>
      <c r="E19" s="11" t="inlineStr">
        <is>
          <t>1006994711</t>
        </is>
      </c>
      <c r="F19" s="11" t="inlineStr">
        <is>
          <t>MOSQUERA PALACIOS JE</t>
        </is>
      </c>
      <c r="G19" s="11" t="inlineStr"/>
      <c r="H19" s="11" t="inlineStr">
        <is>
          <t>INTERFACE P.O.S.</t>
        </is>
      </c>
      <c r="I19" s="11" t="n">
        <v>36000</v>
      </c>
      <c r="J19" s="11" t="inlineStr"/>
    </row>
    <row r="20">
      <c r="A20" s="11" t="n">
        <v>19</v>
      </c>
      <c r="B20" s="12" t="n">
        <v>46082</v>
      </c>
      <c r="C20" s="11" t="inlineStr">
        <is>
          <t>INTF</t>
        </is>
      </c>
      <c r="D20" s="11" t="inlineStr">
        <is>
          <t>202603</t>
        </is>
      </c>
      <c r="E20" s="11" t="inlineStr">
        <is>
          <t>1123333418</t>
        </is>
      </c>
      <c r="F20" s="11" t="inlineStr">
        <is>
          <t>OCAMPO TOVAR SINDY</t>
        </is>
      </c>
      <c r="G20" s="11" t="inlineStr"/>
      <c r="H20" s="11" t="inlineStr">
        <is>
          <t>INTERFACE P.O.S.</t>
        </is>
      </c>
      <c r="I20" s="11" t="n">
        <v>19800</v>
      </c>
      <c r="J20" s="11" t="inlineStr"/>
    </row>
    <row r="21">
      <c r="A21" s="11" t="n">
        <v>20</v>
      </c>
      <c r="B21" s="12" t="n">
        <v>46082</v>
      </c>
      <c r="C21" s="11" t="inlineStr">
        <is>
          <t>INTF</t>
        </is>
      </c>
      <c r="D21" s="11" t="inlineStr">
        <is>
          <t>202603</t>
        </is>
      </c>
      <c r="E21" s="11" t="inlineStr">
        <is>
          <t>18145505</t>
        </is>
      </c>
      <c r="F21" s="11" t="inlineStr">
        <is>
          <t>MARTINEZ BARRETO AHU</t>
        </is>
      </c>
      <c r="G21" s="11" t="inlineStr"/>
      <c r="H21" s="11" t="inlineStr">
        <is>
          <t>INTERFACE P.O.S.</t>
        </is>
      </c>
      <c r="I21" s="11" t="n">
        <v>32500</v>
      </c>
      <c r="J21" s="11" t="inlineStr"/>
    </row>
    <row r="22">
      <c r="A22" s="11" t="n">
        <v>21</v>
      </c>
      <c r="B22" s="12" t="n">
        <v>46082</v>
      </c>
      <c r="C22" s="11" t="inlineStr">
        <is>
          <t>INTF</t>
        </is>
      </c>
      <c r="D22" s="11" t="inlineStr">
        <is>
          <t>202603</t>
        </is>
      </c>
      <c r="E22" s="11" t="inlineStr">
        <is>
          <t>1085282128</t>
        </is>
      </c>
      <c r="F22" s="11" t="inlineStr">
        <is>
          <t>CHANA POTOSI EDISSON</t>
        </is>
      </c>
      <c r="G22" s="11" t="inlineStr"/>
      <c r="H22" s="11" t="inlineStr">
        <is>
          <t>INTERFACE P.O.S.</t>
        </is>
      </c>
      <c r="I22" s="11" t="n">
        <v>30600</v>
      </c>
      <c r="J22" s="11" t="inlineStr"/>
    </row>
    <row r="23">
      <c r="A23" s="11" t="n">
        <v>22</v>
      </c>
      <c r="B23" s="12" t="n">
        <v>46082</v>
      </c>
      <c r="C23" s="11" t="inlineStr">
        <is>
          <t>INTF</t>
        </is>
      </c>
      <c r="D23" s="11" t="inlineStr">
        <is>
          <t>202603</t>
        </is>
      </c>
      <c r="E23" s="11" t="inlineStr">
        <is>
          <t>1030683975</t>
        </is>
      </c>
      <c r="F23" s="11" t="inlineStr">
        <is>
          <t>MOTA ORTIIZ LINA PAO</t>
        </is>
      </c>
      <c r="G23" s="11" t="inlineStr"/>
      <c r="H23" s="11" t="inlineStr">
        <is>
          <t>INTERFACE P.O.S.</t>
        </is>
      </c>
      <c r="I23" s="11" t="n">
        <v>21120</v>
      </c>
      <c r="J23" s="11" t="inlineStr"/>
    </row>
    <row r="24">
      <c r="A24" s="11" t="n">
        <v>23</v>
      </c>
      <c r="B24" s="12" t="n">
        <v>46082</v>
      </c>
      <c r="C24" s="11" t="inlineStr">
        <is>
          <t>INTF</t>
        </is>
      </c>
      <c r="D24" s="11" t="inlineStr">
        <is>
          <t>202603</t>
        </is>
      </c>
      <c r="E24" s="11" t="inlineStr">
        <is>
          <t>6896943</t>
        </is>
      </c>
      <c r="F24" s="11" t="inlineStr">
        <is>
          <t>TANDIOY PEREZ LY JON</t>
        </is>
      </c>
      <c r="G24" s="11" t="inlineStr"/>
      <c r="H24" s="11" t="inlineStr">
        <is>
          <t>INTERFACE P.O.S.</t>
        </is>
      </c>
      <c r="I24" s="11" t="n">
        <v>38400</v>
      </c>
      <c r="J24" s="11" t="inlineStr"/>
    </row>
    <row r="25">
      <c r="A25" s="11" t="n">
        <v>24</v>
      </c>
      <c r="B25" s="12" t="n">
        <v>46082</v>
      </c>
      <c r="C25" s="11" t="inlineStr">
        <is>
          <t>INTF</t>
        </is>
      </c>
      <c r="D25" s="11" t="inlineStr">
        <is>
          <t>202603</t>
        </is>
      </c>
      <c r="E25" s="11" t="inlineStr">
        <is>
          <t>1123324304</t>
        </is>
      </c>
      <c r="F25" s="11" t="inlineStr">
        <is>
          <t>DAZA DIAZ JHON</t>
        </is>
      </c>
      <c r="G25" s="11" t="inlineStr"/>
      <c r="H25" s="11" t="inlineStr">
        <is>
          <t>INTERFACE P.O.S.</t>
        </is>
      </c>
      <c r="I25" s="11" t="n">
        <v>6400</v>
      </c>
      <c r="J25" s="11" t="inlineStr"/>
    </row>
    <row r="26">
      <c r="A26" s="11" t="n">
        <v>25</v>
      </c>
      <c r="B26" s="12" t="n">
        <v>46082</v>
      </c>
      <c r="C26" s="11" t="inlineStr">
        <is>
          <t>INTF</t>
        </is>
      </c>
      <c r="D26" s="11" t="inlineStr">
        <is>
          <t>202603</t>
        </is>
      </c>
      <c r="E26" s="11" t="inlineStr">
        <is>
          <t>69009960</t>
        </is>
      </c>
      <c r="F26" s="11" t="inlineStr">
        <is>
          <t>SERNA SANTACRUZ AURA</t>
        </is>
      </c>
      <c r="G26" s="11" t="inlineStr"/>
      <c r="H26" s="11" t="inlineStr">
        <is>
          <t>INTERFACE P.O.S.</t>
        </is>
      </c>
      <c r="I26" s="11" t="n">
        <v>22000</v>
      </c>
      <c r="J26" s="11" t="inlineStr"/>
    </row>
    <row r="27">
      <c r="A27" s="11" t="n">
        <v>26</v>
      </c>
      <c r="B27" s="12" t="n">
        <v>46082</v>
      </c>
      <c r="C27" s="11" t="inlineStr">
        <is>
          <t>INTF</t>
        </is>
      </c>
      <c r="D27" s="11" t="inlineStr">
        <is>
          <t>202603</t>
        </is>
      </c>
      <c r="E27" s="11" t="inlineStr">
        <is>
          <t>1123332054</t>
        </is>
      </c>
      <c r="F27" s="11" t="inlineStr">
        <is>
          <t>ALVAREZ CHAVEZ CRIST</t>
        </is>
      </c>
      <c r="G27" s="11" t="inlineStr"/>
      <c r="H27" s="11" t="inlineStr">
        <is>
          <t>INTERFACE P.O.S.</t>
        </is>
      </c>
      <c r="I27" s="11" t="n">
        <v>38800</v>
      </c>
      <c r="J27" s="11" t="inlineStr"/>
    </row>
    <row r="28">
      <c r="A28" s="11" t="n">
        <v>27</v>
      </c>
      <c r="B28" s="12" t="n">
        <v>46082</v>
      </c>
      <c r="C28" s="11" t="inlineStr">
        <is>
          <t>INTF</t>
        </is>
      </c>
      <c r="D28" s="11" t="inlineStr">
        <is>
          <t>202603</t>
        </is>
      </c>
      <c r="E28" s="11" t="inlineStr">
        <is>
          <t>1006847993</t>
        </is>
      </c>
      <c r="F28" s="11" t="inlineStr">
        <is>
          <t>PEREZ CRIOLLO DOR</t>
        </is>
      </c>
      <c r="G28" s="11" t="inlineStr"/>
      <c r="H28" s="11" t="inlineStr">
        <is>
          <t>INTERFACE P.O.S.</t>
        </is>
      </c>
      <c r="I28" s="11" t="n">
        <v>19100</v>
      </c>
      <c r="J28" s="11" t="inlineStr"/>
    </row>
    <row r="29">
      <c r="A29" s="11" t="n">
        <v>28</v>
      </c>
      <c r="B29" s="12" t="n">
        <v>46082</v>
      </c>
      <c r="C29" s="11" t="inlineStr">
        <is>
          <t>INTF</t>
        </is>
      </c>
      <c r="D29" s="11" t="inlineStr">
        <is>
          <t>202603</t>
        </is>
      </c>
      <c r="E29" s="11" t="inlineStr">
        <is>
          <t>1123334920</t>
        </is>
      </c>
      <c r="F29" s="11" t="inlineStr">
        <is>
          <t>CUARAN MORALES JOS</t>
        </is>
      </c>
      <c r="G29" s="11" t="inlineStr"/>
      <c r="H29" s="11" t="inlineStr">
        <is>
          <t>INTERFACE P.O.S.</t>
        </is>
      </c>
      <c r="I29" s="11" t="n">
        <v>6500</v>
      </c>
      <c r="J29" s="11" t="inlineStr"/>
    </row>
    <row r="30">
      <c r="A30" s="11" t="n">
        <v>29</v>
      </c>
      <c r="B30" s="12" t="n">
        <v>46082</v>
      </c>
      <c r="C30" s="11" t="inlineStr">
        <is>
          <t>INTF</t>
        </is>
      </c>
      <c r="D30" s="11" t="inlineStr">
        <is>
          <t>202603</t>
        </is>
      </c>
      <c r="E30" s="11" t="inlineStr">
        <is>
          <t>1123331955</t>
        </is>
      </c>
      <c r="F30" s="11" t="inlineStr">
        <is>
          <t>ESTACIO YELA MAR</t>
        </is>
      </c>
      <c r="G30" s="11" t="inlineStr"/>
      <c r="H30" s="11" t="inlineStr">
        <is>
          <t>INTERFACE P.O.S.</t>
        </is>
      </c>
      <c r="I30" s="11" t="n">
        <v>8900</v>
      </c>
      <c r="J30" s="11" t="inlineStr"/>
    </row>
    <row r="31">
      <c r="A31" s="11" t="n">
        <v>30</v>
      </c>
      <c r="B31" s="12" t="n">
        <v>46082</v>
      </c>
      <c r="C31" s="11" t="inlineStr">
        <is>
          <t>INTF</t>
        </is>
      </c>
      <c r="D31" s="11" t="inlineStr">
        <is>
          <t>202603</t>
        </is>
      </c>
      <c r="E31" s="11" t="inlineStr">
        <is>
          <t>1130145631</t>
        </is>
      </c>
      <c r="F31" s="11" t="inlineStr">
        <is>
          <t>SEVILLANO ROJAS JHOA</t>
        </is>
      </c>
      <c r="G31" s="11" t="inlineStr"/>
      <c r="H31" s="11" t="inlineStr">
        <is>
          <t>INTERFACE P.O.S.</t>
        </is>
      </c>
      <c r="I31" s="11" t="n">
        <v>40000</v>
      </c>
      <c r="J31" s="11" t="inlineStr"/>
    </row>
    <row r="32">
      <c r="A32" s="11" t="n">
        <v>31</v>
      </c>
      <c r="B32" s="12" t="n">
        <v>46082</v>
      </c>
      <c r="C32" s="11" t="inlineStr">
        <is>
          <t>INTF</t>
        </is>
      </c>
      <c r="D32" s="11" t="inlineStr">
        <is>
          <t>202603</t>
        </is>
      </c>
      <c r="E32" s="11" t="inlineStr">
        <is>
          <t>1076982948</t>
        </is>
      </c>
      <c r="F32" s="11" t="inlineStr">
        <is>
          <t>MURCIA DINASCO JHON</t>
        </is>
      </c>
      <c r="G32" s="11" t="inlineStr"/>
      <c r="H32" s="11" t="inlineStr">
        <is>
          <t>INTERFACE P.O.S.</t>
        </is>
      </c>
      <c r="I32" s="11" t="n">
        <v>17500</v>
      </c>
      <c r="J32" s="11" t="inlineStr"/>
    </row>
    <row r="33">
      <c r="A33" s="11" t="n">
        <v>32</v>
      </c>
      <c r="B33" s="12" t="n">
        <v>46082</v>
      </c>
      <c r="C33" s="11" t="inlineStr">
        <is>
          <t>INTF</t>
        </is>
      </c>
      <c r="D33" s="11" t="inlineStr">
        <is>
          <t>202603</t>
        </is>
      </c>
      <c r="E33" s="11" t="inlineStr">
        <is>
          <t>18144127</t>
        </is>
      </c>
      <c r="F33" s="11" t="inlineStr">
        <is>
          <t>BERNAL PALACIOS ALVA</t>
        </is>
      </c>
      <c r="G33" s="11" t="inlineStr"/>
      <c r="H33" s="11" t="inlineStr">
        <is>
          <t>INTERFACE P.O.S.</t>
        </is>
      </c>
      <c r="I33" s="11" t="n">
        <v>22500</v>
      </c>
      <c r="J33" s="11" t="inlineStr"/>
    </row>
    <row r="34">
      <c r="A34" s="11" t="n">
        <v>33</v>
      </c>
      <c r="B34" s="12" t="n">
        <v>46082</v>
      </c>
      <c r="C34" s="11" t="inlineStr">
        <is>
          <t>INTF</t>
        </is>
      </c>
      <c r="D34" s="11" t="inlineStr">
        <is>
          <t>202603</t>
        </is>
      </c>
      <c r="E34" s="11" t="inlineStr">
        <is>
          <t>1006005897</t>
        </is>
      </c>
      <c r="F34" s="11" t="inlineStr">
        <is>
          <t>GUTIERREZ ACOSTA EDI</t>
        </is>
      </c>
      <c r="G34" s="11" t="inlineStr"/>
      <c r="H34" s="11" t="inlineStr">
        <is>
          <t>INTERFACE P.O.S.</t>
        </is>
      </c>
      <c r="I34" s="11" t="n">
        <v>10000</v>
      </c>
      <c r="J34" s="11" t="inlineStr"/>
    </row>
    <row r="35">
      <c r="A35" s="11" t="n">
        <v>34</v>
      </c>
      <c r="B35" s="12" t="n">
        <v>46082</v>
      </c>
      <c r="C35" s="11" t="inlineStr">
        <is>
          <t>INTF</t>
        </is>
      </c>
      <c r="D35" s="11" t="inlineStr">
        <is>
          <t>202603</t>
        </is>
      </c>
      <c r="E35" s="11" t="inlineStr">
        <is>
          <t>1123320279</t>
        </is>
      </c>
      <c r="F35" s="11" t="inlineStr">
        <is>
          <t>ARIAS JARAMILLO JONA</t>
        </is>
      </c>
      <c r="G35" s="11" t="inlineStr"/>
      <c r="H35" s="11" t="inlineStr">
        <is>
          <t>INTERFACE P.O.S.</t>
        </is>
      </c>
      <c r="I35" s="11" t="n">
        <v>21800</v>
      </c>
      <c r="J35" s="11" t="inlineStr"/>
    </row>
    <row r="36">
      <c r="A36" s="11" t="n">
        <v>35</v>
      </c>
      <c r="B36" s="12" t="n">
        <v>46082</v>
      </c>
      <c r="C36" s="11" t="inlineStr">
        <is>
          <t>INTF</t>
        </is>
      </c>
      <c r="D36" s="11" t="inlineStr">
        <is>
          <t>202603</t>
        </is>
      </c>
      <c r="E36" s="11" t="inlineStr">
        <is>
          <t>1123320898</t>
        </is>
      </c>
      <c r="F36" s="11" t="inlineStr">
        <is>
          <t>RAMOS LOPEZ ANNY ISA</t>
        </is>
      </c>
      <c r="G36" s="11" t="inlineStr"/>
      <c r="H36" s="11" t="inlineStr">
        <is>
          <t>INTERFACE P.O.S.</t>
        </is>
      </c>
      <c r="I36" s="11" t="n">
        <v>14000</v>
      </c>
      <c r="J36" s="11" t="inlineStr"/>
    </row>
    <row r="37">
      <c r="A37" s="11" t="n">
        <v>36</v>
      </c>
      <c r="B37" s="12" t="n">
        <v>46082</v>
      </c>
      <c r="C37" s="11" t="inlineStr">
        <is>
          <t>INTF</t>
        </is>
      </c>
      <c r="D37" s="11" t="inlineStr">
        <is>
          <t>202603</t>
        </is>
      </c>
      <c r="E37" s="11" t="inlineStr">
        <is>
          <t>1120096070</t>
        </is>
      </c>
      <c r="F37" s="11" t="inlineStr">
        <is>
          <t>DIANA IPIALES</t>
        </is>
      </c>
      <c r="G37" s="11" t="inlineStr"/>
      <c r="H37" s="11" t="inlineStr">
        <is>
          <t>INTERFACE P.O.S.</t>
        </is>
      </c>
      <c r="I37" s="11" t="n">
        <v>15500</v>
      </c>
      <c r="J37" s="11" t="inlineStr"/>
    </row>
    <row r="38">
      <c r="A38" s="11" t="n">
        <v>37</v>
      </c>
      <c r="B38" s="12" t="n">
        <v>46082</v>
      </c>
      <c r="C38" s="11" t="inlineStr">
        <is>
          <t>INTF</t>
        </is>
      </c>
      <c r="D38" s="11" t="inlineStr">
        <is>
          <t>202603</t>
        </is>
      </c>
      <c r="E38" s="11" t="inlineStr">
        <is>
          <t>1087750461</t>
        </is>
      </c>
      <c r="F38" s="11" t="inlineStr">
        <is>
          <t>TULCAN TULCACHA LORE</t>
        </is>
      </c>
      <c r="G38" s="11" t="inlineStr"/>
      <c r="H38" s="11" t="inlineStr">
        <is>
          <t>INTERFACE P.O.S.</t>
        </is>
      </c>
      <c r="I38" s="11" t="n">
        <v>11600</v>
      </c>
      <c r="J38" s="11" t="inlineStr"/>
    </row>
    <row r="39">
      <c r="A39" s="11" t="n">
        <v>38</v>
      </c>
      <c r="B39" s="12" t="n">
        <v>46082</v>
      </c>
      <c r="C39" s="11" t="inlineStr">
        <is>
          <t>INTF</t>
        </is>
      </c>
      <c r="D39" s="11" t="inlineStr">
        <is>
          <t>202603</t>
        </is>
      </c>
      <c r="E39" s="11" t="inlineStr">
        <is>
          <t>1123311173</t>
        </is>
      </c>
      <c r="F39" s="11" t="inlineStr">
        <is>
          <t>PAOLA CANAGO</t>
        </is>
      </c>
      <c r="G39" s="11" t="inlineStr"/>
      <c r="H39" s="11" t="inlineStr">
        <is>
          <t>INTERFACE P.O.S.</t>
        </is>
      </c>
      <c r="I39" s="11" t="n">
        <v>8210</v>
      </c>
      <c r="J39" s="11" t="inlineStr"/>
    </row>
    <row r="40">
      <c r="A40" s="11" t="n">
        <v>39</v>
      </c>
      <c r="B40" s="12" t="n">
        <v>46082</v>
      </c>
      <c r="C40" s="11" t="inlineStr">
        <is>
          <t>INTF</t>
        </is>
      </c>
      <c r="D40" s="11" t="inlineStr">
        <is>
          <t>202603</t>
        </is>
      </c>
      <c r="E40" s="11" t="inlineStr">
        <is>
          <t>1004232579</t>
        </is>
      </c>
      <c r="F40" s="11" t="inlineStr">
        <is>
          <t>MONCAYO PASTAS MARIA</t>
        </is>
      </c>
      <c r="G40" s="11" t="inlineStr"/>
      <c r="H40" s="11" t="inlineStr">
        <is>
          <t>INTERFACE P.O.S.</t>
        </is>
      </c>
      <c r="I40" s="11" t="n">
        <v>5800</v>
      </c>
      <c r="J40" s="11" t="inlineStr"/>
    </row>
    <row r="41">
      <c r="A41" s="11" t="n">
        <v>40</v>
      </c>
      <c r="B41" s="12" t="n">
        <v>46083</v>
      </c>
      <c r="C41" s="11" t="inlineStr">
        <is>
          <t>CE</t>
        </is>
      </c>
      <c r="D41" s="11" t="inlineStr">
        <is>
          <t>9381</t>
        </is>
      </c>
      <c r="E41" s="11" t="inlineStr">
        <is>
          <t>12960879</t>
        </is>
      </c>
      <c r="F41" s="11" t="inlineStr">
        <is>
          <t>PATIÑO HERMES ANTONI</t>
        </is>
      </c>
      <c r="G41" s="11" t="inlineStr">
        <is>
          <t>8750</t>
        </is>
      </c>
      <c r="H41" s="11" t="inlineStr">
        <is>
          <t>PF ZENU</t>
        </is>
      </c>
      <c r="I41" s="11" t="inlineStr"/>
      <c r="J41" s="11" t="n">
        <v>2377939</v>
      </c>
    </row>
    <row r="42">
      <c r="A42" s="11" t="n">
        <v>41</v>
      </c>
      <c r="B42" s="12" t="n">
        <v>46083</v>
      </c>
      <c r="C42" s="11" t="inlineStr">
        <is>
          <t>INTF</t>
        </is>
      </c>
      <c r="D42" s="11" t="inlineStr">
        <is>
          <t>202603</t>
        </is>
      </c>
      <c r="E42" s="11" t="inlineStr">
        <is>
          <t>1123335029</t>
        </is>
      </c>
      <c r="F42" s="11" t="inlineStr">
        <is>
          <t>SANCHEZ TORO JUAN CA</t>
        </is>
      </c>
      <c r="G42" s="11" t="inlineStr"/>
      <c r="H42" s="11" t="inlineStr">
        <is>
          <t>INTERFACE P.O.S.</t>
        </is>
      </c>
      <c r="I42" s="11" t="n">
        <v>14300</v>
      </c>
      <c r="J42" s="11" t="inlineStr"/>
    </row>
    <row r="43">
      <c r="A43" s="11" t="n">
        <v>42</v>
      </c>
      <c r="B43" s="12" t="n">
        <v>46083</v>
      </c>
      <c r="C43" s="11" t="inlineStr">
        <is>
          <t>INTF</t>
        </is>
      </c>
      <c r="D43" s="11" t="inlineStr">
        <is>
          <t>202603</t>
        </is>
      </c>
      <c r="E43" s="11" t="inlineStr">
        <is>
          <t>69021907</t>
        </is>
      </c>
      <c r="F43" s="11" t="inlineStr">
        <is>
          <t>CORDOBA BASTIDAS NID</t>
        </is>
      </c>
      <c r="G43" s="11" t="inlineStr"/>
      <c r="H43" s="11" t="inlineStr">
        <is>
          <t>INTERFACE P.O.S.</t>
        </is>
      </c>
      <c r="I43" s="11" t="n">
        <v>51300</v>
      </c>
      <c r="J43" s="11" t="inlineStr"/>
    </row>
    <row r="44">
      <c r="A44" s="11" t="n">
        <v>43</v>
      </c>
      <c r="B44" s="12" t="n">
        <v>46083</v>
      </c>
      <c r="C44" s="11" t="inlineStr">
        <is>
          <t>INTF</t>
        </is>
      </c>
      <c r="D44" s="11" t="inlineStr">
        <is>
          <t>202603</t>
        </is>
      </c>
      <c r="E44" s="11" t="inlineStr">
        <is>
          <t>1123330360</t>
        </is>
      </c>
      <c r="F44" s="11" t="inlineStr">
        <is>
          <t>ORTEGA CAPERA INGRI</t>
        </is>
      </c>
      <c r="G44" s="11" t="inlineStr"/>
      <c r="H44" s="11" t="inlineStr">
        <is>
          <t>INTERFACE P.O.S.</t>
        </is>
      </c>
      <c r="I44" s="11" t="n">
        <v>17400</v>
      </c>
      <c r="J44" s="11" t="inlineStr"/>
    </row>
    <row r="45">
      <c r="A45" s="11" t="n">
        <v>44</v>
      </c>
      <c r="B45" s="12" t="n">
        <v>46083</v>
      </c>
      <c r="C45" s="11" t="inlineStr">
        <is>
          <t>INTF</t>
        </is>
      </c>
      <c r="D45" s="11" t="inlineStr">
        <is>
          <t>202603</t>
        </is>
      </c>
      <c r="E45" s="11" t="inlineStr">
        <is>
          <t>1123330005</t>
        </is>
      </c>
      <c r="F45" s="11" t="inlineStr">
        <is>
          <t>ARIAS ARBOLEDA LEIDY</t>
        </is>
      </c>
      <c r="G45" s="11" t="inlineStr"/>
      <c r="H45" s="11" t="inlineStr">
        <is>
          <t>INTERFACE P.O.S.</t>
        </is>
      </c>
      <c r="I45" s="11" t="n">
        <v>16800</v>
      </c>
      <c r="J45" s="11" t="inlineStr"/>
    </row>
    <row r="46">
      <c r="A46" s="11" t="n">
        <v>45</v>
      </c>
      <c r="B46" s="12" t="n">
        <v>46083</v>
      </c>
      <c r="C46" s="11" t="inlineStr">
        <is>
          <t>INTF</t>
        </is>
      </c>
      <c r="D46" s="11" t="inlineStr">
        <is>
          <t>202603</t>
        </is>
      </c>
      <c r="E46" s="11" t="inlineStr">
        <is>
          <t>16072719</t>
        </is>
      </c>
      <c r="F46" s="11" t="inlineStr">
        <is>
          <t>FLOREZ LONDOÑO YESID</t>
        </is>
      </c>
      <c r="G46" s="11" t="inlineStr"/>
      <c r="H46" s="11" t="inlineStr">
        <is>
          <t>INTERFACE P.O.S.</t>
        </is>
      </c>
      <c r="I46" s="11" t="n">
        <v>24700</v>
      </c>
      <c r="J46" s="11" t="inlineStr"/>
    </row>
    <row r="47">
      <c r="A47" s="11" t="n">
        <v>46</v>
      </c>
      <c r="B47" s="12" t="n">
        <v>46083</v>
      </c>
      <c r="C47" s="11" t="inlineStr">
        <is>
          <t>INTF</t>
        </is>
      </c>
      <c r="D47" s="11" t="inlineStr">
        <is>
          <t>202603</t>
        </is>
      </c>
      <c r="E47" s="11" t="inlineStr">
        <is>
          <t>1075243320</t>
        </is>
      </c>
      <c r="F47" s="11" t="inlineStr">
        <is>
          <t>CASAÑAS CAZAÑAS JAME</t>
        </is>
      </c>
      <c r="G47" s="11" t="inlineStr"/>
      <c r="H47" s="11" t="inlineStr">
        <is>
          <t>INTERFACE P.O.S.</t>
        </is>
      </c>
      <c r="I47" s="11" t="n">
        <v>10000</v>
      </c>
      <c r="J47" s="11" t="inlineStr"/>
    </row>
    <row r="48">
      <c r="A48" s="11" t="n">
        <v>47</v>
      </c>
      <c r="B48" s="12" t="n">
        <v>46083</v>
      </c>
      <c r="C48" s="11" t="inlineStr">
        <is>
          <t>INTF</t>
        </is>
      </c>
      <c r="D48" s="11" t="inlineStr">
        <is>
          <t>202603</t>
        </is>
      </c>
      <c r="E48" s="11" t="inlineStr">
        <is>
          <t>1123324247</t>
        </is>
      </c>
      <c r="F48" s="11" t="inlineStr">
        <is>
          <t>GONZALEZ FORERO JENN</t>
        </is>
      </c>
      <c r="G48" s="11" t="inlineStr"/>
      <c r="H48" s="11" t="inlineStr">
        <is>
          <t>INTERFACE P.O.S.</t>
        </is>
      </c>
      <c r="I48" s="11" t="n">
        <v>47700</v>
      </c>
      <c r="J48" s="11" t="inlineStr"/>
    </row>
    <row r="49">
      <c r="A49" s="11" t="n">
        <v>48</v>
      </c>
      <c r="B49" s="12" t="n">
        <v>46083</v>
      </c>
      <c r="C49" s="11" t="inlineStr">
        <is>
          <t>INTF</t>
        </is>
      </c>
      <c r="D49" s="11" t="inlineStr">
        <is>
          <t>202603</t>
        </is>
      </c>
      <c r="E49" s="11" t="inlineStr">
        <is>
          <t>1126448969</t>
        </is>
      </c>
      <c r="F49" s="11" t="inlineStr">
        <is>
          <t>CABRERA CADENA ANGEL</t>
        </is>
      </c>
      <c r="G49" s="11" t="inlineStr"/>
      <c r="H49" s="11" t="inlineStr">
        <is>
          <t>INTERFACE P.O.S.</t>
        </is>
      </c>
      <c r="I49" s="11" t="n">
        <v>36500</v>
      </c>
      <c r="J49" s="11" t="inlineStr"/>
    </row>
    <row r="50">
      <c r="A50" s="11" t="n">
        <v>49</v>
      </c>
      <c r="B50" s="12" t="n">
        <v>46083</v>
      </c>
      <c r="C50" s="11" t="inlineStr">
        <is>
          <t>INTF</t>
        </is>
      </c>
      <c r="D50" s="11" t="inlineStr">
        <is>
          <t>202603</t>
        </is>
      </c>
      <c r="E50" s="11" t="inlineStr">
        <is>
          <t>80253306</t>
        </is>
      </c>
      <c r="F50" s="11" t="inlineStr">
        <is>
          <t>LUNA CRUZ MARIO JACI</t>
        </is>
      </c>
      <c r="G50" s="11" t="inlineStr"/>
      <c r="H50" s="11" t="inlineStr">
        <is>
          <t>INTERFACE P.O.S.</t>
        </is>
      </c>
      <c r="I50" s="11" t="n">
        <v>20500</v>
      </c>
      <c r="J50" s="11" t="inlineStr"/>
    </row>
    <row r="51">
      <c r="A51" s="11" t="n">
        <v>50</v>
      </c>
      <c r="B51" s="12" t="n">
        <v>46083</v>
      </c>
      <c r="C51" s="11" t="inlineStr">
        <is>
          <t>INTF</t>
        </is>
      </c>
      <c r="D51" s="11" t="inlineStr">
        <is>
          <t>202603</t>
        </is>
      </c>
      <c r="E51" s="11" t="inlineStr">
        <is>
          <t>1006996286</t>
        </is>
      </c>
      <c r="F51" s="11" t="inlineStr">
        <is>
          <t>CONGOTTE ARBOLEDA DA</t>
        </is>
      </c>
      <c r="G51" s="11" t="inlineStr"/>
      <c r="H51" s="11" t="inlineStr">
        <is>
          <t>INTERFACE P.O.S.</t>
        </is>
      </c>
      <c r="I51" s="11" t="n">
        <v>55636</v>
      </c>
      <c r="J51" s="11" t="inlineStr"/>
    </row>
    <row r="52">
      <c r="A52" s="11" t="n">
        <v>51</v>
      </c>
      <c r="B52" s="12" t="n">
        <v>46083</v>
      </c>
      <c r="C52" s="11" t="inlineStr">
        <is>
          <t>INTF</t>
        </is>
      </c>
      <c r="D52" s="11" t="inlineStr">
        <is>
          <t>202603</t>
        </is>
      </c>
      <c r="E52" s="11" t="inlineStr">
        <is>
          <t>1123335313</t>
        </is>
      </c>
      <c r="F52" s="11" t="inlineStr">
        <is>
          <t>NOGUERA GARCIA DIANA</t>
        </is>
      </c>
      <c r="G52" s="11" t="inlineStr"/>
      <c r="H52" s="11" t="inlineStr">
        <is>
          <t>INTERFACE P.O.S.</t>
        </is>
      </c>
      <c r="I52" s="11" t="n">
        <v>24800</v>
      </c>
      <c r="J52" s="11" t="inlineStr"/>
    </row>
    <row r="53">
      <c r="A53" s="11" t="n">
        <v>52</v>
      </c>
      <c r="B53" s="12" t="n">
        <v>46083</v>
      </c>
      <c r="C53" s="11" t="inlineStr">
        <is>
          <t>INTF</t>
        </is>
      </c>
      <c r="D53" s="11" t="inlineStr">
        <is>
          <t>202603</t>
        </is>
      </c>
      <c r="E53" s="11" t="inlineStr">
        <is>
          <t>1123320393</t>
        </is>
      </c>
      <c r="F53" s="11" t="inlineStr">
        <is>
          <t>CASTRO LINARES LICET</t>
        </is>
      </c>
      <c r="G53" s="11" t="inlineStr"/>
      <c r="H53" s="11" t="inlineStr">
        <is>
          <t>INTERFACE P.O.S.</t>
        </is>
      </c>
      <c r="I53" s="11" t="n">
        <v>17200</v>
      </c>
      <c r="J53" s="11" t="inlineStr"/>
    </row>
    <row r="54">
      <c r="A54" s="11" t="n">
        <v>53</v>
      </c>
      <c r="B54" s="12" t="n">
        <v>46083</v>
      </c>
      <c r="C54" s="11" t="inlineStr">
        <is>
          <t>INTF</t>
        </is>
      </c>
      <c r="D54" s="11" t="inlineStr">
        <is>
          <t>202603</t>
        </is>
      </c>
      <c r="E54" s="11" t="inlineStr">
        <is>
          <t>13068909</t>
        </is>
      </c>
      <c r="F54" s="11" t="inlineStr">
        <is>
          <t>HERRERA RUALES VICTO</t>
        </is>
      </c>
      <c r="G54" s="11" t="inlineStr"/>
      <c r="H54" s="11" t="inlineStr">
        <is>
          <t>INTERFACE P.O.S.</t>
        </is>
      </c>
      <c r="I54" s="11" t="n">
        <v>39500</v>
      </c>
      <c r="J54" s="11" t="inlineStr"/>
    </row>
    <row r="55">
      <c r="A55" s="11" t="n">
        <v>54</v>
      </c>
      <c r="B55" s="12" t="n">
        <v>46083</v>
      </c>
      <c r="C55" s="11" t="inlineStr">
        <is>
          <t>INTF</t>
        </is>
      </c>
      <c r="D55" s="11" t="inlineStr">
        <is>
          <t>202603</t>
        </is>
      </c>
      <c r="E55" s="11" t="inlineStr">
        <is>
          <t>1006849484</t>
        </is>
      </c>
      <c r="F55" s="11" t="inlineStr">
        <is>
          <t>RENTERIA MATURANA KA</t>
        </is>
      </c>
      <c r="G55" s="11" t="inlineStr"/>
      <c r="H55" s="11" t="inlineStr">
        <is>
          <t>INTERFACE P.O.S.</t>
        </is>
      </c>
      <c r="I55" s="11" t="n">
        <v>25100</v>
      </c>
      <c r="J55" s="11" t="inlineStr"/>
    </row>
    <row r="56">
      <c r="A56" s="11" t="n">
        <v>55</v>
      </c>
      <c r="B56" s="12" t="n">
        <v>46083</v>
      </c>
      <c r="C56" s="11" t="inlineStr">
        <is>
          <t>INTF</t>
        </is>
      </c>
      <c r="D56" s="11" t="inlineStr">
        <is>
          <t>202603</t>
        </is>
      </c>
      <c r="E56" s="11" t="inlineStr">
        <is>
          <t>63367669</t>
        </is>
      </c>
      <c r="F56" s="11" t="inlineStr">
        <is>
          <t>PEREZ BECERRA PATRIC</t>
        </is>
      </c>
      <c r="G56" s="11" t="inlineStr"/>
      <c r="H56" s="11" t="inlineStr">
        <is>
          <t>INTERFACE P.O.S.</t>
        </is>
      </c>
      <c r="I56" s="11" t="n">
        <v>30000</v>
      </c>
      <c r="J56" s="11" t="inlineStr"/>
    </row>
    <row r="57">
      <c r="A57" s="11" t="n">
        <v>56</v>
      </c>
      <c r="B57" s="12" t="n">
        <v>46083</v>
      </c>
      <c r="C57" s="11" t="inlineStr">
        <is>
          <t>INTF</t>
        </is>
      </c>
      <c r="D57" s="11" t="inlineStr">
        <is>
          <t>202603</t>
        </is>
      </c>
      <c r="E57" s="11" t="inlineStr">
        <is>
          <t>1123324854</t>
        </is>
      </c>
      <c r="F57" s="11" t="inlineStr">
        <is>
          <t>RENTERIA MATURANA CR</t>
        </is>
      </c>
      <c r="G57" s="11" t="inlineStr"/>
      <c r="H57" s="11" t="inlineStr">
        <is>
          <t>INTERFACE P.O.S.</t>
        </is>
      </c>
      <c r="I57" s="11" t="n">
        <v>51000</v>
      </c>
      <c r="J57" s="11" t="inlineStr"/>
    </row>
    <row r="58">
      <c r="A58" s="11" t="n">
        <v>57</v>
      </c>
      <c r="B58" s="12" t="n">
        <v>46083</v>
      </c>
      <c r="C58" s="11" t="inlineStr">
        <is>
          <t>INTF</t>
        </is>
      </c>
      <c r="D58" s="11" t="inlineStr">
        <is>
          <t>202603</t>
        </is>
      </c>
      <c r="E58" s="11" t="inlineStr">
        <is>
          <t>901649424</t>
        </is>
      </c>
      <c r="F58" s="11" t="inlineStr">
        <is>
          <t>CONSORCIO OBRAS ACO.</t>
        </is>
      </c>
      <c r="G58" s="11" t="inlineStr"/>
      <c r="H58" s="11" t="inlineStr">
        <is>
          <t>INTERFACE P.O.S.</t>
        </is>
      </c>
      <c r="I58" s="11" t="n">
        <v>15000</v>
      </c>
      <c r="J58" s="11" t="inlineStr"/>
    </row>
    <row r="59">
      <c r="A59" s="11" t="n">
        <v>58</v>
      </c>
      <c r="B59" s="12" t="n">
        <v>46083</v>
      </c>
      <c r="C59" s="11" t="inlineStr">
        <is>
          <t>INTF</t>
        </is>
      </c>
      <c r="D59" s="11" t="inlineStr">
        <is>
          <t>202603</t>
        </is>
      </c>
      <c r="E59" s="11" t="inlineStr">
        <is>
          <t>1124858823</t>
        </is>
      </c>
      <c r="F59" s="11" t="inlineStr">
        <is>
          <t>EGAS CUARTAS KATHERI</t>
        </is>
      </c>
      <c r="G59" s="11" t="inlineStr"/>
      <c r="H59" s="11" t="inlineStr">
        <is>
          <t>INTERFACE P.O.S.</t>
        </is>
      </c>
      <c r="I59" s="11" t="n">
        <v>10000</v>
      </c>
      <c r="J59" s="11" t="inlineStr"/>
    </row>
    <row r="60">
      <c r="A60" s="11" t="n">
        <v>59</v>
      </c>
      <c r="B60" s="12" t="n">
        <v>46083</v>
      </c>
      <c r="C60" s="11" t="inlineStr">
        <is>
          <t>INTF</t>
        </is>
      </c>
      <c r="D60" s="11" t="inlineStr">
        <is>
          <t>202603</t>
        </is>
      </c>
      <c r="E60" s="11" t="inlineStr">
        <is>
          <t>1124850429</t>
        </is>
      </c>
      <c r="F60" s="11" t="inlineStr">
        <is>
          <t>SANCHEZ LARA WEYTMAN</t>
        </is>
      </c>
      <c r="G60" s="11" t="inlineStr"/>
      <c r="H60" s="11" t="inlineStr">
        <is>
          <t>INTERFACE P.O.S.</t>
        </is>
      </c>
      <c r="I60" s="11" t="n">
        <v>15900</v>
      </c>
      <c r="J60" s="11" t="inlineStr"/>
    </row>
    <row r="61">
      <c r="A61" s="11" t="n">
        <v>60</v>
      </c>
      <c r="B61" s="12" t="n">
        <v>46083</v>
      </c>
      <c r="C61" s="11" t="inlineStr">
        <is>
          <t>INTF</t>
        </is>
      </c>
      <c r="D61" s="11" t="inlineStr">
        <is>
          <t>202603</t>
        </is>
      </c>
      <c r="E61" s="11" t="inlineStr">
        <is>
          <t>18145192</t>
        </is>
      </c>
      <c r="F61" s="11" t="inlineStr">
        <is>
          <t>JARAMILLO CORTEZ OMA</t>
        </is>
      </c>
      <c r="G61" s="11" t="inlineStr"/>
      <c r="H61" s="11" t="inlineStr">
        <is>
          <t>INTERFACE P.O.S.</t>
        </is>
      </c>
      <c r="I61" s="11" t="n">
        <v>6500</v>
      </c>
      <c r="J61" s="11" t="inlineStr"/>
    </row>
    <row r="62">
      <c r="A62" s="11" t="n">
        <v>61</v>
      </c>
      <c r="B62" s="12" t="n">
        <v>46083</v>
      </c>
      <c r="C62" s="11" t="inlineStr">
        <is>
          <t>INTF</t>
        </is>
      </c>
      <c r="D62" s="11" t="inlineStr">
        <is>
          <t>202603</t>
        </is>
      </c>
      <c r="E62" s="11" t="inlineStr">
        <is>
          <t>1123329945</t>
        </is>
      </c>
      <c r="F62" s="11" t="inlineStr">
        <is>
          <t>BERNAL CORAL PAULA A</t>
        </is>
      </c>
      <c r="G62" s="11" t="inlineStr"/>
      <c r="H62" s="11" t="inlineStr">
        <is>
          <t>INTERFACE P.O.S.</t>
        </is>
      </c>
      <c r="I62" s="11" t="n">
        <v>44600</v>
      </c>
      <c r="J62" s="11" t="inlineStr"/>
    </row>
    <row r="63">
      <c r="A63" s="11" t="n">
        <v>62</v>
      </c>
      <c r="B63" s="12" t="n">
        <v>46083</v>
      </c>
      <c r="C63" s="11" t="inlineStr">
        <is>
          <t>INTF</t>
        </is>
      </c>
      <c r="D63" s="11" t="inlineStr">
        <is>
          <t>202603</t>
        </is>
      </c>
      <c r="E63" s="11" t="inlineStr">
        <is>
          <t>1006850975</t>
        </is>
      </c>
      <c r="F63" s="11" t="inlineStr">
        <is>
          <t>ALDANA RENTERIA JOHA</t>
        </is>
      </c>
      <c r="G63" s="11" t="inlineStr"/>
      <c r="H63" s="11" t="inlineStr">
        <is>
          <t>INTERFACE P.O.S.</t>
        </is>
      </c>
      <c r="I63" s="11" t="n">
        <v>6000</v>
      </c>
      <c r="J63" s="11" t="inlineStr"/>
    </row>
    <row r="64">
      <c r="A64" s="11" t="n">
        <v>63</v>
      </c>
      <c r="B64" s="12" t="n">
        <v>46083</v>
      </c>
      <c r="C64" s="11" t="inlineStr">
        <is>
          <t>INTF</t>
        </is>
      </c>
      <c r="D64" s="11" t="inlineStr">
        <is>
          <t>202603</t>
        </is>
      </c>
      <c r="E64" s="11" t="inlineStr">
        <is>
          <t>69008919</t>
        </is>
      </c>
      <c r="F64" s="11" t="inlineStr">
        <is>
          <t>SANCHEZ CRUZ MARYORY</t>
        </is>
      </c>
      <c r="G64" s="11" t="inlineStr"/>
      <c r="H64" s="11" t="inlineStr">
        <is>
          <t>INTERFACE P.O.S.</t>
        </is>
      </c>
      <c r="I64" s="11" t="n">
        <v>17200</v>
      </c>
      <c r="J64" s="11" t="inlineStr"/>
    </row>
    <row r="65">
      <c r="A65" s="11" t="n">
        <v>64</v>
      </c>
      <c r="B65" s="12" t="n">
        <v>46083</v>
      </c>
      <c r="C65" s="11" t="inlineStr">
        <is>
          <t>INTF</t>
        </is>
      </c>
      <c r="D65" s="11" t="inlineStr">
        <is>
          <t>202603</t>
        </is>
      </c>
      <c r="E65" s="11" t="inlineStr">
        <is>
          <t>1123328626</t>
        </is>
      </c>
      <c r="F65" s="11" t="inlineStr">
        <is>
          <t>MUÑOZ GAVIRIA MARTHA</t>
        </is>
      </c>
      <c r="G65" s="11" t="inlineStr"/>
      <c r="H65" s="11" t="inlineStr">
        <is>
          <t>INTERFACE P.O.S.</t>
        </is>
      </c>
      <c r="I65" s="11" t="n">
        <v>3000</v>
      </c>
      <c r="J65" s="11" t="inlineStr"/>
    </row>
    <row r="66">
      <c r="A66" s="11" t="n">
        <v>65</v>
      </c>
      <c r="B66" s="12" t="n">
        <v>46083</v>
      </c>
      <c r="C66" s="11" t="inlineStr">
        <is>
          <t>INTF</t>
        </is>
      </c>
      <c r="D66" s="11" t="inlineStr">
        <is>
          <t>202603</t>
        </is>
      </c>
      <c r="E66" s="11" t="inlineStr">
        <is>
          <t>1006994711</t>
        </is>
      </c>
      <c r="F66" s="11" t="inlineStr">
        <is>
          <t>MOSQUERA PALACIOS JE</t>
        </is>
      </c>
      <c r="G66" s="11" t="inlineStr"/>
      <c r="H66" s="11" t="inlineStr">
        <is>
          <t>INTERFACE P.O.S.</t>
        </is>
      </c>
      <c r="I66" s="11" t="n">
        <v>15000</v>
      </c>
      <c r="J66" s="11" t="inlineStr"/>
    </row>
    <row r="67">
      <c r="A67" s="11" t="n">
        <v>66</v>
      </c>
      <c r="B67" s="12" t="n">
        <v>46083</v>
      </c>
      <c r="C67" s="11" t="inlineStr">
        <is>
          <t>INTF</t>
        </is>
      </c>
      <c r="D67" s="11" t="inlineStr">
        <is>
          <t>202603</t>
        </is>
      </c>
      <c r="E67" s="11" t="inlineStr">
        <is>
          <t>41106599</t>
        </is>
      </c>
      <c r="F67" s="11" t="inlineStr">
        <is>
          <t>LINARES VERGARA NANC</t>
        </is>
      </c>
      <c r="G67" s="11" t="inlineStr"/>
      <c r="H67" s="11" t="inlineStr">
        <is>
          <t>INTERFACE P.O.S.</t>
        </is>
      </c>
      <c r="I67" s="11" t="n">
        <v>22200</v>
      </c>
      <c r="J67" s="11" t="inlineStr"/>
    </row>
    <row r="68">
      <c r="A68" s="11" t="n">
        <v>67</v>
      </c>
      <c r="B68" s="12" t="n">
        <v>46083</v>
      </c>
      <c r="C68" s="11" t="inlineStr">
        <is>
          <t>INTF</t>
        </is>
      </c>
      <c r="D68" s="11" t="inlineStr">
        <is>
          <t>202603</t>
        </is>
      </c>
      <c r="E68" s="11" t="inlineStr">
        <is>
          <t>1006850919</t>
        </is>
      </c>
      <c r="F68" s="11" t="inlineStr">
        <is>
          <t>MELO VILLA REAL DANI</t>
        </is>
      </c>
      <c r="G68" s="11" t="inlineStr"/>
      <c r="H68" s="11" t="inlineStr">
        <is>
          <t>INTERFACE P.O.S.</t>
        </is>
      </c>
      <c r="I68" s="11" t="n">
        <v>93100</v>
      </c>
      <c r="J68" s="11" t="inlineStr"/>
    </row>
    <row r="69">
      <c r="A69" s="11" t="n">
        <v>68</v>
      </c>
      <c r="B69" s="12" t="n">
        <v>46083</v>
      </c>
      <c r="C69" s="11" t="inlineStr">
        <is>
          <t>INTF</t>
        </is>
      </c>
      <c r="D69" s="11" t="inlineStr">
        <is>
          <t>202603</t>
        </is>
      </c>
      <c r="E69" s="11" t="inlineStr">
        <is>
          <t>1123329745</t>
        </is>
      </c>
      <c r="F69" s="11" t="inlineStr">
        <is>
          <t>ORTIZ RUIZ MIRTA LUC</t>
        </is>
      </c>
      <c r="G69" s="11" t="inlineStr"/>
      <c r="H69" s="11" t="inlineStr">
        <is>
          <t>INTERFACE P.O.S.</t>
        </is>
      </c>
      <c r="I69" s="11" t="n">
        <v>39600</v>
      </c>
      <c r="J69" s="11" t="inlineStr"/>
    </row>
    <row r="70">
      <c r="A70" s="11" t="n">
        <v>69</v>
      </c>
      <c r="B70" s="12" t="n">
        <v>46083</v>
      </c>
      <c r="C70" s="11" t="inlineStr">
        <is>
          <t>INTF</t>
        </is>
      </c>
      <c r="D70" s="11" t="inlineStr">
        <is>
          <t>202603</t>
        </is>
      </c>
      <c r="E70" s="11" t="inlineStr">
        <is>
          <t>1123333951</t>
        </is>
      </c>
      <c r="F70" s="11" t="inlineStr">
        <is>
          <t>EGAS ROSALES VIVIAN</t>
        </is>
      </c>
      <c r="G70" s="11" t="inlineStr"/>
      <c r="H70" s="11" t="inlineStr">
        <is>
          <t>INTERFACE P.O.S.</t>
        </is>
      </c>
      <c r="I70" s="11" t="n">
        <v>52100</v>
      </c>
      <c r="J70" s="11" t="inlineStr"/>
    </row>
    <row r="71">
      <c r="A71" s="11" t="n">
        <v>70</v>
      </c>
      <c r="B71" s="12" t="n">
        <v>46083</v>
      </c>
      <c r="C71" s="11" t="inlineStr">
        <is>
          <t>INTF</t>
        </is>
      </c>
      <c r="D71" s="11" t="inlineStr">
        <is>
          <t>202603</t>
        </is>
      </c>
      <c r="E71" s="11" t="inlineStr">
        <is>
          <t>1085282128</t>
        </is>
      </c>
      <c r="F71" s="11" t="inlineStr">
        <is>
          <t>CHANA POTOSI EDISSON</t>
        </is>
      </c>
      <c r="G71" s="11" t="inlineStr"/>
      <c r="H71" s="11" t="inlineStr">
        <is>
          <t>INTERFACE P.O.S.</t>
        </is>
      </c>
      <c r="I71" s="11" t="n">
        <v>33000</v>
      </c>
      <c r="J71" s="11" t="inlineStr"/>
    </row>
    <row r="72">
      <c r="A72" s="11" t="n">
        <v>71</v>
      </c>
      <c r="B72" s="12" t="n">
        <v>46083</v>
      </c>
      <c r="C72" s="11" t="inlineStr">
        <is>
          <t>INTF</t>
        </is>
      </c>
      <c r="D72" s="11" t="inlineStr">
        <is>
          <t>202603</t>
        </is>
      </c>
      <c r="E72" s="11" t="inlineStr">
        <is>
          <t>1123324451</t>
        </is>
      </c>
      <c r="F72" s="11" t="inlineStr">
        <is>
          <t>RODRIGUEZ ESTACIO Y</t>
        </is>
      </c>
      <c r="G72" s="11" t="inlineStr"/>
      <c r="H72" s="11" t="inlineStr">
        <is>
          <t>INTERFACE P.O.S.</t>
        </is>
      </c>
      <c r="I72" s="11" t="n">
        <v>33800</v>
      </c>
      <c r="J72" s="11" t="inlineStr"/>
    </row>
    <row r="73">
      <c r="A73" s="11" t="n">
        <v>72</v>
      </c>
      <c r="B73" s="12" t="n">
        <v>46083</v>
      </c>
      <c r="C73" s="11" t="inlineStr">
        <is>
          <t>INTF</t>
        </is>
      </c>
      <c r="D73" s="11" t="inlineStr">
        <is>
          <t>202603</t>
        </is>
      </c>
      <c r="E73" s="11" t="inlineStr">
        <is>
          <t>1004743598</t>
        </is>
      </c>
      <c r="F73" s="11" t="inlineStr">
        <is>
          <t>CHAZATAR BOTINA ANDE</t>
        </is>
      </c>
      <c r="G73" s="11" t="inlineStr"/>
      <c r="H73" s="11" t="inlineStr">
        <is>
          <t>INTERFACE P.O.S.</t>
        </is>
      </c>
      <c r="I73" s="11" t="n">
        <v>14000</v>
      </c>
      <c r="J73" s="11" t="inlineStr"/>
    </row>
    <row r="74">
      <c r="A74" s="11" t="n">
        <v>73</v>
      </c>
      <c r="B74" s="12" t="n">
        <v>46083</v>
      </c>
      <c r="C74" s="11" t="inlineStr">
        <is>
          <t>INTF</t>
        </is>
      </c>
      <c r="D74" s="11" t="inlineStr">
        <is>
          <t>202603</t>
        </is>
      </c>
      <c r="E74" s="11" t="inlineStr">
        <is>
          <t>1123327937</t>
        </is>
      </c>
      <c r="F74" s="11" t="inlineStr">
        <is>
          <t>SILVA ZAMBRANO WILLI</t>
        </is>
      </c>
      <c r="G74" s="11" t="inlineStr"/>
      <c r="H74" s="11" t="inlineStr">
        <is>
          <t>INTERFACE P.O.S.</t>
        </is>
      </c>
      <c r="I74" s="11" t="n">
        <v>51435</v>
      </c>
      <c r="J74" s="11" t="inlineStr"/>
    </row>
    <row r="75">
      <c r="A75" s="11" t="n">
        <v>74</v>
      </c>
      <c r="B75" s="12" t="n">
        <v>46083</v>
      </c>
      <c r="C75" s="11" t="inlineStr">
        <is>
          <t>INTF</t>
        </is>
      </c>
      <c r="D75" s="11" t="inlineStr">
        <is>
          <t>202603</t>
        </is>
      </c>
      <c r="E75" s="11" t="inlineStr">
        <is>
          <t>1075281542</t>
        </is>
      </c>
      <c r="F75" s="11" t="inlineStr">
        <is>
          <t>RODRIGUEZ BUITRON KA</t>
        </is>
      </c>
      <c r="G75" s="11" t="inlineStr"/>
      <c r="H75" s="11" t="inlineStr">
        <is>
          <t>INTERFACE P.O.S.</t>
        </is>
      </c>
      <c r="I75" s="11" t="n">
        <v>2800</v>
      </c>
      <c r="J75" s="11" t="inlineStr"/>
    </row>
    <row r="76">
      <c r="A76" s="11" t="n">
        <v>75</v>
      </c>
      <c r="B76" s="12" t="n">
        <v>46083</v>
      </c>
      <c r="C76" s="11" t="inlineStr">
        <is>
          <t>INTF</t>
        </is>
      </c>
      <c r="D76" s="11" t="inlineStr">
        <is>
          <t>202603</t>
        </is>
      </c>
      <c r="E76" s="11" t="inlineStr">
        <is>
          <t>1128439424</t>
        </is>
      </c>
      <c r="F76" s="11" t="inlineStr">
        <is>
          <t>PORTILLA MONCAYO SAI</t>
        </is>
      </c>
      <c r="G76" s="11" t="inlineStr"/>
      <c r="H76" s="11" t="inlineStr">
        <is>
          <t>INTERFACE P.O.S.</t>
        </is>
      </c>
      <c r="I76" s="11" t="n">
        <v>6000</v>
      </c>
      <c r="J76" s="11" t="inlineStr"/>
    </row>
    <row r="77">
      <c r="A77" s="11" t="n">
        <v>76</v>
      </c>
      <c r="B77" s="12" t="n">
        <v>46083</v>
      </c>
      <c r="C77" s="11" t="inlineStr">
        <is>
          <t>INTF</t>
        </is>
      </c>
      <c r="D77" s="11" t="inlineStr">
        <is>
          <t>202603</t>
        </is>
      </c>
      <c r="E77" s="11" t="inlineStr">
        <is>
          <t>1123323510</t>
        </is>
      </c>
      <c r="F77" s="11" t="inlineStr">
        <is>
          <t>QUISTIAL CASTRO MART</t>
        </is>
      </c>
      <c r="G77" s="11" t="inlineStr"/>
      <c r="H77" s="11" t="inlineStr">
        <is>
          <t>INTERFACE P.O.S.</t>
        </is>
      </c>
      <c r="I77" s="11" t="n">
        <v>14300</v>
      </c>
      <c r="J77" s="11" t="inlineStr"/>
    </row>
    <row r="78">
      <c r="A78" s="11" t="n">
        <v>77</v>
      </c>
      <c r="B78" s="12" t="n">
        <v>46083</v>
      </c>
      <c r="C78" s="11" t="inlineStr">
        <is>
          <t>INTF</t>
        </is>
      </c>
      <c r="D78" s="11" t="inlineStr">
        <is>
          <t>202603</t>
        </is>
      </c>
      <c r="E78" s="11" t="inlineStr">
        <is>
          <t>1032488765</t>
        </is>
      </c>
      <c r="F78" s="11" t="inlineStr">
        <is>
          <t>MURIEL PULIDO NICOLA</t>
        </is>
      </c>
      <c r="G78" s="11" t="inlineStr"/>
      <c r="H78" s="11" t="inlineStr">
        <is>
          <t>INTERFACE P.O.S.</t>
        </is>
      </c>
      <c r="I78" s="11" t="n">
        <v>14600</v>
      </c>
      <c r="J78" s="11" t="inlineStr"/>
    </row>
    <row r="79">
      <c r="A79" s="11" t="n">
        <v>78</v>
      </c>
      <c r="B79" s="12" t="n">
        <v>46083</v>
      </c>
      <c r="C79" s="11" t="inlineStr">
        <is>
          <t>INTF</t>
        </is>
      </c>
      <c r="D79" s="11" t="inlineStr">
        <is>
          <t>202603</t>
        </is>
      </c>
      <c r="E79" s="11" t="inlineStr">
        <is>
          <t>30741407</t>
        </is>
      </c>
      <c r="F79" s="11" t="inlineStr">
        <is>
          <t>DELGADO GUERRERO NEL</t>
        </is>
      </c>
      <c r="G79" s="11" t="inlineStr"/>
      <c r="H79" s="11" t="inlineStr">
        <is>
          <t>INTERFACE P.O.S.</t>
        </is>
      </c>
      <c r="I79" s="11" t="n">
        <v>137500</v>
      </c>
      <c r="J79" s="11" t="inlineStr"/>
    </row>
    <row r="80">
      <c r="A80" s="11" t="n">
        <v>79</v>
      </c>
      <c r="B80" s="12" t="n">
        <v>46083</v>
      </c>
      <c r="C80" s="11" t="inlineStr">
        <is>
          <t>INTF</t>
        </is>
      </c>
      <c r="D80" s="11" t="inlineStr">
        <is>
          <t>202603</t>
        </is>
      </c>
      <c r="E80" s="11" t="inlineStr">
        <is>
          <t>1117497936</t>
        </is>
      </c>
      <c r="F80" s="11" t="inlineStr">
        <is>
          <t>MARTINEZ GASCA KEYNY</t>
        </is>
      </c>
      <c r="G80" s="11" t="inlineStr"/>
      <c r="H80" s="11" t="inlineStr">
        <is>
          <t>INTERFACE P.O.S.</t>
        </is>
      </c>
      <c r="I80" s="11" t="n">
        <v>14000</v>
      </c>
      <c r="J80" s="11" t="inlineStr"/>
    </row>
    <row r="81">
      <c r="A81" s="11" t="n">
        <v>80</v>
      </c>
      <c r="B81" s="12" t="n">
        <v>46083</v>
      </c>
      <c r="C81" s="11" t="inlineStr">
        <is>
          <t>INTF</t>
        </is>
      </c>
      <c r="D81" s="11" t="inlineStr">
        <is>
          <t>202603</t>
        </is>
      </c>
      <c r="E81" s="11" t="inlineStr">
        <is>
          <t>1130144257</t>
        </is>
      </c>
      <c r="F81" s="11" t="inlineStr">
        <is>
          <t>MARTINEZ SOFIA</t>
        </is>
      </c>
      <c r="G81" s="11" t="inlineStr"/>
      <c r="H81" s="11" t="inlineStr">
        <is>
          <t>INTERFACE P.O.S.</t>
        </is>
      </c>
      <c r="I81" s="11" t="n">
        <v>50000</v>
      </c>
      <c r="J81" s="11" t="inlineStr"/>
    </row>
    <row r="82">
      <c r="A82" s="11" t="n">
        <v>81</v>
      </c>
      <c r="B82" s="12" t="n">
        <v>46083</v>
      </c>
      <c r="C82" s="11" t="inlineStr">
        <is>
          <t>INTF</t>
        </is>
      </c>
      <c r="D82" s="11" t="inlineStr">
        <is>
          <t>202603</t>
        </is>
      </c>
      <c r="E82" s="11" t="inlineStr">
        <is>
          <t>1123322979</t>
        </is>
      </c>
      <c r="F82" s="11" t="inlineStr">
        <is>
          <t>ORTIZ RUALES ALEXI Y</t>
        </is>
      </c>
      <c r="G82" s="11" t="inlineStr"/>
      <c r="H82" s="11" t="inlineStr">
        <is>
          <t>INTERFACE P.O.S.</t>
        </is>
      </c>
      <c r="I82" s="11" t="n">
        <v>40300</v>
      </c>
      <c r="J82" s="11" t="inlineStr"/>
    </row>
    <row r="83">
      <c r="A83" s="11" t="n">
        <v>82</v>
      </c>
      <c r="B83" s="12" t="n">
        <v>46083</v>
      </c>
      <c r="C83" s="11" t="inlineStr">
        <is>
          <t>INTF</t>
        </is>
      </c>
      <c r="D83" s="11" t="inlineStr">
        <is>
          <t>202603</t>
        </is>
      </c>
      <c r="E83" s="11" t="inlineStr">
        <is>
          <t>1085310613</t>
        </is>
      </c>
      <c r="F83" s="11" t="inlineStr">
        <is>
          <t>DIAZ PANTOJA EDWIN E</t>
        </is>
      </c>
      <c r="G83" s="11" t="inlineStr"/>
      <c r="H83" s="11" t="inlineStr">
        <is>
          <t>INTERFACE P.O.S.</t>
        </is>
      </c>
      <c r="I83" s="11" t="n">
        <v>36500</v>
      </c>
      <c r="J83" s="11" t="inlineStr"/>
    </row>
    <row r="84">
      <c r="A84" s="11" t="n">
        <v>83</v>
      </c>
      <c r="B84" s="12" t="n">
        <v>46083</v>
      </c>
      <c r="C84" s="11" t="inlineStr">
        <is>
          <t>INTF</t>
        </is>
      </c>
      <c r="D84" s="11" t="inlineStr">
        <is>
          <t>202603</t>
        </is>
      </c>
      <c r="E84" s="11" t="inlineStr">
        <is>
          <t>1127077133</t>
        </is>
      </c>
      <c r="F84" s="11" t="inlineStr">
        <is>
          <t>LOPEZ DIAZ CAMIL</t>
        </is>
      </c>
      <c r="G84" s="11" t="inlineStr"/>
      <c r="H84" s="11" t="inlineStr">
        <is>
          <t>INTERFACE P.O.S.</t>
        </is>
      </c>
      <c r="I84" s="11" t="n">
        <v>20000</v>
      </c>
      <c r="J84" s="11" t="inlineStr"/>
    </row>
    <row r="85">
      <c r="A85" s="11" t="n">
        <v>84</v>
      </c>
      <c r="B85" s="12" t="n">
        <v>46083</v>
      </c>
      <c r="C85" s="11" t="inlineStr">
        <is>
          <t>INTF</t>
        </is>
      </c>
      <c r="D85" s="11" t="inlineStr">
        <is>
          <t>202603</t>
        </is>
      </c>
      <c r="E85" s="11" t="inlineStr">
        <is>
          <t>1006961869</t>
        </is>
      </c>
      <c r="F85" s="11" t="inlineStr">
        <is>
          <t>ROSERO TORO EMIR YAK</t>
        </is>
      </c>
      <c r="G85" s="11" t="inlineStr"/>
      <c r="H85" s="11" t="inlineStr">
        <is>
          <t>INTERFACE P.O.S.</t>
        </is>
      </c>
      <c r="I85" s="11" t="n">
        <v>19000</v>
      </c>
      <c r="J85" s="11" t="inlineStr"/>
    </row>
    <row r="86">
      <c r="A86" s="11" t="n">
        <v>85</v>
      </c>
      <c r="B86" s="12" t="n">
        <v>46083</v>
      </c>
      <c r="C86" s="11" t="inlineStr">
        <is>
          <t>INTF</t>
        </is>
      </c>
      <c r="D86" s="11" t="inlineStr">
        <is>
          <t>202603</t>
        </is>
      </c>
      <c r="E86" s="11" t="inlineStr">
        <is>
          <t>69008285</t>
        </is>
      </c>
      <c r="F86" s="11" t="inlineStr">
        <is>
          <t>TORO TORO ANGELICA</t>
        </is>
      </c>
      <c r="G86" s="11" t="inlineStr"/>
      <c r="H86" s="11" t="inlineStr">
        <is>
          <t>INTERFACE P.O.S.</t>
        </is>
      </c>
      <c r="I86" s="11" t="n">
        <v>14600</v>
      </c>
      <c r="J86" s="11" t="inlineStr"/>
    </row>
    <row r="87">
      <c r="A87" s="11" t="n">
        <v>86</v>
      </c>
      <c r="B87" s="12" t="n">
        <v>46083</v>
      </c>
      <c r="C87" s="11" t="inlineStr">
        <is>
          <t>INTF</t>
        </is>
      </c>
      <c r="D87" s="11" t="inlineStr">
        <is>
          <t>202603</t>
        </is>
      </c>
      <c r="E87" s="11" t="inlineStr">
        <is>
          <t>41109495</t>
        </is>
      </c>
      <c r="F87" s="11" t="inlineStr">
        <is>
          <t>RUIZ LUNA MAGALI</t>
        </is>
      </c>
      <c r="G87" s="11" t="inlineStr"/>
      <c r="H87" s="11" t="inlineStr">
        <is>
          <t>INTERFACE P.O.S.</t>
        </is>
      </c>
      <c r="I87" s="11" t="n">
        <v>60000</v>
      </c>
      <c r="J87" s="11" t="inlineStr"/>
    </row>
    <row r="88">
      <c r="A88" s="11" t="n">
        <v>87</v>
      </c>
      <c r="B88" s="12" t="n">
        <v>46083</v>
      </c>
      <c r="C88" s="11" t="inlineStr">
        <is>
          <t>INTF</t>
        </is>
      </c>
      <c r="D88" s="11" t="inlineStr">
        <is>
          <t>202603</t>
        </is>
      </c>
      <c r="E88" s="11" t="inlineStr">
        <is>
          <t>1130146541</t>
        </is>
      </c>
      <c r="F88" s="11" t="inlineStr">
        <is>
          <t>VELASCO GRAJALES SAL</t>
        </is>
      </c>
      <c r="G88" s="11" t="inlineStr"/>
      <c r="H88" s="11" t="inlineStr">
        <is>
          <t>INTERFACE P.O.S.</t>
        </is>
      </c>
      <c r="I88" s="11" t="n">
        <v>23200</v>
      </c>
      <c r="J88" s="11" t="inlineStr"/>
    </row>
    <row r="89">
      <c r="A89" s="11" t="n">
        <v>88</v>
      </c>
      <c r="B89" s="12" t="n">
        <v>46083</v>
      </c>
      <c r="C89" s="11" t="inlineStr">
        <is>
          <t>RC</t>
        </is>
      </c>
      <c r="D89" s="11" t="inlineStr">
        <is>
          <t>4111</t>
        </is>
      </c>
      <c r="E89" s="11" t="inlineStr">
        <is>
          <t>41107130</t>
        </is>
      </c>
      <c r="F89" s="11" t="inlineStr">
        <is>
          <t>VARGAS GAMBOA OLGA M</t>
        </is>
      </c>
      <c r="G89" s="11" t="inlineStr">
        <is>
          <t>7660</t>
        </is>
      </c>
      <c r="H89" s="11" t="inlineStr">
        <is>
          <t>RC OLGA</t>
        </is>
      </c>
      <c r="I89" s="11" t="n">
        <v>335000</v>
      </c>
      <c r="J89" s="11" t="inlineStr"/>
    </row>
    <row r="90">
      <c r="A90" s="11" t="n">
        <v>89</v>
      </c>
      <c r="B90" s="12" t="n">
        <v>46084</v>
      </c>
      <c r="C90" s="11" t="inlineStr">
        <is>
          <t>CEG</t>
        </is>
      </c>
      <c r="D90" s="11" t="inlineStr">
        <is>
          <t>2049</t>
        </is>
      </c>
      <c r="E90" s="11" t="inlineStr">
        <is>
          <t>93385603</t>
        </is>
      </c>
      <c r="F90" s="11" t="inlineStr">
        <is>
          <t>CARDONA LOZANO CARLO</t>
        </is>
      </c>
      <c r="G90" s="11" t="inlineStr">
        <is>
          <t>M04618874</t>
        </is>
      </c>
      <c r="H90" s="11" t="inlineStr">
        <is>
          <t>PF ELECTRONICAS</t>
        </is>
      </c>
      <c r="I90" s="11" t="inlineStr"/>
      <c r="J90" s="11" t="n">
        <v>211365</v>
      </c>
    </row>
    <row r="91">
      <c r="A91" s="11" t="n">
        <v>90</v>
      </c>
      <c r="B91" s="12" t="n">
        <v>46084</v>
      </c>
      <c r="C91" s="11" t="inlineStr">
        <is>
          <t>INTF</t>
        </is>
      </c>
      <c r="D91" s="11" t="inlineStr">
        <is>
          <t>202603</t>
        </is>
      </c>
      <c r="E91" s="11" t="inlineStr">
        <is>
          <t>66956077</t>
        </is>
      </c>
      <c r="F91" s="11" t="inlineStr">
        <is>
          <t>VARGAS GAMBOA DOLY</t>
        </is>
      </c>
      <c r="G91" s="11" t="inlineStr"/>
      <c r="H91" s="11" t="inlineStr">
        <is>
          <t>INTERFACE P.O.S.</t>
        </is>
      </c>
      <c r="I91" s="11" t="n">
        <v>5800</v>
      </c>
      <c r="J91" s="11" t="inlineStr"/>
    </row>
    <row r="92">
      <c r="A92" s="11" t="n">
        <v>91</v>
      </c>
      <c r="B92" s="12" t="n">
        <v>46084</v>
      </c>
      <c r="C92" s="11" t="inlineStr">
        <is>
          <t>INTF</t>
        </is>
      </c>
      <c r="D92" s="11" t="inlineStr">
        <is>
          <t>202603</t>
        </is>
      </c>
      <c r="E92" s="11" t="inlineStr">
        <is>
          <t>69008382</t>
        </is>
      </c>
      <c r="F92" s="11" t="inlineStr">
        <is>
          <t>TORO QUINTERO YOLAND</t>
        </is>
      </c>
      <c r="G92" s="11" t="inlineStr"/>
      <c r="H92" s="11" t="inlineStr">
        <is>
          <t>INTERFACE P.O.S.</t>
        </is>
      </c>
      <c r="I92" s="11" t="n">
        <v>31800</v>
      </c>
      <c r="J92" s="11" t="inlineStr"/>
    </row>
    <row r="93">
      <c r="A93" s="11" t="n">
        <v>92</v>
      </c>
      <c r="B93" s="12" t="n">
        <v>46084</v>
      </c>
      <c r="C93" s="11" t="inlineStr">
        <is>
          <t>INTF</t>
        </is>
      </c>
      <c r="D93" s="11" t="inlineStr">
        <is>
          <t>202603</t>
        </is>
      </c>
      <c r="E93" s="11" t="inlineStr">
        <is>
          <t>1123335029</t>
        </is>
      </c>
      <c r="F93" s="11" t="inlineStr">
        <is>
          <t>SANCHEZ TORO JUAN CA</t>
        </is>
      </c>
      <c r="G93" s="11" t="inlineStr"/>
      <c r="H93" s="11" t="inlineStr">
        <is>
          <t>INTERFACE P.O.S.</t>
        </is>
      </c>
      <c r="I93" s="11" t="n">
        <v>3200</v>
      </c>
      <c r="J93" s="11" t="inlineStr"/>
    </row>
    <row r="94">
      <c r="A94" s="11" t="n">
        <v>93</v>
      </c>
      <c r="B94" s="12" t="n">
        <v>46084</v>
      </c>
      <c r="C94" s="11" t="inlineStr">
        <is>
          <t>INTF</t>
        </is>
      </c>
      <c r="D94" s="11" t="inlineStr">
        <is>
          <t>202603</t>
        </is>
      </c>
      <c r="E94" s="11" t="inlineStr">
        <is>
          <t>18145975</t>
        </is>
      </c>
      <c r="F94" s="11" t="inlineStr">
        <is>
          <t>BUELVAS DIAZ JOSE MI</t>
        </is>
      </c>
      <c r="G94" s="11" t="inlineStr"/>
      <c r="H94" s="11" t="inlineStr">
        <is>
          <t>INTERFACE P.O.S.</t>
        </is>
      </c>
      <c r="I94" s="11" t="n">
        <v>15200</v>
      </c>
      <c r="J94" s="11" t="inlineStr"/>
    </row>
    <row r="95">
      <c r="A95" s="11" t="n">
        <v>94</v>
      </c>
      <c r="B95" s="12" t="n">
        <v>46084</v>
      </c>
      <c r="C95" s="11" t="inlineStr">
        <is>
          <t>INTF</t>
        </is>
      </c>
      <c r="D95" s="11" t="inlineStr">
        <is>
          <t>202603</t>
        </is>
      </c>
      <c r="E95" s="11" t="inlineStr">
        <is>
          <t>1123328208</t>
        </is>
      </c>
      <c r="F95" s="11" t="inlineStr">
        <is>
          <t>CHAVEZ GALARZA LUIS</t>
        </is>
      </c>
      <c r="G95" s="11" t="inlineStr"/>
      <c r="H95" s="11" t="inlineStr">
        <is>
          <t>INTERFACE P.O.S.</t>
        </is>
      </c>
      <c r="I95" s="11" t="n">
        <v>2000</v>
      </c>
      <c r="J95" s="11" t="inlineStr"/>
    </row>
    <row r="96">
      <c r="A96" s="11" t="n">
        <v>95</v>
      </c>
      <c r="B96" s="12" t="n">
        <v>46084</v>
      </c>
      <c r="C96" s="11" t="inlineStr">
        <is>
          <t>INTF</t>
        </is>
      </c>
      <c r="D96" s="11" t="inlineStr">
        <is>
          <t>202603</t>
        </is>
      </c>
      <c r="E96" s="11" t="inlineStr">
        <is>
          <t>1006848438</t>
        </is>
      </c>
      <c r="F96" s="11" t="inlineStr">
        <is>
          <t>LEIVA CIRO DANIELA F</t>
        </is>
      </c>
      <c r="G96" s="11" t="inlineStr"/>
      <c r="H96" s="11" t="inlineStr">
        <is>
          <t>INTERFACE P.O.S.</t>
        </is>
      </c>
      <c r="I96" s="11" t="n">
        <v>27200</v>
      </c>
      <c r="J96" s="11" t="inlineStr"/>
    </row>
    <row r="97">
      <c r="A97" s="11" t="n">
        <v>96</v>
      </c>
      <c r="B97" s="12" t="n">
        <v>46084</v>
      </c>
      <c r="C97" s="11" t="inlineStr">
        <is>
          <t>INTF</t>
        </is>
      </c>
      <c r="D97" s="11" t="inlineStr">
        <is>
          <t>202603</t>
        </is>
      </c>
      <c r="E97" s="11" t="inlineStr">
        <is>
          <t>1123323191</t>
        </is>
      </c>
      <c r="F97" s="11" t="inlineStr">
        <is>
          <t>SANCHEZ CRUZ ANGELA</t>
        </is>
      </c>
      <c r="G97" s="11" t="inlineStr"/>
      <c r="H97" s="11" t="inlineStr">
        <is>
          <t>INTERFACE P.O.S.</t>
        </is>
      </c>
      <c r="I97" s="11" t="n">
        <v>13800</v>
      </c>
      <c r="J97" s="11" t="inlineStr"/>
    </row>
    <row r="98">
      <c r="A98" s="11" t="n">
        <v>97</v>
      </c>
      <c r="B98" s="12" t="n">
        <v>46084</v>
      </c>
      <c r="C98" s="11" t="inlineStr">
        <is>
          <t>INTF</t>
        </is>
      </c>
      <c r="D98" s="11" t="inlineStr">
        <is>
          <t>202603</t>
        </is>
      </c>
      <c r="E98" s="11" t="inlineStr">
        <is>
          <t>1123331679</t>
        </is>
      </c>
      <c r="F98" s="11" t="inlineStr">
        <is>
          <t>ERASO ROSERO NEIBER</t>
        </is>
      </c>
      <c r="G98" s="11" t="inlineStr"/>
      <c r="H98" s="11" t="inlineStr">
        <is>
          <t>INTERFACE P.O.S.</t>
        </is>
      </c>
      <c r="I98" s="11" t="n">
        <v>26200</v>
      </c>
      <c r="J98" s="11" t="inlineStr"/>
    </row>
    <row r="99">
      <c r="A99" s="11" t="n">
        <v>98</v>
      </c>
      <c r="B99" s="12" t="n">
        <v>46084</v>
      </c>
      <c r="C99" s="11" t="inlineStr">
        <is>
          <t>INTF</t>
        </is>
      </c>
      <c r="D99" s="11" t="inlineStr">
        <is>
          <t>202603</t>
        </is>
      </c>
      <c r="E99" s="11" t="inlineStr">
        <is>
          <t>1123322229</t>
        </is>
      </c>
      <c r="F99" s="11" t="inlineStr">
        <is>
          <t>DANIELS CIFUENTES DI</t>
        </is>
      </c>
      <c r="G99" s="11" t="inlineStr"/>
      <c r="H99" s="11" t="inlineStr">
        <is>
          <t>INTERFACE P.O.S.</t>
        </is>
      </c>
      <c r="I99" s="11" t="n">
        <v>20600</v>
      </c>
      <c r="J99" s="11" t="inlineStr"/>
    </row>
    <row r="100">
      <c r="A100" s="11" t="n">
        <v>99</v>
      </c>
      <c r="B100" s="12" t="n">
        <v>46084</v>
      </c>
      <c r="C100" s="11" t="inlineStr">
        <is>
          <t>INTF</t>
        </is>
      </c>
      <c r="D100" s="11" t="inlineStr">
        <is>
          <t>202603</t>
        </is>
      </c>
      <c r="E100" s="11" t="inlineStr">
        <is>
          <t>1123328055</t>
        </is>
      </c>
      <c r="F100" s="11" t="inlineStr">
        <is>
          <t>OBANDO SANTACRUZ MON</t>
        </is>
      </c>
      <c r="G100" s="11" t="inlineStr"/>
      <c r="H100" s="11" t="inlineStr">
        <is>
          <t>INTERFACE P.O.S.</t>
        </is>
      </c>
      <c r="I100" s="11" t="n">
        <v>14300</v>
      </c>
      <c r="J100" s="11" t="inlineStr"/>
    </row>
    <row r="101">
      <c r="A101" s="11" t="n">
        <v>100</v>
      </c>
      <c r="B101" s="12" t="n">
        <v>46084</v>
      </c>
      <c r="C101" s="11" t="inlineStr">
        <is>
          <t>INTF</t>
        </is>
      </c>
      <c r="D101" s="11" t="inlineStr">
        <is>
          <t>202603</t>
        </is>
      </c>
      <c r="E101" s="11" t="inlineStr">
        <is>
          <t>39639929</t>
        </is>
      </c>
      <c r="F101" s="11" t="inlineStr">
        <is>
          <t>BECERRA ZAMORA MARTH</t>
        </is>
      </c>
      <c r="G101" s="11" t="inlineStr"/>
      <c r="H101" s="11" t="inlineStr">
        <is>
          <t>INTERFACE P.O.S.</t>
        </is>
      </c>
      <c r="I101" s="11" t="n">
        <v>34000</v>
      </c>
      <c r="J101" s="11" t="inlineStr"/>
    </row>
    <row r="102">
      <c r="A102" s="11" t="n">
        <v>101</v>
      </c>
      <c r="B102" s="12" t="n">
        <v>46084</v>
      </c>
      <c r="C102" s="11" t="inlineStr">
        <is>
          <t>INTF</t>
        </is>
      </c>
      <c r="D102" s="11" t="inlineStr">
        <is>
          <t>202603</t>
        </is>
      </c>
      <c r="E102" s="11" t="inlineStr">
        <is>
          <t>1124861369</t>
        </is>
      </c>
      <c r="F102" s="11" t="inlineStr">
        <is>
          <t>BURBANO OSSA MONICA</t>
        </is>
      </c>
      <c r="G102" s="11" t="inlineStr"/>
      <c r="H102" s="11" t="inlineStr">
        <is>
          <t>INTERFACE P.O.S.</t>
        </is>
      </c>
      <c r="I102" s="11" t="n">
        <v>49100</v>
      </c>
      <c r="J102" s="11" t="inlineStr"/>
    </row>
    <row r="103">
      <c r="A103" s="11" t="n">
        <v>102</v>
      </c>
      <c r="B103" s="12" t="n">
        <v>46084</v>
      </c>
      <c r="C103" s="11" t="inlineStr">
        <is>
          <t>INTF</t>
        </is>
      </c>
      <c r="D103" s="11" t="inlineStr">
        <is>
          <t>202603</t>
        </is>
      </c>
      <c r="E103" s="11" t="inlineStr">
        <is>
          <t>63367669</t>
        </is>
      </c>
      <c r="F103" s="11" t="inlineStr">
        <is>
          <t>PEREZ BECERRA PATRIC</t>
        </is>
      </c>
      <c r="G103" s="11" t="inlineStr"/>
      <c r="H103" s="11" t="inlineStr">
        <is>
          <t>INTERFACE P.O.S.</t>
        </is>
      </c>
      <c r="I103" s="11" t="n">
        <v>7800</v>
      </c>
      <c r="J103" s="11" t="inlineStr"/>
    </row>
    <row r="104">
      <c r="A104" s="11" t="n">
        <v>103</v>
      </c>
      <c r="B104" s="12" t="n">
        <v>46084</v>
      </c>
      <c r="C104" s="11" t="inlineStr">
        <is>
          <t>INTF</t>
        </is>
      </c>
      <c r="D104" s="11" t="inlineStr">
        <is>
          <t>202603</t>
        </is>
      </c>
      <c r="E104" s="11" t="inlineStr">
        <is>
          <t>1123329564</t>
        </is>
      </c>
      <c r="F104" s="11" t="inlineStr">
        <is>
          <t>YEPES SOLARTE LINDA</t>
        </is>
      </c>
      <c r="G104" s="11" t="inlineStr"/>
      <c r="H104" s="11" t="inlineStr">
        <is>
          <t>INTERFACE P.O.S.</t>
        </is>
      </c>
      <c r="I104" s="11" t="n">
        <v>21100</v>
      </c>
      <c r="J104" s="11" t="inlineStr"/>
    </row>
    <row r="105">
      <c r="A105" s="11" t="n">
        <v>104</v>
      </c>
      <c r="B105" s="12" t="n">
        <v>46084</v>
      </c>
      <c r="C105" s="11" t="inlineStr">
        <is>
          <t>INTF</t>
        </is>
      </c>
      <c r="D105" s="11" t="inlineStr">
        <is>
          <t>202603</t>
        </is>
      </c>
      <c r="E105" s="11" t="inlineStr">
        <is>
          <t>1123327070</t>
        </is>
      </c>
      <c r="F105" s="11" t="inlineStr">
        <is>
          <t>BASTIDAS MOSQUERA MA</t>
        </is>
      </c>
      <c r="G105" s="11" t="inlineStr"/>
      <c r="H105" s="11" t="inlineStr">
        <is>
          <t>INTERFACE P.O.S.</t>
        </is>
      </c>
      <c r="I105" s="11" t="n">
        <v>60200</v>
      </c>
      <c r="J105" s="11" t="inlineStr"/>
    </row>
    <row r="106">
      <c r="A106" s="11" t="n">
        <v>105</v>
      </c>
      <c r="B106" s="12" t="n">
        <v>46084</v>
      </c>
      <c r="C106" s="11" t="inlineStr">
        <is>
          <t>INTF</t>
        </is>
      </c>
      <c r="D106" s="11" t="inlineStr">
        <is>
          <t>202603</t>
        </is>
      </c>
      <c r="E106" s="11" t="inlineStr">
        <is>
          <t>1006848777</t>
        </is>
      </c>
      <c r="F106" s="11" t="inlineStr">
        <is>
          <t>RUIZ TARAPUEZ LUIS D</t>
        </is>
      </c>
      <c r="G106" s="11" t="inlineStr"/>
      <c r="H106" s="11" t="inlineStr">
        <is>
          <t>INTERFACE P.O.S.</t>
        </is>
      </c>
      <c r="I106" s="11" t="n">
        <v>17500</v>
      </c>
      <c r="J106" s="11" t="inlineStr"/>
    </row>
    <row r="107">
      <c r="A107" s="11" t="n">
        <v>106</v>
      </c>
      <c r="B107" s="12" t="n">
        <v>46084</v>
      </c>
      <c r="C107" s="11" t="inlineStr">
        <is>
          <t>INTF</t>
        </is>
      </c>
      <c r="D107" s="11" t="inlineStr">
        <is>
          <t>202603</t>
        </is>
      </c>
      <c r="E107" s="11" t="inlineStr">
        <is>
          <t>1124861076</t>
        </is>
      </c>
      <c r="F107" s="11" t="inlineStr">
        <is>
          <t>MORA SANCHEZ MANUEL</t>
        </is>
      </c>
      <c r="G107" s="11" t="inlineStr"/>
      <c r="H107" s="11" t="inlineStr">
        <is>
          <t>INTERFACE P.O.S.</t>
        </is>
      </c>
      <c r="I107" s="11" t="n">
        <v>49500</v>
      </c>
      <c r="J107" s="11" t="inlineStr"/>
    </row>
    <row r="108">
      <c r="A108" s="11" t="n">
        <v>107</v>
      </c>
      <c r="B108" s="12" t="n">
        <v>46084</v>
      </c>
      <c r="C108" s="11" t="inlineStr">
        <is>
          <t>INTF</t>
        </is>
      </c>
      <c r="D108" s="11" t="inlineStr">
        <is>
          <t>202603</t>
        </is>
      </c>
      <c r="E108" s="11" t="inlineStr">
        <is>
          <t>52585162</t>
        </is>
      </c>
      <c r="F108" s="11" t="inlineStr">
        <is>
          <t>GIRALDO BOHORQUEZ BL</t>
        </is>
      </c>
      <c r="G108" s="11" t="inlineStr"/>
      <c r="H108" s="11" t="inlineStr">
        <is>
          <t>INTERFACE P.O.S.</t>
        </is>
      </c>
      <c r="I108" s="11" t="n">
        <v>30000</v>
      </c>
      <c r="J108" s="11" t="inlineStr"/>
    </row>
    <row r="109">
      <c r="A109" s="11" t="n">
        <v>108</v>
      </c>
      <c r="B109" s="12" t="n">
        <v>46084</v>
      </c>
      <c r="C109" s="11" t="inlineStr">
        <is>
          <t>INTF</t>
        </is>
      </c>
      <c r="D109" s="11" t="inlineStr">
        <is>
          <t>202603</t>
        </is>
      </c>
      <c r="E109" s="11" t="inlineStr">
        <is>
          <t>1123320594</t>
        </is>
      </c>
      <c r="F109" s="11" t="inlineStr">
        <is>
          <t>CUEVA PINTA WILSON B</t>
        </is>
      </c>
      <c r="G109" s="11" t="inlineStr"/>
      <c r="H109" s="11" t="inlineStr">
        <is>
          <t>INTERFACE P.O.S.</t>
        </is>
      </c>
      <c r="I109" s="11" t="n">
        <v>15200</v>
      </c>
      <c r="J109" s="11" t="inlineStr"/>
    </row>
    <row r="110">
      <c r="A110" s="11" t="n">
        <v>109</v>
      </c>
      <c r="B110" s="12" t="n">
        <v>46084</v>
      </c>
      <c r="C110" s="11" t="inlineStr">
        <is>
          <t>INTF</t>
        </is>
      </c>
      <c r="D110" s="11" t="inlineStr">
        <is>
          <t>202603</t>
        </is>
      </c>
      <c r="E110" s="11" t="inlineStr">
        <is>
          <t>12447282</t>
        </is>
      </c>
      <c r="F110" s="11" t="inlineStr">
        <is>
          <t>MENDOZA CARLOS EDUAR</t>
        </is>
      </c>
      <c r="G110" s="11" t="inlineStr"/>
      <c r="H110" s="11" t="inlineStr">
        <is>
          <t>INTERFACE P.O.S.</t>
        </is>
      </c>
      <c r="I110" s="11" t="n">
        <v>20100</v>
      </c>
      <c r="J110" s="11" t="inlineStr"/>
    </row>
    <row r="111">
      <c r="A111" s="11" t="n">
        <v>110</v>
      </c>
      <c r="B111" s="12" t="n">
        <v>46084</v>
      </c>
      <c r="C111" s="11" t="inlineStr">
        <is>
          <t>INTF</t>
        </is>
      </c>
      <c r="D111" s="11" t="inlineStr">
        <is>
          <t>202603</t>
        </is>
      </c>
      <c r="E111" s="11" t="inlineStr">
        <is>
          <t>16926266</t>
        </is>
      </c>
      <c r="F111" s="11" t="inlineStr">
        <is>
          <t>TORO GRANOBLES JHIMM</t>
        </is>
      </c>
      <c r="G111" s="11" t="inlineStr"/>
      <c r="H111" s="11" t="inlineStr">
        <is>
          <t>INTERFACE P.O.S.</t>
        </is>
      </c>
      <c r="I111" s="11" t="n">
        <v>6500</v>
      </c>
      <c r="J111" s="11" t="inlineStr"/>
    </row>
    <row r="112">
      <c r="A112" s="11" t="n">
        <v>111</v>
      </c>
      <c r="B112" s="12" t="n">
        <v>46084</v>
      </c>
      <c r="C112" s="11" t="inlineStr">
        <is>
          <t>INTF</t>
        </is>
      </c>
      <c r="D112" s="11" t="inlineStr">
        <is>
          <t>202603</t>
        </is>
      </c>
      <c r="E112" s="11" t="inlineStr">
        <is>
          <t>1006994711</t>
        </is>
      </c>
      <c r="F112" s="11" t="inlineStr">
        <is>
          <t>MOSQUERA PALACIOS JE</t>
        </is>
      </c>
      <c r="G112" s="11" t="inlineStr"/>
      <c r="H112" s="11" t="inlineStr">
        <is>
          <t>INTERFACE P.O.S.</t>
        </is>
      </c>
      <c r="I112" s="11" t="n">
        <v>38000</v>
      </c>
      <c r="J112" s="11" t="inlineStr"/>
    </row>
    <row r="113">
      <c r="A113" s="11" t="n">
        <v>112</v>
      </c>
      <c r="B113" s="12" t="n">
        <v>46084</v>
      </c>
      <c r="C113" s="11" t="inlineStr">
        <is>
          <t>INTF</t>
        </is>
      </c>
      <c r="D113" s="11" t="inlineStr">
        <is>
          <t>202603</t>
        </is>
      </c>
      <c r="E113" s="11" t="inlineStr">
        <is>
          <t>1124852482</t>
        </is>
      </c>
      <c r="F113" s="11" t="inlineStr">
        <is>
          <t>ZAMBRANO BERMEO ADA</t>
        </is>
      </c>
      <c r="G113" s="11" t="inlineStr"/>
      <c r="H113" s="11" t="inlineStr">
        <is>
          <t>INTERFACE P.O.S.</t>
        </is>
      </c>
      <c r="I113" s="11" t="n">
        <v>16800</v>
      </c>
      <c r="J113" s="11" t="inlineStr"/>
    </row>
    <row r="114">
      <c r="A114" s="11" t="n">
        <v>113</v>
      </c>
      <c r="B114" s="12" t="n">
        <v>46084</v>
      </c>
      <c r="C114" s="11" t="inlineStr">
        <is>
          <t>INTF</t>
        </is>
      </c>
      <c r="D114" s="11" t="inlineStr">
        <is>
          <t>202603</t>
        </is>
      </c>
      <c r="E114" s="11" t="inlineStr">
        <is>
          <t>1006846970</t>
        </is>
      </c>
      <c r="F114" s="11" t="inlineStr">
        <is>
          <t>DIAZ CORTES MIGUEL A</t>
        </is>
      </c>
      <c r="G114" s="11" t="inlineStr"/>
      <c r="H114" s="11" t="inlineStr">
        <is>
          <t>INTERFACE P.O.S.</t>
        </is>
      </c>
      <c r="I114" s="11" t="n">
        <v>32500</v>
      </c>
      <c r="J114" s="11" t="inlineStr"/>
    </row>
    <row r="115">
      <c r="A115" s="11" t="n">
        <v>114</v>
      </c>
      <c r="B115" s="12" t="n">
        <v>46084</v>
      </c>
      <c r="C115" s="11" t="inlineStr">
        <is>
          <t>INTF</t>
        </is>
      </c>
      <c r="D115" s="11" t="inlineStr">
        <is>
          <t>202603</t>
        </is>
      </c>
      <c r="E115" s="11" t="inlineStr">
        <is>
          <t>1120216224</t>
        </is>
      </c>
      <c r="F115" s="11" t="inlineStr">
        <is>
          <t>RAMIREZ MORENO YENI</t>
        </is>
      </c>
      <c r="G115" s="11" t="inlineStr"/>
      <c r="H115" s="11" t="inlineStr">
        <is>
          <t>INTERFACE P.O.S.</t>
        </is>
      </c>
      <c r="I115" s="11" t="n">
        <v>36400</v>
      </c>
      <c r="J115" s="11" t="inlineStr"/>
    </row>
    <row r="116">
      <c r="A116" s="11" t="n">
        <v>115</v>
      </c>
      <c r="B116" s="12" t="n">
        <v>46084</v>
      </c>
      <c r="C116" s="11" t="inlineStr">
        <is>
          <t>INTF</t>
        </is>
      </c>
      <c r="D116" s="11" t="inlineStr">
        <is>
          <t>202603</t>
        </is>
      </c>
      <c r="E116" s="11" t="inlineStr">
        <is>
          <t>41108310</t>
        </is>
      </c>
      <c r="F116" s="11" t="inlineStr">
        <is>
          <t>RENDON GARCIA CAROLI</t>
        </is>
      </c>
      <c r="G116" s="11" t="inlineStr"/>
      <c r="H116" s="11" t="inlineStr">
        <is>
          <t>INTERFACE P.O.S.</t>
        </is>
      </c>
      <c r="I116" s="11" t="n">
        <v>8000</v>
      </c>
      <c r="J116" s="11" t="inlineStr"/>
    </row>
    <row r="117">
      <c r="A117" s="11" t="n">
        <v>116</v>
      </c>
      <c r="B117" s="12" t="n">
        <v>46084</v>
      </c>
      <c r="C117" s="11" t="inlineStr">
        <is>
          <t>INTF</t>
        </is>
      </c>
      <c r="D117" s="11" t="inlineStr">
        <is>
          <t>202603</t>
        </is>
      </c>
      <c r="E117" s="11" t="inlineStr">
        <is>
          <t>1123325938</t>
        </is>
      </c>
      <c r="F117" s="11" t="inlineStr">
        <is>
          <t>VELEZ ROBLES CRISTHI</t>
        </is>
      </c>
      <c r="G117" s="11" t="inlineStr"/>
      <c r="H117" s="11" t="inlineStr">
        <is>
          <t>INTERFACE P.O.S.</t>
        </is>
      </c>
      <c r="I117" s="11" t="n">
        <v>62400</v>
      </c>
      <c r="J117" s="11" t="inlineStr"/>
    </row>
    <row r="118">
      <c r="A118" s="11" t="n">
        <v>117</v>
      </c>
      <c r="B118" s="12" t="n">
        <v>46084</v>
      </c>
      <c r="C118" s="11" t="inlineStr">
        <is>
          <t>INTF</t>
        </is>
      </c>
      <c r="D118" s="11" t="inlineStr">
        <is>
          <t>202603</t>
        </is>
      </c>
      <c r="E118" s="11" t="inlineStr">
        <is>
          <t>1004728255</t>
        </is>
      </c>
      <c r="F118" s="11" t="inlineStr">
        <is>
          <t>BURBANO ARIAS ERIKA</t>
        </is>
      </c>
      <c r="G118" s="11" t="inlineStr"/>
      <c r="H118" s="11" t="inlineStr">
        <is>
          <t>INTERFACE P.O.S.</t>
        </is>
      </c>
      <c r="I118" s="11" t="n">
        <v>7700</v>
      </c>
      <c r="J118" s="11" t="inlineStr"/>
    </row>
    <row r="119">
      <c r="A119" s="11" t="n">
        <v>118</v>
      </c>
      <c r="B119" s="12" t="n">
        <v>46084</v>
      </c>
      <c r="C119" s="11" t="inlineStr">
        <is>
          <t>INTF</t>
        </is>
      </c>
      <c r="D119" s="11" t="inlineStr">
        <is>
          <t>202603</t>
        </is>
      </c>
      <c r="E119" s="11" t="inlineStr">
        <is>
          <t>1007751627</t>
        </is>
      </c>
      <c r="F119" s="11" t="inlineStr">
        <is>
          <t>RECALDE TELLO ESTIBE</t>
        </is>
      </c>
      <c r="G119" s="11" t="inlineStr"/>
      <c r="H119" s="11" t="inlineStr">
        <is>
          <t>INTERFACE P.O.S.</t>
        </is>
      </c>
      <c r="I119" s="11" t="n">
        <v>22400</v>
      </c>
      <c r="J119" s="11" t="inlineStr"/>
    </row>
    <row r="120">
      <c r="A120" s="11" t="n">
        <v>119</v>
      </c>
      <c r="B120" s="12" t="n">
        <v>46084</v>
      </c>
      <c r="C120" s="11" t="inlineStr">
        <is>
          <t>INTF</t>
        </is>
      </c>
      <c r="D120" s="11" t="inlineStr">
        <is>
          <t>202603</t>
        </is>
      </c>
      <c r="E120" s="11" t="inlineStr">
        <is>
          <t>1124858469</t>
        </is>
      </c>
      <c r="F120" s="11" t="inlineStr">
        <is>
          <t>MARIN BENAVIDES EDWI</t>
        </is>
      </c>
      <c r="G120" s="11" t="inlineStr"/>
      <c r="H120" s="11" t="inlineStr">
        <is>
          <t>INTERFACE P.O.S.</t>
        </is>
      </c>
      <c r="I120" s="11" t="n">
        <v>55900</v>
      </c>
      <c r="J120" s="11" t="inlineStr"/>
    </row>
    <row r="121">
      <c r="A121" s="11" t="n">
        <v>120</v>
      </c>
      <c r="B121" s="12" t="n">
        <v>46084</v>
      </c>
      <c r="C121" s="11" t="inlineStr">
        <is>
          <t>INTF</t>
        </is>
      </c>
      <c r="D121" s="11" t="inlineStr">
        <is>
          <t>202603</t>
        </is>
      </c>
      <c r="E121" s="11" t="inlineStr">
        <is>
          <t>1126566063</t>
        </is>
      </c>
      <c r="F121" s="11" t="inlineStr">
        <is>
          <t>AGUIRRE LONDOÑO DAVI</t>
        </is>
      </c>
      <c r="G121" s="11" t="inlineStr"/>
      <c r="H121" s="11" t="inlineStr">
        <is>
          <t>INTERFACE P.O.S.</t>
        </is>
      </c>
      <c r="I121" s="11" t="n">
        <v>41800</v>
      </c>
      <c r="J121" s="11" t="inlineStr"/>
    </row>
    <row r="122">
      <c r="A122" s="11" t="n">
        <v>121</v>
      </c>
      <c r="B122" s="12" t="n">
        <v>46084</v>
      </c>
      <c r="C122" s="11" t="inlineStr">
        <is>
          <t>INTF</t>
        </is>
      </c>
      <c r="D122" s="11" t="inlineStr">
        <is>
          <t>202603</t>
        </is>
      </c>
      <c r="E122" s="11" t="inlineStr">
        <is>
          <t>1123328525</t>
        </is>
      </c>
      <c r="F122" s="11" t="inlineStr">
        <is>
          <t>CARO CASTRO NANCY</t>
        </is>
      </c>
      <c r="G122" s="11" t="inlineStr"/>
      <c r="H122" s="11" t="inlineStr">
        <is>
          <t>INTERFACE P.O.S.</t>
        </is>
      </c>
      <c r="I122" s="11" t="n">
        <v>22500</v>
      </c>
      <c r="J122" s="11" t="inlineStr"/>
    </row>
    <row r="123">
      <c r="A123" s="11" t="n">
        <v>122</v>
      </c>
      <c r="B123" s="12" t="n">
        <v>46084</v>
      </c>
      <c r="C123" s="11" t="inlineStr">
        <is>
          <t>INTF</t>
        </is>
      </c>
      <c r="D123" s="11" t="inlineStr">
        <is>
          <t>202603</t>
        </is>
      </c>
      <c r="E123" s="11" t="inlineStr">
        <is>
          <t>1123324847</t>
        </is>
      </c>
      <c r="F123" s="11" t="inlineStr">
        <is>
          <t>YAGARIN NEQUIRUCAMA</t>
        </is>
      </c>
      <c r="G123" s="11" t="inlineStr"/>
      <c r="H123" s="11" t="inlineStr">
        <is>
          <t>INTERFACE P.O.S.</t>
        </is>
      </c>
      <c r="I123" s="11" t="n">
        <v>95100</v>
      </c>
      <c r="J123" s="11" t="inlineStr"/>
    </row>
    <row r="124">
      <c r="A124" s="11" t="n">
        <v>123</v>
      </c>
      <c r="B124" s="12" t="n">
        <v>46084</v>
      </c>
      <c r="C124" s="11" t="inlineStr">
        <is>
          <t>INTF</t>
        </is>
      </c>
      <c r="D124" s="11" t="inlineStr">
        <is>
          <t>202603</t>
        </is>
      </c>
      <c r="E124" s="11" t="inlineStr">
        <is>
          <t>1123332054</t>
        </is>
      </c>
      <c r="F124" s="11" t="inlineStr">
        <is>
          <t>ALVAREZ CHAVEZ CRIST</t>
        </is>
      </c>
      <c r="G124" s="11" t="inlineStr"/>
      <c r="H124" s="11" t="inlineStr">
        <is>
          <t>INTERFACE P.O.S.</t>
        </is>
      </c>
      <c r="I124" s="11" t="n">
        <v>15000</v>
      </c>
      <c r="J124" s="11" t="inlineStr"/>
    </row>
    <row r="125">
      <c r="A125" s="11" t="n">
        <v>124</v>
      </c>
      <c r="B125" s="12" t="n">
        <v>46084</v>
      </c>
      <c r="C125" s="11" t="inlineStr">
        <is>
          <t>INTF</t>
        </is>
      </c>
      <c r="D125" s="11" t="inlineStr">
        <is>
          <t>202603</t>
        </is>
      </c>
      <c r="E125" s="11" t="inlineStr">
        <is>
          <t>18144127</t>
        </is>
      </c>
      <c r="F125" s="11" t="inlineStr">
        <is>
          <t>BERNAL PALACIOS ALVA</t>
        </is>
      </c>
      <c r="G125" s="11" t="inlineStr"/>
      <c r="H125" s="11" t="inlineStr">
        <is>
          <t>INTERFACE P.O.S.</t>
        </is>
      </c>
      <c r="I125" s="11" t="n">
        <v>21900</v>
      </c>
      <c r="J125" s="11" t="inlineStr"/>
    </row>
    <row r="126">
      <c r="A126" s="11" t="n">
        <v>125</v>
      </c>
      <c r="B126" s="12" t="n">
        <v>46084</v>
      </c>
      <c r="C126" s="11" t="inlineStr">
        <is>
          <t>INTF</t>
        </is>
      </c>
      <c r="D126" s="11" t="inlineStr">
        <is>
          <t>202603</t>
        </is>
      </c>
      <c r="E126" s="11" t="inlineStr">
        <is>
          <t>1123322156</t>
        </is>
      </c>
      <c r="F126" s="11" t="inlineStr">
        <is>
          <t>JURADO VILLOTA EDISO</t>
        </is>
      </c>
      <c r="G126" s="11" t="inlineStr"/>
      <c r="H126" s="11" t="inlineStr">
        <is>
          <t>INTERFACE P.O.S.</t>
        </is>
      </c>
      <c r="I126" s="11" t="n">
        <v>13200</v>
      </c>
      <c r="J126" s="11" t="inlineStr"/>
    </row>
    <row r="127">
      <c r="A127" s="11" t="n">
        <v>126</v>
      </c>
      <c r="B127" s="12" t="n">
        <v>46084</v>
      </c>
      <c r="C127" s="11" t="inlineStr">
        <is>
          <t>INTF</t>
        </is>
      </c>
      <c r="D127" s="11" t="inlineStr">
        <is>
          <t>202603</t>
        </is>
      </c>
      <c r="E127" s="11" t="inlineStr">
        <is>
          <t>98393084</t>
        </is>
      </c>
      <c r="F127" s="11" t="inlineStr">
        <is>
          <t>MOSQUERA VALLEJO NIL</t>
        </is>
      </c>
      <c r="G127" s="11" t="inlineStr"/>
      <c r="H127" s="11" t="inlineStr">
        <is>
          <t>INTERFACE P.O.S.</t>
        </is>
      </c>
      <c r="I127" s="11" t="n">
        <v>6400</v>
      </c>
      <c r="J127" s="11" t="inlineStr"/>
    </row>
    <row r="128">
      <c r="A128" s="11" t="n">
        <v>127</v>
      </c>
      <c r="B128" s="12" t="n">
        <v>46084</v>
      </c>
      <c r="C128" s="11" t="inlineStr">
        <is>
          <t>INTF</t>
        </is>
      </c>
      <c r="D128" s="11" t="inlineStr">
        <is>
          <t>202603</t>
        </is>
      </c>
      <c r="E128" s="11" t="inlineStr">
        <is>
          <t>1123335308</t>
        </is>
      </c>
      <c r="F128" s="11" t="inlineStr">
        <is>
          <t>PAEZ YULIETH DANIELA</t>
        </is>
      </c>
      <c r="G128" s="11" t="inlineStr"/>
      <c r="H128" s="11" t="inlineStr">
        <is>
          <t>INTERFACE P.O.S.</t>
        </is>
      </c>
      <c r="I128" s="11" t="n">
        <v>5100</v>
      </c>
      <c r="J128" s="11" t="inlineStr"/>
    </row>
    <row r="129">
      <c r="A129" s="11" t="n">
        <v>128</v>
      </c>
      <c r="B129" s="12" t="n">
        <v>46084</v>
      </c>
      <c r="C129" s="11" t="inlineStr">
        <is>
          <t>INTF</t>
        </is>
      </c>
      <c r="D129" s="11" t="inlineStr">
        <is>
          <t>202603</t>
        </is>
      </c>
      <c r="E129" s="11" t="inlineStr">
        <is>
          <t>1006549279</t>
        </is>
      </c>
      <c r="F129" s="11" t="inlineStr">
        <is>
          <t>SANCHEZ RODRIGUEZ FR</t>
        </is>
      </c>
      <c r="G129" s="11" t="inlineStr"/>
      <c r="H129" s="11" t="inlineStr">
        <is>
          <t>INTERFACE P.O.S.</t>
        </is>
      </c>
      <c r="I129" s="11" t="n">
        <v>23000</v>
      </c>
      <c r="J129" s="11" t="inlineStr"/>
    </row>
    <row r="130">
      <c r="A130" s="11" t="n">
        <v>129</v>
      </c>
      <c r="B130" s="12" t="n">
        <v>46084</v>
      </c>
      <c r="C130" s="11" t="inlineStr">
        <is>
          <t>INTF</t>
        </is>
      </c>
      <c r="D130" s="11" t="inlineStr">
        <is>
          <t>202603</t>
        </is>
      </c>
      <c r="E130" s="11" t="inlineStr">
        <is>
          <t>1123324050</t>
        </is>
      </c>
      <c r="F130" s="11" t="inlineStr">
        <is>
          <t>ERIKA VELAZQUEZ</t>
        </is>
      </c>
      <c r="G130" s="11" t="inlineStr"/>
      <c r="H130" s="11" t="inlineStr">
        <is>
          <t>INTERFACE P.O.S.</t>
        </is>
      </c>
      <c r="I130" s="11" t="n">
        <v>26000</v>
      </c>
      <c r="J130" s="11" t="inlineStr"/>
    </row>
    <row r="131">
      <c r="A131" s="11" t="n">
        <v>130</v>
      </c>
      <c r="B131" s="12" t="n">
        <v>46084</v>
      </c>
      <c r="C131" s="11" t="inlineStr">
        <is>
          <t>INTF</t>
        </is>
      </c>
      <c r="D131" s="11" t="inlineStr">
        <is>
          <t>202603</t>
        </is>
      </c>
      <c r="E131" s="11" t="inlineStr">
        <is>
          <t>1123327695</t>
        </is>
      </c>
      <c r="F131" s="11" t="inlineStr">
        <is>
          <t>MEDINA ANDRADE ADRIA</t>
        </is>
      </c>
      <c r="G131" s="11" t="inlineStr"/>
      <c r="H131" s="11" t="inlineStr">
        <is>
          <t>INTERFACE P.O.S.</t>
        </is>
      </c>
      <c r="I131" s="11" t="n">
        <v>5900</v>
      </c>
      <c r="J131" s="11" t="inlineStr"/>
    </row>
    <row r="132">
      <c r="A132" s="11" t="n">
        <v>131</v>
      </c>
      <c r="B132" s="12" t="n">
        <v>46084</v>
      </c>
      <c r="C132" s="11" t="inlineStr">
        <is>
          <t>INTF</t>
        </is>
      </c>
      <c r="D132" s="11" t="inlineStr">
        <is>
          <t>202603</t>
        </is>
      </c>
      <c r="E132" s="11" t="inlineStr">
        <is>
          <t>1006850600</t>
        </is>
      </c>
      <c r="F132" s="11" t="inlineStr">
        <is>
          <t>PRECIADO GETIAL SEBA</t>
        </is>
      </c>
      <c r="G132" s="11" t="inlineStr"/>
      <c r="H132" s="11" t="inlineStr">
        <is>
          <t>INTERFACE P.O.S.</t>
        </is>
      </c>
      <c r="I132" s="11" t="n">
        <v>4000</v>
      </c>
      <c r="J132" s="11" t="inlineStr"/>
    </row>
    <row r="133">
      <c r="A133" s="11" t="n">
        <v>132</v>
      </c>
      <c r="B133" s="12" t="n">
        <v>46085</v>
      </c>
      <c r="C133" s="11" t="inlineStr">
        <is>
          <t>CE</t>
        </is>
      </c>
      <c r="D133" s="11" t="inlineStr">
        <is>
          <t>9387</t>
        </is>
      </c>
      <c r="E133" s="11" t="inlineStr">
        <is>
          <t>900587259</t>
        </is>
      </c>
      <c r="F133" s="11" t="inlineStr">
        <is>
          <t>VELAS Y VELONES SAN</t>
        </is>
      </c>
      <c r="G133" s="11" t="inlineStr">
        <is>
          <t>M15057814</t>
        </is>
      </c>
      <c r="H133" s="11" t="inlineStr">
        <is>
          <t>PF VELAS S/J</t>
        </is>
      </c>
      <c r="I133" s="11" t="inlineStr"/>
      <c r="J133" s="11" t="n">
        <v>366168</v>
      </c>
    </row>
    <row r="134">
      <c r="A134" s="11" t="n">
        <v>133</v>
      </c>
      <c r="B134" s="12" t="n">
        <v>46085</v>
      </c>
      <c r="C134" s="11" t="inlineStr">
        <is>
          <t>CE</t>
        </is>
      </c>
      <c r="D134" s="11" t="inlineStr">
        <is>
          <t>9388</t>
        </is>
      </c>
      <c r="E134" s="11" t="inlineStr">
        <is>
          <t>901418995</t>
        </is>
      </c>
      <c r="F134" s="11" t="inlineStr">
        <is>
          <t>ALIMENTOS MASIVOS DE</t>
        </is>
      </c>
      <c r="G134" s="11" t="inlineStr">
        <is>
          <t>M15189707</t>
        </is>
      </c>
      <c r="H134" s="11" t="inlineStr">
        <is>
          <t>PF ALIMAS</t>
        </is>
      </c>
      <c r="I134" s="11" t="inlineStr"/>
      <c r="J134" s="11" t="n">
        <v>2762002</v>
      </c>
    </row>
    <row r="135">
      <c r="A135" s="11" t="n">
        <v>134</v>
      </c>
      <c r="B135" s="12" t="n">
        <v>46085</v>
      </c>
      <c r="C135" s="11" t="inlineStr">
        <is>
          <t>INTF</t>
        </is>
      </c>
      <c r="D135" s="11" t="inlineStr">
        <is>
          <t>202603</t>
        </is>
      </c>
      <c r="E135" s="11" t="inlineStr">
        <is>
          <t>1056775282</t>
        </is>
      </c>
      <c r="F135" s="11" t="inlineStr">
        <is>
          <t>AVILA RIVERA LUIS EN</t>
        </is>
      </c>
      <c r="G135" s="11" t="inlineStr"/>
      <c r="H135" s="11" t="inlineStr">
        <is>
          <t>INTERFACE P.O.S.</t>
        </is>
      </c>
      <c r="I135" s="11" t="n">
        <v>6000</v>
      </c>
      <c r="J135" s="11" t="inlineStr"/>
    </row>
    <row r="136">
      <c r="A136" s="11" t="n">
        <v>135</v>
      </c>
      <c r="B136" s="12" t="n">
        <v>46085</v>
      </c>
      <c r="C136" s="11" t="inlineStr">
        <is>
          <t>INTF</t>
        </is>
      </c>
      <c r="D136" s="11" t="inlineStr">
        <is>
          <t>202603</t>
        </is>
      </c>
      <c r="E136" s="11" t="inlineStr">
        <is>
          <t>41108174</t>
        </is>
      </c>
      <c r="F136" s="11" t="inlineStr">
        <is>
          <t>HERNANDEZ JARAMILLO</t>
        </is>
      </c>
      <c r="G136" s="11" t="inlineStr"/>
      <c r="H136" s="11" t="inlineStr">
        <is>
          <t>INTERFACE P.O.S.</t>
        </is>
      </c>
      <c r="I136" s="11" t="n">
        <v>177800</v>
      </c>
      <c r="J136" s="11" t="inlineStr"/>
    </row>
    <row r="137">
      <c r="A137" s="11" t="n">
        <v>136</v>
      </c>
      <c r="B137" s="12" t="n">
        <v>46085</v>
      </c>
      <c r="C137" s="11" t="inlineStr">
        <is>
          <t>INTF</t>
        </is>
      </c>
      <c r="D137" s="11" t="inlineStr">
        <is>
          <t>202603</t>
        </is>
      </c>
      <c r="E137" s="11" t="inlineStr">
        <is>
          <t>1113688514</t>
        </is>
      </c>
      <c r="F137" s="11" t="inlineStr">
        <is>
          <t>BOLAÑOS MADROÑERO AL</t>
        </is>
      </c>
      <c r="G137" s="11" t="inlineStr"/>
      <c r="H137" s="11" t="inlineStr">
        <is>
          <t>INTERFACE P.O.S.</t>
        </is>
      </c>
      <c r="I137" s="11" t="n">
        <v>17400</v>
      </c>
      <c r="J137" s="11" t="inlineStr"/>
    </row>
    <row r="138">
      <c r="A138" s="11" t="n">
        <v>137</v>
      </c>
      <c r="B138" s="12" t="n">
        <v>46085</v>
      </c>
      <c r="C138" s="11" t="inlineStr">
        <is>
          <t>INTF</t>
        </is>
      </c>
      <c r="D138" s="11" t="inlineStr">
        <is>
          <t>202603</t>
        </is>
      </c>
      <c r="E138" s="11" t="inlineStr">
        <is>
          <t>1123323191</t>
        </is>
      </c>
      <c r="F138" s="11" t="inlineStr">
        <is>
          <t>SANCHEZ CRUZ ANGELA</t>
        </is>
      </c>
      <c r="G138" s="11" t="inlineStr"/>
      <c r="H138" s="11" t="inlineStr">
        <is>
          <t>INTERFACE P.O.S.</t>
        </is>
      </c>
      <c r="I138" s="11" t="n">
        <v>22500</v>
      </c>
      <c r="J138" s="11" t="inlineStr"/>
    </row>
    <row r="139">
      <c r="A139" s="11" t="n">
        <v>138</v>
      </c>
      <c r="B139" s="12" t="n">
        <v>46085</v>
      </c>
      <c r="C139" s="11" t="inlineStr">
        <is>
          <t>INTF</t>
        </is>
      </c>
      <c r="D139" s="11" t="inlineStr">
        <is>
          <t>202603</t>
        </is>
      </c>
      <c r="E139" s="11" t="inlineStr">
        <is>
          <t>1120217571</t>
        </is>
      </c>
      <c r="F139" s="11" t="inlineStr">
        <is>
          <t>ALVAREZ ESPINOSA FAB</t>
        </is>
      </c>
      <c r="G139" s="11" t="inlineStr"/>
      <c r="H139" s="11" t="inlineStr">
        <is>
          <t>INTERFACE P.O.S.</t>
        </is>
      </c>
      <c r="I139" s="11" t="n">
        <v>16400</v>
      </c>
      <c r="J139" s="11" t="inlineStr"/>
    </row>
    <row r="140">
      <c r="A140" s="11" t="n">
        <v>139</v>
      </c>
      <c r="B140" s="12" t="n">
        <v>46085</v>
      </c>
      <c r="C140" s="11" t="inlineStr">
        <is>
          <t>INTF</t>
        </is>
      </c>
      <c r="D140" s="11" t="inlineStr">
        <is>
          <t>202603</t>
        </is>
      </c>
      <c r="E140" s="11" t="inlineStr">
        <is>
          <t>1126447244</t>
        </is>
      </c>
      <c r="F140" s="11" t="inlineStr">
        <is>
          <t>MELO SALAS JHONATAN</t>
        </is>
      </c>
      <c r="G140" s="11" t="inlineStr"/>
      <c r="H140" s="11" t="inlineStr">
        <is>
          <t>INTERFACE P.O.S.</t>
        </is>
      </c>
      <c r="I140" s="11" t="n">
        <v>28800</v>
      </c>
      <c r="J140" s="11" t="inlineStr"/>
    </row>
    <row r="141">
      <c r="A141" s="11" t="n">
        <v>140</v>
      </c>
      <c r="B141" s="12" t="n">
        <v>46085</v>
      </c>
      <c r="C141" s="11" t="inlineStr">
        <is>
          <t>INTF</t>
        </is>
      </c>
      <c r="D141" s="11" t="inlineStr">
        <is>
          <t>202603</t>
        </is>
      </c>
      <c r="E141" s="11" t="inlineStr">
        <is>
          <t>1143929486</t>
        </is>
      </c>
      <c r="F141" s="11" t="inlineStr">
        <is>
          <t>MEZA FERNANDEZ CLAUD</t>
        </is>
      </c>
      <c r="G141" s="11" t="inlineStr"/>
      <c r="H141" s="11" t="inlineStr">
        <is>
          <t>INTERFACE P.O.S.</t>
        </is>
      </c>
      <c r="I141" s="11" t="n">
        <v>35800</v>
      </c>
      <c r="J141" s="11" t="inlineStr"/>
    </row>
    <row r="142">
      <c r="A142" s="11" t="n">
        <v>141</v>
      </c>
      <c r="B142" s="12" t="n">
        <v>46085</v>
      </c>
      <c r="C142" s="11" t="inlineStr">
        <is>
          <t>INTF</t>
        </is>
      </c>
      <c r="D142" s="11" t="inlineStr">
        <is>
          <t>202603</t>
        </is>
      </c>
      <c r="E142" s="11" t="inlineStr">
        <is>
          <t>1005337692</t>
        </is>
      </c>
      <c r="F142" s="11" t="inlineStr">
        <is>
          <t>ALBA PEREZ MARIA CAM</t>
        </is>
      </c>
      <c r="G142" s="11" t="inlineStr"/>
      <c r="H142" s="11" t="inlineStr">
        <is>
          <t>INTERFACE P.O.S.</t>
        </is>
      </c>
      <c r="I142" s="11" t="n">
        <v>8000</v>
      </c>
      <c r="J142" s="11" t="inlineStr"/>
    </row>
    <row r="143">
      <c r="A143" s="11" t="n">
        <v>142</v>
      </c>
      <c r="B143" s="12" t="n">
        <v>46085</v>
      </c>
      <c r="C143" s="11" t="inlineStr">
        <is>
          <t>INTF</t>
        </is>
      </c>
      <c r="D143" s="11" t="inlineStr">
        <is>
          <t>202603</t>
        </is>
      </c>
      <c r="E143" s="11" t="inlineStr">
        <is>
          <t>72347212</t>
        </is>
      </c>
      <c r="F143" s="11" t="inlineStr">
        <is>
          <t>VERGARA ORELLANO JHO</t>
        </is>
      </c>
      <c r="G143" s="11" t="inlineStr"/>
      <c r="H143" s="11" t="inlineStr">
        <is>
          <t>INTERFACE P.O.S.</t>
        </is>
      </c>
      <c r="I143" s="11" t="n">
        <v>73000</v>
      </c>
      <c r="J143" s="11" t="inlineStr"/>
    </row>
    <row r="144">
      <c r="A144" s="11" t="n">
        <v>143</v>
      </c>
      <c r="B144" s="12" t="n">
        <v>46085</v>
      </c>
      <c r="C144" s="11" t="inlineStr">
        <is>
          <t>INTF</t>
        </is>
      </c>
      <c r="D144" s="11" t="inlineStr">
        <is>
          <t>202603</t>
        </is>
      </c>
      <c r="E144" s="11" t="inlineStr">
        <is>
          <t>1123324128</t>
        </is>
      </c>
      <c r="F144" s="11" t="inlineStr">
        <is>
          <t>MARTINEZ MUÑOZ MARIA</t>
        </is>
      </c>
      <c r="G144" s="11" t="inlineStr"/>
      <c r="H144" s="11" t="inlineStr">
        <is>
          <t>INTERFACE P.O.S.</t>
        </is>
      </c>
      <c r="I144" s="11" t="n">
        <v>13900</v>
      </c>
      <c r="J144" s="11" t="inlineStr"/>
    </row>
    <row r="145">
      <c r="A145" s="11" t="n">
        <v>144</v>
      </c>
      <c r="B145" s="12" t="n">
        <v>46085</v>
      </c>
      <c r="C145" s="11" t="inlineStr">
        <is>
          <t>INTF</t>
        </is>
      </c>
      <c r="D145" s="11" t="inlineStr">
        <is>
          <t>202603</t>
        </is>
      </c>
      <c r="E145" s="11" t="inlineStr">
        <is>
          <t>1006850975</t>
        </is>
      </c>
      <c r="F145" s="11" t="inlineStr">
        <is>
          <t>ALDANA RENTERIA JOHA</t>
        </is>
      </c>
      <c r="G145" s="11" t="inlineStr"/>
      <c r="H145" s="11" t="inlineStr">
        <is>
          <t>INTERFACE P.O.S.</t>
        </is>
      </c>
      <c r="I145" s="11" t="n">
        <v>3000</v>
      </c>
      <c r="J145" s="11" t="inlineStr"/>
    </row>
    <row r="146">
      <c r="A146" s="11" t="n">
        <v>145</v>
      </c>
      <c r="B146" s="12" t="n">
        <v>46085</v>
      </c>
      <c r="C146" s="11" t="inlineStr">
        <is>
          <t>INTF</t>
        </is>
      </c>
      <c r="D146" s="11" t="inlineStr">
        <is>
          <t>202603</t>
        </is>
      </c>
      <c r="E146" s="11" t="inlineStr">
        <is>
          <t>1122340774</t>
        </is>
      </c>
      <c r="F146" s="11" t="inlineStr">
        <is>
          <t>ROSERO BRAVO JHEIMY</t>
        </is>
      </c>
      <c r="G146" s="11" t="inlineStr"/>
      <c r="H146" s="11" t="inlineStr">
        <is>
          <t>INTERFACE P.O.S.</t>
        </is>
      </c>
      <c r="I146" s="11" t="n">
        <v>24000</v>
      </c>
      <c r="J146" s="11" t="inlineStr"/>
    </row>
    <row r="147">
      <c r="A147" s="11" t="n">
        <v>146</v>
      </c>
      <c r="B147" s="12" t="n">
        <v>46085</v>
      </c>
      <c r="C147" s="11" t="inlineStr">
        <is>
          <t>INTF</t>
        </is>
      </c>
      <c r="D147" s="11" t="inlineStr">
        <is>
          <t>202603</t>
        </is>
      </c>
      <c r="E147" s="11" t="inlineStr">
        <is>
          <t>1049621189</t>
        </is>
      </c>
      <c r="F147" s="11" t="inlineStr">
        <is>
          <t>DELGADILLO PALACIOS</t>
        </is>
      </c>
      <c r="G147" s="11" t="inlineStr"/>
      <c r="H147" s="11" t="inlineStr">
        <is>
          <t>INTERFACE P.O.S.</t>
        </is>
      </c>
      <c r="I147" s="11" t="n">
        <v>10600</v>
      </c>
      <c r="J147" s="11" t="inlineStr"/>
    </row>
    <row r="148">
      <c r="A148" s="11" t="n">
        <v>147</v>
      </c>
      <c r="B148" s="12" t="n">
        <v>46085</v>
      </c>
      <c r="C148" s="11" t="inlineStr">
        <is>
          <t>INTF</t>
        </is>
      </c>
      <c r="D148" s="11" t="inlineStr">
        <is>
          <t>202603</t>
        </is>
      </c>
      <c r="E148" s="11" t="inlineStr">
        <is>
          <t>18145546</t>
        </is>
      </c>
      <c r="F148" s="11" t="inlineStr">
        <is>
          <t>CORREA CUBILLOS LUIS</t>
        </is>
      </c>
      <c r="G148" s="11" t="inlineStr"/>
      <c r="H148" s="11" t="inlineStr">
        <is>
          <t>INTERFACE P.O.S.</t>
        </is>
      </c>
      <c r="I148" s="11" t="n">
        <v>6400</v>
      </c>
      <c r="J148" s="11" t="inlineStr"/>
    </row>
    <row r="149">
      <c r="A149" s="11" t="n">
        <v>148</v>
      </c>
      <c r="B149" s="12" t="n">
        <v>46085</v>
      </c>
      <c r="C149" s="11" t="inlineStr">
        <is>
          <t>INTF</t>
        </is>
      </c>
      <c r="D149" s="11" t="inlineStr">
        <is>
          <t>202603</t>
        </is>
      </c>
      <c r="E149" s="11" t="inlineStr">
        <is>
          <t>1006995728</t>
        </is>
      </c>
      <c r="F149" s="11" t="inlineStr">
        <is>
          <t>SANTANDER BENAVIDES</t>
        </is>
      </c>
      <c r="G149" s="11" t="inlineStr"/>
      <c r="H149" s="11" t="inlineStr">
        <is>
          <t>INTERFACE P.O.S.</t>
        </is>
      </c>
      <c r="I149" s="11" t="n">
        <v>12000</v>
      </c>
      <c r="J149" s="11" t="inlineStr"/>
    </row>
    <row r="150">
      <c r="A150" s="11" t="n">
        <v>149</v>
      </c>
      <c r="B150" s="12" t="n">
        <v>46085</v>
      </c>
      <c r="C150" s="11" t="inlineStr">
        <is>
          <t>INTF</t>
        </is>
      </c>
      <c r="D150" s="11" t="inlineStr">
        <is>
          <t>202603</t>
        </is>
      </c>
      <c r="E150" s="11" t="inlineStr">
        <is>
          <t>1086418248</t>
        </is>
      </c>
      <c r="F150" s="11" t="inlineStr">
        <is>
          <t>CEBALLOS CUASTUMAL A</t>
        </is>
      </c>
      <c r="G150" s="11" t="inlineStr"/>
      <c r="H150" s="11" t="inlineStr">
        <is>
          <t>INTERFACE P.O.S.</t>
        </is>
      </c>
      <c r="I150" s="11" t="n">
        <v>11900</v>
      </c>
      <c r="J150" s="11" t="inlineStr"/>
    </row>
    <row r="151">
      <c r="A151" s="11" t="n">
        <v>150</v>
      </c>
      <c r="B151" s="12" t="n">
        <v>46085</v>
      </c>
      <c r="C151" s="11" t="inlineStr">
        <is>
          <t>INTF</t>
        </is>
      </c>
      <c r="D151" s="11" t="inlineStr">
        <is>
          <t>202603</t>
        </is>
      </c>
      <c r="E151" s="11" t="inlineStr">
        <is>
          <t>1085282128</t>
        </is>
      </c>
      <c r="F151" s="11" t="inlineStr">
        <is>
          <t>CHANA POTOSI EDISSON</t>
        </is>
      </c>
      <c r="G151" s="11" t="inlineStr"/>
      <c r="H151" s="11" t="inlineStr">
        <is>
          <t>INTERFACE P.O.S.</t>
        </is>
      </c>
      <c r="I151" s="11" t="n">
        <v>70100</v>
      </c>
      <c r="J151" s="11" t="inlineStr"/>
    </row>
    <row r="152">
      <c r="A152" s="11" t="n">
        <v>151</v>
      </c>
      <c r="B152" s="12" t="n">
        <v>46085</v>
      </c>
      <c r="C152" s="11" t="inlineStr">
        <is>
          <t>INTF</t>
        </is>
      </c>
      <c r="D152" s="11" t="inlineStr">
        <is>
          <t>202603</t>
        </is>
      </c>
      <c r="E152" s="11" t="inlineStr">
        <is>
          <t>1123332054</t>
        </is>
      </c>
      <c r="F152" s="11" t="inlineStr">
        <is>
          <t>ALVAREZ CHAVEZ CRIST</t>
        </is>
      </c>
      <c r="G152" s="11" t="inlineStr"/>
      <c r="H152" s="11" t="inlineStr">
        <is>
          <t>INTERFACE P.O.S.</t>
        </is>
      </c>
      <c r="I152" s="11" t="n">
        <v>10900</v>
      </c>
      <c r="J152" s="11" t="inlineStr"/>
    </row>
    <row r="153">
      <c r="A153" s="11" t="n">
        <v>152</v>
      </c>
      <c r="B153" s="12" t="n">
        <v>46085</v>
      </c>
      <c r="C153" s="11" t="inlineStr">
        <is>
          <t>INTF</t>
        </is>
      </c>
      <c r="D153" s="11" t="inlineStr">
        <is>
          <t>202603</t>
        </is>
      </c>
      <c r="E153" s="11" t="inlineStr">
        <is>
          <t>1006549279</t>
        </is>
      </c>
      <c r="F153" s="11" t="inlineStr">
        <is>
          <t>SANCHEZ RODRIGUEZ FR</t>
        </is>
      </c>
      <c r="G153" s="11" t="inlineStr"/>
      <c r="H153" s="11" t="inlineStr">
        <is>
          <t>INTERFACE P.O.S.</t>
        </is>
      </c>
      <c r="I153" s="11" t="n">
        <v>10500</v>
      </c>
      <c r="J153" s="11" t="inlineStr"/>
    </row>
    <row r="154">
      <c r="A154" s="11" t="n">
        <v>153</v>
      </c>
      <c r="B154" s="12" t="n">
        <v>46085</v>
      </c>
      <c r="C154" s="11" t="inlineStr">
        <is>
          <t>INTF</t>
        </is>
      </c>
      <c r="D154" s="11" t="inlineStr">
        <is>
          <t>202603</t>
        </is>
      </c>
      <c r="E154" s="11" t="inlineStr">
        <is>
          <t>1123320957</t>
        </is>
      </c>
      <c r="F154" s="11" t="inlineStr">
        <is>
          <t>GALINDEZ AULLON HERI</t>
        </is>
      </c>
      <c r="G154" s="11" t="inlineStr"/>
      <c r="H154" s="11" t="inlineStr">
        <is>
          <t>INTERFACE P.O.S.</t>
        </is>
      </c>
      <c r="I154" s="11" t="n">
        <v>43500</v>
      </c>
      <c r="J154" s="11" t="inlineStr"/>
    </row>
    <row r="155">
      <c r="A155" s="11" t="n">
        <v>154</v>
      </c>
      <c r="B155" s="12" t="n">
        <v>46085</v>
      </c>
      <c r="C155" s="11" t="inlineStr">
        <is>
          <t>INTF</t>
        </is>
      </c>
      <c r="D155" s="11" t="inlineStr">
        <is>
          <t>202603</t>
        </is>
      </c>
      <c r="E155" s="11" t="inlineStr">
        <is>
          <t>1092526667</t>
        </is>
      </c>
      <c r="F155" s="11" t="inlineStr">
        <is>
          <t>MORENO MORAN DANNA</t>
        </is>
      </c>
      <c r="G155" s="11" t="inlineStr"/>
      <c r="H155" s="11" t="inlineStr">
        <is>
          <t>INTERFACE P.O.S.</t>
        </is>
      </c>
      <c r="I155" s="11" t="n">
        <v>3000</v>
      </c>
      <c r="J155" s="11" t="inlineStr"/>
    </row>
    <row r="156">
      <c r="A156" s="11" t="n">
        <v>155</v>
      </c>
      <c r="B156" s="12" t="n">
        <v>46085</v>
      </c>
      <c r="C156" s="11" t="inlineStr">
        <is>
          <t>INTF</t>
        </is>
      </c>
      <c r="D156" s="11" t="inlineStr">
        <is>
          <t>202603</t>
        </is>
      </c>
      <c r="E156" s="11" t="inlineStr">
        <is>
          <t>1123328217</t>
        </is>
      </c>
      <c r="F156" s="11" t="inlineStr">
        <is>
          <t>MARTINEZ LARA NARLY</t>
        </is>
      </c>
      <c r="G156" s="11" t="inlineStr"/>
      <c r="H156" s="11" t="inlineStr">
        <is>
          <t>INTERFACE P.O.S.</t>
        </is>
      </c>
      <c r="I156" s="11" t="n">
        <v>3800</v>
      </c>
      <c r="J156" s="11" t="inlineStr"/>
    </row>
    <row r="157">
      <c r="A157" s="11" t="n">
        <v>156</v>
      </c>
      <c r="B157" s="12" t="n">
        <v>46085</v>
      </c>
      <c r="C157" s="11" t="inlineStr">
        <is>
          <t>INTF</t>
        </is>
      </c>
      <c r="D157" s="11" t="inlineStr">
        <is>
          <t>202603</t>
        </is>
      </c>
      <c r="E157" s="11" t="inlineStr">
        <is>
          <t>1123329548</t>
        </is>
      </c>
      <c r="F157" s="11" t="inlineStr">
        <is>
          <t>RUIZ HERNANDEZ MAGDA</t>
        </is>
      </c>
      <c r="G157" s="11" t="inlineStr"/>
      <c r="H157" s="11" t="inlineStr">
        <is>
          <t>INTERFACE P.O.S.</t>
        </is>
      </c>
      <c r="I157" s="11" t="n">
        <v>12100</v>
      </c>
      <c r="J157" s="11" t="inlineStr"/>
    </row>
    <row r="158">
      <c r="A158" s="11" t="n">
        <v>157</v>
      </c>
      <c r="B158" s="12" t="n">
        <v>46085</v>
      </c>
      <c r="C158" s="11" t="inlineStr">
        <is>
          <t>INTF</t>
        </is>
      </c>
      <c r="D158" s="11" t="inlineStr">
        <is>
          <t>202603</t>
        </is>
      </c>
      <c r="E158" s="11" t="inlineStr">
        <is>
          <t>1006814613</t>
        </is>
      </c>
      <c r="F158" s="11" t="inlineStr">
        <is>
          <t>AYERVE JHON JAIRO</t>
        </is>
      </c>
      <c r="G158" s="11" t="inlineStr"/>
      <c r="H158" s="11" t="inlineStr">
        <is>
          <t>INTERFACE P.O.S.</t>
        </is>
      </c>
      <c r="I158" s="11" t="n">
        <v>22800</v>
      </c>
      <c r="J158" s="11" t="inlineStr"/>
    </row>
    <row r="159">
      <c r="A159" s="11" t="n">
        <v>158</v>
      </c>
      <c r="B159" s="12" t="n">
        <v>46085</v>
      </c>
      <c r="C159" s="11" t="inlineStr">
        <is>
          <t>INTF</t>
        </is>
      </c>
      <c r="D159" s="11" t="inlineStr">
        <is>
          <t>202603</t>
        </is>
      </c>
      <c r="E159" s="11" t="inlineStr">
        <is>
          <t>1123330442</t>
        </is>
      </c>
      <c r="F159" s="11" t="inlineStr">
        <is>
          <t>GUISA JHONA</t>
        </is>
      </c>
      <c r="G159" s="11" t="inlineStr"/>
      <c r="H159" s="11" t="inlineStr">
        <is>
          <t>INTERFACE P.O.S.</t>
        </is>
      </c>
      <c r="I159" s="11" t="n">
        <v>23900</v>
      </c>
      <c r="J159" s="11" t="inlineStr"/>
    </row>
    <row r="160">
      <c r="A160" s="11" t="n">
        <v>159</v>
      </c>
      <c r="B160" s="12" t="n">
        <v>46085</v>
      </c>
      <c r="C160" s="11" t="inlineStr">
        <is>
          <t>INTF</t>
        </is>
      </c>
      <c r="D160" s="11" t="inlineStr">
        <is>
          <t>202603</t>
        </is>
      </c>
      <c r="E160" s="11" t="inlineStr">
        <is>
          <t>113144740</t>
        </is>
      </c>
      <c r="F160" s="11" t="inlineStr">
        <is>
          <t>OBANDO ORTEGA LUIS A</t>
        </is>
      </c>
      <c r="G160" s="11" t="inlineStr"/>
      <c r="H160" s="11" t="inlineStr">
        <is>
          <t>INTERFACE P.O.S.</t>
        </is>
      </c>
      <c r="I160" s="11" t="n">
        <v>26500</v>
      </c>
      <c r="J160" s="11" t="inlineStr"/>
    </row>
    <row r="161">
      <c r="A161" s="11" t="n">
        <v>160</v>
      </c>
      <c r="B161" s="12" t="n">
        <v>46086</v>
      </c>
      <c r="C161" s="11" t="inlineStr">
        <is>
          <t>CE3</t>
        </is>
      </c>
      <c r="D161" s="11" t="inlineStr">
        <is>
          <t>872</t>
        </is>
      </c>
      <c r="E161" s="11" t="inlineStr">
        <is>
          <t>18144346</t>
        </is>
      </c>
      <c r="F161" s="11" t="inlineStr">
        <is>
          <t>CUACIALPUD HERNANDEZ</t>
        </is>
      </c>
      <c r="G161" s="11" t="inlineStr"/>
      <c r="H161" s="11" t="inlineStr">
        <is>
          <t>PF RES</t>
        </is>
      </c>
      <c r="I161" s="11" t="inlineStr"/>
      <c r="J161" s="11" t="n">
        <v>1000000</v>
      </c>
    </row>
    <row r="162">
      <c r="A162" s="11" t="n">
        <v>161</v>
      </c>
      <c r="B162" s="12" t="n">
        <v>46086</v>
      </c>
      <c r="C162" s="11" t="inlineStr">
        <is>
          <t>INTF</t>
        </is>
      </c>
      <c r="D162" s="11" t="inlineStr">
        <is>
          <t>202603</t>
        </is>
      </c>
      <c r="E162" s="11" t="inlineStr">
        <is>
          <t>13065838</t>
        </is>
      </c>
      <c r="F162" s="11" t="inlineStr">
        <is>
          <t>PORTILLA CASTAÑEDA J</t>
        </is>
      </c>
      <c r="G162" s="11" t="inlineStr"/>
      <c r="H162" s="11" t="inlineStr">
        <is>
          <t>INTERFACE P.O.S.</t>
        </is>
      </c>
      <c r="I162" s="11" t="n">
        <v>11600</v>
      </c>
      <c r="J162" s="11" t="inlineStr"/>
    </row>
    <row r="163">
      <c r="A163" s="11" t="n">
        <v>162</v>
      </c>
      <c r="B163" s="12" t="n">
        <v>46086</v>
      </c>
      <c r="C163" s="11" t="inlineStr">
        <is>
          <t>INTF</t>
        </is>
      </c>
      <c r="D163" s="11" t="inlineStr">
        <is>
          <t>202603</t>
        </is>
      </c>
      <c r="E163" s="11" t="inlineStr">
        <is>
          <t>66956077</t>
        </is>
      </c>
      <c r="F163" s="11" t="inlineStr">
        <is>
          <t>VARGAS GAMBOA DOLY</t>
        </is>
      </c>
      <c r="G163" s="11" t="inlineStr"/>
      <c r="H163" s="11" t="inlineStr">
        <is>
          <t>INTERFACE P.O.S.</t>
        </is>
      </c>
      <c r="I163" s="11" t="n">
        <v>70000</v>
      </c>
      <c r="J163" s="11" t="inlineStr"/>
    </row>
    <row r="164">
      <c r="A164" s="11" t="n">
        <v>163</v>
      </c>
      <c r="B164" s="12" t="n">
        <v>46086</v>
      </c>
      <c r="C164" s="11" t="inlineStr">
        <is>
          <t>INTF</t>
        </is>
      </c>
      <c r="D164" s="11" t="inlineStr">
        <is>
          <t>202603</t>
        </is>
      </c>
      <c r="E164" s="11" t="inlineStr">
        <is>
          <t>69008382</t>
        </is>
      </c>
      <c r="F164" s="11" t="inlineStr">
        <is>
          <t>TORO QUINTERO YOLAND</t>
        </is>
      </c>
      <c r="G164" s="11" t="inlineStr"/>
      <c r="H164" s="11" t="inlineStr">
        <is>
          <t>INTERFACE P.O.S.</t>
        </is>
      </c>
      <c r="I164" s="11" t="n">
        <v>30500</v>
      </c>
      <c r="J164" s="11" t="inlineStr"/>
    </row>
    <row r="165">
      <c r="A165" s="11" t="n">
        <v>164</v>
      </c>
      <c r="B165" s="12" t="n">
        <v>46086</v>
      </c>
      <c r="C165" s="11" t="inlineStr">
        <is>
          <t>INTF</t>
        </is>
      </c>
      <c r="D165" s="11" t="inlineStr">
        <is>
          <t>202603</t>
        </is>
      </c>
      <c r="E165" s="11" t="inlineStr">
        <is>
          <t>1123323769</t>
        </is>
      </c>
      <c r="F165" s="11" t="inlineStr">
        <is>
          <t>CORDERO CORREA DIANA</t>
        </is>
      </c>
      <c r="G165" s="11" t="inlineStr"/>
      <c r="H165" s="11" t="inlineStr">
        <is>
          <t>INTERFACE P.O.S.</t>
        </is>
      </c>
      <c r="I165" s="11" t="n">
        <v>105700</v>
      </c>
      <c r="J165" s="11" t="inlineStr"/>
    </row>
    <row r="166">
      <c r="A166" s="11" t="n">
        <v>165</v>
      </c>
      <c r="B166" s="12" t="n">
        <v>46086</v>
      </c>
      <c r="C166" s="11" t="inlineStr">
        <is>
          <t>INTF</t>
        </is>
      </c>
      <c r="D166" s="11" t="inlineStr">
        <is>
          <t>202603</t>
        </is>
      </c>
      <c r="E166" s="11" t="inlineStr">
        <is>
          <t>1123328832</t>
        </is>
      </c>
      <c r="F166" s="11" t="inlineStr">
        <is>
          <t>FIGUEROA MAFLA JHONN</t>
        </is>
      </c>
      <c r="G166" s="11" t="inlineStr"/>
      <c r="H166" s="11" t="inlineStr">
        <is>
          <t>INTERFACE P.O.S.</t>
        </is>
      </c>
      <c r="I166" s="11" t="n">
        <v>10000</v>
      </c>
      <c r="J166" s="11" t="inlineStr"/>
    </row>
    <row r="167">
      <c r="A167" s="11" t="n">
        <v>166</v>
      </c>
      <c r="B167" s="12" t="n">
        <v>46086</v>
      </c>
      <c r="C167" s="11" t="inlineStr">
        <is>
          <t>INTF</t>
        </is>
      </c>
      <c r="D167" s="11" t="inlineStr">
        <is>
          <t>202603</t>
        </is>
      </c>
      <c r="E167" s="11" t="inlineStr">
        <is>
          <t>13069539</t>
        </is>
      </c>
      <c r="F167" s="11" t="inlineStr">
        <is>
          <t>MANCHABAJOY BENAVIDE</t>
        </is>
      </c>
      <c r="G167" s="11" t="inlineStr"/>
      <c r="H167" s="11" t="inlineStr">
        <is>
          <t>INTERFACE P.O.S.</t>
        </is>
      </c>
      <c r="I167" s="11" t="n">
        <v>4400</v>
      </c>
      <c r="J167" s="11" t="inlineStr"/>
    </row>
    <row r="168">
      <c r="A168" s="11" t="n">
        <v>167</v>
      </c>
      <c r="B168" s="12" t="n">
        <v>46086</v>
      </c>
      <c r="C168" s="11" t="inlineStr">
        <is>
          <t>INTF</t>
        </is>
      </c>
      <c r="D168" s="11" t="inlineStr">
        <is>
          <t>202603</t>
        </is>
      </c>
      <c r="E168" s="11" t="inlineStr">
        <is>
          <t>16072719</t>
        </is>
      </c>
      <c r="F168" s="11" t="inlineStr">
        <is>
          <t>FLOREZ LONDOÑO YESID</t>
        </is>
      </c>
      <c r="G168" s="11" t="inlineStr"/>
      <c r="H168" s="11" t="inlineStr">
        <is>
          <t>INTERFACE P.O.S.</t>
        </is>
      </c>
      <c r="I168" s="11" t="n">
        <v>140100</v>
      </c>
      <c r="J168" s="11" t="inlineStr"/>
    </row>
    <row r="169">
      <c r="A169" s="11" t="n">
        <v>168</v>
      </c>
      <c r="B169" s="12" t="n">
        <v>46086</v>
      </c>
      <c r="C169" s="11" t="inlineStr">
        <is>
          <t>INTF</t>
        </is>
      </c>
      <c r="D169" s="11" t="inlineStr">
        <is>
          <t>202603</t>
        </is>
      </c>
      <c r="E169" s="11" t="inlineStr">
        <is>
          <t>12978457</t>
        </is>
      </c>
      <c r="F169" s="11" t="inlineStr">
        <is>
          <t>GOMEZ ARGOTY RODRIGO</t>
        </is>
      </c>
      <c r="G169" s="11" t="inlineStr"/>
      <c r="H169" s="11" t="inlineStr">
        <is>
          <t>INTERFACE P.O.S.</t>
        </is>
      </c>
      <c r="I169" s="11" t="n">
        <v>4000</v>
      </c>
      <c r="J169" s="11" t="inlineStr"/>
    </row>
    <row r="170">
      <c r="A170" s="11" t="n">
        <v>169</v>
      </c>
      <c r="B170" s="12" t="n">
        <v>46086</v>
      </c>
      <c r="C170" s="11" t="inlineStr">
        <is>
          <t>INTF</t>
        </is>
      </c>
      <c r="D170" s="11" t="inlineStr">
        <is>
          <t>202603</t>
        </is>
      </c>
      <c r="E170" s="11" t="inlineStr">
        <is>
          <t>1123331679</t>
        </is>
      </c>
      <c r="F170" s="11" t="inlineStr">
        <is>
          <t>ERASO ROSERO NEIBER</t>
        </is>
      </c>
      <c r="G170" s="11" t="inlineStr"/>
      <c r="H170" s="11" t="inlineStr">
        <is>
          <t>INTERFACE P.O.S.</t>
        </is>
      </c>
      <c r="I170" s="11" t="n">
        <v>11500</v>
      </c>
      <c r="J170" s="11" t="inlineStr"/>
    </row>
    <row r="171">
      <c r="A171" s="11" t="n">
        <v>170</v>
      </c>
      <c r="B171" s="12" t="n">
        <v>46086</v>
      </c>
      <c r="C171" s="11" t="inlineStr">
        <is>
          <t>INTF</t>
        </is>
      </c>
      <c r="D171" s="11" t="inlineStr">
        <is>
          <t>202603</t>
        </is>
      </c>
      <c r="E171" s="11" t="inlineStr">
        <is>
          <t>1087047042</t>
        </is>
      </c>
      <c r="F171" s="11" t="inlineStr">
        <is>
          <t>MORALES RUALES JHON</t>
        </is>
      </c>
      <c r="G171" s="11" t="inlineStr"/>
      <c r="H171" s="11" t="inlineStr">
        <is>
          <t>INTERFACE P.O.S.</t>
        </is>
      </c>
      <c r="I171" s="11" t="n">
        <v>10800</v>
      </c>
      <c r="J171" s="11" t="inlineStr"/>
    </row>
    <row r="172">
      <c r="A172" s="11" t="n">
        <v>171</v>
      </c>
      <c r="B172" s="12" t="n">
        <v>46086</v>
      </c>
      <c r="C172" s="11" t="inlineStr">
        <is>
          <t>INTF</t>
        </is>
      </c>
      <c r="D172" s="11" t="inlineStr">
        <is>
          <t>202603</t>
        </is>
      </c>
      <c r="E172" s="11" t="inlineStr">
        <is>
          <t>1123328055</t>
        </is>
      </c>
      <c r="F172" s="11" t="inlineStr">
        <is>
          <t>OBANDO SANTACRUZ MON</t>
        </is>
      </c>
      <c r="G172" s="11" t="inlineStr"/>
      <c r="H172" s="11" t="inlineStr">
        <is>
          <t>INTERFACE P.O.S.</t>
        </is>
      </c>
      <c r="I172" s="11" t="n">
        <v>15100</v>
      </c>
      <c r="J172" s="11" t="inlineStr"/>
    </row>
    <row r="173">
      <c r="A173" s="11" t="n">
        <v>172</v>
      </c>
      <c r="B173" s="12" t="n">
        <v>46086</v>
      </c>
      <c r="C173" s="11" t="inlineStr">
        <is>
          <t>INTF</t>
        </is>
      </c>
      <c r="D173" s="11" t="inlineStr">
        <is>
          <t>202603</t>
        </is>
      </c>
      <c r="E173" s="11" t="inlineStr">
        <is>
          <t>1123328910</t>
        </is>
      </c>
      <c r="F173" s="11" t="inlineStr">
        <is>
          <t>BEDOYA MINA MARIA DE</t>
        </is>
      </c>
      <c r="G173" s="11" t="inlineStr"/>
      <c r="H173" s="11" t="inlineStr">
        <is>
          <t>INTERFACE P.O.S.</t>
        </is>
      </c>
      <c r="I173" s="11" t="n">
        <v>244900</v>
      </c>
      <c r="J173" s="11" t="inlineStr"/>
    </row>
    <row r="174">
      <c r="A174" s="11" t="n">
        <v>173</v>
      </c>
      <c r="B174" s="12" t="n">
        <v>46086</v>
      </c>
      <c r="C174" s="11" t="inlineStr">
        <is>
          <t>INTF</t>
        </is>
      </c>
      <c r="D174" s="11" t="inlineStr">
        <is>
          <t>202603</t>
        </is>
      </c>
      <c r="E174" s="11" t="inlineStr">
        <is>
          <t>1143929486</t>
        </is>
      </c>
      <c r="F174" s="11" t="inlineStr">
        <is>
          <t>MEZA FERNANDEZ CLAUD</t>
        </is>
      </c>
      <c r="G174" s="11" t="inlineStr"/>
      <c r="H174" s="11" t="inlineStr">
        <is>
          <t>INTERFACE P.O.S.</t>
        </is>
      </c>
      <c r="I174" s="11" t="n">
        <v>4800</v>
      </c>
      <c r="J174" s="11" t="inlineStr"/>
    </row>
    <row r="175">
      <c r="A175" s="11" t="n">
        <v>174</v>
      </c>
      <c r="B175" s="12" t="n">
        <v>46086</v>
      </c>
      <c r="C175" s="11" t="inlineStr">
        <is>
          <t>INTF</t>
        </is>
      </c>
      <c r="D175" s="11" t="inlineStr">
        <is>
          <t>202603</t>
        </is>
      </c>
      <c r="E175" s="11" t="inlineStr">
        <is>
          <t>63367669</t>
        </is>
      </c>
      <c r="F175" s="11" t="inlineStr">
        <is>
          <t>PEREZ BECERRA PATRIC</t>
        </is>
      </c>
      <c r="G175" s="11" t="inlineStr"/>
      <c r="H175" s="11" t="inlineStr">
        <is>
          <t>INTERFACE P.O.S.</t>
        </is>
      </c>
      <c r="I175" s="11" t="n">
        <v>20500</v>
      </c>
      <c r="J175" s="11" t="inlineStr"/>
    </row>
    <row r="176">
      <c r="A176" s="11" t="n">
        <v>175</v>
      </c>
      <c r="B176" s="12" t="n">
        <v>46086</v>
      </c>
      <c r="C176" s="11" t="inlineStr">
        <is>
          <t>INTF</t>
        </is>
      </c>
      <c r="D176" s="11" t="inlineStr">
        <is>
          <t>202603</t>
        </is>
      </c>
      <c r="E176" s="11" t="inlineStr">
        <is>
          <t>1085271819</t>
        </is>
      </c>
      <c r="F176" s="11" t="inlineStr">
        <is>
          <t>SALAZAR ALDERETE JOR</t>
        </is>
      </c>
      <c r="G176" s="11" t="inlineStr"/>
      <c r="H176" s="11" t="inlineStr">
        <is>
          <t>INTERFACE P.O.S.</t>
        </is>
      </c>
      <c r="I176" s="11" t="n">
        <v>4000</v>
      </c>
      <c r="J176" s="11" t="inlineStr"/>
    </row>
    <row r="177">
      <c r="A177" s="11" t="n">
        <v>176</v>
      </c>
      <c r="B177" s="12" t="n">
        <v>46086</v>
      </c>
      <c r="C177" s="11" t="inlineStr">
        <is>
          <t>INTF</t>
        </is>
      </c>
      <c r="D177" s="11" t="inlineStr">
        <is>
          <t>202603</t>
        </is>
      </c>
      <c r="E177" s="11" t="inlineStr">
        <is>
          <t>1075300641</t>
        </is>
      </c>
      <c r="F177" s="11" t="inlineStr">
        <is>
          <t>MILLAN SOUSA NATALY</t>
        </is>
      </c>
      <c r="G177" s="11" t="inlineStr"/>
      <c r="H177" s="11" t="inlineStr">
        <is>
          <t>INTERFACE P.O.S.</t>
        </is>
      </c>
      <c r="I177" s="11" t="n">
        <v>19700</v>
      </c>
      <c r="J177" s="11" t="inlineStr"/>
    </row>
    <row r="178">
      <c r="A178" s="11" t="n">
        <v>177</v>
      </c>
      <c r="B178" s="12" t="n">
        <v>46086</v>
      </c>
      <c r="C178" s="11" t="inlineStr">
        <is>
          <t>INTF</t>
        </is>
      </c>
      <c r="D178" s="11" t="inlineStr">
        <is>
          <t>202603</t>
        </is>
      </c>
      <c r="E178" s="11" t="inlineStr">
        <is>
          <t>1123329945</t>
        </is>
      </c>
      <c r="F178" s="11" t="inlineStr">
        <is>
          <t>BERNAL CORAL PAULA A</t>
        </is>
      </c>
      <c r="G178" s="11" t="inlineStr"/>
      <c r="H178" s="11" t="inlineStr">
        <is>
          <t>INTERFACE P.O.S.</t>
        </is>
      </c>
      <c r="I178" s="11" t="n">
        <v>14800</v>
      </c>
      <c r="J178" s="11" t="inlineStr"/>
    </row>
    <row r="179">
      <c r="A179" s="11" t="n">
        <v>178</v>
      </c>
      <c r="B179" s="12" t="n">
        <v>46086</v>
      </c>
      <c r="C179" s="11" t="inlineStr">
        <is>
          <t>INTF</t>
        </is>
      </c>
      <c r="D179" s="11" t="inlineStr">
        <is>
          <t>202603</t>
        </is>
      </c>
      <c r="E179" s="11" t="inlineStr">
        <is>
          <t>1123330519</t>
        </is>
      </c>
      <c r="F179" s="11" t="inlineStr">
        <is>
          <t>ARTEAGA GIRALDO HELE</t>
        </is>
      </c>
      <c r="G179" s="11" t="inlineStr"/>
      <c r="H179" s="11" t="inlineStr">
        <is>
          <t>INTERFACE P.O.S.</t>
        </is>
      </c>
      <c r="I179" s="11" t="n">
        <v>157200</v>
      </c>
      <c r="J179" s="11" t="inlineStr"/>
    </row>
    <row r="180">
      <c r="A180" s="11" t="n">
        <v>179</v>
      </c>
      <c r="B180" s="12" t="n">
        <v>46086</v>
      </c>
      <c r="C180" s="11" t="inlineStr">
        <is>
          <t>INTF</t>
        </is>
      </c>
      <c r="D180" s="11" t="inlineStr">
        <is>
          <t>202603</t>
        </is>
      </c>
      <c r="E180" s="11" t="inlineStr">
        <is>
          <t>1006994711</t>
        </is>
      </c>
      <c r="F180" s="11" t="inlineStr">
        <is>
          <t>MOSQUERA PALACIOS JE</t>
        </is>
      </c>
      <c r="G180" s="11" t="inlineStr"/>
      <c r="H180" s="11" t="inlineStr">
        <is>
          <t>INTERFACE P.O.S.</t>
        </is>
      </c>
      <c r="I180" s="11" t="n">
        <v>79200</v>
      </c>
      <c r="J180" s="11" t="inlineStr"/>
    </row>
    <row r="181">
      <c r="A181" s="11" t="n">
        <v>180</v>
      </c>
      <c r="B181" s="12" t="n">
        <v>46086</v>
      </c>
      <c r="C181" s="11" t="inlineStr">
        <is>
          <t>INTF</t>
        </is>
      </c>
      <c r="D181" s="11" t="inlineStr">
        <is>
          <t>202603</t>
        </is>
      </c>
      <c r="E181" s="11" t="inlineStr">
        <is>
          <t>1007705630</t>
        </is>
      </c>
      <c r="F181" s="11" t="inlineStr">
        <is>
          <t>MARIN ZULUAGA VALENT</t>
        </is>
      </c>
      <c r="G181" s="11" t="inlineStr"/>
      <c r="H181" s="11" t="inlineStr">
        <is>
          <t>INTERFACE P.O.S.</t>
        </is>
      </c>
      <c r="I181" s="11" t="n">
        <v>220900</v>
      </c>
      <c r="J181" s="11" t="inlineStr"/>
    </row>
    <row r="182">
      <c r="A182" s="11" t="n">
        <v>181</v>
      </c>
      <c r="B182" s="12" t="n">
        <v>46086</v>
      </c>
      <c r="C182" s="11" t="inlineStr">
        <is>
          <t>INTF</t>
        </is>
      </c>
      <c r="D182" s="11" t="inlineStr">
        <is>
          <t>202603</t>
        </is>
      </c>
      <c r="E182" s="11" t="inlineStr">
        <is>
          <t>1065898594</t>
        </is>
      </c>
      <c r="F182" s="11" t="inlineStr">
        <is>
          <t>JIRALDO VALENCIA PAO</t>
        </is>
      </c>
      <c r="G182" s="11" t="inlineStr"/>
      <c r="H182" s="11" t="inlineStr">
        <is>
          <t>INTERFACE P.O.S.</t>
        </is>
      </c>
      <c r="I182" s="11" t="n">
        <v>24600</v>
      </c>
      <c r="J182" s="11" t="inlineStr"/>
    </row>
    <row r="183">
      <c r="A183" s="11" t="n">
        <v>182</v>
      </c>
      <c r="B183" s="12" t="n">
        <v>46086</v>
      </c>
      <c r="C183" s="11" t="inlineStr">
        <is>
          <t>INTF</t>
        </is>
      </c>
      <c r="D183" s="11" t="inlineStr">
        <is>
          <t>202603</t>
        </is>
      </c>
      <c r="E183" s="11" t="inlineStr">
        <is>
          <t>1123331780</t>
        </is>
      </c>
      <c r="F183" s="11" t="inlineStr">
        <is>
          <t>DIAZ BURBANO JUAN CA</t>
        </is>
      </c>
      <c r="G183" s="11" t="inlineStr"/>
      <c r="H183" s="11" t="inlineStr">
        <is>
          <t>INTERFACE P.O.S.</t>
        </is>
      </c>
      <c r="I183" s="11" t="n">
        <v>86000</v>
      </c>
      <c r="J183" s="11" t="inlineStr"/>
    </row>
    <row r="184">
      <c r="A184" s="11" t="n">
        <v>183</v>
      </c>
      <c r="B184" s="12" t="n">
        <v>46086</v>
      </c>
      <c r="C184" s="11" t="inlineStr">
        <is>
          <t>INTF</t>
        </is>
      </c>
      <c r="D184" s="11" t="inlineStr">
        <is>
          <t>202603</t>
        </is>
      </c>
      <c r="E184" s="11" t="inlineStr">
        <is>
          <t>87490569</t>
        </is>
      </c>
      <c r="F184" s="11" t="inlineStr">
        <is>
          <t>CERON DOMINGO JOSE</t>
        </is>
      </c>
      <c r="G184" s="11" t="inlineStr"/>
      <c r="H184" s="11" t="inlineStr">
        <is>
          <t>INTERFACE P.O.S.</t>
        </is>
      </c>
      <c r="I184" s="11" t="n">
        <v>34900</v>
      </c>
      <c r="J184" s="11" t="inlineStr"/>
    </row>
    <row r="185">
      <c r="A185" s="11" t="n">
        <v>184</v>
      </c>
      <c r="B185" s="12" t="n">
        <v>46086</v>
      </c>
      <c r="C185" s="11" t="inlineStr">
        <is>
          <t>INTF</t>
        </is>
      </c>
      <c r="D185" s="11" t="inlineStr">
        <is>
          <t>202603</t>
        </is>
      </c>
      <c r="E185" s="11" t="inlineStr">
        <is>
          <t>1123321589</t>
        </is>
      </c>
      <c r="F185" s="11" t="inlineStr">
        <is>
          <t>DIAS CHAVEZ EVA LINE</t>
        </is>
      </c>
      <c r="G185" s="11" t="inlineStr"/>
      <c r="H185" s="11" t="inlineStr">
        <is>
          <t>INTERFACE P.O.S.</t>
        </is>
      </c>
      <c r="I185" s="11" t="n">
        <v>26300</v>
      </c>
      <c r="J185" s="11" t="inlineStr"/>
    </row>
    <row r="186">
      <c r="A186" s="11" t="n">
        <v>185</v>
      </c>
      <c r="B186" s="12" t="n">
        <v>46086</v>
      </c>
      <c r="C186" s="11" t="inlineStr">
        <is>
          <t>INTF</t>
        </is>
      </c>
      <c r="D186" s="11" t="inlineStr">
        <is>
          <t>202603</t>
        </is>
      </c>
      <c r="E186" s="11" t="inlineStr">
        <is>
          <t>1122783591</t>
        </is>
      </c>
      <c r="F186" s="11" t="inlineStr">
        <is>
          <t>MORA BENAVIDES DIEGO</t>
        </is>
      </c>
      <c r="G186" s="11" t="inlineStr"/>
      <c r="H186" s="11" t="inlineStr">
        <is>
          <t>INTERFACE P.O.S.</t>
        </is>
      </c>
      <c r="I186" s="11" t="n">
        <v>23800</v>
      </c>
      <c r="J186" s="11" t="inlineStr"/>
    </row>
    <row r="187">
      <c r="A187" s="11" t="n">
        <v>186</v>
      </c>
      <c r="B187" s="12" t="n">
        <v>46086</v>
      </c>
      <c r="C187" s="11" t="inlineStr">
        <is>
          <t>INTF</t>
        </is>
      </c>
      <c r="D187" s="11" t="inlineStr">
        <is>
          <t>202603</t>
        </is>
      </c>
      <c r="E187" s="11" t="inlineStr">
        <is>
          <t>1124858469</t>
        </is>
      </c>
      <c r="F187" s="11" t="inlineStr">
        <is>
          <t>MARIN BENAVIDES EDWI</t>
        </is>
      </c>
      <c r="G187" s="11" t="inlineStr"/>
      <c r="H187" s="11" t="inlineStr">
        <is>
          <t>INTERFACE P.O.S.</t>
        </is>
      </c>
      <c r="I187" s="11" t="n">
        <v>26800</v>
      </c>
      <c r="J187" s="11" t="inlineStr"/>
    </row>
    <row r="188">
      <c r="A188" s="11" t="n">
        <v>187</v>
      </c>
      <c r="B188" s="12" t="n">
        <v>46086</v>
      </c>
      <c r="C188" s="11" t="inlineStr">
        <is>
          <t>INTF</t>
        </is>
      </c>
      <c r="D188" s="11" t="inlineStr">
        <is>
          <t>202603</t>
        </is>
      </c>
      <c r="E188" s="11" t="inlineStr">
        <is>
          <t>1123320768</t>
        </is>
      </c>
      <c r="F188" s="11" t="inlineStr">
        <is>
          <t>CAMPO RODRIGUEZ OMAR</t>
        </is>
      </c>
      <c r="G188" s="11" t="inlineStr"/>
      <c r="H188" s="11" t="inlineStr">
        <is>
          <t>INTERFACE P.O.S.</t>
        </is>
      </c>
      <c r="I188" s="11" t="n">
        <v>30400</v>
      </c>
      <c r="J188" s="11" t="inlineStr"/>
    </row>
    <row r="189">
      <c r="A189" s="11" t="n">
        <v>188</v>
      </c>
      <c r="B189" s="12" t="n">
        <v>46086</v>
      </c>
      <c r="C189" s="11" t="inlineStr">
        <is>
          <t>INTF</t>
        </is>
      </c>
      <c r="D189" s="11" t="inlineStr">
        <is>
          <t>202603</t>
        </is>
      </c>
      <c r="E189" s="11" t="inlineStr">
        <is>
          <t>98384798</t>
        </is>
      </c>
      <c r="F189" s="11" t="inlineStr">
        <is>
          <t>GUACALES ROSAS JORJ</t>
        </is>
      </c>
      <c r="G189" s="11" t="inlineStr"/>
      <c r="H189" s="11" t="inlineStr">
        <is>
          <t>INTERFACE P.O.S.</t>
        </is>
      </c>
      <c r="I189" s="11" t="n">
        <v>42500</v>
      </c>
      <c r="J189" s="11" t="inlineStr"/>
    </row>
    <row r="190">
      <c r="A190" s="11" t="n">
        <v>189</v>
      </c>
      <c r="B190" s="12" t="n">
        <v>46086</v>
      </c>
      <c r="C190" s="11" t="inlineStr">
        <is>
          <t>INTF</t>
        </is>
      </c>
      <c r="D190" s="11" t="inlineStr">
        <is>
          <t>202603</t>
        </is>
      </c>
      <c r="E190" s="11" t="inlineStr">
        <is>
          <t>1000689436</t>
        </is>
      </c>
      <c r="F190" s="11" t="inlineStr">
        <is>
          <t>NIÑO NARVAEZ ADRIANA</t>
        </is>
      </c>
      <c r="G190" s="11" t="inlineStr"/>
      <c r="H190" s="11" t="inlineStr">
        <is>
          <t>INTERFACE P.O.S.</t>
        </is>
      </c>
      <c r="I190" s="11" t="n">
        <v>32200</v>
      </c>
      <c r="J190" s="11" t="inlineStr"/>
    </row>
    <row r="191">
      <c r="A191" s="11" t="n">
        <v>190</v>
      </c>
      <c r="B191" s="12" t="n">
        <v>46086</v>
      </c>
      <c r="C191" s="11" t="inlineStr">
        <is>
          <t>INTF</t>
        </is>
      </c>
      <c r="D191" s="11" t="inlineStr">
        <is>
          <t>202603</t>
        </is>
      </c>
      <c r="E191" s="11" t="inlineStr">
        <is>
          <t>1193205877</t>
        </is>
      </c>
      <c r="F191" s="11" t="inlineStr">
        <is>
          <t>ORTIZ MONTENEGRO JHO</t>
        </is>
      </c>
      <c r="G191" s="11" t="inlineStr"/>
      <c r="H191" s="11" t="inlineStr">
        <is>
          <t>INTERFACE P.O.S.</t>
        </is>
      </c>
      <c r="I191" s="11" t="n">
        <v>10200</v>
      </c>
      <c r="J191" s="11" t="inlineStr"/>
    </row>
    <row r="192">
      <c r="A192" s="11" t="n">
        <v>191</v>
      </c>
      <c r="B192" s="12" t="n">
        <v>46086</v>
      </c>
      <c r="C192" s="11" t="inlineStr">
        <is>
          <t>INTF</t>
        </is>
      </c>
      <c r="D192" s="11" t="inlineStr">
        <is>
          <t>202603</t>
        </is>
      </c>
      <c r="E192" s="11" t="inlineStr">
        <is>
          <t>1127077419</t>
        </is>
      </c>
      <c r="F192" s="11" t="inlineStr">
        <is>
          <t>CHAMORRO DUARTE NARH</t>
        </is>
      </c>
      <c r="G192" s="11" t="inlineStr"/>
      <c r="H192" s="11" t="inlineStr">
        <is>
          <t>INTERFACE P.O.S.</t>
        </is>
      </c>
      <c r="I192" s="11" t="n">
        <v>33600</v>
      </c>
      <c r="J192" s="11" t="inlineStr"/>
    </row>
    <row r="193">
      <c r="A193" s="11" t="n">
        <v>192</v>
      </c>
      <c r="B193" s="12" t="n">
        <v>46086</v>
      </c>
      <c r="C193" s="11" t="inlineStr">
        <is>
          <t>INTF</t>
        </is>
      </c>
      <c r="D193" s="11" t="inlineStr">
        <is>
          <t>202603</t>
        </is>
      </c>
      <c r="E193" s="11" t="inlineStr">
        <is>
          <t>1006850600</t>
        </is>
      </c>
      <c r="F193" s="11" t="inlineStr">
        <is>
          <t>PRECIADO GETIAL SEBA</t>
        </is>
      </c>
      <c r="G193" s="11" t="inlineStr"/>
      <c r="H193" s="11" t="inlineStr">
        <is>
          <t>INTERFACE P.O.S.</t>
        </is>
      </c>
      <c r="I193" s="11" t="n">
        <v>9500</v>
      </c>
      <c r="J193" s="11" t="inlineStr"/>
    </row>
    <row r="194">
      <c r="A194" s="11" t="n">
        <v>193</v>
      </c>
      <c r="B194" s="12" t="n">
        <v>46086</v>
      </c>
      <c r="C194" s="11" t="inlineStr">
        <is>
          <t>INTF</t>
        </is>
      </c>
      <c r="D194" s="11" t="inlineStr">
        <is>
          <t>202603</t>
        </is>
      </c>
      <c r="E194" s="11" t="inlineStr">
        <is>
          <t>1123320957</t>
        </is>
      </c>
      <c r="F194" s="11" t="inlineStr">
        <is>
          <t>GALINDEZ AULLON HERI</t>
        </is>
      </c>
      <c r="G194" s="11" t="inlineStr"/>
      <c r="H194" s="11" t="inlineStr">
        <is>
          <t>INTERFACE P.O.S.</t>
        </is>
      </c>
      <c r="I194" s="11" t="n">
        <v>37200</v>
      </c>
      <c r="J194" s="11" t="inlineStr"/>
    </row>
    <row r="195">
      <c r="A195" s="11" t="n">
        <v>194</v>
      </c>
      <c r="B195" s="12" t="n">
        <v>46086</v>
      </c>
      <c r="C195" s="11" t="inlineStr">
        <is>
          <t>INTF</t>
        </is>
      </c>
      <c r="D195" s="11" t="inlineStr">
        <is>
          <t>202603</t>
        </is>
      </c>
      <c r="E195" s="11" t="inlineStr">
        <is>
          <t>1112770743</t>
        </is>
      </c>
      <c r="F195" s="11" t="inlineStr">
        <is>
          <t>DIAZ DIEGO</t>
        </is>
      </c>
      <c r="G195" s="11" t="inlineStr"/>
      <c r="H195" s="11" t="inlineStr">
        <is>
          <t>INTERFACE P.O.S.</t>
        </is>
      </c>
      <c r="I195" s="11" t="n">
        <v>15000</v>
      </c>
      <c r="J195" s="11" t="inlineStr"/>
    </row>
    <row r="196">
      <c r="A196" s="11" t="n">
        <v>195</v>
      </c>
      <c r="B196" s="12" t="n">
        <v>46086</v>
      </c>
      <c r="C196" s="11" t="inlineStr">
        <is>
          <t>INTF</t>
        </is>
      </c>
      <c r="D196" s="11" t="inlineStr">
        <is>
          <t>202603</t>
        </is>
      </c>
      <c r="E196" s="11" t="inlineStr">
        <is>
          <t>1193089641</t>
        </is>
      </c>
      <c r="F196" s="11" t="inlineStr">
        <is>
          <t>CORREA CUELLAR WU</t>
        </is>
      </c>
      <c r="G196" s="11" t="inlineStr"/>
      <c r="H196" s="11" t="inlineStr">
        <is>
          <t>INTERFACE P.O.S.</t>
        </is>
      </c>
      <c r="I196" s="11" t="n">
        <v>34500</v>
      </c>
      <c r="J196" s="11" t="inlineStr"/>
    </row>
    <row r="197">
      <c r="A197" s="11" t="n">
        <v>196</v>
      </c>
      <c r="B197" s="12" t="n">
        <v>46086</v>
      </c>
      <c r="C197" s="11" t="inlineStr">
        <is>
          <t>INTF</t>
        </is>
      </c>
      <c r="D197" s="11" t="inlineStr">
        <is>
          <t>202603</t>
        </is>
      </c>
      <c r="E197" s="11" t="inlineStr">
        <is>
          <t>1123331913</t>
        </is>
      </c>
      <c r="F197" s="11" t="inlineStr">
        <is>
          <t>MORA DUARTE DANIEL</t>
        </is>
      </c>
      <c r="G197" s="11" t="inlineStr"/>
      <c r="H197" s="11" t="inlineStr">
        <is>
          <t>INTERFACE P.O.S.</t>
        </is>
      </c>
      <c r="I197" s="11" t="n">
        <v>20400</v>
      </c>
      <c r="J197" s="11" t="inlineStr"/>
    </row>
    <row r="198">
      <c r="A198" s="11" t="n">
        <v>197</v>
      </c>
      <c r="B198" s="12" t="n">
        <v>46086</v>
      </c>
      <c r="C198" s="11" t="inlineStr">
        <is>
          <t>RC</t>
        </is>
      </c>
      <c r="D198" s="11" t="inlineStr">
        <is>
          <t>4116</t>
        </is>
      </c>
      <c r="E198" s="11" t="inlineStr">
        <is>
          <t>1123332054</t>
        </is>
      </c>
      <c r="F198" s="11" t="inlineStr">
        <is>
          <t>ALVAREZ CHAVEZ CRIST</t>
        </is>
      </c>
      <c r="G198" s="11" t="inlineStr">
        <is>
          <t>2054</t>
        </is>
      </c>
      <c r="H198" s="11" t="inlineStr">
        <is>
          <t>RC DAVID</t>
        </is>
      </c>
      <c r="I198" s="11" t="n">
        <v>443500</v>
      </c>
      <c r="J198" s="11" t="inlineStr"/>
    </row>
    <row r="199">
      <c r="A199" s="11" t="n">
        <v>198</v>
      </c>
      <c r="B199" s="12" t="n">
        <v>46087</v>
      </c>
      <c r="C199" s="11" t="inlineStr">
        <is>
          <t>CE</t>
        </is>
      </c>
      <c r="D199" s="11" t="inlineStr">
        <is>
          <t>9395</t>
        </is>
      </c>
      <c r="E199" s="11" t="inlineStr">
        <is>
          <t>59829308</t>
        </is>
      </c>
      <c r="F199" s="11" t="inlineStr">
        <is>
          <t>PAGUATIAN INES DORA</t>
        </is>
      </c>
      <c r="G199" s="11" t="inlineStr">
        <is>
          <t>M16805990</t>
        </is>
      </c>
      <c r="H199" s="11" t="inlineStr">
        <is>
          <t>PF CLTS</t>
        </is>
      </c>
      <c r="I199" s="11" t="inlineStr"/>
      <c r="J199" s="11" t="n">
        <v>1859910</v>
      </c>
    </row>
    <row r="200">
      <c r="A200" s="11" t="n">
        <v>199</v>
      </c>
      <c r="B200" s="12" t="n">
        <v>46087</v>
      </c>
      <c r="C200" s="11" t="inlineStr">
        <is>
          <t>INTF</t>
        </is>
      </c>
      <c r="D200" s="11" t="inlineStr">
        <is>
          <t>202603</t>
        </is>
      </c>
      <c r="E200" s="11" t="inlineStr">
        <is>
          <t>41110276</t>
        </is>
      </c>
      <c r="F200" s="11" t="inlineStr">
        <is>
          <t>CORTEZ CAYCEDO HELID</t>
        </is>
      </c>
      <c r="G200" s="11" t="inlineStr"/>
      <c r="H200" s="11" t="inlineStr">
        <is>
          <t>INTERFACE P.O.S.</t>
        </is>
      </c>
      <c r="I200" s="11" t="n">
        <v>10000</v>
      </c>
      <c r="J200" s="11" t="inlineStr"/>
    </row>
    <row r="201">
      <c r="A201" s="11" t="n">
        <v>200</v>
      </c>
      <c r="B201" s="12" t="n">
        <v>46087</v>
      </c>
      <c r="C201" s="11" t="inlineStr">
        <is>
          <t>INTF</t>
        </is>
      </c>
      <c r="D201" s="11" t="inlineStr">
        <is>
          <t>202603</t>
        </is>
      </c>
      <c r="E201" s="11" t="inlineStr">
        <is>
          <t>18147502</t>
        </is>
      </c>
      <c r="F201" s="11" t="inlineStr">
        <is>
          <t>GARAVITO JIMENEZ EID</t>
        </is>
      </c>
      <c r="G201" s="11" t="inlineStr"/>
      <c r="H201" s="11" t="inlineStr">
        <is>
          <t>INTERFACE P.O.S.</t>
        </is>
      </c>
      <c r="I201" s="11" t="n">
        <v>49000</v>
      </c>
      <c r="J201" s="11" t="inlineStr"/>
    </row>
    <row r="202">
      <c r="A202" s="11" t="n">
        <v>201</v>
      </c>
      <c r="B202" s="12" t="n">
        <v>46087</v>
      </c>
      <c r="C202" s="11" t="inlineStr">
        <is>
          <t>INTF</t>
        </is>
      </c>
      <c r="D202" s="11" t="inlineStr">
        <is>
          <t>202603</t>
        </is>
      </c>
      <c r="E202" s="11" t="inlineStr">
        <is>
          <t>1088736507</t>
        </is>
      </c>
      <c r="F202" s="11" t="inlineStr">
        <is>
          <t>ESCOBAR CORDOBA DEIV</t>
        </is>
      </c>
      <c r="G202" s="11" t="inlineStr"/>
      <c r="H202" s="11" t="inlineStr">
        <is>
          <t>INTERFACE P.O.S.</t>
        </is>
      </c>
      <c r="I202" s="11" t="n">
        <v>2700</v>
      </c>
      <c r="J202" s="11" t="inlineStr"/>
    </row>
    <row r="203">
      <c r="A203" s="11" t="n">
        <v>202</v>
      </c>
      <c r="B203" s="12" t="n">
        <v>46087</v>
      </c>
      <c r="C203" s="11" t="inlineStr">
        <is>
          <t>INTF</t>
        </is>
      </c>
      <c r="D203" s="11" t="inlineStr">
        <is>
          <t>202603</t>
        </is>
      </c>
      <c r="E203" s="11" t="inlineStr">
        <is>
          <t>1123332486</t>
        </is>
      </c>
      <c r="F203" s="11" t="inlineStr">
        <is>
          <t>RODRIGUEZ ERAZO LEID</t>
        </is>
      </c>
      <c r="G203" s="11" t="inlineStr"/>
      <c r="H203" s="11" t="inlineStr">
        <is>
          <t>INTERFACE P.O.S.</t>
        </is>
      </c>
      <c r="I203" s="11" t="n">
        <v>30700</v>
      </c>
      <c r="J203" s="11" t="inlineStr"/>
    </row>
    <row r="204">
      <c r="A204" s="11" t="n">
        <v>203</v>
      </c>
      <c r="B204" s="12" t="n">
        <v>46087</v>
      </c>
      <c r="C204" s="11" t="inlineStr">
        <is>
          <t>INTF</t>
        </is>
      </c>
      <c r="D204" s="11" t="inlineStr">
        <is>
          <t>202603</t>
        </is>
      </c>
      <c r="E204" s="11" t="inlineStr">
        <is>
          <t>75060429</t>
        </is>
      </c>
      <c r="F204" s="11" t="inlineStr">
        <is>
          <t>ZAPATA BETANCURTH RO</t>
        </is>
      </c>
      <c r="G204" s="11" t="inlineStr"/>
      <c r="H204" s="11" t="inlineStr">
        <is>
          <t>INTERFACE P.O.S.</t>
        </is>
      </c>
      <c r="I204" s="11" t="n">
        <v>13800</v>
      </c>
      <c r="J204" s="11" t="inlineStr"/>
    </row>
    <row r="205">
      <c r="A205" s="11" t="n">
        <v>204</v>
      </c>
      <c r="B205" s="12" t="n">
        <v>46087</v>
      </c>
      <c r="C205" s="11" t="inlineStr">
        <is>
          <t>INTF</t>
        </is>
      </c>
      <c r="D205" s="11" t="inlineStr">
        <is>
          <t>202603</t>
        </is>
      </c>
      <c r="E205" s="11" t="inlineStr">
        <is>
          <t>1073693731</t>
        </is>
      </c>
      <c r="F205" s="11" t="inlineStr">
        <is>
          <t>NARVAEZ ACOSTA IDALY</t>
        </is>
      </c>
      <c r="G205" s="11" t="inlineStr"/>
      <c r="H205" s="11" t="inlineStr">
        <is>
          <t>INTERFACE P.O.S.</t>
        </is>
      </c>
      <c r="I205" s="11" t="n">
        <v>19300</v>
      </c>
      <c r="J205" s="11" t="inlineStr"/>
    </row>
    <row r="206">
      <c r="A206" s="11" t="n">
        <v>205</v>
      </c>
      <c r="B206" s="12" t="n">
        <v>46087</v>
      </c>
      <c r="C206" s="11" t="inlineStr">
        <is>
          <t>INTF</t>
        </is>
      </c>
      <c r="D206" s="11" t="inlineStr">
        <is>
          <t>202603</t>
        </is>
      </c>
      <c r="E206" s="11" t="inlineStr">
        <is>
          <t>1123331415</t>
        </is>
      </c>
      <c r="F206" s="11" t="inlineStr">
        <is>
          <t>CAHUASA ANGULO ISMEN</t>
        </is>
      </c>
      <c r="G206" s="11" t="inlineStr"/>
      <c r="H206" s="11" t="inlineStr">
        <is>
          <t>INTERFACE P.O.S.</t>
        </is>
      </c>
      <c r="I206" s="11" t="n">
        <v>12900</v>
      </c>
      <c r="J206" s="11" t="inlineStr"/>
    </row>
    <row r="207">
      <c r="A207" s="11" t="n">
        <v>206</v>
      </c>
      <c r="B207" s="12" t="n">
        <v>46087</v>
      </c>
      <c r="C207" s="11" t="inlineStr">
        <is>
          <t>INTF</t>
        </is>
      </c>
      <c r="D207" s="11" t="inlineStr">
        <is>
          <t>202603</t>
        </is>
      </c>
      <c r="E207" s="11" t="inlineStr">
        <is>
          <t>1124861369</t>
        </is>
      </c>
      <c r="F207" s="11" t="inlineStr">
        <is>
          <t>BURBANO OSSA MONICA</t>
        </is>
      </c>
      <c r="G207" s="11" t="inlineStr"/>
      <c r="H207" s="11" t="inlineStr">
        <is>
          <t>INTERFACE P.O.S.</t>
        </is>
      </c>
      <c r="I207" s="11" t="n">
        <v>49600</v>
      </c>
      <c r="J207" s="11" t="inlineStr"/>
    </row>
    <row r="208">
      <c r="A208" s="11" t="n">
        <v>207</v>
      </c>
      <c r="B208" s="12" t="n">
        <v>46087</v>
      </c>
      <c r="C208" s="11" t="inlineStr">
        <is>
          <t>INTF</t>
        </is>
      </c>
      <c r="D208" s="11" t="inlineStr">
        <is>
          <t>202603</t>
        </is>
      </c>
      <c r="E208" s="11" t="inlineStr">
        <is>
          <t>1123331758</t>
        </is>
      </c>
      <c r="F208" s="11" t="inlineStr">
        <is>
          <t>GRAJALES OSORIO DIAN</t>
        </is>
      </c>
      <c r="G208" s="11" t="inlineStr"/>
      <c r="H208" s="11" t="inlineStr">
        <is>
          <t>INTERFACE P.O.S.</t>
        </is>
      </c>
      <c r="I208" s="11" t="n">
        <v>18000</v>
      </c>
      <c r="J208" s="11" t="inlineStr"/>
    </row>
    <row r="209">
      <c r="A209" s="11" t="n">
        <v>208</v>
      </c>
      <c r="B209" s="12" t="n">
        <v>46087</v>
      </c>
      <c r="C209" s="11" t="inlineStr">
        <is>
          <t>INTF</t>
        </is>
      </c>
      <c r="D209" s="11" t="inlineStr">
        <is>
          <t>202603</t>
        </is>
      </c>
      <c r="E209" s="11" t="inlineStr">
        <is>
          <t>79505895</t>
        </is>
      </c>
      <c r="F209" s="11" t="inlineStr">
        <is>
          <t>VALVUENA JARAMILLO W</t>
        </is>
      </c>
      <c r="G209" s="11" t="inlineStr"/>
      <c r="H209" s="11" t="inlineStr">
        <is>
          <t>INTERFACE P.O.S.</t>
        </is>
      </c>
      <c r="I209" s="11" t="n">
        <v>66848</v>
      </c>
      <c r="J209" s="11" t="inlineStr"/>
    </row>
    <row r="210">
      <c r="A210" s="11" t="n">
        <v>209</v>
      </c>
      <c r="B210" s="12" t="n">
        <v>46087</v>
      </c>
      <c r="C210" s="11" t="inlineStr">
        <is>
          <t>INTF</t>
        </is>
      </c>
      <c r="D210" s="11" t="inlineStr">
        <is>
          <t>202603</t>
        </is>
      </c>
      <c r="E210" s="11" t="inlineStr">
        <is>
          <t>1080692796</t>
        </is>
      </c>
      <c r="F210" s="11" t="inlineStr">
        <is>
          <t>PEÑA ARTEAGA ANNY S</t>
        </is>
      </c>
      <c r="G210" s="11" t="inlineStr"/>
      <c r="H210" s="11" t="inlineStr">
        <is>
          <t>INTERFACE P.O.S.</t>
        </is>
      </c>
      <c r="I210" s="11" t="n">
        <v>11400</v>
      </c>
      <c r="J210" s="11" t="inlineStr"/>
    </row>
    <row r="211">
      <c r="A211" s="11" t="n">
        <v>210</v>
      </c>
      <c r="B211" s="12" t="n">
        <v>46087</v>
      </c>
      <c r="C211" s="11" t="inlineStr">
        <is>
          <t>INTF</t>
        </is>
      </c>
      <c r="D211" s="11" t="inlineStr">
        <is>
          <t>202603</t>
        </is>
      </c>
      <c r="E211" s="11" t="inlineStr">
        <is>
          <t>1123207177</t>
        </is>
      </c>
      <c r="F211" s="11" t="inlineStr">
        <is>
          <t>DE LA PAVA TORRES AN</t>
        </is>
      </c>
      <c r="G211" s="11" t="inlineStr"/>
      <c r="H211" s="11" t="inlineStr">
        <is>
          <t>INTERFACE P.O.S.</t>
        </is>
      </c>
      <c r="I211" s="11" t="n">
        <v>108300</v>
      </c>
      <c r="J211" s="11" t="inlineStr"/>
    </row>
    <row r="212">
      <c r="A212" s="11" t="n">
        <v>211</v>
      </c>
      <c r="B212" s="12" t="n">
        <v>46087</v>
      </c>
      <c r="C212" s="11" t="inlineStr">
        <is>
          <t>INTF</t>
        </is>
      </c>
      <c r="D212" s="11" t="inlineStr">
        <is>
          <t>202603</t>
        </is>
      </c>
      <c r="E212" s="11" t="inlineStr">
        <is>
          <t>1123329564</t>
        </is>
      </c>
      <c r="F212" s="11" t="inlineStr">
        <is>
          <t>YEPES SOLARTE LINDA</t>
        </is>
      </c>
      <c r="G212" s="11" t="inlineStr"/>
      <c r="H212" s="11" t="inlineStr">
        <is>
          <t>INTERFACE P.O.S.</t>
        </is>
      </c>
      <c r="I212" s="11" t="n">
        <v>31800</v>
      </c>
      <c r="J212" s="11" t="inlineStr"/>
    </row>
    <row r="213">
      <c r="A213" s="11" t="n">
        <v>212</v>
      </c>
      <c r="B213" s="12" t="n">
        <v>46087</v>
      </c>
      <c r="C213" s="11" t="inlineStr">
        <is>
          <t>INTF</t>
        </is>
      </c>
      <c r="D213" s="11" t="inlineStr">
        <is>
          <t>202603</t>
        </is>
      </c>
      <c r="E213" s="11" t="inlineStr">
        <is>
          <t>901649424</t>
        </is>
      </c>
      <c r="F213" s="11" t="inlineStr">
        <is>
          <t>CONSORCIO OBRAS ACO.</t>
        </is>
      </c>
      <c r="G213" s="11" t="inlineStr"/>
      <c r="H213" s="11" t="inlineStr">
        <is>
          <t>INTERFACE P.O.S.</t>
        </is>
      </c>
      <c r="I213" s="11" t="n">
        <v>16400</v>
      </c>
      <c r="J213" s="11" t="inlineStr"/>
    </row>
    <row r="214">
      <c r="A214" s="11" t="n">
        <v>213</v>
      </c>
      <c r="B214" s="12" t="n">
        <v>46087</v>
      </c>
      <c r="C214" s="11" t="inlineStr">
        <is>
          <t>INTF</t>
        </is>
      </c>
      <c r="D214" s="11" t="inlineStr">
        <is>
          <t>202603</t>
        </is>
      </c>
      <c r="E214" s="11" t="inlineStr">
        <is>
          <t>1093786192</t>
        </is>
      </c>
      <c r="F214" s="11" t="inlineStr">
        <is>
          <t>CARVAJAL PORTILLA CA</t>
        </is>
      </c>
      <c r="G214" s="11" t="inlineStr"/>
      <c r="H214" s="11" t="inlineStr">
        <is>
          <t>INTERFACE P.O.S.</t>
        </is>
      </c>
      <c r="I214" s="11" t="n">
        <v>10000</v>
      </c>
      <c r="J214" s="11" t="inlineStr"/>
    </row>
    <row r="215">
      <c r="A215" s="11" t="n">
        <v>214</v>
      </c>
      <c r="B215" s="12" t="n">
        <v>46087</v>
      </c>
      <c r="C215" s="11" t="inlineStr">
        <is>
          <t>INTF</t>
        </is>
      </c>
      <c r="D215" s="11" t="inlineStr">
        <is>
          <t>202603</t>
        </is>
      </c>
      <c r="E215" s="11" t="inlineStr">
        <is>
          <t>12447282</t>
        </is>
      </c>
      <c r="F215" s="11" t="inlineStr">
        <is>
          <t>MENDOZA CARLOS EDUAR</t>
        </is>
      </c>
      <c r="G215" s="11" t="inlineStr"/>
      <c r="H215" s="11" t="inlineStr">
        <is>
          <t>INTERFACE P.O.S.</t>
        </is>
      </c>
      <c r="I215" s="11" t="n">
        <v>10000</v>
      </c>
      <c r="J215" s="11" t="inlineStr"/>
    </row>
    <row r="216">
      <c r="A216" s="11" t="n">
        <v>215</v>
      </c>
      <c r="B216" s="12" t="n">
        <v>46087</v>
      </c>
      <c r="C216" s="11" t="inlineStr">
        <is>
          <t>INTF</t>
        </is>
      </c>
      <c r="D216" s="11" t="inlineStr">
        <is>
          <t>202603</t>
        </is>
      </c>
      <c r="E216" s="11" t="inlineStr">
        <is>
          <t>1006850975</t>
        </is>
      </c>
      <c r="F216" s="11" t="inlineStr">
        <is>
          <t>ALDANA RENTERIA JOHA</t>
        </is>
      </c>
      <c r="G216" s="11" t="inlineStr"/>
      <c r="H216" s="11" t="inlineStr">
        <is>
          <t>INTERFACE P.O.S.</t>
        </is>
      </c>
      <c r="I216" s="11" t="n">
        <v>7100</v>
      </c>
      <c r="J216" s="11" t="inlineStr"/>
    </row>
    <row r="217">
      <c r="A217" s="11" t="n">
        <v>216</v>
      </c>
      <c r="B217" s="12" t="n">
        <v>46087</v>
      </c>
      <c r="C217" s="11" t="inlineStr">
        <is>
          <t>INTF</t>
        </is>
      </c>
      <c r="D217" s="11" t="inlineStr">
        <is>
          <t>202603</t>
        </is>
      </c>
      <c r="E217" s="11" t="inlineStr">
        <is>
          <t>27879934</t>
        </is>
      </c>
      <c r="F217" s="11" t="inlineStr">
        <is>
          <t>FUENTES CLARA HELENA</t>
        </is>
      </c>
      <c r="G217" s="11" t="inlineStr"/>
      <c r="H217" s="11" t="inlineStr">
        <is>
          <t>INTERFACE P.O.S.</t>
        </is>
      </c>
      <c r="I217" s="11" t="n">
        <v>17500</v>
      </c>
      <c r="J217" s="11" t="inlineStr"/>
    </row>
    <row r="218">
      <c r="A218" s="11" t="n">
        <v>217</v>
      </c>
      <c r="B218" s="12" t="n">
        <v>46087</v>
      </c>
      <c r="C218" s="11" t="inlineStr">
        <is>
          <t>INTF</t>
        </is>
      </c>
      <c r="D218" s="11" t="inlineStr">
        <is>
          <t>202603</t>
        </is>
      </c>
      <c r="E218" s="11" t="inlineStr">
        <is>
          <t>41106599</t>
        </is>
      </c>
      <c r="F218" s="11" t="inlineStr">
        <is>
          <t>LINARES VERGARA NANC</t>
        </is>
      </c>
      <c r="G218" s="11" t="inlineStr"/>
      <c r="H218" s="11" t="inlineStr">
        <is>
          <t>INTERFACE P.O.S.</t>
        </is>
      </c>
      <c r="I218" s="11" t="n">
        <v>40000</v>
      </c>
      <c r="J218" s="11" t="inlineStr"/>
    </row>
    <row r="219">
      <c r="A219" s="11" t="n">
        <v>218</v>
      </c>
      <c r="B219" s="12" t="n">
        <v>46087</v>
      </c>
      <c r="C219" s="11" t="inlineStr">
        <is>
          <t>INTF</t>
        </is>
      </c>
      <c r="D219" s="11" t="inlineStr">
        <is>
          <t>202603</t>
        </is>
      </c>
      <c r="E219" s="11" t="inlineStr">
        <is>
          <t>1123320793</t>
        </is>
      </c>
      <c r="F219" s="11" t="inlineStr">
        <is>
          <t>GUTIERREZ TAMANIZA J</t>
        </is>
      </c>
      <c r="G219" s="11" t="inlineStr"/>
      <c r="H219" s="11" t="inlineStr">
        <is>
          <t>INTERFACE P.O.S.</t>
        </is>
      </c>
      <c r="I219" s="11" t="n">
        <v>11200</v>
      </c>
      <c r="J219" s="11" t="inlineStr"/>
    </row>
    <row r="220">
      <c r="A220" s="11" t="n">
        <v>219</v>
      </c>
      <c r="B220" s="12" t="n">
        <v>46087</v>
      </c>
      <c r="C220" s="11" t="inlineStr">
        <is>
          <t>INTF</t>
        </is>
      </c>
      <c r="D220" s="11" t="inlineStr">
        <is>
          <t>202603</t>
        </is>
      </c>
      <c r="E220" s="11" t="inlineStr">
        <is>
          <t>41108150</t>
        </is>
      </c>
      <c r="F220" s="11" t="inlineStr">
        <is>
          <t>GIRALDO POLANIAS GRE</t>
        </is>
      </c>
      <c r="G220" s="11" t="inlineStr"/>
      <c r="H220" s="11" t="inlineStr">
        <is>
          <t>INTERFACE P.O.S.</t>
        </is>
      </c>
      <c r="I220" s="11" t="n">
        <v>17700</v>
      </c>
      <c r="J220" s="11" t="inlineStr"/>
    </row>
    <row r="221">
      <c r="A221" s="11" t="n">
        <v>220</v>
      </c>
      <c r="B221" s="12" t="n">
        <v>46087</v>
      </c>
      <c r="C221" s="11" t="inlineStr">
        <is>
          <t>INTF</t>
        </is>
      </c>
      <c r="D221" s="11" t="inlineStr">
        <is>
          <t>202603</t>
        </is>
      </c>
      <c r="E221" s="11" t="inlineStr">
        <is>
          <t>97448084</t>
        </is>
      </c>
      <c r="F221" s="11" t="inlineStr">
        <is>
          <t>ANDRADE GALINDEZ DEN</t>
        </is>
      </c>
      <c r="G221" s="11" t="inlineStr"/>
      <c r="H221" s="11" t="inlineStr">
        <is>
          <t>INTERFACE P.O.S.</t>
        </is>
      </c>
      <c r="I221" s="11" t="n">
        <v>97100</v>
      </c>
      <c r="J221" s="11" t="inlineStr"/>
    </row>
    <row r="222">
      <c r="A222" s="11" t="n">
        <v>221</v>
      </c>
      <c r="B222" s="12" t="n">
        <v>46087</v>
      </c>
      <c r="C222" s="11" t="inlineStr">
        <is>
          <t>INTF</t>
        </is>
      </c>
      <c r="D222" s="11" t="inlineStr">
        <is>
          <t>202603</t>
        </is>
      </c>
      <c r="E222" s="11" t="inlineStr">
        <is>
          <t>1123205424</t>
        </is>
      </c>
      <c r="F222" s="11" t="inlineStr">
        <is>
          <t>GUERRERO LEON DEISI</t>
        </is>
      </c>
      <c r="G222" s="11" t="inlineStr"/>
      <c r="H222" s="11" t="inlineStr">
        <is>
          <t>INTERFACE P.O.S.</t>
        </is>
      </c>
      <c r="I222" s="11" t="n">
        <v>210600</v>
      </c>
      <c r="J222" s="11" t="inlineStr"/>
    </row>
    <row r="223">
      <c r="A223" s="11" t="n">
        <v>222</v>
      </c>
      <c r="B223" s="12" t="n">
        <v>46087</v>
      </c>
      <c r="C223" s="11" t="inlineStr">
        <is>
          <t>INTF</t>
        </is>
      </c>
      <c r="D223" s="11" t="inlineStr">
        <is>
          <t>202603</t>
        </is>
      </c>
      <c r="E223" s="11" t="inlineStr">
        <is>
          <t>27605795</t>
        </is>
      </c>
      <c r="F223" s="11" t="inlineStr">
        <is>
          <t>GILDO COSA JHONIMAR</t>
        </is>
      </c>
      <c r="G223" s="11" t="inlineStr"/>
      <c r="H223" s="11" t="inlineStr">
        <is>
          <t>INTERFACE P.O.S.</t>
        </is>
      </c>
      <c r="I223" s="11" t="n">
        <v>37100</v>
      </c>
      <c r="J223" s="11" t="inlineStr"/>
    </row>
    <row r="224">
      <c r="A224" s="11" t="n">
        <v>223</v>
      </c>
      <c r="B224" s="12" t="n">
        <v>46087</v>
      </c>
      <c r="C224" s="11" t="inlineStr">
        <is>
          <t>INTF</t>
        </is>
      </c>
      <c r="D224" s="11" t="inlineStr">
        <is>
          <t>202603</t>
        </is>
      </c>
      <c r="E224" s="11" t="inlineStr">
        <is>
          <t>1123326836</t>
        </is>
      </c>
      <c r="F224" s="11" t="inlineStr">
        <is>
          <t>RIVADENEIRA ESTEFANI</t>
        </is>
      </c>
      <c r="G224" s="11" t="inlineStr"/>
      <c r="H224" s="11" t="inlineStr">
        <is>
          <t>INTERFACE P.O.S.</t>
        </is>
      </c>
      <c r="I224" s="11" t="n">
        <v>14600</v>
      </c>
      <c r="J224" s="11" t="inlineStr"/>
    </row>
    <row r="225">
      <c r="A225" s="11" t="n">
        <v>224</v>
      </c>
      <c r="B225" s="12" t="n">
        <v>46087</v>
      </c>
      <c r="C225" s="11" t="inlineStr">
        <is>
          <t>INTF</t>
        </is>
      </c>
      <c r="D225" s="11" t="inlineStr">
        <is>
          <t>202603</t>
        </is>
      </c>
      <c r="E225" s="11" t="inlineStr">
        <is>
          <t>41109116</t>
        </is>
      </c>
      <c r="F225" s="11" t="inlineStr">
        <is>
          <t>GOMEZ MEZA AIDA</t>
        </is>
      </c>
      <c r="G225" s="11" t="inlineStr"/>
      <c r="H225" s="11" t="inlineStr">
        <is>
          <t>INTERFACE P.O.S.</t>
        </is>
      </c>
      <c r="I225" s="11" t="n">
        <v>20000</v>
      </c>
      <c r="J225" s="11" t="inlineStr"/>
    </row>
    <row r="226">
      <c r="A226" s="11" t="n">
        <v>225</v>
      </c>
      <c r="B226" s="12" t="n">
        <v>46087</v>
      </c>
      <c r="C226" s="11" t="inlineStr">
        <is>
          <t>INTF</t>
        </is>
      </c>
      <c r="D226" s="11" t="inlineStr">
        <is>
          <t>202603</t>
        </is>
      </c>
      <c r="E226" s="11" t="inlineStr">
        <is>
          <t>18144127</t>
        </is>
      </c>
      <c r="F226" s="11" t="inlineStr">
        <is>
          <t>BERNAL PALACIOS ALVA</t>
        </is>
      </c>
      <c r="G226" s="11" t="inlineStr"/>
      <c r="H226" s="11" t="inlineStr">
        <is>
          <t>INTERFACE P.O.S.</t>
        </is>
      </c>
      <c r="I226" s="11" t="n">
        <v>13500</v>
      </c>
      <c r="J226" s="11" t="inlineStr"/>
    </row>
    <row r="227">
      <c r="A227" s="11" t="n">
        <v>226</v>
      </c>
      <c r="B227" s="12" t="n">
        <v>46087</v>
      </c>
      <c r="C227" s="11" t="inlineStr">
        <is>
          <t>INTF</t>
        </is>
      </c>
      <c r="D227" s="11" t="inlineStr">
        <is>
          <t>202603</t>
        </is>
      </c>
      <c r="E227" s="11" t="inlineStr">
        <is>
          <t>1124849009</t>
        </is>
      </c>
      <c r="F227" s="11" t="inlineStr">
        <is>
          <t>LARA VIVEROS MARIA E</t>
        </is>
      </c>
      <c r="G227" s="11" t="inlineStr"/>
      <c r="H227" s="11" t="inlineStr">
        <is>
          <t>INTERFACE P.O.S.</t>
        </is>
      </c>
      <c r="I227" s="11" t="n">
        <v>90800</v>
      </c>
      <c r="J227" s="11" t="inlineStr"/>
    </row>
    <row r="228">
      <c r="A228" s="11" t="n">
        <v>227</v>
      </c>
      <c r="B228" s="12" t="n">
        <v>46087</v>
      </c>
      <c r="C228" s="11" t="inlineStr">
        <is>
          <t>INTF</t>
        </is>
      </c>
      <c r="D228" s="11" t="inlineStr">
        <is>
          <t>202603</t>
        </is>
      </c>
      <c r="E228" s="11" t="inlineStr">
        <is>
          <t>1123323412</t>
        </is>
      </c>
      <c r="F228" s="11" t="inlineStr">
        <is>
          <t>PEREA PAEZ BRIYITH E</t>
        </is>
      </c>
      <c r="G228" s="11" t="inlineStr"/>
      <c r="H228" s="11" t="inlineStr">
        <is>
          <t>INTERFACE P.O.S.</t>
        </is>
      </c>
      <c r="I228" s="11" t="n">
        <v>10700</v>
      </c>
      <c r="J228" s="11" t="inlineStr"/>
    </row>
    <row r="229">
      <c r="A229" s="11" t="n">
        <v>228</v>
      </c>
      <c r="B229" s="12" t="n">
        <v>46087</v>
      </c>
      <c r="C229" s="11" t="inlineStr">
        <is>
          <t>INTF</t>
        </is>
      </c>
      <c r="D229" s="11" t="inlineStr">
        <is>
          <t>202603</t>
        </is>
      </c>
      <c r="E229" s="11" t="inlineStr">
        <is>
          <t>1006846065</t>
        </is>
      </c>
      <c r="F229" s="11" t="inlineStr">
        <is>
          <t>ESTUPIÑAN PEREA ENA</t>
        </is>
      </c>
      <c r="G229" s="11" t="inlineStr"/>
      <c r="H229" s="11" t="inlineStr">
        <is>
          <t>INTERFACE P.O.S.</t>
        </is>
      </c>
      <c r="I229" s="11" t="n">
        <v>60000</v>
      </c>
      <c r="J229" s="11" t="inlineStr"/>
    </row>
    <row r="230">
      <c r="A230" s="11" t="n">
        <v>229</v>
      </c>
      <c r="B230" s="12" t="n">
        <v>46087</v>
      </c>
      <c r="C230" s="11" t="inlineStr">
        <is>
          <t>INTF</t>
        </is>
      </c>
      <c r="D230" s="11" t="inlineStr">
        <is>
          <t>202603</t>
        </is>
      </c>
      <c r="E230" s="11" t="inlineStr">
        <is>
          <t>1006848614</t>
        </is>
      </c>
      <c r="F230" s="11" t="inlineStr">
        <is>
          <t>RODRIGUEZ YELA CAMIL</t>
        </is>
      </c>
      <c r="G230" s="11" t="inlineStr"/>
      <c r="H230" s="11" t="inlineStr">
        <is>
          <t>INTERFACE P.O.S.</t>
        </is>
      </c>
      <c r="I230" s="11" t="n">
        <v>6000</v>
      </c>
      <c r="J230" s="11" t="inlineStr"/>
    </row>
    <row r="231">
      <c r="A231" s="11" t="n">
        <v>230</v>
      </c>
      <c r="B231" s="12" t="n">
        <v>46087</v>
      </c>
      <c r="C231" s="11" t="inlineStr">
        <is>
          <t>RC</t>
        </is>
      </c>
      <c r="D231" s="11" t="inlineStr">
        <is>
          <t>4117</t>
        </is>
      </c>
      <c r="E231" s="11" t="inlineStr">
        <is>
          <t>18144803</t>
        </is>
      </c>
      <c r="F231" s="11" t="inlineStr">
        <is>
          <t>LONSERIA CORTEZ RODR</t>
        </is>
      </c>
      <c r="G231" s="11" t="inlineStr">
        <is>
          <t>4803</t>
        </is>
      </c>
      <c r="H231" s="11" t="inlineStr"/>
      <c r="I231" s="11" t="n">
        <v>304030</v>
      </c>
      <c r="J231" s="11" t="inlineStr"/>
    </row>
    <row r="232">
      <c r="A232" s="11" t="n">
        <v>231</v>
      </c>
      <c r="B232" s="12" t="n">
        <v>46088</v>
      </c>
      <c r="C232" s="11" t="inlineStr">
        <is>
          <t>CE</t>
        </is>
      </c>
      <c r="D232" s="11" t="inlineStr">
        <is>
          <t>9396</t>
        </is>
      </c>
      <c r="E232" s="11" t="inlineStr">
        <is>
          <t>800240674</t>
        </is>
      </c>
      <c r="F232" s="11" t="inlineStr">
        <is>
          <t>SKY S.A.S</t>
        </is>
      </c>
      <c r="G232" s="11" t="inlineStr">
        <is>
          <t>M06071578</t>
        </is>
      </c>
      <c r="H232" s="11" t="inlineStr">
        <is>
          <t>PF SKY</t>
        </is>
      </c>
      <c r="I232" s="11" t="inlineStr"/>
      <c r="J232" s="11" t="n">
        <v>906629</v>
      </c>
    </row>
    <row r="233">
      <c r="A233" s="11" t="n">
        <v>232</v>
      </c>
      <c r="B233" s="12" t="n">
        <v>46088</v>
      </c>
      <c r="C233" s="11" t="inlineStr">
        <is>
          <t>INTF</t>
        </is>
      </c>
      <c r="D233" s="11" t="inlineStr">
        <is>
          <t>202603</t>
        </is>
      </c>
      <c r="E233" s="11" t="inlineStr">
        <is>
          <t>1085907080</t>
        </is>
      </c>
      <c r="F233" s="11" t="inlineStr">
        <is>
          <t>DIAZ MENESES ANYELA</t>
        </is>
      </c>
      <c r="G233" s="11" t="inlineStr"/>
      <c r="H233" s="11" t="inlineStr">
        <is>
          <t>INTERFACE P.O.S.</t>
        </is>
      </c>
      <c r="I233" s="11" t="n">
        <v>19600</v>
      </c>
      <c r="J233" s="11" t="inlineStr"/>
    </row>
    <row r="234">
      <c r="A234" s="11" t="n">
        <v>233</v>
      </c>
      <c r="B234" s="12" t="n">
        <v>46088</v>
      </c>
      <c r="C234" s="11" t="inlineStr">
        <is>
          <t>INTF</t>
        </is>
      </c>
      <c r="D234" s="11" t="inlineStr">
        <is>
          <t>202603</t>
        </is>
      </c>
      <c r="E234" s="11" t="inlineStr">
        <is>
          <t>69016469</t>
        </is>
      </c>
      <c r="F234" s="11" t="inlineStr">
        <is>
          <t>RAYO CARDONA MARIA A</t>
        </is>
      </c>
      <c r="G234" s="11" t="inlineStr"/>
      <c r="H234" s="11" t="inlineStr">
        <is>
          <t>INTERFACE P.O.S.</t>
        </is>
      </c>
      <c r="I234" s="11" t="n">
        <v>15000</v>
      </c>
      <c r="J234" s="11" t="inlineStr"/>
    </row>
    <row r="235">
      <c r="A235" s="11" t="n">
        <v>234</v>
      </c>
      <c r="B235" s="12" t="n">
        <v>46088</v>
      </c>
      <c r="C235" s="11" t="inlineStr">
        <is>
          <t>INTF</t>
        </is>
      </c>
      <c r="D235" s="11" t="inlineStr">
        <is>
          <t>202603</t>
        </is>
      </c>
      <c r="E235" s="11" t="inlineStr">
        <is>
          <t>1123333457</t>
        </is>
      </c>
      <c r="F235" s="11" t="inlineStr">
        <is>
          <t>MOSQUERA ANGGIE LILI</t>
        </is>
      </c>
      <c r="G235" s="11" t="inlineStr"/>
      <c r="H235" s="11" t="inlineStr">
        <is>
          <t>INTERFACE P.O.S.</t>
        </is>
      </c>
      <c r="I235" s="11" t="n">
        <v>58800</v>
      </c>
      <c r="J235" s="11" t="inlineStr"/>
    </row>
    <row r="236">
      <c r="A236" s="11" t="n">
        <v>235</v>
      </c>
      <c r="B236" s="12" t="n">
        <v>46088</v>
      </c>
      <c r="C236" s="11" t="inlineStr">
        <is>
          <t>INTF</t>
        </is>
      </c>
      <c r="D236" s="11" t="inlineStr">
        <is>
          <t>202603</t>
        </is>
      </c>
      <c r="E236" s="11" t="inlineStr">
        <is>
          <t>41109695</t>
        </is>
      </c>
      <c r="F236" s="11" t="inlineStr">
        <is>
          <t>ALVAREZ QUINTERO YIS</t>
        </is>
      </c>
      <c r="G236" s="11" t="inlineStr"/>
      <c r="H236" s="11" t="inlineStr">
        <is>
          <t>INTERFACE P.O.S.</t>
        </is>
      </c>
      <c r="I236" s="11" t="n">
        <v>53400</v>
      </c>
      <c r="J236" s="11" t="inlineStr"/>
    </row>
    <row r="237">
      <c r="A237" s="11" t="n">
        <v>236</v>
      </c>
      <c r="B237" s="12" t="n">
        <v>46088</v>
      </c>
      <c r="C237" s="11" t="inlineStr">
        <is>
          <t>INTF</t>
        </is>
      </c>
      <c r="D237" s="11" t="inlineStr">
        <is>
          <t>202603</t>
        </is>
      </c>
      <c r="E237" s="11" t="inlineStr">
        <is>
          <t>13069539</t>
        </is>
      </c>
      <c r="F237" s="11" t="inlineStr">
        <is>
          <t>MANCHABAJOY BENAVIDE</t>
        </is>
      </c>
      <c r="G237" s="11" t="inlineStr"/>
      <c r="H237" s="11" t="inlineStr">
        <is>
          <t>INTERFACE P.O.S.</t>
        </is>
      </c>
      <c r="I237" s="11" t="n">
        <v>3000</v>
      </c>
      <c r="J237" s="11" t="inlineStr"/>
    </row>
    <row r="238">
      <c r="A238" s="11" t="n">
        <v>237</v>
      </c>
      <c r="B238" s="12" t="n">
        <v>46088</v>
      </c>
      <c r="C238" s="11" t="inlineStr">
        <is>
          <t>INTF</t>
        </is>
      </c>
      <c r="D238" s="11" t="inlineStr">
        <is>
          <t>202603</t>
        </is>
      </c>
      <c r="E238" s="11" t="inlineStr">
        <is>
          <t>18147326</t>
        </is>
      </c>
      <c r="F238" s="11" t="inlineStr">
        <is>
          <t>GOMEZ JIMENEZ JOHN A</t>
        </is>
      </c>
      <c r="G238" s="11" t="inlineStr"/>
      <c r="H238" s="11" t="inlineStr">
        <is>
          <t>INTERFACE P.O.S.</t>
        </is>
      </c>
      <c r="I238" s="11" t="n">
        <v>120000</v>
      </c>
      <c r="J238" s="11" t="inlineStr"/>
    </row>
    <row r="239">
      <c r="A239" s="11" t="n">
        <v>238</v>
      </c>
      <c r="B239" s="12" t="n">
        <v>46088</v>
      </c>
      <c r="C239" s="11" t="inlineStr">
        <is>
          <t>INTF</t>
        </is>
      </c>
      <c r="D239" s="11" t="inlineStr">
        <is>
          <t>202603</t>
        </is>
      </c>
      <c r="E239" s="11" t="inlineStr">
        <is>
          <t>1073693731</t>
        </is>
      </c>
      <c r="F239" s="11" t="inlineStr">
        <is>
          <t>NARVAEZ ACOSTA IDALY</t>
        </is>
      </c>
      <c r="G239" s="11" t="inlineStr"/>
      <c r="H239" s="11" t="inlineStr">
        <is>
          <t>INTERFACE P.O.S.</t>
        </is>
      </c>
      <c r="I239" s="11" t="n">
        <v>2200</v>
      </c>
      <c r="J239" s="11" t="inlineStr"/>
    </row>
    <row r="240">
      <c r="A240" s="11" t="n">
        <v>239</v>
      </c>
      <c r="B240" s="12" t="n">
        <v>46088</v>
      </c>
      <c r="C240" s="11" t="inlineStr">
        <is>
          <t>INTF</t>
        </is>
      </c>
      <c r="D240" s="11" t="inlineStr">
        <is>
          <t>202603</t>
        </is>
      </c>
      <c r="E240" s="11" t="inlineStr">
        <is>
          <t>69027769</t>
        </is>
      </c>
      <c r="F240" s="11" t="inlineStr">
        <is>
          <t>ALEGRIA NARVAEZ MAGD</t>
        </is>
      </c>
      <c r="G240" s="11" t="inlineStr"/>
      <c r="H240" s="11" t="inlineStr">
        <is>
          <t>INTERFACE P.O.S.</t>
        </is>
      </c>
      <c r="I240" s="11" t="n">
        <v>11100</v>
      </c>
      <c r="J240" s="11" t="inlineStr"/>
    </row>
    <row r="241">
      <c r="A241" s="11" t="n">
        <v>240</v>
      </c>
      <c r="B241" s="12" t="n">
        <v>46088</v>
      </c>
      <c r="C241" s="11" t="inlineStr">
        <is>
          <t>INTF</t>
        </is>
      </c>
      <c r="D241" s="11" t="inlineStr">
        <is>
          <t>202603</t>
        </is>
      </c>
      <c r="E241" s="11" t="inlineStr">
        <is>
          <t>1123331758</t>
        </is>
      </c>
      <c r="F241" s="11" t="inlineStr">
        <is>
          <t>GRAJALES OSORIO DIAN</t>
        </is>
      </c>
      <c r="G241" s="11" t="inlineStr"/>
      <c r="H241" s="11" t="inlineStr">
        <is>
          <t>INTERFACE P.O.S.</t>
        </is>
      </c>
      <c r="I241" s="11" t="n">
        <v>18000</v>
      </c>
      <c r="J241" s="11" t="inlineStr"/>
    </row>
    <row r="242">
      <c r="A242" s="11" t="n">
        <v>241</v>
      </c>
      <c r="B242" s="12" t="n">
        <v>46088</v>
      </c>
      <c r="C242" s="11" t="inlineStr">
        <is>
          <t>INTF</t>
        </is>
      </c>
      <c r="D242" s="11" t="inlineStr">
        <is>
          <t>202603</t>
        </is>
      </c>
      <c r="E242" s="11" t="inlineStr">
        <is>
          <t>1123330539</t>
        </is>
      </c>
      <c r="F242" s="11" t="inlineStr">
        <is>
          <t>MARROQUIN PANTOJA JU</t>
        </is>
      </c>
      <c r="G242" s="11" t="inlineStr"/>
      <c r="H242" s="11" t="inlineStr">
        <is>
          <t>INTERFACE P.O.S.</t>
        </is>
      </c>
      <c r="I242" s="11" t="n">
        <v>12700</v>
      </c>
      <c r="J242" s="11" t="inlineStr"/>
    </row>
    <row r="243">
      <c r="A243" s="11" t="n">
        <v>242</v>
      </c>
      <c r="B243" s="12" t="n">
        <v>46088</v>
      </c>
      <c r="C243" s="11" t="inlineStr">
        <is>
          <t>INTF</t>
        </is>
      </c>
      <c r="D243" s="11" t="inlineStr">
        <is>
          <t>202603</t>
        </is>
      </c>
      <c r="E243" s="11" t="inlineStr">
        <is>
          <t>1123327610</t>
        </is>
      </c>
      <c r="F243" s="11" t="inlineStr">
        <is>
          <t>CRUZ GUAZAQUILLO NID</t>
        </is>
      </c>
      <c r="G243" s="11" t="inlineStr"/>
      <c r="H243" s="11" t="inlineStr">
        <is>
          <t>INTERFACE P.O.S.</t>
        </is>
      </c>
      <c r="I243" s="11" t="n">
        <v>19600</v>
      </c>
      <c r="J243" s="11" t="inlineStr"/>
    </row>
    <row r="244">
      <c r="A244" s="11" t="n">
        <v>243</v>
      </c>
      <c r="B244" s="12" t="n">
        <v>46088</v>
      </c>
      <c r="C244" s="11" t="inlineStr">
        <is>
          <t>INTF</t>
        </is>
      </c>
      <c r="D244" s="11" t="inlineStr">
        <is>
          <t>202603</t>
        </is>
      </c>
      <c r="E244" s="11" t="inlineStr">
        <is>
          <t>901649424</t>
        </is>
      </c>
      <c r="F244" s="11" t="inlineStr">
        <is>
          <t>CONSORCIO OBRAS ACO.</t>
        </is>
      </c>
      <c r="G244" s="11" t="inlineStr"/>
      <c r="H244" s="11" t="inlineStr">
        <is>
          <t>INTERFACE P.O.S.</t>
        </is>
      </c>
      <c r="I244" s="11" t="n">
        <v>25300</v>
      </c>
      <c r="J244" s="11" t="inlineStr"/>
    </row>
    <row r="245">
      <c r="A245" s="11" t="n">
        <v>244</v>
      </c>
      <c r="B245" s="12" t="n">
        <v>46088</v>
      </c>
      <c r="C245" s="11" t="inlineStr">
        <is>
          <t>INTF</t>
        </is>
      </c>
      <c r="D245" s="11" t="inlineStr">
        <is>
          <t>202603</t>
        </is>
      </c>
      <c r="E245" s="11" t="inlineStr">
        <is>
          <t>1123326822</t>
        </is>
      </c>
      <c r="F245" s="11" t="inlineStr">
        <is>
          <t>SUAREZ ARTEAGA FRANC</t>
        </is>
      </c>
      <c r="G245" s="11" t="inlineStr"/>
      <c r="H245" s="11" t="inlineStr">
        <is>
          <t>INTERFACE P.O.S.</t>
        </is>
      </c>
      <c r="I245" s="11" t="n">
        <v>41100</v>
      </c>
      <c r="J245" s="11" t="inlineStr"/>
    </row>
    <row r="246">
      <c r="A246" s="11" t="n">
        <v>245</v>
      </c>
      <c r="B246" s="12" t="n">
        <v>46088</v>
      </c>
      <c r="C246" s="11" t="inlineStr">
        <is>
          <t>INTF</t>
        </is>
      </c>
      <c r="D246" s="11" t="inlineStr">
        <is>
          <t>202603</t>
        </is>
      </c>
      <c r="E246" s="11" t="inlineStr">
        <is>
          <t>1128408206</t>
        </is>
      </c>
      <c r="F246" s="11" t="inlineStr">
        <is>
          <t>OLIVEROS ACOSTA GEID</t>
        </is>
      </c>
      <c r="G246" s="11" t="inlineStr"/>
      <c r="H246" s="11" t="inlineStr">
        <is>
          <t>INTERFACE P.O.S.</t>
        </is>
      </c>
      <c r="I246" s="11" t="n">
        <v>17000</v>
      </c>
      <c r="J246" s="11" t="inlineStr"/>
    </row>
    <row r="247">
      <c r="A247" s="11" t="n">
        <v>246</v>
      </c>
      <c r="B247" s="12" t="n">
        <v>46088</v>
      </c>
      <c r="C247" s="11" t="inlineStr">
        <is>
          <t>INTF</t>
        </is>
      </c>
      <c r="D247" s="11" t="inlineStr">
        <is>
          <t>202603</t>
        </is>
      </c>
      <c r="E247" s="11" t="inlineStr">
        <is>
          <t>1123331260</t>
        </is>
      </c>
      <c r="F247" s="11" t="inlineStr">
        <is>
          <t>ROMO PALMA LINDA JOS</t>
        </is>
      </c>
      <c r="G247" s="11" t="inlineStr"/>
      <c r="H247" s="11" t="inlineStr">
        <is>
          <t>INTERFACE P.O.S.</t>
        </is>
      </c>
      <c r="I247" s="11" t="n">
        <v>10000</v>
      </c>
      <c r="J247" s="11" t="inlineStr"/>
    </row>
    <row r="248">
      <c r="A248" s="11" t="n">
        <v>247</v>
      </c>
      <c r="B248" s="12" t="n">
        <v>46088</v>
      </c>
      <c r="C248" s="11" t="inlineStr">
        <is>
          <t>INTF</t>
        </is>
      </c>
      <c r="D248" s="11" t="inlineStr">
        <is>
          <t>202603</t>
        </is>
      </c>
      <c r="E248" s="11" t="inlineStr">
        <is>
          <t>1123334970</t>
        </is>
      </c>
      <c r="F248" s="11" t="inlineStr">
        <is>
          <t>CASTELLANOS PANTOJA</t>
        </is>
      </c>
      <c r="G248" s="11" t="inlineStr"/>
      <c r="H248" s="11" t="inlineStr">
        <is>
          <t>INTERFACE P.O.S.</t>
        </is>
      </c>
      <c r="I248" s="11" t="n">
        <v>9800</v>
      </c>
      <c r="J248" s="11" t="inlineStr"/>
    </row>
    <row r="249">
      <c r="A249" s="11" t="n">
        <v>248</v>
      </c>
      <c r="B249" s="12" t="n">
        <v>46088</v>
      </c>
      <c r="C249" s="11" t="inlineStr">
        <is>
          <t>INTF</t>
        </is>
      </c>
      <c r="D249" s="11" t="inlineStr">
        <is>
          <t>202603</t>
        </is>
      </c>
      <c r="E249" s="11" t="inlineStr">
        <is>
          <t>1006994711</t>
        </is>
      </c>
      <c r="F249" s="11" t="inlineStr">
        <is>
          <t>MOSQUERA PALACIOS JE</t>
        </is>
      </c>
      <c r="G249" s="11" t="inlineStr"/>
      <c r="H249" s="11" t="inlineStr">
        <is>
          <t>INTERFACE P.O.S.</t>
        </is>
      </c>
      <c r="I249" s="11" t="n">
        <v>11800</v>
      </c>
      <c r="J249" s="11" t="inlineStr"/>
    </row>
    <row r="250">
      <c r="A250" s="11" t="n">
        <v>249</v>
      </c>
      <c r="B250" s="12" t="n">
        <v>46088</v>
      </c>
      <c r="C250" s="11" t="inlineStr">
        <is>
          <t>INTF</t>
        </is>
      </c>
      <c r="D250" s="11" t="inlineStr">
        <is>
          <t>202603</t>
        </is>
      </c>
      <c r="E250" s="11" t="inlineStr">
        <is>
          <t>1102801115</t>
        </is>
      </c>
      <c r="F250" s="11" t="inlineStr">
        <is>
          <t>MENDEZ VELASQUEZ DIN</t>
        </is>
      </c>
      <c r="G250" s="11" t="inlineStr"/>
      <c r="H250" s="11" t="inlineStr">
        <is>
          <t>INTERFACE P.O.S.</t>
        </is>
      </c>
      <c r="I250" s="11" t="n">
        <v>10000</v>
      </c>
      <c r="J250" s="11" t="inlineStr"/>
    </row>
    <row r="251">
      <c r="A251" s="11" t="n">
        <v>250</v>
      </c>
      <c r="B251" s="12" t="n">
        <v>46088</v>
      </c>
      <c r="C251" s="11" t="inlineStr">
        <is>
          <t>INTF</t>
        </is>
      </c>
      <c r="D251" s="11" t="inlineStr">
        <is>
          <t>202603</t>
        </is>
      </c>
      <c r="E251" s="11" t="inlineStr">
        <is>
          <t>1123335060</t>
        </is>
      </c>
      <c r="F251" s="11" t="inlineStr">
        <is>
          <t>CORDOBA CUASIALPUD E</t>
        </is>
      </c>
      <c r="G251" s="11" t="inlineStr"/>
      <c r="H251" s="11" t="inlineStr">
        <is>
          <t>INTERFACE P.O.S.</t>
        </is>
      </c>
      <c r="I251" s="11" t="n">
        <v>33200</v>
      </c>
      <c r="J251" s="11" t="inlineStr"/>
    </row>
    <row r="252">
      <c r="A252" s="11" t="n">
        <v>251</v>
      </c>
      <c r="B252" s="12" t="n">
        <v>46088</v>
      </c>
      <c r="C252" s="11" t="inlineStr">
        <is>
          <t>INTF</t>
        </is>
      </c>
      <c r="D252" s="11" t="inlineStr">
        <is>
          <t>202603</t>
        </is>
      </c>
      <c r="E252" s="11" t="inlineStr">
        <is>
          <t>1065898594</t>
        </is>
      </c>
      <c r="F252" s="11" t="inlineStr">
        <is>
          <t>JIRALDO VALENCIA PAO</t>
        </is>
      </c>
      <c r="G252" s="11" t="inlineStr"/>
      <c r="H252" s="11" t="inlineStr">
        <is>
          <t>INTERFACE P.O.S.</t>
        </is>
      </c>
      <c r="I252" s="11" t="n">
        <v>21300</v>
      </c>
      <c r="J252" s="11" t="inlineStr"/>
    </row>
    <row r="253">
      <c r="A253" s="11" t="n">
        <v>252</v>
      </c>
      <c r="B253" s="12" t="n">
        <v>46088</v>
      </c>
      <c r="C253" s="11" t="inlineStr">
        <is>
          <t>INTF</t>
        </is>
      </c>
      <c r="D253" s="11" t="inlineStr">
        <is>
          <t>202603</t>
        </is>
      </c>
      <c r="E253" s="11" t="inlineStr">
        <is>
          <t>1086418248</t>
        </is>
      </c>
      <c r="F253" s="11" t="inlineStr">
        <is>
          <t>CEBALLOS CUASTUMAL A</t>
        </is>
      </c>
      <c r="G253" s="11" t="inlineStr"/>
      <c r="H253" s="11" t="inlineStr">
        <is>
          <t>INTERFACE P.O.S.</t>
        </is>
      </c>
      <c r="I253" s="11" t="n">
        <v>19400</v>
      </c>
      <c r="J253" s="11" t="inlineStr"/>
    </row>
    <row r="254">
      <c r="A254" s="11" t="n">
        <v>253</v>
      </c>
      <c r="B254" s="12" t="n">
        <v>46088</v>
      </c>
      <c r="C254" s="11" t="inlineStr">
        <is>
          <t>INTF</t>
        </is>
      </c>
      <c r="D254" s="11" t="inlineStr">
        <is>
          <t>202603</t>
        </is>
      </c>
      <c r="E254" s="11" t="inlineStr">
        <is>
          <t>1085327648</t>
        </is>
      </c>
      <c r="F254" s="11" t="inlineStr">
        <is>
          <t>PATASCOY CUCHALA JES</t>
        </is>
      </c>
      <c r="G254" s="11" t="inlineStr"/>
      <c r="H254" s="11" t="inlineStr">
        <is>
          <t>INTERFACE P.O.S.</t>
        </is>
      </c>
      <c r="I254" s="11" t="n">
        <v>27600</v>
      </c>
      <c r="J254" s="11" t="inlineStr"/>
    </row>
    <row r="255">
      <c r="A255" s="11" t="n">
        <v>254</v>
      </c>
      <c r="B255" s="12" t="n">
        <v>46088</v>
      </c>
      <c r="C255" s="11" t="inlineStr">
        <is>
          <t>INTF</t>
        </is>
      </c>
      <c r="D255" s="11" t="inlineStr">
        <is>
          <t>202603</t>
        </is>
      </c>
      <c r="E255" s="11" t="inlineStr">
        <is>
          <t>1002726238</t>
        </is>
      </c>
      <c r="F255" s="11" t="inlineStr">
        <is>
          <t>MOLINA ALVAREZ KARO</t>
        </is>
      </c>
      <c r="G255" s="11" t="inlineStr"/>
      <c r="H255" s="11" t="inlineStr">
        <is>
          <t>INTERFACE P.O.S.</t>
        </is>
      </c>
      <c r="I255" s="11" t="n">
        <v>20600</v>
      </c>
      <c r="J255" s="11" t="inlineStr"/>
    </row>
    <row r="256">
      <c r="A256" s="11" t="n">
        <v>255</v>
      </c>
      <c r="B256" s="12" t="n">
        <v>46088</v>
      </c>
      <c r="C256" s="11" t="inlineStr">
        <is>
          <t>INTF</t>
        </is>
      </c>
      <c r="D256" s="11" t="inlineStr">
        <is>
          <t>202603</t>
        </is>
      </c>
      <c r="E256" s="11" t="inlineStr">
        <is>
          <t>79685755</t>
        </is>
      </c>
      <c r="F256" s="11" t="inlineStr">
        <is>
          <t>VUELVAS DIAZ ALVARO</t>
        </is>
      </c>
      <c r="G256" s="11" t="inlineStr"/>
      <c r="H256" s="11" t="inlineStr">
        <is>
          <t>INTERFACE P.O.S.</t>
        </is>
      </c>
      <c r="I256" s="11" t="n">
        <v>30300</v>
      </c>
      <c r="J256" s="11" t="inlineStr"/>
    </row>
    <row r="257">
      <c r="A257" s="11" t="n">
        <v>256</v>
      </c>
      <c r="B257" s="12" t="n">
        <v>46088</v>
      </c>
      <c r="C257" s="11" t="inlineStr">
        <is>
          <t>INTF</t>
        </is>
      </c>
      <c r="D257" s="11" t="inlineStr">
        <is>
          <t>202603</t>
        </is>
      </c>
      <c r="E257" s="11" t="inlineStr">
        <is>
          <t>1130144976</t>
        </is>
      </c>
      <c r="F257" s="11" t="inlineStr">
        <is>
          <t>CORAL VALERIA</t>
        </is>
      </c>
      <c r="G257" s="11" t="inlineStr"/>
      <c r="H257" s="11" t="inlineStr">
        <is>
          <t>INTERFACE P.O.S.</t>
        </is>
      </c>
      <c r="I257" s="11" t="n">
        <v>5500</v>
      </c>
      <c r="J257" s="11" t="inlineStr"/>
    </row>
    <row r="258">
      <c r="A258" s="11" t="n">
        <v>257</v>
      </c>
      <c r="B258" s="12" t="n">
        <v>46088</v>
      </c>
      <c r="C258" s="11" t="inlineStr">
        <is>
          <t>INTF</t>
        </is>
      </c>
      <c r="D258" s="11" t="inlineStr">
        <is>
          <t>202603</t>
        </is>
      </c>
      <c r="E258" s="11" t="inlineStr">
        <is>
          <t>1006848990</t>
        </is>
      </c>
      <c r="F258" s="11" t="inlineStr">
        <is>
          <t>GUTIERREZ CARRERO AL</t>
        </is>
      </c>
      <c r="G258" s="11" t="inlineStr"/>
      <c r="H258" s="11" t="inlineStr">
        <is>
          <t>INTERFACE P.O.S.</t>
        </is>
      </c>
      <c r="I258" s="11" t="n">
        <v>22000</v>
      </c>
      <c r="J258" s="11" t="inlineStr"/>
    </row>
    <row r="259">
      <c r="A259" s="11" t="n">
        <v>258</v>
      </c>
      <c r="B259" s="12" t="n">
        <v>46088</v>
      </c>
      <c r="C259" s="11" t="inlineStr">
        <is>
          <t>INTF</t>
        </is>
      </c>
      <c r="D259" s="11" t="inlineStr">
        <is>
          <t>202603</t>
        </is>
      </c>
      <c r="E259" s="11" t="inlineStr">
        <is>
          <t>1130144391</t>
        </is>
      </c>
      <c r="F259" s="11" t="inlineStr">
        <is>
          <t>ZAMBRANO RIVERA JUAN</t>
        </is>
      </c>
      <c r="G259" s="11" t="inlineStr"/>
      <c r="H259" s="11" t="inlineStr">
        <is>
          <t>INTERFACE P.O.S.</t>
        </is>
      </c>
      <c r="I259" s="11" t="n">
        <v>36058</v>
      </c>
      <c r="J259" s="11" t="inlineStr"/>
    </row>
    <row r="260">
      <c r="A260" s="11" t="n">
        <v>259</v>
      </c>
      <c r="B260" s="12" t="n">
        <v>46088</v>
      </c>
      <c r="C260" s="11" t="inlineStr">
        <is>
          <t>INTF</t>
        </is>
      </c>
      <c r="D260" s="11" t="inlineStr">
        <is>
          <t>202603</t>
        </is>
      </c>
      <c r="E260" s="11" t="inlineStr">
        <is>
          <t>1123323314</t>
        </is>
      </c>
      <c r="F260" s="11" t="inlineStr">
        <is>
          <t>ESCOBAR CUELTAN DANI</t>
        </is>
      </c>
      <c r="G260" s="11" t="inlineStr"/>
      <c r="H260" s="11" t="inlineStr">
        <is>
          <t>INTERFACE P.O.S.</t>
        </is>
      </c>
      <c r="I260" s="11" t="n">
        <v>7600</v>
      </c>
      <c r="J260" s="11" t="inlineStr"/>
    </row>
    <row r="261">
      <c r="A261" s="11" t="n">
        <v>260</v>
      </c>
      <c r="B261" s="12" t="n">
        <v>46088</v>
      </c>
      <c r="C261" s="11" t="inlineStr">
        <is>
          <t>INTF</t>
        </is>
      </c>
      <c r="D261" s="11" t="inlineStr">
        <is>
          <t>202603</t>
        </is>
      </c>
      <c r="E261" s="11" t="inlineStr">
        <is>
          <t>1127073872</t>
        </is>
      </c>
      <c r="F261" s="11" t="inlineStr">
        <is>
          <t>QUIÑONEZ RODRIGUES E</t>
        </is>
      </c>
      <c r="G261" s="11" t="inlineStr"/>
      <c r="H261" s="11" t="inlineStr">
        <is>
          <t>INTERFACE P.O.S.</t>
        </is>
      </c>
      <c r="I261" s="11" t="n">
        <v>2000</v>
      </c>
      <c r="J261" s="11" t="inlineStr"/>
    </row>
    <row r="262">
      <c r="A262" s="11" t="n">
        <v>261</v>
      </c>
      <c r="B262" s="12" t="n">
        <v>46088</v>
      </c>
      <c r="C262" s="11" t="inlineStr">
        <is>
          <t>INTF</t>
        </is>
      </c>
      <c r="D262" s="11" t="inlineStr">
        <is>
          <t>202603</t>
        </is>
      </c>
      <c r="E262" s="11" t="inlineStr">
        <is>
          <t>12989791</t>
        </is>
      </c>
      <c r="F262" s="11" t="inlineStr">
        <is>
          <t>CASTILLO PATIÑO HERN</t>
        </is>
      </c>
      <c r="G262" s="11" t="inlineStr"/>
      <c r="H262" s="11" t="inlineStr">
        <is>
          <t>INTERFACE P.O.S.</t>
        </is>
      </c>
      <c r="I262" s="11" t="n">
        <v>75000</v>
      </c>
      <c r="J262" s="11" t="inlineStr"/>
    </row>
    <row r="263">
      <c r="A263" s="11" t="n">
        <v>262</v>
      </c>
      <c r="B263" s="12" t="n">
        <v>46088</v>
      </c>
      <c r="C263" s="11" t="inlineStr">
        <is>
          <t>INTF</t>
        </is>
      </c>
      <c r="D263" s="11" t="inlineStr">
        <is>
          <t>202603</t>
        </is>
      </c>
      <c r="E263" s="11" t="inlineStr">
        <is>
          <t>1130643711</t>
        </is>
      </c>
      <c r="F263" s="11" t="inlineStr">
        <is>
          <t>MEDINA MOSQUERA LUZ</t>
        </is>
      </c>
      <c r="G263" s="11" t="inlineStr"/>
      <c r="H263" s="11" t="inlineStr">
        <is>
          <t>INTERFACE P.O.S.</t>
        </is>
      </c>
      <c r="I263" s="11" t="n">
        <v>17100</v>
      </c>
      <c r="J263" s="11" t="inlineStr"/>
    </row>
    <row r="264">
      <c r="A264" s="11" t="n">
        <v>263</v>
      </c>
      <c r="B264" s="12" t="n">
        <v>46088</v>
      </c>
      <c r="C264" s="11" t="inlineStr">
        <is>
          <t>INTF</t>
        </is>
      </c>
      <c r="D264" s="11" t="inlineStr">
        <is>
          <t>202603</t>
        </is>
      </c>
      <c r="E264" s="11" t="inlineStr">
        <is>
          <t>1123331786</t>
        </is>
      </c>
      <c r="F264" s="11" t="inlineStr">
        <is>
          <t>CAMPOS RODRIGUEZ TAN</t>
        </is>
      </c>
      <c r="G264" s="11" t="inlineStr"/>
      <c r="H264" s="11" t="inlineStr">
        <is>
          <t>INTERFACE P.O.S.</t>
        </is>
      </c>
      <c r="I264" s="11" t="n">
        <v>18900</v>
      </c>
      <c r="J264" s="11" t="inlineStr"/>
    </row>
    <row r="265">
      <c r="A265" s="11" t="n">
        <v>264</v>
      </c>
      <c r="B265" s="12" t="n">
        <v>46088</v>
      </c>
      <c r="C265" s="11" t="inlineStr">
        <is>
          <t>INTF</t>
        </is>
      </c>
      <c r="D265" s="11" t="inlineStr">
        <is>
          <t>202603</t>
        </is>
      </c>
      <c r="E265" s="11" t="inlineStr">
        <is>
          <t>1006850414</t>
        </is>
      </c>
      <c r="F265" s="11" t="inlineStr">
        <is>
          <t>FLOREZ GUERRON CAROL</t>
        </is>
      </c>
      <c r="G265" s="11" t="inlineStr"/>
      <c r="H265" s="11" t="inlineStr">
        <is>
          <t>INTERFACE P.O.S.</t>
        </is>
      </c>
      <c r="I265" s="11" t="n">
        <v>1800</v>
      </c>
      <c r="J265" s="11" t="inlineStr"/>
    </row>
    <row r="266">
      <c r="A266" s="11" t="n">
        <v>265</v>
      </c>
      <c r="B266" s="12" t="n">
        <v>46088</v>
      </c>
      <c r="C266" s="11" t="inlineStr">
        <is>
          <t>INTF</t>
        </is>
      </c>
      <c r="D266" s="11" t="inlineStr">
        <is>
          <t>202603</t>
        </is>
      </c>
      <c r="E266" s="11" t="inlineStr">
        <is>
          <t>41107618</t>
        </is>
      </c>
      <c r="F266" s="11" t="inlineStr">
        <is>
          <t>MANCO HIGUITA LUCIDI</t>
        </is>
      </c>
      <c r="G266" s="11" t="inlineStr"/>
      <c r="H266" s="11" t="inlineStr">
        <is>
          <t>INTERFACE P.O.S.</t>
        </is>
      </c>
      <c r="I266" s="11" t="n">
        <v>25000</v>
      </c>
      <c r="J266" s="11" t="inlineStr"/>
    </row>
    <row r="267">
      <c r="A267" s="11" t="n">
        <v>266</v>
      </c>
      <c r="B267" s="12" t="n">
        <v>46088</v>
      </c>
      <c r="C267" s="11" t="inlineStr">
        <is>
          <t>INTF</t>
        </is>
      </c>
      <c r="D267" s="11" t="inlineStr">
        <is>
          <t>202603</t>
        </is>
      </c>
      <c r="E267" s="11" t="inlineStr">
        <is>
          <t>1117497936</t>
        </is>
      </c>
      <c r="F267" s="11" t="inlineStr">
        <is>
          <t>MARTINEZ GASCA KEYNY</t>
        </is>
      </c>
      <c r="G267" s="11" t="inlineStr"/>
      <c r="H267" s="11" t="inlineStr">
        <is>
          <t>INTERFACE P.O.S.</t>
        </is>
      </c>
      <c r="I267" s="11" t="n">
        <v>40400</v>
      </c>
      <c r="J267" s="11" t="inlineStr"/>
    </row>
    <row r="268">
      <c r="A268" s="11" t="n">
        <v>267</v>
      </c>
      <c r="B268" s="12" t="n">
        <v>46088</v>
      </c>
      <c r="C268" s="11" t="inlineStr">
        <is>
          <t>INTF</t>
        </is>
      </c>
      <c r="D268" s="11" t="inlineStr">
        <is>
          <t>202603</t>
        </is>
      </c>
      <c r="E268" s="11" t="inlineStr">
        <is>
          <t>1233191968</t>
        </is>
      </c>
      <c r="F268" s="11" t="inlineStr">
        <is>
          <t>OBANDO ALDERETE DANI</t>
        </is>
      </c>
      <c r="G268" s="11" t="inlineStr"/>
      <c r="H268" s="11" t="inlineStr">
        <is>
          <t>INTERFACE P.O.S.</t>
        </is>
      </c>
      <c r="I268" s="11" t="n">
        <v>10400</v>
      </c>
      <c r="J268" s="11" t="inlineStr"/>
    </row>
    <row r="269">
      <c r="A269" s="11" t="n">
        <v>268</v>
      </c>
      <c r="B269" s="12" t="n">
        <v>46088</v>
      </c>
      <c r="C269" s="11" t="inlineStr">
        <is>
          <t>INTF</t>
        </is>
      </c>
      <c r="D269" s="11" t="inlineStr">
        <is>
          <t>202603</t>
        </is>
      </c>
      <c r="E269" s="11" t="inlineStr">
        <is>
          <t>75089239</t>
        </is>
      </c>
      <c r="F269" s="11" t="inlineStr">
        <is>
          <t>MARIÑO SEGURA DAVID</t>
        </is>
      </c>
      <c r="G269" s="11" t="inlineStr"/>
      <c r="H269" s="11" t="inlineStr">
        <is>
          <t>INTERFACE P.O.S.</t>
        </is>
      </c>
      <c r="I269" s="11" t="n">
        <v>12000</v>
      </c>
      <c r="J269" s="11" t="inlineStr"/>
    </row>
    <row r="270">
      <c r="A270" s="11" t="n">
        <v>269</v>
      </c>
      <c r="B270" s="12" t="n">
        <v>46088</v>
      </c>
      <c r="C270" s="11" t="inlineStr">
        <is>
          <t>INTF</t>
        </is>
      </c>
      <c r="D270" s="11" t="inlineStr">
        <is>
          <t>202603</t>
        </is>
      </c>
      <c r="E270" s="11" t="inlineStr">
        <is>
          <t>27362252</t>
        </is>
      </c>
      <c r="F270" s="11" t="inlineStr">
        <is>
          <t>TIMARAN CHASOY JUDY</t>
        </is>
      </c>
      <c r="G270" s="11" t="inlineStr"/>
      <c r="H270" s="11" t="inlineStr">
        <is>
          <t>INTERFACE P.O.S.</t>
        </is>
      </c>
      <c r="I270" s="11" t="n">
        <v>64800</v>
      </c>
      <c r="J270" s="11" t="inlineStr"/>
    </row>
    <row r="271">
      <c r="A271" s="11" t="n">
        <v>270</v>
      </c>
      <c r="B271" s="12" t="n">
        <v>46088</v>
      </c>
      <c r="C271" s="11" t="inlineStr">
        <is>
          <t>INTF</t>
        </is>
      </c>
      <c r="D271" s="11" t="inlineStr">
        <is>
          <t>202603</t>
        </is>
      </c>
      <c r="E271" s="11" t="inlineStr">
        <is>
          <t>41108212</t>
        </is>
      </c>
      <c r="F271" s="11" t="inlineStr">
        <is>
          <t>ORDOÑEZ BASTIDAS MAR</t>
        </is>
      </c>
      <c r="G271" s="11" t="inlineStr"/>
      <c r="H271" s="11" t="inlineStr">
        <is>
          <t>INTERFACE P.O.S.</t>
        </is>
      </c>
      <c r="I271" s="11" t="n">
        <v>27000</v>
      </c>
      <c r="J271" s="11" t="inlineStr"/>
    </row>
    <row r="272">
      <c r="A272" s="11" t="n">
        <v>271</v>
      </c>
      <c r="B272" s="12" t="n">
        <v>46088</v>
      </c>
      <c r="C272" s="11" t="inlineStr">
        <is>
          <t>INTF</t>
        </is>
      </c>
      <c r="D272" s="11" t="inlineStr">
        <is>
          <t>202603</t>
        </is>
      </c>
      <c r="E272" s="11" t="inlineStr">
        <is>
          <t>1006849474</t>
        </is>
      </c>
      <c r="F272" s="11" t="inlineStr">
        <is>
          <t>ARAGON FANCO YE</t>
        </is>
      </c>
      <c r="G272" s="11" t="inlineStr"/>
      <c r="H272" s="11" t="inlineStr">
        <is>
          <t>INTERFACE P.O.S.</t>
        </is>
      </c>
      <c r="I272" s="11" t="n">
        <v>24000</v>
      </c>
      <c r="J272" s="11" t="inlineStr"/>
    </row>
    <row r="273">
      <c r="A273" s="11" t="n">
        <v>272</v>
      </c>
      <c r="B273" s="12" t="n">
        <v>46088</v>
      </c>
      <c r="C273" s="11" t="inlineStr">
        <is>
          <t>INTF</t>
        </is>
      </c>
      <c r="D273" s="11" t="inlineStr">
        <is>
          <t>202603</t>
        </is>
      </c>
      <c r="E273" s="11" t="inlineStr">
        <is>
          <t>1123327738</t>
        </is>
      </c>
      <c r="F273" s="11" t="inlineStr">
        <is>
          <t>FARFAN QUISIAL</t>
        </is>
      </c>
      <c r="G273" s="11" t="inlineStr"/>
      <c r="H273" s="11" t="inlineStr">
        <is>
          <t>INTERFACE P.O.S.</t>
        </is>
      </c>
      <c r="I273" s="11" t="n">
        <v>8000</v>
      </c>
      <c r="J273" s="11" t="inlineStr"/>
    </row>
    <row r="274">
      <c r="A274" s="11" t="n">
        <v>273</v>
      </c>
      <c r="B274" s="12" t="n">
        <v>46088</v>
      </c>
      <c r="C274" s="11" t="inlineStr">
        <is>
          <t>INTF</t>
        </is>
      </c>
      <c r="D274" s="11" t="inlineStr">
        <is>
          <t>202603</t>
        </is>
      </c>
      <c r="E274" s="11" t="inlineStr">
        <is>
          <t>41107073</t>
        </is>
      </c>
      <c r="F274" s="11" t="inlineStr">
        <is>
          <t>BOLAÑOS ROSERO OMAIR</t>
        </is>
      </c>
      <c r="G274" s="11" t="inlineStr"/>
      <c r="H274" s="11" t="inlineStr">
        <is>
          <t>INTERFACE P.O.S.</t>
        </is>
      </c>
      <c r="I274" s="11" t="n">
        <v>20000</v>
      </c>
      <c r="J274" s="11" t="inlineStr"/>
    </row>
    <row r="275">
      <c r="A275" s="11" t="n">
        <v>274</v>
      </c>
      <c r="B275" s="12" t="n">
        <v>46088</v>
      </c>
      <c r="C275" s="11" t="inlineStr">
        <is>
          <t>INTF</t>
        </is>
      </c>
      <c r="D275" s="11" t="inlineStr">
        <is>
          <t>202603</t>
        </is>
      </c>
      <c r="E275" s="11" t="inlineStr">
        <is>
          <t>1123325364</t>
        </is>
      </c>
      <c r="F275" s="11" t="inlineStr">
        <is>
          <t>PALADINES PINEDA DAR</t>
        </is>
      </c>
      <c r="G275" s="11" t="inlineStr"/>
      <c r="H275" s="11" t="inlineStr">
        <is>
          <t>INTERFACE P.O.S.</t>
        </is>
      </c>
      <c r="I275" s="11" t="n">
        <v>21400</v>
      </c>
      <c r="J275" s="11" t="inlineStr"/>
    </row>
    <row r="276">
      <c r="A276" s="11" t="n">
        <v>275</v>
      </c>
      <c r="B276" s="12" t="n">
        <v>46088</v>
      </c>
      <c r="C276" s="11" t="inlineStr">
        <is>
          <t>INTF</t>
        </is>
      </c>
      <c r="D276" s="11" t="inlineStr">
        <is>
          <t>202603</t>
        </is>
      </c>
      <c r="E276" s="11" t="inlineStr">
        <is>
          <t>1144180986</t>
        </is>
      </c>
      <c r="F276" s="11" t="inlineStr">
        <is>
          <t>CAMPO JARAMILLO BR</t>
        </is>
      </c>
      <c r="G276" s="11" t="inlineStr"/>
      <c r="H276" s="11" t="inlineStr">
        <is>
          <t>INTERFACE P.O.S.</t>
        </is>
      </c>
      <c r="I276" s="11" t="n">
        <v>63500</v>
      </c>
      <c r="J276" s="11" t="inlineStr"/>
    </row>
    <row r="277">
      <c r="A277" s="11" t="n">
        <v>276</v>
      </c>
      <c r="B277" s="12" t="n">
        <v>46088</v>
      </c>
      <c r="C277" s="11" t="inlineStr">
        <is>
          <t>INTF</t>
        </is>
      </c>
      <c r="D277" s="11" t="inlineStr">
        <is>
          <t>202603</t>
        </is>
      </c>
      <c r="E277" s="11" t="inlineStr">
        <is>
          <t>18144069</t>
        </is>
      </c>
      <c r="F277" s="11" t="inlineStr">
        <is>
          <t>DIAZ BASTIDAS JUAN C</t>
        </is>
      </c>
      <c r="G277" s="11" t="inlineStr"/>
      <c r="H277" s="11" t="inlineStr">
        <is>
          <t>INTERFACE P.O.S.</t>
        </is>
      </c>
      <c r="I277" s="11" t="n">
        <v>111800</v>
      </c>
      <c r="J277" s="11" t="inlineStr"/>
    </row>
    <row r="278">
      <c r="A278" s="11" t="n">
        <v>277</v>
      </c>
      <c r="B278" s="12" t="n">
        <v>46088</v>
      </c>
      <c r="C278" s="11" t="inlineStr">
        <is>
          <t>INTF</t>
        </is>
      </c>
      <c r="D278" s="11" t="inlineStr">
        <is>
          <t>202603</t>
        </is>
      </c>
      <c r="E278" s="11" t="inlineStr">
        <is>
          <t>1006849183</t>
        </is>
      </c>
      <c r="F278" s="11" t="inlineStr">
        <is>
          <t>MENESES TAPIA JOSE A</t>
        </is>
      </c>
      <c r="G278" s="11" t="inlineStr"/>
      <c r="H278" s="11" t="inlineStr">
        <is>
          <t>INTERFACE P.O.S.</t>
        </is>
      </c>
      <c r="I278" s="11" t="n">
        <v>52500</v>
      </c>
      <c r="J278" s="11" t="inlineStr"/>
    </row>
    <row r="279">
      <c r="A279" s="11" t="n">
        <v>278</v>
      </c>
      <c r="B279" s="12" t="n">
        <v>46089</v>
      </c>
      <c r="C279" s="11" t="inlineStr">
        <is>
          <t>INTF</t>
        </is>
      </c>
      <c r="D279" s="11" t="inlineStr">
        <is>
          <t>202603</t>
        </is>
      </c>
      <c r="E279" s="11" t="inlineStr">
        <is>
          <t>1056775282</t>
        </is>
      </c>
      <c r="F279" s="11" t="inlineStr">
        <is>
          <t>AVILA RIVERA LUIS EN</t>
        </is>
      </c>
      <c r="G279" s="11" t="inlineStr"/>
      <c r="H279" s="11" t="inlineStr">
        <is>
          <t>INTERFACE P.O.S.</t>
        </is>
      </c>
      <c r="I279" s="11" t="n">
        <v>11600</v>
      </c>
      <c r="J279" s="11" t="inlineStr"/>
    </row>
    <row r="280">
      <c r="A280" s="11" t="n">
        <v>279</v>
      </c>
      <c r="B280" s="12" t="n">
        <v>46089</v>
      </c>
      <c r="C280" s="11" t="inlineStr">
        <is>
          <t>INTF</t>
        </is>
      </c>
      <c r="D280" s="11" t="inlineStr">
        <is>
          <t>202603</t>
        </is>
      </c>
      <c r="E280" s="11" t="inlineStr">
        <is>
          <t>11806823</t>
        </is>
      </c>
      <c r="F280" s="11" t="inlineStr">
        <is>
          <t>VERGARA BORJA FRESLE</t>
        </is>
      </c>
      <c r="G280" s="11" t="inlineStr"/>
      <c r="H280" s="11" t="inlineStr">
        <is>
          <t>INTERFACE P.O.S.</t>
        </is>
      </c>
      <c r="I280" s="11" t="n">
        <v>148300</v>
      </c>
      <c r="J280" s="11" t="inlineStr"/>
    </row>
    <row r="281">
      <c r="A281" s="11" t="n">
        <v>280</v>
      </c>
      <c r="B281" s="12" t="n">
        <v>46089</v>
      </c>
      <c r="C281" s="11" t="inlineStr">
        <is>
          <t>INTF</t>
        </is>
      </c>
      <c r="D281" s="11" t="inlineStr">
        <is>
          <t>202603</t>
        </is>
      </c>
      <c r="E281" s="11" t="inlineStr">
        <is>
          <t>1123328208</t>
        </is>
      </c>
      <c r="F281" s="11" t="inlineStr">
        <is>
          <t>CHAVEZ GALARZA LUIS</t>
        </is>
      </c>
      <c r="G281" s="11" t="inlineStr"/>
      <c r="H281" s="11" t="inlineStr">
        <is>
          <t>INTERFACE P.O.S.</t>
        </is>
      </c>
      <c r="I281" s="11" t="n">
        <v>45000</v>
      </c>
      <c r="J281" s="11" t="inlineStr"/>
    </row>
    <row r="282">
      <c r="A282" s="11" t="n">
        <v>281</v>
      </c>
      <c r="B282" s="12" t="n">
        <v>46089</v>
      </c>
      <c r="C282" s="11" t="inlineStr">
        <is>
          <t>INTF</t>
        </is>
      </c>
      <c r="D282" s="11" t="inlineStr">
        <is>
          <t>202603</t>
        </is>
      </c>
      <c r="E282" s="11" t="inlineStr">
        <is>
          <t>1123306941</t>
        </is>
      </c>
      <c r="F282" s="11" t="inlineStr">
        <is>
          <t>LOZA CLAROS ALEJANDR</t>
        </is>
      </c>
      <c r="G282" s="11" t="inlineStr"/>
      <c r="H282" s="11" t="inlineStr">
        <is>
          <t>INTERFACE P.O.S.</t>
        </is>
      </c>
      <c r="I282" s="11" t="n">
        <v>24500</v>
      </c>
      <c r="J282" s="11" t="inlineStr"/>
    </row>
    <row r="283">
      <c r="A283" s="11" t="n">
        <v>282</v>
      </c>
      <c r="B283" s="12" t="n">
        <v>46089</v>
      </c>
      <c r="C283" s="11" t="inlineStr">
        <is>
          <t>INTF</t>
        </is>
      </c>
      <c r="D283" s="11" t="inlineStr">
        <is>
          <t>202603</t>
        </is>
      </c>
      <c r="E283" s="11" t="inlineStr">
        <is>
          <t>41107130</t>
        </is>
      </c>
      <c r="F283" s="11" t="inlineStr">
        <is>
          <t>VARGAS GAMBOA OLGA M</t>
        </is>
      </c>
      <c r="G283" s="11" t="inlineStr"/>
      <c r="H283" s="11" t="inlineStr">
        <is>
          <t>INTERFACE P.O.S.</t>
        </is>
      </c>
      <c r="I283" s="11" t="n">
        <v>100000</v>
      </c>
      <c r="J283" s="11" t="inlineStr"/>
    </row>
    <row r="284">
      <c r="A284" s="11" t="n">
        <v>283</v>
      </c>
      <c r="B284" s="12" t="n">
        <v>46089</v>
      </c>
      <c r="C284" s="11" t="inlineStr">
        <is>
          <t>INTF</t>
        </is>
      </c>
      <c r="D284" s="11" t="inlineStr">
        <is>
          <t>202603</t>
        </is>
      </c>
      <c r="E284" s="11" t="inlineStr">
        <is>
          <t>39639929</t>
        </is>
      </c>
      <c r="F284" s="11" t="inlineStr">
        <is>
          <t>BECERRA ZAMORA MARTH</t>
        </is>
      </c>
      <c r="G284" s="11" t="inlineStr"/>
      <c r="H284" s="11" t="inlineStr">
        <is>
          <t>INTERFACE P.O.S.</t>
        </is>
      </c>
      <c r="I284" s="11" t="n">
        <v>79800</v>
      </c>
      <c r="J284" s="11" t="inlineStr"/>
    </row>
    <row r="285">
      <c r="A285" s="11" t="n">
        <v>284</v>
      </c>
      <c r="B285" s="12" t="n">
        <v>46089</v>
      </c>
      <c r="C285" s="11" t="inlineStr">
        <is>
          <t>INTF</t>
        </is>
      </c>
      <c r="D285" s="11" t="inlineStr">
        <is>
          <t>202603</t>
        </is>
      </c>
      <c r="E285" s="11" t="inlineStr">
        <is>
          <t>41108099</t>
        </is>
      </c>
      <c r="F285" s="11" t="inlineStr">
        <is>
          <t>BURBANO GARCIA DORA</t>
        </is>
      </c>
      <c r="G285" s="11" t="inlineStr"/>
      <c r="H285" s="11" t="inlineStr">
        <is>
          <t>INTERFACE P.O.S.</t>
        </is>
      </c>
      <c r="I285" s="11" t="n">
        <v>19300</v>
      </c>
      <c r="J285" s="11" t="inlineStr"/>
    </row>
    <row r="286">
      <c r="A286" s="11" t="n">
        <v>285</v>
      </c>
      <c r="B286" s="12" t="n">
        <v>46089</v>
      </c>
      <c r="C286" s="11" t="inlineStr">
        <is>
          <t>INTF</t>
        </is>
      </c>
      <c r="D286" s="11" t="inlineStr">
        <is>
          <t>202603</t>
        </is>
      </c>
      <c r="E286" s="11" t="inlineStr">
        <is>
          <t>1123332755</t>
        </is>
      </c>
      <c r="F286" s="11" t="inlineStr">
        <is>
          <t>MORALES JURADO CRIST</t>
        </is>
      </c>
      <c r="G286" s="11" t="inlineStr"/>
      <c r="H286" s="11" t="inlineStr">
        <is>
          <t>INTERFACE P.O.S.</t>
        </is>
      </c>
      <c r="I286" s="11" t="n">
        <v>93200</v>
      </c>
      <c r="J286" s="11" t="inlineStr"/>
    </row>
    <row r="287">
      <c r="A287" s="11" t="n">
        <v>286</v>
      </c>
      <c r="B287" s="12" t="n">
        <v>46089</v>
      </c>
      <c r="C287" s="11" t="inlineStr">
        <is>
          <t>INTF</t>
        </is>
      </c>
      <c r="D287" s="11" t="inlineStr">
        <is>
          <t>202603</t>
        </is>
      </c>
      <c r="E287" s="11" t="inlineStr">
        <is>
          <t>1106738578</t>
        </is>
      </c>
      <c r="F287" s="11" t="inlineStr">
        <is>
          <t>HORTUA GUZMAN VICTOR</t>
        </is>
      </c>
      <c r="G287" s="11" t="inlineStr"/>
      <c r="H287" s="11" t="inlineStr">
        <is>
          <t>INTERFACE P.O.S.</t>
        </is>
      </c>
      <c r="I287" s="11" t="n">
        <v>80000</v>
      </c>
      <c r="J287" s="11" t="inlineStr"/>
    </row>
    <row r="288">
      <c r="A288" s="11" t="n">
        <v>287</v>
      </c>
      <c r="B288" s="12" t="n">
        <v>46089</v>
      </c>
      <c r="C288" s="11" t="inlineStr">
        <is>
          <t>INTF</t>
        </is>
      </c>
      <c r="D288" s="11" t="inlineStr">
        <is>
          <t>202603</t>
        </is>
      </c>
      <c r="E288" s="11" t="inlineStr">
        <is>
          <t>1128408206</t>
        </is>
      </c>
      <c r="F288" s="11" t="inlineStr">
        <is>
          <t>OLIVEROS ACOSTA GEID</t>
        </is>
      </c>
      <c r="G288" s="11" t="inlineStr"/>
      <c r="H288" s="11" t="inlineStr">
        <is>
          <t>INTERFACE P.O.S.</t>
        </is>
      </c>
      <c r="I288" s="11" t="n">
        <v>32000</v>
      </c>
      <c r="J288" s="11" t="inlineStr"/>
    </row>
    <row r="289">
      <c r="A289" s="11" t="n">
        <v>288</v>
      </c>
      <c r="B289" s="12" t="n">
        <v>46089</v>
      </c>
      <c r="C289" s="11" t="inlineStr">
        <is>
          <t>INTF</t>
        </is>
      </c>
      <c r="D289" s="11" t="inlineStr">
        <is>
          <t>202603</t>
        </is>
      </c>
      <c r="E289" s="11" t="inlineStr">
        <is>
          <t>1123328325</t>
        </is>
      </c>
      <c r="F289" s="11" t="inlineStr">
        <is>
          <t>ACOSTA VILLARREAL MA</t>
        </is>
      </c>
      <c r="G289" s="11" t="inlineStr"/>
      <c r="H289" s="11" t="inlineStr">
        <is>
          <t>INTERFACE P.O.S.</t>
        </is>
      </c>
      <c r="I289" s="11" t="n">
        <v>11600</v>
      </c>
      <c r="J289" s="11" t="inlineStr"/>
    </row>
    <row r="290">
      <c r="A290" s="11" t="n">
        <v>289</v>
      </c>
      <c r="B290" s="12" t="n">
        <v>46089</v>
      </c>
      <c r="C290" s="11" t="inlineStr">
        <is>
          <t>INTF</t>
        </is>
      </c>
      <c r="D290" s="11" t="inlineStr">
        <is>
          <t>202603</t>
        </is>
      </c>
      <c r="E290" s="11" t="inlineStr">
        <is>
          <t>1006849723</t>
        </is>
      </c>
      <c r="F290" s="11" t="inlineStr">
        <is>
          <t>GUANGA TIMARAN KEVIN</t>
        </is>
      </c>
      <c r="G290" s="11" t="inlineStr"/>
      <c r="H290" s="11" t="inlineStr">
        <is>
          <t>INTERFACE P.O.S.</t>
        </is>
      </c>
      <c r="I290" s="11" t="n">
        <v>69100</v>
      </c>
      <c r="J290" s="11" t="inlineStr"/>
    </row>
    <row r="291">
      <c r="A291" s="11" t="n">
        <v>290</v>
      </c>
      <c r="B291" s="12" t="n">
        <v>46089</v>
      </c>
      <c r="C291" s="11" t="inlineStr">
        <is>
          <t>INTF</t>
        </is>
      </c>
      <c r="D291" s="11" t="inlineStr">
        <is>
          <t>202603</t>
        </is>
      </c>
      <c r="E291" s="11" t="inlineStr">
        <is>
          <t>18145192</t>
        </is>
      </c>
      <c r="F291" s="11" t="inlineStr">
        <is>
          <t>JARAMILLO CORTEZ OMA</t>
        </is>
      </c>
      <c r="G291" s="11" t="inlineStr"/>
      <c r="H291" s="11" t="inlineStr">
        <is>
          <t>INTERFACE P.O.S.</t>
        </is>
      </c>
      <c r="I291" s="11" t="n">
        <v>6500</v>
      </c>
      <c r="J291" s="11" t="inlineStr"/>
    </row>
    <row r="292">
      <c r="A292" s="11" t="n">
        <v>291</v>
      </c>
      <c r="B292" s="12" t="n">
        <v>46089</v>
      </c>
      <c r="C292" s="11" t="inlineStr">
        <is>
          <t>INTF</t>
        </is>
      </c>
      <c r="D292" s="11" t="inlineStr">
        <is>
          <t>202603</t>
        </is>
      </c>
      <c r="E292" s="11" t="inlineStr">
        <is>
          <t>1123320594</t>
        </is>
      </c>
      <c r="F292" s="11" t="inlineStr">
        <is>
          <t>CUEVA PINTA WILSON B</t>
        </is>
      </c>
      <c r="G292" s="11" t="inlineStr"/>
      <c r="H292" s="11" t="inlineStr">
        <is>
          <t>INTERFACE P.O.S.</t>
        </is>
      </c>
      <c r="I292" s="11" t="n">
        <v>20200</v>
      </c>
      <c r="J292" s="11" t="inlineStr"/>
    </row>
    <row r="293">
      <c r="A293" s="11" t="n">
        <v>292</v>
      </c>
      <c r="B293" s="12" t="n">
        <v>46089</v>
      </c>
      <c r="C293" s="11" t="inlineStr">
        <is>
          <t>INTF</t>
        </is>
      </c>
      <c r="D293" s="11" t="inlineStr">
        <is>
          <t>202603</t>
        </is>
      </c>
      <c r="E293" s="11" t="inlineStr">
        <is>
          <t>40740556</t>
        </is>
      </c>
      <c r="F293" s="11" t="inlineStr">
        <is>
          <t>CUBILLOS ORDOÑES NIV</t>
        </is>
      </c>
      <c r="G293" s="11" t="inlineStr"/>
      <c r="H293" s="11" t="inlineStr">
        <is>
          <t>INTERFACE P.O.S.</t>
        </is>
      </c>
      <c r="I293" s="11" t="n">
        <v>38700</v>
      </c>
      <c r="J293" s="11" t="inlineStr"/>
    </row>
    <row r="294">
      <c r="A294" s="11" t="n">
        <v>293</v>
      </c>
      <c r="B294" s="12" t="n">
        <v>46089</v>
      </c>
      <c r="C294" s="11" t="inlineStr">
        <is>
          <t>INTF</t>
        </is>
      </c>
      <c r="D294" s="11" t="inlineStr">
        <is>
          <t>202603</t>
        </is>
      </c>
      <c r="E294" s="11" t="inlineStr">
        <is>
          <t>1033754901</t>
        </is>
      </c>
      <c r="F294" s="11" t="inlineStr">
        <is>
          <t>ORTIZ PEREZ KELLY JH</t>
        </is>
      </c>
      <c r="G294" s="11" t="inlineStr"/>
      <c r="H294" s="11" t="inlineStr">
        <is>
          <t>INTERFACE P.O.S.</t>
        </is>
      </c>
      <c r="I294" s="11" t="n">
        <v>25700</v>
      </c>
      <c r="J294" s="11" t="inlineStr"/>
    </row>
    <row r="295">
      <c r="A295" s="11" t="n">
        <v>294</v>
      </c>
      <c r="B295" s="12" t="n">
        <v>46089</v>
      </c>
      <c r="C295" s="11" t="inlineStr">
        <is>
          <t>INTF</t>
        </is>
      </c>
      <c r="D295" s="11" t="inlineStr">
        <is>
          <t>202603</t>
        </is>
      </c>
      <c r="E295" s="11" t="inlineStr">
        <is>
          <t>1123331250</t>
        </is>
      </c>
      <c r="F295" s="11" t="inlineStr">
        <is>
          <t>CORTES QUIÑONES ANGI</t>
        </is>
      </c>
      <c r="G295" s="11" t="inlineStr"/>
      <c r="H295" s="11" t="inlineStr">
        <is>
          <t>INTERFACE P.O.S.</t>
        </is>
      </c>
      <c r="I295" s="11" t="n">
        <v>13700</v>
      </c>
      <c r="J295" s="11" t="inlineStr"/>
    </row>
    <row r="296">
      <c r="A296" s="11" t="n">
        <v>295</v>
      </c>
      <c r="B296" s="12" t="n">
        <v>46089</v>
      </c>
      <c r="C296" s="11" t="inlineStr">
        <is>
          <t>INTF</t>
        </is>
      </c>
      <c r="D296" s="11" t="inlineStr">
        <is>
          <t>202603</t>
        </is>
      </c>
      <c r="E296" s="11" t="inlineStr">
        <is>
          <t>1004146307</t>
        </is>
      </c>
      <c r="F296" s="11" t="inlineStr">
        <is>
          <t>MOREANO PALMA CARLA</t>
        </is>
      </c>
      <c r="G296" s="11" t="inlineStr"/>
      <c r="H296" s="11" t="inlineStr">
        <is>
          <t>INTERFACE P.O.S.</t>
        </is>
      </c>
      <c r="I296" s="11" t="n">
        <v>60300</v>
      </c>
      <c r="J296" s="11" t="inlineStr"/>
    </row>
    <row r="297">
      <c r="A297" s="11" t="n">
        <v>296</v>
      </c>
      <c r="B297" s="12" t="n">
        <v>46089</v>
      </c>
      <c r="C297" s="11" t="inlineStr">
        <is>
          <t>INTF</t>
        </is>
      </c>
      <c r="D297" s="11" t="inlineStr">
        <is>
          <t>202603</t>
        </is>
      </c>
      <c r="E297" s="11" t="inlineStr">
        <is>
          <t>1123320926</t>
        </is>
      </c>
      <c r="F297" s="11" t="inlineStr">
        <is>
          <t>JONIER ALEJANDRO MOS</t>
        </is>
      </c>
      <c r="G297" s="11" t="inlineStr"/>
      <c r="H297" s="11" t="inlineStr">
        <is>
          <t>INTERFACE P.O.S.</t>
        </is>
      </c>
      <c r="I297" s="11" t="n">
        <v>9200</v>
      </c>
      <c r="J297" s="11" t="inlineStr"/>
    </row>
    <row r="298">
      <c r="A298" s="11" t="n">
        <v>297</v>
      </c>
      <c r="B298" s="12" t="n">
        <v>46089</v>
      </c>
      <c r="C298" s="11" t="inlineStr">
        <is>
          <t>INTF</t>
        </is>
      </c>
      <c r="D298" s="11" t="inlineStr">
        <is>
          <t>202603</t>
        </is>
      </c>
      <c r="E298" s="11" t="inlineStr">
        <is>
          <t>1085327648</t>
        </is>
      </c>
      <c r="F298" s="11" t="inlineStr">
        <is>
          <t>PATASCOY CUCHALA JES</t>
        </is>
      </c>
      <c r="G298" s="11" t="inlineStr"/>
      <c r="H298" s="11" t="inlineStr">
        <is>
          <t>INTERFACE P.O.S.</t>
        </is>
      </c>
      <c r="I298" s="11" t="n">
        <v>25000</v>
      </c>
      <c r="J298" s="11" t="inlineStr"/>
    </row>
    <row r="299">
      <c r="A299" s="11" t="n">
        <v>298</v>
      </c>
      <c r="B299" s="12" t="n">
        <v>46089</v>
      </c>
      <c r="C299" s="11" t="inlineStr">
        <is>
          <t>INTF</t>
        </is>
      </c>
      <c r="D299" s="11" t="inlineStr">
        <is>
          <t>202603</t>
        </is>
      </c>
      <c r="E299" s="11" t="inlineStr">
        <is>
          <t>1123323314</t>
        </is>
      </c>
      <c r="F299" s="11" t="inlineStr">
        <is>
          <t>ESCOBAR CUELTAN DANI</t>
        </is>
      </c>
      <c r="G299" s="11" t="inlineStr"/>
      <c r="H299" s="11" t="inlineStr">
        <is>
          <t>INTERFACE P.O.S.</t>
        </is>
      </c>
      <c r="I299" s="11" t="n">
        <v>10000</v>
      </c>
      <c r="J299" s="11" t="inlineStr"/>
    </row>
    <row r="300">
      <c r="A300" s="11" t="n">
        <v>299</v>
      </c>
      <c r="B300" s="12" t="n">
        <v>46089</v>
      </c>
      <c r="C300" s="11" t="inlineStr">
        <is>
          <t>INTF</t>
        </is>
      </c>
      <c r="D300" s="11" t="inlineStr">
        <is>
          <t>202603</t>
        </is>
      </c>
      <c r="E300" s="11" t="inlineStr">
        <is>
          <t>1123326957</t>
        </is>
      </c>
      <c r="F300" s="11" t="inlineStr">
        <is>
          <t>RAMIREZ VELASQUEZ NA</t>
        </is>
      </c>
      <c r="G300" s="11" t="inlineStr"/>
      <c r="H300" s="11" t="inlineStr">
        <is>
          <t>INTERFACE P.O.S.</t>
        </is>
      </c>
      <c r="I300" s="11" t="n">
        <v>51800</v>
      </c>
      <c r="J300" s="11" t="inlineStr"/>
    </row>
    <row r="301">
      <c r="A301" s="11" t="n">
        <v>300</v>
      </c>
      <c r="B301" s="12" t="n">
        <v>46089</v>
      </c>
      <c r="C301" s="11" t="inlineStr">
        <is>
          <t>INTF</t>
        </is>
      </c>
      <c r="D301" s="11" t="inlineStr">
        <is>
          <t>202603</t>
        </is>
      </c>
      <c r="E301" s="11" t="inlineStr">
        <is>
          <t>1061718572</t>
        </is>
      </c>
      <c r="F301" s="11" t="inlineStr">
        <is>
          <t>PERAFAN MESIAS JUAN</t>
        </is>
      </c>
      <c r="G301" s="11" t="inlineStr"/>
      <c r="H301" s="11" t="inlineStr">
        <is>
          <t>INTERFACE P.O.S.</t>
        </is>
      </c>
      <c r="I301" s="11" t="n">
        <v>25700</v>
      </c>
      <c r="J301" s="11" t="inlineStr"/>
    </row>
    <row r="302">
      <c r="A302" s="11" t="n">
        <v>301</v>
      </c>
      <c r="B302" s="12" t="n">
        <v>46089</v>
      </c>
      <c r="C302" s="11" t="inlineStr">
        <is>
          <t>INTF</t>
        </is>
      </c>
      <c r="D302" s="11" t="inlineStr">
        <is>
          <t>202603</t>
        </is>
      </c>
      <c r="E302" s="11" t="inlineStr">
        <is>
          <t>1006961905</t>
        </is>
      </c>
      <c r="F302" s="11" t="inlineStr">
        <is>
          <t>CARDOSO CAICEDO MARC</t>
        </is>
      </c>
      <c r="G302" s="11" t="inlineStr"/>
      <c r="H302" s="11" t="inlineStr">
        <is>
          <t>INTERFACE P.O.S.</t>
        </is>
      </c>
      <c r="I302" s="11" t="n">
        <v>6500</v>
      </c>
      <c r="J302" s="11" t="inlineStr"/>
    </row>
    <row r="303">
      <c r="A303" s="11" t="n">
        <v>302</v>
      </c>
      <c r="B303" s="12" t="n">
        <v>46089</v>
      </c>
      <c r="C303" s="11" t="inlineStr">
        <is>
          <t>INTF</t>
        </is>
      </c>
      <c r="D303" s="11" t="inlineStr">
        <is>
          <t>202603</t>
        </is>
      </c>
      <c r="E303" s="11" t="inlineStr">
        <is>
          <t>1006696549</t>
        </is>
      </c>
      <c r="F303" s="11" t="inlineStr">
        <is>
          <t>CIFUENTES AGATON ING</t>
        </is>
      </c>
      <c r="G303" s="11" t="inlineStr"/>
      <c r="H303" s="11" t="inlineStr">
        <is>
          <t>INTERFACE P.O.S.</t>
        </is>
      </c>
      <c r="I303" s="11" t="n">
        <v>43600</v>
      </c>
      <c r="J303" s="11" t="inlineStr"/>
    </row>
    <row r="304">
      <c r="A304" s="11" t="n">
        <v>303</v>
      </c>
      <c r="B304" s="12" t="n">
        <v>46089</v>
      </c>
      <c r="C304" s="11" t="inlineStr">
        <is>
          <t>INTF</t>
        </is>
      </c>
      <c r="D304" s="11" t="inlineStr">
        <is>
          <t>202603</t>
        </is>
      </c>
      <c r="E304" s="11" t="inlineStr">
        <is>
          <t>1123322979</t>
        </is>
      </c>
      <c r="F304" s="11" t="inlineStr">
        <is>
          <t>ORTIZ RUALES ALEXI Y</t>
        </is>
      </c>
      <c r="G304" s="11" t="inlineStr"/>
      <c r="H304" s="11" t="inlineStr">
        <is>
          <t>INTERFACE P.O.S.</t>
        </is>
      </c>
      <c r="I304" s="11" t="n">
        <v>24800</v>
      </c>
      <c r="J304" s="11" t="inlineStr"/>
    </row>
    <row r="305">
      <c r="A305" s="11" t="n">
        <v>304</v>
      </c>
      <c r="B305" s="12" t="n">
        <v>46089</v>
      </c>
      <c r="C305" s="11" t="inlineStr">
        <is>
          <t>INTF</t>
        </is>
      </c>
      <c r="D305" s="11" t="inlineStr">
        <is>
          <t>202603</t>
        </is>
      </c>
      <c r="E305" s="11" t="inlineStr">
        <is>
          <t>1123208118</t>
        </is>
      </c>
      <c r="F305" s="11" t="inlineStr">
        <is>
          <t>ZAMBRANO SEBASTIAN</t>
        </is>
      </c>
      <c r="G305" s="11" t="inlineStr"/>
      <c r="H305" s="11" t="inlineStr">
        <is>
          <t>INTERFACE P.O.S.</t>
        </is>
      </c>
      <c r="I305" s="11" t="n">
        <v>15000</v>
      </c>
      <c r="J305" s="11" t="inlineStr"/>
    </row>
    <row r="306">
      <c r="A306" s="11" t="n">
        <v>305</v>
      </c>
      <c r="B306" s="12" t="n">
        <v>46089</v>
      </c>
      <c r="C306" s="11" t="inlineStr">
        <is>
          <t>INTF</t>
        </is>
      </c>
      <c r="D306" s="11" t="inlineStr">
        <is>
          <t>202603</t>
        </is>
      </c>
      <c r="E306" s="11" t="inlineStr">
        <is>
          <t>1006851339</t>
        </is>
      </c>
      <c r="F306" s="11" t="inlineStr">
        <is>
          <t>TORRES CERON YEISON</t>
        </is>
      </c>
      <c r="G306" s="11" t="inlineStr"/>
      <c r="H306" s="11" t="inlineStr">
        <is>
          <t>INTERFACE P.O.S.</t>
        </is>
      </c>
      <c r="I306" s="11" t="n">
        <v>12900</v>
      </c>
      <c r="J306" s="11" t="inlineStr"/>
    </row>
    <row r="307">
      <c r="A307" s="11" t="n">
        <v>306</v>
      </c>
      <c r="B307" s="12" t="n">
        <v>46089</v>
      </c>
      <c r="C307" s="11" t="inlineStr">
        <is>
          <t>INTF</t>
        </is>
      </c>
      <c r="D307" s="11" t="inlineStr">
        <is>
          <t>202603</t>
        </is>
      </c>
      <c r="E307" s="11" t="inlineStr">
        <is>
          <t>1006850959</t>
        </is>
      </c>
      <c r="F307" s="11" t="inlineStr">
        <is>
          <t>TORRES NARVAEZ MARTA</t>
        </is>
      </c>
      <c r="G307" s="11" t="inlineStr"/>
      <c r="H307" s="11" t="inlineStr">
        <is>
          <t>INTERFACE P.O.S.</t>
        </is>
      </c>
      <c r="I307" s="11" t="n">
        <v>118800</v>
      </c>
      <c r="J307" s="11" t="inlineStr"/>
    </row>
    <row r="308">
      <c r="A308" s="11" t="n">
        <v>307</v>
      </c>
      <c r="B308" s="12" t="n">
        <v>46089</v>
      </c>
      <c r="C308" s="11" t="inlineStr">
        <is>
          <t>INTF</t>
        </is>
      </c>
      <c r="D308" s="11" t="inlineStr">
        <is>
          <t>202603</t>
        </is>
      </c>
      <c r="E308" s="11" t="inlineStr">
        <is>
          <t>1130144223</t>
        </is>
      </c>
      <c r="F308" s="11" t="inlineStr">
        <is>
          <t>CAICEDO YELA JASLEID</t>
        </is>
      </c>
      <c r="G308" s="11" t="inlineStr"/>
      <c r="H308" s="11" t="inlineStr">
        <is>
          <t>INTERFACE P.O.S.</t>
        </is>
      </c>
      <c r="I308" s="11" t="n">
        <v>27900</v>
      </c>
      <c r="J308" s="11" t="inlineStr"/>
    </row>
    <row r="309">
      <c r="A309" s="11" t="n">
        <v>308</v>
      </c>
      <c r="B309" s="12" t="n">
        <v>46089</v>
      </c>
      <c r="C309" s="11" t="inlineStr">
        <is>
          <t>INTF</t>
        </is>
      </c>
      <c r="D309" s="11" t="inlineStr">
        <is>
          <t>202603</t>
        </is>
      </c>
      <c r="E309" s="11" t="inlineStr">
        <is>
          <t>1123326389</t>
        </is>
      </c>
      <c r="F309" s="11" t="inlineStr">
        <is>
          <t>ARAUJO CADENA JOHANA</t>
        </is>
      </c>
      <c r="G309" s="11" t="inlineStr"/>
      <c r="H309" s="11" t="inlineStr">
        <is>
          <t>INTERFACE P.O.S.</t>
        </is>
      </c>
      <c r="I309" s="11" t="n">
        <v>31000</v>
      </c>
      <c r="J309" s="11" t="inlineStr"/>
    </row>
    <row r="310">
      <c r="A310" s="11" t="n">
        <v>309</v>
      </c>
      <c r="B310" s="12" t="n">
        <v>46089</v>
      </c>
      <c r="C310" s="11" t="inlineStr">
        <is>
          <t>INTF</t>
        </is>
      </c>
      <c r="D310" s="11" t="inlineStr">
        <is>
          <t>202603</t>
        </is>
      </c>
      <c r="E310" s="11" t="inlineStr">
        <is>
          <t>1123335144</t>
        </is>
      </c>
      <c r="F310" s="11" t="inlineStr">
        <is>
          <t>CRIOLLO PANTOJA GENI</t>
        </is>
      </c>
      <c r="G310" s="11" t="inlineStr"/>
      <c r="H310" s="11" t="inlineStr">
        <is>
          <t>INTERFACE P.O.S.</t>
        </is>
      </c>
      <c r="I310" s="11" t="n">
        <v>109000</v>
      </c>
      <c r="J310" s="11" t="inlineStr"/>
    </row>
    <row r="311">
      <c r="A311" s="11" t="n">
        <v>310</v>
      </c>
      <c r="B311" s="12" t="n">
        <v>46089</v>
      </c>
      <c r="C311" s="11" t="inlineStr">
        <is>
          <t>INTF</t>
        </is>
      </c>
      <c r="D311" s="11" t="inlineStr">
        <is>
          <t>202603</t>
        </is>
      </c>
      <c r="E311" s="11" t="inlineStr">
        <is>
          <t>36750591</t>
        </is>
      </c>
      <c r="F311" s="11" t="inlineStr">
        <is>
          <t>SANTACRUZ SALAS M</t>
        </is>
      </c>
      <c r="G311" s="11" t="inlineStr"/>
      <c r="H311" s="11" t="inlineStr">
        <is>
          <t>INTERFACE P.O.S.</t>
        </is>
      </c>
      <c r="I311" s="11" t="n">
        <v>35700</v>
      </c>
      <c r="J311" s="11" t="inlineStr"/>
    </row>
    <row r="312">
      <c r="A312" s="11" t="n">
        <v>311</v>
      </c>
      <c r="B312" s="12" t="n">
        <v>46089</v>
      </c>
      <c r="C312" s="11" t="inlineStr">
        <is>
          <t>INTF</t>
        </is>
      </c>
      <c r="D312" s="11" t="inlineStr">
        <is>
          <t>202603</t>
        </is>
      </c>
      <c r="E312" s="11" t="inlineStr">
        <is>
          <t>1033745063</t>
        </is>
      </c>
      <c r="F312" s="11" t="inlineStr">
        <is>
          <t>PEREZ CASAS DANA ALE</t>
        </is>
      </c>
      <c r="G312" s="11" t="inlineStr"/>
      <c r="H312" s="11" t="inlineStr">
        <is>
          <t>INTERFACE P.O.S.</t>
        </is>
      </c>
      <c r="I312" s="11" t="n">
        <v>4200</v>
      </c>
      <c r="J312" s="11" t="inlineStr"/>
    </row>
    <row r="313">
      <c r="A313" s="11" t="n">
        <v>312</v>
      </c>
      <c r="B313" s="12" t="n">
        <v>46089</v>
      </c>
      <c r="C313" s="11" t="inlineStr">
        <is>
          <t>INTF</t>
        </is>
      </c>
      <c r="D313" s="11" t="inlineStr">
        <is>
          <t>202603</t>
        </is>
      </c>
      <c r="E313" s="11" t="inlineStr">
        <is>
          <t>1123328807</t>
        </is>
      </c>
      <c r="F313" s="11" t="inlineStr">
        <is>
          <t>MALLA PANTOJA ANDREA</t>
        </is>
      </c>
      <c r="G313" s="11" t="inlineStr"/>
      <c r="H313" s="11" t="inlineStr">
        <is>
          <t>INTERFACE P.O.S.</t>
        </is>
      </c>
      <c r="I313" s="11" t="n">
        <v>10300</v>
      </c>
      <c r="J313" s="11" t="inlineStr"/>
    </row>
    <row r="314">
      <c r="A314" s="11" t="n">
        <v>313</v>
      </c>
      <c r="B314" s="12" t="n">
        <v>46090</v>
      </c>
      <c r="C314" s="11" t="inlineStr">
        <is>
          <t>CE</t>
        </is>
      </c>
      <c r="D314" s="11" t="inlineStr">
        <is>
          <t>9401</t>
        </is>
      </c>
      <c r="E314" s="11" t="inlineStr">
        <is>
          <t>12960879</t>
        </is>
      </c>
      <c r="F314" s="11" t="inlineStr">
        <is>
          <t>PATIÑO HERMES ANTONI</t>
        </is>
      </c>
      <c r="G314" s="11" t="inlineStr">
        <is>
          <t>M17392514</t>
        </is>
      </c>
      <c r="H314" s="11" t="inlineStr">
        <is>
          <t>PF ZENU</t>
        </is>
      </c>
      <c r="I314" s="11" t="inlineStr"/>
      <c r="J314" s="11" t="n">
        <v>2168575</v>
      </c>
    </row>
    <row r="315">
      <c r="A315" s="11" t="n">
        <v>314</v>
      </c>
      <c r="B315" s="12" t="n">
        <v>46090</v>
      </c>
      <c r="C315" s="11" t="inlineStr">
        <is>
          <t>INTF</t>
        </is>
      </c>
      <c r="D315" s="11" t="inlineStr">
        <is>
          <t>202603</t>
        </is>
      </c>
      <c r="E315" s="11" t="inlineStr">
        <is>
          <t>1123333281</t>
        </is>
      </c>
      <c r="F315" s="11" t="inlineStr">
        <is>
          <t>RENDON CHAMORRO JESS</t>
        </is>
      </c>
      <c r="G315" s="11" t="inlineStr"/>
      <c r="H315" s="11" t="inlineStr">
        <is>
          <t>INTERFACE P.O.S.</t>
        </is>
      </c>
      <c r="I315" s="11" t="n">
        <v>14200</v>
      </c>
      <c r="J315" s="11" t="inlineStr"/>
    </row>
    <row r="316">
      <c r="A316" s="11" t="n">
        <v>315</v>
      </c>
      <c r="B316" s="12" t="n">
        <v>46090</v>
      </c>
      <c r="C316" s="11" t="inlineStr">
        <is>
          <t>INTF</t>
        </is>
      </c>
      <c r="D316" s="11" t="inlineStr">
        <is>
          <t>202603</t>
        </is>
      </c>
      <c r="E316" s="11" t="inlineStr">
        <is>
          <t>1006843129</t>
        </is>
      </c>
      <c r="F316" s="11" t="inlineStr">
        <is>
          <t>RICALDE ROSERO NARKY</t>
        </is>
      </c>
      <c r="G316" s="11" t="inlineStr"/>
      <c r="H316" s="11" t="inlineStr">
        <is>
          <t>INTERFACE P.O.S.</t>
        </is>
      </c>
      <c r="I316" s="11" t="n">
        <v>18500</v>
      </c>
      <c r="J316" s="11" t="inlineStr"/>
    </row>
    <row r="317">
      <c r="A317" s="11" t="n">
        <v>316</v>
      </c>
      <c r="B317" s="12" t="n">
        <v>46090</v>
      </c>
      <c r="C317" s="11" t="inlineStr">
        <is>
          <t>INTF</t>
        </is>
      </c>
      <c r="D317" s="11" t="inlineStr">
        <is>
          <t>202603</t>
        </is>
      </c>
      <c r="E317" s="11" t="inlineStr">
        <is>
          <t>1123332577</t>
        </is>
      </c>
      <c r="F317" s="11" t="inlineStr">
        <is>
          <t>VILLOTA VILLAMARIN N</t>
        </is>
      </c>
      <c r="G317" s="11" t="inlineStr"/>
      <c r="H317" s="11" t="inlineStr">
        <is>
          <t>INTERFACE P.O.S.</t>
        </is>
      </c>
      <c r="I317" s="11" t="n">
        <v>23800</v>
      </c>
      <c r="J317" s="11" t="inlineStr"/>
    </row>
    <row r="318">
      <c r="A318" s="11" t="n">
        <v>317</v>
      </c>
      <c r="B318" s="12" t="n">
        <v>46090</v>
      </c>
      <c r="C318" s="11" t="inlineStr">
        <is>
          <t>INTF</t>
        </is>
      </c>
      <c r="D318" s="11" t="inlineStr">
        <is>
          <t>202603</t>
        </is>
      </c>
      <c r="E318" s="11" t="inlineStr">
        <is>
          <t>41108099</t>
        </is>
      </c>
      <c r="F318" s="11" t="inlineStr">
        <is>
          <t>BURBANO GARCIA DORA</t>
        </is>
      </c>
      <c r="G318" s="11" t="inlineStr"/>
      <c r="H318" s="11" t="inlineStr">
        <is>
          <t>INTERFACE P.O.S.</t>
        </is>
      </c>
      <c r="I318" s="11" t="n">
        <v>6000</v>
      </c>
      <c r="J318" s="11" t="inlineStr"/>
    </row>
    <row r="319">
      <c r="A319" s="11" t="n">
        <v>318</v>
      </c>
      <c r="B319" s="12" t="n">
        <v>46090</v>
      </c>
      <c r="C319" s="11" t="inlineStr">
        <is>
          <t>INTF</t>
        </is>
      </c>
      <c r="D319" s="11" t="inlineStr">
        <is>
          <t>202603</t>
        </is>
      </c>
      <c r="E319" s="11" t="inlineStr">
        <is>
          <t>1061772533</t>
        </is>
      </c>
      <c r="F319" s="11" t="inlineStr">
        <is>
          <t>ROJAS RESTREPO HEIDY</t>
        </is>
      </c>
      <c r="G319" s="11" t="inlineStr"/>
      <c r="H319" s="11" t="inlineStr">
        <is>
          <t>INTERFACE P.O.S.</t>
        </is>
      </c>
      <c r="I319" s="11" t="n">
        <v>48300</v>
      </c>
      <c r="J319" s="11" t="inlineStr"/>
    </row>
    <row r="320">
      <c r="A320" s="11" t="n">
        <v>319</v>
      </c>
      <c r="B320" s="12" t="n">
        <v>46090</v>
      </c>
      <c r="C320" s="11" t="inlineStr">
        <is>
          <t>INTF</t>
        </is>
      </c>
      <c r="D320" s="11" t="inlineStr">
        <is>
          <t>202603</t>
        </is>
      </c>
      <c r="E320" s="11" t="inlineStr">
        <is>
          <t>1123332222</t>
        </is>
      </c>
      <c r="F320" s="11" t="inlineStr">
        <is>
          <t>MARTINEZ CALLES YULI</t>
        </is>
      </c>
      <c r="G320" s="11" t="inlineStr"/>
      <c r="H320" s="11" t="inlineStr">
        <is>
          <t>INTERFACE P.O.S.</t>
        </is>
      </c>
      <c r="I320" s="11" t="n">
        <v>22600</v>
      </c>
      <c r="J320" s="11" t="inlineStr"/>
    </row>
    <row r="321">
      <c r="A321" s="11" t="n">
        <v>320</v>
      </c>
      <c r="B321" s="12" t="n">
        <v>46090</v>
      </c>
      <c r="C321" s="11" t="inlineStr">
        <is>
          <t>INTF</t>
        </is>
      </c>
      <c r="D321" s="11" t="inlineStr">
        <is>
          <t>202603</t>
        </is>
      </c>
      <c r="E321" s="11" t="inlineStr">
        <is>
          <t>1123331758</t>
        </is>
      </c>
      <c r="F321" s="11" t="inlineStr">
        <is>
          <t>GRAJALES OSORIO DIAN</t>
        </is>
      </c>
      <c r="G321" s="11" t="inlineStr"/>
      <c r="H321" s="11" t="inlineStr">
        <is>
          <t>INTERFACE P.O.S.</t>
        </is>
      </c>
      <c r="I321" s="11" t="n">
        <v>124800</v>
      </c>
      <c r="J321" s="11" t="inlineStr"/>
    </row>
    <row r="322">
      <c r="A322" s="11" t="n">
        <v>321</v>
      </c>
      <c r="B322" s="12" t="n">
        <v>46090</v>
      </c>
      <c r="C322" s="11" t="inlineStr">
        <is>
          <t>INTF</t>
        </is>
      </c>
      <c r="D322" s="11" t="inlineStr">
        <is>
          <t>202603</t>
        </is>
      </c>
      <c r="E322" s="11" t="inlineStr">
        <is>
          <t>1123320090</t>
        </is>
      </c>
      <c r="F322" s="11" t="inlineStr">
        <is>
          <t>CABRERA GUTIERREZ LU</t>
        </is>
      </c>
      <c r="G322" s="11" t="inlineStr"/>
      <c r="H322" s="11" t="inlineStr">
        <is>
          <t>INTERFACE P.O.S.</t>
        </is>
      </c>
      <c r="I322" s="11" t="n">
        <v>44000</v>
      </c>
      <c r="J322" s="11" t="inlineStr"/>
    </row>
    <row r="323">
      <c r="A323" s="11" t="n">
        <v>322</v>
      </c>
      <c r="B323" s="12" t="n">
        <v>46090</v>
      </c>
      <c r="C323" s="11" t="inlineStr">
        <is>
          <t>INTF</t>
        </is>
      </c>
      <c r="D323" s="11" t="inlineStr">
        <is>
          <t>202603</t>
        </is>
      </c>
      <c r="E323" s="11" t="inlineStr">
        <is>
          <t>1075300641</t>
        </is>
      </c>
      <c r="F323" s="11" t="inlineStr">
        <is>
          <t>MILLAN SOUSA NATALY</t>
        </is>
      </c>
      <c r="G323" s="11" t="inlineStr"/>
      <c r="H323" s="11" t="inlineStr">
        <is>
          <t>INTERFACE P.O.S.</t>
        </is>
      </c>
      <c r="I323" s="11" t="n">
        <v>19600</v>
      </c>
      <c r="J323" s="11" t="inlineStr"/>
    </row>
    <row r="324">
      <c r="A324" s="11" t="n">
        <v>323</v>
      </c>
      <c r="B324" s="12" t="n">
        <v>46090</v>
      </c>
      <c r="C324" s="11" t="inlineStr">
        <is>
          <t>INTF</t>
        </is>
      </c>
      <c r="D324" s="11" t="inlineStr">
        <is>
          <t>202603</t>
        </is>
      </c>
      <c r="E324" s="11" t="inlineStr">
        <is>
          <t>901649424</t>
        </is>
      </c>
      <c r="F324" s="11" t="inlineStr">
        <is>
          <t>CONSORCIO OBRAS ACO.</t>
        </is>
      </c>
      <c r="G324" s="11" t="inlineStr"/>
      <c r="H324" s="11" t="inlineStr">
        <is>
          <t>INTERFACE P.O.S.</t>
        </is>
      </c>
      <c r="I324" s="11" t="n">
        <v>20000</v>
      </c>
      <c r="J324" s="11" t="inlineStr"/>
    </row>
    <row r="325">
      <c r="A325" s="11" t="n">
        <v>324</v>
      </c>
      <c r="B325" s="12" t="n">
        <v>46090</v>
      </c>
      <c r="C325" s="11" t="inlineStr">
        <is>
          <t>INTF</t>
        </is>
      </c>
      <c r="D325" s="11" t="inlineStr">
        <is>
          <t>202603</t>
        </is>
      </c>
      <c r="E325" s="11" t="inlineStr">
        <is>
          <t>1023968833</t>
        </is>
      </c>
      <c r="F325" s="11" t="inlineStr">
        <is>
          <t>MAYORGA SABOGAL MARI</t>
        </is>
      </c>
      <c r="G325" s="11" t="inlineStr"/>
      <c r="H325" s="11" t="inlineStr">
        <is>
          <t>INTERFACE P.O.S.</t>
        </is>
      </c>
      <c r="I325" s="11" t="n">
        <v>15600</v>
      </c>
      <c r="J325" s="11" t="inlineStr"/>
    </row>
    <row r="326">
      <c r="A326" s="11" t="n">
        <v>325</v>
      </c>
      <c r="B326" s="12" t="n">
        <v>46090</v>
      </c>
      <c r="C326" s="11" t="inlineStr">
        <is>
          <t>INTF</t>
        </is>
      </c>
      <c r="D326" s="11" t="inlineStr">
        <is>
          <t>202603</t>
        </is>
      </c>
      <c r="E326" s="11" t="inlineStr">
        <is>
          <t>18145192</t>
        </is>
      </c>
      <c r="F326" s="11" t="inlineStr">
        <is>
          <t>JARAMILLO CORTEZ OMA</t>
        </is>
      </c>
      <c r="G326" s="11" t="inlineStr"/>
      <c r="H326" s="11" t="inlineStr">
        <is>
          <t>INTERFACE P.O.S.</t>
        </is>
      </c>
      <c r="I326" s="11" t="n">
        <v>6500</v>
      </c>
      <c r="J326" s="11" t="inlineStr"/>
    </row>
    <row r="327">
      <c r="A327" s="11" t="n">
        <v>326</v>
      </c>
      <c r="B327" s="12" t="n">
        <v>46090</v>
      </c>
      <c r="C327" s="11" t="inlineStr">
        <is>
          <t>INTF</t>
        </is>
      </c>
      <c r="D327" s="11" t="inlineStr">
        <is>
          <t>202603</t>
        </is>
      </c>
      <c r="E327" s="11" t="inlineStr">
        <is>
          <t>1006850975</t>
        </is>
      </c>
      <c r="F327" s="11" t="inlineStr">
        <is>
          <t>ALDANA RENTERIA JOHA</t>
        </is>
      </c>
      <c r="G327" s="11" t="inlineStr"/>
      <c r="H327" s="11" t="inlineStr">
        <is>
          <t>INTERFACE P.O.S.</t>
        </is>
      </c>
      <c r="I327" s="11" t="n">
        <v>5600</v>
      </c>
      <c r="J327" s="11" t="inlineStr"/>
    </row>
    <row r="328">
      <c r="A328" s="11" t="n">
        <v>327</v>
      </c>
      <c r="B328" s="12" t="n">
        <v>46090</v>
      </c>
      <c r="C328" s="11" t="inlineStr">
        <is>
          <t>INTF</t>
        </is>
      </c>
      <c r="D328" s="11" t="inlineStr">
        <is>
          <t>202603</t>
        </is>
      </c>
      <c r="E328" s="11" t="inlineStr">
        <is>
          <t>1087749045</t>
        </is>
      </c>
      <c r="F328" s="11" t="inlineStr">
        <is>
          <t>INGRID DAYERLY QUINT</t>
        </is>
      </c>
      <c r="G328" s="11" t="inlineStr"/>
      <c r="H328" s="11" t="inlineStr">
        <is>
          <t>INTERFACE P.O.S.</t>
        </is>
      </c>
      <c r="I328" s="11" t="n">
        <v>1000</v>
      </c>
      <c r="J328" s="11" t="inlineStr"/>
    </row>
    <row r="329">
      <c r="A329" s="11" t="n">
        <v>328</v>
      </c>
      <c r="B329" s="12" t="n">
        <v>46090</v>
      </c>
      <c r="C329" s="11" t="inlineStr">
        <is>
          <t>INTF</t>
        </is>
      </c>
      <c r="D329" s="11" t="inlineStr">
        <is>
          <t>202603</t>
        </is>
      </c>
      <c r="E329" s="11" t="inlineStr">
        <is>
          <t>1006994711</t>
        </is>
      </c>
      <c r="F329" s="11" t="inlineStr">
        <is>
          <t>MOSQUERA PALACIOS JE</t>
        </is>
      </c>
      <c r="G329" s="11" t="inlineStr"/>
      <c r="H329" s="11" t="inlineStr">
        <is>
          <t>INTERFACE P.O.S.</t>
        </is>
      </c>
      <c r="I329" s="11" t="n">
        <v>19500</v>
      </c>
      <c r="J329" s="11" t="inlineStr"/>
    </row>
    <row r="330">
      <c r="A330" s="11" t="n">
        <v>329</v>
      </c>
      <c r="B330" s="12" t="n">
        <v>46090</v>
      </c>
      <c r="C330" s="11" t="inlineStr">
        <is>
          <t>INTF</t>
        </is>
      </c>
      <c r="D330" s="11" t="inlineStr">
        <is>
          <t>202603</t>
        </is>
      </c>
      <c r="E330" s="11" t="inlineStr">
        <is>
          <t>1006995728</t>
        </is>
      </c>
      <c r="F330" s="11" t="inlineStr">
        <is>
          <t>SANTANDER BENAVIDES</t>
        </is>
      </c>
      <c r="G330" s="11" t="inlineStr"/>
      <c r="H330" s="11" t="inlineStr">
        <is>
          <t>INTERFACE P.O.S.</t>
        </is>
      </c>
      <c r="I330" s="11" t="n">
        <v>2500</v>
      </c>
      <c r="J330" s="11" t="inlineStr"/>
    </row>
    <row r="331">
      <c r="A331" s="11" t="n">
        <v>330</v>
      </c>
      <c r="B331" s="12" t="n">
        <v>46090</v>
      </c>
      <c r="C331" s="11" t="inlineStr">
        <is>
          <t>INTF</t>
        </is>
      </c>
      <c r="D331" s="11" t="inlineStr">
        <is>
          <t>202603</t>
        </is>
      </c>
      <c r="E331" s="11" t="inlineStr">
        <is>
          <t>1120066181</t>
        </is>
      </c>
      <c r="F331" s="11" t="inlineStr">
        <is>
          <t>GOMEZ GOMEZ JIMENA</t>
        </is>
      </c>
      <c r="G331" s="11" t="inlineStr"/>
      <c r="H331" s="11" t="inlineStr">
        <is>
          <t>INTERFACE P.O.S.</t>
        </is>
      </c>
      <c r="I331" s="11" t="n">
        <v>8000</v>
      </c>
      <c r="J331" s="11" t="inlineStr"/>
    </row>
    <row r="332">
      <c r="A332" s="11" t="n">
        <v>331</v>
      </c>
      <c r="B332" s="12" t="n">
        <v>46090</v>
      </c>
      <c r="C332" s="11" t="inlineStr">
        <is>
          <t>INTF</t>
        </is>
      </c>
      <c r="D332" s="11" t="inlineStr">
        <is>
          <t>202603</t>
        </is>
      </c>
      <c r="E332" s="11" t="inlineStr">
        <is>
          <t>1085282128</t>
        </is>
      </c>
      <c r="F332" s="11" t="inlineStr">
        <is>
          <t>CHANA POTOSI EDISSON</t>
        </is>
      </c>
      <c r="G332" s="11" t="inlineStr"/>
      <c r="H332" s="11" t="inlineStr">
        <is>
          <t>INTERFACE P.O.S.</t>
        </is>
      </c>
      <c r="I332" s="11" t="n">
        <v>62400</v>
      </c>
      <c r="J332" s="11" t="inlineStr"/>
    </row>
    <row r="333">
      <c r="A333" s="11" t="n">
        <v>332</v>
      </c>
      <c r="B333" s="12" t="n">
        <v>46090</v>
      </c>
      <c r="C333" s="11" t="inlineStr">
        <is>
          <t>INTF</t>
        </is>
      </c>
      <c r="D333" s="11" t="inlineStr">
        <is>
          <t>202603</t>
        </is>
      </c>
      <c r="E333" s="11" t="inlineStr">
        <is>
          <t>36759831</t>
        </is>
      </c>
      <c r="F333" s="11" t="inlineStr">
        <is>
          <t>ORTIZ ANACONA MELVA</t>
        </is>
      </c>
      <c r="G333" s="11" t="inlineStr"/>
      <c r="H333" s="11" t="inlineStr">
        <is>
          <t>INTERFACE P.O.S.</t>
        </is>
      </c>
      <c r="I333" s="11" t="n">
        <v>5200</v>
      </c>
      <c r="J333" s="11" t="inlineStr"/>
    </row>
    <row r="334">
      <c r="A334" s="11" t="n">
        <v>333</v>
      </c>
      <c r="B334" s="12" t="n">
        <v>46090</v>
      </c>
      <c r="C334" s="11" t="inlineStr">
        <is>
          <t>INTF</t>
        </is>
      </c>
      <c r="D334" s="11" t="inlineStr">
        <is>
          <t>202603</t>
        </is>
      </c>
      <c r="E334" s="11" t="inlineStr">
        <is>
          <t>1123321172</t>
        </is>
      </c>
      <c r="F334" s="11" t="inlineStr">
        <is>
          <t>JUAQUI RODRIGUEZ YES</t>
        </is>
      </c>
      <c r="G334" s="11" t="inlineStr"/>
      <c r="H334" s="11" t="inlineStr">
        <is>
          <t>INTERFACE P.O.S.</t>
        </is>
      </c>
      <c r="I334" s="11" t="n">
        <v>25300</v>
      </c>
      <c r="J334" s="11" t="inlineStr"/>
    </row>
    <row r="335">
      <c r="A335" s="11" t="n">
        <v>334</v>
      </c>
      <c r="B335" s="12" t="n">
        <v>46090</v>
      </c>
      <c r="C335" s="11" t="inlineStr">
        <is>
          <t>INTF</t>
        </is>
      </c>
      <c r="D335" s="11" t="inlineStr">
        <is>
          <t>202603</t>
        </is>
      </c>
      <c r="E335" s="11" t="inlineStr">
        <is>
          <t>1123321589</t>
        </is>
      </c>
      <c r="F335" s="11" t="inlineStr">
        <is>
          <t>DIAS CHAVEZ EVA LINE</t>
        </is>
      </c>
      <c r="G335" s="11" t="inlineStr"/>
      <c r="H335" s="11" t="inlineStr">
        <is>
          <t>INTERFACE P.O.S.</t>
        </is>
      </c>
      <c r="I335" s="11" t="n">
        <v>16000</v>
      </c>
      <c r="J335" s="11" t="inlineStr"/>
    </row>
    <row r="336">
      <c r="A336" s="11" t="n">
        <v>335</v>
      </c>
      <c r="B336" s="12" t="n">
        <v>46090</v>
      </c>
      <c r="C336" s="11" t="inlineStr">
        <is>
          <t>INTF</t>
        </is>
      </c>
      <c r="D336" s="11" t="inlineStr">
        <is>
          <t>202603</t>
        </is>
      </c>
      <c r="E336" s="11" t="inlineStr">
        <is>
          <t>1127070384</t>
        </is>
      </c>
      <c r="F336" s="11" t="inlineStr">
        <is>
          <t>MARCILLO CUCHALA EVI</t>
        </is>
      </c>
      <c r="G336" s="11" t="inlineStr"/>
      <c r="H336" s="11" t="inlineStr">
        <is>
          <t>INTERFACE P.O.S.</t>
        </is>
      </c>
      <c r="I336" s="11" t="n">
        <v>16200</v>
      </c>
      <c r="J336" s="11" t="inlineStr"/>
    </row>
    <row r="337">
      <c r="A337" s="11" t="n">
        <v>336</v>
      </c>
      <c r="B337" s="12" t="n">
        <v>46090</v>
      </c>
      <c r="C337" s="11" t="inlineStr">
        <is>
          <t>INTF</t>
        </is>
      </c>
      <c r="D337" s="11" t="inlineStr">
        <is>
          <t>202603</t>
        </is>
      </c>
      <c r="E337" s="11" t="inlineStr">
        <is>
          <t>59831372</t>
        </is>
      </c>
      <c r="F337" s="11" t="inlineStr">
        <is>
          <t>CASTILLO CORRALES SI</t>
        </is>
      </c>
      <c r="G337" s="11" t="inlineStr"/>
      <c r="H337" s="11" t="inlineStr">
        <is>
          <t>INTERFACE P.O.S.</t>
        </is>
      </c>
      <c r="I337" s="11" t="n">
        <v>16000</v>
      </c>
      <c r="J337" s="11" t="inlineStr"/>
    </row>
    <row r="338">
      <c r="A338" s="11" t="n">
        <v>337</v>
      </c>
      <c r="B338" s="12" t="n">
        <v>46090</v>
      </c>
      <c r="C338" s="11" t="inlineStr">
        <is>
          <t>INTF</t>
        </is>
      </c>
      <c r="D338" s="11" t="inlineStr">
        <is>
          <t>202603</t>
        </is>
      </c>
      <c r="E338" s="11" t="inlineStr">
        <is>
          <t>1124858469</t>
        </is>
      </c>
      <c r="F338" s="11" t="inlineStr">
        <is>
          <t>MARIN BENAVIDES EDWI</t>
        </is>
      </c>
      <c r="G338" s="11" t="inlineStr"/>
      <c r="H338" s="11" t="inlineStr">
        <is>
          <t>INTERFACE P.O.S.</t>
        </is>
      </c>
      <c r="I338" s="11" t="n">
        <v>4000</v>
      </c>
      <c r="J338" s="11" t="inlineStr"/>
    </row>
    <row r="339">
      <c r="A339" s="11" t="n">
        <v>338</v>
      </c>
      <c r="B339" s="12" t="n">
        <v>46090</v>
      </c>
      <c r="C339" s="11" t="inlineStr">
        <is>
          <t>INTF</t>
        </is>
      </c>
      <c r="D339" s="11" t="inlineStr">
        <is>
          <t>202603</t>
        </is>
      </c>
      <c r="E339" s="11" t="inlineStr">
        <is>
          <t>1130146535</t>
        </is>
      </c>
      <c r="F339" s="11" t="inlineStr">
        <is>
          <t>ARENAS GARCIA LUISA</t>
        </is>
      </c>
      <c r="G339" s="11" t="inlineStr"/>
      <c r="H339" s="11" t="inlineStr">
        <is>
          <t>INTERFACE P.O.S.</t>
        </is>
      </c>
      <c r="I339" s="11" t="n">
        <v>103100</v>
      </c>
      <c r="J339" s="11" t="inlineStr"/>
    </row>
    <row r="340">
      <c r="A340" s="11" t="n">
        <v>339</v>
      </c>
      <c r="B340" s="12" t="n">
        <v>46090</v>
      </c>
      <c r="C340" s="11" t="inlineStr">
        <is>
          <t>INTF</t>
        </is>
      </c>
      <c r="D340" s="11" t="inlineStr">
        <is>
          <t>202603</t>
        </is>
      </c>
      <c r="E340" s="11" t="inlineStr">
        <is>
          <t>1075281542</t>
        </is>
      </c>
      <c r="F340" s="11" t="inlineStr">
        <is>
          <t>RODRIGUEZ BUITRON KA</t>
        </is>
      </c>
      <c r="G340" s="11" t="inlineStr"/>
      <c r="H340" s="11" t="inlineStr">
        <is>
          <t>INTERFACE P.O.S.</t>
        </is>
      </c>
      <c r="I340" s="11" t="n">
        <v>18300</v>
      </c>
      <c r="J340" s="11" t="inlineStr"/>
    </row>
    <row r="341">
      <c r="A341" s="11" t="n">
        <v>340</v>
      </c>
      <c r="B341" s="12" t="n">
        <v>46090</v>
      </c>
      <c r="C341" s="11" t="inlineStr">
        <is>
          <t>INTF</t>
        </is>
      </c>
      <c r="D341" s="11" t="inlineStr">
        <is>
          <t>202603</t>
        </is>
      </c>
      <c r="E341" s="11" t="inlineStr">
        <is>
          <t>1033680123</t>
        </is>
      </c>
      <c r="F341" s="11" t="inlineStr">
        <is>
          <t>URREGO BELTRAN YENI</t>
        </is>
      </c>
      <c r="G341" s="11" t="inlineStr"/>
      <c r="H341" s="11" t="inlineStr">
        <is>
          <t>INTERFACE P.O.S.</t>
        </is>
      </c>
      <c r="I341" s="11" t="n">
        <v>17600</v>
      </c>
      <c r="J341" s="11" t="inlineStr"/>
    </row>
    <row r="342">
      <c r="A342" s="11" t="n">
        <v>341</v>
      </c>
      <c r="B342" s="12" t="n">
        <v>46090</v>
      </c>
      <c r="C342" s="11" t="inlineStr">
        <is>
          <t>INTF</t>
        </is>
      </c>
      <c r="D342" s="11" t="inlineStr">
        <is>
          <t>202603</t>
        </is>
      </c>
      <c r="E342" s="11" t="inlineStr">
        <is>
          <t>1130643711</t>
        </is>
      </c>
      <c r="F342" s="11" t="inlineStr">
        <is>
          <t>MEDINA MOSQUERA LUZ</t>
        </is>
      </c>
      <c r="G342" s="11" t="inlineStr"/>
      <c r="H342" s="11" t="inlineStr">
        <is>
          <t>INTERFACE P.O.S.</t>
        </is>
      </c>
      <c r="I342" s="11" t="n">
        <v>7700</v>
      </c>
      <c r="J342" s="11" t="inlineStr"/>
    </row>
    <row r="343">
      <c r="A343" s="11" t="n">
        <v>342</v>
      </c>
      <c r="B343" s="12" t="n">
        <v>46090</v>
      </c>
      <c r="C343" s="11" t="inlineStr">
        <is>
          <t>INTF</t>
        </is>
      </c>
      <c r="D343" s="11" t="inlineStr">
        <is>
          <t>202603</t>
        </is>
      </c>
      <c r="E343" s="11" t="inlineStr">
        <is>
          <t>1006696549</t>
        </is>
      </c>
      <c r="F343" s="11" t="inlineStr">
        <is>
          <t>CIFUENTES AGATON ING</t>
        </is>
      </c>
      <c r="G343" s="11" t="inlineStr"/>
      <c r="H343" s="11" t="inlineStr">
        <is>
          <t>INTERFACE P.O.S.</t>
        </is>
      </c>
      <c r="I343" s="11" t="n">
        <v>19900</v>
      </c>
      <c r="J343" s="11" t="inlineStr"/>
    </row>
    <row r="344">
      <c r="A344" s="11" t="n">
        <v>343</v>
      </c>
      <c r="B344" s="12" t="n">
        <v>46090</v>
      </c>
      <c r="C344" s="11" t="inlineStr">
        <is>
          <t>INTF</t>
        </is>
      </c>
      <c r="D344" s="11" t="inlineStr">
        <is>
          <t>202603</t>
        </is>
      </c>
      <c r="E344" s="11" t="inlineStr">
        <is>
          <t>1123208118</t>
        </is>
      </c>
      <c r="F344" s="11" t="inlineStr">
        <is>
          <t>ZAMBRANO SEBASTIAN</t>
        </is>
      </c>
      <c r="G344" s="11" t="inlineStr"/>
      <c r="H344" s="11" t="inlineStr">
        <is>
          <t>INTERFACE P.O.S.</t>
        </is>
      </c>
      <c r="I344" s="11" t="n">
        <v>90000</v>
      </c>
      <c r="J344" s="11" t="inlineStr"/>
    </row>
    <row r="345">
      <c r="A345" s="11" t="n">
        <v>344</v>
      </c>
      <c r="B345" s="12" t="n">
        <v>46090</v>
      </c>
      <c r="C345" s="11" t="inlineStr">
        <is>
          <t>INTF</t>
        </is>
      </c>
      <c r="D345" s="11" t="inlineStr">
        <is>
          <t>202603</t>
        </is>
      </c>
      <c r="E345" s="11" t="inlineStr">
        <is>
          <t>1124863915</t>
        </is>
      </c>
      <c r="F345" s="11" t="inlineStr">
        <is>
          <t>ZAMBRANO ZUIN OMAR Y</t>
        </is>
      </c>
      <c r="G345" s="11" t="inlineStr"/>
      <c r="H345" s="11" t="inlineStr">
        <is>
          <t>INTERFACE P.O.S.</t>
        </is>
      </c>
      <c r="I345" s="11" t="n">
        <v>12300</v>
      </c>
      <c r="J345" s="11" t="inlineStr"/>
    </row>
    <row r="346">
      <c r="A346" s="11" t="n">
        <v>345</v>
      </c>
      <c r="B346" s="12" t="n">
        <v>46090</v>
      </c>
      <c r="C346" s="11" t="inlineStr">
        <is>
          <t>INTF</t>
        </is>
      </c>
      <c r="D346" s="11" t="inlineStr">
        <is>
          <t>202603</t>
        </is>
      </c>
      <c r="E346" s="11" t="inlineStr">
        <is>
          <t>41109993</t>
        </is>
      </c>
      <c r="F346" s="11" t="inlineStr">
        <is>
          <t>MONTENEGRO GONSALEZ</t>
        </is>
      </c>
      <c r="G346" s="11" t="inlineStr"/>
      <c r="H346" s="11" t="inlineStr">
        <is>
          <t>INTERFACE P.O.S.</t>
        </is>
      </c>
      <c r="I346" s="11" t="n">
        <v>48100</v>
      </c>
      <c r="J346" s="11" t="inlineStr"/>
    </row>
    <row r="347">
      <c r="A347" s="11" t="n">
        <v>346</v>
      </c>
      <c r="B347" s="12" t="n">
        <v>46090</v>
      </c>
      <c r="C347" s="11" t="inlineStr">
        <is>
          <t>INTF</t>
        </is>
      </c>
      <c r="D347" s="11" t="inlineStr">
        <is>
          <t>202603</t>
        </is>
      </c>
      <c r="E347" s="11" t="inlineStr">
        <is>
          <t>1130145844</t>
        </is>
      </c>
      <c r="F347" s="11" t="inlineStr">
        <is>
          <t>GARCIA PANTOJA FEDE</t>
        </is>
      </c>
      <c r="G347" s="11" t="inlineStr"/>
      <c r="H347" s="11" t="inlineStr">
        <is>
          <t>INTERFACE P.O.S.</t>
        </is>
      </c>
      <c r="I347" s="11" t="n">
        <v>5200</v>
      </c>
      <c r="J347" s="11" t="inlineStr"/>
    </row>
    <row r="348">
      <c r="A348" s="11" t="n">
        <v>347</v>
      </c>
      <c r="B348" s="12" t="n">
        <v>46090</v>
      </c>
      <c r="C348" s="11" t="inlineStr">
        <is>
          <t>INTF</t>
        </is>
      </c>
      <c r="D348" s="11" t="inlineStr">
        <is>
          <t>202603</t>
        </is>
      </c>
      <c r="E348" s="11" t="inlineStr">
        <is>
          <t>1006851086</t>
        </is>
      </c>
      <c r="F348" s="11" t="inlineStr">
        <is>
          <t>CALVACHE YESINIA</t>
        </is>
      </c>
      <c r="G348" s="11" t="inlineStr"/>
      <c r="H348" s="11" t="inlineStr">
        <is>
          <t>INTERFACE P.O.S.</t>
        </is>
      </c>
      <c r="I348" s="11" t="n">
        <v>13500</v>
      </c>
      <c r="J348" s="11" t="inlineStr"/>
    </row>
    <row r="349">
      <c r="A349" s="11" t="n">
        <v>348</v>
      </c>
      <c r="B349" s="12" t="n">
        <v>46090</v>
      </c>
      <c r="C349" s="11" t="inlineStr">
        <is>
          <t>INTF</t>
        </is>
      </c>
      <c r="D349" s="11" t="inlineStr">
        <is>
          <t>202603</t>
        </is>
      </c>
      <c r="E349" s="11" t="inlineStr">
        <is>
          <t>1002999243</t>
        </is>
      </c>
      <c r="F349" s="11" t="inlineStr">
        <is>
          <t>ALTAMIRANDA ARROYO K</t>
        </is>
      </c>
      <c r="G349" s="11" t="inlineStr"/>
      <c r="H349" s="11" t="inlineStr">
        <is>
          <t>INTERFACE P.O.S.</t>
        </is>
      </c>
      <c r="I349" s="11" t="n">
        <v>43300</v>
      </c>
      <c r="J349" s="11" t="inlineStr"/>
    </row>
    <row r="350">
      <c r="A350" s="11" t="n">
        <v>349</v>
      </c>
      <c r="B350" s="12" t="n">
        <v>46090</v>
      </c>
      <c r="C350" s="11" t="inlineStr">
        <is>
          <t>RC</t>
        </is>
      </c>
      <c r="D350" s="11" t="inlineStr">
        <is>
          <t>4120</t>
        </is>
      </c>
      <c r="E350" s="11" t="inlineStr">
        <is>
          <t>1123334735</t>
        </is>
      </c>
      <c r="F350" s="11" t="inlineStr">
        <is>
          <t>LOPEZ BOLAÑOS SANDRA</t>
        </is>
      </c>
      <c r="G350" s="11" t="inlineStr">
        <is>
          <t>4735</t>
        </is>
      </c>
      <c r="H350" s="11" t="inlineStr">
        <is>
          <t>RC SANDRA LOPEZ</t>
        </is>
      </c>
      <c r="I350" s="11" t="n">
        <v>278800</v>
      </c>
      <c r="J350" s="11" t="inlineStr"/>
    </row>
    <row r="351">
      <c r="A351" s="11" t="n">
        <v>350</v>
      </c>
      <c r="B351" s="12" t="n">
        <v>46091</v>
      </c>
      <c r="C351" s="11" t="inlineStr">
        <is>
          <t>INTF</t>
        </is>
      </c>
      <c r="D351" s="11" t="inlineStr">
        <is>
          <t>202603</t>
        </is>
      </c>
      <c r="E351" s="11" t="inlineStr">
        <is>
          <t>79557789</t>
        </is>
      </c>
      <c r="F351" s="11" t="inlineStr">
        <is>
          <t>CORDOBA PORTILLA ORL</t>
        </is>
      </c>
      <c r="G351" s="11" t="inlineStr"/>
      <c r="H351" s="11" t="inlineStr">
        <is>
          <t>INTERFACE P.O.S.</t>
        </is>
      </c>
      <c r="I351" s="11" t="n">
        <v>23500</v>
      </c>
      <c r="J351" s="11" t="inlineStr"/>
    </row>
    <row r="352">
      <c r="A352" s="11" t="n">
        <v>351</v>
      </c>
      <c r="B352" s="12" t="n">
        <v>46091</v>
      </c>
      <c r="C352" s="11" t="inlineStr">
        <is>
          <t>INTF</t>
        </is>
      </c>
      <c r="D352" s="11" t="inlineStr">
        <is>
          <t>202603</t>
        </is>
      </c>
      <c r="E352" s="11" t="inlineStr">
        <is>
          <t>1010191725</t>
        </is>
      </c>
      <c r="F352" s="11" t="inlineStr">
        <is>
          <t>ROSERO ACOSTA JAIBER</t>
        </is>
      </c>
      <c r="G352" s="11" t="inlineStr"/>
      <c r="H352" s="11" t="inlineStr">
        <is>
          <t>INTERFACE P.O.S.</t>
        </is>
      </c>
      <c r="I352" s="11" t="n">
        <v>15500</v>
      </c>
      <c r="J352" s="11" t="inlineStr"/>
    </row>
    <row r="353">
      <c r="A353" s="11" t="n">
        <v>352</v>
      </c>
      <c r="B353" s="12" t="n">
        <v>46091</v>
      </c>
      <c r="C353" s="11" t="inlineStr">
        <is>
          <t>INTF</t>
        </is>
      </c>
      <c r="D353" s="11" t="inlineStr">
        <is>
          <t>202603</t>
        </is>
      </c>
      <c r="E353" s="11" t="inlineStr">
        <is>
          <t>1123328106</t>
        </is>
      </c>
      <c r="F353" s="11" t="inlineStr">
        <is>
          <t>NUPAN PESILLO JEFFER</t>
        </is>
      </c>
      <c r="G353" s="11" t="inlineStr"/>
      <c r="H353" s="11" t="inlineStr">
        <is>
          <t>INTERFACE P.O.S.</t>
        </is>
      </c>
      <c r="I353" s="11" t="n">
        <v>30000</v>
      </c>
      <c r="J353" s="11" t="inlineStr"/>
    </row>
    <row r="354">
      <c r="A354" s="11" t="n">
        <v>353</v>
      </c>
      <c r="B354" s="12" t="n">
        <v>46091</v>
      </c>
      <c r="C354" s="11" t="inlineStr">
        <is>
          <t>INTF</t>
        </is>
      </c>
      <c r="D354" s="11" t="inlineStr">
        <is>
          <t>202603</t>
        </is>
      </c>
      <c r="E354" s="11" t="inlineStr">
        <is>
          <t>75060429</t>
        </is>
      </c>
      <c r="F354" s="11" t="inlineStr">
        <is>
          <t>ZAPATA BETANCURTH RO</t>
        </is>
      </c>
      <c r="G354" s="11" t="inlineStr"/>
      <c r="H354" s="11" t="inlineStr">
        <is>
          <t>INTERFACE P.O.S.</t>
        </is>
      </c>
      <c r="I354" s="11" t="n">
        <v>33900</v>
      </c>
      <c r="J354" s="11" t="inlineStr"/>
    </row>
    <row r="355">
      <c r="A355" s="11" t="n">
        <v>354</v>
      </c>
      <c r="B355" s="12" t="n">
        <v>46091</v>
      </c>
      <c r="C355" s="11" t="inlineStr">
        <is>
          <t>INTF</t>
        </is>
      </c>
      <c r="D355" s="11" t="inlineStr">
        <is>
          <t>202603</t>
        </is>
      </c>
      <c r="E355" s="11" t="inlineStr">
        <is>
          <t>1053840987</t>
        </is>
      </c>
      <c r="F355" s="11" t="inlineStr">
        <is>
          <t>SANDOVAL SANCHEZ YES</t>
        </is>
      </c>
      <c r="G355" s="11" t="inlineStr"/>
      <c r="H355" s="11" t="inlineStr">
        <is>
          <t>INTERFACE P.O.S.</t>
        </is>
      </c>
      <c r="I355" s="11" t="n">
        <v>28700</v>
      </c>
      <c r="J355" s="11" t="inlineStr"/>
    </row>
    <row r="356">
      <c r="A356" s="11" t="n">
        <v>355</v>
      </c>
      <c r="B356" s="12" t="n">
        <v>46091</v>
      </c>
      <c r="C356" s="11" t="inlineStr">
        <is>
          <t>INTF</t>
        </is>
      </c>
      <c r="D356" s="11" t="inlineStr">
        <is>
          <t>202603</t>
        </is>
      </c>
      <c r="E356" s="11" t="inlineStr">
        <is>
          <t>1123331415</t>
        </is>
      </c>
      <c r="F356" s="11" t="inlineStr">
        <is>
          <t>CAHUASA ANGULO ISMEN</t>
        </is>
      </c>
      <c r="G356" s="11" t="inlineStr"/>
      <c r="H356" s="11" t="inlineStr">
        <is>
          <t>INTERFACE P.O.S.</t>
        </is>
      </c>
      <c r="I356" s="11" t="n">
        <v>3300</v>
      </c>
      <c r="J356" s="11" t="inlineStr"/>
    </row>
    <row r="357">
      <c r="A357" s="11" t="n">
        <v>356</v>
      </c>
      <c r="B357" s="12" t="n">
        <v>46091</v>
      </c>
      <c r="C357" s="11" t="inlineStr">
        <is>
          <t>INTF</t>
        </is>
      </c>
      <c r="D357" s="11" t="inlineStr">
        <is>
          <t>202603</t>
        </is>
      </c>
      <c r="E357" s="11" t="inlineStr">
        <is>
          <t>1123201708</t>
        </is>
      </c>
      <c r="F357" s="11" t="inlineStr">
        <is>
          <t>ENRIQUEZ CRUZ YESICA</t>
        </is>
      </c>
      <c r="G357" s="11" t="inlineStr"/>
      <c r="H357" s="11" t="inlineStr">
        <is>
          <t>INTERFACE P.O.S.</t>
        </is>
      </c>
      <c r="I357" s="11" t="n">
        <v>90000</v>
      </c>
      <c r="J357" s="11" t="inlineStr"/>
    </row>
    <row r="358">
      <c r="A358" s="11" t="n">
        <v>357</v>
      </c>
      <c r="B358" s="12" t="n">
        <v>46091</v>
      </c>
      <c r="C358" s="11" t="inlineStr">
        <is>
          <t>INTF</t>
        </is>
      </c>
      <c r="D358" s="11" t="inlineStr">
        <is>
          <t>202603</t>
        </is>
      </c>
      <c r="E358" s="11" t="inlineStr">
        <is>
          <t>1136883980</t>
        </is>
      </c>
      <c r="F358" s="11" t="inlineStr">
        <is>
          <t>DELGADO PALADINES DA</t>
        </is>
      </c>
      <c r="G358" s="11" t="inlineStr"/>
      <c r="H358" s="11" t="inlineStr">
        <is>
          <t>INTERFACE P.O.S.</t>
        </is>
      </c>
      <c r="I358" s="11" t="n">
        <v>63500</v>
      </c>
      <c r="J358" s="11" t="inlineStr"/>
    </row>
    <row r="359">
      <c r="A359" s="11" t="n">
        <v>358</v>
      </c>
      <c r="B359" s="12" t="n">
        <v>46091</v>
      </c>
      <c r="C359" s="11" t="inlineStr">
        <is>
          <t>INTF</t>
        </is>
      </c>
      <c r="D359" s="11" t="inlineStr">
        <is>
          <t>202603</t>
        </is>
      </c>
      <c r="E359" s="11" t="inlineStr">
        <is>
          <t>22222222222</t>
        </is>
      </c>
      <c r="F359" s="11" t="inlineStr">
        <is>
          <t>CONSUMIDOR FINAL</t>
        </is>
      </c>
      <c r="G359" s="11" t="inlineStr"/>
      <c r="H359" s="11" t="inlineStr">
        <is>
          <t>INTERFACE P.O.S.</t>
        </is>
      </c>
      <c r="I359" s="11" t="n">
        <v>15000</v>
      </c>
      <c r="J359" s="11" t="inlineStr"/>
    </row>
    <row r="360">
      <c r="A360" s="11" t="n">
        <v>359</v>
      </c>
      <c r="B360" s="12" t="n">
        <v>46091</v>
      </c>
      <c r="C360" s="11" t="inlineStr">
        <is>
          <t>INTF</t>
        </is>
      </c>
      <c r="D360" s="11" t="inlineStr">
        <is>
          <t>202603</t>
        </is>
      </c>
      <c r="E360" s="11" t="inlineStr">
        <is>
          <t>1075300641</t>
        </is>
      </c>
      <c r="F360" s="11" t="inlineStr">
        <is>
          <t>MILLAN SOUSA NATALY</t>
        </is>
      </c>
      <c r="G360" s="11" t="inlineStr"/>
      <c r="H360" s="11" t="inlineStr">
        <is>
          <t>INTERFACE P.O.S.</t>
        </is>
      </c>
      <c r="I360" s="11" t="n">
        <v>17100</v>
      </c>
      <c r="J360" s="11" t="inlineStr"/>
    </row>
    <row r="361">
      <c r="A361" s="11" t="n">
        <v>360</v>
      </c>
      <c r="B361" s="12" t="n">
        <v>46091</v>
      </c>
      <c r="C361" s="11" t="inlineStr">
        <is>
          <t>INTF</t>
        </is>
      </c>
      <c r="D361" s="11" t="inlineStr">
        <is>
          <t>202603</t>
        </is>
      </c>
      <c r="E361" s="11" t="inlineStr">
        <is>
          <t>41109735</t>
        </is>
      </c>
      <c r="F361" s="11" t="inlineStr">
        <is>
          <t>MUÑOZ LUNA SANDRA PA</t>
        </is>
      </c>
      <c r="G361" s="11" t="inlineStr"/>
      <c r="H361" s="11" t="inlineStr">
        <is>
          <t>INTERFACE P.O.S.</t>
        </is>
      </c>
      <c r="I361" s="11" t="n">
        <v>173600</v>
      </c>
      <c r="J361" s="11" t="inlineStr"/>
    </row>
    <row r="362">
      <c r="A362" s="11" t="n">
        <v>361</v>
      </c>
      <c r="B362" s="12" t="n">
        <v>46091</v>
      </c>
      <c r="C362" s="11" t="inlineStr">
        <is>
          <t>INTF</t>
        </is>
      </c>
      <c r="D362" s="11" t="inlineStr">
        <is>
          <t>202603</t>
        </is>
      </c>
      <c r="E362" s="11" t="inlineStr">
        <is>
          <t>1006849723</t>
        </is>
      </c>
      <c r="F362" s="11" t="inlineStr">
        <is>
          <t>GUANGA TIMARAN KEVIN</t>
        </is>
      </c>
      <c r="G362" s="11" t="inlineStr"/>
      <c r="H362" s="11" t="inlineStr">
        <is>
          <t>INTERFACE P.O.S.</t>
        </is>
      </c>
      <c r="I362" s="11" t="n">
        <v>6500</v>
      </c>
      <c r="J362" s="11" t="inlineStr"/>
    </row>
    <row r="363">
      <c r="A363" s="11" t="n">
        <v>362</v>
      </c>
      <c r="B363" s="12" t="n">
        <v>46091</v>
      </c>
      <c r="C363" s="11" t="inlineStr">
        <is>
          <t>INTF</t>
        </is>
      </c>
      <c r="D363" s="11" t="inlineStr">
        <is>
          <t>202603</t>
        </is>
      </c>
      <c r="E363" s="11" t="inlineStr">
        <is>
          <t>41107106</t>
        </is>
      </c>
      <c r="F363" s="11" t="inlineStr">
        <is>
          <t>PINTO CORTES ELSA</t>
        </is>
      </c>
      <c r="G363" s="11" t="inlineStr"/>
      <c r="H363" s="11" t="inlineStr">
        <is>
          <t>INTERFACE P.O.S.</t>
        </is>
      </c>
      <c r="I363" s="11" t="n">
        <v>10300</v>
      </c>
      <c r="J363" s="11" t="inlineStr"/>
    </row>
    <row r="364">
      <c r="A364" s="11" t="n">
        <v>363</v>
      </c>
      <c r="B364" s="12" t="n">
        <v>46091</v>
      </c>
      <c r="C364" s="11" t="inlineStr">
        <is>
          <t>INTF</t>
        </is>
      </c>
      <c r="D364" s="11" t="inlineStr">
        <is>
          <t>202603</t>
        </is>
      </c>
      <c r="E364" s="11" t="inlineStr">
        <is>
          <t>39841508</t>
        </is>
      </c>
      <c r="F364" s="11" t="inlineStr">
        <is>
          <t>GUERRA GOMEZ MARIBEL</t>
        </is>
      </c>
      <c r="G364" s="11" t="inlineStr"/>
      <c r="H364" s="11" t="inlineStr">
        <is>
          <t>INTERFACE P.O.S.</t>
        </is>
      </c>
      <c r="I364" s="11" t="n">
        <v>20100</v>
      </c>
      <c r="J364" s="11" t="inlineStr"/>
    </row>
    <row r="365">
      <c r="A365" s="11" t="n">
        <v>364</v>
      </c>
      <c r="B365" s="12" t="n">
        <v>46091</v>
      </c>
      <c r="C365" s="11" t="inlineStr">
        <is>
          <t>INTF</t>
        </is>
      </c>
      <c r="D365" s="11" t="inlineStr">
        <is>
          <t>202603</t>
        </is>
      </c>
      <c r="E365" s="11" t="inlineStr">
        <is>
          <t>1123321864</t>
        </is>
      </c>
      <c r="F365" s="11" t="inlineStr">
        <is>
          <t>CUARAN MURILLO DEISY</t>
        </is>
      </c>
      <c r="G365" s="11" t="inlineStr"/>
      <c r="H365" s="11" t="inlineStr">
        <is>
          <t>INTERFACE P.O.S.</t>
        </is>
      </c>
      <c r="I365" s="11" t="n">
        <v>23000</v>
      </c>
      <c r="J365" s="11" t="inlineStr"/>
    </row>
    <row r="366">
      <c r="A366" s="11" t="n">
        <v>365</v>
      </c>
      <c r="B366" s="12" t="n">
        <v>46091</v>
      </c>
      <c r="C366" s="11" t="inlineStr">
        <is>
          <t>INTF</t>
        </is>
      </c>
      <c r="D366" s="11" t="inlineStr">
        <is>
          <t>202603</t>
        </is>
      </c>
      <c r="E366" s="11" t="inlineStr">
        <is>
          <t>18145505</t>
        </is>
      </c>
      <c r="F366" s="11" t="inlineStr">
        <is>
          <t>MARTINEZ BARRETO AHU</t>
        </is>
      </c>
      <c r="G366" s="11" t="inlineStr"/>
      <c r="H366" s="11" t="inlineStr">
        <is>
          <t>INTERFACE P.O.S.</t>
        </is>
      </c>
      <c r="I366" s="11" t="n">
        <v>74900</v>
      </c>
      <c r="J366" s="11" t="inlineStr"/>
    </row>
    <row r="367">
      <c r="A367" s="11" t="n">
        <v>366</v>
      </c>
      <c r="B367" s="12" t="n">
        <v>46091</v>
      </c>
      <c r="C367" s="11" t="inlineStr">
        <is>
          <t>INTF</t>
        </is>
      </c>
      <c r="D367" s="11" t="inlineStr">
        <is>
          <t>202603</t>
        </is>
      </c>
      <c r="E367" s="11" t="inlineStr">
        <is>
          <t>1085282128</t>
        </is>
      </c>
      <c r="F367" s="11" t="inlineStr">
        <is>
          <t>CHANA POTOSI EDISSON</t>
        </is>
      </c>
      <c r="G367" s="11" t="inlineStr"/>
      <c r="H367" s="11" t="inlineStr">
        <is>
          <t>INTERFACE P.O.S.</t>
        </is>
      </c>
      <c r="I367" s="11" t="n">
        <v>41800</v>
      </c>
      <c r="J367" s="11" t="inlineStr"/>
    </row>
    <row r="368">
      <c r="A368" s="11" t="n">
        <v>367</v>
      </c>
      <c r="B368" s="12" t="n">
        <v>46091</v>
      </c>
      <c r="C368" s="11" t="inlineStr">
        <is>
          <t>INTF</t>
        </is>
      </c>
      <c r="D368" s="11" t="inlineStr">
        <is>
          <t>202603</t>
        </is>
      </c>
      <c r="E368" s="11" t="inlineStr">
        <is>
          <t>1124859582</t>
        </is>
      </c>
      <c r="F368" s="11" t="inlineStr">
        <is>
          <t>NARVAES CORREA NATA</t>
        </is>
      </c>
      <c r="G368" s="11" t="inlineStr"/>
      <c r="H368" s="11" t="inlineStr">
        <is>
          <t>INTERFACE P.O.S.</t>
        </is>
      </c>
      <c r="I368" s="11" t="n">
        <v>10800</v>
      </c>
      <c r="J368" s="11" t="inlineStr"/>
    </row>
    <row r="369">
      <c r="A369" s="11" t="n">
        <v>368</v>
      </c>
      <c r="B369" s="12" t="n">
        <v>46091</v>
      </c>
      <c r="C369" s="11" t="inlineStr">
        <is>
          <t>INTF</t>
        </is>
      </c>
      <c r="D369" s="11" t="inlineStr">
        <is>
          <t>202603</t>
        </is>
      </c>
      <c r="E369" s="11" t="inlineStr">
        <is>
          <t>1123327937</t>
        </is>
      </c>
      <c r="F369" s="11" t="inlineStr">
        <is>
          <t>SILVA ZAMBRANO WILLI</t>
        </is>
      </c>
      <c r="G369" s="11" t="inlineStr"/>
      <c r="H369" s="11" t="inlineStr">
        <is>
          <t>INTERFACE P.O.S.</t>
        </is>
      </c>
      <c r="I369" s="11" t="n">
        <v>113700</v>
      </c>
      <c r="J369" s="11" t="inlineStr"/>
    </row>
    <row r="370">
      <c r="A370" s="11" t="n">
        <v>369</v>
      </c>
      <c r="B370" s="12" t="n">
        <v>46091</v>
      </c>
      <c r="C370" s="11" t="inlineStr">
        <is>
          <t>INTF</t>
        </is>
      </c>
      <c r="D370" s="11" t="inlineStr">
        <is>
          <t>202603</t>
        </is>
      </c>
      <c r="E370" s="11" t="inlineStr">
        <is>
          <t>79685755</t>
        </is>
      </c>
      <c r="F370" s="11" t="inlineStr">
        <is>
          <t>VUELVAS DIAZ ALVARO</t>
        </is>
      </c>
      <c r="G370" s="11" t="inlineStr"/>
      <c r="H370" s="11" t="inlineStr">
        <is>
          <t>INTERFACE P.O.S.</t>
        </is>
      </c>
      <c r="I370" s="11" t="n">
        <v>25300</v>
      </c>
      <c r="J370" s="11" t="inlineStr"/>
    </row>
    <row r="371">
      <c r="A371" s="11" t="n">
        <v>370</v>
      </c>
      <c r="B371" s="12" t="n">
        <v>46091</v>
      </c>
      <c r="C371" s="11" t="inlineStr">
        <is>
          <t>INTF</t>
        </is>
      </c>
      <c r="D371" s="11" t="inlineStr">
        <is>
          <t>202603</t>
        </is>
      </c>
      <c r="E371" s="11" t="inlineStr">
        <is>
          <t>59831372</t>
        </is>
      </c>
      <c r="F371" s="11" t="inlineStr">
        <is>
          <t>CASTILLO CORRALES SI</t>
        </is>
      </c>
      <c r="G371" s="11" t="inlineStr"/>
      <c r="H371" s="11" t="inlineStr">
        <is>
          <t>INTERFACE P.O.S.</t>
        </is>
      </c>
      <c r="I371" s="11" t="n">
        <v>15700</v>
      </c>
      <c r="J371" s="11" t="inlineStr"/>
    </row>
    <row r="372">
      <c r="A372" s="11" t="n">
        <v>371</v>
      </c>
      <c r="B372" s="12" t="n">
        <v>46091</v>
      </c>
      <c r="C372" s="11" t="inlineStr">
        <is>
          <t>INTF</t>
        </is>
      </c>
      <c r="D372" s="11" t="inlineStr">
        <is>
          <t>202603</t>
        </is>
      </c>
      <c r="E372" s="11" t="inlineStr">
        <is>
          <t>1083905135</t>
        </is>
      </c>
      <c r="F372" s="11" t="inlineStr">
        <is>
          <t>CHAMORRO GARCIA JEIS</t>
        </is>
      </c>
      <c r="G372" s="11" t="inlineStr"/>
      <c r="H372" s="11" t="inlineStr">
        <is>
          <t>INTERFACE P.O.S.</t>
        </is>
      </c>
      <c r="I372" s="11" t="n">
        <v>23700</v>
      </c>
      <c r="J372" s="11" t="inlineStr"/>
    </row>
    <row r="373">
      <c r="A373" s="11" t="n">
        <v>372</v>
      </c>
      <c r="B373" s="12" t="n">
        <v>46091</v>
      </c>
      <c r="C373" s="11" t="inlineStr">
        <is>
          <t>INTF</t>
        </is>
      </c>
      <c r="D373" s="11" t="inlineStr">
        <is>
          <t>202603</t>
        </is>
      </c>
      <c r="E373" s="11" t="inlineStr">
        <is>
          <t>1122783591</t>
        </is>
      </c>
      <c r="F373" s="11" t="inlineStr">
        <is>
          <t>MORA BENAVIDES DIEGO</t>
        </is>
      </c>
      <c r="G373" s="11" t="inlineStr"/>
      <c r="H373" s="11" t="inlineStr">
        <is>
          <t>INTERFACE P.O.S.</t>
        </is>
      </c>
      <c r="I373" s="11" t="n">
        <v>9600</v>
      </c>
      <c r="J373" s="11" t="inlineStr"/>
    </row>
    <row r="374">
      <c r="A374" s="11" t="n">
        <v>373</v>
      </c>
      <c r="B374" s="12" t="n">
        <v>46091</v>
      </c>
      <c r="C374" s="11" t="inlineStr">
        <is>
          <t>INTF</t>
        </is>
      </c>
      <c r="D374" s="11" t="inlineStr">
        <is>
          <t>202603</t>
        </is>
      </c>
      <c r="E374" s="11" t="inlineStr">
        <is>
          <t>1006849005</t>
        </is>
      </c>
      <c r="F374" s="11" t="inlineStr">
        <is>
          <t>JOSA ORTIZ ADRIANA L</t>
        </is>
      </c>
      <c r="G374" s="11" t="inlineStr"/>
      <c r="H374" s="11" t="inlineStr">
        <is>
          <t>INTERFACE P.O.S.</t>
        </is>
      </c>
      <c r="I374" s="11" t="n">
        <v>9400</v>
      </c>
      <c r="J374" s="11" t="inlineStr"/>
    </row>
    <row r="375">
      <c r="A375" s="11" t="n">
        <v>374</v>
      </c>
      <c r="B375" s="12" t="n">
        <v>46091</v>
      </c>
      <c r="C375" s="11" t="inlineStr">
        <is>
          <t>INTF</t>
        </is>
      </c>
      <c r="D375" s="11" t="inlineStr">
        <is>
          <t>202603</t>
        </is>
      </c>
      <c r="E375" s="11" t="inlineStr">
        <is>
          <t>1124858469</t>
        </is>
      </c>
      <c r="F375" s="11" t="inlineStr">
        <is>
          <t>MARIN BENAVIDES EDWI</t>
        </is>
      </c>
      <c r="G375" s="11" t="inlineStr"/>
      <c r="H375" s="11" t="inlineStr">
        <is>
          <t>INTERFACE P.O.S.</t>
        </is>
      </c>
      <c r="I375" s="11" t="n">
        <v>18500</v>
      </c>
      <c r="J375" s="11" t="inlineStr"/>
    </row>
    <row r="376">
      <c r="A376" s="11" t="n">
        <v>375</v>
      </c>
      <c r="B376" s="12" t="n">
        <v>46091</v>
      </c>
      <c r="C376" s="11" t="inlineStr">
        <is>
          <t>INTF</t>
        </is>
      </c>
      <c r="D376" s="11" t="inlineStr">
        <is>
          <t>202603</t>
        </is>
      </c>
      <c r="E376" s="11" t="inlineStr">
        <is>
          <t>1126455334</t>
        </is>
      </c>
      <c r="F376" s="11" t="inlineStr">
        <is>
          <t>GARCIA NARVAEZ LOREN</t>
        </is>
      </c>
      <c r="G376" s="11" t="inlineStr"/>
      <c r="H376" s="11" t="inlineStr">
        <is>
          <t>INTERFACE P.O.S.</t>
        </is>
      </c>
      <c r="I376" s="11" t="n">
        <v>34400</v>
      </c>
      <c r="J376" s="11" t="inlineStr"/>
    </row>
    <row r="377">
      <c r="A377" s="11" t="n">
        <v>376</v>
      </c>
      <c r="B377" s="12" t="n">
        <v>46091</v>
      </c>
      <c r="C377" s="11" t="inlineStr">
        <is>
          <t>INTF</t>
        </is>
      </c>
      <c r="D377" s="11" t="inlineStr">
        <is>
          <t>202603</t>
        </is>
      </c>
      <c r="E377" s="11" t="inlineStr">
        <is>
          <t>1123330110</t>
        </is>
      </c>
      <c r="F377" s="11" t="inlineStr">
        <is>
          <t>SALAZAR CUACES KENET</t>
        </is>
      </c>
      <c r="G377" s="11" t="inlineStr"/>
      <c r="H377" s="11" t="inlineStr">
        <is>
          <t>INTERFACE P.O.S.</t>
        </is>
      </c>
      <c r="I377" s="11" t="n">
        <v>7000</v>
      </c>
      <c r="J377" s="11" t="inlineStr"/>
    </row>
    <row r="378">
      <c r="A378" s="11" t="n">
        <v>377</v>
      </c>
      <c r="B378" s="12" t="n">
        <v>46091</v>
      </c>
      <c r="C378" s="11" t="inlineStr">
        <is>
          <t>INTF</t>
        </is>
      </c>
      <c r="D378" s="11" t="inlineStr">
        <is>
          <t>202603</t>
        </is>
      </c>
      <c r="E378" s="11" t="inlineStr">
        <is>
          <t>1033680123</t>
        </is>
      </c>
      <c r="F378" s="11" t="inlineStr">
        <is>
          <t>URREGO BELTRAN YENI</t>
        </is>
      </c>
      <c r="G378" s="11" t="inlineStr"/>
      <c r="H378" s="11" t="inlineStr">
        <is>
          <t>INTERFACE P.O.S.</t>
        </is>
      </c>
      <c r="I378" s="11" t="n">
        <v>14300</v>
      </c>
      <c r="J378" s="11" t="inlineStr"/>
    </row>
    <row r="379">
      <c r="A379" s="11" t="n">
        <v>378</v>
      </c>
      <c r="B379" s="12" t="n">
        <v>46091</v>
      </c>
      <c r="C379" s="11" t="inlineStr">
        <is>
          <t>INTF</t>
        </is>
      </c>
      <c r="D379" s="11" t="inlineStr">
        <is>
          <t>202603</t>
        </is>
      </c>
      <c r="E379" s="11" t="inlineStr">
        <is>
          <t>1032488765</t>
        </is>
      </c>
      <c r="F379" s="11" t="inlineStr">
        <is>
          <t>MURIEL PULIDO NICOLA</t>
        </is>
      </c>
      <c r="G379" s="11" t="inlineStr"/>
      <c r="H379" s="11" t="inlineStr">
        <is>
          <t>INTERFACE P.O.S.</t>
        </is>
      </c>
      <c r="I379" s="11" t="n">
        <v>3900</v>
      </c>
      <c r="J379" s="11" t="inlineStr"/>
    </row>
    <row r="380">
      <c r="A380" s="11" t="n">
        <v>379</v>
      </c>
      <c r="B380" s="12" t="n">
        <v>46091</v>
      </c>
      <c r="C380" s="11" t="inlineStr">
        <is>
          <t>INTF</t>
        </is>
      </c>
      <c r="D380" s="11" t="inlineStr">
        <is>
          <t>202603</t>
        </is>
      </c>
      <c r="E380" s="11" t="inlineStr">
        <is>
          <t>1006961905</t>
        </is>
      </c>
      <c r="F380" s="11" t="inlineStr">
        <is>
          <t>CARDOSO CAICEDO MARC</t>
        </is>
      </c>
      <c r="G380" s="11" t="inlineStr"/>
      <c r="H380" s="11" t="inlineStr">
        <is>
          <t>INTERFACE P.O.S.</t>
        </is>
      </c>
      <c r="I380" s="11" t="n">
        <v>9800</v>
      </c>
      <c r="J380" s="11" t="inlineStr"/>
    </row>
    <row r="381">
      <c r="A381" s="11" t="n">
        <v>380</v>
      </c>
      <c r="B381" s="12" t="n">
        <v>46091</v>
      </c>
      <c r="C381" s="11" t="inlineStr">
        <is>
          <t>INTF</t>
        </is>
      </c>
      <c r="D381" s="11" t="inlineStr">
        <is>
          <t>202603</t>
        </is>
      </c>
      <c r="E381" s="11" t="inlineStr">
        <is>
          <t>1123200474</t>
        </is>
      </c>
      <c r="F381" s="11" t="inlineStr">
        <is>
          <t>PORTILLA HERNANDEZ A</t>
        </is>
      </c>
      <c r="G381" s="11" t="inlineStr"/>
      <c r="H381" s="11" t="inlineStr">
        <is>
          <t>INTERFACE P.O.S.</t>
        </is>
      </c>
      <c r="I381" s="11" t="n">
        <v>31100</v>
      </c>
      <c r="J381" s="11" t="inlineStr"/>
    </row>
    <row r="382">
      <c r="A382" s="11" t="n">
        <v>381</v>
      </c>
      <c r="B382" s="12" t="n">
        <v>46091</v>
      </c>
      <c r="C382" s="11" t="inlineStr">
        <is>
          <t>INTF</t>
        </is>
      </c>
      <c r="D382" s="11" t="inlineStr">
        <is>
          <t>202603</t>
        </is>
      </c>
      <c r="E382" s="11" t="inlineStr">
        <is>
          <t>1006696549</t>
        </is>
      </c>
      <c r="F382" s="11" t="inlineStr">
        <is>
          <t>CIFUENTES AGATON ING</t>
        </is>
      </c>
      <c r="G382" s="11" t="inlineStr"/>
      <c r="H382" s="11" t="inlineStr">
        <is>
          <t>INTERFACE P.O.S.</t>
        </is>
      </c>
      <c r="I382" s="11" t="n">
        <v>7000</v>
      </c>
      <c r="J382" s="11" t="inlineStr"/>
    </row>
    <row r="383">
      <c r="A383" s="11" t="n">
        <v>382</v>
      </c>
      <c r="B383" s="12" t="n">
        <v>46091</v>
      </c>
      <c r="C383" s="11" t="inlineStr">
        <is>
          <t>INTF</t>
        </is>
      </c>
      <c r="D383" s="11" t="inlineStr">
        <is>
          <t>202603</t>
        </is>
      </c>
      <c r="E383" s="11" t="inlineStr">
        <is>
          <t>1123322979</t>
        </is>
      </c>
      <c r="F383" s="11" t="inlineStr">
        <is>
          <t>ORTIZ RUALES ALEXI Y</t>
        </is>
      </c>
      <c r="G383" s="11" t="inlineStr"/>
      <c r="H383" s="11" t="inlineStr">
        <is>
          <t>INTERFACE P.O.S.</t>
        </is>
      </c>
      <c r="I383" s="11" t="n">
        <v>22000</v>
      </c>
      <c r="J383" s="11" t="inlineStr"/>
    </row>
    <row r="384">
      <c r="A384" s="11" t="n">
        <v>383</v>
      </c>
      <c r="B384" s="12" t="n">
        <v>46091</v>
      </c>
      <c r="C384" s="11" t="inlineStr">
        <is>
          <t>INTF</t>
        </is>
      </c>
      <c r="D384" s="11" t="inlineStr">
        <is>
          <t>202603</t>
        </is>
      </c>
      <c r="E384" s="11" t="inlineStr">
        <is>
          <t>1006009454</t>
        </is>
      </c>
      <c r="F384" s="11" t="inlineStr">
        <is>
          <t>RUIZ GARCIA AMALIA E</t>
        </is>
      </c>
      <c r="G384" s="11" t="inlineStr"/>
      <c r="H384" s="11" t="inlineStr">
        <is>
          <t>INTERFACE P.O.S.</t>
        </is>
      </c>
      <c r="I384" s="11" t="n">
        <v>8000</v>
      </c>
      <c r="J384" s="11" t="inlineStr"/>
    </row>
    <row r="385">
      <c r="A385" s="11" t="n">
        <v>384</v>
      </c>
      <c r="B385" s="12" t="n">
        <v>46091</v>
      </c>
      <c r="C385" s="11" t="inlineStr">
        <is>
          <t>INTF</t>
        </is>
      </c>
      <c r="D385" s="11" t="inlineStr">
        <is>
          <t>202603</t>
        </is>
      </c>
      <c r="E385" s="11" t="inlineStr">
        <is>
          <t>1002999243</t>
        </is>
      </c>
      <c r="F385" s="11" t="inlineStr">
        <is>
          <t>ALTAMIRANDA ARROYO K</t>
        </is>
      </c>
      <c r="G385" s="11" t="inlineStr"/>
      <c r="H385" s="11" t="inlineStr">
        <is>
          <t>INTERFACE P.O.S.</t>
        </is>
      </c>
      <c r="I385" s="11" t="n">
        <v>10200</v>
      </c>
      <c r="J385" s="11" t="inlineStr"/>
    </row>
    <row r="386">
      <c r="A386" s="11" t="n">
        <v>385</v>
      </c>
      <c r="B386" s="12" t="n">
        <v>46091</v>
      </c>
      <c r="C386" s="11" t="inlineStr">
        <is>
          <t>INTF</t>
        </is>
      </c>
      <c r="D386" s="11" t="inlineStr">
        <is>
          <t>202603</t>
        </is>
      </c>
      <c r="E386" s="11" t="inlineStr">
        <is>
          <t>1193044469</t>
        </is>
      </c>
      <c r="F386" s="11" t="inlineStr">
        <is>
          <t>VALLEJO CATALINA</t>
        </is>
      </c>
      <c r="G386" s="11" t="inlineStr"/>
      <c r="H386" s="11" t="inlineStr">
        <is>
          <t>INTERFACE P.O.S.</t>
        </is>
      </c>
      <c r="I386" s="11" t="n">
        <v>37500</v>
      </c>
      <c r="J386" s="11" t="inlineStr"/>
    </row>
    <row r="387">
      <c r="A387" s="11" t="n">
        <v>386</v>
      </c>
      <c r="B387" s="12" t="n">
        <v>46091</v>
      </c>
      <c r="C387" s="11" t="inlineStr">
        <is>
          <t>INTF</t>
        </is>
      </c>
      <c r="D387" s="11" t="inlineStr">
        <is>
          <t>202603</t>
        </is>
      </c>
      <c r="E387" s="11" t="inlineStr">
        <is>
          <t>1124856159</t>
        </is>
      </c>
      <c r="F387" s="11" t="inlineStr">
        <is>
          <t>PIEDRAITA LIZBETH</t>
        </is>
      </c>
      <c r="G387" s="11" t="inlineStr"/>
      <c r="H387" s="11" t="inlineStr">
        <is>
          <t>INTERFACE P.O.S.</t>
        </is>
      </c>
      <c r="I387" s="11" t="n">
        <v>23400</v>
      </c>
      <c r="J387" s="11" t="inlineStr"/>
    </row>
    <row r="388">
      <c r="A388" s="11" t="n">
        <v>387</v>
      </c>
      <c r="B388" s="12" t="n">
        <v>46092</v>
      </c>
      <c r="C388" s="11" t="inlineStr">
        <is>
          <t>CE</t>
        </is>
      </c>
      <c r="D388" s="11" t="inlineStr">
        <is>
          <t>9409</t>
        </is>
      </c>
      <c r="E388" s="11" t="inlineStr">
        <is>
          <t>901418995</t>
        </is>
      </c>
      <c r="F388" s="11" t="inlineStr">
        <is>
          <t>ALIMENTOS MASIVOS DE</t>
        </is>
      </c>
      <c r="G388" s="11" t="inlineStr">
        <is>
          <t>M04700394</t>
        </is>
      </c>
      <c r="H388" s="11" t="inlineStr">
        <is>
          <t>PF ALQ</t>
        </is>
      </c>
      <c r="I388" s="11" t="inlineStr"/>
      <c r="J388" s="11" t="n">
        <v>840273</v>
      </c>
    </row>
    <row r="389">
      <c r="A389" s="11" t="n">
        <v>388</v>
      </c>
      <c r="B389" s="12" t="n">
        <v>46092</v>
      </c>
      <c r="C389" s="11" t="inlineStr">
        <is>
          <t>CE</t>
        </is>
      </c>
      <c r="D389" s="11" t="inlineStr">
        <is>
          <t>9410</t>
        </is>
      </c>
      <c r="E389" s="11" t="inlineStr">
        <is>
          <t>891100827</t>
        </is>
      </c>
      <c r="F389" s="11" t="inlineStr">
        <is>
          <t>DISTRIBUCIONES ALDAN</t>
        </is>
      </c>
      <c r="G389" s="11" t="inlineStr">
        <is>
          <t>M05164975</t>
        </is>
      </c>
      <c r="H389" s="11" t="inlineStr">
        <is>
          <t>PG DIST ALDANA</t>
        </is>
      </c>
      <c r="I389" s="11" t="inlineStr"/>
      <c r="J389" s="11" t="n">
        <v>2098494</v>
      </c>
    </row>
    <row r="390">
      <c r="A390" s="11" t="n">
        <v>389</v>
      </c>
      <c r="B390" s="12" t="n">
        <v>46092</v>
      </c>
      <c r="C390" s="11" t="inlineStr">
        <is>
          <t>INTF</t>
        </is>
      </c>
      <c r="D390" s="11" t="inlineStr">
        <is>
          <t>202603</t>
        </is>
      </c>
      <c r="E390" s="11" t="inlineStr">
        <is>
          <t>34330818</t>
        </is>
      </c>
      <c r="F390" s="11" t="inlineStr">
        <is>
          <t>NAVARRO SAMBONI ANA</t>
        </is>
      </c>
      <c r="G390" s="11" t="inlineStr"/>
      <c r="H390" s="11" t="inlineStr">
        <is>
          <t>INTERFACE P.O.S.</t>
        </is>
      </c>
      <c r="I390" s="11" t="n">
        <v>26300</v>
      </c>
      <c r="J390" s="11" t="inlineStr"/>
    </row>
    <row r="391">
      <c r="A391" s="11" t="n">
        <v>390</v>
      </c>
      <c r="B391" s="12" t="n">
        <v>46092</v>
      </c>
      <c r="C391" s="11" t="inlineStr">
        <is>
          <t>INTF</t>
        </is>
      </c>
      <c r="D391" s="11" t="inlineStr">
        <is>
          <t>202603</t>
        </is>
      </c>
      <c r="E391" s="11" t="inlineStr">
        <is>
          <t>71310563</t>
        </is>
      </c>
      <c r="F391" s="11" t="inlineStr">
        <is>
          <t>PATASCOY BOTINA ANDR</t>
        </is>
      </c>
      <c r="G391" s="11" t="inlineStr"/>
      <c r="H391" s="11" t="inlineStr">
        <is>
          <t>INTERFACE P.O.S.</t>
        </is>
      </c>
      <c r="I391" s="11" t="n">
        <v>12200</v>
      </c>
      <c r="J391" s="11" t="inlineStr"/>
    </row>
    <row r="392">
      <c r="A392" s="11" t="n">
        <v>391</v>
      </c>
      <c r="B392" s="12" t="n">
        <v>46092</v>
      </c>
      <c r="C392" s="11" t="inlineStr">
        <is>
          <t>INTF</t>
        </is>
      </c>
      <c r="D392" s="11" t="inlineStr">
        <is>
          <t>202603</t>
        </is>
      </c>
      <c r="E392" s="11" t="inlineStr">
        <is>
          <t>1124857143</t>
        </is>
      </c>
      <c r="F392" s="11" t="inlineStr">
        <is>
          <t>MUÑOZ ERAZO RICHARD</t>
        </is>
      </c>
      <c r="G392" s="11" t="inlineStr"/>
      <c r="H392" s="11" t="inlineStr">
        <is>
          <t>INTERFACE P.O.S.</t>
        </is>
      </c>
      <c r="I392" s="11" t="n">
        <v>164600</v>
      </c>
      <c r="J392" s="11" t="inlineStr"/>
    </row>
    <row r="393">
      <c r="A393" s="11" t="n">
        <v>392</v>
      </c>
      <c r="B393" s="12" t="n">
        <v>46092</v>
      </c>
      <c r="C393" s="11" t="inlineStr">
        <is>
          <t>INTF</t>
        </is>
      </c>
      <c r="D393" s="11" t="inlineStr">
        <is>
          <t>202603</t>
        </is>
      </c>
      <c r="E393" s="11" t="inlineStr">
        <is>
          <t>1115943396</t>
        </is>
      </c>
      <c r="F393" s="11" t="inlineStr">
        <is>
          <t>FRANCO RUBIANO AZUCE</t>
        </is>
      </c>
      <c r="G393" s="11" t="inlineStr"/>
      <c r="H393" s="11" t="inlineStr">
        <is>
          <t>INTERFACE P.O.S.</t>
        </is>
      </c>
      <c r="I393" s="11" t="n">
        <v>28900</v>
      </c>
      <c r="J393" s="11" t="inlineStr"/>
    </row>
    <row r="394">
      <c r="A394" s="11" t="n">
        <v>393</v>
      </c>
      <c r="B394" s="12" t="n">
        <v>46092</v>
      </c>
      <c r="C394" s="11" t="inlineStr">
        <is>
          <t>INTF</t>
        </is>
      </c>
      <c r="D394" s="11" t="inlineStr">
        <is>
          <t>202603</t>
        </is>
      </c>
      <c r="E394" s="11" t="inlineStr">
        <is>
          <t>1123330029</t>
        </is>
      </c>
      <c r="F394" s="11" t="inlineStr">
        <is>
          <t>CAGUA CRUZ ANGIE CAR</t>
        </is>
      </c>
      <c r="G394" s="11" t="inlineStr"/>
      <c r="H394" s="11" t="inlineStr">
        <is>
          <t>INTERFACE P.O.S.</t>
        </is>
      </c>
      <c r="I394" s="11" t="n">
        <v>26100</v>
      </c>
      <c r="J394" s="11" t="inlineStr"/>
    </row>
    <row r="395">
      <c r="A395" s="11" t="n">
        <v>394</v>
      </c>
      <c r="B395" s="12" t="n">
        <v>46092</v>
      </c>
      <c r="C395" s="11" t="inlineStr">
        <is>
          <t>INTF</t>
        </is>
      </c>
      <c r="D395" s="11" t="inlineStr">
        <is>
          <t>202603</t>
        </is>
      </c>
      <c r="E395" s="11" t="inlineStr">
        <is>
          <t>1073693731</t>
        </is>
      </c>
      <c r="F395" s="11" t="inlineStr">
        <is>
          <t>NARVAEZ ACOSTA IDALY</t>
        </is>
      </c>
      <c r="G395" s="11" t="inlineStr"/>
      <c r="H395" s="11" t="inlineStr">
        <is>
          <t>INTERFACE P.O.S.</t>
        </is>
      </c>
      <c r="I395" s="11" t="n">
        <v>32600</v>
      </c>
      <c r="J395" s="11" t="inlineStr"/>
    </row>
    <row r="396">
      <c r="A396" s="11" t="n">
        <v>395</v>
      </c>
      <c r="B396" s="12" t="n">
        <v>46092</v>
      </c>
      <c r="C396" s="11" t="inlineStr">
        <is>
          <t>INTF</t>
        </is>
      </c>
      <c r="D396" s="11" t="inlineStr">
        <is>
          <t>202603</t>
        </is>
      </c>
      <c r="E396" s="11" t="inlineStr">
        <is>
          <t>1123329290</t>
        </is>
      </c>
      <c r="F396" s="11" t="inlineStr">
        <is>
          <t>CHAVES IMBACHI TATIA</t>
        </is>
      </c>
      <c r="G396" s="11" t="inlineStr"/>
      <c r="H396" s="11" t="inlineStr">
        <is>
          <t>INTERFACE P.O.S.</t>
        </is>
      </c>
      <c r="I396" s="11" t="n">
        <v>58500</v>
      </c>
      <c r="J396" s="11" t="inlineStr"/>
    </row>
    <row r="397">
      <c r="A397" s="11" t="n">
        <v>396</v>
      </c>
      <c r="B397" s="12" t="n">
        <v>46092</v>
      </c>
      <c r="C397" s="11" t="inlineStr">
        <is>
          <t>INTF</t>
        </is>
      </c>
      <c r="D397" s="11" t="inlineStr">
        <is>
          <t>202603</t>
        </is>
      </c>
      <c r="E397" s="11" t="inlineStr">
        <is>
          <t>63253015</t>
        </is>
      </c>
      <c r="F397" s="11" t="inlineStr">
        <is>
          <t>CANO BETANCOURT LUZ</t>
        </is>
      </c>
      <c r="G397" s="11" t="inlineStr"/>
      <c r="H397" s="11" t="inlineStr">
        <is>
          <t>INTERFACE P.O.S.</t>
        </is>
      </c>
      <c r="I397" s="11" t="n">
        <v>33100</v>
      </c>
      <c r="J397" s="11" t="inlineStr"/>
    </row>
    <row r="398">
      <c r="A398" s="11" t="n">
        <v>397</v>
      </c>
      <c r="B398" s="12" t="n">
        <v>46092</v>
      </c>
      <c r="C398" s="11" t="inlineStr">
        <is>
          <t>INTF</t>
        </is>
      </c>
      <c r="D398" s="11" t="inlineStr">
        <is>
          <t>202603</t>
        </is>
      </c>
      <c r="E398" s="11" t="inlineStr">
        <is>
          <t>1006996286</t>
        </is>
      </c>
      <c r="F398" s="11" t="inlineStr">
        <is>
          <t>CONGOTTE ARBOLEDA DA</t>
        </is>
      </c>
      <c r="G398" s="11" t="inlineStr"/>
      <c r="H398" s="11" t="inlineStr">
        <is>
          <t>INTERFACE P.O.S.</t>
        </is>
      </c>
      <c r="I398" s="11" t="n">
        <v>6300</v>
      </c>
      <c r="J398" s="11" t="inlineStr"/>
    </row>
    <row r="399">
      <c r="A399" s="11" t="n">
        <v>398</v>
      </c>
      <c r="B399" s="12" t="n">
        <v>46092</v>
      </c>
      <c r="C399" s="11" t="inlineStr">
        <is>
          <t>INTF</t>
        </is>
      </c>
      <c r="D399" s="11" t="inlineStr">
        <is>
          <t>202603</t>
        </is>
      </c>
      <c r="E399" s="11" t="inlineStr">
        <is>
          <t>1123331415</t>
        </is>
      </c>
      <c r="F399" s="11" t="inlineStr">
        <is>
          <t>CAHUASA ANGULO ISMEN</t>
        </is>
      </c>
      <c r="G399" s="11" t="inlineStr"/>
      <c r="H399" s="11" t="inlineStr">
        <is>
          <t>INTERFACE P.O.S.</t>
        </is>
      </c>
      <c r="I399" s="11" t="n">
        <v>20000</v>
      </c>
      <c r="J399" s="11" t="inlineStr"/>
    </row>
    <row r="400">
      <c r="A400" s="11" t="n">
        <v>399</v>
      </c>
      <c r="B400" s="12" t="n">
        <v>46092</v>
      </c>
      <c r="C400" s="11" t="inlineStr">
        <is>
          <t>INTF</t>
        </is>
      </c>
      <c r="D400" s="11" t="inlineStr">
        <is>
          <t>202603</t>
        </is>
      </c>
      <c r="E400" s="11" t="inlineStr">
        <is>
          <t>1007687788</t>
        </is>
      </c>
      <c r="F400" s="11" t="inlineStr">
        <is>
          <t>BURBANO CANO JOHN SE</t>
        </is>
      </c>
      <c r="G400" s="11" t="inlineStr"/>
      <c r="H400" s="11" t="inlineStr">
        <is>
          <t>INTERFACE P.O.S.</t>
        </is>
      </c>
      <c r="I400" s="11" t="n">
        <v>14000</v>
      </c>
      <c r="J400" s="11" t="inlineStr"/>
    </row>
    <row r="401">
      <c r="A401" s="11" t="n">
        <v>400</v>
      </c>
      <c r="B401" s="12" t="n">
        <v>46092</v>
      </c>
      <c r="C401" s="11" t="inlineStr">
        <is>
          <t>INTF</t>
        </is>
      </c>
      <c r="D401" s="11" t="inlineStr">
        <is>
          <t>202603</t>
        </is>
      </c>
      <c r="E401" s="11" t="inlineStr">
        <is>
          <t>1124862039</t>
        </is>
      </c>
      <c r="F401" s="11" t="inlineStr">
        <is>
          <t>SAAVEDRA VALLEJO JOH</t>
        </is>
      </c>
      <c r="G401" s="11" t="inlineStr"/>
      <c r="H401" s="11" t="inlineStr">
        <is>
          <t>INTERFACE P.O.S.</t>
        </is>
      </c>
      <c r="I401" s="11" t="n">
        <v>61510</v>
      </c>
      <c r="J401" s="11" t="inlineStr"/>
    </row>
    <row r="402">
      <c r="A402" s="11" t="n">
        <v>401</v>
      </c>
      <c r="B402" s="12" t="n">
        <v>46092</v>
      </c>
      <c r="C402" s="11" t="inlineStr">
        <is>
          <t>INTF</t>
        </is>
      </c>
      <c r="D402" s="11" t="inlineStr">
        <is>
          <t>202603</t>
        </is>
      </c>
      <c r="E402" s="11" t="inlineStr">
        <is>
          <t>1106738578</t>
        </is>
      </c>
      <c r="F402" s="11" t="inlineStr">
        <is>
          <t>HORTUA GUZMAN VICTOR</t>
        </is>
      </c>
      <c r="G402" s="11" t="inlineStr"/>
      <c r="H402" s="11" t="inlineStr">
        <is>
          <t>INTERFACE P.O.S.</t>
        </is>
      </c>
      <c r="I402" s="11" t="n">
        <v>59600</v>
      </c>
      <c r="J402" s="11" t="inlineStr"/>
    </row>
    <row r="403">
      <c r="A403" s="11" t="n">
        <v>402</v>
      </c>
      <c r="B403" s="12" t="n">
        <v>46092</v>
      </c>
      <c r="C403" s="11" t="inlineStr">
        <is>
          <t>INTF</t>
        </is>
      </c>
      <c r="D403" s="11" t="inlineStr">
        <is>
          <t>202603</t>
        </is>
      </c>
      <c r="E403" s="11" t="inlineStr">
        <is>
          <t>1123331260</t>
        </is>
      </c>
      <c r="F403" s="11" t="inlineStr">
        <is>
          <t>ROMO PALMA LINDA JOS</t>
        </is>
      </c>
      <c r="G403" s="11" t="inlineStr"/>
      <c r="H403" s="11" t="inlineStr">
        <is>
          <t>INTERFACE P.O.S.</t>
        </is>
      </c>
      <c r="I403" s="11" t="n">
        <v>19600</v>
      </c>
      <c r="J403" s="11" t="inlineStr"/>
    </row>
    <row r="404">
      <c r="A404" s="11" t="n">
        <v>403</v>
      </c>
      <c r="B404" s="12" t="n">
        <v>46092</v>
      </c>
      <c r="C404" s="11" t="inlineStr">
        <is>
          <t>INTF</t>
        </is>
      </c>
      <c r="D404" s="11" t="inlineStr">
        <is>
          <t>202603</t>
        </is>
      </c>
      <c r="E404" s="11" t="inlineStr">
        <is>
          <t>40740556</t>
        </is>
      </c>
      <c r="F404" s="11" t="inlineStr">
        <is>
          <t>CUBILLOS ORDOÑES NIV</t>
        </is>
      </c>
      <c r="G404" s="11" t="inlineStr"/>
      <c r="H404" s="11" t="inlineStr">
        <is>
          <t>INTERFACE P.O.S.</t>
        </is>
      </c>
      <c r="I404" s="11" t="n">
        <v>22800</v>
      </c>
      <c r="J404" s="11" t="inlineStr"/>
    </row>
    <row r="405">
      <c r="A405" s="11" t="n">
        <v>404</v>
      </c>
      <c r="B405" s="12" t="n">
        <v>46092</v>
      </c>
      <c r="C405" s="11" t="inlineStr">
        <is>
          <t>INTF</t>
        </is>
      </c>
      <c r="D405" s="11" t="inlineStr">
        <is>
          <t>202603</t>
        </is>
      </c>
      <c r="E405" s="11" t="inlineStr">
        <is>
          <t>1193076154</t>
        </is>
      </c>
      <c r="F405" s="11" t="inlineStr">
        <is>
          <t>ZARAMA CASTELLANOS H</t>
        </is>
      </c>
      <c r="G405" s="11" t="inlineStr"/>
      <c r="H405" s="11" t="inlineStr">
        <is>
          <t>INTERFACE P.O.S.</t>
        </is>
      </c>
      <c r="I405" s="11" t="n">
        <v>32800</v>
      </c>
      <c r="J405" s="11" t="inlineStr"/>
    </row>
    <row r="406">
      <c r="A406" s="11" t="n">
        <v>405</v>
      </c>
      <c r="B406" s="12" t="n">
        <v>46092</v>
      </c>
      <c r="C406" s="11" t="inlineStr">
        <is>
          <t>INTF</t>
        </is>
      </c>
      <c r="D406" s="11" t="inlineStr">
        <is>
          <t>202603</t>
        </is>
      </c>
      <c r="E406" s="11" t="inlineStr">
        <is>
          <t>1007705630</t>
        </is>
      </c>
      <c r="F406" s="11" t="inlineStr">
        <is>
          <t>MARIN ZULUAGA VALENT</t>
        </is>
      </c>
      <c r="G406" s="11" t="inlineStr"/>
      <c r="H406" s="11" t="inlineStr">
        <is>
          <t>INTERFACE P.O.S.</t>
        </is>
      </c>
      <c r="I406" s="11" t="n">
        <v>30800</v>
      </c>
      <c r="J406" s="11" t="inlineStr"/>
    </row>
    <row r="407">
      <c r="A407" s="11" t="n">
        <v>406</v>
      </c>
      <c r="B407" s="12" t="n">
        <v>46092</v>
      </c>
      <c r="C407" s="11" t="inlineStr">
        <is>
          <t>INTF</t>
        </is>
      </c>
      <c r="D407" s="11" t="inlineStr">
        <is>
          <t>202603</t>
        </is>
      </c>
      <c r="E407" s="11" t="inlineStr">
        <is>
          <t>1122783961</t>
        </is>
      </c>
      <c r="F407" s="11" t="inlineStr">
        <is>
          <t>ZURA GUERRA NELCY YA</t>
        </is>
      </c>
      <c r="G407" s="11" t="inlineStr"/>
      <c r="H407" s="11" t="inlineStr">
        <is>
          <t>INTERFACE P.O.S.</t>
        </is>
      </c>
      <c r="I407" s="11" t="n">
        <v>27600</v>
      </c>
      <c r="J407" s="11" t="inlineStr"/>
    </row>
    <row r="408">
      <c r="A408" s="11" t="n">
        <v>407</v>
      </c>
      <c r="B408" s="12" t="n">
        <v>46092</v>
      </c>
      <c r="C408" s="11" t="inlineStr">
        <is>
          <t>INTF</t>
        </is>
      </c>
      <c r="D408" s="11" t="inlineStr">
        <is>
          <t>202603</t>
        </is>
      </c>
      <c r="E408" s="11" t="inlineStr">
        <is>
          <t>1114121877</t>
        </is>
      </c>
      <c r="F408" s="11" t="inlineStr">
        <is>
          <t>QUINTERO LEYDI JOHAN</t>
        </is>
      </c>
      <c r="G408" s="11" t="inlineStr"/>
      <c r="H408" s="11" t="inlineStr">
        <is>
          <t>INTERFACE P.O.S.</t>
        </is>
      </c>
      <c r="I408" s="11" t="n">
        <v>5900</v>
      </c>
      <c r="J408" s="11" t="inlineStr"/>
    </row>
    <row r="409">
      <c r="A409" s="11" t="n">
        <v>408</v>
      </c>
      <c r="B409" s="12" t="n">
        <v>46092</v>
      </c>
      <c r="C409" s="11" t="inlineStr">
        <is>
          <t>INTF</t>
        </is>
      </c>
      <c r="D409" s="11" t="inlineStr">
        <is>
          <t>202603</t>
        </is>
      </c>
      <c r="E409" s="11" t="inlineStr">
        <is>
          <t>1123321589</t>
        </is>
      </c>
      <c r="F409" s="11" t="inlineStr">
        <is>
          <t>DIAS CHAVEZ EVA LINE</t>
        </is>
      </c>
      <c r="G409" s="11" t="inlineStr"/>
      <c r="H409" s="11" t="inlineStr">
        <is>
          <t>INTERFACE P.O.S.</t>
        </is>
      </c>
      <c r="I409" s="11" t="n">
        <v>20400</v>
      </c>
      <c r="J409" s="11" t="inlineStr"/>
    </row>
    <row r="410">
      <c r="A410" s="11" t="n">
        <v>409</v>
      </c>
      <c r="B410" s="12" t="n">
        <v>46092</v>
      </c>
      <c r="C410" s="11" t="inlineStr">
        <is>
          <t>INTF</t>
        </is>
      </c>
      <c r="D410" s="11" t="inlineStr">
        <is>
          <t>202603</t>
        </is>
      </c>
      <c r="E410" s="11" t="inlineStr">
        <is>
          <t>1127070384</t>
        </is>
      </c>
      <c r="F410" s="11" t="inlineStr">
        <is>
          <t>MARCILLO CUCHALA EVI</t>
        </is>
      </c>
      <c r="G410" s="11" t="inlineStr"/>
      <c r="H410" s="11" t="inlineStr">
        <is>
          <t>INTERFACE P.O.S.</t>
        </is>
      </c>
      <c r="I410" s="11" t="n">
        <v>4500</v>
      </c>
      <c r="J410" s="11" t="inlineStr"/>
    </row>
    <row r="411">
      <c r="A411" s="11" t="n">
        <v>410</v>
      </c>
      <c r="B411" s="12" t="n">
        <v>46092</v>
      </c>
      <c r="C411" s="11" t="inlineStr">
        <is>
          <t>INTF</t>
        </is>
      </c>
      <c r="D411" s="11" t="inlineStr">
        <is>
          <t>202603</t>
        </is>
      </c>
      <c r="E411" s="11" t="inlineStr">
        <is>
          <t>1120100991</t>
        </is>
      </c>
      <c r="F411" s="11" t="inlineStr">
        <is>
          <t>CUARAN VILLAMARIN FE</t>
        </is>
      </c>
      <c r="G411" s="11" t="inlineStr"/>
      <c r="H411" s="11" t="inlineStr">
        <is>
          <t>INTERFACE P.O.S.</t>
        </is>
      </c>
      <c r="I411" s="11" t="n">
        <v>21900</v>
      </c>
      <c r="J411" s="11" t="inlineStr"/>
    </row>
    <row r="412">
      <c r="A412" s="11" t="n">
        <v>411</v>
      </c>
      <c r="B412" s="12" t="n">
        <v>46092</v>
      </c>
      <c r="C412" s="11" t="inlineStr">
        <is>
          <t>INTF</t>
        </is>
      </c>
      <c r="D412" s="11" t="inlineStr">
        <is>
          <t>202603</t>
        </is>
      </c>
      <c r="E412" s="11" t="inlineStr">
        <is>
          <t>1083905135</t>
        </is>
      </c>
      <c r="F412" s="11" t="inlineStr">
        <is>
          <t>CHAMORRO GARCIA JEIS</t>
        </is>
      </c>
      <c r="G412" s="11" t="inlineStr"/>
      <c r="H412" s="11" t="inlineStr">
        <is>
          <t>INTERFACE P.O.S.</t>
        </is>
      </c>
      <c r="I412" s="11" t="n">
        <v>35600</v>
      </c>
      <c r="J412" s="11" t="inlineStr"/>
    </row>
    <row r="413">
      <c r="A413" s="11" t="n">
        <v>412</v>
      </c>
      <c r="B413" s="12" t="n">
        <v>46092</v>
      </c>
      <c r="C413" s="11" t="inlineStr">
        <is>
          <t>INTF</t>
        </is>
      </c>
      <c r="D413" s="11" t="inlineStr">
        <is>
          <t>202603</t>
        </is>
      </c>
      <c r="E413" s="11" t="inlineStr">
        <is>
          <t>1080360535</t>
        </is>
      </c>
      <c r="F413" s="11" t="inlineStr">
        <is>
          <t>TAPIA PERDOMO ANGIE</t>
        </is>
      </c>
      <c r="G413" s="11" t="inlineStr"/>
      <c r="H413" s="11" t="inlineStr">
        <is>
          <t>INTERFACE P.O.S.</t>
        </is>
      </c>
      <c r="I413" s="11" t="n">
        <v>10700</v>
      </c>
      <c r="J413" s="11" t="inlineStr"/>
    </row>
    <row r="414">
      <c r="A414" s="11" t="n">
        <v>413</v>
      </c>
      <c r="B414" s="12" t="n">
        <v>46092</v>
      </c>
      <c r="C414" s="11" t="inlineStr">
        <is>
          <t>INTF</t>
        </is>
      </c>
      <c r="D414" s="11" t="inlineStr">
        <is>
          <t>202603</t>
        </is>
      </c>
      <c r="E414" s="11" t="inlineStr">
        <is>
          <t>1123330110</t>
        </is>
      </c>
      <c r="F414" s="11" t="inlineStr">
        <is>
          <t>SALAZAR CUACES KENET</t>
        </is>
      </c>
      <c r="G414" s="11" t="inlineStr"/>
      <c r="H414" s="11" t="inlineStr">
        <is>
          <t>INTERFACE P.O.S.</t>
        </is>
      </c>
      <c r="I414" s="11" t="n">
        <v>7000</v>
      </c>
      <c r="J414" s="11" t="inlineStr"/>
    </row>
    <row r="415">
      <c r="A415" s="11" t="n">
        <v>414</v>
      </c>
      <c r="B415" s="12" t="n">
        <v>46092</v>
      </c>
      <c r="C415" s="11" t="inlineStr">
        <is>
          <t>INTF</t>
        </is>
      </c>
      <c r="D415" s="11" t="inlineStr">
        <is>
          <t>202603</t>
        </is>
      </c>
      <c r="E415" s="11" t="inlineStr">
        <is>
          <t>41109575</t>
        </is>
      </c>
      <c r="F415" s="11" t="inlineStr">
        <is>
          <t>CHAVES GONZALEZ SHIR</t>
        </is>
      </c>
      <c r="G415" s="11" t="inlineStr"/>
      <c r="H415" s="11" t="inlineStr">
        <is>
          <t>INTERFACE P.O.S.</t>
        </is>
      </c>
      <c r="I415" s="11" t="n">
        <v>16800</v>
      </c>
      <c r="J415" s="11" t="inlineStr"/>
    </row>
    <row r="416">
      <c r="A416" s="11" t="n">
        <v>415</v>
      </c>
      <c r="B416" s="12" t="n">
        <v>46092</v>
      </c>
      <c r="C416" s="11" t="inlineStr">
        <is>
          <t>INTF</t>
        </is>
      </c>
      <c r="D416" s="11" t="inlineStr">
        <is>
          <t>202603</t>
        </is>
      </c>
      <c r="E416" s="11" t="inlineStr">
        <is>
          <t>1143877518</t>
        </is>
      </c>
      <c r="F416" s="11" t="inlineStr">
        <is>
          <t>ESPAÑA DIAZ ALEJANDR</t>
        </is>
      </c>
      <c r="G416" s="11" t="inlineStr"/>
      <c r="H416" s="11" t="inlineStr">
        <is>
          <t>INTERFACE P.O.S.</t>
        </is>
      </c>
      <c r="I416" s="11" t="n">
        <v>12900</v>
      </c>
      <c r="J416" s="11" t="inlineStr"/>
    </row>
    <row r="417">
      <c r="A417" s="11" t="n">
        <v>416</v>
      </c>
      <c r="B417" s="12" t="n">
        <v>46092</v>
      </c>
      <c r="C417" s="11" t="inlineStr">
        <is>
          <t>INTF</t>
        </is>
      </c>
      <c r="D417" s="11" t="inlineStr">
        <is>
          <t>202603</t>
        </is>
      </c>
      <c r="E417" s="11" t="inlineStr">
        <is>
          <t>1123327154</t>
        </is>
      </c>
      <c r="F417" s="11" t="inlineStr">
        <is>
          <t>DIAZ HERRERA LEYD</t>
        </is>
      </c>
      <c r="G417" s="11" t="inlineStr"/>
      <c r="H417" s="11" t="inlineStr">
        <is>
          <t>INTERFACE P.O.S.</t>
        </is>
      </c>
      <c r="I417" s="11" t="n">
        <v>25700</v>
      </c>
      <c r="J417" s="11" t="inlineStr"/>
    </row>
    <row r="418">
      <c r="A418" s="11" t="n">
        <v>417</v>
      </c>
      <c r="B418" s="12" t="n">
        <v>46092</v>
      </c>
      <c r="C418" s="11" t="inlineStr">
        <is>
          <t>INTF</t>
        </is>
      </c>
      <c r="D418" s="11" t="inlineStr">
        <is>
          <t>202603</t>
        </is>
      </c>
      <c r="E418" s="11" t="inlineStr">
        <is>
          <t>1006850633</t>
        </is>
      </c>
      <c r="F418" s="11" t="inlineStr">
        <is>
          <t>GUENIZ HERRERA SHERL</t>
        </is>
      </c>
      <c r="G418" s="11" t="inlineStr"/>
      <c r="H418" s="11" t="inlineStr">
        <is>
          <t>INTERFACE P.O.S.</t>
        </is>
      </c>
      <c r="I418" s="11" t="n">
        <v>30600</v>
      </c>
      <c r="J418" s="11" t="inlineStr"/>
    </row>
    <row r="419">
      <c r="A419" s="11" t="n">
        <v>418</v>
      </c>
      <c r="B419" s="12" t="n">
        <v>46092</v>
      </c>
      <c r="C419" s="11" t="inlineStr">
        <is>
          <t>INTF</t>
        </is>
      </c>
      <c r="D419" s="11" t="inlineStr">
        <is>
          <t>202603</t>
        </is>
      </c>
      <c r="E419" s="11" t="inlineStr">
        <is>
          <t>41106947</t>
        </is>
      </c>
      <c r="F419" s="11" t="inlineStr">
        <is>
          <t>ALVAREZ MELO ANA DEL</t>
        </is>
      </c>
      <c r="G419" s="11" t="inlineStr"/>
      <c r="H419" s="11" t="inlineStr">
        <is>
          <t>INTERFACE P.O.S.</t>
        </is>
      </c>
      <c r="I419" s="11" t="n">
        <v>12300</v>
      </c>
      <c r="J419" s="11" t="inlineStr"/>
    </row>
    <row r="420">
      <c r="A420" s="11" t="n">
        <v>419</v>
      </c>
      <c r="B420" s="12" t="n">
        <v>46092</v>
      </c>
      <c r="C420" s="11" t="inlineStr">
        <is>
          <t>INTF</t>
        </is>
      </c>
      <c r="D420" s="11" t="inlineStr">
        <is>
          <t>202603</t>
        </is>
      </c>
      <c r="E420" s="11" t="inlineStr">
        <is>
          <t>18146529</t>
        </is>
      </c>
      <c r="F420" s="11" t="inlineStr">
        <is>
          <t>CORREA ALVAREZ ALEXA</t>
        </is>
      </c>
      <c r="G420" s="11" t="inlineStr"/>
      <c r="H420" s="11" t="inlineStr">
        <is>
          <t>INTERFACE P.O.S.</t>
        </is>
      </c>
      <c r="I420" s="11" t="n">
        <v>52900</v>
      </c>
      <c r="J420" s="11" t="inlineStr"/>
    </row>
    <row r="421">
      <c r="A421" s="11" t="n">
        <v>420</v>
      </c>
      <c r="B421" s="12" t="n">
        <v>46092</v>
      </c>
      <c r="C421" s="11" t="inlineStr">
        <is>
          <t>INTF</t>
        </is>
      </c>
      <c r="D421" s="11" t="inlineStr">
        <is>
          <t>202603</t>
        </is>
      </c>
      <c r="E421" s="11" t="inlineStr">
        <is>
          <t>1124863915</t>
        </is>
      </c>
      <c r="F421" s="11" t="inlineStr">
        <is>
          <t>ZAMBRANO ZUIN OMAR Y</t>
        </is>
      </c>
      <c r="G421" s="11" t="inlineStr"/>
      <c r="H421" s="11" t="inlineStr">
        <is>
          <t>INTERFACE P.O.S.</t>
        </is>
      </c>
      <c r="I421" s="11" t="n">
        <v>24000</v>
      </c>
      <c r="J421" s="11" t="inlineStr"/>
    </row>
    <row r="422">
      <c r="A422" s="11" t="n">
        <v>421</v>
      </c>
      <c r="B422" s="12" t="n">
        <v>46092</v>
      </c>
      <c r="C422" s="11" t="inlineStr">
        <is>
          <t>INTF</t>
        </is>
      </c>
      <c r="D422" s="11" t="inlineStr">
        <is>
          <t>202603</t>
        </is>
      </c>
      <c r="E422" s="11" t="inlineStr">
        <is>
          <t>1127077133</t>
        </is>
      </c>
      <c r="F422" s="11" t="inlineStr">
        <is>
          <t>LOPEZ DIAZ CAMIL</t>
        </is>
      </c>
      <c r="G422" s="11" t="inlineStr"/>
      <c r="H422" s="11" t="inlineStr">
        <is>
          <t>INTERFACE P.O.S.</t>
        </is>
      </c>
      <c r="I422" s="11" t="n">
        <v>21200</v>
      </c>
      <c r="J422" s="11" t="inlineStr"/>
    </row>
    <row r="423">
      <c r="A423" s="11" t="n">
        <v>422</v>
      </c>
      <c r="B423" s="12" t="n">
        <v>46092</v>
      </c>
      <c r="C423" s="11" t="inlineStr">
        <is>
          <t>INTF</t>
        </is>
      </c>
      <c r="D423" s="11" t="inlineStr">
        <is>
          <t>202603</t>
        </is>
      </c>
      <c r="E423" s="11" t="inlineStr">
        <is>
          <t>1123325753</t>
        </is>
      </c>
      <c r="F423" s="11" t="inlineStr">
        <is>
          <t>MENA PAI JEINER</t>
        </is>
      </c>
      <c r="G423" s="11" t="inlineStr"/>
      <c r="H423" s="11" t="inlineStr">
        <is>
          <t>INTERFACE P.O.S.</t>
        </is>
      </c>
      <c r="I423" s="11" t="n">
        <v>28700</v>
      </c>
      <c r="J423" s="11" t="inlineStr"/>
    </row>
    <row r="424">
      <c r="A424" s="11" t="n">
        <v>423</v>
      </c>
      <c r="B424" s="12" t="n">
        <v>46092</v>
      </c>
      <c r="C424" s="11" t="inlineStr">
        <is>
          <t>INTF</t>
        </is>
      </c>
      <c r="D424" s="11" t="inlineStr">
        <is>
          <t>202603</t>
        </is>
      </c>
      <c r="E424" s="11" t="inlineStr">
        <is>
          <t>41108212</t>
        </is>
      </c>
      <c r="F424" s="11" t="inlineStr">
        <is>
          <t>ORDOÑEZ BASTIDAS MAR</t>
        </is>
      </c>
      <c r="G424" s="11" t="inlineStr"/>
      <c r="H424" s="11" t="inlineStr">
        <is>
          <t>INTERFACE P.O.S.</t>
        </is>
      </c>
      <c r="I424" s="11" t="n">
        <v>45000</v>
      </c>
      <c r="J424" s="11" t="inlineStr"/>
    </row>
    <row r="425">
      <c r="A425" s="11" t="n">
        <v>424</v>
      </c>
      <c r="B425" s="12" t="n">
        <v>46092</v>
      </c>
      <c r="C425" s="11" t="inlineStr">
        <is>
          <t>INTF</t>
        </is>
      </c>
      <c r="D425" s="11" t="inlineStr">
        <is>
          <t>202603</t>
        </is>
      </c>
      <c r="E425" s="11" t="inlineStr">
        <is>
          <t>1123323289</t>
        </is>
      </c>
      <c r="F425" s="11" t="inlineStr">
        <is>
          <t>DIAZ DIAZ VICTOR</t>
        </is>
      </c>
      <c r="G425" s="11" t="inlineStr"/>
      <c r="H425" s="11" t="inlineStr">
        <is>
          <t>INTERFACE P.O.S.</t>
        </is>
      </c>
      <c r="I425" s="11" t="n">
        <v>5600</v>
      </c>
      <c r="J425" s="11" t="inlineStr"/>
    </row>
    <row r="426">
      <c r="A426" s="11" t="n">
        <v>425</v>
      </c>
      <c r="B426" s="12" t="n">
        <v>46092</v>
      </c>
      <c r="C426" s="11" t="inlineStr">
        <is>
          <t>INTF</t>
        </is>
      </c>
      <c r="D426" s="11" t="inlineStr">
        <is>
          <t>202603</t>
        </is>
      </c>
      <c r="E426" s="11" t="inlineStr">
        <is>
          <t>1007429977</t>
        </is>
      </c>
      <c r="F426" s="11" t="inlineStr">
        <is>
          <t>HERNADEZ DELGADO IVA</t>
        </is>
      </c>
      <c r="G426" s="11" t="inlineStr"/>
      <c r="H426" s="11" t="inlineStr">
        <is>
          <t>INTERFACE P.O.S.</t>
        </is>
      </c>
      <c r="I426" s="11" t="n">
        <v>40000</v>
      </c>
      <c r="J426" s="11" t="inlineStr"/>
    </row>
    <row r="427">
      <c r="A427" s="11" t="n">
        <v>426</v>
      </c>
      <c r="B427" s="12" t="n">
        <v>46092</v>
      </c>
      <c r="C427" s="11" t="inlineStr">
        <is>
          <t>INTF</t>
        </is>
      </c>
      <c r="D427" s="11" t="inlineStr">
        <is>
          <t>202603</t>
        </is>
      </c>
      <c r="E427" s="11" t="inlineStr">
        <is>
          <t>1127074265</t>
        </is>
      </c>
      <c r="F427" s="11" t="inlineStr">
        <is>
          <t>ROJAS ESTEBAN CAMILO</t>
        </is>
      </c>
      <c r="G427" s="11" t="inlineStr"/>
      <c r="H427" s="11" t="inlineStr">
        <is>
          <t>INTERFACE P.O.S.</t>
        </is>
      </c>
      <c r="I427" s="11" t="n">
        <v>155700</v>
      </c>
      <c r="J427" s="11" t="inlineStr"/>
    </row>
    <row r="428">
      <c r="A428" s="11" t="n">
        <v>427</v>
      </c>
      <c r="B428" s="12" t="n">
        <v>46092</v>
      </c>
      <c r="C428" s="11" t="inlineStr">
        <is>
          <t>INTF</t>
        </is>
      </c>
      <c r="D428" s="11" t="inlineStr">
        <is>
          <t>202603</t>
        </is>
      </c>
      <c r="E428" s="11" t="inlineStr">
        <is>
          <t>18147158</t>
        </is>
      </c>
      <c r="F428" s="11" t="inlineStr">
        <is>
          <t>RUIZ TAPIA ALFONSO J</t>
        </is>
      </c>
      <c r="G428" s="11" t="inlineStr"/>
      <c r="H428" s="11" t="inlineStr">
        <is>
          <t>INTERFACE P.O.S.</t>
        </is>
      </c>
      <c r="I428" s="11" t="n">
        <v>15400</v>
      </c>
      <c r="J428" s="11" t="inlineStr"/>
    </row>
    <row r="429">
      <c r="A429" s="11" t="n">
        <v>428</v>
      </c>
      <c r="B429" s="12" t="n">
        <v>46093</v>
      </c>
      <c r="C429" s="11" t="inlineStr">
        <is>
          <t>INTF</t>
        </is>
      </c>
      <c r="D429" s="11" t="inlineStr">
        <is>
          <t>202603</t>
        </is>
      </c>
      <c r="E429" s="11" t="inlineStr">
        <is>
          <t>1123320714</t>
        </is>
      </c>
      <c r="F429" s="11" t="inlineStr">
        <is>
          <t>ORTEGA DIAZ CLAUDIA</t>
        </is>
      </c>
      <c r="G429" s="11" t="inlineStr"/>
      <c r="H429" s="11" t="inlineStr">
        <is>
          <t>INTERFACE P.O.S.</t>
        </is>
      </c>
      <c r="I429" s="11" t="n">
        <v>26000</v>
      </c>
      <c r="J429" s="11" t="inlineStr"/>
    </row>
    <row r="430">
      <c r="A430" s="11" t="n">
        <v>429</v>
      </c>
      <c r="B430" s="12" t="n">
        <v>46093</v>
      </c>
      <c r="C430" s="11" t="inlineStr">
        <is>
          <t>INTF</t>
        </is>
      </c>
      <c r="D430" s="11" t="inlineStr">
        <is>
          <t>202603</t>
        </is>
      </c>
      <c r="E430" s="11" t="inlineStr">
        <is>
          <t>1123328208</t>
        </is>
      </c>
      <c r="F430" s="11" t="inlineStr">
        <is>
          <t>CHAVEZ GALARZA LUIS</t>
        </is>
      </c>
      <c r="G430" s="11" t="inlineStr"/>
      <c r="H430" s="11" t="inlineStr">
        <is>
          <t>INTERFACE P.O.S.</t>
        </is>
      </c>
      <c r="I430" s="11" t="n">
        <v>21000</v>
      </c>
      <c r="J430" s="11" t="inlineStr"/>
    </row>
    <row r="431">
      <c r="A431" s="11" t="n">
        <v>430</v>
      </c>
      <c r="B431" s="12" t="n">
        <v>46093</v>
      </c>
      <c r="C431" s="11" t="inlineStr">
        <is>
          <t>INTF</t>
        </is>
      </c>
      <c r="D431" s="11" t="inlineStr">
        <is>
          <t>202603</t>
        </is>
      </c>
      <c r="E431" s="11" t="inlineStr">
        <is>
          <t>75060429</t>
        </is>
      </c>
      <c r="F431" s="11" t="inlineStr">
        <is>
          <t>ZAPATA BETANCURTH RO</t>
        </is>
      </c>
      <c r="G431" s="11" t="inlineStr"/>
      <c r="H431" s="11" t="inlineStr">
        <is>
          <t>INTERFACE P.O.S.</t>
        </is>
      </c>
      <c r="I431" s="11" t="n">
        <v>36800</v>
      </c>
      <c r="J431" s="11" t="inlineStr"/>
    </row>
    <row r="432">
      <c r="A432" s="11" t="n">
        <v>431</v>
      </c>
      <c r="B432" s="12" t="n">
        <v>46093</v>
      </c>
      <c r="C432" s="11" t="inlineStr">
        <is>
          <t>INTF</t>
        </is>
      </c>
      <c r="D432" s="11" t="inlineStr">
        <is>
          <t>202603</t>
        </is>
      </c>
      <c r="E432" s="11" t="inlineStr">
        <is>
          <t>1123322229</t>
        </is>
      </c>
      <c r="F432" s="11" t="inlineStr">
        <is>
          <t>DANIELS CIFUENTES DI</t>
        </is>
      </c>
      <c r="G432" s="11" t="inlineStr"/>
      <c r="H432" s="11" t="inlineStr">
        <is>
          <t>INTERFACE P.O.S.</t>
        </is>
      </c>
      <c r="I432" s="11" t="n">
        <v>8700</v>
      </c>
      <c r="J432" s="11" t="inlineStr"/>
    </row>
    <row r="433">
      <c r="A433" s="11" t="n">
        <v>432</v>
      </c>
      <c r="B433" s="12" t="n">
        <v>46093</v>
      </c>
      <c r="C433" s="11" t="inlineStr">
        <is>
          <t>INTF</t>
        </is>
      </c>
      <c r="D433" s="11" t="inlineStr">
        <is>
          <t>202603</t>
        </is>
      </c>
      <c r="E433" s="11" t="inlineStr">
        <is>
          <t>18146816</t>
        </is>
      </c>
      <c r="F433" s="11" t="inlineStr">
        <is>
          <t>NEQUIRUCAMO YAGARI M</t>
        </is>
      </c>
      <c r="G433" s="11" t="inlineStr"/>
      <c r="H433" s="11" t="inlineStr">
        <is>
          <t>INTERFACE P.O.S.</t>
        </is>
      </c>
      <c r="I433" s="11" t="n">
        <v>16000</v>
      </c>
      <c r="J433" s="11" t="inlineStr"/>
    </row>
    <row r="434">
      <c r="A434" s="11" t="n">
        <v>433</v>
      </c>
      <c r="B434" s="12" t="n">
        <v>46093</v>
      </c>
      <c r="C434" s="11" t="inlineStr">
        <is>
          <t>INTF</t>
        </is>
      </c>
      <c r="D434" s="11" t="inlineStr">
        <is>
          <t>202603</t>
        </is>
      </c>
      <c r="E434" s="11" t="inlineStr">
        <is>
          <t>1005026004</t>
        </is>
      </c>
      <c r="F434" s="11" t="inlineStr">
        <is>
          <t>CARVAJAL PORTILLA LE</t>
        </is>
      </c>
      <c r="G434" s="11" t="inlineStr"/>
      <c r="H434" s="11" t="inlineStr">
        <is>
          <t>INTERFACE P.O.S.</t>
        </is>
      </c>
      <c r="I434" s="11" t="n">
        <v>16600</v>
      </c>
      <c r="J434" s="11" t="inlineStr"/>
    </row>
    <row r="435">
      <c r="A435" s="11" t="n">
        <v>434</v>
      </c>
      <c r="B435" s="12" t="n">
        <v>46093</v>
      </c>
      <c r="C435" s="11" t="inlineStr">
        <is>
          <t>INTF</t>
        </is>
      </c>
      <c r="D435" s="11" t="inlineStr">
        <is>
          <t>202603</t>
        </is>
      </c>
      <c r="E435" s="11" t="inlineStr">
        <is>
          <t>1006849805</t>
        </is>
      </c>
      <c r="F435" s="11" t="inlineStr">
        <is>
          <t>SEVILLANO GOMEZ HENR</t>
        </is>
      </c>
      <c r="G435" s="11" t="inlineStr"/>
      <c r="H435" s="11" t="inlineStr">
        <is>
          <t>INTERFACE P.O.S.</t>
        </is>
      </c>
      <c r="I435" s="11" t="n">
        <v>40000</v>
      </c>
      <c r="J435" s="11" t="inlineStr"/>
    </row>
    <row r="436">
      <c r="A436" s="11" t="n">
        <v>435</v>
      </c>
      <c r="B436" s="12" t="n">
        <v>46093</v>
      </c>
      <c r="C436" s="11" t="inlineStr">
        <is>
          <t>INTF</t>
        </is>
      </c>
      <c r="D436" s="11" t="inlineStr">
        <is>
          <t>202603</t>
        </is>
      </c>
      <c r="E436" s="11" t="inlineStr">
        <is>
          <t>1085275952</t>
        </is>
      </c>
      <c r="F436" s="11" t="inlineStr">
        <is>
          <t>BOTINA ANGULO GUSTAV</t>
        </is>
      </c>
      <c r="G436" s="11" t="inlineStr"/>
      <c r="H436" s="11" t="inlineStr">
        <is>
          <t>INTERFACE P.O.S.</t>
        </is>
      </c>
      <c r="I436" s="11" t="n">
        <v>11000</v>
      </c>
      <c r="J436" s="11" t="inlineStr"/>
    </row>
    <row r="437">
      <c r="A437" s="11" t="n">
        <v>436</v>
      </c>
      <c r="B437" s="12" t="n">
        <v>46093</v>
      </c>
      <c r="C437" s="11" t="inlineStr">
        <is>
          <t>INTF</t>
        </is>
      </c>
      <c r="D437" s="11" t="inlineStr">
        <is>
          <t>202603</t>
        </is>
      </c>
      <c r="E437" s="11" t="inlineStr">
        <is>
          <t>63367669</t>
        </is>
      </c>
      <c r="F437" s="11" t="inlineStr">
        <is>
          <t>PEREZ BECERRA PATRIC</t>
        </is>
      </c>
      <c r="G437" s="11" t="inlineStr"/>
      <c r="H437" s="11" t="inlineStr">
        <is>
          <t>INTERFACE P.O.S.</t>
        </is>
      </c>
      <c r="I437" s="11" t="n">
        <v>15720</v>
      </c>
      <c r="J437" s="11" t="inlineStr"/>
    </row>
    <row r="438">
      <c r="A438" s="11" t="n">
        <v>437</v>
      </c>
      <c r="B438" s="12" t="n">
        <v>46093</v>
      </c>
      <c r="C438" s="11" t="inlineStr">
        <is>
          <t>INTF</t>
        </is>
      </c>
      <c r="D438" s="11" t="inlineStr">
        <is>
          <t>202603</t>
        </is>
      </c>
      <c r="E438" s="11" t="inlineStr">
        <is>
          <t>1123320090</t>
        </is>
      </c>
      <c r="F438" s="11" t="inlineStr">
        <is>
          <t>CABRERA GUTIERREZ LU</t>
        </is>
      </c>
      <c r="G438" s="11" t="inlineStr"/>
      <c r="H438" s="11" t="inlineStr">
        <is>
          <t>INTERFACE P.O.S.</t>
        </is>
      </c>
      <c r="I438" s="11" t="n">
        <v>6000</v>
      </c>
      <c r="J438" s="11" t="inlineStr"/>
    </row>
    <row r="439">
      <c r="A439" s="11" t="n">
        <v>438</v>
      </c>
      <c r="B439" s="12" t="n">
        <v>46093</v>
      </c>
      <c r="C439" s="11" t="inlineStr">
        <is>
          <t>INTF</t>
        </is>
      </c>
      <c r="D439" s="11" t="inlineStr">
        <is>
          <t>202603</t>
        </is>
      </c>
      <c r="E439" s="11" t="inlineStr">
        <is>
          <t>1002919716</t>
        </is>
      </c>
      <c r="F439" s="11" t="inlineStr">
        <is>
          <t>MOSQUERA QUIÑONEZ MA</t>
        </is>
      </c>
      <c r="G439" s="11" t="inlineStr"/>
      <c r="H439" s="11" t="inlineStr">
        <is>
          <t>INTERFACE P.O.S.</t>
        </is>
      </c>
      <c r="I439" s="11" t="n">
        <v>16500</v>
      </c>
      <c r="J439" s="11" t="inlineStr"/>
    </row>
    <row r="440">
      <c r="A440" s="11" t="n">
        <v>439</v>
      </c>
      <c r="B440" s="12" t="n">
        <v>46093</v>
      </c>
      <c r="C440" s="11" t="inlineStr">
        <is>
          <t>INTF</t>
        </is>
      </c>
      <c r="D440" s="11" t="inlineStr">
        <is>
          <t>202603</t>
        </is>
      </c>
      <c r="E440" s="11" t="inlineStr">
        <is>
          <t>1006849686</t>
        </is>
      </c>
      <c r="F440" s="11" t="inlineStr">
        <is>
          <t>MELENDEZ ORDOÑEZ JEN</t>
        </is>
      </c>
      <c r="G440" s="11" t="inlineStr"/>
      <c r="H440" s="11" t="inlineStr">
        <is>
          <t>INTERFACE P.O.S.</t>
        </is>
      </c>
      <c r="I440" s="11" t="n">
        <v>11400</v>
      </c>
      <c r="J440" s="11" t="inlineStr"/>
    </row>
    <row r="441">
      <c r="A441" s="11" t="n">
        <v>440</v>
      </c>
      <c r="B441" s="12" t="n">
        <v>46093</v>
      </c>
      <c r="C441" s="11" t="inlineStr">
        <is>
          <t>INTF</t>
        </is>
      </c>
      <c r="D441" s="11" t="inlineStr">
        <is>
          <t>202603</t>
        </is>
      </c>
      <c r="E441" s="11" t="inlineStr">
        <is>
          <t>1123320594</t>
        </is>
      </c>
      <c r="F441" s="11" t="inlineStr">
        <is>
          <t>CUEVA PINTA WILSON B</t>
        </is>
      </c>
      <c r="G441" s="11" t="inlineStr"/>
      <c r="H441" s="11" t="inlineStr">
        <is>
          <t>INTERFACE P.O.S.</t>
        </is>
      </c>
      <c r="I441" s="11" t="n">
        <v>36000</v>
      </c>
      <c r="J441" s="11" t="inlineStr"/>
    </row>
    <row r="442">
      <c r="A442" s="11" t="n">
        <v>441</v>
      </c>
      <c r="B442" s="12" t="n">
        <v>46093</v>
      </c>
      <c r="C442" s="11" t="inlineStr">
        <is>
          <t>INTF</t>
        </is>
      </c>
      <c r="D442" s="11" t="inlineStr">
        <is>
          <t>202603</t>
        </is>
      </c>
      <c r="E442" s="11" t="inlineStr">
        <is>
          <t>1123331260</t>
        </is>
      </c>
      <c r="F442" s="11" t="inlineStr">
        <is>
          <t>ROMO PALMA LINDA JOS</t>
        </is>
      </c>
      <c r="G442" s="11" t="inlineStr"/>
      <c r="H442" s="11" t="inlineStr">
        <is>
          <t>INTERFACE P.O.S.</t>
        </is>
      </c>
      <c r="I442" s="11" t="n">
        <v>18900</v>
      </c>
      <c r="J442" s="11" t="inlineStr"/>
    </row>
    <row r="443">
      <c r="A443" s="11" t="n">
        <v>442</v>
      </c>
      <c r="B443" s="12" t="n">
        <v>46093</v>
      </c>
      <c r="C443" s="11" t="inlineStr">
        <is>
          <t>INTF</t>
        </is>
      </c>
      <c r="D443" s="11" t="inlineStr">
        <is>
          <t>202603</t>
        </is>
      </c>
      <c r="E443" s="11" t="inlineStr">
        <is>
          <t>12447282</t>
        </is>
      </c>
      <c r="F443" s="11" t="inlineStr">
        <is>
          <t>MENDOZA CARLOS EDUAR</t>
        </is>
      </c>
      <c r="G443" s="11" t="inlineStr"/>
      <c r="H443" s="11" t="inlineStr">
        <is>
          <t>INTERFACE P.O.S.</t>
        </is>
      </c>
      <c r="I443" s="11" t="n">
        <v>16300</v>
      </c>
      <c r="J443" s="11" t="inlineStr"/>
    </row>
    <row r="444">
      <c r="A444" s="11" t="n">
        <v>443</v>
      </c>
      <c r="B444" s="12" t="n">
        <v>46093</v>
      </c>
      <c r="C444" s="11" t="inlineStr">
        <is>
          <t>INTF</t>
        </is>
      </c>
      <c r="D444" s="11" t="inlineStr">
        <is>
          <t>202603</t>
        </is>
      </c>
      <c r="E444" s="11" t="inlineStr">
        <is>
          <t>1077447660</t>
        </is>
      </c>
      <c r="F444" s="11" t="inlineStr">
        <is>
          <t>CORDOBA MORENO NEIRA</t>
        </is>
      </c>
      <c r="G444" s="11" t="inlineStr"/>
      <c r="H444" s="11" t="inlineStr">
        <is>
          <t>INTERFACE P.O.S.</t>
        </is>
      </c>
      <c r="I444" s="11" t="n">
        <v>23200</v>
      </c>
      <c r="J444" s="11" t="inlineStr"/>
    </row>
    <row r="445">
      <c r="A445" s="11" t="n">
        <v>444</v>
      </c>
      <c r="B445" s="12" t="n">
        <v>46093</v>
      </c>
      <c r="C445" s="11" t="inlineStr">
        <is>
          <t>INTF</t>
        </is>
      </c>
      <c r="D445" s="11" t="inlineStr">
        <is>
          <t>202603</t>
        </is>
      </c>
      <c r="E445" s="11" t="inlineStr">
        <is>
          <t>1123330426</t>
        </is>
      </c>
      <c r="F445" s="11" t="inlineStr">
        <is>
          <t>QUENGUAN MARCIALES D</t>
        </is>
      </c>
      <c r="G445" s="11" t="inlineStr"/>
      <c r="H445" s="11" t="inlineStr">
        <is>
          <t>INTERFACE P.O.S.</t>
        </is>
      </c>
      <c r="I445" s="11" t="n">
        <v>7100</v>
      </c>
      <c r="J445" s="11" t="inlineStr"/>
    </row>
    <row r="446">
      <c r="A446" s="11" t="n">
        <v>445</v>
      </c>
      <c r="B446" s="12" t="n">
        <v>46093</v>
      </c>
      <c r="C446" s="11" t="inlineStr">
        <is>
          <t>INTF</t>
        </is>
      </c>
      <c r="D446" s="11" t="inlineStr">
        <is>
          <t>202603</t>
        </is>
      </c>
      <c r="E446" s="11" t="inlineStr">
        <is>
          <t>1049621189</t>
        </is>
      </c>
      <c r="F446" s="11" t="inlineStr">
        <is>
          <t>DELGADILLO PALACIOS</t>
        </is>
      </c>
      <c r="G446" s="11" t="inlineStr"/>
      <c r="H446" s="11" t="inlineStr">
        <is>
          <t>INTERFACE P.O.S.</t>
        </is>
      </c>
      <c r="I446" s="11" t="n">
        <v>15000</v>
      </c>
      <c r="J446" s="11" t="inlineStr"/>
    </row>
    <row r="447">
      <c r="A447" s="11" t="n">
        <v>446</v>
      </c>
      <c r="B447" s="12" t="n">
        <v>46093</v>
      </c>
      <c r="C447" s="11" t="inlineStr">
        <is>
          <t>INTF</t>
        </is>
      </c>
      <c r="D447" s="11" t="inlineStr">
        <is>
          <t>202603</t>
        </is>
      </c>
      <c r="E447" s="11" t="inlineStr">
        <is>
          <t>1123331250</t>
        </is>
      </c>
      <c r="F447" s="11" t="inlineStr">
        <is>
          <t>CORTES QUIÑONES ANGI</t>
        </is>
      </c>
      <c r="G447" s="11" t="inlineStr"/>
      <c r="H447" s="11" t="inlineStr">
        <is>
          <t>INTERFACE P.O.S.</t>
        </is>
      </c>
      <c r="I447" s="11" t="n">
        <v>9000</v>
      </c>
      <c r="J447" s="11" t="inlineStr"/>
    </row>
    <row r="448">
      <c r="A448" s="11" t="n">
        <v>447</v>
      </c>
      <c r="B448" s="12" t="n">
        <v>46093</v>
      </c>
      <c r="C448" s="11" t="inlineStr">
        <is>
          <t>INTF</t>
        </is>
      </c>
      <c r="D448" s="11" t="inlineStr">
        <is>
          <t>202603</t>
        </is>
      </c>
      <c r="E448" s="11" t="inlineStr">
        <is>
          <t>1012385841</t>
        </is>
      </c>
      <c r="F448" s="11" t="inlineStr">
        <is>
          <t>YULE LULIGO NIRSON F</t>
        </is>
      </c>
      <c r="G448" s="11" t="inlineStr"/>
      <c r="H448" s="11" t="inlineStr">
        <is>
          <t>INTERFACE P.O.S.</t>
        </is>
      </c>
      <c r="I448" s="11" t="n">
        <v>11000</v>
      </c>
      <c r="J448" s="11" t="inlineStr"/>
    </row>
    <row r="449">
      <c r="A449" s="11" t="n">
        <v>448</v>
      </c>
      <c r="B449" s="12" t="n">
        <v>46093</v>
      </c>
      <c r="C449" s="11" t="inlineStr">
        <is>
          <t>INTF</t>
        </is>
      </c>
      <c r="D449" s="11" t="inlineStr">
        <is>
          <t>202603</t>
        </is>
      </c>
      <c r="E449" s="11" t="inlineStr">
        <is>
          <t>1006994711</t>
        </is>
      </c>
      <c r="F449" s="11" t="inlineStr">
        <is>
          <t>MOSQUERA PALACIOS JE</t>
        </is>
      </c>
      <c r="G449" s="11" t="inlineStr"/>
      <c r="H449" s="11" t="inlineStr">
        <is>
          <t>INTERFACE P.O.S.</t>
        </is>
      </c>
      <c r="I449" s="11" t="n">
        <v>12900</v>
      </c>
      <c r="J449" s="11" t="inlineStr"/>
    </row>
    <row r="450">
      <c r="A450" s="11" t="n">
        <v>449</v>
      </c>
      <c r="B450" s="12" t="n">
        <v>46093</v>
      </c>
      <c r="C450" s="11" t="inlineStr">
        <is>
          <t>INTF</t>
        </is>
      </c>
      <c r="D450" s="11" t="inlineStr">
        <is>
          <t>202603</t>
        </is>
      </c>
      <c r="E450" s="11" t="inlineStr">
        <is>
          <t>1094282670</t>
        </is>
      </c>
      <c r="F450" s="11" t="inlineStr">
        <is>
          <t>PEÑA PEÑA LISBETH PA</t>
        </is>
      </c>
      <c r="G450" s="11" t="inlineStr"/>
      <c r="H450" s="11" t="inlineStr">
        <is>
          <t>INTERFACE P.O.S.</t>
        </is>
      </c>
      <c r="I450" s="11" t="n">
        <v>9300</v>
      </c>
      <c r="J450" s="11" t="inlineStr"/>
    </row>
    <row r="451">
      <c r="A451" s="11" t="n">
        <v>450</v>
      </c>
      <c r="B451" s="12" t="n">
        <v>46093</v>
      </c>
      <c r="C451" s="11" t="inlineStr">
        <is>
          <t>INTF</t>
        </is>
      </c>
      <c r="D451" s="11" t="inlineStr">
        <is>
          <t>202603</t>
        </is>
      </c>
      <c r="E451" s="11" t="inlineStr">
        <is>
          <t>38613969</t>
        </is>
      </c>
      <c r="F451" s="11" t="inlineStr">
        <is>
          <t>BATERO CORTES MARIA</t>
        </is>
      </c>
      <c r="G451" s="11" t="inlineStr"/>
      <c r="H451" s="11" t="inlineStr">
        <is>
          <t>INTERFACE P.O.S.</t>
        </is>
      </c>
      <c r="I451" s="11" t="n">
        <v>25700</v>
      </c>
      <c r="J451" s="11" t="inlineStr"/>
    </row>
    <row r="452">
      <c r="A452" s="11" t="n">
        <v>451</v>
      </c>
      <c r="B452" s="12" t="n">
        <v>46093</v>
      </c>
      <c r="C452" s="11" t="inlineStr">
        <is>
          <t>INTF</t>
        </is>
      </c>
      <c r="D452" s="11" t="inlineStr">
        <is>
          <t>202603</t>
        </is>
      </c>
      <c r="E452" s="11" t="inlineStr">
        <is>
          <t>1123333455</t>
        </is>
      </c>
      <c r="F452" s="11" t="inlineStr">
        <is>
          <t>CAICEDO ZULUAGA ARLE</t>
        </is>
      </c>
      <c r="G452" s="11" t="inlineStr"/>
      <c r="H452" s="11" t="inlineStr">
        <is>
          <t>INTERFACE P.O.S.</t>
        </is>
      </c>
      <c r="I452" s="11" t="n">
        <v>60000</v>
      </c>
      <c r="J452" s="11" t="inlineStr"/>
    </row>
    <row r="453">
      <c r="A453" s="11" t="n">
        <v>452</v>
      </c>
      <c r="B453" s="12" t="n">
        <v>46093</v>
      </c>
      <c r="C453" s="11" t="inlineStr">
        <is>
          <t>INTF</t>
        </is>
      </c>
      <c r="D453" s="11" t="inlineStr">
        <is>
          <t>202603</t>
        </is>
      </c>
      <c r="E453" s="11" t="inlineStr">
        <is>
          <t>18146105</t>
        </is>
      </c>
      <c r="F453" s="11" t="inlineStr">
        <is>
          <t>MELO MENDEZ CESAR</t>
        </is>
      </c>
      <c r="G453" s="11" t="inlineStr"/>
      <c r="H453" s="11" t="inlineStr">
        <is>
          <t>INTERFACE P.O.S.</t>
        </is>
      </c>
      <c r="I453" s="11" t="n">
        <v>41400</v>
      </c>
      <c r="J453" s="11" t="inlineStr"/>
    </row>
    <row r="454">
      <c r="A454" s="11" t="n">
        <v>453</v>
      </c>
      <c r="B454" s="12" t="n">
        <v>46093</v>
      </c>
      <c r="C454" s="11" t="inlineStr">
        <is>
          <t>INTF</t>
        </is>
      </c>
      <c r="D454" s="11" t="inlineStr">
        <is>
          <t>202603</t>
        </is>
      </c>
      <c r="E454" s="11" t="inlineStr">
        <is>
          <t>1006850535</t>
        </is>
      </c>
      <c r="F454" s="11" t="inlineStr">
        <is>
          <t>ORDOÑEZ CHAGUEZAC VI</t>
        </is>
      </c>
      <c r="G454" s="11" t="inlineStr"/>
      <c r="H454" s="11" t="inlineStr">
        <is>
          <t>INTERFACE P.O.S.</t>
        </is>
      </c>
      <c r="I454" s="11" t="n">
        <v>47200</v>
      </c>
      <c r="J454" s="11" t="inlineStr"/>
    </row>
    <row r="455">
      <c r="A455" s="11" t="n">
        <v>454</v>
      </c>
      <c r="B455" s="12" t="n">
        <v>46093</v>
      </c>
      <c r="C455" s="11" t="inlineStr">
        <is>
          <t>INTF</t>
        </is>
      </c>
      <c r="D455" s="11" t="inlineStr">
        <is>
          <t>202603</t>
        </is>
      </c>
      <c r="E455" s="11" t="inlineStr">
        <is>
          <t>1006696549</t>
        </is>
      </c>
      <c r="F455" s="11" t="inlineStr">
        <is>
          <t>CIFUENTES AGATON ING</t>
        </is>
      </c>
      <c r="G455" s="11" t="inlineStr"/>
      <c r="H455" s="11" t="inlineStr">
        <is>
          <t>INTERFACE P.O.S.</t>
        </is>
      </c>
      <c r="I455" s="11" t="n">
        <v>22700</v>
      </c>
      <c r="J455" s="11" t="inlineStr"/>
    </row>
    <row r="456">
      <c r="A456" s="11" t="n">
        <v>455</v>
      </c>
      <c r="B456" s="12" t="n">
        <v>46093</v>
      </c>
      <c r="C456" s="11" t="inlineStr">
        <is>
          <t>INTF</t>
        </is>
      </c>
      <c r="D456" s="11" t="inlineStr">
        <is>
          <t>202603</t>
        </is>
      </c>
      <c r="E456" s="11" t="inlineStr">
        <is>
          <t>18146529</t>
        </is>
      </c>
      <c r="F456" s="11" t="inlineStr">
        <is>
          <t>CORREA ALVAREZ ALEXA</t>
        </is>
      </c>
      <c r="G456" s="11" t="inlineStr"/>
      <c r="H456" s="11" t="inlineStr">
        <is>
          <t>INTERFACE P.O.S.</t>
        </is>
      </c>
      <c r="I456" s="11" t="n">
        <v>121400</v>
      </c>
      <c r="J456" s="11" t="inlineStr"/>
    </row>
    <row r="457">
      <c r="A457" s="11" t="n">
        <v>456</v>
      </c>
      <c r="B457" s="12" t="n">
        <v>46093</v>
      </c>
      <c r="C457" s="11" t="inlineStr">
        <is>
          <t>INTF</t>
        </is>
      </c>
      <c r="D457" s="11" t="inlineStr">
        <is>
          <t>202603</t>
        </is>
      </c>
      <c r="E457" s="11" t="inlineStr">
        <is>
          <t>1124863915</t>
        </is>
      </c>
      <c r="F457" s="11" t="inlineStr">
        <is>
          <t>ZAMBRANO ZUIN OMAR Y</t>
        </is>
      </c>
      <c r="G457" s="11" t="inlineStr"/>
      <c r="H457" s="11" t="inlineStr">
        <is>
          <t>INTERFACE P.O.S.</t>
        </is>
      </c>
      <c r="I457" s="11" t="n">
        <v>46000</v>
      </c>
      <c r="J457" s="11" t="inlineStr"/>
    </row>
    <row r="458">
      <c r="A458" s="11" t="n">
        <v>457</v>
      </c>
      <c r="B458" s="12" t="n">
        <v>46093</v>
      </c>
      <c r="C458" s="11" t="inlineStr">
        <is>
          <t>INTF</t>
        </is>
      </c>
      <c r="D458" s="11" t="inlineStr">
        <is>
          <t>202603</t>
        </is>
      </c>
      <c r="E458" s="11" t="inlineStr">
        <is>
          <t>1127072941</t>
        </is>
      </c>
      <c r="F458" s="11" t="inlineStr">
        <is>
          <t>RIASCOS AREVALO JHON</t>
        </is>
      </c>
      <c r="G458" s="11" t="inlineStr"/>
      <c r="H458" s="11" t="inlineStr">
        <is>
          <t>INTERFACE P.O.S.</t>
        </is>
      </c>
      <c r="I458" s="11" t="n">
        <v>6200</v>
      </c>
      <c r="J458" s="11" t="inlineStr"/>
    </row>
    <row r="459">
      <c r="A459" s="11" t="n">
        <v>458</v>
      </c>
      <c r="B459" s="12" t="n">
        <v>46093</v>
      </c>
      <c r="C459" s="11" t="inlineStr">
        <is>
          <t>INTF</t>
        </is>
      </c>
      <c r="D459" s="11" t="inlineStr">
        <is>
          <t>202603</t>
        </is>
      </c>
      <c r="E459" s="11" t="inlineStr">
        <is>
          <t>1123326437</t>
        </is>
      </c>
      <c r="F459" s="11" t="inlineStr">
        <is>
          <t>GONZALES PIMENTEL</t>
        </is>
      </c>
      <c r="G459" s="11" t="inlineStr"/>
      <c r="H459" s="11" t="inlineStr">
        <is>
          <t>INTERFACE P.O.S.</t>
        </is>
      </c>
      <c r="I459" s="11" t="n">
        <v>9000</v>
      </c>
      <c r="J459" s="11" t="inlineStr"/>
    </row>
    <row r="460">
      <c r="A460" s="11" t="n">
        <v>459</v>
      </c>
      <c r="B460" s="12" t="n">
        <v>46093</v>
      </c>
      <c r="C460" s="11" t="inlineStr">
        <is>
          <t>INTF</t>
        </is>
      </c>
      <c r="D460" s="11" t="inlineStr">
        <is>
          <t>202603</t>
        </is>
      </c>
      <c r="E460" s="11" t="inlineStr">
        <is>
          <t>1006850734</t>
        </is>
      </c>
      <c r="F460" s="11" t="inlineStr">
        <is>
          <t>ARTEGA BUITRON DIANA</t>
        </is>
      </c>
      <c r="G460" s="11" t="inlineStr"/>
      <c r="H460" s="11" t="inlineStr">
        <is>
          <t>INTERFACE P.O.S.</t>
        </is>
      </c>
      <c r="I460" s="11" t="n">
        <v>5400</v>
      </c>
      <c r="J460" s="11" t="inlineStr"/>
    </row>
    <row r="461">
      <c r="A461" s="11" t="n">
        <v>460</v>
      </c>
      <c r="B461" s="12" t="n">
        <v>46093</v>
      </c>
      <c r="C461" s="11" t="inlineStr">
        <is>
          <t>INTF</t>
        </is>
      </c>
      <c r="D461" s="11" t="inlineStr">
        <is>
          <t>202603</t>
        </is>
      </c>
      <c r="E461" s="11" t="inlineStr">
        <is>
          <t>18147310</t>
        </is>
      </c>
      <c r="F461" s="11" t="inlineStr">
        <is>
          <t>CABEZAS PEREA VICTOR</t>
        </is>
      </c>
      <c r="G461" s="11" t="inlineStr"/>
      <c r="H461" s="11" t="inlineStr">
        <is>
          <t>INTERFACE P.O.S.</t>
        </is>
      </c>
      <c r="I461" s="11" t="n">
        <v>5900</v>
      </c>
      <c r="J461" s="11" t="inlineStr"/>
    </row>
    <row r="462">
      <c r="A462" s="11" t="n">
        <v>461</v>
      </c>
      <c r="B462" s="12" t="n">
        <v>46094</v>
      </c>
      <c r="C462" s="11" t="inlineStr">
        <is>
          <t>CE</t>
        </is>
      </c>
      <c r="D462" s="11" t="inlineStr">
        <is>
          <t>9421</t>
        </is>
      </c>
      <c r="E462" s="11" t="inlineStr">
        <is>
          <t>891300382</t>
        </is>
      </c>
      <c r="F462" s="11" t="inlineStr">
        <is>
          <t>HARINERA DEL VALLE S</t>
        </is>
      </c>
      <c r="G462" s="11" t="inlineStr">
        <is>
          <t>M14268507</t>
        </is>
      </c>
      <c r="H462" s="11" t="inlineStr">
        <is>
          <t>PF HARINERA</t>
        </is>
      </c>
      <c r="I462" s="11" t="inlineStr"/>
      <c r="J462" s="11" t="n">
        <v>493585</v>
      </c>
    </row>
    <row r="463">
      <c r="A463" s="11" t="n">
        <v>462</v>
      </c>
      <c r="B463" s="12" t="n">
        <v>46094</v>
      </c>
      <c r="C463" s="11" t="inlineStr">
        <is>
          <t>CE</t>
        </is>
      </c>
      <c r="D463" s="11" t="inlineStr">
        <is>
          <t>9422</t>
        </is>
      </c>
      <c r="E463" s="11" t="inlineStr">
        <is>
          <t>800052534</t>
        </is>
      </c>
      <c r="F463" s="11" t="inlineStr">
        <is>
          <t>DISTRIBUCIONES AXA S</t>
        </is>
      </c>
      <c r="G463" s="11" t="inlineStr">
        <is>
          <t>M14399181</t>
        </is>
      </c>
      <c r="H463" s="11" t="inlineStr">
        <is>
          <t>PF AXA</t>
        </is>
      </c>
      <c r="I463" s="11" t="inlineStr"/>
      <c r="J463" s="11" t="n">
        <v>1333688</v>
      </c>
    </row>
    <row r="464">
      <c r="A464" s="11" t="n">
        <v>463</v>
      </c>
      <c r="B464" s="12" t="n">
        <v>46094</v>
      </c>
      <c r="C464" s="11" t="inlineStr">
        <is>
          <t>CE</t>
        </is>
      </c>
      <c r="D464" s="11" t="inlineStr">
        <is>
          <t>9423</t>
        </is>
      </c>
      <c r="E464" s="11" t="inlineStr">
        <is>
          <t>860013771</t>
        </is>
      </c>
      <c r="F464" s="11" t="inlineStr">
        <is>
          <t>AJOVER DARNEL S.A.S</t>
        </is>
      </c>
      <c r="G464" s="11" t="inlineStr">
        <is>
          <t>M15010163</t>
        </is>
      </c>
      <c r="H464" s="11" t="inlineStr">
        <is>
          <t>PF AJOVER</t>
        </is>
      </c>
      <c r="I464" s="11" t="inlineStr"/>
      <c r="J464" s="11" t="n">
        <v>621894</v>
      </c>
    </row>
    <row r="465">
      <c r="A465" s="11" t="n">
        <v>464</v>
      </c>
      <c r="B465" s="12" t="n">
        <v>46094</v>
      </c>
      <c r="C465" s="11" t="inlineStr">
        <is>
          <t>INTF</t>
        </is>
      </c>
      <c r="D465" s="11" t="inlineStr">
        <is>
          <t>202603</t>
        </is>
      </c>
      <c r="E465" s="11" t="inlineStr">
        <is>
          <t>1085907080</t>
        </is>
      </c>
      <c r="F465" s="11" t="inlineStr">
        <is>
          <t>DIAZ MENESES ANYELA</t>
        </is>
      </c>
      <c r="G465" s="11" t="inlineStr"/>
      <c r="H465" s="11" t="inlineStr">
        <is>
          <t>INTERFACE P.O.S.</t>
        </is>
      </c>
      <c r="I465" s="11" t="n">
        <v>30000</v>
      </c>
      <c r="J465" s="11" t="inlineStr"/>
    </row>
    <row r="466">
      <c r="A466" s="11" t="n">
        <v>465</v>
      </c>
      <c r="B466" s="12" t="n">
        <v>46094</v>
      </c>
      <c r="C466" s="11" t="inlineStr">
        <is>
          <t>INTF</t>
        </is>
      </c>
      <c r="D466" s="11" t="inlineStr">
        <is>
          <t>202603</t>
        </is>
      </c>
      <c r="E466" s="11" t="inlineStr">
        <is>
          <t>42207659</t>
        </is>
      </c>
      <c r="F466" s="11" t="inlineStr">
        <is>
          <t>BUELVAS CARO RUBI AR</t>
        </is>
      </c>
      <c r="G466" s="11" t="inlineStr"/>
      <c r="H466" s="11" t="inlineStr">
        <is>
          <t>INTERFACE P.O.S.</t>
        </is>
      </c>
      <c r="I466" s="11" t="n">
        <v>24900</v>
      </c>
      <c r="J466" s="11" t="inlineStr"/>
    </row>
    <row r="467">
      <c r="A467" s="11" t="n">
        <v>466</v>
      </c>
      <c r="B467" s="12" t="n">
        <v>46094</v>
      </c>
      <c r="C467" s="11" t="inlineStr">
        <is>
          <t>INTF</t>
        </is>
      </c>
      <c r="D467" s="11" t="inlineStr">
        <is>
          <t>202603</t>
        </is>
      </c>
      <c r="E467" s="11" t="inlineStr">
        <is>
          <t>18144610</t>
        </is>
      </c>
      <c r="F467" s="11" t="inlineStr">
        <is>
          <t>SALAZAR PRADO ALVARO</t>
        </is>
      </c>
      <c r="G467" s="11" t="inlineStr"/>
      <c r="H467" s="11" t="inlineStr">
        <is>
          <t>INTERFACE P.O.S.</t>
        </is>
      </c>
      <c r="I467" s="11" t="n">
        <v>76000</v>
      </c>
      <c r="J467" s="11" t="inlineStr"/>
    </row>
    <row r="468">
      <c r="A468" s="11" t="n">
        <v>467</v>
      </c>
      <c r="B468" s="12" t="n">
        <v>46094</v>
      </c>
      <c r="C468" s="11" t="inlineStr">
        <is>
          <t>INTF</t>
        </is>
      </c>
      <c r="D468" s="11" t="inlineStr">
        <is>
          <t>202603</t>
        </is>
      </c>
      <c r="E468" s="11" t="inlineStr">
        <is>
          <t>37124032</t>
        </is>
      </c>
      <c r="F468" s="11" t="inlineStr">
        <is>
          <t>MUESES ARIAS MARIA F</t>
        </is>
      </c>
      <c r="G468" s="11" t="inlineStr"/>
      <c r="H468" s="11" t="inlineStr">
        <is>
          <t>INTERFACE P.O.S.</t>
        </is>
      </c>
      <c r="I468" s="11" t="n">
        <v>14700</v>
      </c>
      <c r="J468" s="11" t="inlineStr"/>
    </row>
    <row r="469">
      <c r="A469" s="11" t="n">
        <v>468</v>
      </c>
      <c r="B469" s="12" t="n">
        <v>46094</v>
      </c>
      <c r="C469" s="11" t="inlineStr">
        <is>
          <t>INTF</t>
        </is>
      </c>
      <c r="D469" s="11" t="inlineStr">
        <is>
          <t>202603</t>
        </is>
      </c>
      <c r="E469" s="11" t="inlineStr">
        <is>
          <t>1085275952</t>
        </is>
      </c>
      <c r="F469" s="11" t="inlineStr">
        <is>
          <t>BOTINA ANGULO GUSTAV</t>
        </is>
      </c>
      <c r="G469" s="11" t="inlineStr"/>
      <c r="H469" s="11" t="inlineStr">
        <is>
          <t>INTERFACE P.O.S.</t>
        </is>
      </c>
      <c r="I469" s="11" t="n">
        <v>5900</v>
      </c>
      <c r="J469" s="11" t="inlineStr"/>
    </row>
    <row r="470">
      <c r="A470" s="11" t="n">
        <v>469</v>
      </c>
      <c r="B470" s="12" t="n">
        <v>46094</v>
      </c>
      <c r="C470" s="11" t="inlineStr">
        <is>
          <t>INTF</t>
        </is>
      </c>
      <c r="D470" s="11" t="inlineStr">
        <is>
          <t>202603</t>
        </is>
      </c>
      <c r="E470" s="11" t="inlineStr">
        <is>
          <t>1123331263</t>
        </is>
      </c>
      <c r="F470" s="11" t="inlineStr">
        <is>
          <t>SEGURA TIMARAN ANTON</t>
        </is>
      </c>
      <c r="G470" s="11" t="inlineStr"/>
      <c r="H470" s="11" t="inlineStr">
        <is>
          <t>INTERFACE P.O.S.</t>
        </is>
      </c>
      <c r="I470" s="11" t="n">
        <v>18000</v>
      </c>
      <c r="J470" s="11" t="inlineStr"/>
    </row>
    <row r="471">
      <c r="A471" s="11" t="n">
        <v>470</v>
      </c>
      <c r="B471" s="12" t="n">
        <v>46094</v>
      </c>
      <c r="C471" s="11" t="inlineStr">
        <is>
          <t>INTF</t>
        </is>
      </c>
      <c r="D471" s="11" t="inlineStr">
        <is>
          <t>202603</t>
        </is>
      </c>
      <c r="E471" s="11" t="inlineStr">
        <is>
          <t>22222222222</t>
        </is>
      </c>
      <c r="F471" s="11" t="inlineStr">
        <is>
          <t>CONSUMIDOR FINAL</t>
        </is>
      </c>
      <c r="G471" s="11" t="inlineStr"/>
      <c r="H471" s="11" t="inlineStr">
        <is>
          <t>INTERFACE P.O.S.</t>
        </is>
      </c>
      <c r="I471" s="11" t="n">
        <v>33600</v>
      </c>
      <c r="J471" s="11" t="inlineStr"/>
    </row>
    <row r="472">
      <c r="A472" s="11" t="n">
        <v>471</v>
      </c>
      <c r="B472" s="12" t="n">
        <v>46094</v>
      </c>
      <c r="C472" s="11" t="inlineStr">
        <is>
          <t>INTF</t>
        </is>
      </c>
      <c r="D472" s="11" t="inlineStr">
        <is>
          <t>202603</t>
        </is>
      </c>
      <c r="E472" s="11" t="inlineStr">
        <is>
          <t>1123332334</t>
        </is>
      </c>
      <c r="F472" s="11" t="inlineStr">
        <is>
          <t>RODRIGUEZ HUERTAS ER</t>
        </is>
      </c>
      <c r="G472" s="11" t="inlineStr"/>
      <c r="H472" s="11" t="inlineStr">
        <is>
          <t>INTERFACE P.O.S.</t>
        </is>
      </c>
      <c r="I472" s="11" t="n">
        <v>10500</v>
      </c>
      <c r="J472" s="11" t="inlineStr"/>
    </row>
    <row r="473">
      <c r="A473" s="11" t="n">
        <v>472</v>
      </c>
      <c r="B473" s="12" t="n">
        <v>46094</v>
      </c>
      <c r="C473" s="11" t="inlineStr">
        <is>
          <t>INTF</t>
        </is>
      </c>
      <c r="D473" s="11" t="inlineStr">
        <is>
          <t>202603</t>
        </is>
      </c>
      <c r="E473" s="11" t="inlineStr">
        <is>
          <t>18147316</t>
        </is>
      </c>
      <c r="F473" s="11" t="inlineStr">
        <is>
          <t>BELTRAN NARANJO REIN</t>
        </is>
      </c>
      <c r="G473" s="11" t="inlineStr"/>
      <c r="H473" s="11" t="inlineStr">
        <is>
          <t>INTERFACE P.O.S.</t>
        </is>
      </c>
      <c r="I473" s="11" t="n">
        <v>12700</v>
      </c>
      <c r="J473" s="11" t="inlineStr"/>
    </row>
    <row r="474">
      <c r="A474" s="11" t="n">
        <v>473</v>
      </c>
      <c r="B474" s="12" t="n">
        <v>46094</v>
      </c>
      <c r="C474" s="11" t="inlineStr">
        <is>
          <t>INTF</t>
        </is>
      </c>
      <c r="D474" s="11" t="inlineStr">
        <is>
          <t>202603</t>
        </is>
      </c>
      <c r="E474" s="11" t="inlineStr">
        <is>
          <t>1123329564</t>
        </is>
      </c>
      <c r="F474" s="11" t="inlineStr">
        <is>
          <t>YEPES SOLARTE LINDA</t>
        </is>
      </c>
      <c r="G474" s="11" t="inlineStr"/>
      <c r="H474" s="11" t="inlineStr">
        <is>
          <t>INTERFACE P.O.S.</t>
        </is>
      </c>
      <c r="I474" s="11" t="n">
        <v>25500</v>
      </c>
      <c r="J474" s="11" t="inlineStr"/>
    </row>
    <row r="475">
      <c r="A475" s="11" t="n">
        <v>474</v>
      </c>
      <c r="B475" s="12" t="n">
        <v>46094</v>
      </c>
      <c r="C475" s="11" t="inlineStr">
        <is>
          <t>INTF</t>
        </is>
      </c>
      <c r="D475" s="11" t="inlineStr">
        <is>
          <t>202603</t>
        </is>
      </c>
      <c r="E475" s="11" t="inlineStr">
        <is>
          <t>1075300641</t>
        </is>
      </c>
      <c r="F475" s="11" t="inlineStr">
        <is>
          <t>MILLAN SOUSA NATALY</t>
        </is>
      </c>
      <c r="G475" s="11" t="inlineStr"/>
      <c r="H475" s="11" t="inlineStr">
        <is>
          <t>INTERFACE P.O.S.</t>
        </is>
      </c>
      <c r="I475" s="11" t="n">
        <v>15600</v>
      </c>
      <c r="J475" s="11" t="inlineStr"/>
    </row>
    <row r="476">
      <c r="A476" s="11" t="n">
        <v>475</v>
      </c>
      <c r="B476" s="12" t="n">
        <v>46094</v>
      </c>
      <c r="C476" s="11" t="inlineStr">
        <is>
          <t>INTF</t>
        </is>
      </c>
      <c r="D476" s="11" t="inlineStr">
        <is>
          <t>202603</t>
        </is>
      </c>
      <c r="E476" s="11" t="inlineStr">
        <is>
          <t>1123322483</t>
        </is>
      </c>
      <c r="F476" s="11" t="inlineStr">
        <is>
          <t>PANTOJA MONTIEL LEID</t>
        </is>
      </c>
      <c r="G476" s="11" t="inlineStr"/>
      <c r="H476" s="11" t="inlineStr">
        <is>
          <t>INTERFACE P.O.S.</t>
        </is>
      </c>
      <c r="I476" s="11" t="n">
        <v>14000</v>
      </c>
      <c r="J476" s="11" t="inlineStr"/>
    </row>
    <row r="477">
      <c r="A477" s="11" t="n">
        <v>476</v>
      </c>
      <c r="B477" s="12" t="n">
        <v>46094</v>
      </c>
      <c r="C477" s="11" t="inlineStr">
        <is>
          <t>INTF</t>
        </is>
      </c>
      <c r="D477" s="11" t="inlineStr">
        <is>
          <t>202603</t>
        </is>
      </c>
      <c r="E477" s="11" t="inlineStr">
        <is>
          <t>1093786192</t>
        </is>
      </c>
      <c r="F477" s="11" t="inlineStr">
        <is>
          <t>CARVAJAL PORTILLA CA</t>
        </is>
      </c>
      <c r="G477" s="11" t="inlineStr"/>
      <c r="H477" s="11" t="inlineStr">
        <is>
          <t>INTERFACE P.O.S.</t>
        </is>
      </c>
      <c r="I477" s="11" t="n">
        <v>10000</v>
      </c>
      <c r="J477" s="11" t="inlineStr"/>
    </row>
    <row r="478">
      <c r="A478" s="11" t="n">
        <v>477</v>
      </c>
      <c r="B478" s="12" t="n">
        <v>46094</v>
      </c>
      <c r="C478" s="11" t="inlineStr">
        <is>
          <t>INTF</t>
        </is>
      </c>
      <c r="D478" s="11" t="inlineStr">
        <is>
          <t>202603</t>
        </is>
      </c>
      <c r="E478" s="11" t="inlineStr">
        <is>
          <t>1123320594</t>
        </is>
      </c>
      <c r="F478" s="11" t="inlineStr">
        <is>
          <t>CUEVA PINTA WILSON B</t>
        </is>
      </c>
      <c r="G478" s="11" t="inlineStr"/>
      <c r="H478" s="11" t="inlineStr">
        <is>
          <t>INTERFACE P.O.S.</t>
        </is>
      </c>
      <c r="I478" s="11" t="n">
        <v>3000</v>
      </c>
      <c r="J478" s="11" t="inlineStr"/>
    </row>
    <row r="479">
      <c r="A479" s="11" t="n">
        <v>478</v>
      </c>
      <c r="B479" s="12" t="n">
        <v>46094</v>
      </c>
      <c r="C479" s="11" t="inlineStr">
        <is>
          <t>INTF</t>
        </is>
      </c>
      <c r="D479" s="11" t="inlineStr">
        <is>
          <t>202603</t>
        </is>
      </c>
      <c r="E479" s="11" t="inlineStr">
        <is>
          <t>1123331260</t>
        </is>
      </c>
      <c r="F479" s="11" t="inlineStr">
        <is>
          <t>ROMO PALMA LINDA JOS</t>
        </is>
      </c>
      <c r="G479" s="11" t="inlineStr"/>
      <c r="H479" s="11" t="inlineStr">
        <is>
          <t>INTERFACE P.O.S.</t>
        </is>
      </c>
      <c r="I479" s="11" t="n">
        <v>86000</v>
      </c>
      <c r="J479" s="11" t="inlineStr"/>
    </row>
    <row r="480">
      <c r="A480" s="11" t="n">
        <v>479</v>
      </c>
      <c r="B480" s="12" t="n">
        <v>46094</v>
      </c>
      <c r="C480" s="11" t="inlineStr">
        <is>
          <t>INTF</t>
        </is>
      </c>
      <c r="D480" s="11" t="inlineStr">
        <is>
          <t>202603</t>
        </is>
      </c>
      <c r="E480" s="11" t="inlineStr">
        <is>
          <t>12447282</t>
        </is>
      </c>
      <c r="F480" s="11" t="inlineStr">
        <is>
          <t>MENDOZA CARLOS EDUAR</t>
        </is>
      </c>
      <c r="G480" s="11" t="inlineStr"/>
      <c r="H480" s="11" t="inlineStr">
        <is>
          <t>INTERFACE P.O.S.</t>
        </is>
      </c>
      <c r="I480" s="11" t="n">
        <v>16500</v>
      </c>
      <c r="J480" s="11" t="inlineStr"/>
    </row>
    <row r="481">
      <c r="A481" s="11" t="n">
        <v>480</v>
      </c>
      <c r="B481" s="12" t="n">
        <v>46094</v>
      </c>
      <c r="C481" s="11" t="inlineStr">
        <is>
          <t>INTF</t>
        </is>
      </c>
      <c r="D481" s="11" t="inlineStr">
        <is>
          <t>202603</t>
        </is>
      </c>
      <c r="E481" s="11" t="inlineStr">
        <is>
          <t>41107106</t>
        </is>
      </c>
      <c r="F481" s="11" t="inlineStr">
        <is>
          <t>PINTO CORTES ELSA</t>
        </is>
      </c>
      <c r="G481" s="11" t="inlineStr"/>
      <c r="H481" s="11" t="inlineStr">
        <is>
          <t>INTERFACE P.O.S.</t>
        </is>
      </c>
      <c r="I481" s="11" t="n">
        <v>29100</v>
      </c>
      <c r="J481" s="11" t="inlineStr"/>
    </row>
    <row r="482">
      <c r="A482" s="11" t="n">
        <v>481</v>
      </c>
      <c r="B482" s="12" t="n">
        <v>46094</v>
      </c>
      <c r="C482" s="11" t="inlineStr">
        <is>
          <t>INTF</t>
        </is>
      </c>
      <c r="D482" s="11" t="inlineStr">
        <is>
          <t>202603</t>
        </is>
      </c>
      <c r="E482" s="11" t="inlineStr">
        <is>
          <t>40740556</t>
        </is>
      </c>
      <c r="F482" s="11" t="inlineStr">
        <is>
          <t>CUBILLOS ORDOÑES NIV</t>
        </is>
      </c>
      <c r="G482" s="11" t="inlineStr"/>
      <c r="H482" s="11" t="inlineStr">
        <is>
          <t>INTERFACE P.O.S.</t>
        </is>
      </c>
      <c r="I482" s="11" t="n">
        <v>18500</v>
      </c>
      <c r="J482" s="11" t="inlineStr"/>
    </row>
    <row r="483">
      <c r="A483" s="11" t="n">
        <v>482</v>
      </c>
      <c r="B483" s="12" t="n">
        <v>46094</v>
      </c>
      <c r="C483" s="11" t="inlineStr">
        <is>
          <t>INTF</t>
        </is>
      </c>
      <c r="D483" s="11" t="inlineStr">
        <is>
          <t>202603</t>
        </is>
      </c>
      <c r="E483" s="11" t="inlineStr">
        <is>
          <t>59862445</t>
        </is>
      </c>
      <c r="F483" s="11" t="inlineStr">
        <is>
          <t>DAVID CHAVEZ ROSA CE</t>
        </is>
      </c>
      <c r="G483" s="11" t="inlineStr"/>
      <c r="H483" s="11" t="inlineStr">
        <is>
          <t>INTERFACE P.O.S.</t>
        </is>
      </c>
      <c r="I483" s="11" t="n">
        <v>155700</v>
      </c>
      <c r="J483" s="11" t="inlineStr"/>
    </row>
    <row r="484">
      <c r="A484" s="11" t="n">
        <v>483</v>
      </c>
      <c r="B484" s="12" t="n">
        <v>46094</v>
      </c>
      <c r="C484" s="11" t="inlineStr">
        <is>
          <t>INTF</t>
        </is>
      </c>
      <c r="D484" s="11" t="inlineStr">
        <is>
          <t>202603</t>
        </is>
      </c>
      <c r="E484" s="11" t="inlineStr">
        <is>
          <t>1130145325</t>
        </is>
      </c>
      <c r="F484" s="11" t="inlineStr">
        <is>
          <t>OJEDA CASANOVA ANGIE</t>
        </is>
      </c>
      <c r="G484" s="11" t="inlineStr"/>
      <c r="H484" s="11" t="inlineStr">
        <is>
          <t>INTERFACE P.O.S.</t>
        </is>
      </c>
      <c r="I484" s="11" t="n">
        <v>32800</v>
      </c>
      <c r="J484" s="11" t="inlineStr"/>
    </row>
    <row r="485">
      <c r="A485" s="11" t="n">
        <v>484</v>
      </c>
      <c r="B485" s="12" t="n">
        <v>46094</v>
      </c>
      <c r="C485" s="11" t="inlineStr">
        <is>
          <t>INTF</t>
        </is>
      </c>
      <c r="D485" s="11" t="inlineStr">
        <is>
          <t>202603</t>
        </is>
      </c>
      <c r="E485" s="11" t="inlineStr">
        <is>
          <t>1006994711</t>
        </is>
      </c>
      <c r="F485" s="11" t="inlineStr">
        <is>
          <t>MOSQUERA PALACIOS JE</t>
        </is>
      </c>
      <c r="G485" s="11" t="inlineStr"/>
      <c r="H485" s="11" t="inlineStr">
        <is>
          <t>INTERFACE P.O.S.</t>
        </is>
      </c>
      <c r="I485" s="11" t="n">
        <v>17800</v>
      </c>
      <c r="J485" s="11" t="inlineStr"/>
    </row>
    <row r="486">
      <c r="A486" s="11" t="n">
        <v>485</v>
      </c>
      <c r="B486" s="12" t="n">
        <v>46094</v>
      </c>
      <c r="C486" s="11" t="inlineStr">
        <is>
          <t>INTF</t>
        </is>
      </c>
      <c r="D486" s="11" t="inlineStr">
        <is>
          <t>202603</t>
        </is>
      </c>
      <c r="E486" s="11" t="inlineStr">
        <is>
          <t>1006995728</t>
        </is>
      </c>
      <c r="F486" s="11" t="inlineStr">
        <is>
          <t>SANTANDER BENAVIDES</t>
        </is>
      </c>
      <c r="G486" s="11" t="inlineStr"/>
      <c r="H486" s="11" t="inlineStr">
        <is>
          <t>INTERFACE P.O.S.</t>
        </is>
      </c>
      <c r="I486" s="11" t="n">
        <v>24600</v>
      </c>
      <c r="J486" s="11" t="inlineStr"/>
    </row>
    <row r="487">
      <c r="A487" s="11" t="n">
        <v>486</v>
      </c>
      <c r="B487" s="12" t="n">
        <v>46094</v>
      </c>
      <c r="C487" s="11" t="inlineStr">
        <is>
          <t>INTF</t>
        </is>
      </c>
      <c r="D487" s="11" t="inlineStr">
        <is>
          <t>202603</t>
        </is>
      </c>
      <c r="E487" s="11" t="inlineStr">
        <is>
          <t>1120216224</t>
        </is>
      </c>
      <c r="F487" s="11" t="inlineStr">
        <is>
          <t>RAMIREZ MORENO YENI</t>
        </is>
      </c>
      <c r="G487" s="11" t="inlineStr"/>
      <c r="H487" s="11" t="inlineStr">
        <is>
          <t>INTERFACE P.O.S.</t>
        </is>
      </c>
      <c r="I487" s="11" t="n">
        <v>6000</v>
      </c>
      <c r="J487" s="11" t="inlineStr"/>
    </row>
    <row r="488">
      <c r="A488" s="11" t="n">
        <v>487</v>
      </c>
      <c r="B488" s="12" t="n">
        <v>46094</v>
      </c>
      <c r="C488" s="11" t="inlineStr">
        <is>
          <t>INTF</t>
        </is>
      </c>
      <c r="D488" s="11" t="inlineStr">
        <is>
          <t>202603</t>
        </is>
      </c>
      <c r="E488" s="11" t="inlineStr">
        <is>
          <t>1123321528</t>
        </is>
      </c>
      <c r="F488" s="11" t="inlineStr">
        <is>
          <t>BENAVIDES GUACA DANI</t>
        </is>
      </c>
      <c r="G488" s="11" t="inlineStr"/>
      <c r="H488" s="11" t="inlineStr">
        <is>
          <t>INTERFACE P.O.S.</t>
        </is>
      </c>
      <c r="I488" s="11" t="n">
        <v>48100</v>
      </c>
      <c r="J488" s="11" t="inlineStr"/>
    </row>
    <row r="489">
      <c r="A489" s="11" t="n">
        <v>488</v>
      </c>
      <c r="B489" s="12" t="n">
        <v>46094</v>
      </c>
      <c r="C489" s="11" t="inlineStr">
        <is>
          <t>INTF</t>
        </is>
      </c>
      <c r="D489" s="11" t="inlineStr">
        <is>
          <t>202603</t>
        </is>
      </c>
      <c r="E489" s="11" t="inlineStr">
        <is>
          <t>1122135177</t>
        </is>
      </c>
      <c r="F489" s="11" t="inlineStr">
        <is>
          <t>MORENO SANCHEZ RUBI</t>
        </is>
      </c>
      <c r="G489" s="11" t="inlineStr"/>
      <c r="H489" s="11" t="inlineStr">
        <is>
          <t>INTERFACE P.O.S.</t>
        </is>
      </c>
      <c r="I489" s="11" t="n">
        <v>21000</v>
      </c>
      <c r="J489" s="11" t="inlineStr"/>
    </row>
    <row r="490">
      <c r="A490" s="11" t="n">
        <v>489</v>
      </c>
      <c r="B490" s="12" t="n">
        <v>46094</v>
      </c>
      <c r="C490" s="11" t="inlineStr">
        <is>
          <t>INTF</t>
        </is>
      </c>
      <c r="D490" s="11" t="inlineStr">
        <is>
          <t>202603</t>
        </is>
      </c>
      <c r="E490" s="11" t="inlineStr">
        <is>
          <t>1123330248</t>
        </is>
      </c>
      <c r="F490" s="11" t="inlineStr">
        <is>
          <t>ARIAS ARBOLEDA JHON</t>
        </is>
      </c>
      <c r="G490" s="11" t="inlineStr"/>
      <c r="H490" s="11" t="inlineStr">
        <is>
          <t>INTERFACE P.O.S.</t>
        </is>
      </c>
      <c r="I490" s="11" t="n">
        <v>37300</v>
      </c>
      <c r="J490" s="11" t="inlineStr"/>
    </row>
    <row r="491">
      <c r="A491" s="11" t="n">
        <v>490</v>
      </c>
      <c r="B491" s="12" t="n">
        <v>46094</v>
      </c>
      <c r="C491" s="11" t="inlineStr">
        <is>
          <t>INTF</t>
        </is>
      </c>
      <c r="D491" s="11" t="inlineStr">
        <is>
          <t>202603</t>
        </is>
      </c>
      <c r="E491" s="11" t="inlineStr">
        <is>
          <t>41109116</t>
        </is>
      </c>
      <c r="F491" s="11" t="inlineStr">
        <is>
          <t>GOMEZ MEZA AIDA</t>
        </is>
      </c>
      <c r="G491" s="11" t="inlineStr"/>
      <c r="H491" s="11" t="inlineStr">
        <is>
          <t>INTERFACE P.O.S.</t>
        </is>
      </c>
      <c r="I491" s="11" t="n">
        <v>30700</v>
      </c>
      <c r="J491" s="11" t="inlineStr"/>
    </row>
    <row r="492">
      <c r="A492" s="11" t="n">
        <v>491</v>
      </c>
      <c r="B492" s="12" t="n">
        <v>46094</v>
      </c>
      <c r="C492" s="11" t="inlineStr">
        <is>
          <t>INTF</t>
        </is>
      </c>
      <c r="D492" s="11" t="inlineStr">
        <is>
          <t>202603</t>
        </is>
      </c>
      <c r="E492" s="11" t="inlineStr">
        <is>
          <t>1006848035</t>
        </is>
      </c>
      <c r="F492" s="11" t="inlineStr">
        <is>
          <t>SEVILLANO GOMEZ YANI</t>
        </is>
      </c>
      <c r="G492" s="11" t="inlineStr"/>
      <c r="H492" s="11" t="inlineStr">
        <is>
          <t>INTERFACE P.O.S.</t>
        </is>
      </c>
      <c r="I492" s="11" t="n">
        <v>14000</v>
      </c>
      <c r="J492" s="11" t="inlineStr"/>
    </row>
    <row r="493">
      <c r="A493" s="11" t="n">
        <v>492</v>
      </c>
      <c r="B493" s="12" t="n">
        <v>46094</v>
      </c>
      <c r="C493" s="11" t="inlineStr">
        <is>
          <t>INTF</t>
        </is>
      </c>
      <c r="D493" s="11" t="inlineStr">
        <is>
          <t>202603</t>
        </is>
      </c>
      <c r="E493" s="11" t="inlineStr">
        <is>
          <t>1124863915</t>
        </is>
      </c>
      <c r="F493" s="11" t="inlineStr">
        <is>
          <t>ZAMBRANO ZUIN OMAR Y</t>
        </is>
      </c>
      <c r="G493" s="11" t="inlineStr"/>
      <c r="H493" s="11" t="inlineStr">
        <is>
          <t>INTERFACE P.O.S.</t>
        </is>
      </c>
      <c r="I493" s="11" t="n">
        <v>3200</v>
      </c>
      <c r="J493" s="11" t="inlineStr"/>
    </row>
    <row r="494">
      <c r="A494" s="11" t="n">
        <v>493</v>
      </c>
      <c r="B494" s="12" t="n">
        <v>46094</v>
      </c>
      <c r="C494" s="11" t="inlineStr">
        <is>
          <t>INTF</t>
        </is>
      </c>
      <c r="D494" s="11" t="inlineStr">
        <is>
          <t>202603</t>
        </is>
      </c>
      <c r="E494" s="11" t="inlineStr">
        <is>
          <t>27362252</t>
        </is>
      </c>
      <c r="F494" s="11" t="inlineStr">
        <is>
          <t>TIMARAN CHASOY JUDY</t>
        </is>
      </c>
      <c r="G494" s="11" t="inlineStr"/>
      <c r="H494" s="11" t="inlineStr">
        <is>
          <t>INTERFACE P.O.S.</t>
        </is>
      </c>
      <c r="I494" s="11" t="n">
        <v>45400</v>
      </c>
      <c r="J494" s="11" t="inlineStr"/>
    </row>
    <row r="495">
      <c r="A495" s="11" t="n">
        <v>494</v>
      </c>
      <c r="B495" s="12" t="n">
        <v>46094</v>
      </c>
      <c r="C495" s="11" t="inlineStr">
        <is>
          <t>INTF</t>
        </is>
      </c>
      <c r="D495" s="11" t="inlineStr">
        <is>
          <t>202603</t>
        </is>
      </c>
      <c r="E495" s="11" t="inlineStr">
        <is>
          <t>1123325753</t>
        </is>
      </c>
      <c r="F495" s="11" t="inlineStr">
        <is>
          <t>MENA PAI JEINER</t>
        </is>
      </c>
      <c r="G495" s="11" t="inlineStr"/>
      <c r="H495" s="11" t="inlineStr">
        <is>
          <t>INTERFACE P.O.S.</t>
        </is>
      </c>
      <c r="I495" s="11" t="n">
        <v>16800</v>
      </c>
      <c r="J495" s="11" t="inlineStr"/>
    </row>
    <row r="496">
      <c r="A496" s="11" t="n">
        <v>495</v>
      </c>
      <c r="B496" s="12" t="n">
        <v>46094</v>
      </c>
      <c r="C496" s="11" t="inlineStr">
        <is>
          <t>INTF</t>
        </is>
      </c>
      <c r="D496" s="11" t="inlineStr">
        <is>
          <t>202603</t>
        </is>
      </c>
      <c r="E496" s="11" t="inlineStr">
        <is>
          <t>1123328228</t>
        </is>
      </c>
      <c r="F496" s="11" t="inlineStr">
        <is>
          <t>MERCHAN BRAVO CARLOS</t>
        </is>
      </c>
      <c r="G496" s="11" t="inlineStr"/>
      <c r="H496" s="11" t="inlineStr">
        <is>
          <t>INTERFACE P.O.S.</t>
        </is>
      </c>
      <c r="I496" s="11" t="n">
        <v>3900</v>
      </c>
      <c r="J496" s="11" t="inlineStr"/>
    </row>
    <row r="497">
      <c r="A497" s="11" t="n">
        <v>496</v>
      </c>
      <c r="B497" s="12" t="n">
        <v>46094</v>
      </c>
      <c r="C497" s="11" t="inlineStr">
        <is>
          <t>INTF</t>
        </is>
      </c>
      <c r="D497" s="11" t="inlineStr">
        <is>
          <t>202603</t>
        </is>
      </c>
      <c r="E497" s="11" t="inlineStr">
        <is>
          <t>1014672263</t>
        </is>
      </c>
      <c r="F497" s="11" t="inlineStr">
        <is>
          <t>DELGADO DIAZ DANIELA</t>
        </is>
      </c>
      <c r="G497" s="11" t="inlineStr"/>
      <c r="H497" s="11" t="inlineStr">
        <is>
          <t>INTERFACE P.O.S.</t>
        </is>
      </c>
      <c r="I497" s="11" t="n">
        <v>8200</v>
      </c>
      <c r="J497" s="11" t="inlineStr"/>
    </row>
    <row r="498">
      <c r="A498" s="11" t="n">
        <v>497</v>
      </c>
      <c r="B498" s="12" t="n">
        <v>46094</v>
      </c>
      <c r="C498" s="11" t="inlineStr">
        <is>
          <t>INTF</t>
        </is>
      </c>
      <c r="D498" s="11" t="inlineStr">
        <is>
          <t>202603</t>
        </is>
      </c>
      <c r="E498" s="11" t="inlineStr">
        <is>
          <t>1138525090</t>
        </is>
      </c>
      <c r="F498" s="11" t="inlineStr">
        <is>
          <t>ACOSTA MORA YULIANA</t>
        </is>
      </c>
      <c r="G498" s="11" t="inlineStr"/>
      <c r="H498" s="11" t="inlineStr">
        <is>
          <t>INTERFACE P.O.S.</t>
        </is>
      </c>
      <c r="I498" s="11" t="n">
        <v>7800</v>
      </c>
      <c r="J498" s="11" t="inlineStr"/>
    </row>
    <row r="499">
      <c r="A499" s="11" t="n">
        <v>498</v>
      </c>
      <c r="B499" s="12" t="n">
        <v>46094</v>
      </c>
      <c r="C499" s="11" t="inlineStr">
        <is>
          <t>INTF</t>
        </is>
      </c>
      <c r="D499" s="11" t="inlineStr">
        <is>
          <t>202603</t>
        </is>
      </c>
      <c r="E499" s="11" t="inlineStr">
        <is>
          <t>1006666161</t>
        </is>
      </c>
      <c r="F499" s="11" t="inlineStr">
        <is>
          <t>VERA COQUINCHE SEBAS</t>
        </is>
      </c>
      <c r="G499" s="11" t="inlineStr"/>
      <c r="H499" s="11" t="inlineStr">
        <is>
          <t>INTERFACE P.O.S.</t>
        </is>
      </c>
      <c r="I499" s="11" t="n">
        <v>11900</v>
      </c>
      <c r="J499" s="11" t="inlineStr"/>
    </row>
    <row r="500">
      <c r="A500" s="11" t="n">
        <v>499</v>
      </c>
      <c r="B500" s="12" t="n">
        <v>46094</v>
      </c>
      <c r="C500" s="11" t="inlineStr">
        <is>
          <t>INTF</t>
        </is>
      </c>
      <c r="D500" s="11" t="inlineStr">
        <is>
          <t>202603</t>
        </is>
      </c>
      <c r="E500" s="11" t="inlineStr">
        <is>
          <t>1123322612</t>
        </is>
      </c>
      <c r="F500" s="11" t="inlineStr">
        <is>
          <t>SALCEDO ENRIQUEZ MAR</t>
        </is>
      </c>
      <c r="G500" s="11" t="inlineStr"/>
      <c r="H500" s="11" t="inlineStr">
        <is>
          <t>INTERFACE P.O.S.</t>
        </is>
      </c>
      <c r="I500" s="11" t="n">
        <v>17500</v>
      </c>
      <c r="J500" s="11" t="inlineStr"/>
    </row>
    <row r="501">
      <c r="A501" s="11" t="n">
        <v>500</v>
      </c>
      <c r="B501" s="12" t="n">
        <v>46094</v>
      </c>
      <c r="C501" s="11" t="inlineStr">
        <is>
          <t>INTF</t>
        </is>
      </c>
      <c r="D501" s="11" t="inlineStr">
        <is>
          <t>202603</t>
        </is>
      </c>
      <c r="E501" s="11" t="inlineStr">
        <is>
          <t>1123335334</t>
        </is>
      </c>
      <c r="F501" s="11" t="inlineStr">
        <is>
          <t>CERON VALDES LORENA</t>
        </is>
      </c>
      <c r="G501" s="11" t="inlineStr"/>
      <c r="H501" s="11" t="inlineStr">
        <is>
          <t>INTERFACE P.O.S.</t>
        </is>
      </c>
      <c r="I501" s="11" t="n">
        <v>34000</v>
      </c>
      <c r="J501" s="11" t="inlineStr"/>
    </row>
    <row r="502">
      <c r="A502" s="11" t="n">
        <v>501</v>
      </c>
      <c r="B502" s="12" t="n">
        <v>46094</v>
      </c>
      <c r="C502" s="11" t="inlineStr">
        <is>
          <t>INTF</t>
        </is>
      </c>
      <c r="D502" s="11" t="inlineStr">
        <is>
          <t>202603</t>
        </is>
      </c>
      <c r="E502" s="11" t="inlineStr">
        <is>
          <t>1086694511</t>
        </is>
      </c>
      <c r="F502" s="11" t="inlineStr">
        <is>
          <t>CAICEDO SARMIENTO YO</t>
        </is>
      </c>
      <c r="G502" s="11" t="inlineStr"/>
      <c r="H502" s="11" t="inlineStr">
        <is>
          <t>INTERFACE P.O.S.</t>
        </is>
      </c>
      <c r="I502" s="11" t="n">
        <v>19000</v>
      </c>
      <c r="J502" s="11" t="inlineStr"/>
    </row>
    <row r="503">
      <c r="A503" s="11" t="n">
        <v>502</v>
      </c>
      <c r="B503" s="12" t="n">
        <v>46095</v>
      </c>
      <c r="C503" s="11" t="inlineStr">
        <is>
          <t>INTF</t>
        </is>
      </c>
      <c r="D503" s="11" t="inlineStr">
        <is>
          <t>202603</t>
        </is>
      </c>
      <c r="E503" s="11" t="inlineStr">
        <is>
          <t>1123335029</t>
        </is>
      </c>
      <c r="F503" s="11" t="inlineStr">
        <is>
          <t>SANCHEZ TORO JUAN CA</t>
        </is>
      </c>
      <c r="G503" s="11" t="inlineStr"/>
      <c r="H503" s="11" t="inlineStr">
        <is>
          <t>INTERFACE P.O.S.</t>
        </is>
      </c>
      <c r="I503" s="11" t="n">
        <v>11600</v>
      </c>
      <c r="J503" s="11" t="inlineStr"/>
    </row>
    <row r="504">
      <c r="A504" s="11" t="n">
        <v>503</v>
      </c>
      <c r="B504" s="12" t="n">
        <v>46095</v>
      </c>
      <c r="C504" s="11" t="inlineStr">
        <is>
          <t>INTF</t>
        </is>
      </c>
      <c r="D504" s="11" t="inlineStr">
        <is>
          <t>202603</t>
        </is>
      </c>
      <c r="E504" s="11" t="inlineStr">
        <is>
          <t>1120216797</t>
        </is>
      </c>
      <c r="F504" s="11" t="inlineStr">
        <is>
          <t>SUAREZ SANTACRUZ MAR</t>
        </is>
      </c>
      <c r="G504" s="11" t="inlineStr"/>
      <c r="H504" s="11" t="inlineStr">
        <is>
          <t>INTERFACE P.O.S.</t>
        </is>
      </c>
      <c r="I504" s="11" t="n">
        <v>15000</v>
      </c>
      <c r="J504" s="11" t="inlineStr"/>
    </row>
    <row r="505">
      <c r="A505" s="11" t="n">
        <v>504</v>
      </c>
      <c r="B505" s="12" t="n">
        <v>46095</v>
      </c>
      <c r="C505" s="11" t="inlineStr">
        <is>
          <t>INTF</t>
        </is>
      </c>
      <c r="D505" s="11" t="inlineStr">
        <is>
          <t>202603</t>
        </is>
      </c>
      <c r="E505" s="11" t="inlineStr">
        <is>
          <t>13069539</t>
        </is>
      </c>
      <c r="F505" s="11" t="inlineStr">
        <is>
          <t>MANCHABAJOY BENAVIDE</t>
        </is>
      </c>
      <c r="G505" s="11" t="inlineStr"/>
      <c r="H505" s="11" t="inlineStr">
        <is>
          <t>INTERFACE P.O.S.</t>
        </is>
      </c>
      <c r="I505" s="11" t="n">
        <v>20000</v>
      </c>
      <c r="J505" s="11" t="inlineStr"/>
    </row>
    <row r="506">
      <c r="A506" s="11" t="n">
        <v>505</v>
      </c>
      <c r="B506" s="12" t="n">
        <v>46095</v>
      </c>
      <c r="C506" s="11" t="inlineStr">
        <is>
          <t>INTF</t>
        </is>
      </c>
      <c r="D506" s="11" t="inlineStr">
        <is>
          <t>202603</t>
        </is>
      </c>
      <c r="E506" s="11" t="inlineStr">
        <is>
          <t>1115943396</t>
        </is>
      </c>
      <c r="F506" s="11" t="inlineStr">
        <is>
          <t>FRANCO RUBIANO AZUCE</t>
        </is>
      </c>
      <c r="G506" s="11" t="inlineStr"/>
      <c r="H506" s="11" t="inlineStr">
        <is>
          <t>INTERFACE P.O.S.</t>
        </is>
      </c>
      <c r="I506" s="11" t="n">
        <v>12500</v>
      </c>
      <c r="J506" s="11" t="inlineStr"/>
    </row>
    <row r="507">
      <c r="A507" s="11" t="n">
        <v>506</v>
      </c>
      <c r="B507" s="12" t="n">
        <v>46095</v>
      </c>
      <c r="C507" s="11" t="inlineStr">
        <is>
          <t>INTF</t>
        </is>
      </c>
      <c r="D507" s="11" t="inlineStr">
        <is>
          <t>202603</t>
        </is>
      </c>
      <c r="E507" s="11" t="inlineStr">
        <is>
          <t>1073693731</t>
        </is>
      </c>
      <c r="F507" s="11" t="inlineStr">
        <is>
          <t>NARVAEZ ACOSTA IDALY</t>
        </is>
      </c>
      <c r="G507" s="11" t="inlineStr"/>
      <c r="H507" s="11" t="inlineStr">
        <is>
          <t>INTERFACE P.O.S.</t>
        </is>
      </c>
      <c r="I507" s="11" t="n">
        <v>82300</v>
      </c>
      <c r="J507" s="11" t="inlineStr"/>
    </row>
    <row r="508">
      <c r="A508" s="11" t="n">
        <v>507</v>
      </c>
      <c r="B508" s="12" t="n">
        <v>46095</v>
      </c>
      <c r="C508" s="11" t="inlineStr">
        <is>
          <t>INTF</t>
        </is>
      </c>
      <c r="D508" s="11" t="inlineStr">
        <is>
          <t>202603</t>
        </is>
      </c>
      <c r="E508" s="11" t="inlineStr">
        <is>
          <t>63253015</t>
        </is>
      </c>
      <c r="F508" s="11" t="inlineStr">
        <is>
          <t>CANO BETANCOURT LUZ</t>
        </is>
      </c>
      <c r="G508" s="11" t="inlineStr"/>
      <c r="H508" s="11" t="inlineStr">
        <is>
          <t>INTERFACE P.O.S.</t>
        </is>
      </c>
      <c r="I508" s="11" t="n">
        <v>48300</v>
      </c>
      <c r="J508" s="11" t="inlineStr"/>
    </row>
    <row r="509">
      <c r="A509" s="11" t="n">
        <v>508</v>
      </c>
      <c r="B509" s="12" t="n">
        <v>46095</v>
      </c>
      <c r="C509" s="11" t="inlineStr">
        <is>
          <t>INTF</t>
        </is>
      </c>
      <c r="D509" s="11" t="inlineStr">
        <is>
          <t>202603</t>
        </is>
      </c>
      <c r="E509" s="11" t="inlineStr">
        <is>
          <t>1123329121</t>
        </is>
      </c>
      <c r="F509" s="11" t="inlineStr">
        <is>
          <t>URBANO PORTILLA LEID</t>
        </is>
      </c>
      <c r="G509" s="11" t="inlineStr"/>
      <c r="H509" s="11" t="inlineStr">
        <is>
          <t>INTERFACE P.O.S.</t>
        </is>
      </c>
      <c r="I509" s="11" t="n">
        <v>24600</v>
      </c>
      <c r="J509" s="11" t="inlineStr"/>
    </row>
    <row r="510">
      <c r="A510" s="11" t="n">
        <v>509</v>
      </c>
      <c r="B510" s="12" t="n">
        <v>46095</v>
      </c>
      <c r="C510" s="11" t="inlineStr">
        <is>
          <t>INTF</t>
        </is>
      </c>
      <c r="D510" s="11" t="inlineStr">
        <is>
          <t>202603</t>
        </is>
      </c>
      <c r="E510" s="11" t="inlineStr">
        <is>
          <t>1123207177</t>
        </is>
      </c>
      <c r="F510" s="11" t="inlineStr">
        <is>
          <t>DE LA PAVA TORRES AN</t>
        </is>
      </c>
      <c r="G510" s="11" t="inlineStr"/>
      <c r="H510" s="11" t="inlineStr">
        <is>
          <t>INTERFACE P.O.S.</t>
        </is>
      </c>
      <c r="I510" s="11" t="n">
        <v>103500</v>
      </c>
      <c r="J510" s="11" t="inlineStr"/>
    </row>
    <row r="511">
      <c r="A511" s="11" t="n">
        <v>510</v>
      </c>
      <c r="B511" s="12" t="n">
        <v>46095</v>
      </c>
      <c r="C511" s="11" t="inlineStr">
        <is>
          <t>INTF</t>
        </is>
      </c>
      <c r="D511" s="11" t="inlineStr">
        <is>
          <t>202603</t>
        </is>
      </c>
      <c r="E511" s="11" t="inlineStr">
        <is>
          <t>1123330589</t>
        </is>
      </c>
      <c r="F511" s="11" t="inlineStr">
        <is>
          <t>RIASCOS SILVA JEIMY</t>
        </is>
      </c>
      <c r="G511" s="11" t="inlineStr"/>
      <c r="H511" s="11" t="inlineStr">
        <is>
          <t>INTERFACE P.O.S.</t>
        </is>
      </c>
      <c r="I511" s="11" t="n">
        <v>15300</v>
      </c>
      <c r="J511" s="11" t="inlineStr"/>
    </row>
    <row r="512">
      <c r="A512" s="11" t="n">
        <v>511</v>
      </c>
      <c r="B512" s="12" t="n">
        <v>46095</v>
      </c>
      <c r="C512" s="11" t="inlineStr">
        <is>
          <t>INTF</t>
        </is>
      </c>
      <c r="D512" s="11" t="inlineStr">
        <is>
          <t>202603</t>
        </is>
      </c>
      <c r="E512" s="11" t="inlineStr">
        <is>
          <t>1006997523</t>
        </is>
      </c>
      <c r="F512" s="11" t="inlineStr">
        <is>
          <t>BENAVIDES GUAPUCAL D</t>
        </is>
      </c>
      <c r="G512" s="11" t="inlineStr"/>
      <c r="H512" s="11" t="inlineStr">
        <is>
          <t>INTERFACE P.O.S.</t>
        </is>
      </c>
      <c r="I512" s="11" t="n">
        <v>32400</v>
      </c>
      <c r="J512" s="11" t="inlineStr"/>
    </row>
    <row r="513">
      <c r="A513" s="11" t="n">
        <v>512</v>
      </c>
      <c r="B513" s="12" t="n">
        <v>46095</v>
      </c>
      <c r="C513" s="11" t="inlineStr">
        <is>
          <t>INTF</t>
        </is>
      </c>
      <c r="D513" s="11" t="inlineStr">
        <is>
          <t>202603</t>
        </is>
      </c>
      <c r="E513" s="11" t="inlineStr">
        <is>
          <t>1123334440</t>
        </is>
      </c>
      <c r="F513" s="11" t="inlineStr">
        <is>
          <t>POTOSI CADENA SANDRA</t>
        </is>
      </c>
      <c r="G513" s="11" t="inlineStr"/>
      <c r="H513" s="11" t="inlineStr">
        <is>
          <t>INTERFACE P.O.S.</t>
        </is>
      </c>
      <c r="I513" s="11" t="n">
        <v>10900</v>
      </c>
      <c r="J513" s="11" t="inlineStr"/>
    </row>
    <row r="514">
      <c r="A514" s="11" t="n">
        <v>513</v>
      </c>
      <c r="B514" s="12" t="n">
        <v>46095</v>
      </c>
      <c r="C514" s="11" t="inlineStr">
        <is>
          <t>INTF</t>
        </is>
      </c>
      <c r="D514" s="11" t="inlineStr">
        <is>
          <t>202603</t>
        </is>
      </c>
      <c r="E514" s="11" t="inlineStr">
        <is>
          <t>1125410221</t>
        </is>
      </c>
      <c r="F514" s="11" t="inlineStr">
        <is>
          <t>PAREDES SALAZAR JESS</t>
        </is>
      </c>
      <c r="G514" s="11" t="inlineStr"/>
      <c r="H514" s="11" t="inlineStr">
        <is>
          <t>INTERFACE P.O.S.</t>
        </is>
      </c>
      <c r="I514" s="11" t="n">
        <v>26200</v>
      </c>
      <c r="J514" s="11" t="inlineStr"/>
    </row>
    <row r="515">
      <c r="A515" s="11" t="n">
        <v>514</v>
      </c>
      <c r="B515" s="12" t="n">
        <v>46095</v>
      </c>
      <c r="C515" s="11" t="inlineStr">
        <is>
          <t>INTF</t>
        </is>
      </c>
      <c r="D515" s="11" t="inlineStr">
        <is>
          <t>202603</t>
        </is>
      </c>
      <c r="E515" s="11" t="inlineStr">
        <is>
          <t>1006849686</t>
        </is>
      </c>
      <c r="F515" s="11" t="inlineStr">
        <is>
          <t>MELENDEZ ORDOÑEZ JEN</t>
        </is>
      </c>
      <c r="G515" s="11" t="inlineStr"/>
      <c r="H515" s="11" t="inlineStr">
        <is>
          <t>INTERFACE P.O.S.</t>
        </is>
      </c>
      <c r="I515" s="11" t="n">
        <v>3000</v>
      </c>
      <c r="J515" s="11" t="inlineStr"/>
    </row>
    <row r="516">
      <c r="A516" s="11" t="n">
        <v>515</v>
      </c>
      <c r="B516" s="12" t="n">
        <v>46095</v>
      </c>
      <c r="C516" s="11" t="inlineStr">
        <is>
          <t>INTF</t>
        </is>
      </c>
      <c r="D516" s="11" t="inlineStr">
        <is>
          <t>202603</t>
        </is>
      </c>
      <c r="E516" s="11" t="inlineStr">
        <is>
          <t>1106738578</t>
        </is>
      </c>
      <c r="F516" s="11" t="inlineStr">
        <is>
          <t>HORTUA GUZMAN VICTOR</t>
        </is>
      </c>
      <c r="G516" s="11" t="inlineStr"/>
      <c r="H516" s="11" t="inlineStr">
        <is>
          <t>INTERFACE P.O.S.</t>
        </is>
      </c>
      <c r="I516" s="11" t="n">
        <v>50900</v>
      </c>
      <c r="J516" s="11" t="inlineStr"/>
    </row>
    <row r="517">
      <c r="A517" s="11" t="n">
        <v>516</v>
      </c>
      <c r="B517" s="12" t="n">
        <v>46095</v>
      </c>
      <c r="C517" s="11" t="inlineStr">
        <is>
          <t>INTF</t>
        </is>
      </c>
      <c r="D517" s="11" t="inlineStr">
        <is>
          <t>202603</t>
        </is>
      </c>
      <c r="E517" s="11" t="inlineStr">
        <is>
          <t>1093786192</t>
        </is>
      </c>
      <c r="F517" s="11" t="inlineStr">
        <is>
          <t>CARVAJAL PORTILLA CA</t>
        </is>
      </c>
      <c r="G517" s="11" t="inlineStr"/>
      <c r="H517" s="11" t="inlineStr">
        <is>
          <t>INTERFACE P.O.S.</t>
        </is>
      </c>
      <c r="I517" s="11" t="n">
        <v>10800</v>
      </c>
      <c r="J517" s="11" t="inlineStr"/>
    </row>
    <row r="518">
      <c r="A518" s="11" t="n">
        <v>517</v>
      </c>
      <c r="B518" s="12" t="n">
        <v>46095</v>
      </c>
      <c r="C518" s="11" t="inlineStr">
        <is>
          <t>INTF</t>
        </is>
      </c>
      <c r="D518" s="11" t="inlineStr">
        <is>
          <t>202603</t>
        </is>
      </c>
      <c r="E518" s="11" t="inlineStr">
        <is>
          <t>1123320594</t>
        </is>
      </c>
      <c r="F518" s="11" t="inlineStr">
        <is>
          <t>CUEVA PINTA WILSON B</t>
        </is>
      </c>
      <c r="G518" s="11" t="inlineStr"/>
      <c r="H518" s="11" t="inlineStr">
        <is>
          <t>INTERFACE P.O.S.</t>
        </is>
      </c>
      <c r="I518" s="11" t="n">
        <v>8200</v>
      </c>
      <c r="J518" s="11" t="inlineStr"/>
    </row>
    <row r="519">
      <c r="A519" s="11" t="n">
        <v>518</v>
      </c>
      <c r="B519" s="12" t="n">
        <v>46095</v>
      </c>
      <c r="C519" s="11" t="inlineStr">
        <is>
          <t>INTF</t>
        </is>
      </c>
      <c r="D519" s="11" t="inlineStr">
        <is>
          <t>202603</t>
        </is>
      </c>
      <c r="E519" s="11" t="inlineStr">
        <is>
          <t>52890583</t>
        </is>
      </c>
      <c r="F519" s="11" t="inlineStr">
        <is>
          <t>MORA RUALES NURY ADR</t>
        </is>
      </c>
      <c r="G519" s="11" t="inlineStr"/>
      <c r="H519" s="11" t="inlineStr">
        <is>
          <t>INTERFACE P.O.S.</t>
        </is>
      </c>
      <c r="I519" s="11" t="n">
        <v>183600</v>
      </c>
      <c r="J519" s="11" t="inlineStr"/>
    </row>
    <row r="520">
      <c r="A520" s="11" t="n">
        <v>519</v>
      </c>
      <c r="B520" s="12" t="n">
        <v>46095</v>
      </c>
      <c r="C520" s="11" t="inlineStr">
        <is>
          <t>INTF</t>
        </is>
      </c>
      <c r="D520" s="11" t="inlineStr">
        <is>
          <t>202603</t>
        </is>
      </c>
      <c r="E520" s="11" t="inlineStr">
        <is>
          <t>40740556</t>
        </is>
      </c>
      <c r="F520" s="11" t="inlineStr">
        <is>
          <t>CUBILLOS ORDOÑES NIV</t>
        </is>
      </c>
      <c r="G520" s="11" t="inlineStr"/>
      <c r="H520" s="11" t="inlineStr">
        <is>
          <t>INTERFACE P.O.S.</t>
        </is>
      </c>
      <c r="I520" s="11" t="n">
        <v>32200</v>
      </c>
      <c r="J520" s="11" t="inlineStr"/>
    </row>
    <row r="521">
      <c r="A521" s="11" t="n">
        <v>520</v>
      </c>
      <c r="B521" s="12" t="n">
        <v>46095</v>
      </c>
      <c r="C521" s="11" t="inlineStr">
        <is>
          <t>INTF</t>
        </is>
      </c>
      <c r="D521" s="11" t="inlineStr">
        <is>
          <t>202603</t>
        </is>
      </c>
      <c r="E521" s="11" t="inlineStr">
        <is>
          <t>1123305659</t>
        </is>
      </c>
      <c r="F521" s="11" t="inlineStr">
        <is>
          <t>POLANCO QUINTERO VIV</t>
        </is>
      </c>
      <c r="G521" s="11" t="inlineStr"/>
      <c r="H521" s="11" t="inlineStr">
        <is>
          <t>INTERFACE P.O.S.</t>
        </is>
      </c>
      <c r="I521" s="11" t="n">
        <v>20200</v>
      </c>
      <c r="J521" s="11" t="inlineStr"/>
    </row>
    <row r="522">
      <c r="A522" s="11" t="n">
        <v>521</v>
      </c>
      <c r="B522" s="12" t="n">
        <v>46095</v>
      </c>
      <c r="C522" s="11" t="inlineStr">
        <is>
          <t>INTF</t>
        </is>
      </c>
      <c r="D522" s="11" t="inlineStr">
        <is>
          <t>202603</t>
        </is>
      </c>
      <c r="E522" s="11" t="inlineStr">
        <is>
          <t>94491399</t>
        </is>
      </c>
      <c r="F522" s="11" t="inlineStr">
        <is>
          <t>COIME TORRES CARLOS</t>
        </is>
      </c>
      <c r="G522" s="11" t="inlineStr"/>
      <c r="H522" s="11" t="inlineStr">
        <is>
          <t>INTERFACE P.O.S.</t>
        </is>
      </c>
      <c r="I522" s="11" t="n">
        <v>4500</v>
      </c>
      <c r="J522" s="11" t="inlineStr"/>
    </row>
    <row r="523">
      <c r="A523" s="11" t="n">
        <v>522</v>
      </c>
      <c r="B523" s="12" t="n">
        <v>46095</v>
      </c>
      <c r="C523" s="11" t="inlineStr">
        <is>
          <t>INTF</t>
        </is>
      </c>
      <c r="D523" s="11" t="inlineStr">
        <is>
          <t>202603</t>
        </is>
      </c>
      <c r="E523" s="11" t="inlineStr">
        <is>
          <t>1123321528</t>
        </is>
      </c>
      <c r="F523" s="11" t="inlineStr">
        <is>
          <t>BENAVIDES GUACA DANI</t>
        </is>
      </c>
      <c r="G523" s="11" t="inlineStr"/>
      <c r="H523" s="11" t="inlineStr">
        <is>
          <t>INTERFACE P.O.S.</t>
        </is>
      </c>
      <c r="I523" s="11" t="n">
        <v>77300</v>
      </c>
      <c r="J523" s="11" t="inlineStr"/>
    </row>
    <row r="524">
      <c r="A524" s="11" t="n">
        <v>523</v>
      </c>
      <c r="B524" s="12" t="n">
        <v>46095</v>
      </c>
      <c r="C524" s="11" t="inlineStr">
        <is>
          <t>INTF</t>
        </is>
      </c>
      <c r="D524" s="11" t="inlineStr">
        <is>
          <t>202603</t>
        </is>
      </c>
      <c r="E524" s="11" t="inlineStr">
        <is>
          <t>1123323841</t>
        </is>
      </c>
      <c r="F524" s="11" t="inlineStr">
        <is>
          <t>CAICEDO YELA RODRIGO</t>
        </is>
      </c>
      <c r="G524" s="11" t="inlineStr"/>
      <c r="H524" s="11" t="inlineStr">
        <is>
          <t>INTERFACE P.O.S.</t>
        </is>
      </c>
      <c r="I524" s="11" t="n">
        <v>21600</v>
      </c>
      <c r="J524" s="11" t="inlineStr"/>
    </row>
    <row r="525">
      <c r="A525" s="11" t="n">
        <v>524</v>
      </c>
      <c r="B525" s="12" t="n">
        <v>46095</v>
      </c>
      <c r="C525" s="11" t="inlineStr">
        <is>
          <t>INTF</t>
        </is>
      </c>
      <c r="D525" s="11" t="inlineStr">
        <is>
          <t>202603</t>
        </is>
      </c>
      <c r="E525" s="11" t="inlineStr">
        <is>
          <t>87490569</t>
        </is>
      </c>
      <c r="F525" s="11" t="inlineStr">
        <is>
          <t>CERON DOMINGO JOSE</t>
        </is>
      </c>
      <c r="G525" s="11" t="inlineStr"/>
      <c r="H525" s="11" t="inlineStr">
        <is>
          <t>INTERFACE P.O.S.</t>
        </is>
      </c>
      <c r="I525" s="11" t="n">
        <v>13000</v>
      </c>
      <c r="J525" s="11" t="inlineStr"/>
    </row>
    <row r="526">
      <c r="A526" s="11" t="n">
        <v>525</v>
      </c>
      <c r="B526" s="12" t="n">
        <v>46095</v>
      </c>
      <c r="C526" s="11" t="inlineStr">
        <is>
          <t>INTF</t>
        </is>
      </c>
      <c r="D526" s="11" t="inlineStr">
        <is>
          <t>202603</t>
        </is>
      </c>
      <c r="E526" s="11" t="inlineStr">
        <is>
          <t>14271256</t>
        </is>
      </c>
      <c r="F526" s="11" t="inlineStr">
        <is>
          <t>BRAVO RODRIGUEZ DANI</t>
        </is>
      </c>
      <c r="G526" s="11" t="inlineStr"/>
      <c r="H526" s="11" t="inlineStr">
        <is>
          <t>INTERFACE P.O.S.</t>
        </is>
      </c>
      <c r="I526" s="11" t="n">
        <v>10100</v>
      </c>
      <c r="J526" s="11" t="inlineStr"/>
    </row>
    <row r="527">
      <c r="A527" s="11" t="n">
        <v>526</v>
      </c>
      <c r="B527" s="12" t="n">
        <v>46095</v>
      </c>
      <c r="C527" s="11" t="inlineStr">
        <is>
          <t>INTF</t>
        </is>
      </c>
      <c r="D527" s="11" t="inlineStr">
        <is>
          <t>202603</t>
        </is>
      </c>
      <c r="E527" s="11" t="inlineStr">
        <is>
          <t>1123205424</t>
        </is>
      </c>
      <c r="F527" s="11" t="inlineStr">
        <is>
          <t>GUERRERO LEON DEISI</t>
        </is>
      </c>
      <c r="G527" s="11" t="inlineStr"/>
      <c r="H527" s="11" t="inlineStr">
        <is>
          <t>INTERFACE P.O.S.</t>
        </is>
      </c>
      <c r="I527" s="11" t="n">
        <v>50000</v>
      </c>
      <c r="J527" s="11" t="inlineStr"/>
    </row>
    <row r="528">
      <c r="A528" s="11" t="n">
        <v>527</v>
      </c>
      <c r="B528" s="12" t="n">
        <v>46095</v>
      </c>
      <c r="C528" s="11" t="inlineStr">
        <is>
          <t>INTF</t>
        </is>
      </c>
      <c r="D528" s="11" t="inlineStr">
        <is>
          <t>202603</t>
        </is>
      </c>
      <c r="E528" s="11" t="inlineStr">
        <is>
          <t>1085269241</t>
        </is>
      </c>
      <c r="F528" s="11" t="inlineStr">
        <is>
          <t>CUSIS RAMIREZ JULIO</t>
        </is>
      </c>
      <c r="G528" s="11" t="inlineStr"/>
      <c r="H528" s="11" t="inlineStr">
        <is>
          <t>INTERFACE P.O.S.</t>
        </is>
      </c>
      <c r="I528" s="11" t="n">
        <v>121800</v>
      </c>
      <c r="J528" s="11" t="inlineStr"/>
    </row>
    <row r="529">
      <c r="A529" s="11" t="n">
        <v>528</v>
      </c>
      <c r="B529" s="12" t="n">
        <v>46095</v>
      </c>
      <c r="C529" s="11" t="inlineStr">
        <is>
          <t>INTF</t>
        </is>
      </c>
      <c r="D529" s="11" t="inlineStr">
        <is>
          <t>202603</t>
        </is>
      </c>
      <c r="E529" s="11" t="inlineStr">
        <is>
          <t>1094963578</t>
        </is>
      </c>
      <c r="F529" s="11" t="inlineStr">
        <is>
          <t>RUALES ERAZO JHONATA</t>
        </is>
      </c>
      <c r="G529" s="11" t="inlineStr"/>
      <c r="H529" s="11" t="inlineStr">
        <is>
          <t>INTERFACE P.O.S.</t>
        </is>
      </c>
      <c r="I529" s="11" t="n">
        <v>47800</v>
      </c>
      <c r="J529" s="11" t="inlineStr"/>
    </row>
    <row r="530">
      <c r="A530" s="11" t="n">
        <v>529</v>
      </c>
      <c r="B530" s="12" t="n">
        <v>46095</v>
      </c>
      <c r="C530" s="11" t="inlineStr">
        <is>
          <t>INTF</t>
        </is>
      </c>
      <c r="D530" s="11" t="inlineStr">
        <is>
          <t>202603</t>
        </is>
      </c>
      <c r="E530" s="11" t="inlineStr">
        <is>
          <t>27605795</t>
        </is>
      </c>
      <c r="F530" s="11" t="inlineStr">
        <is>
          <t>GILDO COSA JHONIMAR</t>
        </is>
      </c>
      <c r="G530" s="11" t="inlineStr"/>
      <c r="H530" s="11" t="inlineStr">
        <is>
          <t>INTERFACE P.O.S.</t>
        </is>
      </c>
      <c r="I530" s="11" t="n">
        <v>26200</v>
      </c>
      <c r="J530" s="11" t="inlineStr"/>
    </row>
    <row r="531">
      <c r="A531" s="11" t="n">
        <v>530</v>
      </c>
      <c r="B531" s="12" t="n">
        <v>46095</v>
      </c>
      <c r="C531" s="11" t="inlineStr">
        <is>
          <t>INTF</t>
        </is>
      </c>
      <c r="D531" s="11" t="inlineStr">
        <is>
          <t>202603</t>
        </is>
      </c>
      <c r="E531" s="11" t="inlineStr">
        <is>
          <t>1087209923</t>
        </is>
      </c>
      <c r="F531" s="11" t="inlineStr">
        <is>
          <t>CASTRO PALACIO NEFE</t>
        </is>
      </c>
      <c r="G531" s="11" t="inlineStr"/>
      <c r="H531" s="11" t="inlineStr">
        <is>
          <t>INTERFACE P.O.S.</t>
        </is>
      </c>
      <c r="I531" s="11" t="n">
        <v>60500</v>
      </c>
      <c r="J531" s="11" t="inlineStr"/>
    </row>
    <row r="532">
      <c r="A532" s="11" t="n">
        <v>531</v>
      </c>
      <c r="B532" s="12" t="n">
        <v>46095</v>
      </c>
      <c r="C532" s="11" t="inlineStr">
        <is>
          <t>INTF</t>
        </is>
      </c>
      <c r="D532" s="11" t="inlineStr">
        <is>
          <t>202603</t>
        </is>
      </c>
      <c r="E532" s="11" t="inlineStr">
        <is>
          <t>1123327912</t>
        </is>
      </c>
      <c r="F532" s="11" t="inlineStr">
        <is>
          <t>FLOREZ CAES KELY YOJ</t>
        </is>
      </c>
      <c r="G532" s="11" t="inlineStr"/>
      <c r="H532" s="11" t="inlineStr">
        <is>
          <t>INTERFACE P.O.S.</t>
        </is>
      </c>
      <c r="I532" s="11" t="n">
        <v>20000</v>
      </c>
      <c r="J532" s="11" t="inlineStr"/>
    </row>
    <row r="533">
      <c r="A533" s="11" t="n">
        <v>532</v>
      </c>
      <c r="B533" s="12" t="n">
        <v>46095</v>
      </c>
      <c r="C533" s="11" t="inlineStr">
        <is>
          <t>INTF</t>
        </is>
      </c>
      <c r="D533" s="11" t="inlineStr">
        <is>
          <t>202603</t>
        </is>
      </c>
      <c r="E533" s="11" t="inlineStr">
        <is>
          <t>1061718572</t>
        </is>
      </c>
      <c r="F533" s="11" t="inlineStr">
        <is>
          <t>PERAFAN MESIAS JUAN</t>
        </is>
      </c>
      <c r="G533" s="11" t="inlineStr"/>
      <c r="H533" s="11" t="inlineStr">
        <is>
          <t>INTERFACE P.O.S.</t>
        </is>
      </c>
      <c r="I533" s="11" t="n">
        <v>13800</v>
      </c>
      <c r="J533" s="11" t="inlineStr"/>
    </row>
    <row r="534">
      <c r="A534" s="11" t="n">
        <v>533</v>
      </c>
      <c r="B534" s="12" t="n">
        <v>46095</v>
      </c>
      <c r="C534" s="11" t="inlineStr">
        <is>
          <t>INTF</t>
        </is>
      </c>
      <c r="D534" s="11" t="inlineStr">
        <is>
          <t>202603</t>
        </is>
      </c>
      <c r="E534" s="11" t="inlineStr">
        <is>
          <t>1123331196</t>
        </is>
      </c>
      <c r="F534" s="11" t="inlineStr">
        <is>
          <t>PRADO VELASCO AN</t>
        </is>
      </c>
      <c r="G534" s="11" t="inlineStr"/>
      <c r="H534" s="11" t="inlineStr">
        <is>
          <t>INTERFACE P.O.S.</t>
        </is>
      </c>
      <c r="I534" s="11" t="n">
        <v>20000</v>
      </c>
      <c r="J534" s="11" t="inlineStr"/>
    </row>
    <row r="535">
      <c r="A535" s="11" t="n">
        <v>534</v>
      </c>
      <c r="B535" s="12" t="n">
        <v>46095</v>
      </c>
      <c r="C535" s="11" t="inlineStr">
        <is>
          <t>INTF</t>
        </is>
      </c>
      <c r="D535" s="11" t="inlineStr">
        <is>
          <t>202603</t>
        </is>
      </c>
      <c r="E535" s="11" t="inlineStr">
        <is>
          <t>1087411006</t>
        </is>
      </c>
      <c r="F535" s="11" t="inlineStr">
        <is>
          <t>RIASCOS TOBAR AI</t>
        </is>
      </c>
      <c r="G535" s="11" t="inlineStr"/>
      <c r="H535" s="11" t="inlineStr">
        <is>
          <t>INTERFACE P.O.S.</t>
        </is>
      </c>
      <c r="I535" s="11" t="n">
        <v>57600</v>
      </c>
      <c r="J535" s="11" t="inlineStr"/>
    </row>
    <row r="536">
      <c r="A536" s="11" t="n">
        <v>535</v>
      </c>
      <c r="B536" s="12" t="n">
        <v>46095</v>
      </c>
      <c r="C536" s="11" t="inlineStr">
        <is>
          <t>INTF</t>
        </is>
      </c>
      <c r="D536" s="11" t="inlineStr">
        <is>
          <t>202603</t>
        </is>
      </c>
      <c r="E536" s="11" t="inlineStr">
        <is>
          <t>1098718149</t>
        </is>
      </c>
      <c r="F536" s="11" t="inlineStr">
        <is>
          <t>ALBA PEREZ PEDRO LEO</t>
        </is>
      </c>
      <c r="G536" s="11" t="inlineStr"/>
      <c r="H536" s="11" t="inlineStr">
        <is>
          <t>INTERFACE P.O.S.</t>
        </is>
      </c>
      <c r="I536" s="11" t="n">
        <v>23200</v>
      </c>
      <c r="J536" s="11" t="inlineStr"/>
    </row>
    <row r="537">
      <c r="A537" s="11" t="n">
        <v>536</v>
      </c>
      <c r="B537" s="12" t="n">
        <v>46095</v>
      </c>
      <c r="C537" s="11" t="inlineStr">
        <is>
          <t>INTF</t>
        </is>
      </c>
      <c r="D537" s="11" t="inlineStr">
        <is>
          <t>202603</t>
        </is>
      </c>
      <c r="E537" s="11" t="inlineStr">
        <is>
          <t>1123200981</t>
        </is>
      </c>
      <c r="F537" s="11" t="inlineStr">
        <is>
          <t>MATUS ESCOBAR PAULA</t>
        </is>
      </c>
      <c r="G537" s="11" t="inlineStr"/>
      <c r="H537" s="11" t="inlineStr">
        <is>
          <t>INTERFACE P.O.S.</t>
        </is>
      </c>
      <c r="I537" s="11" t="n">
        <v>45600</v>
      </c>
      <c r="J537" s="11" t="inlineStr"/>
    </row>
    <row r="538">
      <c r="A538" s="11" t="n">
        <v>537</v>
      </c>
      <c r="B538" s="12" t="n">
        <v>46095</v>
      </c>
      <c r="C538" s="11" t="inlineStr">
        <is>
          <t>INTF</t>
        </is>
      </c>
      <c r="D538" s="11" t="inlineStr">
        <is>
          <t>202603</t>
        </is>
      </c>
      <c r="E538" s="11" t="inlineStr">
        <is>
          <t>1006848035</t>
        </is>
      </c>
      <c r="F538" s="11" t="inlineStr">
        <is>
          <t>SEVILLANO GOMEZ YANI</t>
        </is>
      </c>
      <c r="G538" s="11" t="inlineStr"/>
      <c r="H538" s="11" t="inlineStr">
        <is>
          <t>INTERFACE P.O.S.</t>
        </is>
      </c>
      <c r="I538" s="11" t="n">
        <v>11800</v>
      </c>
      <c r="J538" s="11" t="inlineStr"/>
    </row>
    <row r="539">
      <c r="A539" s="11" t="n">
        <v>538</v>
      </c>
      <c r="B539" s="12" t="n">
        <v>46095</v>
      </c>
      <c r="C539" s="11" t="inlineStr">
        <is>
          <t>INTF</t>
        </is>
      </c>
      <c r="D539" s="11" t="inlineStr">
        <is>
          <t>202603</t>
        </is>
      </c>
      <c r="E539" s="11" t="inlineStr">
        <is>
          <t>1122723431</t>
        </is>
      </c>
      <c r="F539" s="11" t="inlineStr">
        <is>
          <t>IBAÑEZ BOLAÑOS CELIA</t>
        </is>
      </c>
      <c r="G539" s="11" t="inlineStr"/>
      <c r="H539" s="11" t="inlineStr">
        <is>
          <t>INTERFACE P.O.S.</t>
        </is>
      </c>
      <c r="I539" s="11" t="n">
        <v>18400</v>
      </c>
      <c r="J539" s="11" t="inlineStr"/>
    </row>
    <row r="540">
      <c r="A540" s="11" t="n">
        <v>539</v>
      </c>
      <c r="B540" s="12" t="n">
        <v>46095</v>
      </c>
      <c r="C540" s="11" t="inlineStr">
        <is>
          <t>INTF</t>
        </is>
      </c>
      <c r="D540" s="11" t="inlineStr">
        <is>
          <t>202603</t>
        </is>
      </c>
      <c r="E540" s="11" t="inlineStr">
        <is>
          <t>1123208118</t>
        </is>
      </c>
      <c r="F540" s="11" t="inlineStr">
        <is>
          <t>ZAMBRANO SEBASTIAN</t>
        </is>
      </c>
      <c r="G540" s="11" t="inlineStr"/>
      <c r="H540" s="11" t="inlineStr">
        <is>
          <t>INTERFACE P.O.S.</t>
        </is>
      </c>
      <c r="I540" s="11" t="n">
        <v>7800</v>
      </c>
      <c r="J540" s="11" t="inlineStr"/>
    </row>
    <row r="541">
      <c r="A541" s="11" t="n">
        <v>540</v>
      </c>
      <c r="B541" s="12" t="n">
        <v>46095</v>
      </c>
      <c r="C541" s="11" t="inlineStr">
        <is>
          <t>INTF</t>
        </is>
      </c>
      <c r="D541" s="11" t="inlineStr">
        <is>
          <t>202603</t>
        </is>
      </c>
      <c r="E541" s="11" t="inlineStr">
        <is>
          <t>1075272190</t>
        </is>
      </c>
      <c r="F541" s="11" t="inlineStr">
        <is>
          <t>SCARPETA BERNAL YESI</t>
        </is>
      </c>
      <c r="G541" s="11" t="inlineStr"/>
      <c r="H541" s="11" t="inlineStr">
        <is>
          <t>INTERFACE P.O.S.</t>
        </is>
      </c>
      <c r="I541" s="11" t="n">
        <v>18000</v>
      </c>
      <c r="J541" s="11" t="inlineStr"/>
    </row>
    <row r="542">
      <c r="A542" s="11" t="n">
        <v>541</v>
      </c>
      <c r="B542" s="12" t="n">
        <v>46095</v>
      </c>
      <c r="C542" s="11" t="inlineStr">
        <is>
          <t>INTF</t>
        </is>
      </c>
      <c r="D542" s="11" t="inlineStr">
        <is>
          <t>202603</t>
        </is>
      </c>
      <c r="E542" s="11" t="inlineStr">
        <is>
          <t>1192774677</t>
        </is>
      </c>
      <c r="F542" s="11" t="inlineStr">
        <is>
          <t>BETANCUR BASTIDAS AL</t>
        </is>
      </c>
      <c r="G542" s="11" t="inlineStr"/>
      <c r="H542" s="11" t="inlineStr">
        <is>
          <t>INTERFACE P.O.S.</t>
        </is>
      </c>
      <c r="I542" s="11" t="n">
        <v>29700</v>
      </c>
      <c r="J542" s="11" t="inlineStr"/>
    </row>
    <row r="543">
      <c r="A543" s="11" t="n">
        <v>542</v>
      </c>
      <c r="B543" s="12" t="n">
        <v>46095</v>
      </c>
      <c r="C543" s="11" t="inlineStr">
        <is>
          <t>INTF</t>
        </is>
      </c>
      <c r="D543" s="11" t="inlineStr">
        <is>
          <t>202603</t>
        </is>
      </c>
      <c r="E543" s="11" t="inlineStr">
        <is>
          <t>1124849389</t>
        </is>
      </c>
      <c r="F543" s="11" t="inlineStr">
        <is>
          <t>ERAZO CERON ANA</t>
        </is>
      </c>
      <c r="G543" s="11" t="inlineStr"/>
      <c r="H543" s="11" t="inlineStr">
        <is>
          <t>INTERFACE P.O.S.</t>
        </is>
      </c>
      <c r="I543" s="11" t="n">
        <v>101800</v>
      </c>
      <c r="J543" s="11" t="inlineStr"/>
    </row>
    <row r="544">
      <c r="A544" s="11" t="n">
        <v>543</v>
      </c>
      <c r="B544" s="12" t="n">
        <v>46095</v>
      </c>
      <c r="C544" s="11" t="inlineStr">
        <is>
          <t>INTF</t>
        </is>
      </c>
      <c r="D544" s="11" t="inlineStr">
        <is>
          <t>202603</t>
        </is>
      </c>
      <c r="E544" s="11" t="inlineStr">
        <is>
          <t>1123315509</t>
        </is>
      </c>
      <c r="F544" s="11" t="inlineStr">
        <is>
          <t>YELA HERNANDEZ CAREN</t>
        </is>
      </c>
      <c r="G544" s="11" t="inlineStr"/>
      <c r="H544" s="11" t="inlineStr">
        <is>
          <t>INTERFACE P.O.S.</t>
        </is>
      </c>
      <c r="I544" s="11" t="n">
        <v>7400</v>
      </c>
      <c r="J544" s="11" t="inlineStr"/>
    </row>
    <row r="545">
      <c r="A545" s="11" t="n">
        <v>544</v>
      </c>
      <c r="B545" s="12" t="n">
        <v>46095</v>
      </c>
      <c r="C545" s="11" t="inlineStr">
        <is>
          <t>INTF</t>
        </is>
      </c>
      <c r="D545" s="11" t="inlineStr">
        <is>
          <t>202603</t>
        </is>
      </c>
      <c r="E545" s="11" t="inlineStr">
        <is>
          <t>98389426</t>
        </is>
      </c>
      <c r="F545" s="11" t="inlineStr">
        <is>
          <t>CUASTUMAL TIPUJAN FA</t>
        </is>
      </c>
      <c r="G545" s="11" t="inlineStr"/>
      <c r="H545" s="11" t="inlineStr">
        <is>
          <t>INTERFACE P.O.S.</t>
        </is>
      </c>
      <c r="I545" s="11" t="n">
        <v>12000</v>
      </c>
      <c r="J545" s="11" t="inlineStr"/>
    </row>
    <row r="546">
      <c r="A546" s="11" t="n">
        <v>545</v>
      </c>
      <c r="B546" s="12" t="n">
        <v>46095</v>
      </c>
      <c r="C546" s="11" t="inlineStr">
        <is>
          <t>INTF</t>
        </is>
      </c>
      <c r="D546" s="11" t="inlineStr">
        <is>
          <t>202603</t>
        </is>
      </c>
      <c r="E546" s="11" t="inlineStr">
        <is>
          <t>1081273267</t>
        </is>
      </c>
      <c r="F546" s="11" t="inlineStr">
        <is>
          <t>DIAZ ESTUPIÑAN MARIA</t>
        </is>
      </c>
      <c r="G546" s="11" t="inlineStr"/>
      <c r="H546" s="11" t="inlineStr">
        <is>
          <t>INTERFACE P.O.S.</t>
        </is>
      </c>
      <c r="I546" s="11" t="n">
        <v>32700</v>
      </c>
      <c r="J546" s="11" t="inlineStr"/>
    </row>
    <row r="547">
      <c r="A547" s="11" t="n">
        <v>546</v>
      </c>
      <c r="B547" s="12" t="n">
        <v>46096</v>
      </c>
      <c r="C547" s="11" t="inlineStr">
        <is>
          <t>INTF</t>
        </is>
      </c>
      <c r="D547" s="11" t="inlineStr">
        <is>
          <t>202603</t>
        </is>
      </c>
      <c r="E547" s="11" t="inlineStr">
        <is>
          <t>41108859</t>
        </is>
      </c>
      <c r="F547" s="11" t="inlineStr">
        <is>
          <t>LOPEZ GARCIA OLGA ED</t>
        </is>
      </c>
      <c r="G547" s="11" t="inlineStr"/>
      <c r="H547" s="11" t="inlineStr">
        <is>
          <t>INTERFACE P.O.S.</t>
        </is>
      </c>
      <c r="I547" s="11" t="n">
        <v>39500</v>
      </c>
      <c r="J547" s="11" t="inlineStr"/>
    </row>
    <row r="548">
      <c r="A548" s="11" t="n">
        <v>547</v>
      </c>
      <c r="B548" s="12" t="n">
        <v>46096</v>
      </c>
      <c r="C548" s="11" t="inlineStr">
        <is>
          <t>INTF</t>
        </is>
      </c>
      <c r="D548" s="11" t="inlineStr">
        <is>
          <t>202603</t>
        </is>
      </c>
      <c r="E548" s="11" t="inlineStr">
        <is>
          <t>69008382</t>
        </is>
      </c>
      <c r="F548" s="11" t="inlineStr">
        <is>
          <t>TORO QUINTERO YOLAND</t>
        </is>
      </c>
      <c r="G548" s="11" t="inlineStr"/>
      <c r="H548" s="11" t="inlineStr">
        <is>
          <t>INTERFACE P.O.S.</t>
        </is>
      </c>
      <c r="I548" s="11" t="n">
        <v>23500</v>
      </c>
      <c r="J548" s="11" t="inlineStr"/>
    </row>
    <row r="549">
      <c r="A549" s="11" t="n">
        <v>548</v>
      </c>
      <c r="B549" s="12" t="n">
        <v>46096</v>
      </c>
      <c r="C549" s="11" t="inlineStr">
        <is>
          <t>INTF</t>
        </is>
      </c>
      <c r="D549" s="11" t="inlineStr">
        <is>
          <t>202603</t>
        </is>
      </c>
      <c r="E549" s="11" t="inlineStr">
        <is>
          <t>41107187</t>
        </is>
      </c>
      <c r="F549" s="11" t="inlineStr">
        <is>
          <t>MORALES MELO GLORIA</t>
        </is>
      </c>
      <c r="G549" s="11" t="inlineStr"/>
      <c r="H549" s="11" t="inlineStr">
        <is>
          <t>INTERFACE P.O.S.</t>
        </is>
      </c>
      <c r="I549" s="11" t="n">
        <v>32100</v>
      </c>
      <c r="J549" s="11" t="inlineStr"/>
    </row>
    <row r="550">
      <c r="A550" s="11" t="n">
        <v>549</v>
      </c>
      <c r="B550" s="12" t="n">
        <v>46096</v>
      </c>
      <c r="C550" s="11" t="inlineStr">
        <is>
          <t>INTF</t>
        </is>
      </c>
      <c r="D550" s="11" t="inlineStr">
        <is>
          <t>202603</t>
        </is>
      </c>
      <c r="E550" s="11" t="inlineStr">
        <is>
          <t>1115791206</t>
        </is>
      </c>
      <c r="F550" s="11" t="inlineStr">
        <is>
          <t>LOPEZ MOTTA WILLIAM</t>
        </is>
      </c>
      <c r="G550" s="11" t="inlineStr"/>
      <c r="H550" s="11" t="inlineStr">
        <is>
          <t>INTERFACE P.O.S.</t>
        </is>
      </c>
      <c r="I550" s="11" t="n">
        <v>12500</v>
      </c>
      <c r="J550" s="11" t="inlineStr"/>
    </row>
    <row r="551">
      <c r="A551" s="11" t="n">
        <v>550</v>
      </c>
      <c r="B551" s="12" t="n">
        <v>46096</v>
      </c>
      <c r="C551" s="11" t="inlineStr">
        <is>
          <t>INTF</t>
        </is>
      </c>
      <c r="D551" s="11" t="inlineStr">
        <is>
          <t>202603</t>
        </is>
      </c>
      <c r="E551" s="11" t="inlineStr">
        <is>
          <t>1120217571</t>
        </is>
      </c>
      <c r="F551" s="11" t="inlineStr">
        <is>
          <t>ALVAREZ ESPINOSA FAB</t>
        </is>
      </c>
      <c r="G551" s="11" t="inlineStr"/>
      <c r="H551" s="11" t="inlineStr">
        <is>
          <t>INTERFACE P.O.S.</t>
        </is>
      </c>
      <c r="I551" s="11" t="n">
        <v>17800</v>
      </c>
      <c r="J551" s="11" t="inlineStr"/>
    </row>
    <row r="552">
      <c r="A552" s="11" t="n">
        <v>551</v>
      </c>
      <c r="B552" s="12" t="n">
        <v>46096</v>
      </c>
      <c r="C552" s="11" t="inlineStr">
        <is>
          <t>INTF</t>
        </is>
      </c>
      <c r="D552" s="11" t="inlineStr">
        <is>
          <t>202603</t>
        </is>
      </c>
      <c r="E552" s="11" t="inlineStr">
        <is>
          <t>1123328055</t>
        </is>
      </c>
      <c r="F552" s="11" t="inlineStr">
        <is>
          <t>OBANDO SANTACRUZ MON</t>
        </is>
      </c>
      <c r="G552" s="11" t="inlineStr"/>
      <c r="H552" s="11" t="inlineStr">
        <is>
          <t>INTERFACE P.O.S.</t>
        </is>
      </c>
      <c r="I552" s="11" t="n">
        <v>31500</v>
      </c>
      <c r="J552" s="11" t="inlineStr"/>
    </row>
    <row r="553">
      <c r="A553" s="11" t="n">
        <v>552</v>
      </c>
      <c r="B553" s="12" t="n">
        <v>46096</v>
      </c>
      <c r="C553" s="11" t="inlineStr">
        <is>
          <t>INTF</t>
        </is>
      </c>
      <c r="D553" s="11" t="inlineStr">
        <is>
          <t>202603</t>
        </is>
      </c>
      <c r="E553" s="11" t="inlineStr">
        <is>
          <t>1124861369</t>
        </is>
      </c>
      <c r="F553" s="11" t="inlineStr">
        <is>
          <t>BURBANO OSSA MONICA</t>
        </is>
      </c>
      <c r="G553" s="11" t="inlineStr"/>
      <c r="H553" s="11" t="inlineStr">
        <is>
          <t>INTERFACE P.O.S.</t>
        </is>
      </c>
      <c r="I553" s="11" t="n">
        <v>10000</v>
      </c>
      <c r="J553" s="11" t="inlineStr"/>
    </row>
    <row r="554">
      <c r="A554" s="11" t="n">
        <v>553</v>
      </c>
      <c r="B554" s="12" t="n">
        <v>46096</v>
      </c>
      <c r="C554" s="11" t="inlineStr">
        <is>
          <t>INTF</t>
        </is>
      </c>
      <c r="D554" s="11" t="inlineStr">
        <is>
          <t>202603</t>
        </is>
      </c>
      <c r="E554" s="11" t="inlineStr">
        <is>
          <t>1123331758</t>
        </is>
      </c>
      <c r="F554" s="11" t="inlineStr">
        <is>
          <t>GRAJALES OSORIO DIAN</t>
        </is>
      </c>
      <c r="G554" s="11" t="inlineStr"/>
      <c r="H554" s="11" t="inlineStr">
        <is>
          <t>INTERFACE P.O.S.</t>
        </is>
      </c>
      <c r="I554" s="11" t="n">
        <v>12000</v>
      </c>
      <c r="J554" s="11" t="inlineStr"/>
    </row>
    <row r="555">
      <c r="A555" s="11" t="n">
        <v>554</v>
      </c>
      <c r="B555" s="12" t="n">
        <v>46096</v>
      </c>
      <c r="C555" s="11" t="inlineStr">
        <is>
          <t>INTF</t>
        </is>
      </c>
      <c r="D555" s="11" t="inlineStr">
        <is>
          <t>202603</t>
        </is>
      </c>
      <c r="E555" s="11" t="inlineStr">
        <is>
          <t>22222222222</t>
        </is>
      </c>
      <c r="F555" s="11" t="inlineStr">
        <is>
          <t>CONSUMIDOR FINAL</t>
        </is>
      </c>
      <c r="G555" s="11" t="inlineStr"/>
      <c r="H555" s="11" t="inlineStr">
        <is>
          <t>INTERFACE P.O.S.</t>
        </is>
      </c>
      <c r="I555" s="11" t="n">
        <v>17800</v>
      </c>
      <c r="J555" s="11" t="inlineStr"/>
    </row>
    <row r="556">
      <c r="A556" s="11" t="n">
        <v>555</v>
      </c>
      <c r="B556" s="12" t="n">
        <v>46096</v>
      </c>
      <c r="C556" s="11" t="inlineStr">
        <is>
          <t>INTF</t>
        </is>
      </c>
      <c r="D556" s="11" t="inlineStr">
        <is>
          <t>202603</t>
        </is>
      </c>
      <c r="E556" s="11" t="inlineStr">
        <is>
          <t>18147316</t>
        </is>
      </c>
      <c r="F556" s="11" t="inlineStr">
        <is>
          <t>BELTRAN NARANJO REIN</t>
        </is>
      </c>
      <c r="G556" s="11" t="inlineStr"/>
      <c r="H556" s="11" t="inlineStr">
        <is>
          <t>INTERFACE P.O.S.</t>
        </is>
      </c>
      <c r="I556" s="11" t="n">
        <v>22600</v>
      </c>
      <c r="J556" s="11" t="inlineStr"/>
    </row>
    <row r="557">
      <c r="A557" s="11" t="n">
        <v>556</v>
      </c>
      <c r="B557" s="12" t="n">
        <v>46096</v>
      </c>
      <c r="C557" s="11" t="inlineStr">
        <is>
          <t>INTF</t>
        </is>
      </c>
      <c r="D557" s="11" t="inlineStr">
        <is>
          <t>202603</t>
        </is>
      </c>
      <c r="E557" s="11" t="inlineStr">
        <is>
          <t>1006997523</t>
        </is>
      </c>
      <c r="F557" s="11" t="inlineStr">
        <is>
          <t>BENAVIDES GUAPUCAL D</t>
        </is>
      </c>
      <c r="G557" s="11" t="inlineStr"/>
      <c r="H557" s="11" t="inlineStr">
        <is>
          <t>INTERFACE P.O.S.</t>
        </is>
      </c>
      <c r="I557" s="11" t="n">
        <v>31300</v>
      </c>
      <c r="J557" s="11" t="inlineStr"/>
    </row>
    <row r="558">
      <c r="A558" s="11" t="n">
        <v>557</v>
      </c>
      <c r="B558" s="12" t="n">
        <v>46096</v>
      </c>
      <c r="C558" s="11" t="inlineStr">
        <is>
          <t>INTF</t>
        </is>
      </c>
      <c r="D558" s="11" t="inlineStr">
        <is>
          <t>202603</t>
        </is>
      </c>
      <c r="E558" s="11" t="inlineStr">
        <is>
          <t>1006848979</t>
        </is>
      </c>
      <c r="F558" s="11" t="inlineStr">
        <is>
          <t>IMBACHI RENGIFO KARE</t>
        </is>
      </c>
      <c r="G558" s="11" t="inlineStr"/>
      <c r="H558" s="11" t="inlineStr">
        <is>
          <t>INTERFACE P.O.S.</t>
        </is>
      </c>
      <c r="I558" s="11" t="n">
        <v>12600</v>
      </c>
      <c r="J558" s="11" t="inlineStr"/>
    </row>
    <row r="559">
      <c r="A559" s="11" t="n">
        <v>558</v>
      </c>
      <c r="B559" s="12" t="n">
        <v>46096</v>
      </c>
      <c r="C559" s="11" t="inlineStr">
        <is>
          <t>INTF</t>
        </is>
      </c>
      <c r="D559" s="11" t="inlineStr">
        <is>
          <t>202603</t>
        </is>
      </c>
      <c r="E559" s="11" t="inlineStr">
        <is>
          <t>14638579</t>
        </is>
      </c>
      <c r="F559" s="11" t="inlineStr">
        <is>
          <t>ENRIQUEZ YAGUAPAZ AL</t>
        </is>
      </c>
      <c r="G559" s="11" t="inlineStr"/>
      <c r="H559" s="11" t="inlineStr">
        <is>
          <t>INTERFACE P.O.S.</t>
        </is>
      </c>
      <c r="I559" s="11" t="n">
        <v>25600</v>
      </c>
      <c r="J559" s="11" t="inlineStr"/>
    </row>
    <row r="560">
      <c r="A560" s="11" t="n">
        <v>559</v>
      </c>
      <c r="B560" s="12" t="n">
        <v>46096</v>
      </c>
      <c r="C560" s="11" t="inlineStr">
        <is>
          <t>INTF</t>
        </is>
      </c>
      <c r="D560" s="11" t="inlineStr">
        <is>
          <t>202603</t>
        </is>
      </c>
      <c r="E560" s="11" t="inlineStr">
        <is>
          <t>1106738578</t>
        </is>
      </c>
      <c r="F560" s="11" t="inlineStr">
        <is>
          <t>HORTUA GUZMAN VICTOR</t>
        </is>
      </c>
      <c r="G560" s="11" t="inlineStr"/>
      <c r="H560" s="11" t="inlineStr">
        <is>
          <t>INTERFACE P.O.S.</t>
        </is>
      </c>
      <c r="I560" s="11" t="n">
        <v>39700</v>
      </c>
      <c r="J560" s="11" t="inlineStr"/>
    </row>
    <row r="561">
      <c r="A561" s="11" t="n">
        <v>560</v>
      </c>
      <c r="B561" s="12" t="n">
        <v>46096</v>
      </c>
      <c r="C561" s="11" t="inlineStr">
        <is>
          <t>INTF</t>
        </is>
      </c>
      <c r="D561" s="11" t="inlineStr">
        <is>
          <t>202603</t>
        </is>
      </c>
      <c r="E561" s="11" t="inlineStr">
        <is>
          <t>1093786192</t>
        </is>
      </c>
      <c r="F561" s="11" t="inlineStr">
        <is>
          <t>CARVAJAL PORTILLA CA</t>
        </is>
      </c>
      <c r="G561" s="11" t="inlineStr"/>
      <c r="H561" s="11" t="inlineStr">
        <is>
          <t>INTERFACE P.O.S.</t>
        </is>
      </c>
      <c r="I561" s="11" t="n">
        <v>9200</v>
      </c>
      <c r="J561" s="11" t="inlineStr"/>
    </row>
    <row r="562">
      <c r="A562" s="11" t="n">
        <v>561</v>
      </c>
      <c r="B562" s="12" t="n">
        <v>46096</v>
      </c>
      <c r="C562" s="11" t="inlineStr">
        <is>
          <t>INTF</t>
        </is>
      </c>
      <c r="D562" s="11" t="inlineStr">
        <is>
          <t>202603</t>
        </is>
      </c>
      <c r="E562" s="11" t="inlineStr">
        <is>
          <t>1233189644</t>
        </is>
      </c>
      <c r="F562" s="11" t="inlineStr">
        <is>
          <t>GUERRERO JURADO JHON</t>
        </is>
      </c>
      <c r="G562" s="11" t="inlineStr"/>
      <c r="H562" s="11" t="inlineStr">
        <is>
          <t>INTERFACE P.O.S.</t>
        </is>
      </c>
      <c r="I562" s="11" t="n">
        <v>9200</v>
      </c>
      <c r="J562" s="11" t="inlineStr"/>
    </row>
    <row r="563">
      <c r="A563" s="11" t="n">
        <v>562</v>
      </c>
      <c r="B563" s="12" t="n">
        <v>46096</v>
      </c>
      <c r="C563" s="11" t="inlineStr">
        <is>
          <t>INTF</t>
        </is>
      </c>
      <c r="D563" s="11" t="inlineStr">
        <is>
          <t>202603</t>
        </is>
      </c>
      <c r="E563" s="11" t="inlineStr">
        <is>
          <t>1123324128</t>
        </is>
      </c>
      <c r="F563" s="11" t="inlineStr">
        <is>
          <t>MARTINEZ MUÑOZ MARIA</t>
        </is>
      </c>
      <c r="G563" s="11" t="inlineStr"/>
      <c r="H563" s="11" t="inlineStr">
        <is>
          <t>INTERFACE P.O.S.</t>
        </is>
      </c>
      <c r="I563" s="11" t="n">
        <v>26800</v>
      </c>
      <c r="J563" s="11" t="inlineStr"/>
    </row>
    <row r="564">
      <c r="A564" s="11" t="n">
        <v>563</v>
      </c>
      <c r="B564" s="12" t="n">
        <v>46096</v>
      </c>
      <c r="C564" s="11" t="inlineStr">
        <is>
          <t>INTF</t>
        </is>
      </c>
      <c r="D564" s="11" t="inlineStr">
        <is>
          <t>202603</t>
        </is>
      </c>
      <c r="E564" s="11" t="inlineStr">
        <is>
          <t>18145192</t>
        </is>
      </c>
      <c r="F564" s="11" t="inlineStr">
        <is>
          <t>JARAMILLO CORTEZ OMA</t>
        </is>
      </c>
      <c r="G564" s="11" t="inlineStr"/>
      <c r="H564" s="11" t="inlineStr">
        <is>
          <t>INTERFACE P.O.S.</t>
        </is>
      </c>
      <c r="I564" s="11" t="n">
        <v>6500</v>
      </c>
      <c r="J564" s="11" t="inlineStr"/>
    </row>
    <row r="565">
      <c r="A565" s="11" t="n">
        <v>564</v>
      </c>
      <c r="B565" s="12" t="n">
        <v>46096</v>
      </c>
      <c r="C565" s="11" t="inlineStr">
        <is>
          <t>INTF</t>
        </is>
      </c>
      <c r="D565" s="11" t="inlineStr">
        <is>
          <t>202603</t>
        </is>
      </c>
      <c r="E565" s="11" t="inlineStr">
        <is>
          <t>1006851369</t>
        </is>
      </c>
      <c r="F565" s="11" t="inlineStr">
        <is>
          <t>GONZALEZ ANGULO ALEJ</t>
        </is>
      </c>
      <c r="G565" s="11" t="inlineStr"/>
      <c r="H565" s="11" t="inlineStr">
        <is>
          <t>INTERFACE P.O.S.</t>
        </is>
      </c>
      <c r="I565" s="11" t="n">
        <v>15900</v>
      </c>
      <c r="J565" s="11" t="inlineStr"/>
    </row>
    <row r="566">
      <c r="A566" s="11" t="n">
        <v>565</v>
      </c>
      <c r="B566" s="12" t="n">
        <v>46096</v>
      </c>
      <c r="C566" s="11" t="inlineStr">
        <is>
          <t>INTF</t>
        </is>
      </c>
      <c r="D566" s="11" t="inlineStr">
        <is>
          <t>202603</t>
        </is>
      </c>
      <c r="E566" s="11" t="inlineStr">
        <is>
          <t>12447282</t>
        </is>
      </c>
      <c r="F566" s="11" t="inlineStr">
        <is>
          <t>MENDOZA CARLOS EDUAR</t>
        </is>
      </c>
      <c r="G566" s="11" t="inlineStr"/>
      <c r="H566" s="11" t="inlineStr">
        <is>
          <t>INTERFACE P.O.S.</t>
        </is>
      </c>
      <c r="I566" s="11" t="n">
        <v>55374</v>
      </c>
      <c r="J566" s="11" t="inlineStr"/>
    </row>
    <row r="567">
      <c r="A567" s="11" t="n">
        <v>566</v>
      </c>
      <c r="B567" s="12" t="n">
        <v>46096</v>
      </c>
      <c r="C567" s="11" t="inlineStr">
        <is>
          <t>INTF</t>
        </is>
      </c>
      <c r="D567" s="11" t="inlineStr">
        <is>
          <t>202603</t>
        </is>
      </c>
      <c r="E567" s="11" t="inlineStr">
        <is>
          <t>1085327648</t>
        </is>
      </c>
      <c r="F567" s="11" t="inlineStr">
        <is>
          <t>PATASCOY CUCHALA JES</t>
        </is>
      </c>
      <c r="G567" s="11" t="inlineStr"/>
      <c r="H567" s="11" t="inlineStr">
        <is>
          <t>INTERFACE P.O.S.</t>
        </is>
      </c>
      <c r="I567" s="11" t="n">
        <v>40000</v>
      </c>
      <c r="J567" s="11" t="inlineStr"/>
    </row>
    <row r="568">
      <c r="A568" s="11" t="n">
        <v>567</v>
      </c>
      <c r="B568" s="12" t="n">
        <v>46096</v>
      </c>
      <c r="C568" s="11" t="inlineStr">
        <is>
          <t>INTF</t>
        </is>
      </c>
      <c r="D568" s="11" t="inlineStr">
        <is>
          <t>202603</t>
        </is>
      </c>
      <c r="E568" s="11" t="inlineStr">
        <is>
          <t>1123321589</t>
        </is>
      </c>
      <c r="F568" s="11" t="inlineStr">
        <is>
          <t>DIAS CHAVEZ EVA LINE</t>
        </is>
      </c>
      <c r="G568" s="11" t="inlineStr"/>
      <c r="H568" s="11" t="inlineStr">
        <is>
          <t>INTERFACE P.O.S.</t>
        </is>
      </c>
      <c r="I568" s="11" t="n">
        <v>61500</v>
      </c>
      <c r="J568" s="11" t="inlineStr"/>
    </row>
    <row r="569">
      <c r="A569" s="11" t="n">
        <v>568</v>
      </c>
      <c r="B569" s="12" t="n">
        <v>46096</v>
      </c>
      <c r="C569" s="11" t="inlineStr">
        <is>
          <t>INTF</t>
        </is>
      </c>
      <c r="D569" s="11" t="inlineStr">
        <is>
          <t>202603</t>
        </is>
      </c>
      <c r="E569" s="11" t="inlineStr">
        <is>
          <t>59831372</t>
        </is>
      </c>
      <c r="F569" s="11" t="inlineStr">
        <is>
          <t>CASTILLO CORRALES SI</t>
        </is>
      </c>
      <c r="G569" s="11" t="inlineStr"/>
      <c r="H569" s="11" t="inlineStr">
        <is>
          <t>INTERFACE P.O.S.</t>
        </is>
      </c>
      <c r="I569" s="11" t="n">
        <v>10000</v>
      </c>
      <c r="J569" s="11" t="inlineStr"/>
    </row>
    <row r="570">
      <c r="A570" s="11" t="n">
        <v>569</v>
      </c>
      <c r="B570" s="12" t="n">
        <v>46096</v>
      </c>
      <c r="C570" s="11" t="inlineStr">
        <is>
          <t>INTF</t>
        </is>
      </c>
      <c r="D570" s="11" t="inlineStr">
        <is>
          <t>202603</t>
        </is>
      </c>
      <c r="E570" s="11" t="inlineStr">
        <is>
          <t>27605795</t>
        </is>
      </c>
      <c r="F570" s="11" t="inlineStr">
        <is>
          <t>GILDO COSA JHONIMAR</t>
        </is>
      </c>
      <c r="G570" s="11" t="inlineStr"/>
      <c r="H570" s="11" t="inlineStr">
        <is>
          <t>INTERFACE P.O.S.</t>
        </is>
      </c>
      <c r="I570" s="11" t="n">
        <v>15400</v>
      </c>
      <c r="J570" s="11" t="inlineStr"/>
    </row>
    <row r="571">
      <c r="A571" s="11" t="n">
        <v>570</v>
      </c>
      <c r="B571" s="12" t="n">
        <v>46096</v>
      </c>
      <c r="C571" s="11" t="inlineStr">
        <is>
          <t>INTF</t>
        </is>
      </c>
      <c r="D571" s="11" t="inlineStr">
        <is>
          <t>202603</t>
        </is>
      </c>
      <c r="E571" s="11" t="inlineStr">
        <is>
          <t>1123329714</t>
        </is>
      </c>
      <c r="F571" s="11" t="inlineStr">
        <is>
          <t>RODRIGUEZ BASTIDAS J</t>
        </is>
      </c>
      <c r="G571" s="11" t="inlineStr"/>
      <c r="H571" s="11" t="inlineStr">
        <is>
          <t>INTERFACE P.O.S.</t>
        </is>
      </c>
      <c r="I571" s="11" t="n">
        <v>60000</v>
      </c>
      <c r="J571" s="11" t="inlineStr"/>
    </row>
    <row r="572">
      <c r="A572" s="11" t="n">
        <v>571</v>
      </c>
      <c r="B572" s="12" t="n">
        <v>46096</v>
      </c>
      <c r="C572" s="11" t="inlineStr">
        <is>
          <t>INTF</t>
        </is>
      </c>
      <c r="D572" s="11" t="inlineStr">
        <is>
          <t>202603</t>
        </is>
      </c>
      <c r="E572" s="11" t="inlineStr">
        <is>
          <t>1007620522</t>
        </is>
      </c>
      <c r="F572" s="11" t="inlineStr">
        <is>
          <t>CHAVARRO LARA LUISA</t>
        </is>
      </c>
      <c r="G572" s="11" t="inlineStr"/>
      <c r="H572" s="11" t="inlineStr">
        <is>
          <t>INTERFACE P.O.S.</t>
        </is>
      </c>
      <c r="I572" s="11" t="n">
        <v>22100</v>
      </c>
      <c r="J572" s="11" t="inlineStr"/>
    </row>
    <row r="573">
      <c r="A573" s="11" t="n">
        <v>572</v>
      </c>
      <c r="B573" s="12" t="n">
        <v>46096</v>
      </c>
      <c r="C573" s="11" t="inlineStr">
        <is>
          <t>INTF</t>
        </is>
      </c>
      <c r="D573" s="11" t="inlineStr">
        <is>
          <t>202603</t>
        </is>
      </c>
      <c r="E573" s="11" t="inlineStr">
        <is>
          <t>1123307277</t>
        </is>
      </c>
      <c r="F573" s="11" t="inlineStr">
        <is>
          <t>SANCHEZ BUESAQUILLO</t>
        </is>
      </c>
      <c r="G573" s="11" t="inlineStr"/>
      <c r="H573" s="11" t="inlineStr">
        <is>
          <t>INTERFACE P.O.S.</t>
        </is>
      </c>
      <c r="I573" s="11" t="n">
        <v>77913</v>
      </c>
      <c r="J573" s="11" t="inlineStr"/>
    </row>
    <row r="574">
      <c r="A574" s="11" t="n">
        <v>573</v>
      </c>
      <c r="B574" s="12" t="n">
        <v>46096</v>
      </c>
      <c r="C574" s="11" t="inlineStr">
        <is>
          <t>INTF</t>
        </is>
      </c>
      <c r="D574" s="11" t="inlineStr">
        <is>
          <t>202603</t>
        </is>
      </c>
      <c r="E574" s="11" t="inlineStr">
        <is>
          <t>41109116</t>
        </is>
      </c>
      <c r="F574" s="11" t="inlineStr">
        <is>
          <t>GOMEZ MEZA AIDA</t>
        </is>
      </c>
      <c r="G574" s="11" t="inlineStr"/>
      <c r="H574" s="11" t="inlineStr">
        <is>
          <t>INTERFACE P.O.S.</t>
        </is>
      </c>
      <c r="I574" s="11" t="n">
        <v>40000</v>
      </c>
      <c r="J574" s="11" t="inlineStr"/>
    </row>
    <row r="575">
      <c r="A575" s="11" t="n">
        <v>574</v>
      </c>
      <c r="B575" s="12" t="n">
        <v>46096</v>
      </c>
      <c r="C575" s="11" t="inlineStr">
        <is>
          <t>INTF</t>
        </is>
      </c>
      <c r="D575" s="11" t="inlineStr">
        <is>
          <t>202603</t>
        </is>
      </c>
      <c r="E575" s="11" t="inlineStr">
        <is>
          <t>1116258020</t>
        </is>
      </c>
      <c r="F575" s="11" t="inlineStr">
        <is>
          <t>RIVERO SOLARTE NICOL</t>
        </is>
      </c>
      <c r="G575" s="11" t="inlineStr"/>
      <c r="H575" s="11" t="inlineStr">
        <is>
          <t>INTERFACE P.O.S.</t>
        </is>
      </c>
      <c r="I575" s="11" t="n">
        <v>10000</v>
      </c>
      <c r="J575" s="11" t="inlineStr"/>
    </row>
    <row r="576">
      <c r="A576" s="11" t="n">
        <v>575</v>
      </c>
      <c r="B576" s="12" t="n">
        <v>46096</v>
      </c>
      <c r="C576" s="11" t="inlineStr">
        <is>
          <t>INTF</t>
        </is>
      </c>
      <c r="D576" s="11" t="inlineStr">
        <is>
          <t>202603</t>
        </is>
      </c>
      <c r="E576" s="11" t="inlineStr">
        <is>
          <t>1006843788</t>
        </is>
      </c>
      <c r="F576" s="11" t="inlineStr">
        <is>
          <t>TORRES PAI YEFERSON</t>
        </is>
      </c>
      <c r="G576" s="11" t="inlineStr"/>
      <c r="H576" s="11" t="inlineStr">
        <is>
          <t>INTERFACE P.O.S.</t>
        </is>
      </c>
      <c r="I576" s="11" t="n">
        <v>4800</v>
      </c>
      <c r="J576" s="11" t="inlineStr"/>
    </row>
    <row r="577">
      <c r="A577" s="11" t="n">
        <v>576</v>
      </c>
      <c r="B577" s="12" t="n">
        <v>46096</v>
      </c>
      <c r="C577" s="11" t="inlineStr">
        <is>
          <t>INTF</t>
        </is>
      </c>
      <c r="D577" s="11" t="inlineStr">
        <is>
          <t>202603</t>
        </is>
      </c>
      <c r="E577" s="11" t="inlineStr">
        <is>
          <t>1006961869</t>
        </is>
      </c>
      <c r="F577" s="11" t="inlineStr">
        <is>
          <t>ROSERO TORO EMIR YAK</t>
        </is>
      </c>
      <c r="G577" s="11" t="inlineStr"/>
      <c r="H577" s="11" t="inlineStr">
        <is>
          <t>INTERFACE P.O.S.</t>
        </is>
      </c>
      <c r="I577" s="11" t="n">
        <v>2800</v>
      </c>
      <c r="J577" s="11" t="inlineStr"/>
    </row>
    <row r="578">
      <c r="A578" s="11" t="n">
        <v>577</v>
      </c>
      <c r="B578" s="12" t="n">
        <v>46096</v>
      </c>
      <c r="C578" s="11" t="inlineStr">
        <is>
          <t>INTF</t>
        </is>
      </c>
      <c r="D578" s="11" t="inlineStr">
        <is>
          <t>202603</t>
        </is>
      </c>
      <c r="E578" s="11" t="inlineStr">
        <is>
          <t>1123335334</t>
        </is>
      </c>
      <c r="F578" s="11" t="inlineStr">
        <is>
          <t>CERON VALDES LORENA</t>
        </is>
      </c>
      <c r="G578" s="11" t="inlineStr"/>
      <c r="H578" s="11" t="inlineStr">
        <is>
          <t>INTERFACE P.O.S.</t>
        </is>
      </c>
      <c r="I578" s="11" t="n">
        <v>43600</v>
      </c>
      <c r="J578" s="11" t="inlineStr"/>
    </row>
    <row r="579">
      <c r="A579" s="11" t="n">
        <v>578</v>
      </c>
      <c r="B579" s="12" t="n">
        <v>46096</v>
      </c>
      <c r="C579" s="11" t="inlineStr">
        <is>
          <t>INTF</t>
        </is>
      </c>
      <c r="D579" s="11" t="inlineStr">
        <is>
          <t>202603</t>
        </is>
      </c>
      <c r="E579" s="11" t="inlineStr">
        <is>
          <t>1087046073</t>
        </is>
      </c>
      <c r="F579" s="11" t="inlineStr">
        <is>
          <t>MELO ERAZO MARIA FER</t>
        </is>
      </c>
      <c r="G579" s="11" t="inlineStr"/>
      <c r="H579" s="11" t="inlineStr">
        <is>
          <t>INTERFACE P.O.S.</t>
        </is>
      </c>
      <c r="I579" s="11" t="n">
        <v>52000</v>
      </c>
      <c r="J579" s="11" t="inlineStr"/>
    </row>
    <row r="580">
      <c r="A580" s="11" t="n">
        <v>579</v>
      </c>
      <c r="B580" s="12" t="n">
        <v>46096</v>
      </c>
      <c r="C580" s="11" t="inlineStr">
        <is>
          <t>INTF</t>
        </is>
      </c>
      <c r="D580" s="11" t="inlineStr">
        <is>
          <t>202603</t>
        </is>
      </c>
      <c r="E580" s="11" t="inlineStr">
        <is>
          <t>1123335211</t>
        </is>
      </c>
      <c r="F580" s="11" t="inlineStr">
        <is>
          <t>QUINTERO ELKIN DANIE</t>
        </is>
      </c>
      <c r="G580" s="11" t="inlineStr"/>
      <c r="H580" s="11" t="inlineStr">
        <is>
          <t>INTERFACE P.O.S.</t>
        </is>
      </c>
      <c r="I580" s="11" t="n">
        <v>41500</v>
      </c>
      <c r="J580" s="11" t="inlineStr"/>
    </row>
    <row r="581">
      <c r="A581" s="11" t="n">
        <v>580</v>
      </c>
      <c r="B581" s="12" t="n">
        <v>46096</v>
      </c>
      <c r="C581" s="11" t="inlineStr">
        <is>
          <t>INTF</t>
        </is>
      </c>
      <c r="D581" s="11" t="inlineStr">
        <is>
          <t>202603</t>
        </is>
      </c>
      <c r="E581" s="11" t="inlineStr">
        <is>
          <t>1123326265</t>
        </is>
      </c>
      <c r="F581" s="11" t="inlineStr">
        <is>
          <t>ESCOBAR PALMA KATERI</t>
        </is>
      </c>
      <c r="G581" s="11" t="inlineStr"/>
      <c r="H581" s="11" t="inlineStr">
        <is>
          <t>INTERFACE P.O.S.</t>
        </is>
      </c>
      <c r="I581" s="11" t="n">
        <v>60000</v>
      </c>
      <c r="J581" s="11" t="inlineStr"/>
    </row>
    <row r="582">
      <c r="A582" s="11" t="n">
        <v>581</v>
      </c>
      <c r="B582" s="12" t="n">
        <v>46096</v>
      </c>
      <c r="C582" s="11" t="inlineStr">
        <is>
          <t>INTF</t>
        </is>
      </c>
      <c r="D582" s="11" t="inlineStr">
        <is>
          <t>202603</t>
        </is>
      </c>
      <c r="E582" s="11" t="inlineStr">
        <is>
          <t>1001183228</t>
        </is>
      </c>
      <c r="F582" s="11" t="inlineStr">
        <is>
          <t>DIAZ OSPINA ANA CARO</t>
        </is>
      </c>
      <c r="G582" s="11" t="inlineStr"/>
      <c r="H582" s="11" t="inlineStr">
        <is>
          <t>INTERFACE P.O.S.</t>
        </is>
      </c>
      <c r="I582" s="11" t="n">
        <v>40000</v>
      </c>
      <c r="J582" s="11" t="inlineStr"/>
    </row>
    <row r="583">
      <c r="A583" s="11" t="n">
        <v>582</v>
      </c>
      <c r="B583" s="12" t="n">
        <v>46096</v>
      </c>
      <c r="C583" s="11" t="inlineStr">
        <is>
          <t>INTF</t>
        </is>
      </c>
      <c r="D583" s="11" t="inlineStr">
        <is>
          <t>202603</t>
        </is>
      </c>
      <c r="E583" s="11" t="inlineStr">
        <is>
          <t>1004154565</t>
        </is>
      </c>
      <c r="F583" s="11" t="inlineStr">
        <is>
          <t>CIFUENTES SANCHEZ KA</t>
        </is>
      </c>
      <c r="G583" s="11" t="inlineStr"/>
      <c r="H583" s="11" t="inlineStr">
        <is>
          <t>INTERFACE P.O.S.</t>
        </is>
      </c>
      <c r="I583" s="11" t="n">
        <v>28500</v>
      </c>
      <c r="J583" s="11" t="inlineStr"/>
    </row>
    <row r="584">
      <c r="A584" s="11" t="n">
        <v>583</v>
      </c>
      <c r="B584" s="12" t="n">
        <v>46096</v>
      </c>
      <c r="C584" s="11" t="inlineStr">
        <is>
          <t>INTF</t>
        </is>
      </c>
      <c r="D584" s="11" t="inlineStr">
        <is>
          <t>202603</t>
        </is>
      </c>
      <c r="E584" s="11" t="inlineStr">
        <is>
          <t>1006855459</t>
        </is>
      </c>
      <c r="F584" s="11" t="inlineStr">
        <is>
          <t>ORTEGA CASAÑAS ANGEL</t>
        </is>
      </c>
      <c r="G584" s="11" t="inlineStr"/>
      <c r="H584" s="11" t="inlineStr">
        <is>
          <t>INTERFACE P.O.S.</t>
        </is>
      </c>
      <c r="I584" s="11" t="n">
        <v>28000</v>
      </c>
      <c r="J584" s="11" t="inlineStr"/>
    </row>
    <row r="585">
      <c r="A585" s="11" t="n">
        <v>584</v>
      </c>
      <c r="B585" s="12" t="n">
        <v>46096</v>
      </c>
      <c r="C585" s="11" t="inlineStr">
        <is>
          <t>INTF</t>
        </is>
      </c>
      <c r="D585" s="11" t="inlineStr">
        <is>
          <t>202603</t>
        </is>
      </c>
      <c r="E585" s="11" t="inlineStr">
        <is>
          <t>18145954</t>
        </is>
      </c>
      <c r="F585" s="11" t="inlineStr">
        <is>
          <t>GOMEZ PAZ EFRAIN</t>
        </is>
      </c>
      <c r="G585" s="11" t="inlineStr"/>
      <c r="H585" s="11" t="inlineStr">
        <is>
          <t>INTERFACE P.O.S.</t>
        </is>
      </c>
      <c r="I585" s="11" t="n">
        <v>12500</v>
      </c>
      <c r="J585" s="11" t="inlineStr"/>
    </row>
    <row r="586">
      <c r="A586" s="11" t="n">
        <v>585</v>
      </c>
      <c r="B586" s="12" t="n">
        <v>46096</v>
      </c>
      <c r="C586" s="11" t="inlineStr">
        <is>
          <t>INTF</t>
        </is>
      </c>
      <c r="D586" s="11" t="inlineStr">
        <is>
          <t>202603</t>
        </is>
      </c>
      <c r="E586" s="11" t="inlineStr">
        <is>
          <t>1124855042</t>
        </is>
      </c>
      <c r="F586" s="11" t="inlineStr">
        <is>
          <t>TAQUEZ VELA SOFIA</t>
        </is>
      </c>
      <c r="G586" s="11" t="inlineStr"/>
      <c r="H586" s="11" t="inlineStr">
        <is>
          <t>INTERFACE P.O.S.</t>
        </is>
      </c>
      <c r="I586" s="11" t="n">
        <v>8000</v>
      </c>
      <c r="J586" s="11" t="inlineStr"/>
    </row>
    <row r="587">
      <c r="A587" s="11" t="n">
        <v>586</v>
      </c>
      <c r="B587" s="12" t="n">
        <v>46097</v>
      </c>
      <c r="C587" s="11" t="inlineStr">
        <is>
          <t>CE</t>
        </is>
      </c>
      <c r="D587" s="11" t="inlineStr">
        <is>
          <t>9427</t>
        </is>
      </c>
      <c r="E587" s="11" t="inlineStr">
        <is>
          <t>12960879</t>
        </is>
      </c>
      <c r="F587" s="11" t="inlineStr">
        <is>
          <t>PATIÑO HERMES ANTONI</t>
        </is>
      </c>
      <c r="G587" s="11" t="inlineStr">
        <is>
          <t>M14822673</t>
        </is>
      </c>
      <c r="H587" s="11" t="inlineStr">
        <is>
          <t>PF ZENU</t>
        </is>
      </c>
      <c r="I587" s="11" t="inlineStr"/>
      <c r="J587" s="11" t="n">
        <v>2194495</v>
      </c>
    </row>
    <row r="588">
      <c r="A588" s="11" t="n">
        <v>587</v>
      </c>
      <c r="B588" s="12" t="n">
        <v>46097</v>
      </c>
      <c r="C588" s="11" t="inlineStr">
        <is>
          <t>CE</t>
        </is>
      </c>
      <c r="D588" s="11" t="inlineStr">
        <is>
          <t>9428</t>
        </is>
      </c>
      <c r="E588" s="11" t="inlineStr">
        <is>
          <t>59829308</t>
        </is>
      </c>
      <c r="F588" s="11" t="inlineStr">
        <is>
          <t>PAGUATIAN INES DORA</t>
        </is>
      </c>
      <c r="G588" s="11" t="inlineStr">
        <is>
          <t>M14971983</t>
        </is>
      </c>
      <c r="H588" s="11" t="inlineStr">
        <is>
          <t>PF CLTS</t>
        </is>
      </c>
      <c r="I588" s="11" t="inlineStr"/>
      <c r="J588" s="11" t="n">
        <v>1486735</v>
      </c>
    </row>
    <row r="589">
      <c r="A589" s="11" t="n">
        <v>588</v>
      </c>
      <c r="B589" s="12" t="n">
        <v>46097</v>
      </c>
      <c r="C589" s="11" t="inlineStr">
        <is>
          <t>INTF</t>
        </is>
      </c>
      <c r="D589" s="11" t="inlineStr">
        <is>
          <t>202603</t>
        </is>
      </c>
      <c r="E589" s="11" t="inlineStr">
        <is>
          <t>69021907</t>
        </is>
      </c>
      <c r="F589" s="11" t="inlineStr">
        <is>
          <t>CORDOBA BASTIDAS NID</t>
        </is>
      </c>
      <c r="G589" s="11" t="inlineStr"/>
      <c r="H589" s="11" t="inlineStr">
        <is>
          <t>INTERFACE P.O.S.</t>
        </is>
      </c>
      <c r="I589" s="11" t="n">
        <v>97100</v>
      </c>
      <c r="J589" s="11" t="inlineStr"/>
    </row>
    <row r="590">
      <c r="A590" s="11" t="n">
        <v>589</v>
      </c>
      <c r="B590" s="12" t="n">
        <v>46097</v>
      </c>
      <c r="C590" s="11" t="inlineStr">
        <is>
          <t>INTF</t>
        </is>
      </c>
      <c r="D590" s="11" t="inlineStr">
        <is>
          <t>202603</t>
        </is>
      </c>
      <c r="E590" s="11" t="inlineStr">
        <is>
          <t>1006999101</t>
        </is>
      </c>
      <c r="F590" s="11" t="inlineStr">
        <is>
          <t>PANTOJA LOPEZ ANYI A</t>
        </is>
      </c>
      <c r="G590" s="11" t="inlineStr"/>
      <c r="H590" s="11" t="inlineStr">
        <is>
          <t>INTERFACE P.O.S.</t>
        </is>
      </c>
      <c r="I590" s="11" t="n">
        <v>7600</v>
      </c>
      <c r="J590" s="11" t="inlineStr"/>
    </row>
    <row r="591">
      <c r="A591" s="11" t="n">
        <v>590</v>
      </c>
      <c r="B591" s="12" t="n">
        <v>46097</v>
      </c>
      <c r="C591" s="11" t="inlineStr">
        <is>
          <t>INTF</t>
        </is>
      </c>
      <c r="D591" s="11" t="inlineStr">
        <is>
          <t>202603</t>
        </is>
      </c>
      <c r="E591" s="11" t="inlineStr">
        <is>
          <t>1123330358</t>
        </is>
      </c>
      <c r="F591" s="11" t="inlineStr">
        <is>
          <t>PORTILLA GOMAJOA CES</t>
        </is>
      </c>
      <c r="G591" s="11" t="inlineStr"/>
      <c r="H591" s="11" t="inlineStr">
        <is>
          <t>INTERFACE P.O.S.</t>
        </is>
      </c>
      <c r="I591" s="11" t="n">
        <v>20500</v>
      </c>
      <c r="J591" s="11" t="inlineStr"/>
    </row>
    <row r="592">
      <c r="A592" s="11" t="n">
        <v>591</v>
      </c>
      <c r="B592" s="12" t="n">
        <v>46097</v>
      </c>
      <c r="C592" s="11" t="inlineStr">
        <is>
          <t>INTF</t>
        </is>
      </c>
      <c r="D592" s="11" t="inlineStr">
        <is>
          <t>202603</t>
        </is>
      </c>
      <c r="E592" s="11" t="inlineStr">
        <is>
          <t>1123329121</t>
        </is>
      </c>
      <c r="F592" s="11" t="inlineStr">
        <is>
          <t>URBANO PORTILLA LEID</t>
        </is>
      </c>
      <c r="G592" s="11" t="inlineStr"/>
      <c r="H592" s="11" t="inlineStr">
        <is>
          <t>INTERFACE P.O.S.</t>
        </is>
      </c>
      <c r="I592" s="11" t="n">
        <v>242500</v>
      </c>
      <c r="J592" s="11" t="inlineStr"/>
    </row>
    <row r="593">
      <c r="A593" s="11" t="n">
        <v>592</v>
      </c>
      <c r="B593" s="12" t="n">
        <v>46097</v>
      </c>
      <c r="C593" s="11" t="inlineStr">
        <is>
          <t>INTF</t>
        </is>
      </c>
      <c r="D593" s="11" t="inlineStr">
        <is>
          <t>202603</t>
        </is>
      </c>
      <c r="E593" s="11" t="inlineStr">
        <is>
          <t>39639929</t>
        </is>
      </c>
      <c r="F593" s="11" t="inlineStr">
        <is>
          <t>BECERRA ZAMORA MARTH</t>
        </is>
      </c>
      <c r="G593" s="11" t="inlineStr"/>
      <c r="H593" s="11" t="inlineStr">
        <is>
          <t>INTERFACE P.O.S.</t>
        </is>
      </c>
      <c r="I593" s="11" t="n">
        <v>51500</v>
      </c>
      <c r="J593" s="11" t="inlineStr"/>
    </row>
    <row r="594">
      <c r="A594" s="11" t="n">
        <v>593</v>
      </c>
      <c r="B594" s="12" t="n">
        <v>46097</v>
      </c>
      <c r="C594" s="11" t="inlineStr">
        <is>
          <t>INTF</t>
        </is>
      </c>
      <c r="D594" s="11" t="inlineStr">
        <is>
          <t>202603</t>
        </is>
      </c>
      <c r="E594" s="11" t="inlineStr">
        <is>
          <t>1085275952</t>
        </is>
      </c>
      <c r="F594" s="11" t="inlineStr">
        <is>
          <t>BOTINA ANGULO GUSTAV</t>
        </is>
      </c>
      <c r="G594" s="11" t="inlineStr"/>
      <c r="H594" s="11" t="inlineStr">
        <is>
          <t>INTERFACE P.O.S.</t>
        </is>
      </c>
      <c r="I594" s="11" t="n">
        <v>6000</v>
      </c>
      <c r="J594" s="11" t="inlineStr"/>
    </row>
    <row r="595">
      <c r="A595" s="11" t="n">
        <v>594</v>
      </c>
      <c r="B595" s="12" t="n">
        <v>46097</v>
      </c>
      <c r="C595" s="11" t="inlineStr">
        <is>
          <t>INTF</t>
        </is>
      </c>
      <c r="D595" s="11" t="inlineStr">
        <is>
          <t>202603</t>
        </is>
      </c>
      <c r="E595" s="11" t="inlineStr">
        <is>
          <t>1117485306</t>
        </is>
      </c>
      <c r="F595" s="11" t="inlineStr">
        <is>
          <t>ROSERO ROJAS MARTHA</t>
        </is>
      </c>
      <c r="G595" s="11" t="inlineStr"/>
      <c r="H595" s="11" t="inlineStr">
        <is>
          <t>INTERFACE P.O.S.</t>
        </is>
      </c>
      <c r="I595" s="11" t="n">
        <v>61700</v>
      </c>
      <c r="J595" s="11" t="inlineStr"/>
    </row>
    <row r="596">
      <c r="A596" s="11" t="n">
        <v>595</v>
      </c>
      <c r="B596" s="12" t="n">
        <v>46097</v>
      </c>
      <c r="C596" s="11" t="inlineStr">
        <is>
          <t>INTF</t>
        </is>
      </c>
      <c r="D596" s="11" t="inlineStr">
        <is>
          <t>202603</t>
        </is>
      </c>
      <c r="E596" s="11" t="inlineStr">
        <is>
          <t>1006848018</t>
        </is>
      </c>
      <c r="F596" s="11" t="inlineStr">
        <is>
          <t>MEZA ROSERO LESLY DA</t>
        </is>
      </c>
      <c r="G596" s="11" t="inlineStr"/>
      <c r="H596" s="11" t="inlineStr">
        <is>
          <t>INTERFACE P.O.S.</t>
        </is>
      </c>
      <c r="I596" s="11" t="n">
        <v>19300</v>
      </c>
      <c r="J596" s="11" t="inlineStr"/>
    </row>
    <row r="597">
      <c r="A597" s="11" t="n">
        <v>596</v>
      </c>
      <c r="B597" s="12" t="n">
        <v>46097</v>
      </c>
      <c r="C597" s="11" t="inlineStr">
        <is>
          <t>INTF</t>
        </is>
      </c>
      <c r="D597" s="11" t="inlineStr">
        <is>
          <t>202603</t>
        </is>
      </c>
      <c r="E597" s="11" t="inlineStr">
        <is>
          <t>1123327998</t>
        </is>
      </c>
      <c r="F597" s="11" t="inlineStr">
        <is>
          <t>ORTIZ MANZANO NAYIBE</t>
        </is>
      </c>
      <c r="G597" s="11" t="inlineStr"/>
      <c r="H597" s="11" t="inlineStr">
        <is>
          <t>INTERFACE P.O.S.</t>
        </is>
      </c>
      <c r="I597" s="11" t="n">
        <v>39900</v>
      </c>
      <c r="J597" s="11" t="inlineStr"/>
    </row>
    <row r="598">
      <c r="A598" s="11" t="n">
        <v>597</v>
      </c>
      <c r="B598" s="12" t="n">
        <v>46097</v>
      </c>
      <c r="C598" s="11" t="inlineStr">
        <is>
          <t>INTF</t>
        </is>
      </c>
      <c r="D598" s="11" t="inlineStr">
        <is>
          <t>202603</t>
        </is>
      </c>
      <c r="E598" s="11" t="inlineStr">
        <is>
          <t>18147316</t>
        </is>
      </c>
      <c r="F598" s="11" t="inlineStr">
        <is>
          <t>BELTRAN NARANJO REIN</t>
        </is>
      </c>
      <c r="G598" s="11" t="inlineStr"/>
      <c r="H598" s="11" t="inlineStr">
        <is>
          <t>INTERFACE P.O.S.</t>
        </is>
      </c>
      <c r="I598" s="11" t="n">
        <v>17200</v>
      </c>
      <c r="J598" s="11" t="inlineStr"/>
    </row>
    <row r="599">
      <c r="A599" s="11" t="n">
        <v>598</v>
      </c>
      <c r="B599" s="12" t="n">
        <v>46097</v>
      </c>
      <c r="C599" s="11" t="inlineStr">
        <is>
          <t>INTF</t>
        </is>
      </c>
      <c r="D599" s="11" t="inlineStr">
        <is>
          <t>202603</t>
        </is>
      </c>
      <c r="E599" s="11" t="inlineStr">
        <is>
          <t>1123206265</t>
        </is>
      </c>
      <c r="F599" s="11" t="inlineStr">
        <is>
          <t>PESILLO PAYAGUAJE SA</t>
        </is>
      </c>
      <c r="G599" s="11" t="inlineStr"/>
      <c r="H599" s="11" t="inlineStr">
        <is>
          <t>INTERFACE P.O.S.</t>
        </is>
      </c>
      <c r="I599" s="11" t="n">
        <v>5900</v>
      </c>
      <c r="J599" s="11" t="inlineStr"/>
    </row>
    <row r="600">
      <c r="A600" s="11" t="n">
        <v>599</v>
      </c>
      <c r="B600" s="12" t="n">
        <v>46097</v>
      </c>
      <c r="C600" s="11" t="inlineStr">
        <is>
          <t>INTF</t>
        </is>
      </c>
      <c r="D600" s="11" t="inlineStr">
        <is>
          <t>202603</t>
        </is>
      </c>
      <c r="E600" s="11" t="inlineStr">
        <is>
          <t>1123329564</t>
        </is>
      </c>
      <c r="F600" s="11" t="inlineStr">
        <is>
          <t>YEPES SOLARTE LINDA</t>
        </is>
      </c>
      <c r="G600" s="11" t="inlineStr"/>
      <c r="H600" s="11" t="inlineStr">
        <is>
          <t>INTERFACE P.O.S.</t>
        </is>
      </c>
      <c r="I600" s="11" t="n">
        <v>31900</v>
      </c>
      <c r="J600" s="11" t="inlineStr"/>
    </row>
    <row r="601">
      <c r="A601" s="11" t="n">
        <v>600</v>
      </c>
      <c r="B601" s="12" t="n">
        <v>46097</v>
      </c>
      <c r="C601" s="11" t="inlineStr">
        <is>
          <t>INTF</t>
        </is>
      </c>
      <c r="D601" s="11" t="inlineStr">
        <is>
          <t>202603</t>
        </is>
      </c>
      <c r="E601" s="11" t="inlineStr">
        <is>
          <t>1126458986</t>
        </is>
      </c>
      <c r="F601" s="11" t="inlineStr">
        <is>
          <t>ALVAREZ VALLEJO LORE</t>
        </is>
      </c>
      <c r="G601" s="11" t="inlineStr"/>
      <c r="H601" s="11" t="inlineStr">
        <is>
          <t>INTERFACE P.O.S.</t>
        </is>
      </c>
      <c r="I601" s="11" t="n">
        <v>98000</v>
      </c>
      <c r="J601" s="11" t="inlineStr"/>
    </row>
    <row r="602">
      <c r="A602" s="11" t="n">
        <v>601</v>
      </c>
      <c r="B602" s="12" t="n">
        <v>46097</v>
      </c>
      <c r="C602" s="11" t="inlineStr">
        <is>
          <t>INTF</t>
        </is>
      </c>
      <c r="D602" s="11" t="inlineStr">
        <is>
          <t>202603</t>
        </is>
      </c>
      <c r="E602" s="11" t="inlineStr">
        <is>
          <t>1123326837</t>
        </is>
      </c>
      <c r="F602" s="11" t="inlineStr">
        <is>
          <t>ROSERO BENAVIDES HUB</t>
        </is>
      </c>
      <c r="G602" s="11" t="inlineStr"/>
      <c r="H602" s="11" t="inlineStr">
        <is>
          <t>INTERFACE P.O.S.</t>
        </is>
      </c>
      <c r="I602" s="11" t="n">
        <v>45500</v>
      </c>
      <c r="J602" s="11" t="inlineStr"/>
    </row>
    <row r="603">
      <c r="A603" s="11" t="n">
        <v>602</v>
      </c>
      <c r="B603" s="12" t="n">
        <v>46097</v>
      </c>
      <c r="C603" s="11" t="inlineStr">
        <is>
          <t>INTF</t>
        </is>
      </c>
      <c r="D603" s="11" t="inlineStr">
        <is>
          <t>202603</t>
        </is>
      </c>
      <c r="E603" s="11" t="inlineStr">
        <is>
          <t>1123330589</t>
        </is>
      </c>
      <c r="F603" s="11" t="inlineStr">
        <is>
          <t>RIASCOS SILVA JEIMY</t>
        </is>
      </c>
      <c r="G603" s="11" t="inlineStr"/>
      <c r="H603" s="11" t="inlineStr">
        <is>
          <t>INTERFACE P.O.S.</t>
        </is>
      </c>
      <c r="I603" s="11" t="n">
        <v>59200</v>
      </c>
      <c r="J603" s="11" t="inlineStr"/>
    </row>
    <row r="604">
      <c r="A604" s="11" t="n">
        <v>603</v>
      </c>
      <c r="B604" s="12" t="n">
        <v>46097</v>
      </c>
      <c r="C604" s="11" t="inlineStr">
        <is>
          <t>INTF</t>
        </is>
      </c>
      <c r="D604" s="11" t="inlineStr">
        <is>
          <t>202603</t>
        </is>
      </c>
      <c r="E604" s="11" t="inlineStr">
        <is>
          <t>40740556</t>
        </is>
      </c>
      <c r="F604" s="11" t="inlineStr">
        <is>
          <t>CUBILLOS ORDOÑES NIV</t>
        </is>
      </c>
      <c r="G604" s="11" t="inlineStr"/>
      <c r="H604" s="11" t="inlineStr">
        <is>
          <t>INTERFACE P.O.S.</t>
        </is>
      </c>
      <c r="I604" s="11" t="n">
        <v>28400</v>
      </c>
      <c r="J604" s="11" t="inlineStr"/>
    </row>
    <row r="605">
      <c r="A605" s="11" t="n">
        <v>604</v>
      </c>
      <c r="B605" s="12" t="n">
        <v>46097</v>
      </c>
      <c r="C605" s="11" t="inlineStr">
        <is>
          <t>INTF</t>
        </is>
      </c>
      <c r="D605" s="11" t="inlineStr">
        <is>
          <t>202603</t>
        </is>
      </c>
      <c r="E605" s="11" t="inlineStr">
        <is>
          <t>1193076154</t>
        </is>
      </c>
      <c r="F605" s="11" t="inlineStr">
        <is>
          <t>ZARAMA CASTELLANOS H</t>
        </is>
      </c>
      <c r="G605" s="11" t="inlineStr"/>
      <c r="H605" s="11" t="inlineStr">
        <is>
          <t>INTERFACE P.O.S.</t>
        </is>
      </c>
      <c r="I605" s="11" t="n">
        <v>15400</v>
      </c>
      <c r="J605" s="11" t="inlineStr"/>
    </row>
    <row r="606">
      <c r="A606" s="11" t="n">
        <v>605</v>
      </c>
      <c r="B606" s="12" t="n">
        <v>46097</v>
      </c>
      <c r="C606" s="11" t="inlineStr">
        <is>
          <t>INTF</t>
        </is>
      </c>
      <c r="D606" s="11" t="inlineStr">
        <is>
          <t>202603</t>
        </is>
      </c>
      <c r="E606" s="11" t="inlineStr">
        <is>
          <t>1123330040</t>
        </is>
      </c>
      <c r="F606" s="11" t="inlineStr">
        <is>
          <t>BENAVIDES FUERTES JU</t>
        </is>
      </c>
      <c r="G606" s="11" t="inlineStr"/>
      <c r="H606" s="11" t="inlineStr">
        <is>
          <t>INTERFACE P.O.S.</t>
        </is>
      </c>
      <c r="I606" s="11" t="n">
        <v>2000</v>
      </c>
      <c r="J606" s="11" t="inlineStr"/>
    </row>
    <row r="607">
      <c r="A607" s="11" t="n">
        <v>606</v>
      </c>
      <c r="B607" s="12" t="n">
        <v>46097</v>
      </c>
      <c r="C607" s="11" t="inlineStr">
        <is>
          <t>INTF</t>
        </is>
      </c>
      <c r="D607" s="11" t="inlineStr">
        <is>
          <t>202603</t>
        </is>
      </c>
      <c r="E607" s="11" t="inlineStr">
        <is>
          <t>1123305732</t>
        </is>
      </c>
      <c r="F607" s="11" t="inlineStr">
        <is>
          <t>MARTINEZ GONSALEZ DA</t>
        </is>
      </c>
      <c r="G607" s="11" t="inlineStr"/>
      <c r="H607" s="11" t="inlineStr">
        <is>
          <t>INTERFACE P.O.S.</t>
        </is>
      </c>
      <c r="I607" s="11" t="n">
        <v>31500</v>
      </c>
      <c r="J607" s="11" t="inlineStr"/>
    </row>
    <row r="608">
      <c r="A608" s="11" t="n">
        <v>607</v>
      </c>
      <c r="B608" s="12" t="n">
        <v>46097</v>
      </c>
      <c r="C608" s="11" t="inlineStr">
        <is>
          <t>INTF</t>
        </is>
      </c>
      <c r="D608" s="11" t="inlineStr">
        <is>
          <t>202603</t>
        </is>
      </c>
      <c r="E608" s="11" t="inlineStr">
        <is>
          <t>1124858469</t>
        </is>
      </c>
      <c r="F608" s="11" t="inlineStr">
        <is>
          <t>MARIN BENAVIDES EDWI</t>
        </is>
      </c>
      <c r="G608" s="11" t="inlineStr"/>
      <c r="H608" s="11" t="inlineStr">
        <is>
          <t>INTERFACE P.O.S.</t>
        </is>
      </c>
      <c r="I608" s="11" t="n">
        <v>47900</v>
      </c>
      <c r="J608" s="11" t="inlineStr"/>
    </row>
    <row r="609">
      <c r="A609" s="11" t="n">
        <v>608</v>
      </c>
      <c r="B609" s="12" t="n">
        <v>46097</v>
      </c>
      <c r="C609" s="11" t="inlineStr">
        <is>
          <t>INTF</t>
        </is>
      </c>
      <c r="D609" s="11" t="inlineStr">
        <is>
          <t>202603</t>
        </is>
      </c>
      <c r="E609" s="11" t="inlineStr">
        <is>
          <t>1123301733</t>
        </is>
      </c>
      <c r="F609" s="11" t="inlineStr">
        <is>
          <t>BAQUERO OLAYA ISAIAS</t>
        </is>
      </c>
      <c r="G609" s="11" t="inlineStr"/>
      <c r="H609" s="11" t="inlineStr">
        <is>
          <t>INTERFACE P.O.S.</t>
        </is>
      </c>
      <c r="I609" s="11" t="n">
        <v>25000</v>
      </c>
      <c r="J609" s="11" t="inlineStr"/>
    </row>
    <row r="610">
      <c r="A610" s="11" t="n">
        <v>609</v>
      </c>
      <c r="B610" s="12" t="n">
        <v>46097</v>
      </c>
      <c r="C610" s="11" t="inlineStr">
        <is>
          <t>INTF</t>
        </is>
      </c>
      <c r="D610" s="11" t="inlineStr">
        <is>
          <t>202603</t>
        </is>
      </c>
      <c r="E610" s="11" t="inlineStr">
        <is>
          <t>31655788</t>
        </is>
      </c>
      <c r="F610" s="11" t="inlineStr">
        <is>
          <t>ACOSTA MOLINA MYRIAM</t>
        </is>
      </c>
      <c r="G610" s="11" t="inlineStr"/>
      <c r="H610" s="11" t="inlineStr">
        <is>
          <t>INTERFACE P.O.S.</t>
        </is>
      </c>
      <c r="I610" s="11" t="n">
        <v>20000</v>
      </c>
      <c r="J610" s="11" t="inlineStr"/>
    </row>
    <row r="611">
      <c r="A611" s="11" t="n">
        <v>610</v>
      </c>
      <c r="B611" s="12" t="n">
        <v>46097</v>
      </c>
      <c r="C611" s="11" t="inlineStr">
        <is>
          <t>INTF</t>
        </is>
      </c>
      <c r="D611" s="11" t="inlineStr">
        <is>
          <t>202603</t>
        </is>
      </c>
      <c r="E611" s="11" t="inlineStr">
        <is>
          <t>1123327912</t>
        </is>
      </c>
      <c r="F611" s="11" t="inlineStr">
        <is>
          <t>FLOREZ CAES KELY YOJ</t>
        </is>
      </c>
      <c r="G611" s="11" t="inlineStr"/>
      <c r="H611" s="11" t="inlineStr">
        <is>
          <t>INTERFACE P.O.S.</t>
        </is>
      </c>
      <c r="I611" s="11" t="n">
        <v>29500</v>
      </c>
      <c r="J611" s="11" t="inlineStr"/>
    </row>
    <row r="612">
      <c r="A612" s="11" t="n">
        <v>611</v>
      </c>
      <c r="B612" s="12" t="n">
        <v>46097</v>
      </c>
      <c r="C612" s="11" t="inlineStr">
        <is>
          <t>INTF</t>
        </is>
      </c>
      <c r="D612" s="11" t="inlineStr">
        <is>
          <t>202603</t>
        </is>
      </c>
      <c r="E612" s="11" t="inlineStr">
        <is>
          <t>1006696549</t>
        </is>
      </c>
      <c r="F612" s="11" t="inlineStr">
        <is>
          <t>CIFUENTES AGATON ING</t>
        </is>
      </c>
      <c r="G612" s="11" t="inlineStr"/>
      <c r="H612" s="11" t="inlineStr">
        <is>
          <t>INTERFACE P.O.S.</t>
        </is>
      </c>
      <c r="I612" s="11" t="n">
        <v>8000</v>
      </c>
      <c r="J612" s="11" t="inlineStr"/>
    </row>
    <row r="613">
      <c r="A613" s="11" t="n">
        <v>612</v>
      </c>
      <c r="B613" s="12" t="n">
        <v>46097</v>
      </c>
      <c r="C613" s="11" t="inlineStr">
        <is>
          <t>INTF</t>
        </is>
      </c>
      <c r="D613" s="11" t="inlineStr">
        <is>
          <t>202603</t>
        </is>
      </c>
      <c r="E613" s="11" t="inlineStr">
        <is>
          <t>41108047</t>
        </is>
      </c>
      <c r="F613" s="11" t="inlineStr">
        <is>
          <t>MORALES MELO MAURA I</t>
        </is>
      </c>
      <c r="G613" s="11" t="inlineStr"/>
      <c r="H613" s="11" t="inlineStr">
        <is>
          <t>INTERFACE P.O.S.</t>
        </is>
      </c>
      <c r="I613" s="11" t="n">
        <v>210000</v>
      </c>
      <c r="J613" s="11" t="inlineStr"/>
    </row>
    <row r="614">
      <c r="A614" s="11" t="n">
        <v>613</v>
      </c>
      <c r="B614" s="12" t="n">
        <v>46097</v>
      </c>
      <c r="C614" s="11" t="inlineStr">
        <is>
          <t>INTF</t>
        </is>
      </c>
      <c r="D614" s="11" t="inlineStr">
        <is>
          <t>202603</t>
        </is>
      </c>
      <c r="E614" s="11" t="inlineStr">
        <is>
          <t>1122723431</t>
        </is>
      </c>
      <c r="F614" s="11" t="inlineStr">
        <is>
          <t>IBAÑEZ BOLAÑOS CELIA</t>
        </is>
      </c>
      <c r="G614" s="11" t="inlineStr"/>
      <c r="H614" s="11" t="inlineStr">
        <is>
          <t>INTERFACE P.O.S.</t>
        </is>
      </c>
      <c r="I614" s="11" t="n">
        <v>273800</v>
      </c>
      <c r="J614" s="11" t="inlineStr"/>
    </row>
    <row r="615">
      <c r="A615" s="11" t="n">
        <v>614</v>
      </c>
      <c r="B615" s="12" t="n">
        <v>46097</v>
      </c>
      <c r="C615" s="11" t="inlineStr">
        <is>
          <t>INTF</t>
        </is>
      </c>
      <c r="D615" s="11" t="inlineStr">
        <is>
          <t>202603</t>
        </is>
      </c>
      <c r="E615" s="11" t="inlineStr">
        <is>
          <t>1112496412</t>
        </is>
      </c>
      <c r="F615" s="11" t="inlineStr">
        <is>
          <t>MEJIA ISABELA</t>
        </is>
      </c>
      <c r="G615" s="11" t="inlineStr"/>
      <c r="H615" s="11" t="inlineStr">
        <is>
          <t>INTERFACE P.O.S.</t>
        </is>
      </c>
      <c r="I615" s="11" t="n">
        <v>414000</v>
      </c>
      <c r="J615" s="11" t="inlineStr"/>
    </row>
    <row r="616">
      <c r="A616" s="11" t="n">
        <v>615</v>
      </c>
      <c r="B616" s="12" t="n">
        <v>46097</v>
      </c>
      <c r="C616" s="11" t="inlineStr">
        <is>
          <t>INTF</t>
        </is>
      </c>
      <c r="D616" s="11" t="inlineStr">
        <is>
          <t>202603</t>
        </is>
      </c>
      <c r="E616" s="11" t="inlineStr">
        <is>
          <t>1006005897</t>
        </is>
      </c>
      <c r="F616" s="11" t="inlineStr">
        <is>
          <t>GUTIERREZ ACOSTA EDI</t>
        </is>
      </c>
      <c r="G616" s="11" t="inlineStr"/>
      <c r="H616" s="11" t="inlineStr">
        <is>
          <t>INTERFACE P.O.S.</t>
        </is>
      </c>
      <c r="I616" s="11" t="n">
        <v>28900</v>
      </c>
      <c r="J616" s="11" t="inlineStr"/>
    </row>
    <row r="617">
      <c r="A617" s="11" t="n">
        <v>616</v>
      </c>
      <c r="B617" s="12" t="n">
        <v>46097</v>
      </c>
      <c r="C617" s="11" t="inlineStr">
        <is>
          <t>INTF</t>
        </is>
      </c>
      <c r="D617" s="11" t="inlineStr">
        <is>
          <t>202603</t>
        </is>
      </c>
      <c r="E617" s="11" t="inlineStr">
        <is>
          <t>27362252</t>
        </is>
      </c>
      <c r="F617" s="11" t="inlineStr">
        <is>
          <t>TIMARAN CHASOY JUDY</t>
        </is>
      </c>
      <c r="G617" s="11" t="inlineStr"/>
      <c r="H617" s="11" t="inlineStr">
        <is>
          <t>INTERFACE P.O.S.</t>
        </is>
      </c>
      <c r="I617" s="11" t="n">
        <v>15000</v>
      </c>
      <c r="J617" s="11" t="inlineStr"/>
    </row>
    <row r="618">
      <c r="A618" s="11" t="n">
        <v>617</v>
      </c>
      <c r="B618" s="12" t="n">
        <v>46097</v>
      </c>
      <c r="C618" s="11" t="inlineStr">
        <is>
          <t>INTF</t>
        </is>
      </c>
      <c r="D618" s="11" t="inlineStr">
        <is>
          <t>202603</t>
        </is>
      </c>
      <c r="E618" s="11" t="inlineStr">
        <is>
          <t>1127077133</t>
        </is>
      </c>
      <c r="F618" s="11" t="inlineStr">
        <is>
          <t>LOPEZ DIAZ CAMIL</t>
        </is>
      </c>
      <c r="G618" s="11" t="inlineStr"/>
      <c r="H618" s="11" t="inlineStr">
        <is>
          <t>INTERFACE P.O.S.</t>
        </is>
      </c>
      <c r="I618" s="11" t="n">
        <v>19600</v>
      </c>
      <c r="J618" s="11" t="inlineStr"/>
    </row>
    <row r="619">
      <c r="A619" s="11" t="n">
        <v>618</v>
      </c>
      <c r="B619" s="12" t="n">
        <v>46097</v>
      </c>
      <c r="C619" s="11" t="inlineStr">
        <is>
          <t>INTF</t>
        </is>
      </c>
      <c r="D619" s="11" t="inlineStr">
        <is>
          <t>202603</t>
        </is>
      </c>
      <c r="E619" s="11" t="inlineStr">
        <is>
          <t>1007328112</t>
        </is>
      </c>
      <c r="F619" s="11" t="inlineStr">
        <is>
          <t>GONSALEZ ORDOÑEZ</t>
        </is>
      </c>
      <c r="G619" s="11" t="inlineStr"/>
      <c r="H619" s="11" t="inlineStr">
        <is>
          <t>INTERFACE P.O.S.</t>
        </is>
      </c>
      <c r="I619" s="11" t="n">
        <v>12000</v>
      </c>
      <c r="J619" s="11" t="inlineStr"/>
    </row>
    <row r="620">
      <c r="A620" s="11" t="n">
        <v>619</v>
      </c>
      <c r="B620" s="12" t="n">
        <v>46097</v>
      </c>
      <c r="C620" s="11" t="inlineStr">
        <is>
          <t>INTF</t>
        </is>
      </c>
      <c r="D620" s="11" t="inlineStr">
        <is>
          <t>202603</t>
        </is>
      </c>
      <c r="E620" s="11" t="inlineStr">
        <is>
          <t>41108212</t>
        </is>
      </c>
      <c r="F620" s="11" t="inlineStr">
        <is>
          <t>ORDOÑEZ BASTIDAS MAR</t>
        </is>
      </c>
      <c r="G620" s="11" t="inlineStr"/>
      <c r="H620" s="11" t="inlineStr">
        <is>
          <t>INTERFACE P.O.S.</t>
        </is>
      </c>
      <c r="I620" s="11" t="n">
        <v>44200</v>
      </c>
      <c r="J620" s="11" t="inlineStr"/>
    </row>
    <row r="621">
      <c r="A621" s="11" t="n">
        <v>620</v>
      </c>
      <c r="B621" s="12" t="n">
        <v>46097</v>
      </c>
      <c r="C621" s="11" t="inlineStr">
        <is>
          <t>INTF</t>
        </is>
      </c>
      <c r="D621" s="11" t="inlineStr">
        <is>
          <t>202603</t>
        </is>
      </c>
      <c r="E621" s="11" t="inlineStr">
        <is>
          <t>1123322612</t>
        </is>
      </c>
      <c r="F621" s="11" t="inlineStr">
        <is>
          <t>SALCEDO ENRIQUEZ MAR</t>
        </is>
      </c>
      <c r="G621" s="11" t="inlineStr"/>
      <c r="H621" s="11" t="inlineStr">
        <is>
          <t>INTERFACE P.O.S.</t>
        </is>
      </c>
      <c r="I621" s="11" t="n">
        <v>25800</v>
      </c>
      <c r="J621" s="11" t="inlineStr"/>
    </row>
    <row r="622">
      <c r="A622" s="11" t="n">
        <v>621</v>
      </c>
      <c r="B622" s="12" t="n">
        <v>46097</v>
      </c>
      <c r="C622" s="11" t="inlineStr">
        <is>
          <t>INTF</t>
        </is>
      </c>
      <c r="D622" s="11" t="inlineStr">
        <is>
          <t>202603</t>
        </is>
      </c>
      <c r="E622" s="11" t="inlineStr">
        <is>
          <t>1124849389</t>
        </is>
      </c>
      <c r="F622" s="11" t="inlineStr">
        <is>
          <t>ERAZO CERON ANA</t>
        </is>
      </c>
      <c r="G622" s="11" t="inlineStr"/>
      <c r="H622" s="11" t="inlineStr">
        <is>
          <t>INTERFACE P.O.S.</t>
        </is>
      </c>
      <c r="I622" s="11" t="n">
        <v>16500</v>
      </c>
      <c r="J622" s="11" t="inlineStr"/>
    </row>
    <row r="623">
      <c r="A623" s="11" t="n">
        <v>622</v>
      </c>
      <c r="B623" s="12" t="n">
        <v>46097</v>
      </c>
      <c r="C623" s="11" t="inlineStr">
        <is>
          <t>INTF</t>
        </is>
      </c>
      <c r="D623" s="11" t="inlineStr">
        <is>
          <t>202603</t>
        </is>
      </c>
      <c r="E623" s="11" t="inlineStr">
        <is>
          <t>1123327003</t>
        </is>
      </c>
      <c r="F623" s="11" t="inlineStr">
        <is>
          <t>BARRAGAN PRADO DIANA</t>
        </is>
      </c>
      <c r="G623" s="11" t="inlineStr"/>
      <c r="H623" s="11" t="inlineStr">
        <is>
          <t>INTERFACE P.O.S.</t>
        </is>
      </c>
      <c r="I623" s="11" t="n">
        <v>15000</v>
      </c>
      <c r="J623" s="11" t="inlineStr"/>
    </row>
    <row r="624">
      <c r="A624" s="11" t="n">
        <v>623</v>
      </c>
      <c r="B624" s="12" t="n">
        <v>46097</v>
      </c>
      <c r="C624" s="11" t="inlineStr">
        <is>
          <t>INTF</t>
        </is>
      </c>
      <c r="D624" s="11" t="inlineStr">
        <is>
          <t>202603</t>
        </is>
      </c>
      <c r="E624" s="11" t="inlineStr">
        <is>
          <t>1123332179</t>
        </is>
      </c>
      <c r="F624" s="11" t="inlineStr">
        <is>
          <t>CORTEZ PABLO</t>
        </is>
      </c>
      <c r="G624" s="11" t="inlineStr"/>
      <c r="H624" s="11" t="inlineStr">
        <is>
          <t>INTERFACE P.O.S.</t>
        </is>
      </c>
      <c r="I624" s="11" t="n">
        <v>17800</v>
      </c>
      <c r="J624" s="11" t="inlineStr"/>
    </row>
    <row r="625">
      <c r="A625" s="11" t="n">
        <v>624</v>
      </c>
      <c r="B625" s="12" t="n">
        <v>46097</v>
      </c>
      <c r="C625" s="11" t="inlineStr">
        <is>
          <t>INTF</t>
        </is>
      </c>
      <c r="D625" s="11" t="inlineStr">
        <is>
          <t>202603</t>
        </is>
      </c>
      <c r="E625" s="11" t="inlineStr">
        <is>
          <t>1090517815</t>
        </is>
      </c>
      <c r="F625" s="11" t="inlineStr">
        <is>
          <t>PEÑALOSA LUNA CA</t>
        </is>
      </c>
      <c r="G625" s="11" t="inlineStr"/>
      <c r="H625" s="11" t="inlineStr">
        <is>
          <t>INTERFACE P.O.S.</t>
        </is>
      </c>
      <c r="I625" s="11" t="n">
        <v>3500</v>
      </c>
      <c r="J625" s="11" t="inlineStr"/>
    </row>
    <row r="626">
      <c r="A626" s="11" t="n">
        <v>625</v>
      </c>
      <c r="B626" s="12" t="n">
        <v>46097</v>
      </c>
      <c r="C626" s="11" t="inlineStr">
        <is>
          <t>INTF</t>
        </is>
      </c>
      <c r="D626" s="11" t="inlineStr">
        <is>
          <t>202603</t>
        </is>
      </c>
      <c r="E626" s="11" t="inlineStr">
        <is>
          <t>1123328955</t>
        </is>
      </c>
      <c r="F626" s="11" t="inlineStr">
        <is>
          <t>GARCIA CHICO LISE</t>
        </is>
      </c>
      <c r="G626" s="11" t="inlineStr"/>
      <c r="H626" s="11" t="inlineStr">
        <is>
          <t>INTERFACE P.O.S.</t>
        </is>
      </c>
      <c r="I626" s="11" t="n">
        <v>18900</v>
      </c>
      <c r="J626" s="11" t="inlineStr"/>
    </row>
    <row r="627">
      <c r="A627" s="11" t="n">
        <v>626</v>
      </c>
      <c r="B627" s="12" t="n">
        <v>46097</v>
      </c>
      <c r="C627" s="11" t="inlineStr">
        <is>
          <t>INTF</t>
        </is>
      </c>
      <c r="D627" s="11" t="inlineStr">
        <is>
          <t>202603</t>
        </is>
      </c>
      <c r="E627" s="11" t="inlineStr">
        <is>
          <t>1006848528</t>
        </is>
      </c>
      <c r="F627" s="11" t="inlineStr">
        <is>
          <t>CHAPUEL CASANOVA ANG</t>
        </is>
      </c>
      <c r="G627" s="11" t="inlineStr"/>
      <c r="H627" s="11" t="inlineStr">
        <is>
          <t>INTERFACE P.O.S.</t>
        </is>
      </c>
      <c r="I627" s="11" t="n">
        <v>22100</v>
      </c>
      <c r="J627" s="11" t="inlineStr"/>
    </row>
    <row r="628">
      <c r="A628" s="11" t="n">
        <v>627</v>
      </c>
      <c r="B628" s="12" t="n">
        <v>46098</v>
      </c>
      <c r="C628" s="11" t="inlineStr">
        <is>
          <t>INTF</t>
        </is>
      </c>
      <c r="D628" s="11" t="inlineStr">
        <is>
          <t>202603</t>
        </is>
      </c>
      <c r="E628" s="11" t="inlineStr">
        <is>
          <t>66956077</t>
        </is>
      </c>
      <c r="F628" s="11" t="inlineStr">
        <is>
          <t>VARGAS GAMBOA DOLY</t>
        </is>
      </c>
      <c r="G628" s="11" t="inlineStr"/>
      <c r="H628" s="11" t="inlineStr">
        <is>
          <t>INTERFACE P.O.S.</t>
        </is>
      </c>
      <c r="I628" s="11" t="n">
        <v>38000</v>
      </c>
      <c r="J628" s="11" t="inlineStr"/>
    </row>
    <row r="629">
      <c r="A629" s="11" t="n">
        <v>628</v>
      </c>
      <c r="B629" s="12" t="n">
        <v>46098</v>
      </c>
      <c r="C629" s="11" t="inlineStr">
        <is>
          <t>INTF</t>
        </is>
      </c>
      <c r="D629" s="11" t="inlineStr">
        <is>
          <t>202603</t>
        </is>
      </c>
      <c r="E629" s="11" t="inlineStr">
        <is>
          <t>1123323769</t>
        </is>
      </c>
      <c r="F629" s="11" t="inlineStr">
        <is>
          <t>CORDERO CORREA DIANA</t>
        </is>
      </c>
      <c r="G629" s="11" t="inlineStr"/>
      <c r="H629" s="11" t="inlineStr">
        <is>
          <t>INTERFACE P.O.S.</t>
        </is>
      </c>
      <c r="I629" s="11" t="n">
        <v>35500</v>
      </c>
      <c r="J629" s="11" t="inlineStr"/>
    </row>
    <row r="630">
      <c r="A630" s="11" t="n">
        <v>629</v>
      </c>
      <c r="B630" s="12" t="n">
        <v>46098</v>
      </c>
      <c r="C630" s="11" t="inlineStr">
        <is>
          <t>INTF</t>
        </is>
      </c>
      <c r="D630" s="11" t="inlineStr">
        <is>
          <t>202603</t>
        </is>
      </c>
      <c r="E630" s="11" t="inlineStr">
        <is>
          <t>13069539</t>
        </is>
      </c>
      <c r="F630" s="11" t="inlineStr">
        <is>
          <t>MANCHABAJOY BENAVIDE</t>
        </is>
      </c>
      <c r="G630" s="11" t="inlineStr"/>
      <c r="H630" s="11" t="inlineStr">
        <is>
          <t>INTERFACE P.O.S.</t>
        </is>
      </c>
      <c r="I630" s="11" t="n">
        <v>30000</v>
      </c>
      <c r="J630" s="11" t="inlineStr"/>
    </row>
    <row r="631">
      <c r="A631" s="11" t="n">
        <v>630</v>
      </c>
      <c r="B631" s="12" t="n">
        <v>46098</v>
      </c>
      <c r="C631" s="11" t="inlineStr">
        <is>
          <t>INTF</t>
        </is>
      </c>
      <c r="D631" s="11" t="inlineStr">
        <is>
          <t>202603</t>
        </is>
      </c>
      <c r="E631" s="11" t="inlineStr">
        <is>
          <t>1006850694</t>
        </is>
      </c>
      <c r="F631" s="11" t="inlineStr">
        <is>
          <t>ROJAS MARTINEZ LIZET</t>
        </is>
      </c>
      <c r="G631" s="11" t="inlineStr"/>
      <c r="H631" s="11" t="inlineStr">
        <is>
          <t>INTERFACE P.O.S.</t>
        </is>
      </c>
      <c r="I631" s="11" t="n">
        <v>44000</v>
      </c>
      <c r="J631" s="11" t="inlineStr"/>
    </row>
    <row r="632">
      <c r="A632" s="11" t="n">
        <v>631</v>
      </c>
      <c r="B632" s="12" t="n">
        <v>46098</v>
      </c>
      <c r="C632" s="11" t="inlineStr">
        <is>
          <t>INTF</t>
        </is>
      </c>
      <c r="D632" s="11" t="inlineStr">
        <is>
          <t>202603</t>
        </is>
      </c>
      <c r="E632" s="11" t="inlineStr">
        <is>
          <t>1123317228</t>
        </is>
      </c>
      <c r="F632" s="11" t="inlineStr">
        <is>
          <t>ESPAÑA PANTOJA NATAL</t>
        </is>
      </c>
      <c r="G632" s="11" t="inlineStr"/>
      <c r="H632" s="11" t="inlineStr">
        <is>
          <t>INTERFACE P.O.S.</t>
        </is>
      </c>
      <c r="I632" s="11" t="n">
        <v>24000</v>
      </c>
      <c r="J632" s="11" t="inlineStr"/>
    </row>
    <row r="633">
      <c r="A633" s="11" t="n">
        <v>632</v>
      </c>
      <c r="B633" s="12" t="n">
        <v>46098</v>
      </c>
      <c r="C633" s="11" t="inlineStr">
        <is>
          <t>INTF</t>
        </is>
      </c>
      <c r="D633" s="11" t="inlineStr">
        <is>
          <t>202603</t>
        </is>
      </c>
      <c r="E633" s="11" t="inlineStr">
        <is>
          <t>1115943396</t>
        </is>
      </c>
      <c r="F633" s="11" t="inlineStr">
        <is>
          <t>FRANCO RUBIANO AZUCE</t>
        </is>
      </c>
      <c r="G633" s="11" t="inlineStr"/>
      <c r="H633" s="11" t="inlineStr">
        <is>
          <t>INTERFACE P.O.S.</t>
        </is>
      </c>
      <c r="I633" s="11" t="n">
        <v>17900</v>
      </c>
      <c r="J633" s="11" t="inlineStr"/>
    </row>
    <row r="634">
      <c r="A634" s="11" t="n">
        <v>633</v>
      </c>
      <c r="B634" s="12" t="n">
        <v>46098</v>
      </c>
      <c r="C634" s="11" t="inlineStr">
        <is>
          <t>INTF</t>
        </is>
      </c>
      <c r="D634" s="11" t="inlineStr">
        <is>
          <t>202603</t>
        </is>
      </c>
      <c r="E634" s="11" t="inlineStr">
        <is>
          <t>1123331679</t>
        </is>
      </c>
      <c r="F634" s="11" t="inlineStr">
        <is>
          <t>ERASO ROSERO NEIBER</t>
        </is>
      </c>
      <c r="G634" s="11" t="inlineStr"/>
      <c r="H634" s="11" t="inlineStr">
        <is>
          <t>INTERFACE P.O.S.</t>
        </is>
      </c>
      <c r="I634" s="11" t="n">
        <v>8800</v>
      </c>
      <c r="J634" s="11" t="inlineStr"/>
    </row>
    <row r="635">
      <c r="A635" s="11" t="n">
        <v>634</v>
      </c>
      <c r="B635" s="12" t="n">
        <v>46098</v>
      </c>
      <c r="C635" s="11" t="inlineStr">
        <is>
          <t>INTF</t>
        </is>
      </c>
      <c r="D635" s="11" t="inlineStr">
        <is>
          <t>202603</t>
        </is>
      </c>
      <c r="E635" s="11" t="inlineStr">
        <is>
          <t>79123819</t>
        </is>
      </c>
      <c r="F635" s="11" t="inlineStr">
        <is>
          <t>PAEZ MANRIQUE JAIME</t>
        </is>
      </c>
      <c r="G635" s="11" t="inlineStr"/>
      <c r="H635" s="11" t="inlineStr">
        <is>
          <t>INTERFACE P.O.S.</t>
        </is>
      </c>
      <c r="I635" s="11" t="n">
        <v>58800</v>
      </c>
      <c r="J635" s="11" t="inlineStr"/>
    </row>
    <row r="636">
      <c r="A636" s="11" t="n">
        <v>635</v>
      </c>
      <c r="B636" s="12" t="n">
        <v>46098</v>
      </c>
      <c r="C636" s="11" t="inlineStr">
        <is>
          <t>INTF</t>
        </is>
      </c>
      <c r="D636" s="11" t="inlineStr">
        <is>
          <t>202603</t>
        </is>
      </c>
      <c r="E636" s="11" t="inlineStr">
        <is>
          <t>1123322773</t>
        </is>
      </c>
      <c r="F636" s="11" t="inlineStr">
        <is>
          <t>MENESES BURBANO LEYD</t>
        </is>
      </c>
      <c r="G636" s="11" t="inlineStr"/>
      <c r="H636" s="11" t="inlineStr">
        <is>
          <t>INTERFACE P.O.S.</t>
        </is>
      </c>
      <c r="I636" s="11" t="n">
        <v>24900</v>
      </c>
      <c r="J636" s="11" t="inlineStr"/>
    </row>
    <row r="637">
      <c r="A637" s="11" t="n">
        <v>636</v>
      </c>
      <c r="B637" s="12" t="n">
        <v>46098</v>
      </c>
      <c r="C637" s="11" t="inlineStr">
        <is>
          <t>INTF</t>
        </is>
      </c>
      <c r="D637" s="11" t="inlineStr">
        <is>
          <t>202603</t>
        </is>
      </c>
      <c r="E637" s="11" t="inlineStr">
        <is>
          <t>69027769</t>
        </is>
      </c>
      <c r="F637" s="11" t="inlineStr">
        <is>
          <t>ALEGRIA NARVAEZ MAGD</t>
        </is>
      </c>
      <c r="G637" s="11" t="inlineStr"/>
      <c r="H637" s="11" t="inlineStr">
        <is>
          <t>INTERFACE P.O.S.</t>
        </is>
      </c>
      <c r="I637" s="11" t="n">
        <v>20100</v>
      </c>
      <c r="J637" s="11" t="inlineStr"/>
    </row>
    <row r="638">
      <c r="A638" s="11" t="n">
        <v>637</v>
      </c>
      <c r="B638" s="12" t="n">
        <v>46098</v>
      </c>
      <c r="C638" s="11" t="inlineStr">
        <is>
          <t>INTF</t>
        </is>
      </c>
      <c r="D638" s="11" t="inlineStr">
        <is>
          <t>202603</t>
        </is>
      </c>
      <c r="E638" s="11" t="inlineStr">
        <is>
          <t>1123331758</t>
        </is>
      </c>
      <c r="F638" s="11" t="inlineStr">
        <is>
          <t>GRAJALES OSORIO DIAN</t>
        </is>
      </c>
      <c r="G638" s="11" t="inlineStr"/>
      <c r="H638" s="11" t="inlineStr">
        <is>
          <t>INTERFACE P.O.S.</t>
        </is>
      </c>
      <c r="I638" s="11" t="n">
        <v>18800</v>
      </c>
      <c r="J638" s="11" t="inlineStr"/>
    </row>
    <row r="639">
      <c r="A639" s="11" t="n">
        <v>638</v>
      </c>
      <c r="B639" s="12" t="n">
        <v>46098</v>
      </c>
      <c r="C639" s="11" t="inlineStr">
        <is>
          <t>INTF</t>
        </is>
      </c>
      <c r="D639" s="11" t="inlineStr">
        <is>
          <t>202603</t>
        </is>
      </c>
      <c r="E639" s="11" t="inlineStr">
        <is>
          <t>22222222222</t>
        </is>
      </c>
      <c r="F639" s="11" t="inlineStr">
        <is>
          <t>CONSUMIDOR FINAL</t>
        </is>
      </c>
      <c r="G639" s="11" t="inlineStr"/>
      <c r="H639" s="11" t="inlineStr">
        <is>
          <t>INTERFACE P.O.S.</t>
        </is>
      </c>
      <c r="I639" s="11" t="n">
        <v>42700</v>
      </c>
      <c r="J639" s="11" t="inlineStr"/>
    </row>
    <row r="640">
      <c r="A640" s="11" t="n">
        <v>639</v>
      </c>
      <c r="B640" s="12" t="n">
        <v>46098</v>
      </c>
      <c r="C640" s="11" t="inlineStr">
        <is>
          <t>INTF</t>
        </is>
      </c>
      <c r="D640" s="11" t="inlineStr">
        <is>
          <t>202603</t>
        </is>
      </c>
      <c r="E640" s="11" t="inlineStr">
        <is>
          <t>1075300641</t>
        </is>
      </c>
      <c r="F640" s="11" t="inlineStr">
        <is>
          <t>MILLAN SOUSA NATALY</t>
        </is>
      </c>
      <c r="G640" s="11" t="inlineStr"/>
      <c r="H640" s="11" t="inlineStr">
        <is>
          <t>INTERFACE P.O.S.</t>
        </is>
      </c>
      <c r="I640" s="11" t="n">
        <v>11400</v>
      </c>
      <c r="J640" s="11" t="inlineStr"/>
    </row>
    <row r="641">
      <c r="A641" s="11" t="n">
        <v>640</v>
      </c>
      <c r="B641" s="12" t="n">
        <v>46098</v>
      </c>
      <c r="C641" s="11" t="inlineStr">
        <is>
          <t>INTF</t>
        </is>
      </c>
      <c r="D641" s="11" t="inlineStr">
        <is>
          <t>202603</t>
        </is>
      </c>
      <c r="E641" s="11" t="inlineStr">
        <is>
          <t>1006997523</t>
        </is>
      </c>
      <c r="F641" s="11" t="inlineStr">
        <is>
          <t>BENAVIDES GUAPUCAL D</t>
        </is>
      </c>
      <c r="G641" s="11" t="inlineStr"/>
      <c r="H641" s="11" t="inlineStr">
        <is>
          <t>INTERFACE P.O.S.</t>
        </is>
      </c>
      <c r="I641" s="11" t="n">
        <v>10620</v>
      </c>
      <c r="J641" s="11" t="inlineStr"/>
    </row>
    <row r="642">
      <c r="A642" s="11" t="n">
        <v>641</v>
      </c>
      <c r="B642" s="12" t="n">
        <v>46098</v>
      </c>
      <c r="C642" s="11" t="inlineStr">
        <is>
          <t>INTF</t>
        </is>
      </c>
      <c r="D642" s="11" t="inlineStr">
        <is>
          <t>202603</t>
        </is>
      </c>
      <c r="E642" s="11" t="inlineStr">
        <is>
          <t>1004616648</t>
        </is>
      </c>
      <c r="F642" s="11" t="inlineStr">
        <is>
          <t>RAMIREZ RODRIGUEZ NA</t>
        </is>
      </c>
      <c r="G642" s="11" t="inlineStr"/>
      <c r="H642" s="11" t="inlineStr">
        <is>
          <t>INTERFACE P.O.S.</t>
        </is>
      </c>
      <c r="I642" s="11" t="n">
        <v>22000</v>
      </c>
      <c r="J642" s="11" t="inlineStr"/>
    </row>
    <row r="643">
      <c r="A643" s="11" t="n">
        <v>642</v>
      </c>
      <c r="B643" s="12" t="n">
        <v>46098</v>
      </c>
      <c r="C643" s="11" t="inlineStr">
        <is>
          <t>INTF</t>
        </is>
      </c>
      <c r="D643" s="11" t="inlineStr">
        <is>
          <t>202603</t>
        </is>
      </c>
      <c r="E643" s="11" t="inlineStr">
        <is>
          <t>1123322938</t>
        </is>
      </c>
      <c r="F643" s="11" t="inlineStr">
        <is>
          <t>JOSA ROSALES YURY YO</t>
        </is>
      </c>
      <c r="G643" s="11" t="inlineStr"/>
      <c r="H643" s="11" t="inlineStr">
        <is>
          <t>INTERFACE P.O.S.</t>
        </is>
      </c>
      <c r="I643" s="11" t="n">
        <v>21200</v>
      </c>
      <c r="J643" s="11" t="inlineStr"/>
    </row>
    <row r="644">
      <c r="A644" s="11" t="n">
        <v>643</v>
      </c>
      <c r="B644" s="12" t="n">
        <v>46098</v>
      </c>
      <c r="C644" s="11" t="inlineStr">
        <is>
          <t>INTF</t>
        </is>
      </c>
      <c r="D644" s="11" t="inlineStr">
        <is>
          <t>202603</t>
        </is>
      </c>
      <c r="E644" s="11" t="inlineStr">
        <is>
          <t>1123324128</t>
        </is>
      </c>
      <c r="F644" s="11" t="inlineStr">
        <is>
          <t>MARTINEZ MUÑOZ MARIA</t>
        </is>
      </c>
      <c r="G644" s="11" t="inlineStr"/>
      <c r="H644" s="11" t="inlineStr">
        <is>
          <t>INTERFACE P.O.S.</t>
        </is>
      </c>
      <c r="I644" s="11" t="n">
        <v>26800</v>
      </c>
      <c r="J644" s="11" t="inlineStr"/>
    </row>
    <row r="645">
      <c r="A645" s="11" t="n">
        <v>644</v>
      </c>
      <c r="B645" s="12" t="n">
        <v>46098</v>
      </c>
      <c r="C645" s="11" t="inlineStr">
        <is>
          <t>INTF</t>
        </is>
      </c>
      <c r="D645" s="11" t="inlineStr">
        <is>
          <t>202603</t>
        </is>
      </c>
      <c r="E645" s="11" t="inlineStr">
        <is>
          <t>18145192</t>
        </is>
      </c>
      <c r="F645" s="11" t="inlineStr">
        <is>
          <t>JARAMILLO CORTEZ OMA</t>
        </is>
      </c>
      <c r="G645" s="11" t="inlineStr"/>
      <c r="H645" s="11" t="inlineStr">
        <is>
          <t>INTERFACE P.O.S.</t>
        </is>
      </c>
      <c r="I645" s="11" t="n">
        <v>6500</v>
      </c>
      <c r="J645" s="11" t="inlineStr"/>
    </row>
    <row r="646">
      <c r="A646" s="11" t="n">
        <v>645</v>
      </c>
      <c r="B646" s="12" t="n">
        <v>46098</v>
      </c>
      <c r="C646" s="11" t="inlineStr">
        <is>
          <t>INTF</t>
        </is>
      </c>
      <c r="D646" s="11" t="inlineStr">
        <is>
          <t>202603</t>
        </is>
      </c>
      <c r="E646" s="11" t="inlineStr">
        <is>
          <t>52890583</t>
        </is>
      </c>
      <c r="F646" s="11" t="inlineStr">
        <is>
          <t>MORA RUALES NURY ADR</t>
        </is>
      </c>
      <c r="G646" s="11" t="inlineStr"/>
      <c r="H646" s="11" t="inlineStr">
        <is>
          <t>INTERFACE P.O.S.</t>
        </is>
      </c>
      <c r="I646" s="11" t="n">
        <v>112000</v>
      </c>
      <c r="J646" s="11" t="inlineStr"/>
    </row>
    <row r="647">
      <c r="A647" s="11" t="n">
        <v>646</v>
      </c>
      <c r="B647" s="12" t="n">
        <v>46098</v>
      </c>
      <c r="C647" s="11" t="inlineStr">
        <is>
          <t>INTF</t>
        </is>
      </c>
      <c r="D647" s="11" t="inlineStr">
        <is>
          <t>202603</t>
        </is>
      </c>
      <c r="E647" s="11" t="inlineStr">
        <is>
          <t>1123328687</t>
        </is>
      </c>
      <c r="F647" s="11" t="inlineStr">
        <is>
          <t>BASTIDAS PAPA BEYDI</t>
        </is>
      </c>
      <c r="G647" s="11" t="inlineStr"/>
      <c r="H647" s="11" t="inlineStr">
        <is>
          <t>INTERFACE P.O.S.</t>
        </is>
      </c>
      <c r="I647" s="11" t="n">
        <v>19000</v>
      </c>
      <c r="J647" s="11" t="inlineStr"/>
    </row>
    <row r="648">
      <c r="A648" s="11" t="n">
        <v>647</v>
      </c>
      <c r="B648" s="12" t="n">
        <v>46098</v>
      </c>
      <c r="C648" s="11" t="inlineStr">
        <is>
          <t>INTF</t>
        </is>
      </c>
      <c r="D648" s="11" t="inlineStr">
        <is>
          <t>202603</t>
        </is>
      </c>
      <c r="E648" s="11" t="inlineStr">
        <is>
          <t>1123335060</t>
        </is>
      </c>
      <c r="F648" s="11" t="inlineStr">
        <is>
          <t>CORDOBA CUASIALPUD E</t>
        </is>
      </c>
      <c r="G648" s="11" t="inlineStr"/>
      <c r="H648" s="11" t="inlineStr">
        <is>
          <t>INTERFACE P.O.S.</t>
        </is>
      </c>
      <c r="I648" s="11" t="n">
        <v>3000</v>
      </c>
      <c r="J648" s="11" t="inlineStr"/>
    </row>
    <row r="649">
      <c r="A649" s="11" t="n">
        <v>648</v>
      </c>
      <c r="B649" s="12" t="n">
        <v>46098</v>
      </c>
      <c r="C649" s="11" t="inlineStr">
        <is>
          <t>INTF</t>
        </is>
      </c>
      <c r="D649" s="11" t="inlineStr">
        <is>
          <t>202603</t>
        </is>
      </c>
      <c r="E649" s="11" t="inlineStr">
        <is>
          <t>1123325938</t>
        </is>
      </c>
      <c r="F649" s="11" t="inlineStr">
        <is>
          <t>VELEZ ROBLES CRISTHI</t>
        </is>
      </c>
      <c r="G649" s="11" t="inlineStr"/>
      <c r="H649" s="11" t="inlineStr">
        <is>
          <t>INTERFACE P.O.S.</t>
        </is>
      </c>
      <c r="I649" s="11" t="n">
        <v>48400</v>
      </c>
      <c r="J649" s="11" t="inlineStr"/>
    </row>
    <row r="650">
      <c r="A650" s="11" t="n">
        <v>649</v>
      </c>
      <c r="B650" s="12" t="n">
        <v>46098</v>
      </c>
      <c r="C650" s="11" t="inlineStr">
        <is>
          <t>INTF</t>
        </is>
      </c>
      <c r="D650" s="11" t="inlineStr">
        <is>
          <t>202603</t>
        </is>
      </c>
      <c r="E650" s="11" t="inlineStr">
        <is>
          <t>1123329776</t>
        </is>
      </c>
      <c r="F650" s="11" t="inlineStr">
        <is>
          <t>PATIÑO ADRIANA YUBEL</t>
        </is>
      </c>
      <c r="G650" s="11" t="inlineStr"/>
      <c r="H650" s="11" t="inlineStr">
        <is>
          <t>INTERFACE P.O.S.</t>
        </is>
      </c>
      <c r="I650" s="11" t="n">
        <v>15800</v>
      </c>
      <c r="J650" s="11" t="inlineStr"/>
    </row>
    <row r="651">
      <c r="A651" s="11" t="n">
        <v>650</v>
      </c>
      <c r="B651" s="12" t="n">
        <v>46098</v>
      </c>
      <c r="C651" s="11" t="inlineStr">
        <is>
          <t>INTF</t>
        </is>
      </c>
      <c r="D651" s="11" t="inlineStr">
        <is>
          <t>202603</t>
        </is>
      </c>
      <c r="E651" s="11" t="inlineStr">
        <is>
          <t>1147954855</t>
        </is>
      </c>
      <c r="F651" s="11" t="inlineStr">
        <is>
          <t>VARGAS VELAZCO INGRI</t>
        </is>
      </c>
      <c r="G651" s="11" t="inlineStr"/>
      <c r="H651" s="11" t="inlineStr">
        <is>
          <t>INTERFACE P.O.S.</t>
        </is>
      </c>
      <c r="I651" s="11" t="n">
        <v>17500</v>
      </c>
      <c r="J651" s="11" t="inlineStr"/>
    </row>
    <row r="652">
      <c r="A652" s="11" t="n">
        <v>651</v>
      </c>
      <c r="B652" s="12" t="n">
        <v>46098</v>
      </c>
      <c r="C652" s="11" t="inlineStr">
        <is>
          <t>INTF</t>
        </is>
      </c>
      <c r="D652" s="11" t="inlineStr">
        <is>
          <t>202603</t>
        </is>
      </c>
      <c r="E652" s="11" t="inlineStr">
        <is>
          <t>59831372</t>
        </is>
      </c>
      <c r="F652" s="11" t="inlineStr">
        <is>
          <t>CASTILLO CORRALES SI</t>
        </is>
      </c>
      <c r="G652" s="11" t="inlineStr"/>
      <c r="H652" s="11" t="inlineStr">
        <is>
          <t>INTERFACE P.O.S.</t>
        </is>
      </c>
      <c r="I652" s="11" t="n">
        <v>3000</v>
      </c>
      <c r="J652" s="11" t="inlineStr"/>
    </row>
    <row r="653">
      <c r="A653" s="11" t="n">
        <v>652</v>
      </c>
      <c r="B653" s="12" t="n">
        <v>46098</v>
      </c>
      <c r="C653" s="11" t="inlineStr">
        <is>
          <t>INTF</t>
        </is>
      </c>
      <c r="D653" s="11" t="inlineStr">
        <is>
          <t>202603</t>
        </is>
      </c>
      <c r="E653" s="11" t="inlineStr">
        <is>
          <t>1085283733</t>
        </is>
      </c>
      <c r="F653" s="11" t="inlineStr">
        <is>
          <t>CAICEDO BOLAÑOS ANA</t>
        </is>
      </c>
      <c r="G653" s="11" t="inlineStr"/>
      <c r="H653" s="11" t="inlineStr">
        <is>
          <t>INTERFACE P.O.S.</t>
        </is>
      </c>
      <c r="I653" s="11" t="n">
        <v>32800</v>
      </c>
      <c r="J653" s="11" t="inlineStr"/>
    </row>
    <row r="654">
      <c r="A654" s="11" t="n">
        <v>653</v>
      </c>
      <c r="B654" s="12" t="n">
        <v>46098</v>
      </c>
      <c r="C654" s="11" t="inlineStr">
        <is>
          <t>INTF</t>
        </is>
      </c>
      <c r="D654" s="11" t="inlineStr">
        <is>
          <t>202603</t>
        </is>
      </c>
      <c r="E654" s="11" t="inlineStr">
        <is>
          <t>1123323618</t>
        </is>
      </c>
      <c r="F654" s="11" t="inlineStr">
        <is>
          <t>NOGERA CAROLINA</t>
        </is>
      </c>
      <c r="G654" s="11" t="inlineStr"/>
      <c r="H654" s="11" t="inlineStr">
        <is>
          <t>INTERFACE P.O.S.</t>
        </is>
      </c>
      <c r="I654" s="11" t="n">
        <v>9400</v>
      </c>
      <c r="J654" s="11" t="inlineStr"/>
    </row>
    <row r="655">
      <c r="A655" s="11" t="n">
        <v>654</v>
      </c>
      <c r="B655" s="12" t="n">
        <v>46098</v>
      </c>
      <c r="C655" s="11" t="inlineStr">
        <is>
          <t>INTF</t>
        </is>
      </c>
      <c r="D655" s="11" t="inlineStr">
        <is>
          <t>202603</t>
        </is>
      </c>
      <c r="E655" s="11" t="inlineStr">
        <is>
          <t>1122783591</t>
        </is>
      </c>
      <c r="F655" s="11" t="inlineStr">
        <is>
          <t>MORA BENAVIDES DIEGO</t>
        </is>
      </c>
      <c r="G655" s="11" t="inlineStr"/>
      <c r="H655" s="11" t="inlineStr">
        <is>
          <t>INTERFACE P.O.S.</t>
        </is>
      </c>
      <c r="I655" s="11" t="n">
        <v>6400</v>
      </c>
      <c r="J655" s="11" t="inlineStr"/>
    </row>
    <row r="656">
      <c r="A656" s="11" t="n">
        <v>655</v>
      </c>
      <c r="B656" s="12" t="n">
        <v>46098</v>
      </c>
      <c r="C656" s="11" t="inlineStr">
        <is>
          <t>INTF</t>
        </is>
      </c>
      <c r="D656" s="11" t="inlineStr">
        <is>
          <t>202603</t>
        </is>
      </c>
      <c r="E656" s="11" t="inlineStr">
        <is>
          <t>1130144391</t>
        </is>
      </c>
      <c r="F656" s="11" t="inlineStr">
        <is>
          <t>ZAMBRANO RIVERA JUAN</t>
        </is>
      </c>
      <c r="G656" s="11" t="inlineStr"/>
      <c r="H656" s="11" t="inlineStr">
        <is>
          <t>INTERFACE P.O.S.</t>
        </is>
      </c>
      <c r="I656" s="11" t="n">
        <v>15500</v>
      </c>
      <c r="J656" s="11" t="inlineStr"/>
    </row>
    <row r="657">
      <c r="A657" s="11" t="n">
        <v>656</v>
      </c>
      <c r="B657" s="12" t="n">
        <v>46098</v>
      </c>
      <c r="C657" s="11" t="inlineStr">
        <is>
          <t>INTF</t>
        </is>
      </c>
      <c r="D657" s="11" t="inlineStr">
        <is>
          <t>202603</t>
        </is>
      </c>
      <c r="E657" s="11" t="inlineStr">
        <is>
          <t>98384798</t>
        </is>
      </c>
      <c r="F657" s="11" t="inlineStr">
        <is>
          <t>GUACALES ROSAS JORJ</t>
        </is>
      </c>
      <c r="G657" s="11" t="inlineStr"/>
      <c r="H657" s="11" t="inlineStr">
        <is>
          <t>INTERFACE P.O.S.</t>
        </is>
      </c>
      <c r="I657" s="11" t="n">
        <v>27100</v>
      </c>
      <c r="J657" s="11" t="inlineStr"/>
    </row>
    <row r="658">
      <c r="A658" s="11" t="n">
        <v>657</v>
      </c>
      <c r="B658" s="12" t="n">
        <v>46098</v>
      </c>
      <c r="C658" s="11" t="inlineStr">
        <is>
          <t>INTF</t>
        </is>
      </c>
      <c r="D658" s="11" t="inlineStr">
        <is>
          <t>202603</t>
        </is>
      </c>
      <c r="E658" s="11" t="inlineStr">
        <is>
          <t>1123325945</t>
        </is>
      </c>
      <c r="F658" s="11" t="inlineStr">
        <is>
          <t>GUERRERO RIVADENEIRA</t>
        </is>
      </c>
      <c r="G658" s="11" t="inlineStr"/>
      <c r="H658" s="11" t="inlineStr">
        <is>
          <t>INTERFACE P.O.S.</t>
        </is>
      </c>
      <c r="I658" s="11" t="n">
        <v>15700</v>
      </c>
      <c r="J658" s="11" t="inlineStr"/>
    </row>
    <row r="659">
      <c r="A659" s="11" t="n">
        <v>658</v>
      </c>
      <c r="B659" s="12" t="n">
        <v>46098</v>
      </c>
      <c r="C659" s="11" t="inlineStr">
        <is>
          <t>INTF</t>
        </is>
      </c>
      <c r="D659" s="11" t="inlineStr">
        <is>
          <t>202603</t>
        </is>
      </c>
      <c r="E659" s="11" t="inlineStr">
        <is>
          <t>1123205867</t>
        </is>
      </c>
      <c r="F659" s="11" t="inlineStr">
        <is>
          <t>CABEZAS CORREA KAREN</t>
        </is>
      </c>
      <c r="G659" s="11" t="inlineStr"/>
      <c r="H659" s="11" t="inlineStr">
        <is>
          <t>INTERFACE P.O.S.</t>
        </is>
      </c>
      <c r="I659" s="11" t="n">
        <v>8100</v>
      </c>
      <c r="J659" s="11" t="inlineStr"/>
    </row>
    <row r="660">
      <c r="A660" s="11" t="n">
        <v>659</v>
      </c>
      <c r="B660" s="12" t="n">
        <v>46098</v>
      </c>
      <c r="C660" s="11" t="inlineStr">
        <is>
          <t>INTF</t>
        </is>
      </c>
      <c r="D660" s="11" t="inlineStr">
        <is>
          <t>202603</t>
        </is>
      </c>
      <c r="E660" s="11" t="inlineStr">
        <is>
          <t>1122340176</t>
        </is>
      </c>
      <c r="F660" s="11" t="inlineStr">
        <is>
          <t>MATABANCHOY MENESES</t>
        </is>
      </c>
      <c r="G660" s="11" t="inlineStr"/>
      <c r="H660" s="11" t="inlineStr">
        <is>
          <t>INTERFACE P.O.S.</t>
        </is>
      </c>
      <c r="I660" s="11" t="n">
        <v>23500</v>
      </c>
      <c r="J660" s="11" t="inlineStr"/>
    </row>
    <row r="661">
      <c r="A661" s="11" t="n">
        <v>660</v>
      </c>
      <c r="B661" s="12" t="n">
        <v>46098</v>
      </c>
      <c r="C661" s="11" t="inlineStr">
        <is>
          <t>INTF</t>
        </is>
      </c>
      <c r="D661" s="11" t="inlineStr">
        <is>
          <t>202603</t>
        </is>
      </c>
      <c r="E661" s="11" t="inlineStr">
        <is>
          <t>1122725257</t>
        </is>
      </c>
      <c r="F661" s="11" t="inlineStr">
        <is>
          <t>MARROQUIN NOFUYA KAR</t>
        </is>
      </c>
      <c r="G661" s="11" t="inlineStr"/>
      <c r="H661" s="11" t="inlineStr">
        <is>
          <t>INTERFACE P.O.S.</t>
        </is>
      </c>
      <c r="I661" s="11" t="n">
        <v>9400</v>
      </c>
      <c r="J661" s="11" t="inlineStr"/>
    </row>
    <row r="662">
      <c r="A662" s="11" t="n">
        <v>661</v>
      </c>
      <c r="B662" s="12" t="n">
        <v>46098</v>
      </c>
      <c r="C662" s="11" t="inlineStr">
        <is>
          <t>INTF</t>
        </is>
      </c>
      <c r="D662" s="11" t="inlineStr">
        <is>
          <t>202603</t>
        </is>
      </c>
      <c r="E662" s="11" t="inlineStr">
        <is>
          <t>1123328228</t>
        </is>
      </c>
      <c r="F662" s="11" t="inlineStr">
        <is>
          <t>MERCHAN BRAVO CARLOS</t>
        </is>
      </c>
      <c r="G662" s="11" t="inlineStr"/>
      <c r="H662" s="11" t="inlineStr">
        <is>
          <t>INTERFACE P.O.S.</t>
        </is>
      </c>
      <c r="I662" s="11" t="n">
        <v>9100</v>
      </c>
      <c r="J662" s="11" t="inlineStr"/>
    </row>
    <row r="663">
      <c r="A663" s="11" t="n">
        <v>662</v>
      </c>
      <c r="B663" s="12" t="n">
        <v>46098</v>
      </c>
      <c r="C663" s="11" t="inlineStr">
        <is>
          <t>INTF</t>
        </is>
      </c>
      <c r="D663" s="11" t="inlineStr">
        <is>
          <t>202603</t>
        </is>
      </c>
      <c r="E663" s="11" t="inlineStr">
        <is>
          <t>1006843562</t>
        </is>
      </c>
      <c r="F663" s="11" t="inlineStr">
        <is>
          <t>BUITRON GARCIA MELIS</t>
        </is>
      </c>
      <c r="G663" s="11" t="inlineStr"/>
      <c r="H663" s="11" t="inlineStr">
        <is>
          <t>INTERFACE P.O.S.</t>
        </is>
      </c>
      <c r="I663" s="11" t="n">
        <v>25600</v>
      </c>
      <c r="J663" s="11" t="inlineStr"/>
    </row>
    <row r="664">
      <c r="A664" s="11" t="n">
        <v>663</v>
      </c>
      <c r="B664" s="12" t="n">
        <v>46098</v>
      </c>
      <c r="C664" s="11" t="inlineStr">
        <is>
          <t>INTF</t>
        </is>
      </c>
      <c r="D664" s="11" t="inlineStr">
        <is>
          <t>202603</t>
        </is>
      </c>
      <c r="E664" s="11" t="inlineStr">
        <is>
          <t>1069732823</t>
        </is>
      </c>
      <c r="F664" s="11" t="inlineStr">
        <is>
          <t>MARIN URREA CRISTIAN</t>
        </is>
      </c>
      <c r="G664" s="11" t="inlineStr"/>
      <c r="H664" s="11" t="inlineStr">
        <is>
          <t>INTERFACE P.O.S.</t>
        </is>
      </c>
      <c r="I664" s="11" t="n">
        <v>3500</v>
      </c>
      <c r="J664" s="11" t="inlineStr"/>
    </row>
    <row r="665">
      <c r="A665" s="11" t="n">
        <v>664</v>
      </c>
      <c r="B665" s="12" t="n">
        <v>46098</v>
      </c>
      <c r="C665" s="11" t="inlineStr">
        <is>
          <t>INTF</t>
        </is>
      </c>
      <c r="D665" s="11" t="inlineStr">
        <is>
          <t>202603</t>
        </is>
      </c>
      <c r="E665" s="11" t="inlineStr">
        <is>
          <t>1087076468</t>
        </is>
      </c>
      <c r="F665" s="11" t="inlineStr">
        <is>
          <t>CORTEZ PAI TATIANA E</t>
        </is>
      </c>
      <c r="G665" s="11" t="inlineStr"/>
      <c r="H665" s="11" t="inlineStr">
        <is>
          <t>INTERFACE P.O.S.</t>
        </is>
      </c>
      <c r="I665" s="11" t="n">
        <v>11800</v>
      </c>
      <c r="J665" s="11" t="inlineStr"/>
    </row>
    <row r="666">
      <c r="A666" s="11" t="n">
        <v>665</v>
      </c>
      <c r="B666" s="12" t="n">
        <v>46099</v>
      </c>
      <c r="C666" s="11" t="inlineStr">
        <is>
          <t>INTF</t>
        </is>
      </c>
      <c r="D666" s="11" t="inlineStr">
        <is>
          <t>202603</t>
        </is>
      </c>
      <c r="E666" s="11" t="inlineStr">
        <is>
          <t>1086329255</t>
        </is>
      </c>
      <c r="F666" s="11" t="inlineStr">
        <is>
          <t>ERAZO CUARAN MARWIN</t>
        </is>
      </c>
      <c r="G666" s="11" t="inlineStr"/>
      <c r="H666" s="11" t="inlineStr">
        <is>
          <t>INTERFACE P.O.S.</t>
        </is>
      </c>
      <c r="I666" s="11" t="n">
        <v>29000</v>
      </c>
      <c r="J666" s="11" t="inlineStr"/>
    </row>
    <row r="667">
      <c r="A667" s="11" t="n">
        <v>666</v>
      </c>
      <c r="B667" s="12" t="n">
        <v>46099</v>
      </c>
      <c r="C667" s="11" t="inlineStr">
        <is>
          <t>INTF</t>
        </is>
      </c>
      <c r="D667" s="11" t="inlineStr">
        <is>
          <t>202603</t>
        </is>
      </c>
      <c r="E667" s="11" t="inlineStr">
        <is>
          <t>1123328832</t>
        </is>
      </c>
      <c r="F667" s="11" t="inlineStr">
        <is>
          <t>FIGUEROA MAFLA JHONN</t>
        </is>
      </c>
      <c r="G667" s="11" t="inlineStr"/>
      <c r="H667" s="11" t="inlineStr">
        <is>
          <t>INTERFACE P.O.S.</t>
        </is>
      </c>
      <c r="I667" s="11" t="n">
        <v>23500</v>
      </c>
      <c r="J667" s="11" t="inlineStr"/>
    </row>
    <row r="668">
      <c r="A668" s="11" t="n">
        <v>667</v>
      </c>
      <c r="B668" s="12" t="n">
        <v>46099</v>
      </c>
      <c r="C668" s="11" t="inlineStr">
        <is>
          <t>INTF</t>
        </is>
      </c>
      <c r="D668" s="11" t="inlineStr">
        <is>
          <t>202603</t>
        </is>
      </c>
      <c r="E668" s="11" t="inlineStr">
        <is>
          <t>41109458</t>
        </is>
      </c>
      <c r="F668" s="11" t="inlineStr">
        <is>
          <t>MARTINEZ FLORALBA</t>
        </is>
      </c>
      <c r="G668" s="11" t="inlineStr"/>
      <c r="H668" s="11" t="inlineStr">
        <is>
          <t>INTERFACE P.O.S.</t>
        </is>
      </c>
      <c r="I668" s="11" t="n">
        <v>49400</v>
      </c>
      <c r="J668" s="11" t="inlineStr"/>
    </row>
    <row r="669">
      <c r="A669" s="11" t="n">
        <v>668</v>
      </c>
      <c r="B669" s="12" t="n">
        <v>46099</v>
      </c>
      <c r="C669" s="11" t="inlineStr">
        <is>
          <t>INTF</t>
        </is>
      </c>
      <c r="D669" s="11" t="inlineStr">
        <is>
          <t>202603</t>
        </is>
      </c>
      <c r="E669" s="11" t="inlineStr">
        <is>
          <t>13069539</t>
        </is>
      </c>
      <c r="F669" s="11" t="inlineStr">
        <is>
          <t>MANCHABAJOY BENAVIDE</t>
        </is>
      </c>
      <c r="G669" s="11" t="inlineStr"/>
      <c r="H669" s="11" t="inlineStr">
        <is>
          <t>INTERFACE P.O.S.</t>
        </is>
      </c>
      <c r="I669" s="11" t="n">
        <v>46400</v>
      </c>
      <c r="J669" s="11" t="inlineStr"/>
    </row>
    <row r="670">
      <c r="A670" s="11" t="n">
        <v>669</v>
      </c>
      <c r="B670" s="12" t="n">
        <v>46099</v>
      </c>
      <c r="C670" s="11" t="inlineStr">
        <is>
          <t>INTF</t>
        </is>
      </c>
      <c r="D670" s="11" t="inlineStr">
        <is>
          <t>202603</t>
        </is>
      </c>
      <c r="E670" s="11" t="inlineStr">
        <is>
          <t>1123328106</t>
        </is>
      </c>
      <c r="F670" s="11" t="inlineStr">
        <is>
          <t>NUPAN PESILLO JEFFER</t>
        </is>
      </c>
      <c r="G670" s="11" t="inlineStr"/>
      <c r="H670" s="11" t="inlineStr">
        <is>
          <t>INTERFACE P.O.S.</t>
        </is>
      </c>
      <c r="I670" s="11" t="n">
        <v>16900</v>
      </c>
      <c r="J670" s="11" t="inlineStr"/>
    </row>
    <row r="671">
      <c r="A671" s="11" t="n">
        <v>670</v>
      </c>
      <c r="B671" s="12" t="n">
        <v>46099</v>
      </c>
      <c r="C671" s="11" t="inlineStr">
        <is>
          <t>INTF</t>
        </is>
      </c>
      <c r="D671" s="11" t="inlineStr">
        <is>
          <t>202603</t>
        </is>
      </c>
      <c r="E671" s="11" t="inlineStr">
        <is>
          <t>7722256</t>
        </is>
      </c>
      <c r="F671" s="11" t="inlineStr">
        <is>
          <t>SEGURA VARGAS ANDRES</t>
        </is>
      </c>
      <c r="G671" s="11" t="inlineStr"/>
      <c r="H671" s="11" t="inlineStr">
        <is>
          <t>INTERFACE P.O.S.</t>
        </is>
      </c>
      <c r="I671" s="11" t="n">
        <v>44140</v>
      </c>
      <c r="J671" s="11" t="inlineStr"/>
    </row>
    <row r="672">
      <c r="A672" s="11" t="n">
        <v>671</v>
      </c>
      <c r="B672" s="12" t="n">
        <v>46099</v>
      </c>
      <c r="C672" s="11" t="inlineStr">
        <is>
          <t>INTF</t>
        </is>
      </c>
      <c r="D672" s="11" t="inlineStr">
        <is>
          <t>202603</t>
        </is>
      </c>
      <c r="E672" s="11" t="inlineStr">
        <is>
          <t>1123324247</t>
        </is>
      </c>
      <c r="F672" s="11" t="inlineStr">
        <is>
          <t>GONZALEZ FORERO JENN</t>
        </is>
      </c>
      <c r="G672" s="11" t="inlineStr"/>
      <c r="H672" s="11" t="inlineStr">
        <is>
          <t>INTERFACE P.O.S.</t>
        </is>
      </c>
      <c r="I672" s="11" t="n">
        <v>15000</v>
      </c>
      <c r="J672" s="11" t="inlineStr"/>
    </row>
    <row r="673">
      <c r="A673" s="11" t="n">
        <v>672</v>
      </c>
      <c r="B673" s="12" t="n">
        <v>46099</v>
      </c>
      <c r="C673" s="11" t="inlineStr">
        <is>
          <t>INTF</t>
        </is>
      </c>
      <c r="D673" s="11" t="inlineStr">
        <is>
          <t>202603</t>
        </is>
      </c>
      <c r="E673" s="11" t="inlineStr">
        <is>
          <t>1007548785</t>
        </is>
      </c>
      <c r="F673" s="11" t="inlineStr">
        <is>
          <t>YEPES SOLARTE LAURA</t>
        </is>
      </c>
      <c r="G673" s="11" t="inlineStr"/>
      <c r="H673" s="11" t="inlineStr">
        <is>
          <t>INTERFACE P.O.S.</t>
        </is>
      </c>
      <c r="I673" s="11" t="n">
        <v>28100</v>
      </c>
      <c r="J673" s="11" t="inlineStr"/>
    </row>
    <row r="674">
      <c r="A674" s="11" t="n">
        <v>673</v>
      </c>
      <c r="B674" s="12" t="n">
        <v>46099</v>
      </c>
      <c r="C674" s="11" t="inlineStr">
        <is>
          <t>INTF</t>
        </is>
      </c>
      <c r="D674" s="11" t="inlineStr">
        <is>
          <t>202603</t>
        </is>
      </c>
      <c r="E674" s="11" t="inlineStr">
        <is>
          <t>1006999101</t>
        </is>
      </c>
      <c r="F674" s="11" t="inlineStr">
        <is>
          <t>PANTOJA LOPEZ ANYI A</t>
        </is>
      </c>
      <c r="G674" s="11" t="inlineStr"/>
      <c r="H674" s="11" t="inlineStr">
        <is>
          <t>INTERFACE P.O.S.</t>
        </is>
      </c>
      <c r="I674" s="11" t="n">
        <v>9200</v>
      </c>
      <c r="J674" s="11" t="inlineStr"/>
    </row>
    <row r="675">
      <c r="A675" s="11" t="n">
        <v>674</v>
      </c>
      <c r="B675" s="12" t="n">
        <v>46099</v>
      </c>
      <c r="C675" s="11" t="inlineStr">
        <is>
          <t>INTF</t>
        </is>
      </c>
      <c r="D675" s="11" t="inlineStr">
        <is>
          <t>202603</t>
        </is>
      </c>
      <c r="E675" s="11" t="inlineStr">
        <is>
          <t>1086133157</t>
        </is>
      </c>
      <c r="F675" s="11" t="inlineStr">
        <is>
          <t>LEITON OBANDO JHUDYT</t>
        </is>
      </c>
      <c r="G675" s="11" t="inlineStr"/>
      <c r="H675" s="11" t="inlineStr">
        <is>
          <t>INTERFACE P.O.S.</t>
        </is>
      </c>
      <c r="I675" s="11" t="n">
        <v>76300</v>
      </c>
      <c r="J675" s="11" t="inlineStr"/>
    </row>
    <row r="676">
      <c r="A676" s="11" t="n">
        <v>675</v>
      </c>
      <c r="B676" s="12" t="n">
        <v>46099</v>
      </c>
      <c r="C676" s="11" t="inlineStr">
        <is>
          <t>INTF</t>
        </is>
      </c>
      <c r="D676" s="11" t="inlineStr">
        <is>
          <t>202603</t>
        </is>
      </c>
      <c r="E676" s="11" t="inlineStr">
        <is>
          <t>1143929486</t>
        </is>
      </c>
      <c r="F676" s="11" t="inlineStr">
        <is>
          <t>MEZA FERNANDEZ CLAUD</t>
        </is>
      </c>
      <c r="G676" s="11" t="inlineStr"/>
      <c r="H676" s="11" t="inlineStr">
        <is>
          <t>INTERFACE P.O.S.</t>
        </is>
      </c>
      <c r="I676" s="11" t="n">
        <v>10500</v>
      </c>
      <c r="J676" s="11" t="inlineStr"/>
    </row>
    <row r="677">
      <c r="A677" s="11" t="n">
        <v>676</v>
      </c>
      <c r="B677" s="12" t="n">
        <v>46099</v>
      </c>
      <c r="C677" s="11" t="inlineStr">
        <is>
          <t>INTF</t>
        </is>
      </c>
      <c r="D677" s="11" t="inlineStr">
        <is>
          <t>202603</t>
        </is>
      </c>
      <c r="E677" s="11" t="inlineStr">
        <is>
          <t>1123332577</t>
        </is>
      </c>
      <c r="F677" s="11" t="inlineStr">
        <is>
          <t>VILLOTA VILLAMARIN N</t>
        </is>
      </c>
      <c r="G677" s="11" t="inlineStr"/>
      <c r="H677" s="11" t="inlineStr">
        <is>
          <t>INTERFACE P.O.S.</t>
        </is>
      </c>
      <c r="I677" s="11" t="n">
        <v>11500</v>
      </c>
      <c r="J677" s="11" t="inlineStr"/>
    </row>
    <row r="678">
      <c r="A678" s="11" t="n">
        <v>677</v>
      </c>
      <c r="B678" s="12" t="n">
        <v>46099</v>
      </c>
      <c r="C678" s="11" t="inlineStr">
        <is>
          <t>INTF</t>
        </is>
      </c>
      <c r="D678" s="11" t="inlineStr">
        <is>
          <t>202603</t>
        </is>
      </c>
      <c r="E678" s="11" t="inlineStr">
        <is>
          <t>1061798390</t>
        </is>
      </c>
      <c r="F678" s="11" t="inlineStr">
        <is>
          <t>LARGO GIRALDO LUISA</t>
        </is>
      </c>
      <c r="G678" s="11" t="inlineStr"/>
      <c r="H678" s="11" t="inlineStr">
        <is>
          <t>INTERFACE P.O.S.</t>
        </is>
      </c>
      <c r="I678" s="11" t="n">
        <v>13100</v>
      </c>
      <c r="J678" s="11" t="inlineStr"/>
    </row>
    <row r="679">
      <c r="A679" s="11" t="n">
        <v>678</v>
      </c>
      <c r="B679" s="12" t="n">
        <v>46099</v>
      </c>
      <c r="C679" s="11" t="inlineStr">
        <is>
          <t>INTF</t>
        </is>
      </c>
      <c r="D679" s="11" t="inlineStr">
        <is>
          <t>202603</t>
        </is>
      </c>
      <c r="E679" s="11" t="inlineStr">
        <is>
          <t>1006848854</t>
        </is>
      </c>
      <c r="F679" s="11" t="inlineStr">
        <is>
          <t>BRAVO ZUÑIGA NAHOMY</t>
        </is>
      </c>
      <c r="G679" s="11" t="inlineStr"/>
      <c r="H679" s="11" t="inlineStr">
        <is>
          <t>INTERFACE P.O.S.</t>
        </is>
      </c>
      <c r="I679" s="11" t="n">
        <v>28400</v>
      </c>
      <c r="J679" s="11" t="inlineStr"/>
    </row>
    <row r="680">
      <c r="A680" s="11" t="n">
        <v>679</v>
      </c>
      <c r="B680" s="12" t="n">
        <v>46099</v>
      </c>
      <c r="C680" s="11" t="inlineStr">
        <is>
          <t>INTF</t>
        </is>
      </c>
      <c r="D680" s="11" t="inlineStr">
        <is>
          <t>202603</t>
        </is>
      </c>
      <c r="E680" s="11" t="inlineStr">
        <is>
          <t>1123326436</t>
        </is>
      </c>
      <c r="F680" s="11" t="inlineStr">
        <is>
          <t>NAVARRO LAVERDE LISE</t>
        </is>
      </c>
      <c r="G680" s="11" t="inlineStr"/>
      <c r="H680" s="11" t="inlineStr">
        <is>
          <t>INTERFACE P.O.S.</t>
        </is>
      </c>
      <c r="I680" s="11" t="n">
        <v>11900</v>
      </c>
      <c r="J680" s="11" t="inlineStr"/>
    </row>
    <row r="681">
      <c r="A681" s="11" t="n">
        <v>680</v>
      </c>
      <c r="B681" s="12" t="n">
        <v>46099</v>
      </c>
      <c r="C681" s="11" t="inlineStr">
        <is>
          <t>INTF</t>
        </is>
      </c>
      <c r="D681" s="11" t="inlineStr">
        <is>
          <t>202603</t>
        </is>
      </c>
      <c r="E681" s="11" t="inlineStr">
        <is>
          <t>18130069</t>
        </is>
      </c>
      <c r="F681" s="11" t="inlineStr">
        <is>
          <t>GIL YANDUN DEEN MARI</t>
        </is>
      </c>
      <c r="G681" s="11" t="inlineStr"/>
      <c r="H681" s="11" t="inlineStr">
        <is>
          <t>INTERFACE P.O.S.</t>
        </is>
      </c>
      <c r="I681" s="11" t="n">
        <v>345500</v>
      </c>
      <c r="J681" s="11" t="inlineStr"/>
    </row>
    <row r="682">
      <c r="A682" s="11" t="n">
        <v>681</v>
      </c>
      <c r="B682" s="12" t="n">
        <v>46099</v>
      </c>
      <c r="C682" s="11" t="inlineStr">
        <is>
          <t>INTF</t>
        </is>
      </c>
      <c r="D682" s="11" t="inlineStr">
        <is>
          <t>202603</t>
        </is>
      </c>
      <c r="E682" s="11" t="inlineStr">
        <is>
          <t>52585162</t>
        </is>
      </c>
      <c r="F682" s="11" t="inlineStr">
        <is>
          <t>GIRALDO BOHORQUEZ BL</t>
        </is>
      </c>
      <c r="G682" s="11" t="inlineStr"/>
      <c r="H682" s="11" t="inlineStr">
        <is>
          <t>INTERFACE P.O.S.</t>
        </is>
      </c>
      <c r="I682" s="11" t="n">
        <v>8100</v>
      </c>
      <c r="J682" s="11" t="inlineStr"/>
    </row>
    <row r="683">
      <c r="A683" s="11" t="n">
        <v>682</v>
      </c>
      <c r="B683" s="12" t="n">
        <v>46099</v>
      </c>
      <c r="C683" s="11" t="inlineStr">
        <is>
          <t>INTF</t>
        </is>
      </c>
      <c r="D683" s="11" t="inlineStr">
        <is>
          <t>202603</t>
        </is>
      </c>
      <c r="E683" s="11" t="inlineStr">
        <is>
          <t>1123320594</t>
        </is>
      </c>
      <c r="F683" s="11" t="inlineStr">
        <is>
          <t>CUEVA PINTA WILSON B</t>
        </is>
      </c>
      <c r="G683" s="11" t="inlineStr"/>
      <c r="H683" s="11" t="inlineStr">
        <is>
          <t>INTERFACE P.O.S.</t>
        </is>
      </c>
      <c r="I683" s="11" t="n">
        <v>20800</v>
      </c>
      <c r="J683" s="11" t="inlineStr"/>
    </row>
    <row r="684">
      <c r="A684" s="11" t="n">
        <v>683</v>
      </c>
      <c r="B684" s="12" t="n">
        <v>46099</v>
      </c>
      <c r="C684" s="11" t="inlineStr">
        <is>
          <t>INTF</t>
        </is>
      </c>
      <c r="D684" s="11" t="inlineStr">
        <is>
          <t>202603</t>
        </is>
      </c>
      <c r="E684" s="11" t="inlineStr">
        <is>
          <t>1123331260</t>
        </is>
      </c>
      <c r="F684" s="11" t="inlineStr">
        <is>
          <t>ROMO PALMA LINDA JOS</t>
        </is>
      </c>
      <c r="G684" s="11" t="inlineStr"/>
      <c r="H684" s="11" t="inlineStr">
        <is>
          <t>INTERFACE P.O.S.</t>
        </is>
      </c>
      <c r="I684" s="11" t="n">
        <v>10000</v>
      </c>
      <c r="J684" s="11" t="inlineStr"/>
    </row>
    <row r="685">
      <c r="A685" s="11" t="n">
        <v>684</v>
      </c>
      <c r="B685" s="12" t="n">
        <v>46099</v>
      </c>
      <c r="C685" s="11" t="inlineStr">
        <is>
          <t>INTF</t>
        </is>
      </c>
      <c r="D685" s="11" t="inlineStr">
        <is>
          <t>202603</t>
        </is>
      </c>
      <c r="E685" s="11" t="inlineStr">
        <is>
          <t>12447282</t>
        </is>
      </c>
      <c r="F685" s="11" t="inlineStr">
        <is>
          <t>MENDOZA CARLOS EDUAR</t>
        </is>
      </c>
      <c r="G685" s="11" t="inlineStr"/>
      <c r="H685" s="11" t="inlineStr">
        <is>
          <t>INTERFACE P.O.S.</t>
        </is>
      </c>
      <c r="I685" s="11" t="n">
        <v>24600</v>
      </c>
      <c r="J685" s="11" t="inlineStr"/>
    </row>
    <row r="686">
      <c r="A686" s="11" t="n">
        <v>685</v>
      </c>
      <c r="B686" s="12" t="n">
        <v>46099</v>
      </c>
      <c r="C686" s="11" t="inlineStr">
        <is>
          <t>INTF</t>
        </is>
      </c>
      <c r="D686" s="11" t="inlineStr">
        <is>
          <t>202603</t>
        </is>
      </c>
      <c r="E686" s="11" t="inlineStr">
        <is>
          <t>40740556</t>
        </is>
      </c>
      <c r="F686" s="11" t="inlineStr">
        <is>
          <t>CUBILLOS ORDOÑES NIV</t>
        </is>
      </c>
      <c r="G686" s="11" t="inlineStr"/>
      <c r="H686" s="11" t="inlineStr">
        <is>
          <t>INTERFACE P.O.S.</t>
        </is>
      </c>
      <c r="I686" s="11" t="n">
        <v>24600</v>
      </c>
      <c r="J686" s="11" t="inlineStr"/>
    </row>
    <row r="687">
      <c r="A687" s="11" t="n">
        <v>686</v>
      </c>
      <c r="B687" s="12" t="n">
        <v>46099</v>
      </c>
      <c r="C687" s="11" t="inlineStr">
        <is>
          <t>INTF</t>
        </is>
      </c>
      <c r="D687" s="11" t="inlineStr">
        <is>
          <t>202603</t>
        </is>
      </c>
      <c r="E687" s="11" t="inlineStr">
        <is>
          <t>1087749045</t>
        </is>
      </c>
      <c r="F687" s="11" t="inlineStr">
        <is>
          <t>INGRID DAYERLY QUINT</t>
        </is>
      </c>
      <c r="G687" s="11" t="inlineStr"/>
      <c r="H687" s="11" t="inlineStr">
        <is>
          <t>INTERFACE P.O.S.</t>
        </is>
      </c>
      <c r="I687" s="11" t="n">
        <v>11200</v>
      </c>
      <c r="J687" s="11" t="inlineStr"/>
    </row>
    <row r="688">
      <c r="A688" s="11" t="n">
        <v>687</v>
      </c>
      <c r="B688" s="12" t="n">
        <v>46099</v>
      </c>
      <c r="C688" s="11" t="inlineStr">
        <is>
          <t>INTF</t>
        </is>
      </c>
      <c r="D688" s="11" t="inlineStr">
        <is>
          <t>202603</t>
        </is>
      </c>
      <c r="E688" s="11" t="inlineStr">
        <is>
          <t>1006994711</t>
        </is>
      </c>
      <c r="F688" s="11" t="inlineStr">
        <is>
          <t>MOSQUERA PALACIOS JE</t>
        </is>
      </c>
      <c r="G688" s="11" t="inlineStr"/>
      <c r="H688" s="11" t="inlineStr">
        <is>
          <t>INTERFACE P.O.S.</t>
        </is>
      </c>
      <c r="I688" s="11" t="n">
        <v>11600</v>
      </c>
      <c r="J688" s="11" t="inlineStr"/>
    </row>
    <row r="689">
      <c r="A689" s="11" t="n">
        <v>688</v>
      </c>
      <c r="B689" s="12" t="n">
        <v>46099</v>
      </c>
      <c r="C689" s="11" t="inlineStr">
        <is>
          <t>INTF</t>
        </is>
      </c>
      <c r="D689" s="11" t="inlineStr">
        <is>
          <t>202603</t>
        </is>
      </c>
      <c r="E689" s="11" t="inlineStr">
        <is>
          <t>1006995728</t>
        </is>
      </c>
      <c r="F689" s="11" t="inlineStr">
        <is>
          <t>SANTANDER BENAVIDES</t>
        </is>
      </c>
      <c r="G689" s="11" t="inlineStr"/>
      <c r="H689" s="11" t="inlineStr">
        <is>
          <t>INTERFACE P.O.S.</t>
        </is>
      </c>
      <c r="I689" s="11" t="n">
        <v>20600</v>
      </c>
      <c r="J689" s="11" t="inlineStr"/>
    </row>
    <row r="690">
      <c r="A690" s="11" t="n">
        <v>689</v>
      </c>
      <c r="B690" s="12" t="n">
        <v>46099</v>
      </c>
      <c r="C690" s="11" t="inlineStr">
        <is>
          <t>INTF</t>
        </is>
      </c>
      <c r="D690" s="11" t="inlineStr">
        <is>
          <t>202603</t>
        </is>
      </c>
      <c r="E690" s="11" t="inlineStr">
        <is>
          <t>41108150</t>
        </is>
      </c>
      <c r="F690" s="11" t="inlineStr">
        <is>
          <t>GIRALDO POLANIAS GRE</t>
        </is>
      </c>
      <c r="G690" s="11" t="inlineStr"/>
      <c r="H690" s="11" t="inlineStr">
        <is>
          <t>INTERFACE P.O.S.</t>
        </is>
      </c>
      <c r="I690" s="11" t="n">
        <v>15000</v>
      </c>
      <c r="J690" s="11" t="inlineStr"/>
    </row>
    <row r="691">
      <c r="A691" s="11" t="n">
        <v>690</v>
      </c>
      <c r="B691" s="12" t="n">
        <v>46099</v>
      </c>
      <c r="C691" s="11" t="inlineStr">
        <is>
          <t>INTF</t>
        </is>
      </c>
      <c r="D691" s="11" t="inlineStr">
        <is>
          <t>202603</t>
        </is>
      </c>
      <c r="E691" s="11" t="inlineStr">
        <is>
          <t>1123321794</t>
        </is>
      </c>
      <c r="F691" s="11" t="inlineStr">
        <is>
          <t>MADROÑERO BOLAÑOS OS</t>
        </is>
      </c>
      <c r="G691" s="11" t="inlineStr"/>
      <c r="H691" s="11" t="inlineStr">
        <is>
          <t>INTERFACE P.O.S.</t>
        </is>
      </c>
      <c r="I691" s="11" t="n">
        <v>33600</v>
      </c>
      <c r="J691" s="11" t="inlineStr"/>
    </row>
    <row r="692">
      <c r="A692" s="11" t="n">
        <v>691</v>
      </c>
      <c r="B692" s="12" t="n">
        <v>46099</v>
      </c>
      <c r="C692" s="11" t="inlineStr">
        <is>
          <t>INTF</t>
        </is>
      </c>
      <c r="D692" s="11" t="inlineStr">
        <is>
          <t>202603</t>
        </is>
      </c>
      <c r="E692" s="11" t="inlineStr">
        <is>
          <t>1130146535</t>
        </is>
      </c>
      <c r="F692" s="11" t="inlineStr">
        <is>
          <t>ARENAS GARCIA LUISA</t>
        </is>
      </c>
      <c r="G692" s="11" t="inlineStr"/>
      <c r="H692" s="11" t="inlineStr">
        <is>
          <t>INTERFACE P.O.S.</t>
        </is>
      </c>
      <c r="I692" s="11" t="n">
        <v>5200</v>
      </c>
      <c r="J692" s="11" t="inlineStr"/>
    </row>
    <row r="693">
      <c r="A693" s="11" t="n">
        <v>692</v>
      </c>
      <c r="B693" s="12" t="n">
        <v>46099</v>
      </c>
      <c r="C693" s="11" t="inlineStr">
        <is>
          <t>INTF</t>
        </is>
      </c>
      <c r="D693" s="11" t="inlineStr">
        <is>
          <t>202603</t>
        </is>
      </c>
      <c r="E693" s="11" t="inlineStr">
        <is>
          <t>12989791</t>
        </is>
      </c>
      <c r="F693" s="11" t="inlineStr">
        <is>
          <t>CASTILLO PATIÑO HERN</t>
        </is>
      </c>
      <c r="G693" s="11" t="inlineStr"/>
      <c r="H693" s="11" t="inlineStr">
        <is>
          <t>INTERFACE P.O.S.</t>
        </is>
      </c>
      <c r="I693" s="11" t="n">
        <v>33200</v>
      </c>
      <c r="J693" s="11" t="inlineStr"/>
    </row>
    <row r="694">
      <c r="A694" s="11" t="n">
        <v>693</v>
      </c>
      <c r="B694" s="12" t="n">
        <v>46099</v>
      </c>
      <c r="C694" s="11" t="inlineStr">
        <is>
          <t>INTF</t>
        </is>
      </c>
      <c r="D694" s="11" t="inlineStr">
        <is>
          <t>202603</t>
        </is>
      </c>
      <c r="E694" s="11" t="inlineStr">
        <is>
          <t>1123327699</t>
        </is>
      </c>
      <c r="F694" s="11" t="inlineStr">
        <is>
          <t>ZAMBRANO SAMUDIO MAN</t>
        </is>
      </c>
      <c r="G694" s="11" t="inlineStr"/>
      <c r="H694" s="11" t="inlineStr">
        <is>
          <t>INTERFACE P.O.S.</t>
        </is>
      </c>
      <c r="I694" s="11" t="n">
        <v>10700</v>
      </c>
      <c r="J694" s="11" t="inlineStr"/>
    </row>
    <row r="695">
      <c r="A695" s="11" t="n">
        <v>694</v>
      </c>
      <c r="B695" s="12" t="n">
        <v>46099</v>
      </c>
      <c r="C695" s="11" t="inlineStr">
        <is>
          <t>INTF</t>
        </is>
      </c>
      <c r="D695" s="11" t="inlineStr">
        <is>
          <t>202603</t>
        </is>
      </c>
      <c r="E695" s="11" t="inlineStr">
        <is>
          <t>1122340176</t>
        </is>
      </c>
      <c r="F695" s="11" t="inlineStr">
        <is>
          <t>MATABANCHOY MENESES</t>
        </is>
      </c>
      <c r="G695" s="11" t="inlineStr"/>
      <c r="H695" s="11" t="inlineStr">
        <is>
          <t>INTERFACE P.O.S.</t>
        </is>
      </c>
      <c r="I695" s="11" t="n">
        <v>4700</v>
      </c>
      <c r="J695" s="11" t="inlineStr"/>
    </row>
    <row r="696">
      <c r="A696" s="11" t="n">
        <v>695</v>
      </c>
      <c r="B696" s="12" t="n">
        <v>46099</v>
      </c>
      <c r="C696" s="11" t="inlineStr">
        <is>
          <t>INTF</t>
        </is>
      </c>
      <c r="D696" s="11" t="inlineStr">
        <is>
          <t>202603</t>
        </is>
      </c>
      <c r="E696" s="11" t="inlineStr">
        <is>
          <t>1006851339</t>
        </is>
      </c>
      <c r="F696" s="11" t="inlineStr">
        <is>
          <t>TORRES CERON YEISON</t>
        </is>
      </c>
      <c r="G696" s="11" t="inlineStr"/>
      <c r="H696" s="11" t="inlineStr">
        <is>
          <t>INTERFACE P.O.S.</t>
        </is>
      </c>
      <c r="I696" s="11" t="n">
        <v>13900</v>
      </c>
      <c r="J696" s="11" t="inlineStr"/>
    </row>
    <row r="697">
      <c r="A697" s="11" t="n">
        <v>696</v>
      </c>
      <c r="B697" s="12" t="n">
        <v>46099</v>
      </c>
      <c r="C697" s="11" t="inlineStr">
        <is>
          <t>INTF</t>
        </is>
      </c>
      <c r="D697" s="11" t="inlineStr">
        <is>
          <t>202603</t>
        </is>
      </c>
      <c r="E697" s="11" t="inlineStr">
        <is>
          <t>27362252</t>
        </is>
      </c>
      <c r="F697" s="11" t="inlineStr">
        <is>
          <t>TIMARAN CHASOY JUDY</t>
        </is>
      </c>
      <c r="G697" s="11" t="inlineStr"/>
      <c r="H697" s="11" t="inlineStr">
        <is>
          <t>INTERFACE P.O.S.</t>
        </is>
      </c>
      <c r="I697" s="11" t="n">
        <v>28400</v>
      </c>
      <c r="J697" s="11" t="inlineStr"/>
    </row>
    <row r="698">
      <c r="A698" s="11" t="n">
        <v>697</v>
      </c>
      <c r="B698" s="12" t="n">
        <v>46099</v>
      </c>
      <c r="C698" s="11" t="inlineStr">
        <is>
          <t>INTF</t>
        </is>
      </c>
      <c r="D698" s="11" t="inlineStr">
        <is>
          <t>202603</t>
        </is>
      </c>
      <c r="E698" s="11" t="inlineStr">
        <is>
          <t>1014672263</t>
        </is>
      </c>
      <c r="F698" s="11" t="inlineStr">
        <is>
          <t>DELGADO DIAZ DANIELA</t>
        </is>
      </c>
      <c r="G698" s="11" t="inlineStr"/>
      <c r="H698" s="11" t="inlineStr">
        <is>
          <t>INTERFACE P.O.S.</t>
        </is>
      </c>
      <c r="I698" s="11" t="n">
        <v>22700</v>
      </c>
      <c r="J698" s="11" t="inlineStr"/>
    </row>
    <row r="699">
      <c r="A699" s="11" t="n">
        <v>698</v>
      </c>
      <c r="B699" s="12" t="n">
        <v>46099</v>
      </c>
      <c r="C699" s="11" t="inlineStr">
        <is>
          <t>INTF</t>
        </is>
      </c>
      <c r="D699" s="11" t="inlineStr">
        <is>
          <t>202603</t>
        </is>
      </c>
      <c r="E699" s="11" t="inlineStr">
        <is>
          <t>18147158</t>
        </is>
      </c>
      <c r="F699" s="11" t="inlineStr">
        <is>
          <t>RUIZ TAPIA ALFONSO J</t>
        </is>
      </c>
      <c r="G699" s="11" t="inlineStr"/>
      <c r="H699" s="11" t="inlineStr">
        <is>
          <t>INTERFACE P.O.S.</t>
        </is>
      </c>
      <c r="I699" s="11" t="n">
        <v>33500</v>
      </c>
      <c r="J699" s="11" t="inlineStr"/>
    </row>
    <row r="700">
      <c r="A700" s="11" t="n">
        <v>699</v>
      </c>
      <c r="B700" s="12" t="n">
        <v>46099</v>
      </c>
      <c r="C700" s="11" t="inlineStr">
        <is>
          <t>INTF</t>
        </is>
      </c>
      <c r="D700" s="11" t="inlineStr">
        <is>
          <t>202603</t>
        </is>
      </c>
      <c r="E700" s="11" t="inlineStr">
        <is>
          <t>38610094</t>
        </is>
      </c>
      <c r="F700" s="11" t="inlineStr">
        <is>
          <t>MOSQUERA VARGAS R</t>
        </is>
      </c>
      <c r="G700" s="11" t="inlineStr"/>
      <c r="H700" s="11" t="inlineStr">
        <is>
          <t>INTERFACE P.O.S.</t>
        </is>
      </c>
      <c r="I700" s="11" t="n">
        <v>6800</v>
      </c>
      <c r="J700" s="11" t="inlineStr"/>
    </row>
    <row r="701">
      <c r="A701" s="11" t="n">
        <v>700</v>
      </c>
      <c r="B701" s="12" t="n">
        <v>46100</v>
      </c>
      <c r="C701" s="11" t="inlineStr">
        <is>
          <t>CE</t>
        </is>
      </c>
      <c r="D701" s="11" t="inlineStr">
        <is>
          <t>9440</t>
        </is>
      </c>
      <c r="E701" s="11" t="inlineStr">
        <is>
          <t>98399902</t>
        </is>
      </c>
      <c r="F701" s="11" t="inlineStr">
        <is>
          <t>BENAVIDES SANSEVIERO</t>
        </is>
      </c>
      <c r="G701" s="11" t="inlineStr">
        <is>
          <t>M12876606</t>
        </is>
      </c>
      <c r="H701" s="11" t="inlineStr">
        <is>
          <t>PF COMERC PRAGA</t>
        </is>
      </c>
      <c r="I701" s="11" t="inlineStr"/>
      <c r="J701" s="11" t="n">
        <v>3972927</v>
      </c>
    </row>
    <row r="702">
      <c r="A702" s="11" t="n">
        <v>701</v>
      </c>
      <c r="B702" s="12" t="n">
        <v>46100</v>
      </c>
      <c r="C702" s="11" t="inlineStr">
        <is>
          <t>CE</t>
        </is>
      </c>
      <c r="D702" s="11" t="inlineStr">
        <is>
          <t>9442</t>
        </is>
      </c>
      <c r="E702" s="11" t="inlineStr">
        <is>
          <t>901418995</t>
        </is>
      </c>
      <c r="F702" s="11" t="inlineStr">
        <is>
          <t>ALIMENTOS MASIVOS DE</t>
        </is>
      </c>
      <c r="G702" s="11" t="inlineStr">
        <is>
          <t>M14679303</t>
        </is>
      </c>
      <c r="H702" s="11" t="inlineStr">
        <is>
          <t>PF ALIMAS</t>
        </is>
      </c>
      <c r="I702" s="11" t="inlineStr"/>
      <c r="J702" s="11" t="n">
        <v>691746</v>
      </c>
    </row>
    <row r="703">
      <c r="A703" s="11" t="n">
        <v>702</v>
      </c>
      <c r="B703" s="12" t="n">
        <v>46100</v>
      </c>
      <c r="C703" s="11" t="inlineStr">
        <is>
          <t>INTF</t>
        </is>
      </c>
      <c r="D703" s="11" t="inlineStr">
        <is>
          <t>202603</t>
        </is>
      </c>
      <c r="E703" s="11" t="inlineStr">
        <is>
          <t>66956077</t>
        </is>
      </c>
      <c r="F703" s="11" t="inlineStr">
        <is>
          <t>VARGAS GAMBOA DOLY</t>
        </is>
      </c>
      <c r="G703" s="11" t="inlineStr"/>
      <c r="H703" s="11" t="inlineStr">
        <is>
          <t>INTERFACE P.O.S.</t>
        </is>
      </c>
      <c r="I703" s="11" t="n">
        <v>32000</v>
      </c>
      <c r="J703" s="11" t="inlineStr"/>
    </row>
    <row r="704">
      <c r="A704" s="11" t="n">
        <v>703</v>
      </c>
      <c r="B704" s="12" t="n">
        <v>46100</v>
      </c>
      <c r="C704" s="11" t="inlineStr">
        <is>
          <t>INTF</t>
        </is>
      </c>
      <c r="D704" s="11" t="inlineStr">
        <is>
          <t>202603</t>
        </is>
      </c>
      <c r="E704" s="11" t="inlineStr">
        <is>
          <t>41110276</t>
        </is>
      </c>
      <c r="F704" s="11" t="inlineStr">
        <is>
          <t>CORTEZ CAYCEDO HELID</t>
        </is>
      </c>
      <c r="G704" s="11" t="inlineStr"/>
      <c r="H704" s="11" t="inlineStr">
        <is>
          <t>INTERFACE P.O.S.</t>
        </is>
      </c>
      <c r="I704" s="11" t="n">
        <v>81570</v>
      </c>
      <c r="J704" s="11" t="inlineStr"/>
    </row>
    <row r="705">
      <c r="A705" s="11" t="n">
        <v>704</v>
      </c>
      <c r="B705" s="12" t="n">
        <v>46100</v>
      </c>
      <c r="C705" s="11" t="inlineStr">
        <is>
          <t>INTF</t>
        </is>
      </c>
      <c r="D705" s="11" t="inlineStr">
        <is>
          <t>202603</t>
        </is>
      </c>
      <c r="E705" s="11" t="inlineStr">
        <is>
          <t>1123329258</t>
        </is>
      </c>
      <c r="F705" s="11" t="inlineStr">
        <is>
          <t>SEPULVEDA PEREZ NEFI</t>
        </is>
      </c>
      <c r="G705" s="11" t="inlineStr"/>
      <c r="H705" s="11" t="inlineStr">
        <is>
          <t>INTERFACE P.O.S.</t>
        </is>
      </c>
      <c r="I705" s="11" t="n">
        <v>22800</v>
      </c>
      <c r="J705" s="11" t="inlineStr"/>
    </row>
    <row r="706">
      <c r="A706" s="11" t="n">
        <v>705</v>
      </c>
      <c r="B706" s="12" t="n">
        <v>46100</v>
      </c>
      <c r="C706" s="11" t="inlineStr">
        <is>
          <t>INTF</t>
        </is>
      </c>
      <c r="D706" s="11" t="inlineStr">
        <is>
          <t>202603</t>
        </is>
      </c>
      <c r="E706" s="11" t="inlineStr">
        <is>
          <t>1123328832</t>
        </is>
      </c>
      <c r="F706" s="11" t="inlineStr">
        <is>
          <t>FIGUEROA MAFLA JHONN</t>
        </is>
      </c>
      <c r="G706" s="11" t="inlineStr"/>
      <c r="H706" s="11" t="inlineStr">
        <is>
          <t>INTERFACE P.O.S.</t>
        </is>
      </c>
      <c r="I706" s="11" t="n">
        <v>6100</v>
      </c>
      <c r="J706" s="11" t="inlineStr"/>
    </row>
    <row r="707">
      <c r="A707" s="11" t="n">
        <v>706</v>
      </c>
      <c r="B707" s="12" t="n">
        <v>46100</v>
      </c>
      <c r="C707" s="11" t="inlineStr">
        <is>
          <t>INTF</t>
        </is>
      </c>
      <c r="D707" s="11" t="inlineStr">
        <is>
          <t>202603</t>
        </is>
      </c>
      <c r="E707" s="11" t="inlineStr">
        <is>
          <t>900760549</t>
        </is>
      </c>
      <c r="F707" s="11" t="inlineStr">
        <is>
          <t>PETRO RIOS SAS</t>
        </is>
      </c>
      <c r="G707" s="11" t="inlineStr"/>
      <c r="H707" s="11" t="inlineStr">
        <is>
          <t>INTERFACE P.O.S.</t>
        </is>
      </c>
      <c r="I707" s="11" t="n">
        <v>200100</v>
      </c>
      <c r="J707" s="11" t="inlineStr"/>
    </row>
    <row r="708">
      <c r="A708" s="11" t="n">
        <v>707</v>
      </c>
      <c r="B708" s="12" t="n">
        <v>46100</v>
      </c>
      <c r="C708" s="11" t="inlineStr">
        <is>
          <t>INTF</t>
        </is>
      </c>
      <c r="D708" s="11" t="inlineStr">
        <is>
          <t>202603</t>
        </is>
      </c>
      <c r="E708" s="11" t="inlineStr">
        <is>
          <t>41117434</t>
        </is>
      </c>
      <c r="F708" s="11" t="inlineStr">
        <is>
          <t>ARMERO RODRIGUEZ MAR</t>
        </is>
      </c>
      <c r="G708" s="11" t="inlineStr"/>
      <c r="H708" s="11" t="inlineStr">
        <is>
          <t>INTERFACE P.O.S.</t>
        </is>
      </c>
      <c r="I708" s="11" t="n">
        <v>62200</v>
      </c>
      <c r="J708" s="11" t="inlineStr"/>
    </row>
    <row r="709">
      <c r="A709" s="11" t="n">
        <v>708</v>
      </c>
      <c r="B709" s="12" t="n">
        <v>46100</v>
      </c>
      <c r="C709" s="11" t="inlineStr">
        <is>
          <t>INTF</t>
        </is>
      </c>
      <c r="D709" s="11" t="inlineStr">
        <is>
          <t>202603</t>
        </is>
      </c>
      <c r="E709" s="11" t="inlineStr">
        <is>
          <t>1123330029</t>
        </is>
      </c>
      <c r="F709" s="11" t="inlineStr">
        <is>
          <t>CAGUA CRUZ ANGIE CAR</t>
        </is>
      </c>
      <c r="G709" s="11" t="inlineStr"/>
      <c r="H709" s="11" t="inlineStr">
        <is>
          <t>INTERFACE P.O.S.</t>
        </is>
      </c>
      <c r="I709" s="11" t="n">
        <v>21600</v>
      </c>
      <c r="J709" s="11" t="inlineStr"/>
    </row>
    <row r="710">
      <c r="A710" s="11" t="n">
        <v>709</v>
      </c>
      <c r="B710" s="12" t="n">
        <v>46100</v>
      </c>
      <c r="C710" s="11" t="inlineStr">
        <is>
          <t>INTF</t>
        </is>
      </c>
      <c r="D710" s="11" t="inlineStr">
        <is>
          <t>202603</t>
        </is>
      </c>
      <c r="E710" s="11" t="inlineStr">
        <is>
          <t>75060429</t>
        </is>
      </c>
      <c r="F710" s="11" t="inlineStr">
        <is>
          <t>ZAPATA BETANCURTH RO</t>
        </is>
      </c>
      <c r="G710" s="11" t="inlineStr"/>
      <c r="H710" s="11" t="inlineStr">
        <is>
          <t>INTERFACE P.O.S.</t>
        </is>
      </c>
      <c r="I710" s="11" t="n">
        <v>41200</v>
      </c>
      <c r="J710" s="11" t="inlineStr"/>
    </row>
    <row r="711">
      <c r="A711" s="11" t="n">
        <v>710</v>
      </c>
      <c r="B711" s="12" t="n">
        <v>46100</v>
      </c>
      <c r="C711" s="11" t="inlineStr">
        <is>
          <t>INTF</t>
        </is>
      </c>
      <c r="D711" s="11" t="inlineStr">
        <is>
          <t>202603</t>
        </is>
      </c>
      <c r="E711" s="11" t="inlineStr">
        <is>
          <t>1006848438</t>
        </is>
      </c>
      <c r="F711" s="11" t="inlineStr">
        <is>
          <t>LEIVA CIRO DANIELA F</t>
        </is>
      </c>
      <c r="G711" s="11" t="inlineStr"/>
      <c r="H711" s="11" t="inlineStr">
        <is>
          <t>INTERFACE P.O.S.</t>
        </is>
      </c>
      <c r="I711" s="11" t="n">
        <v>4600</v>
      </c>
      <c r="J711" s="11" t="inlineStr"/>
    </row>
    <row r="712">
      <c r="A712" s="11" t="n">
        <v>711</v>
      </c>
      <c r="B712" s="12" t="n">
        <v>46100</v>
      </c>
      <c r="C712" s="11" t="inlineStr">
        <is>
          <t>INTF</t>
        </is>
      </c>
      <c r="D712" s="11" t="inlineStr">
        <is>
          <t>202603</t>
        </is>
      </c>
      <c r="E712" s="11" t="inlineStr">
        <is>
          <t>1007548785</t>
        </is>
      </c>
      <c r="F712" s="11" t="inlineStr">
        <is>
          <t>YEPES SOLARTE LAURA</t>
        </is>
      </c>
      <c r="G712" s="11" t="inlineStr"/>
      <c r="H712" s="11" t="inlineStr">
        <is>
          <t>INTERFACE P.O.S.</t>
        </is>
      </c>
      <c r="I712" s="11" t="n">
        <v>12300</v>
      </c>
      <c r="J712" s="11" t="inlineStr"/>
    </row>
    <row r="713">
      <c r="A713" s="11" t="n">
        <v>712</v>
      </c>
      <c r="B713" s="12" t="n">
        <v>46100</v>
      </c>
      <c r="C713" s="11" t="inlineStr">
        <is>
          <t>INTF</t>
        </is>
      </c>
      <c r="D713" s="11" t="inlineStr">
        <is>
          <t>202603</t>
        </is>
      </c>
      <c r="E713" s="11" t="inlineStr">
        <is>
          <t>1123329290</t>
        </is>
      </c>
      <c r="F713" s="11" t="inlineStr">
        <is>
          <t>CHAVES IMBACHI TATIA</t>
        </is>
      </c>
      <c r="G713" s="11" t="inlineStr"/>
      <c r="H713" s="11" t="inlineStr">
        <is>
          <t>INTERFACE P.O.S.</t>
        </is>
      </c>
      <c r="I713" s="11" t="n">
        <v>34900</v>
      </c>
      <c r="J713" s="11" t="inlineStr"/>
    </row>
    <row r="714">
      <c r="A714" s="11" t="n">
        <v>713</v>
      </c>
      <c r="B714" s="12" t="n">
        <v>46100</v>
      </c>
      <c r="C714" s="11" t="inlineStr">
        <is>
          <t>INTF</t>
        </is>
      </c>
      <c r="D714" s="11" t="inlineStr">
        <is>
          <t>202603</t>
        </is>
      </c>
      <c r="E714" s="11" t="inlineStr">
        <is>
          <t>1123322773</t>
        </is>
      </c>
      <c r="F714" s="11" t="inlineStr">
        <is>
          <t>MENESES BURBANO LEYD</t>
        </is>
      </c>
      <c r="G714" s="11" t="inlineStr"/>
      <c r="H714" s="11" t="inlineStr">
        <is>
          <t>INTERFACE P.O.S.</t>
        </is>
      </c>
      <c r="I714" s="11" t="n">
        <v>21100</v>
      </c>
      <c r="J714" s="11" t="inlineStr"/>
    </row>
    <row r="715">
      <c r="A715" s="11" t="n">
        <v>714</v>
      </c>
      <c r="B715" s="12" t="n">
        <v>46100</v>
      </c>
      <c r="C715" s="11" t="inlineStr">
        <is>
          <t>INTF</t>
        </is>
      </c>
      <c r="D715" s="11" t="inlineStr">
        <is>
          <t>202603</t>
        </is>
      </c>
      <c r="E715" s="11" t="inlineStr">
        <is>
          <t>1123322192</t>
        </is>
      </c>
      <c r="F715" s="11" t="inlineStr">
        <is>
          <t>OSORIO SOTELO LEYDI</t>
        </is>
      </c>
      <c r="G715" s="11" t="inlineStr"/>
      <c r="H715" s="11" t="inlineStr">
        <is>
          <t>INTERFACE P.O.S.</t>
        </is>
      </c>
      <c r="I715" s="11" t="n">
        <v>275000</v>
      </c>
      <c r="J715" s="11" t="inlineStr"/>
    </row>
    <row r="716">
      <c r="A716" s="11" t="n">
        <v>715</v>
      </c>
      <c r="B716" s="12" t="n">
        <v>46100</v>
      </c>
      <c r="C716" s="11" t="inlineStr">
        <is>
          <t>INTF</t>
        </is>
      </c>
      <c r="D716" s="11" t="inlineStr">
        <is>
          <t>202603</t>
        </is>
      </c>
      <c r="E716" s="11" t="inlineStr">
        <is>
          <t>22222222222</t>
        </is>
      </c>
      <c r="F716" s="11" t="inlineStr">
        <is>
          <t>CONSUMIDOR FINAL</t>
        </is>
      </c>
      <c r="G716" s="11" t="inlineStr"/>
      <c r="H716" s="11" t="inlineStr">
        <is>
          <t>INTERFACE P.O.S.</t>
        </is>
      </c>
      <c r="I716" s="11" t="n">
        <v>5000</v>
      </c>
      <c r="J716" s="11" t="inlineStr"/>
    </row>
    <row r="717">
      <c r="A717" s="11" t="n">
        <v>716</v>
      </c>
      <c r="B717" s="12" t="n">
        <v>46100</v>
      </c>
      <c r="C717" s="11" t="inlineStr">
        <is>
          <t>INTF</t>
        </is>
      </c>
      <c r="D717" s="11" t="inlineStr">
        <is>
          <t>202603</t>
        </is>
      </c>
      <c r="E717" s="11" t="inlineStr">
        <is>
          <t>63367669</t>
        </is>
      </c>
      <c r="F717" s="11" t="inlineStr">
        <is>
          <t>PEREZ BECERRA PATRIC</t>
        </is>
      </c>
      <c r="G717" s="11" t="inlineStr"/>
      <c r="H717" s="11" t="inlineStr">
        <is>
          <t>INTERFACE P.O.S.</t>
        </is>
      </c>
      <c r="I717" s="11" t="n">
        <v>29200</v>
      </c>
      <c r="J717" s="11" t="inlineStr"/>
    </row>
    <row r="718">
      <c r="A718" s="11" t="n">
        <v>717</v>
      </c>
      <c r="B718" s="12" t="n">
        <v>46100</v>
      </c>
      <c r="C718" s="11" t="inlineStr">
        <is>
          <t>INTF</t>
        </is>
      </c>
      <c r="D718" s="11" t="inlineStr">
        <is>
          <t>202603</t>
        </is>
      </c>
      <c r="E718" s="11" t="inlineStr">
        <is>
          <t>1075300641</t>
        </is>
      </c>
      <c r="F718" s="11" t="inlineStr">
        <is>
          <t>MILLAN SOUSA NATALY</t>
        </is>
      </c>
      <c r="G718" s="11" t="inlineStr"/>
      <c r="H718" s="11" t="inlineStr">
        <is>
          <t>INTERFACE P.O.S.</t>
        </is>
      </c>
      <c r="I718" s="11" t="n">
        <v>21910</v>
      </c>
      <c r="J718" s="11" t="inlineStr"/>
    </row>
    <row r="719">
      <c r="A719" s="11" t="n">
        <v>718</v>
      </c>
      <c r="B719" s="12" t="n">
        <v>46100</v>
      </c>
      <c r="C719" s="11" t="inlineStr">
        <is>
          <t>INTF</t>
        </is>
      </c>
      <c r="D719" s="11" t="inlineStr">
        <is>
          <t>202603</t>
        </is>
      </c>
      <c r="E719" s="11" t="inlineStr">
        <is>
          <t>1123322536</t>
        </is>
      </c>
      <c r="F719" s="11" t="inlineStr">
        <is>
          <t>CORAL PALCHUCAN JANI</t>
        </is>
      </c>
      <c r="G719" s="11" t="inlineStr"/>
      <c r="H719" s="11" t="inlineStr">
        <is>
          <t>INTERFACE P.O.S.</t>
        </is>
      </c>
      <c r="I719" s="11" t="n">
        <v>9750</v>
      </c>
      <c r="J719" s="11" t="inlineStr"/>
    </row>
    <row r="720">
      <c r="A720" s="11" t="n">
        <v>719</v>
      </c>
      <c r="B720" s="12" t="n">
        <v>46100</v>
      </c>
      <c r="C720" s="11" t="inlineStr">
        <is>
          <t>INTF</t>
        </is>
      </c>
      <c r="D720" s="11" t="inlineStr">
        <is>
          <t>202603</t>
        </is>
      </c>
      <c r="E720" s="11" t="inlineStr">
        <is>
          <t>1123322483</t>
        </is>
      </c>
      <c r="F720" s="11" t="inlineStr">
        <is>
          <t>PANTOJA MONTIEL LEID</t>
        </is>
      </c>
      <c r="G720" s="11" t="inlineStr"/>
      <c r="H720" s="11" t="inlineStr">
        <is>
          <t>INTERFACE P.O.S.</t>
        </is>
      </c>
      <c r="I720" s="11" t="n">
        <v>40500</v>
      </c>
      <c r="J720" s="11" t="inlineStr"/>
    </row>
    <row r="721">
      <c r="A721" s="11" t="n">
        <v>720</v>
      </c>
      <c r="B721" s="12" t="n">
        <v>46100</v>
      </c>
      <c r="C721" s="11" t="inlineStr">
        <is>
          <t>INTF</t>
        </is>
      </c>
      <c r="D721" s="11" t="inlineStr">
        <is>
          <t>202603</t>
        </is>
      </c>
      <c r="E721" s="11" t="inlineStr">
        <is>
          <t>1006850277</t>
        </is>
      </c>
      <c r="F721" s="11" t="inlineStr">
        <is>
          <t>DIAZ PANTOJA JEIMY T</t>
        </is>
      </c>
      <c r="G721" s="11" t="inlineStr"/>
      <c r="H721" s="11" t="inlineStr">
        <is>
          <t>INTERFACE P.O.S.</t>
        </is>
      </c>
      <c r="I721" s="11" t="n">
        <v>4600</v>
      </c>
      <c r="J721" s="11" t="inlineStr"/>
    </row>
    <row r="722">
      <c r="A722" s="11" t="n">
        <v>721</v>
      </c>
      <c r="B722" s="12" t="n">
        <v>46100</v>
      </c>
      <c r="C722" s="11" t="inlineStr">
        <is>
          <t>INTF</t>
        </is>
      </c>
      <c r="D722" s="11" t="inlineStr">
        <is>
          <t>202603</t>
        </is>
      </c>
      <c r="E722" s="11" t="inlineStr">
        <is>
          <t>1017211048</t>
        </is>
      </c>
      <c r="F722" s="11" t="inlineStr">
        <is>
          <t>GUERRERO PORTILLA JH</t>
        </is>
      </c>
      <c r="G722" s="11" t="inlineStr"/>
      <c r="H722" s="11" t="inlineStr">
        <is>
          <t>INTERFACE P.O.S.</t>
        </is>
      </c>
      <c r="I722" s="11" t="n">
        <v>3000</v>
      </c>
      <c r="J722" s="11" t="inlineStr"/>
    </row>
    <row r="723">
      <c r="A723" s="11" t="n">
        <v>722</v>
      </c>
      <c r="B723" s="12" t="n">
        <v>46100</v>
      </c>
      <c r="C723" s="11" t="inlineStr">
        <is>
          <t>INTF</t>
        </is>
      </c>
      <c r="D723" s="11" t="inlineStr">
        <is>
          <t>202603</t>
        </is>
      </c>
      <c r="E723" s="11" t="inlineStr">
        <is>
          <t>18145192</t>
        </is>
      </c>
      <c r="F723" s="11" t="inlineStr">
        <is>
          <t>JARAMILLO CORTEZ OMA</t>
        </is>
      </c>
      <c r="G723" s="11" t="inlineStr"/>
      <c r="H723" s="11" t="inlineStr">
        <is>
          <t>INTERFACE P.O.S.</t>
        </is>
      </c>
      <c r="I723" s="11" t="n">
        <v>6500</v>
      </c>
      <c r="J723" s="11" t="inlineStr"/>
    </row>
    <row r="724">
      <c r="A724" s="11" t="n">
        <v>723</v>
      </c>
      <c r="B724" s="12" t="n">
        <v>46100</v>
      </c>
      <c r="C724" s="11" t="inlineStr">
        <is>
          <t>INTF</t>
        </is>
      </c>
      <c r="D724" s="11" t="inlineStr">
        <is>
          <t>202603</t>
        </is>
      </c>
      <c r="E724" s="11" t="inlineStr">
        <is>
          <t>1123330519</t>
        </is>
      </c>
      <c r="F724" s="11" t="inlineStr">
        <is>
          <t>ARTEAGA GIRALDO HELE</t>
        </is>
      </c>
      <c r="G724" s="11" t="inlineStr"/>
      <c r="H724" s="11" t="inlineStr">
        <is>
          <t>INTERFACE P.O.S.</t>
        </is>
      </c>
      <c r="I724" s="11" t="n">
        <v>21200</v>
      </c>
      <c r="J724" s="11" t="inlineStr"/>
    </row>
    <row r="725">
      <c r="A725" s="11" t="n">
        <v>724</v>
      </c>
      <c r="B725" s="12" t="n">
        <v>46100</v>
      </c>
      <c r="C725" s="11" t="inlineStr">
        <is>
          <t>INTF</t>
        </is>
      </c>
      <c r="D725" s="11" t="inlineStr">
        <is>
          <t>202603</t>
        </is>
      </c>
      <c r="E725" s="11" t="inlineStr">
        <is>
          <t>1098741036</t>
        </is>
      </c>
      <c r="F725" s="11" t="inlineStr">
        <is>
          <t>ARIZA BURBANO CAROLA</t>
        </is>
      </c>
      <c r="G725" s="11" t="inlineStr"/>
      <c r="H725" s="11" t="inlineStr">
        <is>
          <t>INTERFACE P.O.S.</t>
        </is>
      </c>
      <c r="I725" s="11" t="n">
        <v>122900</v>
      </c>
      <c r="J725" s="11" t="inlineStr"/>
    </row>
    <row r="726">
      <c r="A726" s="11" t="n">
        <v>725</v>
      </c>
      <c r="B726" s="12" t="n">
        <v>46100</v>
      </c>
      <c r="C726" s="11" t="inlineStr">
        <is>
          <t>INTF</t>
        </is>
      </c>
      <c r="D726" s="11" t="inlineStr">
        <is>
          <t>202603</t>
        </is>
      </c>
      <c r="E726" s="11" t="inlineStr">
        <is>
          <t>1006995728</t>
        </is>
      </c>
      <c r="F726" s="11" t="inlineStr">
        <is>
          <t>SANTANDER BENAVIDES</t>
        </is>
      </c>
      <c r="G726" s="11" t="inlineStr"/>
      <c r="H726" s="11" t="inlineStr">
        <is>
          <t>INTERFACE P.O.S.</t>
        </is>
      </c>
      <c r="I726" s="11" t="n">
        <v>29400</v>
      </c>
      <c r="J726" s="11" t="inlineStr"/>
    </row>
    <row r="727">
      <c r="A727" s="11" t="n">
        <v>726</v>
      </c>
      <c r="B727" s="12" t="n">
        <v>46100</v>
      </c>
      <c r="C727" s="11" t="inlineStr">
        <is>
          <t>INTF</t>
        </is>
      </c>
      <c r="D727" s="11" t="inlineStr">
        <is>
          <t>202603</t>
        </is>
      </c>
      <c r="E727" s="11" t="inlineStr">
        <is>
          <t>1123320793</t>
        </is>
      </c>
      <c r="F727" s="11" t="inlineStr">
        <is>
          <t>GUTIERREZ TAMANIZA J</t>
        </is>
      </c>
      <c r="G727" s="11" t="inlineStr"/>
      <c r="H727" s="11" t="inlineStr">
        <is>
          <t>INTERFACE P.O.S.</t>
        </is>
      </c>
      <c r="I727" s="11" t="n">
        <v>84000</v>
      </c>
      <c r="J727" s="11" t="inlineStr"/>
    </row>
    <row r="728">
      <c r="A728" s="11" t="n">
        <v>727</v>
      </c>
      <c r="B728" s="12" t="n">
        <v>46100</v>
      </c>
      <c r="C728" s="11" t="inlineStr">
        <is>
          <t>INTF</t>
        </is>
      </c>
      <c r="D728" s="11" t="inlineStr">
        <is>
          <t>202603</t>
        </is>
      </c>
      <c r="E728" s="11" t="inlineStr">
        <is>
          <t>1004728255</t>
        </is>
      </c>
      <c r="F728" s="11" t="inlineStr">
        <is>
          <t>BURBANO ARIAS ERIKA</t>
        </is>
      </c>
      <c r="G728" s="11" t="inlineStr"/>
      <c r="H728" s="11" t="inlineStr">
        <is>
          <t>INTERFACE P.O.S.</t>
        </is>
      </c>
      <c r="I728" s="11" t="n">
        <v>5200</v>
      </c>
      <c r="J728" s="11" t="inlineStr"/>
    </row>
    <row r="729">
      <c r="A729" s="11" t="n">
        <v>728</v>
      </c>
      <c r="B729" s="12" t="n">
        <v>46100</v>
      </c>
      <c r="C729" s="11" t="inlineStr">
        <is>
          <t>INTF</t>
        </is>
      </c>
      <c r="D729" s="11" t="inlineStr">
        <is>
          <t>202603</t>
        </is>
      </c>
      <c r="E729" s="11" t="inlineStr">
        <is>
          <t>1061746713</t>
        </is>
      </c>
      <c r="F729" s="11" t="inlineStr">
        <is>
          <t>FERRIN RIVERA NICOL</t>
        </is>
      </c>
      <c r="G729" s="11" t="inlineStr"/>
      <c r="H729" s="11" t="inlineStr">
        <is>
          <t>INTERFACE P.O.S.</t>
        </is>
      </c>
      <c r="I729" s="11" t="n">
        <v>23200</v>
      </c>
      <c r="J729" s="11" t="inlineStr"/>
    </row>
    <row r="730">
      <c r="A730" s="11" t="n">
        <v>729</v>
      </c>
      <c r="B730" s="12" t="n">
        <v>46100</v>
      </c>
      <c r="C730" s="11" t="inlineStr">
        <is>
          <t>INTF</t>
        </is>
      </c>
      <c r="D730" s="11" t="inlineStr">
        <is>
          <t>202603</t>
        </is>
      </c>
      <c r="E730" s="11" t="inlineStr">
        <is>
          <t>1006229421</t>
        </is>
      </c>
      <c r="F730" s="11" t="inlineStr">
        <is>
          <t>HENAO ORDOÑEZ FRANK</t>
        </is>
      </c>
      <c r="G730" s="11" t="inlineStr"/>
      <c r="H730" s="11" t="inlineStr">
        <is>
          <t>INTERFACE P.O.S.</t>
        </is>
      </c>
      <c r="I730" s="11" t="n">
        <v>88400</v>
      </c>
      <c r="J730" s="11" t="inlineStr"/>
    </row>
    <row r="731">
      <c r="A731" s="11" t="n">
        <v>730</v>
      </c>
      <c r="B731" s="12" t="n">
        <v>46100</v>
      </c>
      <c r="C731" s="11" t="inlineStr">
        <is>
          <t>INTF</t>
        </is>
      </c>
      <c r="D731" s="11" t="inlineStr">
        <is>
          <t>202603</t>
        </is>
      </c>
      <c r="E731" s="11" t="inlineStr">
        <is>
          <t>1123321589</t>
        </is>
      </c>
      <c r="F731" s="11" t="inlineStr">
        <is>
          <t>DIAS CHAVEZ EVA LINE</t>
        </is>
      </c>
      <c r="G731" s="11" t="inlineStr"/>
      <c r="H731" s="11" t="inlineStr">
        <is>
          <t>INTERFACE P.O.S.</t>
        </is>
      </c>
      <c r="I731" s="11" t="n">
        <v>6000</v>
      </c>
      <c r="J731" s="11" t="inlineStr"/>
    </row>
    <row r="732">
      <c r="A732" s="11" t="n">
        <v>731</v>
      </c>
      <c r="B732" s="12" t="n">
        <v>46100</v>
      </c>
      <c r="C732" s="11" t="inlineStr">
        <is>
          <t>INTF</t>
        </is>
      </c>
      <c r="D732" s="11" t="inlineStr">
        <is>
          <t>202603</t>
        </is>
      </c>
      <c r="E732" s="11" t="inlineStr">
        <is>
          <t>1124866341</t>
        </is>
      </c>
      <c r="F732" s="11" t="inlineStr">
        <is>
          <t>BURBANO ENRIQUEZ LEY</t>
        </is>
      </c>
      <c r="G732" s="11" t="inlineStr"/>
      <c r="H732" s="11" t="inlineStr">
        <is>
          <t>INTERFACE P.O.S.</t>
        </is>
      </c>
      <c r="I732" s="11" t="n">
        <v>6100</v>
      </c>
      <c r="J732" s="11" t="inlineStr"/>
    </row>
    <row r="733">
      <c r="A733" s="11" t="n">
        <v>732</v>
      </c>
      <c r="B733" s="12" t="n">
        <v>46100</v>
      </c>
      <c r="C733" s="11" t="inlineStr">
        <is>
          <t>INTF</t>
        </is>
      </c>
      <c r="D733" s="11" t="inlineStr">
        <is>
          <t>202603</t>
        </is>
      </c>
      <c r="E733" s="11" t="inlineStr">
        <is>
          <t>1006846066</t>
        </is>
      </c>
      <c r="F733" s="11" t="inlineStr">
        <is>
          <t>PEREA CORDOBA KELLY</t>
        </is>
      </c>
      <c r="G733" s="11" t="inlineStr"/>
      <c r="H733" s="11" t="inlineStr">
        <is>
          <t>INTERFACE P.O.S.</t>
        </is>
      </c>
      <c r="I733" s="11" t="n">
        <v>24400</v>
      </c>
      <c r="J733" s="11" t="inlineStr"/>
    </row>
    <row r="734">
      <c r="A734" s="11" t="n">
        <v>733</v>
      </c>
      <c r="B734" s="12" t="n">
        <v>46100</v>
      </c>
      <c r="C734" s="11" t="inlineStr">
        <is>
          <t>INTF</t>
        </is>
      </c>
      <c r="D734" s="11" t="inlineStr">
        <is>
          <t>202603</t>
        </is>
      </c>
      <c r="E734" s="11" t="inlineStr">
        <is>
          <t>1130144976</t>
        </is>
      </c>
      <c r="F734" s="11" t="inlineStr">
        <is>
          <t>CORAL VALERIA</t>
        </is>
      </c>
      <c r="G734" s="11" t="inlineStr"/>
      <c r="H734" s="11" t="inlineStr">
        <is>
          <t>INTERFACE P.O.S.</t>
        </is>
      </c>
      <c r="I734" s="11" t="n">
        <v>21500</v>
      </c>
      <c r="J734" s="11" t="inlineStr"/>
    </row>
    <row r="735">
      <c r="A735" s="11" t="n">
        <v>734</v>
      </c>
      <c r="B735" s="12" t="n">
        <v>46100</v>
      </c>
      <c r="C735" s="11" t="inlineStr">
        <is>
          <t>INTF</t>
        </is>
      </c>
      <c r="D735" s="11" t="inlineStr">
        <is>
          <t>202603</t>
        </is>
      </c>
      <c r="E735" s="11" t="inlineStr">
        <is>
          <t>1006999057</t>
        </is>
      </c>
      <c r="F735" s="11" t="inlineStr">
        <is>
          <t>TRUJILLO GUANGA SOBE</t>
        </is>
      </c>
      <c r="G735" s="11" t="inlineStr"/>
      <c r="H735" s="11" t="inlineStr">
        <is>
          <t>INTERFACE P.O.S.</t>
        </is>
      </c>
      <c r="I735" s="11" t="n">
        <v>7400</v>
      </c>
      <c r="J735" s="11" t="inlineStr"/>
    </row>
    <row r="736">
      <c r="A736" s="11" t="n">
        <v>735</v>
      </c>
      <c r="B736" s="12" t="n">
        <v>46100</v>
      </c>
      <c r="C736" s="11" t="inlineStr">
        <is>
          <t>INTF</t>
        </is>
      </c>
      <c r="D736" s="11" t="inlineStr">
        <is>
          <t>202603</t>
        </is>
      </c>
      <c r="E736" s="11" t="inlineStr">
        <is>
          <t>38613969</t>
        </is>
      </c>
      <c r="F736" s="11" t="inlineStr">
        <is>
          <t>BATERO CORTES MARIA</t>
        </is>
      </c>
      <c r="G736" s="11" t="inlineStr"/>
      <c r="H736" s="11" t="inlineStr">
        <is>
          <t>INTERFACE P.O.S.</t>
        </is>
      </c>
      <c r="I736" s="11" t="n">
        <v>165600</v>
      </c>
      <c r="J736" s="11" t="inlineStr"/>
    </row>
    <row r="737">
      <c r="A737" s="11" t="n">
        <v>736</v>
      </c>
      <c r="B737" s="12" t="n">
        <v>46100</v>
      </c>
      <c r="C737" s="11" t="inlineStr">
        <is>
          <t>INTF</t>
        </is>
      </c>
      <c r="D737" s="11" t="inlineStr">
        <is>
          <t>202603</t>
        </is>
      </c>
      <c r="E737" s="11" t="inlineStr">
        <is>
          <t>1143877518</t>
        </is>
      </c>
      <c r="F737" s="11" t="inlineStr">
        <is>
          <t>ESPAÑA DIAZ ALEJANDR</t>
        </is>
      </c>
      <c r="G737" s="11" t="inlineStr"/>
      <c r="H737" s="11" t="inlineStr">
        <is>
          <t>INTERFACE P.O.S.</t>
        </is>
      </c>
      <c r="I737" s="11" t="n">
        <v>35500</v>
      </c>
      <c r="J737" s="11" t="inlineStr"/>
    </row>
    <row r="738">
      <c r="A738" s="11" t="n">
        <v>737</v>
      </c>
      <c r="B738" s="12" t="n">
        <v>46100</v>
      </c>
      <c r="C738" s="11" t="inlineStr">
        <is>
          <t>INTF</t>
        </is>
      </c>
      <c r="D738" s="11" t="inlineStr">
        <is>
          <t>202603</t>
        </is>
      </c>
      <c r="E738" s="11" t="inlineStr">
        <is>
          <t>19337491</t>
        </is>
      </c>
      <c r="F738" s="11" t="inlineStr">
        <is>
          <t>PULIDO GUTIERRES PAS</t>
        </is>
      </c>
      <c r="G738" s="11" t="inlineStr"/>
      <c r="H738" s="11" t="inlineStr">
        <is>
          <t>INTERFACE P.O.S.</t>
        </is>
      </c>
      <c r="I738" s="11" t="n">
        <v>9500</v>
      </c>
      <c r="J738" s="11" t="inlineStr"/>
    </row>
    <row r="739">
      <c r="A739" s="11" t="n">
        <v>738</v>
      </c>
      <c r="B739" s="12" t="n">
        <v>46100</v>
      </c>
      <c r="C739" s="11" t="inlineStr">
        <is>
          <t>INTF</t>
        </is>
      </c>
      <c r="D739" s="11" t="inlineStr">
        <is>
          <t>202603</t>
        </is>
      </c>
      <c r="E739" s="11" t="inlineStr">
        <is>
          <t>1127077133</t>
        </is>
      </c>
      <c r="F739" s="11" t="inlineStr">
        <is>
          <t>LOPEZ DIAZ CAMIL</t>
        </is>
      </c>
      <c r="G739" s="11" t="inlineStr"/>
      <c r="H739" s="11" t="inlineStr">
        <is>
          <t>INTERFACE P.O.S.</t>
        </is>
      </c>
      <c r="I739" s="11" t="n">
        <v>16600</v>
      </c>
      <c r="J739" s="11" t="inlineStr"/>
    </row>
    <row r="740">
      <c r="A740" s="11" t="n">
        <v>739</v>
      </c>
      <c r="B740" s="12" t="n">
        <v>46100</v>
      </c>
      <c r="C740" s="11" t="inlineStr">
        <is>
          <t>INTF</t>
        </is>
      </c>
      <c r="D740" s="11" t="inlineStr">
        <is>
          <t>202603</t>
        </is>
      </c>
      <c r="E740" s="11" t="inlineStr">
        <is>
          <t>7124834</t>
        </is>
      </c>
      <c r="F740" s="11" t="inlineStr">
        <is>
          <t>GONSALEZ LASSO HUGO</t>
        </is>
      </c>
      <c r="G740" s="11" t="inlineStr"/>
      <c r="H740" s="11" t="inlineStr">
        <is>
          <t>INTERFACE P.O.S.</t>
        </is>
      </c>
      <c r="I740" s="11" t="n">
        <v>12000</v>
      </c>
      <c r="J740" s="11" t="inlineStr"/>
    </row>
    <row r="741">
      <c r="A741" s="11" t="n">
        <v>740</v>
      </c>
      <c r="B741" s="12" t="n">
        <v>46100</v>
      </c>
      <c r="C741" s="11" t="inlineStr">
        <is>
          <t>INTF</t>
        </is>
      </c>
      <c r="D741" s="11" t="inlineStr">
        <is>
          <t>202603</t>
        </is>
      </c>
      <c r="E741" s="11" t="inlineStr">
        <is>
          <t>1123322612</t>
        </is>
      </c>
      <c r="F741" s="11" t="inlineStr">
        <is>
          <t>SALCEDO ENRIQUEZ MAR</t>
        </is>
      </c>
      <c r="G741" s="11" t="inlineStr"/>
      <c r="H741" s="11" t="inlineStr">
        <is>
          <t>INTERFACE P.O.S.</t>
        </is>
      </c>
      <c r="I741" s="11" t="n">
        <v>12200</v>
      </c>
      <c r="J741" s="11" t="inlineStr"/>
    </row>
    <row r="742">
      <c r="A742" s="11" t="n">
        <v>741</v>
      </c>
      <c r="B742" s="12" t="n">
        <v>46100</v>
      </c>
      <c r="C742" s="11" t="inlineStr">
        <is>
          <t>INTF</t>
        </is>
      </c>
      <c r="D742" s="11" t="inlineStr">
        <is>
          <t>202603</t>
        </is>
      </c>
      <c r="E742" s="11" t="inlineStr">
        <is>
          <t>97435767</t>
        </is>
      </c>
      <c r="F742" s="11" t="inlineStr">
        <is>
          <t>ORDOÑEZ POLANIA A</t>
        </is>
      </c>
      <c r="G742" s="11" t="inlineStr"/>
      <c r="H742" s="11" t="inlineStr">
        <is>
          <t>INTERFACE P.O.S.</t>
        </is>
      </c>
      <c r="I742" s="11" t="n">
        <v>75500</v>
      </c>
      <c r="J742" s="11" t="inlineStr"/>
    </row>
    <row r="743">
      <c r="A743" s="11" t="n">
        <v>742</v>
      </c>
      <c r="B743" s="12" t="n">
        <v>46100</v>
      </c>
      <c r="C743" s="11" t="inlineStr">
        <is>
          <t>INTF</t>
        </is>
      </c>
      <c r="D743" s="11" t="inlineStr">
        <is>
          <t>202603</t>
        </is>
      </c>
      <c r="E743" s="11" t="inlineStr">
        <is>
          <t>1006850666</t>
        </is>
      </c>
      <c r="F743" s="11" t="inlineStr">
        <is>
          <t>DOBIGAMA TANIGAMA ES</t>
        </is>
      </c>
      <c r="G743" s="11" t="inlineStr"/>
      <c r="H743" s="11" t="inlineStr">
        <is>
          <t>INTERFACE P.O.S.</t>
        </is>
      </c>
      <c r="I743" s="11" t="n">
        <v>20100</v>
      </c>
      <c r="J743" s="11" t="inlineStr"/>
    </row>
    <row r="744">
      <c r="A744" s="11" t="n">
        <v>743</v>
      </c>
      <c r="B744" s="12" t="n">
        <v>46100</v>
      </c>
      <c r="C744" s="11" t="inlineStr">
        <is>
          <t>INTF</t>
        </is>
      </c>
      <c r="D744" s="11" t="inlineStr">
        <is>
          <t>202603</t>
        </is>
      </c>
      <c r="E744" s="11" t="inlineStr">
        <is>
          <t>98355565</t>
        </is>
      </c>
      <c r="F744" s="11" t="inlineStr">
        <is>
          <t>GARCIA BOLAÑOS LEXI</t>
        </is>
      </c>
      <c r="G744" s="11" t="inlineStr"/>
      <c r="H744" s="11" t="inlineStr">
        <is>
          <t>INTERFACE P.O.S.</t>
        </is>
      </c>
      <c r="I744" s="11" t="n">
        <v>25900</v>
      </c>
      <c r="J744" s="11" t="inlineStr"/>
    </row>
    <row r="745">
      <c r="A745" s="11" t="n">
        <v>744</v>
      </c>
      <c r="B745" s="12" t="n">
        <v>46100</v>
      </c>
      <c r="C745" s="11" t="inlineStr">
        <is>
          <t>INTF</t>
        </is>
      </c>
      <c r="D745" s="11" t="inlineStr">
        <is>
          <t>202603</t>
        </is>
      </c>
      <c r="E745" s="11" t="inlineStr">
        <is>
          <t>1130145186</t>
        </is>
      </c>
      <c r="F745" s="11" t="inlineStr">
        <is>
          <t>CORTEZ CAICEDO NAYEL</t>
        </is>
      </c>
      <c r="G745" s="11" t="inlineStr"/>
      <c r="H745" s="11" t="inlineStr">
        <is>
          <t>INTERFACE P.O.S.</t>
        </is>
      </c>
      <c r="I745" s="11" t="n">
        <v>9600</v>
      </c>
      <c r="J745" s="11" t="inlineStr"/>
    </row>
    <row r="746">
      <c r="A746" s="11" t="n">
        <v>745</v>
      </c>
      <c r="B746" s="12" t="n">
        <v>46100</v>
      </c>
      <c r="C746" s="11" t="inlineStr">
        <is>
          <t>INTF</t>
        </is>
      </c>
      <c r="D746" s="11" t="inlineStr">
        <is>
          <t>202603</t>
        </is>
      </c>
      <c r="E746" s="11" t="inlineStr">
        <is>
          <t>1193088315</t>
        </is>
      </c>
      <c r="F746" s="11" t="inlineStr">
        <is>
          <t>MONTENEGRO BOLAÑOS I</t>
        </is>
      </c>
      <c r="G746" s="11" t="inlineStr"/>
      <c r="H746" s="11" t="inlineStr">
        <is>
          <t>INTERFACE P.O.S.</t>
        </is>
      </c>
      <c r="I746" s="11" t="n">
        <v>15000</v>
      </c>
      <c r="J746" s="11" t="inlineStr"/>
    </row>
    <row r="747">
      <c r="A747" s="11" t="n">
        <v>746</v>
      </c>
      <c r="B747" s="12" t="n">
        <v>46100</v>
      </c>
      <c r="C747" s="11" t="inlineStr">
        <is>
          <t>INTF</t>
        </is>
      </c>
      <c r="D747" s="11" t="inlineStr">
        <is>
          <t>202603</t>
        </is>
      </c>
      <c r="E747" s="11" t="inlineStr">
        <is>
          <t>1123324228</t>
        </is>
      </c>
      <c r="F747" s="11" t="inlineStr">
        <is>
          <t>TIMANA LARA DIANA MA</t>
        </is>
      </c>
      <c r="G747" s="11" t="inlineStr"/>
      <c r="H747" s="11" t="inlineStr">
        <is>
          <t>INTERFACE P.O.S.</t>
        </is>
      </c>
      <c r="I747" s="11" t="n">
        <v>14500</v>
      </c>
      <c r="J747" s="11" t="inlineStr"/>
    </row>
    <row r="748">
      <c r="A748" s="11" t="n">
        <v>747</v>
      </c>
      <c r="B748" s="12" t="n">
        <v>46100</v>
      </c>
      <c r="C748" s="11" t="inlineStr">
        <is>
          <t>INTF</t>
        </is>
      </c>
      <c r="D748" s="11" t="inlineStr">
        <is>
          <t>202603</t>
        </is>
      </c>
      <c r="E748" s="11" t="inlineStr">
        <is>
          <t>41108589</t>
        </is>
      </c>
      <c r="F748" s="11" t="inlineStr">
        <is>
          <t>CUERVO ENRRIQUEZ ANA</t>
        </is>
      </c>
      <c r="G748" s="11" t="inlineStr"/>
      <c r="H748" s="11" t="inlineStr">
        <is>
          <t>INTERFACE P.O.S.</t>
        </is>
      </c>
      <c r="I748" s="11" t="n">
        <v>6400</v>
      </c>
      <c r="J748" s="11" t="inlineStr"/>
    </row>
    <row r="749">
      <c r="A749" s="11" t="n">
        <v>748</v>
      </c>
      <c r="B749" s="12" t="n">
        <v>46100</v>
      </c>
      <c r="C749" s="11" t="inlineStr">
        <is>
          <t>INTF</t>
        </is>
      </c>
      <c r="D749" s="11" t="inlineStr">
        <is>
          <t>202603</t>
        </is>
      </c>
      <c r="E749" s="11" t="inlineStr">
        <is>
          <t>1023888740</t>
        </is>
      </c>
      <c r="F749" s="11" t="inlineStr">
        <is>
          <t>GARZON ROCHA WILSON</t>
        </is>
      </c>
      <c r="G749" s="11" t="inlineStr"/>
      <c r="H749" s="11" t="inlineStr">
        <is>
          <t>INTERFACE P.O.S.</t>
        </is>
      </c>
      <c r="I749" s="11" t="n">
        <v>4000</v>
      </c>
      <c r="J749" s="11" t="inlineStr"/>
    </row>
    <row r="750">
      <c r="A750" s="11" t="n">
        <v>749</v>
      </c>
      <c r="B750" s="12" t="n">
        <v>46100</v>
      </c>
      <c r="C750" s="11" t="inlineStr">
        <is>
          <t>INTF</t>
        </is>
      </c>
      <c r="D750" s="11" t="inlineStr">
        <is>
          <t>202603</t>
        </is>
      </c>
      <c r="E750" s="11" t="inlineStr">
        <is>
          <t>1123332864</t>
        </is>
      </c>
      <c r="F750" s="11" t="inlineStr">
        <is>
          <t>HUERTAS PALCHUCAN MI</t>
        </is>
      </c>
      <c r="G750" s="11" t="inlineStr"/>
      <c r="H750" s="11" t="inlineStr">
        <is>
          <t>INTERFACE P.O.S.</t>
        </is>
      </c>
      <c r="I750" s="11" t="n">
        <v>18800</v>
      </c>
      <c r="J750" s="11" t="inlineStr"/>
    </row>
    <row r="751">
      <c r="A751" s="11" t="n">
        <v>750</v>
      </c>
      <c r="B751" s="12" t="n">
        <v>46100</v>
      </c>
      <c r="C751" s="11" t="inlineStr">
        <is>
          <t>INTF</t>
        </is>
      </c>
      <c r="D751" s="11" t="inlineStr">
        <is>
          <t>202603</t>
        </is>
      </c>
      <c r="E751" s="11" t="inlineStr">
        <is>
          <t>1006850096</t>
        </is>
      </c>
      <c r="F751" s="11" t="inlineStr">
        <is>
          <t>GUIZA GAVIRIA KAREN</t>
        </is>
      </c>
      <c r="G751" s="11" t="inlineStr"/>
      <c r="H751" s="11" t="inlineStr">
        <is>
          <t>INTERFACE P.O.S.</t>
        </is>
      </c>
      <c r="I751" s="11" t="n">
        <v>36500</v>
      </c>
      <c r="J751" s="11" t="inlineStr"/>
    </row>
    <row r="752">
      <c r="A752" s="11" t="n">
        <v>751</v>
      </c>
      <c r="B752" s="12" t="n">
        <v>46100</v>
      </c>
      <c r="C752" s="11" t="inlineStr">
        <is>
          <t>INTF</t>
        </is>
      </c>
      <c r="D752" s="11" t="inlineStr">
        <is>
          <t>202603</t>
        </is>
      </c>
      <c r="E752" s="11" t="inlineStr">
        <is>
          <t>1123323462</t>
        </is>
      </c>
      <c r="F752" s="11" t="inlineStr">
        <is>
          <t>BENAVIDEZ HERNANDEZ</t>
        </is>
      </c>
      <c r="G752" s="11" t="inlineStr"/>
      <c r="H752" s="11" t="inlineStr">
        <is>
          <t>INTERFACE P.O.S.</t>
        </is>
      </c>
      <c r="I752" s="11" t="n">
        <v>16900</v>
      </c>
      <c r="J752" s="11" t="inlineStr"/>
    </row>
    <row r="753">
      <c r="A753" s="11" t="n">
        <v>752</v>
      </c>
      <c r="B753" s="12" t="n">
        <v>46101</v>
      </c>
      <c r="C753" s="11" t="inlineStr">
        <is>
          <t>INTF</t>
        </is>
      </c>
      <c r="D753" s="11" t="inlineStr">
        <is>
          <t>202603</t>
        </is>
      </c>
      <c r="E753" s="11" t="inlineStr">
        <is>
          <t>66956077</t>
        </is>
      </c>
      <c r="F753" s="11" t="inlineStr">
        <is>
          <t>VARGAS GAMBOA DOLY</t>
        </is>
      </c>
      <c r="G753" s="11" t="inlineStr"/>
      <c r="H753" s="11" t="inlineStr">
        <is>
          <t>INTERFACE P.O.S.</t>
        </is>
      </c>
      <c r="I753" s="11" t="n">
        <v>7000</v>
      </c>
      <c r="J753" s="11" t="inlineStr"/>
    </row>
    <row r="754">
      <c r="A754" s="11" t="n">
        <v>753</v>
      </c>
      <c r="B754" s="12" t="n">
        <v>46101</v>
      </c>
      <c r="C754" s="11" t="inlineStr">
        <is>
          <t>INTF</t>
        </is>
      </c>
      <c r="D754" s="11" t="inlineStr">
        <is>
          <t>202603</t>
        </is>
      </c>
      <c r="E754" s="11" t="inlineStr">
        <is>
          <t>16734589</t>
        </is>
      </c>
      <c r="F754" s="11" t="inlineStr">
        <is>
          <t>TOBON BUITRAGO LUIS</t>
        </is>
      </c>
      <c r="G754" s="11" t="inlineStr"/>
      <c r="H754" s="11" t="inlineStr">
        <is>
          <t>INTERFACE P.O.S.</t>
        </is>
      </c>
      <c r="I754" s="11" t="n">
        <v>45000</v>
      </c>
      <c r="J754" s="11" t="inlineStr"/>
    </row>
    <row r="755">
      <c r="A755" s="11" t="n">
        <v>754</v>
      </c>
      <c r="B755" s="12" t="n">
        <v>46101</v>
      </c>
      <c r="C755" s="11" t="inlineStr">
        <is>
          <t>INTF</t>
        </is>
      </c>
      <c r="D755" s="11" t="inlineStr">
        <is>
          <t>202603</t>
        </is>
      </c>
      <c r="E755" s="11" t="inlineStr">
        <is>
          <t>1123335029</t>
        </is>
      </c>
      <c r="F755" s="11" t="inlineStr">
        <is>
          <t>SANCHEZ TORO JUAN CA</t>
        </is>
      </c>
      <c r="G755" s="11" t="inlineStr"/>
      <c r="H755" s="11" t="inlineStr">
        <is>
          <t>INTERFACE P.O.S.</t>
        </is>
      </c>
      <c r="I755" s="11" t="n">
        <v>16700</v>
      </c>
      <c r="J755" s="11" t="inlineStr"/>
    </row>
    <row r="756">
      <c r="A756" s="11" t="n">
        <v>755</v>
      </c>
      <c r="B756" s="12" t="n">
        <v>46101</v>
      </c>
      <c r="C756" s="11" t="inlineStr">
        <is>
          <t>INTF</t>
        </is>
      </c>
      <c r="D756" s="11" t="inlineStr">
        <is>
          <t>202603</t>
        </is>
      </c>
      <c r="E756" s="11" t="inlineStr">
        <is>
          <t>1017148146</t>
        </is>
      </c>
      <c r="F756" s="11" t="inlineStr">
        <is>
          <t>VIUCHE GUERRERO LEID</t>
        </is>
      </c>
      <c r="G756" s="11" t="inlineStr"/>
      <c r="H756" s="11" t="inlineStr">
        <is>
          <t>INTERFACE P.O.S.</t>
        </is>
      </c>
      <c r="I756" s="11" t="n">
        <v>28400</v>
      </c>
      <c r="J756" s="11" t="inlineStr"/>
    </row>
    <row r="757">
      <c r="A757" s="11" t="n">
        <v>756</v>
      </c>
      <c r="B757" s="12" t="n">
        <v>46101</v>
      </c>
      <c r="C757" s="11" t="inlineStr">
        <is>
          <t>INTF</t>
        </is>
      </c>
      <c r="D757" s="11" t="inlineStr">
        <is>
          <t>202603</t>
        </is>
      </c>
      <c r="E757" s="11" t="inlineStr">
        <is>
          <t>69016469</t>
        </is>
      </c>
      <c r="F757" s="11" t="inlineStr">
        <is>
          <t>RAYO CARDONA MARIA A</t>
        </is>
      </c>
      <c r="G757" s="11" t="inlineStr"/>
      <c r="H757" s="11" t="inlineStr">
        <is>
          <t>INTERFACE P.O.S.</t>
        </is>
      </c>
      <c r="I757" s="11" t="n">
        <v>15500</v>
      </c>
      <c r="J757" s="11" t="inlineStr"/>
    </row>
    <row r="758">
      <c r="A758" s="11" t="n">
        <v>757</v>
      </c>
      <c r="B758" s="12" t="n">
        <v>46101</v>
      </c>
      <c r="C758" s="11" t="inlineStr">
        <is>
          <t>INTF</t>
        </is>
      </c>
      <c r="D758" s="11" t="inlineStr">
        <is>
          <t>202603</t>
        </is>
      </c>
      <c r="E758" s="11" t="inlineStr">
        <is>
          <t>52057799</t>
        </is>
      </c>
      <c r="F758" s="11" t="inlineStr">
        <is>
          <t>CARRETERO DIAZ MARTH</t>
        </is>
      </c>
      <c r="G758" s="11" t="inlineStr"/>
      <c r="H758" s="11" t="inlineStr">
        <is>
          <t>INTERFACE P.O.S.</t>
        </is>
      </c>
      <c r="I758" s="11" t="n">
        <v>39400</v>
      </c>
      <c r="J758" s="11" t="inlineStr"/>
    </row>
    <row r="759">
      <c r="A759" s="11" t="n">
        <v>758</v>
      </c>
      <c r="B759" s="12" t="n">
        <v>46101</v>
      </c>
      <c r="C759" s="11" t="inlineStr">
        <is>
          <t>INTF</t>
        </is>
      </c>
      <c r="D759" s="11" t="inlineStr">
        <is>
          <t>202603</t>
        </is>
      </c>
      <c r="E759" s="11" t="inlineStr">
        <is>
          <t>75060429</t>
        </is>
      </c>
      <c r="F759" s="11" t="inlineStr">
        <is>
          <t>ZAPATA BETANCURTH RO</t>
        </is>
      </c>
      <c r="G759" s="11" t="inlineStr"/>
      <c r="H759" s="11" t="inlineStr">
        <is>
          <t>INTERFACE P.O.S.</t>
        </is>
      </c>
      <c r="I759" s="11" t="n">
        <v>63000</v>
      </c>
      <c r="J759" s="11" t="inlineStr"/>
    </row>
    <row r="760">
      <c r="A760" s="11" t="n">
        <v>759</v>
      </c>
      <c r="B760" s="12" t="n">
        <v>46101</v>
      </c>
      <c r="C760" s="11" t="inlineStr">
        <is>
          <t>INTF</t>
        </is>
      </c>
      <c r="D760" s="11" t="inlineStr">
        <is>
          <t>202603</t>
        </is>
      </c>
      <c r="E760" s="11" t="inlineStr">
        <is>
          <t>1123328281</t>
        </is>
      </c>
      <c r="F760" s="11" t="inlineStr">
        <is>
          <t>RENTERIA MARURANA CR</t>
        </is>
      </c>
      <c r="G760" s="11" t="inlineStr"/>
      <c r="H760" s="11" t="inlineStr">
        <is>
          <t>INTERFACE P.O.S.</t>
        </is>
      </c>
      <c r="I760" s="11" t="n">
        <v>70000</v>
      </c>
      <c r="J760" s="11" t="inlineStr"/>
    </row>
    <row r="761">
      <c r="A761" s="11" t="n">
        <v>760</v>
      </c>
      <c r="B761" s="12" t="n">
        <v>46101</v>
      </c>
      <c r="C761" s="11" t="inlineStr">
        <is>
          <t>INTF</t>
        </is>
      </c>
      <c r="D761" s="11" t="inlineStr">
        <is>
          <t>202603</t>
        </is>
      </c>
      <c r="E761" s="11" t="inlineStr">
        <is>
          <t>1123329290</t>
        </is>
      </c>
      <c r="F761" s="11" t="inlineStr">
        <is>
          <t>CHAVES IMBACHI TATIA</t>
        </is>
      </c>
      <c r="G761" s="11" t="inlineStr"/>
      <c r="H761" s="11" t="inlineStr">
        <is>
          <t>INTERFACE P.O.S.</t>
        </is>
      </c>
      <c r="I761" s="11" t="n">
        <v>19300</v>
      </c>
      <c r="J761" s="11" t="inlineStr"/>
    </row>
    <row r="762">
      <c r="A762" s="11" t="n">
        <v>761</v>
      </c>
      <c r="B762" s="12" t="n">
        <v>46101</v>
      </c>
      <c r="C762" s="11" t="inlineStr">
        <is>
          <t>INTF</t>
        </is>
      </c>
      <c r="D762" s="11" t="inlineStr">
        <is>
          <t>202603</t>
        </is>
      </c>
      <c r="E762" s="11" t="inlineStr">
        <is>
          <t>1075278733</t>
        </is>
      </c>
      <c r="F762" s="11" t="inlineStr">
        <is>
          <t>FLOREZ REYES DAYAN L</t>
        </is>
      </c>
      <c r="G762" s="11" t="inlineStr"/>
      <c r="H762" s="11" t="inlineStr">
        <is>
          <t>INTERFACE P.O.S.</t>
        </is>
      </c>
      <c r="I762" s="11" t="n">
        <v>25900</v>
      </c>
      <c r="J762" s="11" t="inlineStr"/>
    </row>
    <row r="763">
      <c r="A763" s="11" t="n">
        <v>762</v>
      </c>
      <c r="B763" s="12" t="n">
        <v>46101</v>
      </c>
      <c r="C763" s="11" t="inlineStr">
        <is>
          <t>INTF</t>
        </is>
      </c>
      <c r="D763" s="11" t="inlineStr">
        <is>
          <t>202603</t>
        </is>
      </c>
      <c r="E763" s="11" t="inlineStr">
        <is>
          <t>1004193409</t>
        </is>
      </c>
      <c r="F763" s="11" t="inlineStr">
        <is>
          <t>MANCHABAJOY RINCON J</t>
        </is>
      </c>
      <c r="G763" s="11" t="inlineStr"/>
      <c r="H763" s="11" t="inlineStr">
        <is>
          <t>INTERFACE P.O.S.</t>
        </is>
      </c>
      <c r="I763" s="11" t="n">
        <v>2500</v>
      </c>
      <c r="J763" s="11" t="inlineStr"/>
    </row>
    <row r="764">
      <c r="A764" s="11" t="n">
        <v>763</v>
      </c>
      <c r="B764" s="12" t="n">
        <v>46101</v>
      </c>
      <c r="C764" s="11" t="inlineStr">
        <is>
          <t>INTF</t>
        </is>
      </c>
      <c r="D764" s="11" t="inlineStr">
        <is>
          <t>202603</t>
        </is>
      </c>
      <c r="E764" s="11" t="inlineStr">
        <is>
          <t>1093228302</t>
        </is>
      </c>
      <c r="F764" s="11" t="inlineStr">
        <is>
          <t>ORDOÑEZ MEDINA MARIA</t>
        </is>
      </c>
      <c r="G764" s="11" t="inlineStr"/>
      <c r="H764" s="11" t="inlineStr">
        <is>
          <t>INTERFACE P.O.S.</t>
        </is>
      </c>
      <c r="I764" s="11" t="n">
        <v>70000</v>
      </c>
      <c r="J764" s="11" t="inlineStr"/>
    </row>
    <row r="765">
      <c r="A765" s="11" t="n">
        <v>764</v>
      </c>
      <c r="B765" s="12" t="n">
        <v>46101</v>
      </c>
      <c r="C765" s="11" t="inlineStr">
        <is>
          <t>INTF</t>
        </is>
      </c>
      <c r="D765" s="11" t="inlineStr">
        <is>
          <t>202603</t>
        </is>
      </c>
      <c r="E765" s="11" t="inlineStr">
        <is>
          <t>1123331758</t>
        </is>
      </c>
      <c r="F765" s="11" t="inlineStr">
        <is>
          <t>GRAJALES OSORIO DIAN</t>
        </is>
      </c>
      <c r="G765" s="11" t="inlineStr"/>
      <c r="H765" s="11" t="inlineStr">
        <is>
          <t>INTERFACE P.O.S.</t>
        </is>
      </c>
      <c r="I765" s="11" t="n">
        <v>3000</v>
      </c>
      <c r="J765" s="11" t="inlineStr"/>
    </row>
    <row r="766">
      <c r="A766" s="11" t="n">
        <v>765</v>
      </c>
      <c r="B766" s="12" t="n">
        <v>46101</v>
      </c>
      <c r="C766" s="11" t="inlineStr">
        <is>
          <t>INTF</t>
        </is>
      </c>
      <c r="D766" s="11" t="inlineStr">
        <is>
          <t>202603</t>
        </is>
      </c>
      <c r="E766" s="11" t="inlineStr">
        <is>
          <t>18147209</t>
        </is>
      </c>
      <c r="F766" s="11" t="inlineStr">
        <is>
          <t>BURBANO GARCIA FRANK</t>
        </is>
      </c>
      <c r="G766" s="11" t="inlineStr"/>
      <c r="H766" s="11" t="inlineStr">
        <is>
          <t>INTERFACE P.O.S.</t>
        </is>
      </c>
      <c r="I766" s="11" t="n">
        <v>5000</v>
      </c>
      <c r="J766" s="11" t="inlineStr"/>
    </row>
    <row r="767">
      <c r="A767" s="11" t="n">
        <v>766</v>
      </c>
      <c r="B767" s="12" t="n">
        <v>46101</v>
      </c>
      <c r="C767" s="11" t="inlineStr">
        <is>
          <t>INTF</t>
        </is>
      </c>
      <c r="D767" s="11" t="inlineStr">
        <is>
          <t>202603</t>
        </is>
      </c>
      <c r="E767" s="11" t="inlineStr">
        <is>
          <t>1075300641</t>
        </is>
      </c>
      <c r="F767" s="11" t="inlineStr">
        <is>
          <t>MILLAN SOUSA NATALY</t>
        </is>
      </c>
      <c r="G767" s="11" t="inlineStr"/>
      <c r="H767" s="11" t="inlineStr">
        <is>
          <t>INTERFACE P.O.S.</t>
        </is>
      </c>
      <c r="I767" s="11" t="n">
        <v>9010</v>
      </c>
      <c r="J767" s="11" t="inlineStr"/>
    </row>
    <row r="768">
      <c r="A768" s="11" t="n">
        <v>767</v>
      </c>
      <c r="B768" s="12" t="n">
        <v>46101</v>
      </c>
      <c r="C768" s="11" t="inlineStr">
        <is>
          <t>INTF</t>
        </is>
      </c>
      <c r="D768" s="11" t="inlineStr">
        <is>
          <t>202603</t>
        </is>
      </c>
      <c r="E768" s="11" t="inlineStr">
        <is>
          <t>1005337692</t>
        </is>
      </c>
      <c r="F768" s="11" t="inlineStr">
        <is>
          <t>ALBA PEREZ MARIA CAM</t>
        </is>
      </c>
      <c r="G768" s="11" t="inlineStr"/>
      <c r="H768" s="11" t="inlineStr">
        <is>
          <t>INTERFACE P.O.S.</t>
        </is>
      </c>
      <c r="I768" s="11" t="n">
        <v>27600</v>
      </c>
      <c r="J768" s="11" t="inlineStr"/>
    </row>
    <row r="769">
      <c r="A769" s="11" t="n">
        <v>768</v>
      </c>
      <c r="B769" s="12" t="n">
        <v>46101</v>
      </c>
      <c r="C769" s="11" t="inlineStr">
        <is>
          <t>INTF</t>
        </is>
      </c>
      <c r="D769" s="11" t="inlineStr">
        <is>
          <t>202603</t>
        </is>
      </c>
      <c r="E769" s="11" t="inlineStr">
        <is>
          <t>1123320594</t>
        </is>
      </c>
      <c r="F769" s="11" t="inlineStr">
        <is>
          <t>CUEVA PINTA WILSON B</t>
        </is>
      </c>
      <c r="G769" s="11" t="inlineStr"/>
      <c r="H769" s="11" t="inlineStr">
        <is>
          <t>INTERFACE P.O.S.</t>
        </is>
      </c>
      <c r="I769" s="11" t="n">
        <v>6700</v>
      </c>
      <c r="J769" s="11" t="inlineStr"/>
    </row>
    <row r="770">
      <c r="A770" s="11" t="n">
        <v>769</v>
      </c>
      <c r="B770" s="12" t="n">
        <v>46101</v>
      </c>
      <c r="C770" s="11" t="inlineStr">
        <is>
          <t>INTF</t>
        </is>
      </c>
      <c r="D770" s="11" t="inlineStr">
        <is>
          <t>202603</t>
        </is>
      </c>
      <c r="E770" s="11" t="inlineStr">
        <is>
          <t>1123324940</t>
        </is>
      </c>
      <c r="F770" s="11" t="inlineStr">
        <is>
          <t>BADOS ORTEGA LUZ BIY</t>
        </is>
      </c>
      <c r="G770" s="11" t="inlineStr"/>
      <c r="H770" s="11" t="inlineStr">
        <is>
          <t>INTERFACE P.O.S.</t>
        </is>
      </c>
      <c r="I770" s="11" t="n">
        <v>49200</v>
      </c>
      <c r="J770" s="11" t="inlineStr"/>
    </row>
    <row r="771">
      <c r="A771" s="11" t="n">
        <v>770</v>
      </c>
      <c r="B771" s="12" t="n">
        <v>46101</v>
      </c>
      <c r="C771" s="11" t="inlineStr">
        <is>
          <t>INTF</t>
        </is>
      </c>
      <c r="D771" s="11" t="inlineStr">
        <is>
          <t>202603</t>
        </is>
      </c>
      <c r="E771" s="11" t="inlineStr">
        <is>
          <t>18146900</t>
        </is>
      </c>
      <c r="F771" s="11" t="inlineStr">
        <is>
          <t>MILTON ALFREDO CUASP</t>
        </is>
      </c>
      <c r="G771" s="11" t="inlineStr"/>
      <c r="H771" s="11" t="inlineStr">
        <is>
          <t>INTERFACE P.O.S.</t>
        </is>
      </c>
      <c r="I771" s="11" t="n">
        <v>37000</v>
      </c>
      <c r="J771" s="11" t="inlineStr"/>
    </row>
    <row r="772">
      <c r="A772" s="11" t="n">
        <v>771</v>
      </c>
      <c r="B772" s="12" t="n">
        <v>46101</v>
      </c>
      <c r="C772" s="11" t="inlineStr">
        <is>
          <t>INTF</t>
        </is>
      </c>
      <c r="D772" s="11" t="inlineStr">
        <is>
          <t>202603</t>
        </is>
      </c>
      <c r="E772" s="11" t="inlineStr">
        <is>
          <t>1086418248</t>
        </is>
      </c>
      <c r="F772" s="11" t="inlineStr">
        <is>
          <t>CEBALLOS CUASTUMAL A</t>
        </is>
      </c>
      <c r="G772" s="11" t="inlineStr"/>
      <c r="H772" s="11" t="inlineStr">
        <is>
          <t>INTERFACE P.O.S.</t>
        </is>
      </c>
      <c r="I772" s="11" t="n">
        <v>20000</v>
      </c>
      <c r="J772" s="11" t="inlineStr"/>
    </row>
    <row r="773">
      <c r="A773" s="11" t="n">
        <v>772</v>
      </c>
      <c r="B773" s="12" t="n">
        <v>46101</v>
      </c>
      <c r="C773" s="11" t="inlineStr">
        <is>
          <t>INTF</t>
        </is>
      </c>
      <c r="D773" s="11" t="inlineStr">
        <is>
          <t>202603</t>
        </is>
      </c>
      <c r="E773" s="11" t="inlineStr">
        <is>
          <t>97448084</t>
        </is>
      </c>
      <c r="F773" s="11" t="inlineStr">
        <is>
          <t>ANDRADE GALINDEZ DEN</t>
        </is>
      </c>
      <c r="G773" s="11" t="inlineStr"/>
      <c r="H773" s="11" t="inlineStr">
        <is>
          <t>INTERFACE P.O.S.</t>
        </is>
      </c>
      <c r="I773" s="11" t="n">
        <v>25800</v>
      </c>
      <c r="J773" s="11" t="inlineStr"/>
    </row>
    <row r="774">
      <c r="A774" s="11" t="n">
        <v>773</v>
      </c>
      <c r="B774" s="12" t="n">
        <v>46101</v>
      </c>
      <c r="C774" s="11" t="inlineStr">
        <is>
          <t>INTF</t>
        </is>
      </c>
      <c r="D774" s="11" t="inlineStr">
        <is>
          <t>202603</t>
        </is>
      </c>
      <c r="E774" s="11" t="inlineStr">
        <is>
          <t>18146457</t>
        </is>
      </c>
      <c r="F774" s="11" t="inlineStr">
        <is>
          <t>SANCHEZ ESTUPIÑAN EN</t>
        </is>
      </c>
      <c r="G774" s="11" t="inlineStr"/>
      <c r="H774" s="11" t="inlineStr">
        <is>
          <t>INTERFACE P.O.S.</t>
        </is>
      </c>
      <c r="I774" s="11" t="n">
        <v>8400</v>
      </c>
      <c r="J774" s="11" t="inlineStr"/>
    </row>
    <row r="775">
      <c r="A775" s="11" t="n">
        <v>774</v>
      </c>
      <c r="B775" s="12" t="n">
        <v>46101</v>
      </c>
      <c r="C775" s="11" t="inlineStr">
        <is>
          <t>INTF</t>
        </is>
      </c>
      <c r="D775" s="11" t="inlineStr">
        <is>
          <t>202603</t>
        </is>
      </c>
      <c r="E775" s="11" t="inlineStr">
        <is>
          <t>1120100991</t>
        </is>
      </c>
      <c r="F775" s="11" t="inlineStr">
        <is>
          <t>CUARAN VILLAMARIN FE</t>
        </is>
      </c>
      <c r="G775" s="11" t="inlineStr"/>
      <c r="H775" s="11" t="inlineStr">
        <is>
          <t>INTERFACE P.O.S.</t>
        </is>
      </c>
      <c r="I775" s="11" t="n">
        <v>7500</v>
      </c>
      <c r="J775" s="11" t="inlineStr"/>
    </row>
    <row r="776">
      <c r="A776" s="11" t="n">
        <v>775</v>
      </c>
      <c r="B776" s="12" t="n">
        <v>46101</v>
      </c>
      <c r="C776" s="11" t="inlineStr">
        <is>
          <t>INTF</t>
        </is>
      </c>
      <c r="D776" s="11" t="inlineStr">
        <is>
          <t>202603</t>
        </is>
      </c>
      <c r="E776" s="11" t="inlineStr">
        <is>
          <t>1094282670</t>
        </is>
      </c>
      <c r="F776" s="11" t="inlineStr">
        <is>
          <t>PEÑA PEÑA LISBETH PA</t>
        </is>
      </c>
      <c r="G776" s="11" t="inlineStr"/>
      <c r="H776" s="11" t="inlineStr">
        <is>
          <t>INTERFACE P.O.S.</t>
        </is>
      </c>
      <c r="I776" s="11" t="n">
        <v>4700</v>
      </c>
      <c r="J776" s="11" t="inlineStr"/>
    </row>
    <row r="777">
      <c r="A777" s="11" t="n">
        <v>776</v>
      </c>
      <c r="B777" s="12" t="n">
        <v>46101</v>
      </c>
      <c r="C777" s="11" t="inlineStr">
        <is>
          <t>INTF</t>
        </is>
      </c>
      <c r="D777" s="11" t="inlineStr">
        <is>
          <t>202603</t>
        </is>
      </c>
      <c r="E777" s="11" t="inlineStr">
        <is>
          <t>1130144976</t>
        </is>
      </c>
      <c r="F777" s="11" t="inlineStr">
        <is>
          <t>CORAL VALERIA</t>
        </is>
      </c>
      <c r="G777" s="11" t="inlineStr"/>
      <c r="H777" s="11" t="inlineStr">
        <is>
          <t>INTERFACE P.O.S.</t>
        </is>
      </c>
      <c r="I777" s="11" t="n">
        <v>21600</v>
      </c>
      <c r="J777" s="11" t="inlineStr"/>
    </row>
    <row r="778">
      <c r="A778" s="11" t="n">
        <v>777</v>
      </c>
      <c r="B778" s="12" t="n">
        <v>46101</v>
      </c>
      <c r="C778" s="11" t="inlineStr">
        <is>
          <t>INTF</t>
        </is>
      </c>
      <c r="D778" s="11" t="inlineStr">
        <is>
          <t>202603</t>
        </is>
      </c>
      <c r="E778" s="11" t="inlineStr">
        <is>
          <t>1123323510</t>
        </is>
      </c>
      <c r="F778" s="11" t="inlineStr">
        <is>
          <t>QUISTIAL CASTRO MART</t>
        </is>
      </c>
      <c r="G778" s="11" t="inlineStr"/>
      <c r="H778" s="11" t="inlineStr">
        <is>
          <t>INTERFACE P.O.S.</t>
        </is>
      </c>
      <c r="I778" s="11" t="n">
        <v>31800</v>
      </c>
      <c r="J778" s="11" t="inlineStr"/>
    </row>
    <row r="779">
      <c r="A779" s="11" t="n">
        <v>778</v>
      </c>
      <c r="B779" s="12" t="n">
        <v>46101</v>
      </c>
      <c r="C779" s="11" t="inlineStr">
        <is>
          <t>INTF</t>
        </is>
      </c>
      <c r="D779" s="11" t="inlineStr">
        <is>
          <t>202603</t>
        </is>
      </c>
      <c r="E779" s="11" t="inlineStr">
        <is>
          <t>41109575</t>
        </is>
      </c>
      <c r="F779" s="11" t="inlineStr">
        <is>
          <t>CHAVES GONZALEZ SHIR</t>
        </is>
      </c>
      <c r="G779" s="11" t="inlineStr"/>
      <c r="H779" s="11" t="inlineStr">
        <is>
          <t>INTERFACE P.O.S.</t>
        </is>
      </c>
      <c r="I779" s="11" t="n">
        <v>5200</v>
      </c>
      <c r="J779" s="11" t="inlineStr"/>
    </row>
    <row r="780">
      <c r="A780" s="11" t="n">
        <v>779</v>
      </c>
      <c r="B780" s="12" t="n">
        <v>46101</v>
      </c>
      <c r="C780" s="11" t="inlineStr">
        <is>
          <t>INTF</t>
        </is>
      </c>
      <c r="D780" s="11" t="inlineStr">
        <is>
          <t>202603</t>
        </is>
      </c>
      <c r="E780" s="11" t="inlineStr">
        <is>
          <t>1006848384</t>
        </is>
      </c>
      <c r="F780" s="11" t="inlineStr">
        <is>
          <t>MIPAZ MUÑOZ YIMI</t>
        </is>
      </c>
      <c r="G780" s="11" t="inlineStr"/>
      <c r="H780" s="11" t="inlineStr">
        <is>
          <t>INTERFACE P.O.S.</t>
        </is>
      </c>
      <c r="I780" s="11" t="n">
        <v>22800</v>
      </c>
      <c r="J780" s="11" t="inlineStr"/>
    </row>
    <row r="781">
      <c r="A781" s="11" t="n">
        <v>780</v>
      </c>
      <c r="B781" s="12" t="n">
        <v>46101</v>
      </c>
      <c r="C781" s="11" t="inlineStr">
        <is>
          <t>INTF</t>
        </is>
      </c>
      <c r="D781" s="11" t="inlineStr">
        <is>
          <t>202603</t>
        </is>
      </c>
      <c r="E781" s="11" t="inlineStr">
        <is>
          <t>1143877518</t>
        </is>
      </c>
      <c r="F781" s="11" t="inlineStr">
        <is>
          <t>ESPAÑA DIAZ ALEJANDR</t>
        </is>
      </c>
      <c r="G781" s="11" t="inlineStr"/>
      <c r="H781" s="11" t="inlineStr">
        <is>
          <t>INTERFACE P.O.S.</t>
        </is>
      </c>
      <c r="I781" s="11" t="n">
        <v>23600</v>
      </c>
      <c r="J781" s="11" t="inlineStr"/>
    </row>
    <row r="782">
      <c r="A782" s="11" t="n">
        <v>781</v>
      </c>
      <c r="B782" s="12" t="n">
        <v>46101</v>
      </c>
      <c r="C782" s="11" t="inlineStr">
        <is>
          <t>INTF</t>
        </is>
      </c>
      <c r="D782" s="11" t="inlineStr">
        <is>
          <t>202603</t>
        </is>
      </c>
      <c r="E782" s="11" t="inlineStr">
        <is>
          <t>1123320367</t>
        </is>
      </c>
      <c r="F782" s="11" t="inlineStr">
        <is>
          <t>CASANOVA CUERO ARGEN</t>
        </is>
      </c>
      <c r="G782" s="11" t="inlineStr"/>
      <c r="H782" s="11" t="inlineStr">
        <is>
          <t>INTERFACE P.O.S.</t>
        </is>
      </c>
      <c r="I782" s="11" t="n">
        <v>12000</v>
      </c>
      <c r="J782" s="11" t="inlineStr"/>
    </row>
    <row r="783">
      <c r="A783" s="11" t="n">
        <v>782</v>
      </c>
      <c r="B783" s="12" t="n">
        <v>46101</v>
      </c>
      <c r="C783" s="11" t="inlineStr">
        <is>
          <t>INTF</t>
        </is>
      </c>
      <c r="D783" s="11" t="inlineStr">
        <is>
          <t>202603</t>
        </is>
      </c>
      <c r="E783" s="11" t="inlineStr">
        <is>
          <t>18147130</t>
        </is>
      </c>
      <c r="F783" s="11" t="inlineStr">
        <is>
          <t>MEZA BOTINA BIANNEI</t>
        </is>
      </c>
      <c r="G783" s="11" t="inlineStr"/>
      <c r="H783" s="11" t="inlineStr">
        <is>
          <t>INTERFACE P.O.S.</t>
        </is>
      </c>
      <c r="I783" s="11" t="n">
        <v>37500</v>
      </c>
      <c r="J783" s="11" t="inlineStr"/>
    </row>
    <row r="784">
      <c r="A784" s="11" t="n">
        <v>783</v>
      </c>
      <c r="B784" s="12" t="n">
        <v>46101</v>
      </c>
      <c r="C784" s="11" t="inlineStr">
        <is>
          <t>INTF</t>
        </is>
      </c>
      <c r="D784" s="11" t="inlineStr">
        <is>
          <t>202603</t>
        </is>
      </c>
      <c r="E784" s="11" t="inlineStr">
        <is>
          <t>1193088315</t>
        </is>
      </c>
      <c r="F784" s="11" t="inlineStr">
        <is>
          <t>MONTENEGRO BOLAÑOS I</t>
        </is>
      </c>
      <c r="G784" s="11" t="inlineStr"/>
      <c r="H784" s="11" t="inlineStr">
        <is>
          <t>INTERFACE P.O.S.</t>
        </is>
      </c>
      <c r="I784" s="11" t="n">
        <v>14000</v>
      </c>
      <c r="J784" s="11" t="inlineStr"/>
    </row>
    <row r="785">
      <c r="A785" s="11" t="n">
        <v>784</v>
      </c>
      <c r="B785" s="12" t="n">
        <v>46101</v>
      </c>
      <c r="C785" s="11" t="inlineStr">
        <is>
          <t>INTF</t>
        </is>
      </c>
      <c r="D785" s="11" t="inlineStr">
        <is>
          <t>202603</t>
        </is>
      </c>
      <c r="E785" s="11" t="inlineStr">
        <is>
          <t>1023888740</t>
        </is>
      </c>
      <c r="F785" s="11" t="inlineStr">
        <is>
          <t>GARZON ROCHA WILSON</t>
        </is>
      </c>
      <c r="G785" s="11" t="inlineStr"/>
      <c r="H785" s="11" t="inlineStr">
        <is>
          <t>INTERFACE P.O.S.</t>
        </is>
      </c>
      <c r="I785" s="11" t="n">
        <v>5000</v>
      </c>
      <c r="J785" s="11" t="inlineStr"/>
    </row>
    <row r="786">
      <c r="A786" s="11" t="n">
        <v>785</v>
      </c>
      <c r="B786" s="12" t="n">
        <v>46101</v>
      </c>
      <c r="C786" s="11" t="inlineStr">
        <is>
          <t>INTF</t>
        </is>
      </c>
      <c r="D786" s="11" t="inlineStr">
        <is>
          <t>202603</t>
        </is>
      </c>
      <c r="E786" s="11" t="inlineStr">
        <is>
          <t>1123323462</t>
        </is>
      </c>
      <c r="F786" s="11" t="inlineStr">
        <is>
          <t>BENAVIDEZ HERNANDEZ</t>
        </is>
      </c>
      <c r="G786" s="11" t="inlineStr"/>
      <c r="H786" s="11" t="inlineStr">
        <is>
          <t>INTERFACE P.O.S.</t>
        </is>
      </c>
      <c r="I786" s="11" t="n">
        <v>72700</v>
      </c>
      <c r="J786" s="11" t="inlineStr"/>
    </row>
    <row r="787">
      <c r="A787" s="11" t="n">
        <v>786</v>
      </c>
      <c r="B787" s="12" t="n">
        <v>46101</v>
      </c>
      <c r="C787" s="11" t="inlineStr">
        <is>
          <t>INTF</t>
        </is>
      </c>
      <c r="D787" s="11" t="inlineStr">
        <is>
          <t>202603</t>
        </is>
      </c>
      <c r="E787" s="11" t="inlineStr">
        <is>
          <t>1083864385</t>
        </is>
      </c>
      <c r="F787" s="11" t="inlineStr">
        <is>
          <t>MEJIA PAEZ NANCY</t>
        </is>
      </c>
      <c r="G787" s="11" t="inlineStr"/>
      <c r="H787" s="11" t="inlineStr">
        <is>
          <t>INTERFACE P.O.S.</t>
        </is>
      </c>
      <c r="I787" s="11" t="n">
        <v>16000</v>
      </c>
      <c r="J787" s="11" t="inlineStr"/>
    </row>
    <row r="788">
      <c r="A788" s="11" t="n">
        <v>787</v>
      </c>
      <c r="B788" s="12" t="n">
        <v>46101</v>
      </c>
      <c r="C788" s="11" t="inlineStr">
        <is>
          <t>INTF</t>
        </is>
      </c>
      <c r="D788" s="11" t="inlineStr">
        <is>
          <t>202603</t>
        </is>
      </c>
      <c r="E788" s="11" t="inlineStr">
        <is>
          <t>112320931</t>
        </is>
      </c>
      <c r="F788" s="11" t="inlineStr">
        <is>
          <t>HURTADO PINEDA EW</t>
        </is>
      </c>
      <c r="G788" s="11" t="inlineStr"/>
      <c r="H788" s="11" t="inlineStr">
        <is>
          <t>INTERFACE P.O.S.</t>
        </is>
      </c>
      <c r="I788" s="11" t="n">
        <v>40000</v>
      </c>
      <c r="J788" s="11" t="inlineStr"/>
    </row>
    <row r="789">
      <c r="A789" s="11" t="n">
        <v>788</v>
      </c>
      <c r="B789" s="12" t="n">
        <v>46101</v>
      </c>
      <c r="C789" s="11" t="inlineStr">
        <is>
          <t>INTF</t>
        </is>
      </c>
      <c r="D789" s="11" t="inlineStr">
        <is>
          <t>202603</t>
        </is>
      </c>
      <c r="E789" s="11" t="inlineStr">
        <is>
          <t>41106328</t>
        </is>
      </c>
      <c r="F789" s="11" t="inlineStr">
        <is>
          <t>ARANGO CASTAÑEDA LUZ</t>
        </is>
      </c>
      <c r="G789" s="11" t="inlineStr"/>
      <c r="H789" s="11" t="inlineStr">
        <is>
          <t>INTERFACE P.O.S.</t>
        </is>
      </c>
      <c r="I789" s="11" t="n">
        <v>12600</v>
      </c>
      <c r="J789" s="11" t="inlineStr"/>
    </row>
    <row r="790">
      <c r="A790" s="11" t="n">
        <v>789</v>
      </c>
      <c r="B790" s="12" t="n">
        <v>46101</v>
      </c>
      <c r="C790" s="11" t="inlineStr">
        <is>
          <t>INTF</t>
        </is>
      </c>
      <c r="D790" s="11" t="inlineStr">
        <is>
          <t>202603</t>
        </is>
      </c>
      <c r="E790" s="11" t="inlineStr">
        <is>
          <t>1123334449</t>
        </is>
      </c>
      <c r="F790" s="11" t="inlineStr">
        <is>
          <t>PANTOJA CARDENAS</t>
        </is>
      </c>
      <c r="G790" s="11" t="inlineStr"/>
      <c r="H790" s="11" t="inlineStr">
        <is>
          <t>INTERFACE P.O.S.</t>
        </is>
      </c>
      <c r="I790" s="11" t="n">
        <v>30900</v>
      </c>
      <c r="J790" s="11" t="inlineStr"/>
    </row>
    <row r="791">
      <c r="A791" s="11" t="n">
        <v>790</v>
      </c>
      <c r="B791" s="12" t="n">
        <v>46102</v>
      </c>
      <c r="C791" s="11" t="inlineStr">
        <is>
          <t>CE</t>
        </is>
      </c>
      <c r="D791" s="11" t="inlineStr">
        <is>
          <t>9447</t>
        </is>
      </c>
      <c r="E791" s="11" t="inlineStr">
        <is>
          <t>901787934</t>
        </is>
      </c>
      <c r="F791" s="11" t="inlineStr">
        <is>
          <t>SURTIVENTAS DE NARIÑ</t>
        </is>
      </c>
      <c r="G791" s="11" t="inlineStr">
        <is>
          <t>M08532594</t>
        </is>
      </c>
      <c r="H791" s="11" t="inlineStr">
        <is>
          <t>PF ALPINA</t>
        </is>
      </c>
      <c r="I791" s="11" t="inlineStr"/>
      <c r="J791" s="11" t="n">
        <v>545087</v>
      </c>
    </row>
    <row r="792">
      <c r="A792" s="11" t="n">
        <v>791</v>
      </c>
      <c r="B792" s="12" t="n">
        <v>46102</v>
      </c>
      <c r="C792" s="11" t="inlineStr">
        <is>
          <t>INTF</t>
        </is>
      </c>
      <c r="D792" s="11" t="inlineStr">
        <is>
          <t>202603</t>
        </is>
      </c>
      <c r="E792" s="11" t="inlineStr">
        <is>
          <t>1075243320</t>
        </is>
      </c>
      <c r="F792" s="11" t="inlineStr">
        <is>
          <t>CASAÑAS CAZAÑAS JAME</t>
        </is>
      </c>
      <c r="G792" s="11" t="inlineStr"/>
      <c r="H792" s="11" t="inlineStr">
        <is>
          <t>INTERFACE P.O.S.</t>
        </is>
      </c>
      <c r="I792" s="11" t="n">
        <v>30000</v>
      </c>
      <c r="J792" s="11" t="inlineStr"/>
    </row>
    <row r="793">
      <c r="A793" s="11" t="n">
        <v>792</v>
      </c>
      <c r="B793" s="12" t="n">
        <v>46102</v>
      </c>
      <c r="C793" s="11" t="inlineStr">
        <is>
          <t>INTF</t>
        </is>
      </c>
      <c r="D793" s="11" t="inlineStr">
        <is>
          <t>202603</t>
        </is>
      </c>
      <c r="E793" s="11" t="inlineStr">
        <is>
          <t>75060429</t>
        </is>
      </c>
      <c r="F793" s="11" t="inlineStr">
        <is>
          <t>ZAPATA BETANCURTH RO</t>
        </is>
      </c>
      <c r="G793" s="11" t="inlineStr"/>
      <c r="H793" s="11" t="inlineStr">
        <is>
          <t>INTERFACE P.O.S.</t>
        </is>
      </c>
      <c r="I793" s="11" t="n">
        <v>89900</v>
      </c>
      <c r="J793" s="11" t="inlineStr"/>
    </row>
    <row r="794">
      <c r="A794" s="11" t="n">
        <v>793</v>
      </c>
      <c r="B794" s="12" t="n">
        <v>46102</v>
      </c>
      <c r="C794" s="11" t="inlineStr">
        <is>
          <t>INTF</t>
        </is>
      </c>
      <c r="D794" s="11" t="inlineStr">
        <is>
          <t>202603</t>
        </is>
      </c>
      <c r="E794" s="11" t="inlineStr">
        <is>
          <t>98378809</t>
        </is>
      </c>
      <c r="F794" s="11" t="inlineStr">
        <is>
          <t>CUCARDO BELTRAN DANI</t>
        </is>
      </c>
      <c r="G794" s="11" t="inlineStr"/>
      <c r="H794" s="11" t="inlineStr">
        <is>
          <t>INTERFACE P.O.S.</t>
        </is>
      </c>
      <c r="I794" s="11" t="n">
        <v>75000</v>
      </c>
      <c r="J794" s="11" t="inlineStr"/>
    </row>
    <row r="795">
      <c r="A795" s="11" t="n">
        <v>794</v>
      </c>
      <c r="B795" s="12" t="n">
        <v>46102</v>
      </c>
      <c r="C795" s="11" t="inlineStr">
        <is>
          <t>INTF</t>
        </is>
      </c>
      <c r="D795" s="11" t="inlineStr">
        <is>
          <t>202603</t>
        </is>
      </c>
      <c r="E795" s="11" t="inlineStr">
        <is>
          <t>39820310</t>
        </is>
      </c>
      <c r="F795" s="11" t="inlineStr">
        <is>
          <t>ERAZO GARCES YULI VI</t>
        </is>
      </c>
      <c r="G795" s="11" t="inlineStr"/>
      <c r="H795" s="11" t="inlineStr">
        <is>
          <t>INTERFACE P.O.S.</t>
        </is>
      </c>
      <c r="I795" s="11" t="n">
        <v>9800</v>
      </c>
      <c r="J795" s="11" t="inlineStr"/>
    </row>
    <row r="796">
      <c r="A796" s="11" t="n">
        <v>795</v>
      </c>
      <c r="B796" s="12" t="n">
        <v>46102</v>
      </c>
      <c r="C796" s="11" t="inlineStr">
        <is>
          <t>INTF</t>
        </is>
      </c>
      <c r="D796" s="11" t="inlineStr">
        <is>
          <t>202603</t>
        </is>
      </c>
      <c r="E796" s="11" t="inlineStr">
        <is>
          <t>1126448969</t>
        </is>
      </c>
      <c r="F796" s="11" t="inlineStr">
        <is>
          <t>CABRERA CADENA ANGEL</t>
        </is>
      </c>
      <c r="G796" s="11" t="inlineStr"/>
      <c r="H796" s="11" t="inlineStr">
        <is>
          <t>INTERFACE P.O.S.</t>
        </is>
      </c>
      <c r="I796" s="11" t="n">
        <v>23200</v>
      </c>
      <c r="J796" s="11" t="inlineStr"/>
    </row>
    <row r="797">
      <c r="A797" s="11" t="n">
        <v>796</v>
      </c>
      <c r="B797" s="12" t="n">
        <v>46102</v>
      </c>
      <c r="C797" s="11" t="inlineStr">
        <is>
          <t>INTF</t>
        </is>
      </c>
      <c r="D797" s="11" t="inlineStr">
        <is>
          <t>202603</t>
        </is>
      </c>
      <c r="E797" s="11" t="inlineStr">
        <is>
          <t>1032374900</t>
        </is>
      </c>
      <c r="F797" s="11" t="inlineStr">
        <is>
          <t>BUELVAS DIAZ LUIS AN</t>
        </is>
      </c>
      <c r="G797" s="11" t="inlineStr"/>
      <c r="H797" s="11" t="inlineStr">
        <is>
          <t>INTERFACE P.O.S.</t>
        </is>
      </c>
      <c r="I797" s="11" t="n">
        <v>22000</v>
      </c>
      <c r="J797" s="11" t="inlineStr"/>
    </row>
    <row r="798">
      <c r="A798" s="11" t="n">
        <v>797</v>
      </c>
      <c r="B798" s="12" t="n">
        <v>46102</v>
      </c>
      <c r="C798" s="11" t="inlineStr">
        <is>
          <t>INTF</t>
        </is>
      </c>
      <c r="D798" s="11" t="inlineStr">
        <is>
          <t>202603</t>
        </is>
      </c>
      <c r="E798" s="11" t="inlineStr">
        <is>
          <t>1123327373</t>
        </is>
      </c>
      <c r="F798" s="11" t="inlineStr">
        <is>
          <t>GALEANO VELEZ MARIA</t>
        </is>
      </c>
      <c r="G798" s="11" t="inlineStr"/>
      <c r="H798" s="11" t="inlineStr">
        <is>
          <t>INTERFACE P.O.S.</t>
        </is>
      </c>
      <c r="I798" s="11" t="n">
        <v>60650</v>
      </c>
      <c r="J798" s="11" t="inlineStr"/>
    </row>
    <row r="799">
      <c r="A799" s="11" t="n">
        <v>798</v>
      </c>
      <c r="B799" s="12" t="n">
        <v>46102</v>
      </c>
      <c r="C799" s="11" t="inlineStr">
        <is>
          <t>INTF</t>
        </is>
      </c>
      <c r="D799" s="11" t="inlineStr">
        <is>
          <t>202603</t>
        </is>
      </c>
      <c r="E799" s="11" t="inlineStr">
        <is>
          <t>1120217571</t>
        </is>
      </c>
      <c r="F799" s="11" t="inlineStr">
        <is>
          <t>ALVAREZ ESPINOSA FAB</t>
        </is>
      </c>
      <c r="G799" s="11" t="inlineStr"/>
      <c r="H799" s="11" t="inlineStr">
        <is>
          <t>INTERFACE P.O.S.</t>
        </is>
      </c>
      <c r="I799" s="11" t="n">
        <v>27100</v>
      </c>
      <c r="J799" s="11" t="inlineStr"/>
    </row>
    <row r="800">
      <c r="A800" s="11" t="n">
        <v>799</v>
      </c>
      <c r="B800" s="12" t="n">
        <v>46102</v>
      </c>
      <c r="C800" s="11" t="inlineStr">
        <is>
          <t>INTF</t>
        </is>
      </c>
      <c r="D800" s="11" t="inlineStr">
        <is>
          <t>202603</t>
        </is>
      </c>
      <c r="E800" s="11" t="inlineStr">
        <is>
          <t>1123320472</t>
        </is>
      </c>
      <c r="F800" s="11" t="inlineStr">
        <is>
          <t>BARGAS ARAGON GLENIS</t>
        </is>
      </c>
      <c r="G800" s="11" t="inlineStr"/>
      <c r="H800" s="11" t="inlineStr">
        <is>
          <t>INTERFACE P.O.S.</t>
        </is>
      </c>
      <c r="I800" s="11" t="n">
        <v>38200</v>
      </c>
      <c r="J800" s="11" t="inlineStr"/>
    </row>
    <row r="801">
      <c r="A801" s="11" t="n">
        <v>800</v>
      </c>
      <c r="B801" s="12" t="n">
        <v>46102</v>
      </c>
      <c r="C801" s="11" t="inlineStr">
        <is>
          <t>INTF</t>
        </is>
      </c>
      <c r="D801" s="11" t="inlineStr">
        <is>
          <t>202603</t>
        </is>
      </c>
      <c r="E801" s="11" t="inlineStr">
        <is>
          <t>1085325055</t>
        </is>
      </c>
      <c r="F801" s="11" t="inlineStr">
        <is>
          <t>VARGAS CORDOBA DIEGO</t>
        </is>
      </c>
      <c r="G801" s="11" t="inlineStr"/>
      <c r="H801" s="11" t="inlineStr">
        <is>
          <t>INTERFACE P.O.S.</t>
        </is>
      </c>
      <c r="I801" s="11" t="n">
        <v>5000</v>
      </c>
      <c r="J801" s="11" t="inlineStr"/>
    </row>
    <row r="802">
      <c r="A802" s="11" t="n">
        <v>801</v>
      </c>
      <c r="B802" s="12" t="n">
        <v>46102</v>
      </c>
      <c r="C802" s="11" t="inlineStr">
        <is>
          <t>INTF</t>
        </is>
      </c>
      <c r="D802" s="11" t="inlineStr">
        <is>
          <t>202603</t>
        </is>
      </c>
      <c r="E802" s="11" t="inlineStr">
        <is>
          <t>1123331758</t>
        </is>
      </c>
      <c r="F802" s="11" t="inlineStr">
        <is>
          <t>GRAJALES OSORIO DIAN</t>
        </is>
      </c>
      <c r="G802" s="11" t="inlineStr"/>
      <c r="H802" s="11" t="inlineStr">
        <is>
          <t>INTERFACE P.O.S.</t>
        </is>
      </c>
      <c r="I802" s="11" t="n">
        <v>25000</v>
      </c>
      <c r="J802" s="11" t="inlineStr"/>
    </row>
    <row r="803">
      <c r="A803" s="11" t="n">
        <v>802</v>
      </c>
      <c r="B803" s="12" t="n">
        <v>46102</v>
      </c>
      <c r="C803" s="11" t="inlineStr">
        <is>
          <t>INTF</t>
        </is>
      </c>
      <c r="D803" s="11" t="inlineStr">
        <is>
          <t>202603</t>
        </is>
      </c>
      <c r="E803" s="11" t="inlineStr">
        <is>
          <t>1085271819</t>
        </is>
      </c>
      <c r="F803" s="11" t="inlineStr">
        <is>
          <t>SALAZAR ALDERETE JOR</t>
        </is>
      </c>
      <c r="G803" s="11" t="inlineStr"/>
      <c r="H803" s="11" t="inlineStr">
        <is>
          <t>INTERFACE P.O.S.</t>
        </is>
      </c>
      <c r="I803" s="11" t="n">
        <v>7500</v>
      </c>
      <c r="J803" s="11" t="inlineStr"/>
    </row>
    <row r="804">
      <c r="A804" s="11" t="n">
        <v>803</v>
      </c>
      <c r="B804" s="12" t="n">
        <v>46102</v>
      </c>
      <c r="C804" s="11" t="inlineStr">
        <is>
          <t>INTF</t>
        </is>
      </c>
      <c r="D804" s="11" t="inlineStr">
        <is>
          <t>202603</t>
        </is>
      </c>
      <c r="E804" s="11" t="inlineStr">
        <is>
          <t>18147748</t>
        </is>
      </c>
      <c r="F804" s="11" t="inlineStr">
        <is>
          <t>CASTILLO CASTILLO YO</t>
        </is>
      </c>
      <c r="G804" s="11" t="inlineStr"/>
      <c r="H804" s="11" t="inlineStr">
        <is>
          <t>INTERFACE P.O.S.</t>
        </is>
      </c>
      <c r="I804" s="11" t="n">
        <v>6500</v>
      </c>
      <c r="J804" s="11" t="inlineStr"/>
    </row>
    <row r="805">
      <c r="A805" s="11" t="n">
        <v>804</v>
      </c>
      <c r="B805" s="12" t="n">
        <v>46102</v>
      </c>
      <c r="C805" s="11" t="inlineStr">
        <is>
          <t>INTF</t>
        </is>
      </c>
      <c r="D805" s="11" t="inlineStr">
        <is>
          <t>202603</t>
        </is>
      </c>
      <c r="E805" s="11" t="inlineStr">
        <is>
          <t>1123209397</t>
        </is>
      </c>
      <c r="F805" s="11" t="inlineStr">
        <is>
          <t>CAICEDO VELA KATHERI</t>
        </is>
      </c>
      <c r="G805" s="11" t="inlineStr"/>
      <c r="H805" s="11" t="inlineStr">
        <is>
          <t>INTERFACE P.O.S.</t>
        </is>
      </c>
      <c r="I805" s="11" t="n">
        <v>14400</v>
      </c>
      <c r="J805" s="11" t="inlineStr"/>
    </row>
    <row r="806">
      <c r="A806" s="11" t="n">
        <v>805</v>
      </c>
      <c r="B806" s="12" t="n">
        <v>46102</v>
      </c>
      <c r="C806" s="11" t="inlineStr">
        <is>
          <t>INTF</t>
        </is>
      </c>
      <c r="D806" s="11" t="inlineStr">
        <is>
          <t>202603</t>
        </is>
      </c>
      <c r="E806" s="11" t="inlineStr">
        <is>
          <t>1122652691</t>
        </is>
      </c>
      <c r="F806" s="11" t="inlineStr">
        <is>
          <t>CAMACHO FIGUEROA ERI</t>
        </is>
      </c>
      <c r="G806" s="11" t="inlineStr"/>
      <c r="H806" s="11" t="inlineStr">
        <is>
          <t>INTERFACE P.O.S.</t>
        </is>
      </c>
      <c r="I806" s="11" t="n">
        <v>15800</v>
      </c>
      <c r="J806" s="11" t="inlineStr"/>
    </row>
    <row r="807">
      <c r="A807" s="11" t="n">
        <v>806</v>
      </c>
      <c r="B807" s="12" t="n">
        <v>46102</v>
      </c>
      <c r="C807" s="11" t="inlineStr">
        <is>
          <t>INTF</t>
        </is>
      </c>
      <c r="D807" s="11" t="inlineStr">
        <is>
          <t>202603</t>
        </is>
      </c>
      <c r="E807" s="11" t="inlineStr">
        <is>
          <t>1019137511</t>
        </is>
      </c>
      <c r="F807" s="11" t="inlineStr">
        <is>
          <t>MARTINEZ SEGURA PEDR</t>
        </is>
      </c>
      <c r="G807" s="11" t="inlineStr"/>
      <c r="H807" s="11" t="inlineStr">
        <is>
          <t>INTERFACE P.O.S.</t>
        </is>
      </c>
      <c r="I807" s="11" t="n">
        <v>3800</v>
      </c>
      <c r="J807" s="11" t="inlineStr"/>
    </row>
    <row r="808">
      <c r="A808" s="11" t="n">
        <v>807</v>
      </c>
      <c r="B808" s="12" t="n">
        <v>46102</v>
      </c>
      <c r="C808" s="11" t="inlineStr">
        <is>
          <t>INTF</t>
        </is>
      </c>
      <c r="D808" s="11" t="inlineStr">
        <is>
          <t>202603</t>
        </is>
      </c>
      <c r="E808" s="11" t="inlineStr">
        <is>
          <t>1123322483</t>
        </is>
      </c>
      <c r="F808" s="11" t="inlineStr">
        <is>
          <t>PANTOJA MONTIEL LEID</t>
        </is>
      </c>
      <c r="G808" s="11" t="inlineStr"/>
      <c r="H808" s="11" t="inlineStr">
        <is>
          <t>INTERFACE P.O.S.</t>
        </is>
      </c>
      <c r="I808" s="11" t="n">
        <v>11300</v>
      </c>
      <c r="J808" s="11" t="inlineStr"/>
    </row>
    <row r="809">
      <c r="A809" s="11" t="n">
        <v>808</v>
      </c>
      <c r="B809" s="12" t="n">
        <v>46102</v>
      </c>
      <c r="C809" s="11" t="inlineStr">
        <is>
          <t>INTF</t>
        </is>
      </c>
      <c r="D809" s="11" t="inlineStr">
        <is>
          <t>202603</t>
        </is>
      </c>
      <c r="E809" s="11" t="inlineStr">
        <is>
          <t>12195495</t>
        </is>
      </c>
      <c r="F809" s="11" t="inlineStr">
        <is>
          <t>ROJAS ROJAS JHON JAI</t>
        </is>
      </c>
      <c r="G809" s="11" t="inlineStr"/>
      <c r="H809" s="11" t="inlineStr">
        <is>
          <t>INTERFACE P.O.S.</t>
        </is>
      </c>
      <c r="I809" s="11" t="n">
        <v>201000</v>
      </c>
      <c r="J809" s="11" t="inlineStr"/>
    </row>
    <row r="810">
      <c r="A810" s="11" t="n">
        <v>809</v>
      </c>
      <c r="B810" s="12" t="n">
        <v>46102</v>
      </c>
      <c r="C810" s="11" t="inlineStr">
        <is>
          <t>INTF</t>
        </is>
      </c>
      <c r="D810" s="11" t="inlineStr">
        <is>
          <t>202603</t>
        </is>
      </c>
      <c r="E810" s="11" t="inlineStr">
        <is>
          <t>1006994711</t>
        </is>
      </c>
      <c r="F810" s="11" t="inlineStr">
        <is>
          <t>MOSQUERA PALACIOS JE</t>
        </is>
      </c>
      <c r="G810" s="11" t="inlineStr"/>
      <c r="H810" s="11" t="inlineStr">
        <is>
          <t>INTERFACE P.O.S.</t>
        </is>
      </c>
      <c r="I810" s="11" t="n">
        <v>41900</v>
      </c>
      <c r="J810" s="11" t="inlineStr"/>
    </row>
    <row r="811">
      <c r="A811" s="11" t="n">
        <v>810</v>
      </c>
      <c r="B811" s="12" t="n">
        <v>46102</v>
      </c>
      <c r="C811" s="11" t="inlineStr">
        <is>
          <t>INTF</t>
        </is>
      </c>
      <c r="D811" s="11" t="inlineStr">
        <is>
          <t>202603</t>
        </is>
      </c>
      <c r="E811" s="11" t="inlineStr">
        <is>
          <t>1123334388</t>
        </is>
      </c>
      <c r="F811" s="11" t="inlineStr">
        <is>
          <t>MARIN DAZA DIANA KAT</t>
        </is>
      </c>
      <c r="G811" s="11" t="inlineStr"/>
      <c r="H811" s="11" t="inlineStr">
        <is>
          <t>INTERFACE P.O.S.</t>
        </is>
      </c>
      <c r="I811" s="11" t="n">
        <v>20000</v>
      </c>
      <c r="J811" s="11" t="inlineStr"/>
    </row>
    <row r="812">
      <c r="A812" s="11" t="n">
        <v>811</v>
      </c>
      <c r="B812" s="12" t="n">
        <v>46102</v>
      </c>
      <c r="C812" s="11" t="inlineStr">
        <is>
          <t>INTF</t>
        </is>
      </c>
      <c r="D812" s="11" t="inlineStr">
        <is>
          <t>202603</t>
        </is>
      </c>
      <c r="E812" s="11" t="inlineStr">
        <is>
          <t>1006846970</t>
        </is>
      </c>
      <c r="F812" s="11" t="inlineStr">
        <is>
          <t>DIAZ CORTES MIGUEL A</t>
        </is>
      </c>
      <c r="G812" s="11" t="inlineStr"/>
      <c r="H812" s="11" t="inlineStr">
        <is>
          <t>INTERFACE P.O.S.</t>
        </is>
      </c>
      <c r="I812" s="11" t="n">
        <v>94000</v>
      </c>
      <c r="J812" s="11" t="inlineStr"/>
    </row>
    <row r="813">
      <c r="A813" s="11" t="n">
        <v>812</v>
      </c>
      <c r="B813" s="12" t="n">
        <v>46102</v>
      </c>
      <c r="C813" s="11" t="inlineStr">
        <is>
          <t>INTF</t>
        </is>
      </c>
      <c r="D813" s="11" t="inlineStr">
        <is>
          <t>202603</t>
        </is>
      </c>
      <c r="E813" s="11" t="inlineStr">
        <is>
          <t>1123335060</t>
        </is>
      </c>
      <c r="F813" s="11" t="inlineStr">
        <is>
          <t>CORDOBA CUASIALPUD E</t>
        </is>
      </c>
      <c r="G813" s="11" t="inlineStr"/>
      <c r="H813" s="11" t="inlineStr">
        <is>
          <t>INTERFACE P.O.S.</t>
        </is>
      </c>
      <c r="I813" s="11" t="n">
        <v>29000</v>
      </c>
      <c r="J813" s="11" t="inlineStr"/>
    </row>
    <row r="814">
      <c r="A814" s="11" t="n">
        <v>813</v>
      </c>
      <c r="B814" s="12" t="n">
        <v>46102</v>
      </c>
      <c r="C814" s="11" t="inlineStr">
        <is>
          <t>INTF</t>
        </is>
      </c>
      <c r="D814" s="11" t="inlineStr">
        <is>
          <t>202603</t>
        </is>
      </c>
      <c r="E814" s="11" t="inlineStr">
        <is>
          <t>11028011115</t>
        </is>
      </c>
      <c r="F814" s="11" t="inlineStr">
        <is>
          <t>MENDEZ VELASQUEZ DIN</t>
        </is>
      </c>
      <c r="G814" s="11" t="inlineStr"/>
      <c r="H814" s="11" t="inlineStr">
        <is>
          <t>INTERFACE P.O.S.</t>
        </is>
      </c>
      <c r="I814" s="11" t="n">
        <v>15000</v>
      </c>
      <c r="J814" s="11" t="inlineStr"/>
    </row>
    <row r="815">
      <c r="A815" s="11" t="n">
        <v>814</v>
      </c>
      <c r="B815" s="12" t="n">
        <v>46102</v>
      </c>
      <c r="C815" s="11" t="inlineStr">
        <is>
          <t>INTF</t>
        </is>
      </c>
      <c r="D815" s="11" t="inlineStr">
        <is>
          <t>202603</t>
        </is>
      </c>
      <c r="E815" s="11" t="inlineStr">
        <is>
          <t>1123329776</t>
        </is>
      </c>
      <c r="F815" s="11" t="inlineStr">
        <is>
          <t>PATIÑO ADRIANA YUBEL</t>
        </is>
      </c>
      <c r="G815" s="11" t="inlineStr"/>
      <c r="H815" s="11" t="inlineStr">
        <is>
          <t>INTERFACE P.O.S.</t>
        </is>
      </c>
      <c r="I815" s="11" t="n">
        <v>31100</v>
      </c>
      <c r="J815" s="11" t="inlineStr"/>
    </row>
    <row r="816">
      <c r="A816" s="11" t="n">
        <v>815</v>
      </c>
      <c r="B816" s="12" t="n">
        <v>46102</v>
      </c>
      <c r="C816" s="11" t="inlineStr">
        <is>
          <t>INTF</t>
        </is>
      </c>
      <c r="D816" s="11" t="inlineStr">
        <is>
          <t>202603</t>
        </is>
      </c>
      <c r="E816" s="11" t="inlineStr">
        <is>
          <t>1124866341</t>
        </is>
      </c>
      <c r="F816" s="11" t="inlineStr">
        <is>
          <t>BURBANO ENRIQUEZ LEY</t>
        </is>
      </c>
      <c r="G816" s="11" t="inlineStr"/>
      <c r="H816" s="11" t="inlineStr">
        <is>
          <t>INTERFACE P.O.S.</t>
        </is>
      </c>
      <c r="I816" s="11" t="n">
        <v>9100</v>
      </c>
      <c r="J816" s="11" t="inlineStr"/>
    </row>
    <row r="817">
      <c r="A817" s="11" t="n">
        <v>816</v>
      </c>
      <c r="B817" s="12" t="n">
        <v>46102</v>
      </c>
      <c r="C817" s="11" t="inlineStr">
        <is>
          <t>INTF</t>
        </is>
      </c>
      <c r="D817" s="11" t="inlineStr">
        <is>
          <t>202603</t>
        </is>
      </c>
      <c r="E817" s="11" t="inlineStr">
        <is>
          <t>1123301297</t>
        </is>
      </c>
      <c r="F817" s="11" t="inlineStr">
        <is>
          <t>IDROBO JACANAMEJOY P</t>
        </is>
      </c>
      <c r="G817" s="11" t="inlineStr"/>
      <c r="H817" s="11" t="inlineStr">
        <is>
          <t>INTERFACE P.O.S.</t>
        </is>
      </c>
      <c r="I817" s="11" t="n">
        <v>26400</v>
      </c>
      <c r="J817" s="11" t="inlineStr"/>
    </row>
    <row r="818">
      <c r="A818" s="11" t="n">
        <v>817</v>
      </c>
      <c r="B818" s="12" t="n">
        <v>46102</v>
      </c>
      <c r="C818" s="11" t="inlineStr">
        <is>
          <t>INTF</t>
        </is>
      </c>
      <c r="D818" s="11" t="inlineStr">
        <is>
          <t>202603</t>
        </is>
      </c>
      <c r="E818" s="11" t="inlineStr">
        <is>
          <t>1090516596</t>
        </is>
      </c>
      <c r="F818" s="11" t="inlineStr">
        <is>
          <t>DIAZ CORTES ZULEIMA</t>
        </is>
      </c>
      <c r="G818" s="11" t="inlineStr"/>
      <c r="H818" s="11" t="inlineStr">
        <is>
          <t>INTERFACE P.O.S.</t>
        </is>
      </c>
      <c r="I818" s="11" t="n">
        <v>69300</v>
      </c>
      <c r="J818" s="11" t="inlineStr"/>
    </row>
    <row r="819">
      <c r="A819" s="11" t="n">
        <v>818</v>
      </c>
      <c r="B819" s="12" t="n">
        <v>46102</v>
      </c>
      <c r="C819" s="11" t="inlineStr">
        <is>
          <t>INTF</t>
        </is>
      </c>
      <c r="D819" s="11" t="inlineStr">
        <is>
          <t>202603</t>
        </is>
      </c>
      <c r="E819" s="11" t="inlineStr">
        <is>
          <t>41109113</t>
        </is>
      </c>
      <c r="F819" s="11" t="inlineStr">
        <is>
          <t>ROJAS MAPAYO ROCIO</t>
        </is>
      </c>
      <c r="G819" s="11" t="inlineStr"/>
      <c r="H819" s="11" t="inlineStr">
        <is>
          <t>INTERFACE P.O.S.</t>
        </is>
      </c>
      <c r="I819" s="11" t="n">
        <v>40600</v>
      </c>
      <c r="J819" s="11" t="inlineStr"/>
    </row>
    <row r="820">
      <c r="A820" s="11" t="n">
        <v>819</v>
      </c>
      <c r="B820" s="12" t="n">
        <v>46102</v>
      </c>
      <c r="C820" s="11" t="inlineStr">
        <is>
          <t>INTF</t>
        </is>
      </c>
      <c r="D820" s="11" t="inlineStr">
        <is>
          <t>202603</t>
        </is>
      </c>
      <c r="E820" s="11" t="inlineStr">
        <is>
          <t>1007012271</t>
        </is>
      </c>
      <c r="F820" s="11" t="inlineStr">
        <is>
          <t>HIDALGO DAVINSON FER</t>
        </is>
      </c>
      <c r="G820" s="11" t="inlineStr"/>
      <c r="H820" s="11" t="inlineStr">
        <is>
          <t>INTERFACE P.O.S.</t>
        </is>
      </c>
      <c r="I820" s="11" t="n">
        <v>6600</v>
      </c>
      <c r="J820" s="11" t="inlineStr"/>
    </row>
    <row r="821">
      <c r="A821" s="11" t="n">
        <v>820</v>
      </c>
      <c r="B821" s="12" t="n">
        <v>46102</v>
      </c>
      <c r="C821" s="11" t="inlineStr">
        <is>
          <t>INTF</t>
        </is>
      </c>
      <c r="D821" s="11" t="inlineStr">
        <is>
          <t>202603</t>
        </is>
      </c>
      <c r="E821" s="11" t="inlineStr">
        <is>
          <t>1006842160</t>
        </is>
      </c>
      <c r="F821" s="11" t="inlineStr">
        <is>
          <t>SANTACRUZ CALDERON L</t>
        </is>
      </c>
      <c r="G821" s="11" t="inlineStr"/>
      <c r="H821" s="11" t="inlineStr">
        <is>
          <t>INTERFACE P.O.S.</t>
        </is>
      </c>
      <c r="I821" s="11" t="n">
        <v>40000</v>
      </c>
      <c r="J821" s="11" t="inlineStr"/>
    </row>
    <row r="822">
      <c r="A822" s="11" t="n">
        <v>821</v>
      </c>
      <c r="B822" s="12" t="n">
        <v>46102</v>
      </c>
      <c r="C822" s="11" t="inlineStr">
        <is>
          <t>INTF</t>
        </is>
      </c>
      <c r="D822" s="11" t="inlineStr">
        <is>
          <t>202603</t>
        </is>
      </c>
      <c r="E822" s="11" t="inlineStr">
        <is>
          <t>1123327699</t>
        </is>
      </c>
      <c r="F822" s="11" t="inlineStr">
        <is>
          <t>ZAMBRANO SAMUDIO MAN</t>
        </is>
      </c>
      <c r="G822" s="11" t="inlineStr"/>
      <c r="H822" s="11" t="inlineStr">
        <is>
          <t>INTERFACE P.O.S.</t>
        </is>
      </c>
      <c r="I822" s="11" t="n">
        <v>13000</v>
      </c>
      <c r="J822" s="11" t="inlineStr"/>
    </row>
    <row r="823">
      <c r="A823" s="11" t="n">
        <v>822</v>
      </c>
      <c r="B823" s="12" t="n">
        <v>46102</v>
      </c>
      <c r="C823" s="11" t="inlineStr">
        <is>
          <t>INTF</t>
        </is>
      </c>
      <c r="D823" s="11" t="inlineStr">
        <is>
          <t>202603</t>
        </is>
      </c>
      <c r="E823" s="11" t="inlineStr">
        <is>
          <t>1006850357</t>
        </is>
      </c>
      <c r="F823" s="11" t="inlineStr">
        <is>
          <t>SILVA VANEGAS MARIA</t>
        </is>
      </c>
      <c r="G823" s="11" t="inlineStr"/>
      <c r="H823" s="11" t="inlineStr">
        <is>
          <t>INTERFACE P.O.S.</t>
        </is>
      </c>
      <c r="I823" s="11" t="n">
        <v>24500</v>
      </c>
      <c r="J823" s="11" t="inlineStr"/>
    </row>
    <row r="824">
      <c r="A824" s="11" t="n">
        <v>823</v>
      </c>
      <c r="B824" s="12" t="n">
        <v>46102</v>
      </c>
      <c r="C824" s="11" t="inlineStr">
        <is>
          <t>INTF</t>
        </is>
      </c>
      <c r="D824" s="11" t="inlineStr">
        <is>
          <t>202603</t>
        </is>
      </c>
      <c r="E824" s="11" t="inlineStr">
        <is>
          <t>1123332615</t>
        </is>
      </c>
      <c r="F824" s="11" t="inlineStr">
        <is>
          <t>ORTEGA DANI</t>
        </is>
      </c>
      <c r="G824" s="11" t="inlineStr"/>
      <c r="H824" s="11" t="inlineStr">
        <is>
          <t>INTERFACE P.O.S.</t>
        </is>
      </c>
      <c r="I824" s="11" t="n">
        <v>24800</v>
      </c>
      <c r="J824" s="11" t="inlineStr"/>
    </row>
    <row r="825">
      <c r="A825" s="11" t="n">
        <v>824</v>
      </c>
      <c r="B825" s="12" t="n">
        <v>46102</v>
      </c>
      <c r="C825" s="11" t="inlineStr">
        <is>
          <t>INTF</t>
        </is>
      </c>
      <c r="D825" s="11" t="inlineStr">
        <is>
          <t>202603</t>
        </is>
      </c>
      <c r="E825" s="11" t="inlineStr">
        <is>
          <t>1143877518</t>
        </is>
      </c>
      <c r="F825" s="11" t="inlineStr">
        <is>
          <t>ESPAÑA DIAZ ALEJANDR</t>
        </is>
      </c>
      <c r="G825" s="11" t="inlineStr"/>
      <c r="H825" s="11" t="inlineStr">
        <is>
          <t>INTERFACE P.O.S.</t>
        </is>
      </c>
      <c r="I825" s="11" t="n">
        <v>11700</v>
      </c>
      <c r="J825" s="11" t="inlineStr"/>
    </row>
    <row r="826">
      <c r="A826" s="11" t="n">
        <v>825</v>
      </c>
      <c r="B826" s="12" t="n">
        <v>46102</v>
      </c>
      <c r="C826" s="11" t="inlineStr">
        <is>
          <t>INTF</t>
        </is>
      </c>
      <c r="D826" s="11" t="inlineStr">
        <is>
          <t>202603</t>
        </is>
      </c>
      <c r="E826" s="11" t="inlineStr">
        <is>
          <t>69005318</t>
        </is>
      </c>
      <c r="F826" s="11" t="inlineStr">
        <is>
          <t>REVELO AGUIRRE DERLY</t>
        </is>
      </c>
      <c r="G826" s="11" t="inlineStr"/>
      <c r="H826" s="11" t="inlineStr">
        <is>
          <t>INTERFACE P.O.S.</t>
        </is>
      </c>
      <c r="I826" s="11" t="n">
        <v>12000</v>
      </c>
      <c r="J826" s="11" t="inlineStr"/>
    </row>
    <row r="827">
      <c r="A827" s="11" t="n">
        <v>826</v>
      </c>
      <c r="B827" s="12" t="n">
        <v>46102</v>
      </c>
      <c r="C827" s="11" t="inlineStr">
        <is>
          <t>INTF</t>
        </is>
      </c>
      <c r="D827" s="11" t="inlineStr">
        <is>
          <t>202603</t>
        </is>
      </c>
      <c r="E827" s="11" t="inlineStr">
        <is>
          <t>1123208118</t>
        </is>
      </c>
      <c r="F827" s="11" t="inlineStr">
        <is>
          <t>ZAMBRANO SEBASTIAN</t>
        </is>
      </c>
      <c r="G827" s="11" t="inlineStr"/>
      <c r="H827" s="11" t="inlineStr">
        <is>
          <t>INTERFACE P.O.S.</t>
        </is>
      </c>
      <c r="I827" s="11" t="n">
        <v>13600</v>
      </c>
      <c r="J827" s="11" t="inlineStr"/>
    </row>
    <row r="828">
      <c r="A828" s="11" t="n">
        <v>827</v>
      </c>
      <c r="B828" s="12" t="n">
        <v>46102</v>
      </c>
      <c r="C828" s="11" t="inlineStr">
        <is>
          <t>INTF</t>
        </is>
      </c>
      <c r="D828" s="11" t="inlineStr">
        <is>
          <t>202603</t>
        </is>
      </c>
      <c r="E828" s="11" t="inlineStr">
        <is>
          <t>27362252</t>
        </is>
      </c>
      <c r="F828" s="11" t="inlineStr">
        <is>
          <t>TIMARAN CHASOY JUDY</t>
        </is>
      </c>
      <c r="G828" s="11" t="inlineStr"/>
      <c r="H828" s="11" t="inlineStr">
        <is>
          <t>INTERFACE P.O.S.</t>
        </is>
      </c>
      <c r="I828" s="11" t="n">
        <v>10000</v>
      </c>
      <c r="J828" s="11" t="inlineStr"/>
    </row>
    <row r="829">
      <c r="A829" s="11" t="n">
        <v>828</v>
      </c>
      <c r="B829" s="12" t="n">
        <v>46102</v>
      </c>
      <c r="C829" s="11" t="inlineStr">
        <is>
          <t>INTF</t>
        </is>
      </c>
      <c r="D829" s="11" t="inlineStr">
        <is>
          <t>202603</t>
        </is>
      </c>
      <c r="E829" s="11" t="inlineStr">
        <is>
          <t>1023888740</t>
        </is>
      </c>
      <c r="F829" s="11" t="inlineStr">
        <is>
          <t>GARZON ROCHA WILSON</t>
        </is>
      </c>
      <c r="G829" s="11" t="inlineStr"/>
      <c r="H829" s="11" t="inlineStr">
        <is>
          <t>INTERFACE P.O.S.</t>
        </is>
      </c>
      <c r="I829" s="11" t="n">
        <v>8500</v>
      </c>
      <c r="J829" s="11" t="inlineStr"/>
    </row>
    <row r="830">
      <c r="A830" s="11" t="n">
        <v>829</v>
      </c>
      <c r="B830" s="12" t="n">
        <v>46102</v>
      </c>
      <c r="C830" s="11" t="inlineStr">
        <is>
          <t>INTF</t>
        </is>
      </c>
      <c r="D830" s="11" t="inlineStr">
        <is>
          <t>202603</t>
        </is>
      </c>
      <c r="E830" s="11" t="inlineStr">
        <is>
          <t>27109370</t>
        </is>
      </c>
      <c r="F830" s="11" t="inlineStr">
        <is>
          <t>BASTIDAS LOPEZ MARIA</t>
        </is>
      </c>
      <c r="G830" s="11" t="inlineStr"/>
      <c r="H830" s="11" t="inlineStr">
        <is>
          <t>INTERFACE P.O.S.</t>
        </is>
      </c>
      <c r="I830" s="11" t="n">
        <v>14000</v>
      </c>
      <c r="J830" s="11" t="inlineStr"/>
    </row>
    <row r="831">
      <c r="A831" s="11" t="n">
        <v>830</v>
      </c>
      <c r="B831" s="12" t="n">
        <v>46102</v>
      </c>
      <c r="C831" s="11" t="inlineStr">
        <is>
          <t>INTF</t>
        </is>
      </c>
      <c r="D831" s="11" t="inlineStr">
        <is>
          <t>202603</t>
        </is>
      </c>
      <c r="E831" s="11" t="inlineStr">
        <is>
          <t>1123334055</t>
        </is>
      </c>
      <c r="F831" s="11" t="inlineStr">
        <is>
          <t>ESPAÑA ANDRADE JAN C</t>
        </is>
      </c>
      <c r="G831" s="11" t="inlineStr"/>
      <c r="H831" s="11" t="inlineStr">
        <is>
          <t>INTERFACE P.O.S.</t>
        </is>
      </c>
      <c r="I831" s="11" t="n">
        <v>75000</v>
      </c>
      <c r="J831" s="11" t="inlineStr"/>
    </row>
    <row r="832">
      <c r="A832" s="11" t="n">
        <v>831</v>
      </c>
      <c r="B832" s="12" t="n">
        <v>46102</v>
      </c>
      <c r="C832" s="11" t="inlineStr">
        <is>
          <t>INTF</t>
        </is>
      </c>
      <c r="D832" s="11" t="inlineStr">
        <is>
          <t>202603</t>
        </is>
      </c>
      <c r="E832" s="11" t="inlineStr">
        <is>
          <t>13069362</t>
        </is>
      </c>
      <c r="F832" s="11" t="inlineStr">
        <is>
          <t>ALVAREZ ORDOÑEZ HERN</t>
        </is>
      </c>
      <c r="G832" s="11" t="inlineStr"/>
      <c r="H832" s="11" t="inlineStr">
        <is>
          <t>INTERFACE P.O.S.</t>
        </is>
      </c>
      <c r="I832" s="11" t="n">
        <v>20000</v>
      </c>
      <c r="J832" s="11" t="inlineStr"/>
    </row>
    <row r="833">
      <c r="A833" s="11" t="n">
        <v>832</v>
      </c>
      <c r="B833" s="12" t="n">
        <v>46102</v>
      </c>
      <c r="C833" s="11" t="inlineStr">
        <is>
          <t>INTF</t>
        </is>
      </c>
      <c r="D833" s="11" t="inlineStr">
        <is>
          <t>202603</t>
        </is>
      </c>
      <c r="E833" s="11" t="inlineStr">
        <is>
          <t>1130144231</t>
        </is>
      </c>
      <c r="F833" s="11" t="inlineStr">
        <is>
          <t>QUITUMBO GARCIA</t>
        </is>
      </c>
      <c r="G833" s="11" t="inlineStr"/>
      <c r="H833" s="11" t="inlineStr">
        <is>
          <t>INTERFACE P.O.S.</t>
        </is>
      </c>
      <c r="I833" s="11" t="n">
        <v>40000</v>
      </c>
      <c r="J833" s="11" t="inlineStr"/>
    </row>
    <row r="834">
      <c r="A834" s="11" t="n">
        <v>833</v>
      </c>
      <c r="B834" s="12" t="n">
        <v>46102</v>
      </c>
      <c r="C834" s="11" t="inlineStr">
        <is>
          <t>INTF</t>
        </is>
      </c>
      <c r="D834" s="11" t="inlineStr">
        <is>
          <t>202603</t>
        </is>
      </c>
      <c r="E834" s="11" t="inlineStr">
        <is>
          <t>12993142</t>
        </is>
      </c>
      <c r="F834" s="11" t="inlineStr">
        <is>
          <t>REYES HENRRY</t>
        </is>
      </c>
      <c r="G834" s="11" t="inlineStr"/>
      <c r="H834" s="11" t="inlineStr">
        <is>
          <t>INTERFACE P.O.S.</t>
        </is>
      </c>
      <c r="I834" s="11" t="n">
        <v>5500</v>
      </c>
      <c r="J834" s="11" t="inlineStr"/>
    </row>
    <row r="835">
      <c r="A835" s="11" t="n">
        <v>834</v>
      </c>
      <c r="B835" s="12" t="n">
        <v>46103</v>
      </c>
      <c r="C835" s="11" t="inlineStr">
        <is>
          <t>INTF</t>
        </is>
      </c>
      <c r="D835" s="11" t="inlineStr">
        <is>
          <t>202603</t>
        </is>
      </c>
      <c r="E835" s="11" t="inlineStr">
        <is>
          <t>41110276</t>
        </is>
      </c>
      <c r="F835" s="11" t="inlineStr">
        <is>
          <t>CORTEZ CAYCEDO HELID</t>
        </is>
      </c>
      <c r="G835" s="11" t="inlineStr"/>
      <c r="H835" s="11" t="inlineStr">
        <is>
          <t>INTERFACE P.O.S.</t>
        </is>
      </c>
      <c r="I835" s="11" t="n">
        <v>52200</v>
      </c>
      <c r="J835" s="11" t="inlineStr"/>
    </row>
    <row r="836">
      <c r="A836" s="11" t="n">
        <v>835</v>
      </c>
      <c r="B836" s="12" t="n">
        <v>46103</v>
      </c>
      <c r="C836" s="11" t="inlineStr">
        <is>
          <t>INTF</t>
        </is>
      </c>
      <c r="D836" s="11" t="inlineStr">
        <is>
          <t>202603</t>
        </is>
      </c>
      <c r="E836" s="11" t="inlineStr">
        <is>
          <t>1086329255</t>
        </is>
      </c>
      <c r="F836" s="11" t="inlineStr">
        <is>
          <t>ERAZO CUARAN MARWIN</t>
        </is>
      </c>
      <c r="G836" s="11" t="inlineStr"/>
      <c r="H836" s="11" t="inlineStr">
        <is>
          <t>INTERFACE P.O.S.</t>
        </is>
      </c>
      <c r="I836" s="11" t="n">
        <v>6000</v>
      </c>
      <c r="J836" s="11" t="inlineStr"/>
    </row>
    <row r="837">
      <c r="A837" s="11" t="n">
        <v>836</v>
      </c>
      <c r="B837" s="12" t="n">
        <v>46103</v>
      </c>
      <c r="C837" s="11" t="inlineStr">
        <is>
          <t>INTF</t>
        </is>
      </c>
      <c r="D837" s="11" t="inlineStr">
        <is>
          <t>202603</t>
        </is>
      </c>
      <c r="E837" s="11" t="inlineStr">
        <is>
          <t>1123324706</t>
        </is>
      </c>
      <c r="F837" s="11" t="inlineStr">
        <is>
          <t>BETANCOUR GUEVARA SA</t>
        </is>
      </c>
      <c r="G837" s="11" t="inlineStr"/>
      <c r="H837" s="11" t="inlineStr">
        <is>
          <t>INTERFACE P.O.S.</t>
        </is>
      </c>
      <c r="I837" s="11" t="n">
        <v>31100</v>
      </c>
      <c r="J837" s="11" t="inlineStr"/>
    </row>
    <row r="838">
      <c r="A838" s="11" t="n">
        <v>837</v>
      </c>
      <c r="B838" s="12" t="n">
        <v>46103</v>
      </c>
      <c r="C838" s="11" t="inlineStr">
        <is>
          <t>INTF</t>
        </is>
      </c>
      <c r="D838" s="11" t="inlineStr">
        <is>
          <t>202603</t>
        </is>
      </c>
      <c r="E838" s="11" t="inlineStr">
        <is>
          <t>1075243320</t>
        </is>
      </c>
      <c r="F838" s="11" t="inlineStr">
        <is>
          <t>CASAÑAS CAZAÑAS JAME</t>
        </is>
      </c>
      <c r="G838" s="11" t="inlineStr"/>
      <c r="H838" s="11" t="inlineStr">
        <is>
          <t>INTERFACE P.O.S.</t>
        </is>
      </c>
      <c r="I838" s="11" t="n">
        <v>29800</v>
      </c>
      <c r="J838" s="11" t="inlineStr"/>
    </row>
    <row r="839">
      <c r="A839" s="11" t="n">
        <v>838</v>
      </c>
      <c r="B839" s="12" t="n">
        <v>46103</v>
      </c>
      <c r="C839" s="11" t="inlineStr">
        <is>
          <t>INTF</t>
        </is>
      </c>
      <c r="D839" s="11" t="inlineStr">
        <is>
          <t>202603</t>
        </is>
      </c>
      <c r="E839" s="11" t="inlineStr">
        <is>
          <t>1123324247</t>
        </is>
      </c>
      <c r="F839" s="11" t="inlineStr">
        <is>
          <t>GONZALEZ FORERO JENN</t>
        </is>
      </c>
      <c r="G839" s="11" t="inlineStr"/>
      <c r="H839" s="11" t="inlineStr">
        <is>
          <t>INTERFACE P.O.S.</t>
        </is>
      </c>
      <c r="I839" s="11" t="n">
        <v>15100</v>
      </c>
      <c r="J839" s="11" t="inlineStr"/>
    </row>
    <row r="840">
      <c r="A840" s="11" t="n">
        <v>839</v>
      </c>
      <c r="B840" s="12" t="n">
        <v>46103</v>
      </c>
      <c r="C840" s="11" t="inlineStr">
        <is>
          <t>INTF</t>
        </is>
      </c>
      <c r="D840" s="11" t="inlineStr">
        <is>
          <t>202603</t>
        </is>
      </c>
      <c r="E840" s="11" t="inlineStr">
        <is>
          <t>1111792263</t>
        </is>
      </c>
      <c r="F840" s="11" t="inlineStr">
        <is>
          <t>ARBOLEDA FLOREZ JOAN</t>
        </is>
      </c>
      <c r="G840" s="11" t="inlineStr"/>
      <c r="H840" s="11" t="inlineStr">
        <is>
          <t>INTERFACE P.O.S.</t>
        </is>
      </c>
      <c r="I840" s="11" t="n">
        <v>5000</v>
      </c>
      <c r="J840" s="11" t="inlineStr"/>
    </row>
    <row r="841">
      <c r="A841" s="11" t="n">
        <v>840</v>
      </c>
      <c r="B841" s="12" t="n">
        <v>46103</v>
      </c>
      <c r="C841" s="11" t="inlineStr">
        <is>
          <t>INTF</t>
        </is>
      </c>
      <c r="D841" s="11" t="inlineStr">
        <is>
          <t>202603</t>
        </is>
      </c>
      <c r="E841" s="11" t="inlineStr">
        <is>
          <t>63253015</t>
        </is>
      </c>
      <c r="F841" s="11" t="inlineStr">
        <is>
          <t>CANO BETANCOURT LUZ</t>
        </is>
      </c>
      <c r="G841" s="11" t="inlineStr"/>
      <c r="H841" s="11" t="inlineStr">
        <is>
          <t>INTERFACE P.O.S.</t>
        </is>
      </c>
      <c r="I841" s="11" t="n">
        <v>42600</v>
      </c>
      <c r="J841" s="11" t="inlineStr"/>
    </row>
    <row r="842">
      <c r="A842" s="11" t="n">
        <v>841</v>
      </c>
      <c r="B842" s="12" t="n">
        <v>46103</v>
      </c>
      <c r="C842" s="11" t="inlineStr">
        <is>
          <t>INTF</t>
        </is>
      </c>
      <c r="D842" s="11" t="inlineStr">
        <is>
          <t>202603</t>
        </is>
      </c>
      <c r="E842" s="11" t="inlineStr">
        <is>
          <t>41107874</t>
        </is>
      </c>
      <c r="F842" s="11" t="inlineStr">
        <is>
          <t>SALAZAR PRADO ELISA</t>
        </is>
      </c>
      <c r="G842" s="11" t="inlineStr"/>
      <c r="H842" s="11" t="inlineStr">
        <is>
          <t>INTERFACE P.O.S.</t>
        </is>
      </c>
      <c r="I842" s="11" t="n">
        <v>22000</v>
      </c>
      <c r="J842" s="11" t="inlineStr"/>
    </row>
    <row r="843">
      <c r="A843" s="11" t="n">
        <v>842</v>
      </c>
      <c r="B843" s="12" t="n">
        <v>46103</v>
      </c>
      <c r="C843" s="11" t="inlineStr">
        <is>
          <t>INTF</t>
        </is>
      </c>
      <c r="D843" s="11" t="inlineStr">
        <is>
          <t>202603</t>
        </is>
      </c>
      <c r="E843" s="11" t="inlineStr">
        <is>
          <t>79123819</t>
        </is>
      </c>
      <c r="F843" s="11" t="inlineStr">
        <is>
          <t>PAEZ MANRIQUE JAIME</t>
        </is>
      </c>
      <c r="G843" s="11" t="inlineStr"/>
      <c r="H843" s="11" t="inlineStr">
        <is>
          <t>INTERFACE P.O.S.</t>
        </is>
      </c>
      <c r="I843" s="11" t="n">
        <v>19600</v>
      </c>
      <c r="J843" s="11" t="inlineStr"/>
    </row>
    <row r="844">
      <c r="A844" s="11" t="n">
        <v>843</v>
      </c>
      <c r="B844" s="12" t="n">
        <v>46103</v>
      </c>
      <c r="C844" s="11" t="inlineStr">
        <is>
          <t>INTF</t>
        </is>
      </c>
      <c r="D844" s="11" t="inlineStr">
        <is>
          <t>202603</t>
        </is>
      </c>
      <c r="E844" s="11" t="inlineStr">
        <is>
          <t>1120217571</t>
        </is>
      </c>
      <c r="F844" s="11" t="inlineStr">
        <is>
          <t>ALVAREZ ESPINOSA FAB</t>
        </is>
      </c>
      <c r="G844" s="11" t="inlineStr"/>
      <c r="H844" s="11" t="inlineStr">
        <is>
          <t>INTERFACE P.O.S.</t>
        </is>
      </c>
      <c r="I844" s="11" t="n">
        <v>11000</v>
      </c>
      <c r="J844" s="11" t="inlineStr"/>
    </row>
    <row r="845">
      <c r="A845" s="11" t="n">
        <v>844</v>
      </c>
      <c r="B845" s="12" t="n">
        <v>46103</v>
      </c>
      <c r="C845" s="11" t="inlineStr">
        <is>
          <t>INTF</t>
        </is>
      </c>
      <c r="D845" s="11" t="inlineStr">
        <is>
          <t>202603</t>
        </is>
      </c>
      <c r="E845" s="11" t="inlineStr">
        <is>
          <t>1123320393</t>
        </is>
      </c>
      <c r="F845" s="11" t="inlineStr">
        <is>
          <t>CASTRO LINARES LICET</t>
        </is>
      </c>
      <c r="G845" s="11" t="inlineStr"/>
      <c r="H845" s="11" t="inlineStr">
        <is>
          <t>INTERFACE P.O.S.</t>
        </is>
      </c>
      <c r="I845" s="11" t="n">
        <v>22300</v>
      </c>
      <c r="J845" s="11" t="inlineStr"/>
    </row>
    <row r="846">
      <c r="A846" s="11" t="n">
        <v>845</v>
      </c>
      <c r="B846" s="12" t="n">
        <v>46103</v>
      </c>
      <c r="C846" s="11" t="inlineStr">
        <is>
          <t>INTF</t>
        </is>
      </c>
      <c r="D846" s="11" t="inlineStr">
        <is>
          <t>202603</t>
        </is>
      </c>
      <c r="E846" s="11" t="inlineStr">
        <is>
          <t>69027769</t>
        </is>
      </c>
      <c r="F846" s="11" t="inlineStr">
        <is>
          <t>ALEGRIA NARVAEZ MAGD</t>
        </is>
      </c>
      <c r="G846" s="11" t="inlineStr"/>
      <c r="H846" s="11" t="inlineStr">
        <is>
          <t>INTERFACE P.O.S.</t>
        </is>
      </c>
      <c r="I846" s="11" t="n">
        <v>13500</v>
      </c>
      <c r="J846" s="11" t="inlineStr"/>
    </row>
    <row r="847">
      <c r="A847" s="11" t="n">
        <v>846</v>
      </c>
      <c r="B847" s="12" t="n">
        <v>46103</v>
      </c>
      <c r="C847" s="11" t="inlineStr">
        <is>
          <t>INTF</t>
        </is>
      </c>
      <c r="D847" s="11" t="inlineStr">
        <is>
          <t>202603</t>
        </is>
      </c>
      <c r="E847" s="11" t="inlineStr">
        <is>
          <t>18147748</t>
        </is>
      </c>
      <c r="F847" s="11" t="inlineStr">
        <is>
          <t>CASTILLO CASTILLO YO</t>
        </is>
      </c>
      <c r="G847" s="11" t="inlineStr"/>
      <c r="H847" s="11" t="inlineStr">
        <is>
          <t>INTERFACE P.O.S.</t>
        </is>
      </c>
      <c r="I847" s="11" t="n">
        <v>5800</v>
      </c>
      <c r="J847" s="11" t="inlineStr"/>
    </row>
    <row r="848">
      <c r="A848" s="11" t="n">
        <v>847</v>
      </c>
      <c r="B848" s="12" t="n">
        <v>46103</v>
      </c>
      <c r="C848" s="11" t="inlineStr">
        <is>
          <t>INTF</t>
        </is>
      </c>
      <c r="D848" s="11" t="inlineStr">
        <is>
          <t>202603</t>
        </is>
      </c>
      <c r="E848" s="11" t="inlineStr">
        <is>
          <t>1123330519</t>
        </is>
      </c>
      <c r="F848" s="11" t="inlineStr">
        <is>
          <t>ARTEAGA GIRALDO HELE</t>
        </is>
      </c>
      <c r="G848" s="11" t="inlineStr"/>
      <c r="H848" s="11" t="inlineStr">
        <is>
          <t>INTERFACE P.O.S.</t>
        </is>
      </c>
      <c r="I848" s="11" t="n">
        <v>49650</v>
      </c>
      <c r="J848" s="11" t="inlineStr"/>
    </row>
    <row r="849">
      <c r="A849" s="11" t="n">
        <v>848</v>
      </c>
      <c r="B849" s="12" t="n">
        <v>46103</v>
      </c>
      <c r="C849" s="11" t="inlineStr">
        <is>
          <t>INTF</t>
        </is>
      </c>
      <c r="D849" s="11" t="inlineStr">
        <is>
          <t>202603</t>
        </is>
      </c>
      <c r="E849" s="11" t="inlineStr">
        <is>
          <t>1123203892</t>
        </is>
      </c>
      <c r="F849" s="11" t="inlineStr">
        <is>
          <t>SANCHEZ BECERRA MAYE</t>
        </is>
      </c>
      <c r="G849" s="11" t="inlineStr"/>
      <c r="H849" s="11" t="inlineStr">
        <is>
          <t>INTERFACE P.O.S.</t>
        </is>
      </c>
      <c r="I849" s="11" t="n">
        <v>20900</v>
      </c>
      <c r="J849" s="11" t="inlineStr"/>
    </row>
    <row r="850">
      <c r="A850" s="11" t="n">
        <v>849</v>
      </c>
      <c r="B850" s="12" t="n">
        <v>46103</v>
      </c>
      <c r="C850" s="11" t="inlineStr">
        <is>
          <t>INTF</t>
        </is>
      </c>
      <c r="D850" s="11" t="inlineStr">
        <is>
          <t>202603</t>
        </is>
      </c>
      <c r="E850" s="11" t="inlineStr">
        <is>
          <t>1123334466</t>
        </is>
      </c>
      <c r="F850" s="11" t="inlineStr">
        <is>
          <t>PEREZ MALLAMA BRIYID</t>
        </is>
      </c>
      <c r="G850" s="11" t="inlineStr"/>
      <c r="H850" s="11" t="inlineStr">
        <is>
          <t>INTERFACE P.O.S.</t>
        </is>
      </c>
      <c r="I850" s="11" t="n">
        <v>5200</v>
      </c>
      <c r="J850" s="11" t="inlineStr"/>
    </row>
    <row r="851">
      <c r="A851" s="11" t="n">
        <v>850</v>
      </c>
      <c r="B851" s="12" t="n">
        <v>46103</v>
      </c>
      <c r="C851" s="11" t="inlineStr">
        <is>
          <t>INTF</t>
        </is>
      </c>
      <c r="D851" s="11" t="inlineStr">
        <is>
          <t>202603</t>
        </is>
      </c>
      <c r="E851" s="11" t="inlineStr">
        <is>
          <t>1086418248</t>
        </is>
      </c>
      <c r="F851" s="11" t="inlineStr">
        <is>
          <t>CEBALLOS CUASTUMAL A</t>
        </is>
      </c>
      <c r="G851" s="11" t="inlineStr"/>
      <c r="H851" s="11" t="inlineStr">
        <is>
          <t>INTERFACE P.O.S.</t>
        </is>
      </c>
      <c r="I851" s="11" t="n">
        <v>8200</v>
      </c>
      <c r="J851" s="11" t="inlineStr"/>
    </row>
    <row r="852">
      <c r="A852" s="11" t="n">
        <v>851</v>
      </c>
      <c r="B852" s="12" t="n">
        <v>46103</v>
      </c>
      <c r="C852" s="11" t="inlineStr">
        <is>
          <t>INTF</t>
        </is>
      </c>
      <c r="D852" s="11" t="inlineStr">
        <is>
          <t>202603</t>
        </is>
      </c>
      <c r="E852" s="11" t="inlineStr">
        <is>
          <t>1085327648</t>
        </is>
      </c>
      <c r="F852" s="11" t="inlineStr">
        <is>
          <t>PATASCOY CUCHALA JES</t>
        </is>
      </c>
      <c r="G852" s="11" t="inlineStr"/>
      <c r="H852" s="11" t="inlineStr">
        <is>
          <t>INTERFACE P.O.S.</t>
        </is>
      </c>
      <c r="I852" s="11" t="n">
        <v>49300</v>
      </c>
      <c r="J852" s="11" t="inlineStr"/>
    </row>
    <row r="853">
      <c r="A853" s="11" t="n">
        <v>852</v>
      </c>
      <c r="B853" s="12" t="n">
        <v>46103</v>
      </c>
      <c r="C853" s="11" t="inlineStr">
        <is>
          <t>INTF</t>
        </is>
      </c>
      <c r="D853" s="11" t="inlineStr">
        <is>
          <t>202603</t>
        </is>
      </c>
      <c r="E853" s="11" t="inlineStr">
        <is>
          <t>1006666296</t>
        </is>
      </c>
      <c r="F853" s="11" t="inlineStr">
        <is>
          <t>ANDRADE GORDILLO JOS</t>
        </is>
      </c>
      <c r="G853" s="11" t="inlineStr"/>
      <c r="H853" s="11" t="inlineStr">
        <is>
          <t>INTERFACE P.O.S.</t>
        </is>
      </c>
      <c r="I853" s="11" t="n">
        <v>5300</v>
      </c>
      <c r="J853" s="11" t="inlineStr"/>
    </row>
    <row r="854">
      <c r="A854" s="11" t="n">
        <v>853</v>
      </c>
      <c r="B854" s="12" t="n">
        <v>46103</v>
      </c>
      <c r="C854" s="11" t="inlineStr">
        <is>
          <t>INTF</t>
        </is>
      </c>
      <c r="D854" s="11" t="inlineStr">
        <is>
          <t>202603</t>
        </is>
      </c>
      <c r="E854" s="11" t="inlineStr">
        <is>
          <t>1062754137</t>
        </is>
      </c>
      <c r="F854" s="11" t="inlineStr">
        <is>
          <t>GUAMANGA RUIZ YENI</t>
        </is>
      </c>
      <c r="G854" s="11" t="inlineStr"/>
      <c r="H854" s="11" t="inlineStr">
        <is>
          <t>INTERFACE P.O.S.</t>
        </is>
      </c>
      <c r="I854" s="11" t="n">
        <v>15300</v>
      </c>
      <c r="J854" s="11" t="inlineStr"/>
    </row>
    <row r="855">
      <c r="A855" s="11" t="n">
        <v>854</v>
      </c>
      <c r="B855" s="12" t="n">
        <v>46103</v>
      </c>
      <c r="C855" s="11" t="inlineStr">
        <is>
          <t>INTF</t>
        </is>
      </c>
      <c r="D855" s="11" t="inlineStr">
        <is>
          <t>202603</t>
        </is>
      </c>
      <c r="E855" s="11" t="inlineStr">
        <is>
          <t>1004714168</t>
        </is>
      </c>
      <c r="F855" s="11" t="inlineStr">
        <is>
          <t>OVIEDO RUALES JHON S</t>
        </is>
      </c>
      <c r="G855" s="11" t="inlineStr"/>
      <c r="H855" s="11" t="inlineStr">
        <is>
          <t>INTERFACE P.O.S.</t>
        </is>
      </c>
      <c r="I855" s="11" t="n">
        <v>62100</v>
      </c>
      <c r="J855" s="11" t="inlineStr"/>
    </row>
    <row r="856">
      <c r="A856" s="11" t="n">
        <v>855</v>
      </c>
      <c r="B856" s="12" t="n">
        <v>46103</v>
      </c>
      <c r="C856" s="11" t="inlineStr">
        <is>
          <t>INTF</t>
        </is>
      </c>
      <c r="D856" s="11" t="inlineStr">
        <is>
          <t>202603</t>
        </is>
      </c>
      <c r="E856" s="11" t="inlineStr">
        <is>
          <t>1002726238</t>
        </is>
      </c>
      <c r="F856" s="11" t="inlineStr">
        <is>
          <t>MOLINA ALVAREZ KARO</t>
        </is>
      </c>
      <c r="G856" s="11" t="inlineStr"/>
      <c r="H856" s="11" t="inlineStr">
        <is>
          <t>INTERFACE P.O.S.</t>
        </is>
      </c>
      <c r="I856" s="11" t="n">
        <v>8700</v>
      </c>
      <c r="J856" s="11" t="inlineStr"/>
    </row>
    <row r="857">
      <c r="A857" s="11" t="n">
        <v>856</v>
      </c>
      <c r="B857" s="12" t="n">
        <v>46103</v>
      </c>
      <c r="C857" s="11" t="inlineStr">
        <is>
          <t>INTF</t>
        </is>
      </c>
      <c r="D857" s="11" t="inlineStr">
        <is>
          <t>202603</t>
        </is>
      </c>
      <c r="E857" s="11" t="inlineStr">
        <is>
          <t>1111660706</t>
        </is>
      </c>
      <c r="F857" s="11" t="inlineStr">
        <is>
          <t>MORALES ALVARES CARL</t>
        </is>
      </c>
      <c r="G857" s="11" t="inlineStr"/>
      <c r="H857" s="11" t="inlineStr">
        <is>
          <t>INTERFACE P.O.S.</t>
        </is>
      </c>
      <c r="I857" s="11" t="n">
        <v>15000</v>
      </c>
      <c r="J857" s="11" t="inlineStr"/>
    </row>
    <row r="858">
      <c r="A858" s="11" t="n">
        <v>857</v>
      </c>
      <c r="B858" s="12" t="n">
        <v>46103</v>
      </c>
      <c r="C858" s="11" t="inlineStr">
        <is>
          <t>INTF</t>
        </is>
      </c>
      <c r="D858" s="11" t="inlineStr">
        <is>
          <t>202603</t>
        </is>
      </c>
      <c r="E858" s="11" t="inlineStr">
        <is>
          <t>18147720</t>
        </is>
      </c>
      <c r="F858" s="11" t="inlineStr">
        <is>
          <t>CORONEL ASMASA YONAR</t>
        </is>
      </c>
      <c r="G858" s="11" t="inlineStr"/>
      <c r="H858" s="11" t="inlineStr">
        <is>
          <t>INTERFACE P.O.S.</t>
        </is>
      </c>
      <c r="I858" s="11" t="n">
        <v>11000</v>
      </c>
      <c r="J858" s="11" t="inlineStr"/>
    </row>
    <row r="859">
      <c r="A859" s="11" t="n">
        <v>858</v>
      </c>
      <c r="B859" s="12" t="n">
        <v>46103</v>
      </c>
      <c r="C859" s="11" t="inlineStr">
        <is>
          <t>INTF</t>
        </is>
      </c>
      <c r="D859" s="11" t="inlineStr">
        <is>
          <t>202603</t>
        </is>
      </c>
      <c r="E859" s="11" t="inlineStr">
        <is>
          <t>1075281542</t>
        </is>
      </c>
      <c r="F859" s="11" t="inlineStr">
        <is>
          <t>RODRIGUEZ BUITRON KA</t>
        </is>
      </c>
      <c r="G859" s="11" t="inlineStr"/>
      <c r="H859" s="11" t="inlineStr">
        <is>
          <t>INTERFACE P.O.S.</t>
        </is>
      </c>
      <c r="I859" s="11" t="n">
        <v>28400</v>
      </c>
      <c r="J859" s="11" t="inlineStr"/>
    </row>
    <row r="860">
      <c r="A860" s="11" t="n">
        <v>859</v>
      </c>
      <c r="B860" s="12" t="n">
        <v>46103</v>
      </c>
      <c r="C860" s="11" t="inlineStr">
        <is>
          <t>INTF</t>
        </is>
      </c>
      <c r="D860" s="11" t="inlineStr">
        <is>
          <t>202603</t>
        </is>
      </c>
      <c r="E860" s="11" t="inlineStr">
        <is>
          <t>1090441850</t>
        </is>
      </c>
      <c r="F860" s="11" t="inlineStr">
        <is>
          <t>SERNA SIERRA DERLY R</t>
        </is>
      </c>
      <c r="G860" s="11" t="inlineStr"/>
      <c r="H860" s="11" t="inlineStr">
        <is>
          <t>INTERFACE P.O.S.</t>
        </is>
      </c>
      <c r="I860" s="11" t="n">
        <v>8600</v>
      </c>
      <c r="J860" s="11" t="inlineStr"/>
    </row>
    <row r="861">
      <c r="A861" s="11" t="n">
        <v>860</v>
      </c>
      <c r="B861" s="12" t="n">
        <v>46103</v>
      </c>
      <c r="C861" s="11" t="inlineStr">
        <is>
          <t>INTF</t>
        </is>
      </c>
      <c r="D861" s="11" t="inlineStr">
        <is>
          <t>202603</t>
        </is>
      </c>
      <c r="E861" s="11" t="inlineStr">
        <is>
          <t>39578160</t>
        </is>
      </c>
      <c r="F861" s="11" t="inlineStr">
        <is>
          <t>GUERRERO SOLARTE LIL</t>
        </is>
      </c>
      <c r="G861" s="11" t="inlineStr"/>
      <c r="H861" s="11" t="inlineStr">
        <is>
          <t>INTERFACE P.O.S.</t>
        </is>
      </c>
      <c r="I861" s="11" t="n">
        <v>6000</v>
      </c>
      <c r="J861" s="11" t="inlineStr"/>
    </row>
    <row r="862">
      <c r="A862" s="11" t="n">
        <v>861</v>
      </c>
      <c r="B862" s="12" t="n">
        <v>46103</v>
      </c>
      <c r="C862" s="11" t="inlineStr">
        <is>
          <t>INTF</t>
        </is>
      </c>
      <c r="D862" s="11" t="inlineStr">
        <is>
          <t>202603</t>
        </is>
      </c>
      <c r="E862" s="11" t="inlineStr">
        <is>
          <t>1130643711</t>
        </is>
      </c>
      <c r="F862" s="11" t="inlineStr">
        <is>
          <t>MEDINA MOSQUERA LUZ</t>
        </is>
      </c>
      <c r="G862" s="11" t="inlineStr"/>
      <c r="H862" s="11" t="inlineStr">
        <is>
          <t>INTERFACE P.O.S.</t>
        </is>
      </c>
      <c r="I862" s="11" t="n">
        <v>25700</v>
      </c>
      <c r="J862" s="11" t="inlineStr"/>
    </row>
    <row r="863">
      <c r="A863" s="11" t="n">
        <v>862</v>
      </c>
      <c r="B863" s="12" t="n">
        <v>46103</v>
      </c>
      <c r="C863" s="11" t="inlineStr">
        <is>
          <t>INTF</t>
        </is>
      </c>
      <c r="D863" s="11" t="inlineStr">
        <is>
          <t>202603</t>
        </is>
      </c>
      <c r="E863" s="11" t="inlineStr">
        <is>
          <t>1123331786</t>
        </is>
      </c>
      <c r="F863" s="11" t="inlineStr">
        <is>
          <t>CAMPOS RODRIGUEZ TAN</t>
        </is>
      </c>
      <c r="G863" s="11" t="inlineStr"/>
      <c r="H863" s="11" t="inlineStr">
        <is>
          <t>INTERFACE P.O.S.</t>
        </is>
      </c>
      <c r="I863" s="11" t="n">
        <v>6000</v>
      </c>
      <c r="J863" s="11" t="inlineStr"/>
    </row>
    <row r="864">
      <c r="A864" s="11" t="n">
        <v>863</v>
      </c>
      <c r="B864" s="12" t="n">
        <v>46103</v>
      </c>
      <c r="C864" s="11" t="inlineStr">
        <is>
          <t>INTF</t>
        </is>
      </c>
      <c r="D864" s="11" t="inlineStr">
        <is>
          <t>202603</t>
        </is>
      </c>
      <c r="E864" s="11" t="inlineStr">
        <is>
          <t>1123332054</t>
        </is>
      </c>
      <c r="F864" s="11" t="inlineStr">
        <is>
          <t>ALVAREZ CHAVEZ CRIST</t>
        </is>
      </c>
      <c r="G864" s="11" t="inlineStr"/>
      <c r="H864" s="11" t="inlineStr">
        <is>
          <t>INTERFACE P.O.S.</t>
        </is>
      </c>
      <c r="I864" s="11" t="n">
        <v>21500</v>
      </c>
      <c r="J864" s="11" t="inlineStr"/>
    </row>
    <row r="865">
      <c r="A865" s="11" t="n">
        <v>864</v>
      </c>
      <c r="B865" s="12" t="n">
        <v>46103</v>
      </c>
      <c r="C865" s="11" t="inlineStr">
        <is>
          <t>INTF</t>
        </is>
      </c>
      <c r="D865" s="11" t="inlineStr">
        <is>
          <t>202603</t>
        </is>
      </c>
      <c r="E865" s="11" t="inlineStr">
        <is>
          <t>1122340176</t>
        </is>
      </c>
      <c r="F865" s="11" t="inlineStr">
        <is>
          <t>MATABANCHOY MENESES</t>
        </is>
      </c>
      <c r="G865" s="11" t="inlineStr"/>
      <c r="H865" s="11" t="inlineStr">
        <is>
          <t>INTERFACE P.O.S.</t>
        </is>
      </c>
      <c r="I865" s="11" t="n">
        <v>15400</v>
      </c>
      <c r="J865" s="11" t="inlineStr"/>
    </row>
    <row r="866">
      <c r="A866" s="11" t="n">
        <v>865</v>
      </c>
      <c r="B866" s="12" t="n">
        <v>46103</v>
      </c>
      <c r="C866" s="11" t="inlineStr">
        <is>
          <t>INTF</t>
        </is>
      </c>
      <c r="D866" s="11" t="inlineStr">
        <is>
          <t>202603</t>
        </is>
      </c>
      <c r="E866" s="11" t="inlineStr">
        <is>
          <t>1123326751</t>
        </is>
      </c>
      <c r="F866" s="11" t="inlineStr">
        <is>
          <t>ORTIS ALVAREZ V</t>
        </is>
      </c>
      <c r="G866" s="11" t="inlineStr"/>
      <c r="H866" s="11" t="inlineStr">
        <is>
          <t>INTERFACE P.O.S.</t>
        </is>
      </c>
      <c r="I866" s="11" t="n">
        <v>38500</v>
      </c>
      <c r="J866" s="11" t="inlineStr"/>
    </row>
    <row r="867">
      <c r="A867" s="11" t="n">
        <v>866</v>
      </c>
      <c r="B867" s="12" t="n">
        <v>46103</v>
      </c>
      <c r="C867" s="11" t="inlineStr">
        <is>
          <t>INTF</t>
        </is>
      </c>
      <c r="D867" s="11" t="inlineStr">
        <is>
          <t>202603</t>
        </is>
      </c>
      <c r="E867" s="11" t="inlineStr">
        <is>
          <t>1007394570</t>
        </is>
      </c>
      <c r="F867" s="11" t="inlineStr">
        <is>
          <t>CRUZ REMISIO ALEXAND</t>
        </is>
      </c>
      <c r="G867" s="11" t="inlineStr"/>
      <c r="H867" s="11" t="inlineStr">
        <is>
          <t>INTERFACE P.O.S.</t>
        </is>
      </c>
      <c r="I867" s="11" t="n">
        <v>15700</v>
      </c>
      <c r="J867" s="11" t="inlineStr"/>
    </row>
    <row r="868">
      <c r="A868" s="11" t="n">
        <v>867</v>
      </c>
      <c r="B868" s="12" t="n">
        <v>46103</v>
      </c>
      <c r="C868" s="11" t="inlineStr">
        <is>
          <t>INTF</t>
        </is>
      </c>
      <c r="D868" s="11" t="inlineStr">
        <is>
          <t>202603</t>
        </is>
      </c>
      <c r="E868" s="11" t="inlineStr">
        <is>
          <t>1123320216</t>
        </is>
      </c>
      <c r="F868" s="11" t="inlineStr">
        <is>
          <t>FLOREZ APRAEZ DEYANI</t>
        </is>
      </c>
      <c r="G868" s="11" t="inlineStr"/>
      <c r="H868" s="11" t="inlineStr">
        <is>
          <t>INTERFACE P.O.S.</t>
        </is>
      </c>
      <c r="I868" s="11" t="n">
        <v>216000</v>
      </c>
      <c r="J868" s="11" t="inlineStr"/>
    </row>
    <row r="869">
      <c r="A869" s="11" t="n">
        <v>868</v>
      </c>
      <c r="B869" s="12" t="n">
        <v>46103</v>
      </c>
      <c r="C869" s="11" t="inlineStr">
        <is>
          <t>INTF</t>
        </is>
      </c>
      <c r="D869" s="11" t="inlineStr">
        <is>
          <t>202603</t>
        </is>
      </c>
      <c r="E869" s="11" t="inlineStr">
        <is>
          <t>1130145154</t>
        </is>
      </c>
      <c r="F869" s="11" t="inlineStr">
        <is>
          <t>MONTENEGRO MARTINEZ</t>
        </is>
      </c>
      <c r="G869" s="11" t="inlineStr"/>
      <c r="H869" s="11" t="inlineStr">
        <is>
          <t>INTERFACE P.O.S.</t>
        </is>
      </c>
      <c r="I869" s="11" t="n">
        <v>5900</v>
      </c>
      <c r="J869" s="11" t="inlineStr"/>
    </row>
    <row r="870">
      <c r="A870" s="11" t="n">
        <v>869</v>
      </c>
      <c r="B870" s="12" t="n">
        <v>46103</v>
      </c>
      <c r="C870" s="11" t="inlineStr">
        <is>
          <t>INTF</t>
        </is>
      </c>
      <c r="D870" s="11" t="inlineStr">
        <is>
          <t>202603</t>
        </is>
      </c>
      <c r="E870" s="11" t="inlineStr">
        <is>
          <t>1023888740</t>
        </is>
      </c>
      <c r="F870" s="11" t="inlineStr">
        <is>
          <t>GARZON ROCHA WILSON</t>
        </is>
      </c>
      <c r="G870" s="11" t="inlineStr"/>
      <c r="H870" s="11" t="inlineStr">
        <is>
          <t>INTERFACE P.O.S.</t>
        </is>
      </c>
      <c r="I870" s="11" t="n">
        <v>16700</v>
      </c>
      <c r="J870" s="11" t="inlineStr"/>
    </row>
    <row r="871">
      <c r="A871" s="11" t="n">
        <v>870</v>
      </c>
      <c r="B871" s="12" t="n">
        <v>46103</v>
      </c>
      <c r="C871" s="11" t="inlineStr">
        <is>
          <t>INTF</t>
        </is>
      </c>
      <c r="D871" s="11" t="inlineStr">
        <is>
          <t>202603</t>
        </is>
      </c>
      <c r="E871" s="11" t="inlineStr">
        <is>
          <t>1123321801</t>
        </is>
      </c>
      <c r="F871" s="11" t="inlineStr">
        <is>
          <t>LOPEZ TIMARAN SEBAST</t>
        </is>
      </c>
      <c r="G871" s="11" t="inlineStr"/>
      <c r="H871" s="11" t="inlineStr">
        <is>
          <t>INTERFACE P.O.S.</t>
        </is>
      </c>
      <c r="I871" s="11" t="n">
        <v>3000</v>
      </c>
      <c r="J871" s="11" t="inlineStr"/>
    </row>
    <row r="872">
      <c r="A872" s="11" t="n">
        <v>871</v>
      </c>
      <c r="B872" s="12" t="n">
        <v>46103</v>
      </c>
      <c r="C872" s="11" t="inlineStr">
        <is>
          <t>INTF</t>
        </is>
      </c>
      <c r="D872" s="11" t="inlineStr">
        <is>
          <t>202603</t>
        </is>
      </c>
      <c r="E872" s="11" t="inlineStr">
        <is>
          <t>1006850291</t>
        </is>
      </c>
      <c r="F872" s="11" t="inlineStr">
        <is>
          <t>CASTRO ROSALES EDWIN</t>
        </is>
      </c>
      <c r="G872" s="11" t="inlineStr"/>
      <c r="H872" s="11" t="inlineStr">
        <is>
          <t>INTERFACE P.O.S.</t>
        </is>
      </c>
      <c r="I872" s="11" t="n">
        <v>13500</v>
      </c>
      <c r="J872" s="11" t="inlineStr"/>
    </row>
    <row r="873">
      <c r="A873" s="11" t="n">
        <v>872</v>
      </c>
      <c r="B873" s="12" t="n">
        <v>46103</v>
      </c>
      <c r="C873" s="11" t="inlineStr">
        <is>
          <t>INTF</t>
        </is>
      </c>
      <c r="D873" s="11" t="inlineStr">
        <is>
          <t>202603</t>
        </is>
      </c>
      <c r="E873" s="11" t="inlineStr">
        <is>
          <t>41108920</t>
        </is>
      </c>
      <c r="F873" s="11" t="inlineStr">
        <is>
          <t>HOYOS GARCIA SONIA</t>
        </is>
      </c>
      <c r="G873" s="11" t="inlineStr"/>
      <c r="H873" s="11" t="inlineStr">
        <is>
          <t>INTERFACE P.O.S.</t>
        </is>
      </c>
      <c r="I873" s="11" t="n">
        <v>233000</v>
      </c>
      <c r="J873" s="11" t="inlineStr"/>
    </row>
    <row r="874">
      <c r="A874" s="11" t="n">
        <v>873</v>
      </c>
      <c r="B874" s="12" t="n">
        <v>46103</v>
      </c>
      <c r="C874" s="11" t="inlineStr">
        <is>
          <t>INTF</t>
        </is>
      </c>
      <c r="D874" s="11" t="inlineStr">
        <is>
          <t>202603</t>
        </is>
      </c>
      <c r="E874" s="11" t="inlineStr">
        <is>
          <t>1123208965</t>
        </is>
      </c>
      <c r="F874" s="11" t="inlineStr">
        <is>
          <t>RIASCO YIMI</t>
        </is>
      </c>
      <c r="G874" s="11" t="inlineStr"/>
      <c r="H874" s="11" t="inlineStr">
        <is>
          <t>INTERFACE P.O.S.</t>
        </is>
      </c>
      <c r="I874" s="11" t="n">
        <v>97000</v>
      </c>
      <c r="J874" s="11" t="inlineStr"/>
    </row>
    <row r="875">
      <c r="A875" s="11" t="n">
        <v>874</v>
      </c>
      <c r="B875" s="12" t="n">
        <v>46103</v>
      </c>
      <c r="C875" s="11" t="inlineStr">
        <is>
          <t>INTF</t>
        </is>
      </c>
      <c r="D875" s="11" t="inlineStr">
        <is>
          <t>202603</t>
        </is>
      </c>
      <c r="E875" s="11" t="inlineStr">
        <is>
          <t>1123324994</t>
        </is>
      </c>
      <c r="F875" s="11" t="inlineStr">
        <is>
          <t>SALAZAR MENESES HERM</t>
        </is>
      </c>
      <c r="G875" s="11" t="inlineStr"/>
      <c r="H875" s="11" t="inlineStr">
        <is>
          <t>INTERFACE P.O.S.</t>
        </is>
      </c>
      <c r="I875" s="11" t="n">
        <v>37000</v>
      </c>
      <c r="J875" s="11" t="inlineStr"/>
    </row>
    <row r="876">
      <c r="A876" s="11" t="n">
        <v>875</v>
      </c>
      <c r="B876" s="12" t="n">
        <v>46103</v>
      </c>
      <c r="C876" s="11" t="inlineStr">
        <is>
          <t>INTF</t>
        </is>
      </c>
      <c r="D876" s="11" t="inlineStr">
        <is>
          <t>202603</t>
        </is>
      </c>
      <c r="E876" s="11" t="inlineStr">
        <is>
          <t>1123330064</t>
        </is>
      </c>
      <c r="F876" s="11" t="inlineStr">
        <is>
          <t>ZAMBRANO ARBOLEDA</t>
        </is>
      </c>
      <c r="G876" s="11" t="inlineStr"/>
      <c r="H876" s="11" t="inlineStr">
        <is>
          <t>INTERFACE P.O.S.</t>
        </is>
      </c>
      <c r="I876" s="11" t="n">
        <v>6400</v>
      </c>
      <c r="J876" s="11" t="inlineStr"/>
    </row>
    <row r="877">
      <c r="A877" s="11" t="n">
        <v>876</v>
      </c>
      <c r="B877" s="12" t="n">
        <v>46103</v>
      </c>
      <c r="C877" s="11" t="inlineStr">
        <is>
          <t>INTF</t>
        </is>
      </c>
      <c r="D877" s="11" t="inlineStr">
        <is>
          <t>202603</t>
        </is>
      </c>
      <c r="E877" s="11" t="inlineStr">
        <is>
          <t>1123330272</t>
        </is>
      </c>
      <c r="F877" s="11" t="inlineStr">
        <is>
          <t>LOPEZ ALEJANDRA</t>
        </is>
      </c>
      <c r="G877" s="11" t="inlineStr"/>
      <c r="H877" s="11" t="inlineStr">
        <is>
          <t>INTERFACE P.O.S.</t>
        </is>
      </c>
      <c r="I877" s="11" t="n">
        <v>75000</v>
      </c>
      <c r="J877" s="11" t="inlineStr"/>
    </row>
    <row r="878">
      <c r="A878" s="11" t="n">
        <v>877</v>
      </c>
      <c r="B878" s="12" t="n">
        <v>46103</v>
      </c>
      <c r="C878" s="11" t="inlineStr">
        <is>
          <t>INTF</t>
        </is>
      </c>
      <c r="D878" s="11" t="inlineStr">
        <is>
          <t>202603</t>
        </is>
      </c>
      <c r="E878" s="11" t="inlineStr">
        <is>
          <t>1123322247</t>
        </is>
      </c>
      <c r="F878" s="11" t="inlineStr">
        <is>
          <t>MEJIA BALLEJO LIB</t>
        </is>
      </c>
      <c r="G878" s="11" t="inlineStr"/>
      <c r="H878" s="11" t="inlineStr">
        <is>
          <t>INTERFACE P.O.S.</t>
        </is>
      </c>
      <c r="I878" s="11" t="n">
        <v>432000</v>
      </c>
      <c r="J878" s="11" t="inlineStr"/>
    </row>
    <row r="879">
      <c r="A879" s="11" t="n">
        <v>878</v>
      </c>
      <c r="B879" s="12" t="n">
        <v>46104</v>
      </c>
      <c r="C879" s="11" t="inlineStr">
        <is>
          <t>CE</t>
        </is>
      </c>
      <c r="D879" s="11" t="inlineStr">
        <is>
          <t>9450</t>
        </is>
      </c>
      <c r="E879" s="11" t="inlineStr">
        <is>
          <t>59829308</t>
        </is>
      </c>
      <c r="F879" s="11" t="inlineStr">
        <is>
          <t>PAGUATIAN INES DORA</t>
        </is>
      </c>
      <c r="G879" s="11" t="inlineStr">
        <is>
          <t>M03943366</t>
        </is>
      </c>
      <c r="H879" s="11" t="inlineStr">
        <is>
          <t>PF COLACTEOS</t>
        </is>
      </c>
      <c r="I879" s="11" t="inlineStr"/>
      <c r="J879" s="11" t="n">
        <v>632289</v>
      </c>
    </row>
    <row r="880">
      <c r="A880" s="11" t="n">
        <v>879</v>
      </c>
      <c r="B880" s="12" t="n">
        <v>46104</v>
      </c>
      <c r="C880" s="11" t="inlineStr">
        <is>
          <t>CE</t>
        </is>
      </c>
      <c r="D880" s="11" t="inlineStr">
        <is>
          <t>9451</t>
        </is>
      </c>
      <c r="E880" s="11" t="inlineStr">
        <is>
          <t>12960879</t>
        </is>
      </c>
      <c r="F880" s="11" t="inlineStr">
        <is>
          <t>PATIÑO HERMES ANTONI</t>
        </is>
      </c>
      <c r="G880" s="11" t="inlineStr">
        <is>
          <t>M04035690</t>
        </is>
      </c>
      <c r="H880" s="11" t="inlineStr">
        <is>
          <t>PF ZENU</t>
        </is>
      </c>
      <c r="I880" s="11" t="inlineStr"/>
      <c r="J880" s="11" t="n">
        <v>1706576</v>
      </c>
    </row>
    <row r="881">
      <c r="A881" s="11" t="n">
        <v>880</v>
      </c>
      <c r="B881" s="12" t="n">
        <v>46104</v>
      </c>
      <c r="C881" s="11" t="inlineStr">
        <is>
          <t>CE</t>
        </is>
      </c>
      <c r="D881" s="11" t="inlineStr">
        <is>
          <t>9452</t>
        </is>
      </c>
      <c r="E881" s="11" t="inlineStr">
        <is>
          <t>901787934</t>
        </is>
      </c>
      <c r="F881" s="11" t="inlineStr">
        <is>
          <t>SURTIVENTAS DE NARIÑ</t>
        </is>
      </c>
      <c r="G881" s="11" t="inlineStr">
        <is>
          <t>M04035690</t>
        </is>
      </c>
      <c r="H881" s="11" t="inlineStr">
        <is>
          <t>PF ALPINA</t>
        </is>
      </c>
      <c r="I881" s="11" t="inlineStr"/>
      <c r="J881" s="11" t="n">
        <v>1398744</v>
      </c>
    </row>
    <row r="882">
      <c r="A882" s="11" t="n">
        <v>881</v>
      </c>
      <c r="B882" s="12" t="n">
        <v>46104</v>
      </c>
      <c r="C882" s="11" t="inlineStr">
        <is>
          <t>INTF</t>
        </is>
      </c>
      <c r="D882" s="11" t="inlineStr">
        <is>
          <t>202603</t>
        </is>
      </c>
      <c r="E882" s="11" t="inlineStr">
        <is>
          <t>66956077</t>
        </is>
      </c>
      <c r="F882" s="11" t="inlineStr">
        <is>
          <t>VARGAS GAMBOA DOLY</t>
        </is>
      </c>
      <c r="G882" s="11" t="inlineStr"/>
      <c r="H882" s="11" t="inlineStr">
        <is>
          <t>INTERFACE P.O.S.</t>
        </is>
      </c>
      <c r="I882" s="11" t="n">
        <v>10000</v>
      </c>
      <c r="J882" s="11" t="inlineStr"/>
    </row>
    <row r="883">
      <c r="A883" s="11" t="n">
        <v>882</v>
      </c>
      <c r="B883" s="12" t="n">
        <v>46104</v>
      </c>
      <c r="C883" s="11" t="inlineStr">
        <is>
          <t>INTF</t>
        </is>
      </c>
      <c r="D883" s="11" t="inlineStr">
        <is>
          <t>202603</t>
        </is>
      </c>
      <c r="E883" s="11" t="inlineStr">
        <is>
          <t>69008382</t>
        </is>
      </c>
      <c r="F883" s="11" t="inlineStr">
        <is>
          <t>TORO QUINTERO YOLAND</t>
        </is>
      </c>
      <c r="G883" s="11" t="inlineStr"/>
      <c r="H883" s="11" t="inlineStr">
        <is>
          <t>INTERFACE P.O.S.</t>
        </is>
      </c>
      <c r="I883" s="11" t="n">
        <v>96500</v>
      </c>
      <c r="J883" s="11" t="inlineStr"/>
    </row>
    <row r="884">
      <c r="A884" s="11" t="n">
        <v>883</v>
      </c>
      <c r="B884" s="12" t="n">
        <v>46104</v>
      </c>
      <c r="C884" s="11" t="inlineStr">
        <is>
          <t>INTF</t>
        </is>
      </c>
      <c r="D884" s="11" t="inlineStr">
        <is>
          <t>202603</t>
        </is>
      </c>
      <c r="E884" s="11" t="inlineStr">
        <is>
          <t>11806823</t>
        </is>
      </c>
      <c r="F884" s="11" t="inlineStr">
        <is>
          <t>VERGARA BORJA FRESLE</t>
        </is>
      </c>
      <c r="G884" s="11" t="inlineStr"/>
      <c r="H884" s="11" t="inlineStr">
        <is>
          <t>INTERFACE P.O.S.</t>
        </is>
      </c>
      <c r="I884" s="11" t="n">
        <v>11900</v>
      </c>
      <c r="J884" s="11" t="inlineStr"/>
    </row>
    <row r="885">
      <c r="A885" s="11" t="n">
        <v>884</v>
      </c>
      <c r="B885" s="12" t="n">
        <v>46104</v>
      </c>
      <c r="C885" s="11" t="inlineStr">
        <is>
          <t>INTF</t>
        </is>
      </c>
      <c r="D885" s="11" t="inlineStr">
        <is>
          <t>202603</t>
        </is>
      </c>
      <c r="E885" s="11" t="inlineStr">
        <is>
          <t>13069539</t>
        </is>
      </c>
      <c r="F885" s="11" t="inlineStr">
        <is>
          <t>MANCHABAJOY BENAVIDE</t>
        </is>
      </c>
      <c r="G885" s="11" t="inlineStr"/>
      <c r="H885" s="11" t="inlineStr">
        <is>
          <t>INTERFACE P.O.S.</t>
        </is>
      </c>
      <c r="I885" s="11" t="n">
        <v>33000</v>
      </c>
      <c r="J885" s="11" t="inlineStr"/>
    </row>
    <row r="886">
      <c r="A886" s="11" t="n">
        <v>885</v>
      </c>
      <c r="B886" s="12" t="n">
        <v>46104</v>
      </c>
      <c r="C886" s="11" t="inlineStr">
        <is>
          <t>INTF</t>
        </is>
      </c>
      <c r="D886" s="11" t="inlineStr">
        <is>
          <t>202603</t>
        </is>
      </c>
      <c r="E886" s="11" t="inlineStr">
        <is>
          <t>900220590</t>
        </is>
      </c>
      <c r="F886" s="11" t="inlineStr">
        <is>
          <t>FONOCLINIC</t>
        </is>
      </c>
      <c r="G886" s="11" t="inlineStr"/>
      <c r="H886" s="11" t="inlineStr">
        <is>
          <t>INTERFACE P.O.S.</t>
        </is>
      </c>
      <c r="I886" s="11" t="n">
        <v>27300</v>
      </c>
      <c r="J886" s="11" t="inlineStr"/>
    </row>
    <row r="887">
      <c r="A887" s="11" t="n">
        <v>886</v>
      </c>
      <c r="B887" s="12" t="n">
        <v>46104</v>
      </c>
      <c r="C887" s="11" t="inlineStr">
        <is>
          <t>INTF</t>
        </is>
      </c>
      <c r="D887" s="11" t="inlineStr">
        <is>
          <t>202603</t>
        </is>
      </c>
      <c r="E887" s="11" t="inlineStr">
        <is>
          <t>1123324247</t>
        </is>
      </c>
      <c r="F887" s="11" t="inlineStr">
        <is>
          <t>GONZALEZ FORERO JENN</t>
        </is>
      </c>
      <c r="G887" s="11" t="inlineStr"/>
      <c r="H887" s="11" t="inlineStr">
        <is>
          <t>INTERFACE P.O.S.</t>
        </is>
      </c>
      <c r="I887" s="11" t="n">
        <v>6800</v>
      </c>
      <c r="J887" s="11" t="inlineStr"/>
    </row>
    <row r="888">
      <c r="A888" s="11" t="n">
        <v>887</v>
      </c>
      <c r="B888" s="12" t="n">
        <v>46104</v>
      </c>
      <c r="C888" s="11" t="inlineStr">
        <is>
          <t>INTF</t>
        </is>
      </c>
      <c r="D888" s="11" t="inlineStr">
        <is>
          <t>202603</t>
        </is>
      </c>
      <c r="E888" s="11" t="inlineStr">
        <is>
          <t>1073693731</t>
        </is>
      </c>
      <c r="F888" s="11" t="inlineStr">
        <is>
          <t>NARVAEZ ACOSTA IDALY</t>
        </is>
      </c>
      <c r="G888" s="11" t="inlineStr"/>
      <c r="H888" s="11" t="inlineStr">
        <is>
          <t>INTERFACE P.O.S.</t>
        </is>
      </c>
      <c r="I888" s="11" t="n">
        <v>18900</v>
      </c>
      <c r="J888" s="11" t="inlineStr"/>
    </row>
    <row r="889">
      <c r="A889" s="11" t="n">
        <v>888</v>
      </c>
      <c r="B889" s="12" t="n">
        <v>46104</v>
      </c>
      <c r="C889" s="11" t="inlineStr">
        <is>
          <t>INTF</t>
        </is>
      </c>
      <c r="D889" s="11" t="inlineStr">
        <is>
          <t>202603</t>
        </is>
      </c>
      <c r="E889" s="11" t="inlineStr">
        <is>
          <t>79123819</t>
        </is>
      </c>
      <c r="F889" s="11" t="inlineStr">
        <is>
          <t>PAEZ MANRIQUE JAIME</t>
        </is>
      </c>
      <c r="G889" s="11" t="inlineStr"/>
      <c r="H889" s="11" t="inlineStr">
        <is>
          <t>INTERFACE P.O.S.</t>
        </is>
      </c>
      <c r="I889" s="11" t="n">
        <v>15000</v>
      </c>
      <c r="J889" s="11" t="inlineStr"/>
    </row>
    <row r="890">
      <c r="A890" s="11" t="n">
        <v>889</v>
      </c>
      <c r="B890" s="12" t="n">
        <v>46104</v>
      </c>
      <c r="C890" s="11" t="inlineStr">
        <is>
          <t>INTF</t>
        </is>
      </c>
      <c r="D890" s="11" t="inlineStr">
        <is>
          <t>202603</t>
        </is>
      </c>
      <c r="E890" s="11" t="inlineStr">
        <is>
          <t>18146752</t>
        </is>
      </c>
      <c r="F890" s="11" t="inlineStr">
        <is>
          <t>AGUDELO CIRO FAVER D</t>
        </is>
      </c>
      <c r="G890" s="11" t="inlineStr"/>
      <c r="H890" s="11" t="inlineStr">
        <is>
          <t>INTERFACE P.O.S.</t>
        </is>
      </c>
      <c r="I890" s="11" t="n">
        <v>50000</v>
      </c>
      <c r="J890" s="11" t="inlineStr"/>
    </row>
    <row r="891">
      <c r="A891" s="11" t="n">
        <v>890</v>
      </c>
      <c r="B891" s="12" t="n">
        <v>46104</v>
      </c>
      <c r="C891" s="11" t="inlineStr">
        <is>
          <t>INTF</t>
        </is>
      </c>
      <c r="D891" s="11" t="inlineStr">
        <is>
          <t>202603</t>
        </is>
      </c>
      <c r="E891" s="11" t="inlineStr">
        <is>
          <t>63367669</t>
        </is>
      </c>
      <c r="F891" s="11" t="inlineStr">
        <is>
          <t>PEREZ BECERRA PATRIC</t>
        </is>
      </c>
      <c r="G891" s="11" t="inlineStr"/>
      <c r="H891" s="11" t="inlineStr">
        <is>
          <t>INTERFACE P.O.S.</t>
        </is>
      </c>
      <c r="I891" s="11" t="n">
        <v>37800</v>
      </c>
      <c r="J891" s="11" t="inlineStr"/>
    </row>
    <row r="892">
      <c r="A892" s="11" t="n">
        <v>891</v>
      </c>
      <c r="B892" s="12" t="n">
        <v>46104</v>
      </c>
      <c r="C892" s="11" t="inlineStr">
        <is>
          <t>INTF</t>
        </is>
      </c>
      <c r="D892" s="11" t="inlineStr">
        <is>
          <t>202603</t>
        </is>
      </c>
      <c r="E892" s="11" t="inlineStr">
        <is>
          <t>1126458986</t>
        </is>
      </c>
      <c r="F892" s="11" t="inlineStr">
        <is>
          <t>ALVAREZ VALLEJO LORE</t>
        </is>
      </c>
      <c r="G892" s="11" t="inlineStr"/>
      <c r="H892" s="11" t="inlineStr">
        <is>
          <t>INTERFACE P.O.S.</t>
        </is>
      </c>
      <c r="I892" s="11" t="n">
        <v>61400</v>
      </c>
      <c r="J892" s="11" t="inlineStr"/>
    </row>
    <row r="893">
      <c r="A893" s="11" t="n">
        <v>892</v>
      </c>
      <c r="B893" s="12" t="n">
        <v>46104</v>
      </c>
      <c r="C893" s="11" t="inlineStr">
        <is>
          <t>INTF</t>
        </is>
      </c>
      <c r="D893" s="11" t="inlineStr">
        <is>
          <t>202603</t>
        </is>
      </c>
      <c r="E893" s="11" t="inlineStr">
        <is>
          <t>1123330589</t>
        </is>
      </c>
      <c r="F893" s="11" t="inlineStr">
        <is>
          <t>RIASCOS SILVA JEIMY</t>
        </is>
      </c>
      <c r="G893" s="11" t="inlineStr"/>
      <c r="H893" s="11" t="inlineStr">
        <is>
          <t>INTERFACE P.O.S.</t>
        </is>
      </c>
      <c r="I893" s="11" t="n">
        <v>4100</v>
      </c>
      <c r="J893" s="11" t="inlineStr"/>
    </row>
    <row r="894">
      <c r="A894" s="11" t="n">
        <v>893</v>
      </c>
      <c r="B894" s="12" t="n">
        <v>46104</v>
      </c>
      <c r="C894" s="11" t="inlineStr">
        <is>
          <t>INTF</t>
        </is>
      </c>
      <c r="D894" s="11" t="inlineStr">
        <is>
          <t>202603</t>
        </is>
      </c>
      <c r="E894" s="11" t="inlineStr">
        <is>
          <t>1006997523</t>
        </is>
      </c>
      <c r="F894" s="11" t="inlineStr">
        <is>
          <t>BENAVIDES GUAPUCAL D</t>
        </is>
      </c>
      <c r="G894" s="11" t="inlineStr"/>
      <c r="H894" s="11" t="inlineStr">
        <is>
          <t>INTERFACE P.O.S.</t>
        </is>
      </c>
      <c r="I894" s="11" t="n">
        <v>18100</v>
      </c>
      <c r="J894" s="11" t="inlineStr"/>
    </row>
    <row r="895">
      <c r="A895" s="11" t="n">
        <v>894</v>
      </c>
      <c r="B895" s="12" t="n">
        <v>46104</v>
      </c>
      <c r="C895" s="11" t="inlineStr">
        <is>
          <t>INTF</t>
        </is>
      </c>
      <c r="D895" s="11" t="inlineStr">
        <is>
          <t>202603</t>
        </is>
      </c>
      <c r="E895" s="11" t="inlineStr">
        <is>
          <t>1023968833</t>
        </is>
      </c>
      <c r="F895" s="11" t="inlineStr">
        <is>
          <t>MAYORGA SABOGAL MARI</t>
        </is>
      </c>
      <c r="G895" s="11" t="inlineStr"/>
      <c r="H895" s="11" t="inlineStr">
        <is>
          <t>INTERFACE P.O.S.</t>
        </is>
      </c>
      <c r="I895" s="11" t="n">
        <v>10800</v>
      </c>
      <c r="J895" s="11" t="inlineStr"/>
    </row>
    <row r="896">
      <c r="A896" s="11" t="n">
        <v>895</v>
      </c>
      <c r="B896" s="12" t="n">
        <v>46104</v>
      </c>
      <c r="C896" s="11" t="inlineStr">
        <is>
          <t>INTF</t>
        </is>
      </c>
      <c r="D896" s="11" t="inlineStr">
        <is>
          <t>202603</t>
        </is>
      </c>
      <c r="E896" s="11" t="inlineStr">
        <is>
          <t>1123331260</t>
        </is>
      </c>
      <c r="F896" s="11" t="inlineStr">
        <is>
          <t>ROMO PALMA LINDA JOS</t>
        </is>
      </c>
      <c r="G896" s="11" t="inlineStr"/>
      <c r="H896" s="11" t="inlineStr">
        <is>
          <t>INTERFACE P.O.S.</t>
        </is>
      </c>
      <c r="I896" s="11" t="n">
        <v>1400</v>
      </c>
      <c r="J896" s="11" t="inlineStr"/>
    </row>
    <row r="897">
      <c r="A897" s="11" t="n">
        <v>896</v>
      </c>
      <c r="B897" s="12" t="n">
        <v>46104</v>
      </c>
      <c r="C897" s="11" t="inlineStr">
        <is>
          <t>INTF</t>
        </is>
      </c>
      <c r="D897" s="11" t="inlineStr">
        <is>
          <t>202603</t>
        </is>
      </c>
      <c r="E897" s="11" t="inlineStr">
        <is>
          <t>12447282</t>
        </is>
      </c>
      <c r="F897" s="11" t="inlineStr">
        <is>
          <t>MENDOZA CARLOS EDUAR</t>
        </is>
      </c>
      <c r="G897" s="11" t="inlineStr"/>
      <c r="H897" s="11" t="inlineStr">
        <is>
          <t>INTERFACE P.O.S.</t>
        </is>
      </c>
      <c r="I897" s="11" t="n">
        <v>49300</v>
      </c>
      <c r="J897" s="11" t="inlineStr"/>
    </row>
    <row r="898">
      <c r="A898" s="11" t="n">
        <v>897</v>
      </c>
      <c r="B898" s="12" t="n">
        <v>46104</v>
      </c>
      <c r="C898" s="11" t="inlineStr">
        <is>
          <t>INTF</t>
        </is>
      </c>
      <c r="D898" s="11" t="inlineStr">
        <is>
          <t>202603</t>
        </is>
      </c>
      <c r="E898" s="11" t="inlineStr">
        <is>
          <t>40740556</t>
        </is>
      </c>
      <c r="F898" s="11" t="inlineStr">
        <is>
          <t>CUBILLOS ORDOÑES NIV</t>
        </is>
      </c>
      <c r="G898" s="11" t="inlineStr"/>
      <c r="H898" s="11" t="inlineStr">
        <is>
          <t>INTERFACE P.O.S.</t>
        </is>
      </c>
      <c r="I898" s="11" t="n">
        <v>12300</v>
      </c>
      <c r="J898" s="11" t="inlineStr"/>
    </row>
    <row r="899">
      <c r="A899" s="11" t="n">
        <v>898</v>
      </c>
      <c r="B899" s="12" t="n">
        <v>46104</v>
      </c>
      <c r="C899" s="11" t="inlineStr">
        <is>
          <t>INTF</t>
        </is>
      </c>
      <c r="D899" s="11" t="inlineStr">
        <is>
          <t>202603</t>
        </is>
      </c>
      <c r="E899" s="11" t="inlineStr">
        <is>
          <t>1123330519</t>
        </is>
      </c>
      <c r="F899" s="11" t="inlineStr">
        <is>
          <t>ARTEAGA GIRALDO HELE</t>
        </is>
      </c>
      <c r="G899" s="11" t="inlineStr"/>
      <c r="H899" s="11" t="inlineStr">
        <is>
          <t>INTERFACE P.O.S.</t>
        </is>
      </c>
      <c r="I899" s="11" t="n">
        <v>22400</v>
      </c>
      <c r="J899" s="11" t="inlineStr"/>
    </row>
    <row r="900">
      <c r="A900" s="11" t="n">
        <v>899</v>
      </c>
      <c r="B900" s="12" t="n">
        <v>46104</v>
      </c>
      <c r="C900" s="11" t="inlineStr">
        <is>
          <t>INTF</t>
        </is>
      </c>
      <c r="D900" s="11" t="inlineStr">
        <is>
          <t>202603</t>
        </is>
      </c>
      <c r="E900" s="11" t="inlineStr">
        <is>
          <t>1075306944</t>
        </is>
      </c>
      <c r="F900" s="11" t="inlineStr">
        <is>
          <t>PEÑA OTAVO YINETH</t>
        </is>
      </c>
      <c r="G900" s="11" t="inlineStr"/>
      <c r="H900" s="11" t="inlineStr">
        <is>
          <t>INTERFACE P.O.S.</t>
        </is>
      </c>
      <c r="I900" s="11" t="n">
        <v>13600</v>
      </c>
      <c r="J900" s="11" t="inlineStr"/>
    </row>
    <row r="901">
      <c r="A901" s="11" t="n">
        <v>900</v>
      </c>
      <c r="B901" s="12" t="n">
        <v>46104</v>
      </c>
      <c r="C901" s="11" t="inlineStr">
        <is>
          <t>INTF</t>
        </is>
      </c>
      <c r="D901" s="11" t="inlineStr">
        <is>
          <t>202603</t>
        </is>
      </c>
      <c r="E901" s="11" t="inlineStr">
        <is>
          <t>1123334998</t>
        </is>
      </c>
      <c r="F901" s="11" t="inlineStr">
        <is>
          <t>GARRIDO RODRIGUEZ GU</t>
        </is>
      </c>
      <c r="G901" s="11" t="inlineStr"/>
      <c r="H901" s="11" t="inlineStr">
        <is>
          <t>INTERFACE P.O.S.</t>
        </is>
      </c>
      <c r="I901" s="11" t="n">
        <v>21500</v>
      </c>
      <c r="J901" s="11" t="inlineStr"/>
    </row>
    <row r="902">
      <c r="A902" s="11" t="n">
        <v>901</v>
      </c>
      <c r="B902" s="12" t="n">
        <v>46104</v>
      </c>
      <c r="C902" s="11" t="inlineStr">
        <is>
          <t>INTF</t>
        </is>
      </c>
      <c r="D902" s="11" t="inlineStr">
        <is>
          <t>202603</t>
        </is>
      </c>
      <c r="E902" s="11" t="inlineStr">
        <is>
          <t>1030683975</t>
        </is>
      </c>
      <c r="F902" s="11" t="inlineStr">
        <is>
          <t>MOTA ORTIIZ LINA PAO</t>
        </is>
      </c>
      <c r="G902" s="11" t="inlineStr"/>
      <c r="H902" s="11" t="inlineStr">
        <is>
          <t>INTERFACE P.O.S.</t>
        </is>
      </c>
      <c r="I902" s="11" t="n">
        <v>21200</v>
      </c>
      <c r="J902" s="11" t="inlineStr"/>
    </row>
    <row r="903">
      <c r="A903" s="11" t="n">
        <v>902</v>
      </c>
      <c r="B903" s="12" t="n">
        <v>46104</v>
      </c>
      <c r="C903" s="11" t="inlineStr">
        <is>
          <t>INTF</t>
        </is>
      </c>
      <c r="D903" s="11" t="inlineStr">
        <is>
          <t>202603</t>
        </is>
      </c>
      <c r="E903" s="11" t="inlineStr">
        <is>
          <t>1123321589</t>
        </is>
      </c>
      <c r="F903" s="11" t="inlineStr">
        <is>
          <t>DIAS CHAVEZ EVA LINE</t>
        </is>
      </c>
      <c r="G903" s="11" t="inlineStr"/>
      <c r="H903" s="11" t="inlineStr">
        <is>
          <t>INTERFACE P.O.S.</t>
        </is>
      </c>
      <c r="I903" s="11" t="n">
        <v>13500</v>
      </c>
      <c r="J903" s="11" t="inlineStr"/>
    </row>
    <row r="904">
      <c r="A904" s="11" t="n">
        <v>903</v>
      </c>
      <c r="B904" s="12" t="n">
        <v>46104</v>
      </c>
      <c r="C904" s="11" t="inlineStr">
        <is>
          <t>INTF</t>
        </is>
      </c>
      <c r="D904" s="11" t="inlineStr">
        <is>
          <t>202603</t>
        </is>
      </c>
      <c r="E904" s="11" t="inlineStr">
        <is>
          <t>59831372</t>
        </is>
      </c>
      <c r="F904" s="11" t="inlineStr">
        <is>
          <t>CASTILLO CORRALES SI</t>
        </is>
      </c>
      <c r="G904" s="11" t="inlineStr"/>
      <c r="H904" s="11" t="inlineStr">
        <is>
          <t>INTERFACE P.O.S.</t>
        </is>
      </c>
      <c r="I904" s="11" t="n">
        <v>21200</v>
      </c>
      <c r="J904" s="11" t="inlineStr"/>
    </row>
    <row r="905">
      <c r="A905" s="11" t="n">
        <v>904</v>
      </c>
      <c r="B905" s="12" t="n">
        <v>46104</v>
      </c>
      <c r="C905" s="11" t="inlineStr">
        <is>
          <t>INTF</t>
        </is>
      </c>
      <c r="D905" s="11" t="inlineStr">
        <is>
          <t>202603</t>
        </is>
      </c>
      <c r="E905" s="11" t="inlineStr">
        <is>
          <t>1123323961</t>
        </is>
      </c>
      <c r="F905" s="11" t="inlineStr">
        <is>
          <t>SEGURA BOLAÑOS ANDRE</t>
        </is>
      </c>
      <c r="G905" s="11" t="inlineStr"/>
      <c r="H905" s="11" t="inlineStr">
        <is>
          <t>INTERFACE P.O.S.</t>
        </is>
      </c>
      <c r="I905" s="11" t="n">
        <v>50000</v>
      </c>
      <c r="J905" s="11" t="inlineStr"/>
    </row>
    <row r="906">
      <c r="A906" s="11" t="n">
        <v>905</v>
      </c>
      <c r="B906" s="12" t="n">
        <v>46104</v>
      </c>
      <c r="C906" s="11" t="inlineStr">
        <is>
          <t>INTF</t>
        </is>
      </c>
      <c r="D906" s="11" t="inlineStr">
        <is>
          <t>202603</t>
        </is>
      </c>
      <c r="E906" s="11" t="inlineStr">
        <is>
          <t>69020696</t>
        </is>
      </c>
      <c r="F906" s="11" t="inlineStr">
        <is>
          <t>MONTENEGRO MORALES L</t>
        </is>
      </c>
      <c r="G906" s="11" t="inlineStr"/>
      <c r="H906" s="11" t="inlineStr">
        <is>
          <t>INTERFACE P.O.S.</t>
        </is>
      </c>
      <c r="I906" s="11" t="n">
        <v>15700</v>
      </c>
      <c r="J906" s="11" t="inlineStr"/>
    </row>
    <row r="907">
      <c r="A907" s="11" t="n">
        <v>906</v>
      </c>
      <c r="B907" s="12" t="n">
        <v>46104</v>
      </c>
      <c r="C907" s="11" t="inlineStr">
        <is>
          <t>INTF</t>
        </is>
      </c>
      <c r="D907" s="11" t="inlineStr">
        <is>
          <t>202603</t>
        </is>
      </c>
      <c r="E907" s="11" t="inlineStr">
        <is>
          <t>1006851386</t>
        </is>
      </c>
      <c r="F907" s="11" t="inlineStr">
        <is>
          <t>ORTIZ MONTENEGRO JOA</t>
        </is>
      </c>
      <c r="G907" s="11" t="inlineStr"/>
      <c r="H907" s="11" t="inlineStr">
        <is>
          <t>INTERFACE P.O.S.</t>
        </is>
      </c>
      <c r="I907" s="11" t="n">
        <v>42000</v>
      </c>
      <c r="J907" s="11" t="inlineStr"/>
    </row>
    <row r="908">
      <c r="A908" s="11" t="n">
        <v>907</v>
      </c>
      <c r="B908" s="12" t="n">
        <v>46104</v>
      </c>
      <c r="C908" s="11" t="inlineStr">
        <is>
          <t>INTF</t>
        </is>
      </c>
      <c r="D908" s="11" t="inlineStr">
        <is>
          <t>202603</t>
        </is>
      </c>
      <c r="E908" s="11" t="inlineStr">
        <is>
          <t>1006842160</t>
        </is>
      </c>
      <c r="F908" s="11" t="inlineStr">
        <is>
          <t>SANTACRUZ CALDERON L</t>
        </is>
      </c>
      <c r="G908" s="11" t="inlineStr"/>
      <c r="H908" s="11" t="inlineStr">
        <is>
          <t>INTERFACE P.O.S.</t>
        </is>
      </c>
      <c r="I908" s="11" t="n">
        <v>32900</v>
      </c>
      <c r="J908" s="11" t="inlineStr"/>
    </row>
    <row r="909">
      <c r="A909" s="11" t="n">
        <v>908</v>
      </c>
      <c r="B909" s="12" t="n">
        <v>46104</v>
      </c>
      <c r="C909" s="11" t="inlineStr">
        <is>
          <t>INTF</t>
        </is>
      </c>
      <c r="D909" s="11" t="inlineStr">
        <is>
          <t>202603</t>
        </is>
      </c>
      <c r="E909" s="11" t="inlineStr">
        <is>
          <t>98384798</t>
        </is>
      </c>
      <c r="F909" s="11" t="inlineStr">
        <is>
          <t>GUACALES ROSAS JORJ</t>
        </is>
      </c>
      <c r="G909" s="11" t="inlineStr"/>
      <c r="H909" s="11" t="inlineStr">
        <is>
          <t>INTERFACE P.O.S.</t>
        </is>
      </c>
      <c r="I909" s="11" t="n">
        <v>18500</v>
      </c>
      <c r="J909" s="11" t="inlineStr"/>
    </row>
    <row r="910">
      <c r="A910" s="11" t="n">
        <v>909</v>
      </c>
      <c r="B910" s="12" t="n">
        <v>46104</v>
      </c>
      <c r="C910" s="11" t="inlineStr">
        <is>
          <t>INTF</t>
        </is>
      </c>
      <c r="D910" s="11" t="inlineStr">
        <is>
          <t>202603</t>
        </is>
      </c>
      <c r="E910" s="11" t="inlineStr">
        <is>
          <t>1123307277</t>
        </is>
      </c>
      <c r="F910" s="11" t="inlineStr">
        <is>
          <t>SANCHEZ BUESAQUILLO</t>
        </is>
      </c>
      <c r="G910" s="11" t="inlineStr"/>
      <c r="H910" s="11" t="inlineStr">
        <is>
          <t>INTERFACE P.O.S.</t>
        </is>
      </c>
      <c r="I910" s="11" t="n">
        <v>37500</v>
      </c>
      <c r="J910" s="11" t="inlineStr"/>
    </row>
    <row r="911">
      <c r="A911" s="11" t="n">
        <v>910</v>
      </c>
      <c r="B911" s="12" t="n">
        <v>46104</v>
      </c>
      <c r="C911" s="11" t="inlineStr">
        <is>
          <t>INTF</t>
        </is>
      </c>
      <c r="D911" s="11" t="inlineStr">
        <is>
          <t>202603</t>
        </is>
      </c>
      <c r="E911" s="11" t="inlineStr">
        <is>
          <t>1123332054</t>
        </is>
      </c>
      <c r="F911" s="11" t="inlineStr">
        <is>
          <t>ALVAREZ CHAVEZ CRIST</t>
        </is>
      </c>
      <c r="G911" s="11" t="inlineStr"/>
      <c r="H911" s="11" t="inlineStr">
        <is>
          <t>INTERFACE P.O.S.</t>
        </is>
      </c>
      <c r="I911" s="11" t="n">
        <v>18200</v>
      </c>
      <c r="J911" s="11" t="inlineStr"/>
    </row>
    <row r="912">
      <c r="A912" s="11" t="n">
        <v>911</v>
      </c>
      <c r="B912" s="12" t="n">
        <v>46104</v>
      </c>
      <c r="C912" s="11" t="inlineStr">
        <is>
          <t>INTF</t>
        </is>
      </c>
      <c r="D912" s="11" t="inlineStr">
        <is>
          <t>202603</t>
        </is>
      </c>
      <c r="E912" s="11" t="inlineStr">
        <is>
          <t>1122723431</t>
        </is>
      </c>
      <c r="F912" s="11" t="inlineStr">
        <is>
          <t>IBAÑEZ BOLAÑOS CELIA</t>
        </is>
      </c>
      <c r="G912" s="11" t="inlineStr"/>
      <c r="H912" s="11" t="inlineStr">
        <is>
          <t>INTERFACE P.O.S.</t>
        </is>
      </c>
      <c r="I912" s="11" t="n">
        <v>2200</v>
      </c>
      <c r="J912" s="11" t="inlineStr"/>
    </row>
    <row r="913">
      <c r="A913" s="11" t="n">
        <v>912</v>
      </c>
      <c r="B913" s="12" t="n">
        <v>46104</v>
      </c>
      <c r="C913" s="11" t="inlineStr">
        <is>
          <t>INTF</t>
        </is>
      </c>
      <c r="D913" s="11" t="inlineStr">
        <is>
          <t>202603</t>
        </is>
      </c>
      <c r="E913" s="11" t="inlineStr">
        <is>
          <t>1076982948</t>
        </is>
      </c>
      <c r="F913" s="11" t="inlineStr">
        <is>
          <t>MURCIA DINASCO JHON</t>
        </is>
      </c>
      <c r="G913" s="11" t="inlineStr"/>
      <c r="H913" s="11" t="inlineStr">
        <is>
          <t>INTERFACE P.O.S.</t>
        </is>
      </c>
      <c r="I913" s="11" t="n">
        <v>6500</v>
      </c>
      <c r="J913" s="11" t="inlineStr"/>
    </row>
    <row r="914">
      <c r="A914" s="11" t="n">
        <v>913</v>
      </c>
      <c r="B914" s="12" t="n">
        <v>46104</v>
      </c>
      <c r="C914" s="11" t="inlineStr">
        <is>
          <t>INTF</t>
        </is>
      </c>
      <c r="D914" s="11" t="inlineStr">
        <is>
          <t>202603</t>
        </is>
      </c>
      <c r="E914" s="11" t="inlineStr">
        <is>
          <t>1004743144</t>
        </is>
      </c>
      <c r="F914" s="11" t="inlineStr">
        <is>
          <t>RIASCOS ORDOÑEZ YURI</t>
        </is>
      </c>
      <c r="G914" s="11" t="inlineStr"/>
      <c r="H914" s="11" t="inlineStr">
        <is>
          <t>INTERFACE P.O.S.</t>
        </is>
      </c>
      <c r="I914" s="11" t="n">
        <v>12240</v>
      </c>
      <c r="J914" s="11" t="inlineStr"/>
    </row>
    <row r="915">
      <c r="A915" s="11" t="n">
        <v>914</v>
      </c>
      <c r="B915" s="12" t="n">
        <v>46104</v>
      </c>
      <c r="C915" s="11" t="inlineStr">
        <is>
          <t>INTF</t>
        </is>
      </c>
      <c r="D915" s="11" t="inlineStr">
        <is>
          <t>202603</t>
        </is>
      </c>
      <c r="E915" s="11" t="inlineStr">
        <is>
          <t>1006850600</t>
        </is>
      </c>
      <c r="F915" s="11" t="inlineStr">
        <is>
          <t>PRECIADO GETIAL SEBA</t>
        </is>
      </c>
      <c r="G915" s="11" t="inlineStr"/>
      <c r="H915" s="11" t="inlineStr">
        <is>
          <t>INTERFACE P.O.S.</t>
        </is>
      </c>
      <c r="I915" s="11" t="n">
        <v>13500</v>
      </c>
      <c r="J915" s="11" t="inlineStr"/>
    </row>
    <row r="916">
      <c r="A916" s="11" t="n">
        <v>915</v>
      </c>
      <c r="B916" s="12" t="n">
        <v>46104</v>
      </c>
      <c r="C916" s="11" t="inlineStr">
        <is>
          <t>INTF</t>
        </is>
      </c>
      <c r="D916" s="11" t="inlineStr">
        <is>
          <t>202603</t>
        </is>
      </c>
      <c r="E916" s="11" t="inlineStr">
        <is>
          <t>1023888740</t>
        </is>
      </c>
      <c r="F916" s="11" t="inlineStr">
        <is>
          <t>GARZON ROCHA WILSON</t>
        </is>
      </c>
      <c r="G916" s="11" t="inlineStr"/>
      <c r="H916" s="11" t="inlineStr">
        <is>
          <t>INTERFACE P.O.S.</t>
        </is>
      </c>
      <c r="I916" s="11" t="n">
        <v>8000</v>
      </c>
      <c r="J916" s="11" t="inlineStr"/>
    </row>
    <row r="917">
      <c r="A917" s="11" t="n">
        <v>916</v>
      </c>
      <c r="B917" s="12" t="n">
        <v>46104</v>
      </c>
      <c r="C917" s="11" t="inlineStr">
        <is>
          <t>INTF</t>
        </is>
      </c>
      <c r="D917" s="11" t="inlineStr">
        <is>
          <t>202603</t>
        </is>
      </c>
      <c r="E917" s="11" t="inlineStr">
        <is>
          <t>1193112218</t>
        </is>
      </c>
      <c r="F917" s="11" t="inlineStr">
        <is>
          <t>PRECIADO ESPAÑA LEID</t>
        </is>
      </c>
      <c r="G917" s="11" t="inlineStr"/>
      <c r="H917" s="11" t="inlineStr">
        <is>
          <t>INTERFACE P.O.S.</t>
        </is>
      </c>
      <c r="I917" s="11" t="n">
        <v>15600</v>
      </c>
      <c r="J917" s="11" t="inlineStr"/>
    </row>
    <row r="918">
      <c r="A918" s="11" t="n">
        <v>917</v>
      </c>
      <c r="B918" s="12" t="n">
        <v>46104</v>
      </c>
      <c r="C918" s="11" t="inlineStr">
        <is>
          <t>INTF</t>
        </is>
      </c>
      <c r="D918" s="11" t="inlineStr">
        <is>
          <t>202603</t>
        </is>
      </c>
      <c r="E918" s="11" t="inlineStr">
        <is>
          <t>1123325108</t>
        </is>
      </c>
      <c r="F918" s="11" t="inlineStr">
        <is>
          <t>MORIANO SANDOVAL YEI</t>
        </is>
      </c>
      <c r="G918" s="11" t="inlineStr"/>
      <c r="H918" s="11" t="inlineStr">
        <is>
          <t>INTERFACE P.O.S.</t>
        </is>
      </c>
      <c r="I918" s="11" t="n">
        <v>37800</v>
      </c>
      <c r="J918" s="11" t="inlineStr"/>
    </row>
    <row r="919">
      <c r="A919" s="11" t="n">
        <v>918</v>
      </c>
      <c r="B919" s="12" t="n">
        <v>46104</v>
      </c>
      <c r="C919" s="11" t="inlineStr">
        <is>
          <t>INTF</t>
        </is>
      </c>
      <c r="D919" s="11" t="inlineStr">
        <is>
          <t>202603</t>
        </is>
      </c>
      <c r="E919" s="11" t="inlineStr">
        <is>
          <t>1061721192</t>
        </is>
      </c>
      <c r="F919" s="11" t="inlineStr">
        <is>
          <t>CAICEDO ROSAS JUAN C</t>
        </is>
      </c>
      <c r="G919" s="11" t="inlineStr"/>
      <c r="H919" s="11" t="inlineStr">
        <is>
          <t>INTERFACE P.O.S.</t>
        </is>
      </c>
      <c r="I919" s="11" t="n">
        <v>12000</v>
      </c>
      <c r="J919" s="11" t="inlineStr"/>
    </row>
    <row r="920">
      <c r="A920" s="11" t="n">
        <v>919</v>
      </c>
      <c r="B920" s="12" t="n">
        <v>46104</v>
      </c>
      <c r="C920" s="11" t="inlineStr">
        <is>
          <t>INTF</t>
        </is>
      </c>
      <c r="D920" s="11" t="inlineStr">
        <is>
          <t>202603</t>
        </is>
      </c>
      <c r="E920" s="11" t="inlineStr">
        <is>
          <t>1135164903</t>
        </is>
      </c>
      <c r="F920" s="11" t="inlineStr">
        <is>
          <t>GUARABE ENEVIA JAILE</t>
        </is>
      </c>
      <c r="G920" s="11" t="inlineStr"/>
      <c r="H920" s="11" t="inlineStr">
        <is>
          <t>INTERFACE P.O.S.</t>
        </is>
      </c>
      <c r="I920" s="11" t="n">
        <v>131200</v>
      </c>
      <c r="J920" s="11" t="inlineStr"/>
    </row>
    <row r="921">
      <c r="A921" s="11" t="n">
        <v>920</v>
      </c>
      <c r="B921" s="12" t="n">
        <v>46104</v>
      </c>
      <c r="C921" s="11" t="inlineStr">
        <is>
          <t>INTF</t>
        </is>
      </c>
      <c r="D921" s="11" t="inlineStr">
        <is>
          <t>202603</t>
        </is>
      </c>
      <c r="E921" s="11" t="inlineStr">
        <is>
          <t>1123320460</t>
        </is>
      </c>
      <c r="F921" s="11" t="inlineStr">
        <is>
          <t>BRAVO MORIANO JHON J</t>
        </is>
      </c>
      <c r="G921" s="11" t="inlineStr"/>
      <c r="H921" s="11" t="inlineStr">
        <is>
          <t>INTERFACE P.O.S.</t>
        </is>
      </c>
      <c r="I921" s="11" t="n">
        <v>17000</v>
      </c>
      <c r="J921" s="11" t="inlineStr"/>
    </row>
    <row r="922">
      <c r="A922" s="11" t="n">
        <v>921</v>
      </c>
      <c r="B922" s="12" t="n">
        <v>46105</v>
      </c>
      <c r="C922" s="11" t="inlineStr">
        <is>
          <t>INTF</t>
        </is>
      </c>
      <c r="D922" s="11" t="inlineStr">
        <is>
          <t>202603</t>
        </is>
      </c>
      <c r="E922" s="11" t="inlineStr">
        <is>
          <t>66956077</t>
        </is>
      </c>
      <c r="F922" s="11" t="inlineStr">
        <is>
          <t>VARGAS GAMBOA DOLY</t>
        </is>
      </c>
      <c r="G922" s="11" t="inlineStr"/>
      <c r="H922" s="11" t="inlineStr">
        <is>
          <t>INTERFACE P.O.S.</t>
        </is>
      </c>
      <c r="I922" s="11" t="n">
        <v>64500</v>
      </c>
      <c r="J922" s="11" t="inlineStr"/>
    </row>
    <row r="923">
      <c r="A923" s="11" t="n">
        <v>922</v>
      </c>
      <c r="B923" s="12" t="n">
        <v>46105</v>
      </c>
      <c r="C923" s="11" t="inlineStr">
        <is>
          <t>INTF</t>
        </is>
      </c>
      <c r="D923" s="11" t="inlineStr">
        <is>
          <t>202603</t>
        </is>
      </c>
      <c r="E923" s="11" t="inlineStr">
        <is>
          <t>11806823</t>
        </is>
      </c>
      <c r="F923" s="11" t="inlineStr">
        <is>
          <t>VERGARA BORJA FRESLE</t>
        </is>
      </c>
      <c r="G923" s="11" t="inlineStr"/>
      <c r="H923" s="11" t="inlineStr">
        <is>
          <t>INTERFACE P.O.S.</t>
        </is>
      </c>
      <c r="I923" s="11" t="n">
        <v>53300</v>
      </c>
      <c r="J923" s="11" t="inlineStr"/>
    </row>
    <row r="924">
      <c r="A924" s="11" t="n">
        <v>923</v>
      </c>
      <c r="B924" s="12" t="n">
        <v>46105</v>
      </c>
      <c r="C924" s="11" t="inlineStr">
        <is>
          <t>INTF</t>
        </is>
      </c>
      <c r="D924" s="11" t="inlineStr">
        <is>
          <t>202603</t>
        </is>
      </c>
      <c r="E924" s="11" t="inlineStr">
        <is>
          <t>1017148146</t>
        </is>
      </c>
      <c r="F924" s="11" t="inlineStr">
        <is>
          <t>VIUCHE GUERRERO LEID</t>
        </is>
      </c>
      <c r="G924" s="11" t="inlineStr"/>
      <c r="H924" s="11" t="inlineStr">
        <is>
          <t>INTERFACE P.O.S.</t>
        </is>
      </c>
      <c r="I924" s="11" t="n">
        <v>4200</v>
      </c>
      <c r="J924" s="11" t="inlineStr"/>
    </row>
    <row r="925">
      <c r="A925" s="11" t="n">
        <v>924</v>
      </c>
      <c r="B925" s="12" t="n">
        <v>46105</v>
      </c>
      <c r="C925" s="11" t="inlineStr">
        <is>
          <t>INTF</t>
        </is>
      </c>
      <c r="D925" s="11" t="inlineStr">
        <is>
          <t>202603</t>
        </is>
      </c>
      <c r="E925" s="11" t="inlineStr">
        <is>
          <t>1086300097</t>
        </is>
      </c>
      <c r="F925" s="11" t="inlineStr">
        <is>
          <t>QUELAL TORO MARIA JU</t>
        </is>
      </c>
      <c r="G925" s="11" t="inlineStr"/>
      <c r="H925" s="11" t="inlineStr">
        <is>
          <t>INTERFACE P.O.S.</t>
        </is>
      </c>
      <c r="I925" s="11" t="n">
        <v>20500</v>
      </c>
      <c r="J925" s="11" t="inlineStr"/>
    </row>
    <row r="926">
      <c r="A926" s="11" t="n">
        <v>925</v>
      </c>
      <c r="B926" s="12" t="n">
        <v>46105</v>
      </c>
      <c r="C926" s="11" t="inlineStr">
        <is>
          <t>INTF</t>
        </is>
      </c>
      <c r="D926" s="11" t="inlineStr">
        <is>
          <t>202603</t>
        </is>
      </c>
      <c r="E926" s="11" t="inlineStr">
        <is>
          <t>1123328986</t>
        </is>
      </c>
      <c r="F926" s="11" t="inlineStr">
        <is>
          <t>DE LA CRUZ ROJAS MAR</t>
        </is>
      </c>
      <c r="G926" s="11" t="inlineStr"/>
      <c r="H926" s="11" t="inlineStr">
        <is>
          <t>INTERFACE P.O.S.</t>
        </is>
      </c>
      <c r="I926" s="11" t="n">
        <v>15500</v>
      </c>
      <c r="J926" s="11" t="inlineStr"/>
    </row>
    <row r="927">
      <c r="A927" s="11" t="n">
        <v>926</v>
      </c>
      <c r="B927" s="12" t="n">
        <v>46105</v>
      </c>
      <c r="C927" s="11" t="inlineStr">
        <is>
          <t>INTF</t>
        </is>
      </c>
      <c r="D927" s="11" t="inlineStr">
        <is>
          <t>202603</t>
        </is>
      </c>
      <c r="E927" s="11" t="inlineStr">
        <is>
          <t>7722256</t>
        </is>
      </c>
      <c r="F927" s="11" t="inlineStr">
        <is>
          <t>SEGURA VARGAS ANDRES</t>
        </is>
      </c>
      <c r="G927" s="11" t="inlineStr"/>
      <c r="H927" s="11" t="inlineStr">
        <is>
          <t>INTERFACE P.O.S.</t>
        </is>
      </c>
      <c r="I927" s="11" t="n">
        <v>52300</v>
      </c>
      <c r="J927" s="11" t="inlineStr"/>
    </row>
    <row r="928">
      <c r="A928" s="11" t="n">
        <v>927</v>
      </c>
      <c r="B928" s="12" t="n">
        <v>46105</v>
      </c>
      <c r="C928" s="11" t="inlineStr">
        <is>
          <t>INTF</t>
        </is>
      </c>
      <c r="D928" s="11" t="inlineStr">
        <is>
          <t>202603</t>
        </is>
      </c>
      <c r="E928" s="11" t="inlineStr">
        <is>
          <t>12978457</t>
        </is>
      </c>
      <c r="F928" s="11" t="inlineStr">
        <is>
          <t>GOMEZ ARGOTY RODRIGO</t>
        </is>
      </c>
      <c r="G928" s="11" t="inlineStr"/>
      <c r="H928" s="11" t="inlineStr">
        <is>
          <t>INTERFACE P.O.S.</t>
        </is>
      </c>
      <c r="I928" s="11" t="n">
        <v>28000</v>
      </c>
      <c r="J928" s="11" t="inlineStr"/>
    </row>
    <row r="929">
      <c r="A929" s="11" t="n">
        <v>928</v>
      </c>
      <c r="B929" s="12" t="n">
        <v>46105</v>
      </c>
      <c r="C929" s="11" t="inlineStr">
        <is>
          <t>INTF</t>
        </is>
      </c>
      <c r="D929" s="11" t="inlineStr">
        <is>
          <t>202603</t>
        </is>
      </c>
      <c r="E929" s="11" t="inlineStr">
        <is>
          <t>1123335377</t>
        </is>
      </c>
      <c r="F929" s="11" t="inlineStr">
        <is>
          <t>CORREA TUBERQUIA TAT</t>
        </is>
      </c>
      <c r="G929" s="11" t="inlineStr"/>
      <c r="H929" s="11" t="inlineStr">
        <is>
          <t>INTERFACE P.O.S.</t>
        </is>
      </c>
      <c r="I929" s="11" t="n">
        <v>7800</v>
      </c>
      <c r="J929" s="11" t="inlineStr"/>
    </row>
    <row r="930">
      <c r="A930" s="11" t="n">
        <v>929</v>
      </c>
      <c r="B930" s="12" t="n">
        <v>46105</v>
      </c>
      <c r="C930" s="11" t="inlineStr">
        <is>
          <t>INTF</t>
        </is>
      </c>
      <c r="D930" s="11" t="inlineStr">
        <is>
          <t>202603</t>
        </is>
      </c>
      <c r="E930" s="11" t="inlineStr">
        <is>
          <t>1075278733</t>
        </is>
      </c>
      <c r="F930" s="11" t="inlineStr">
        <is>
          <t>FLOREZ REYES DAYAN L</t>
        </is>
      </c>
      <c r="G930" s="11" t="inlineStr"/>
      <c r="H930" s="11" t="inlineStr">
        <is>
          <t>INTERFACE P.O.S.</t>
        </is>
      </c>
      <c r="I930" s="11" t="n">
        <v>25400</v>
      </c>
      <c r="J930" s="11" t="inlineStr"/>
    </row>
    <row r="931">
      <c r="A931" s="11" t="n">
        <v>930</v>
      </c>
      <c r="B931" s="12" t="n">
        <v>46105</v>
      </c>
      <c r="C931" s="11" t="inlineStr">
        <is>
          <t>INTF</t>
        </is>
      </c>
      <c r="D931" s="11" t="inlineStr">
        <is>
          <t>202603</t>
        </is>
      </c>
      <c r="E931" s="11" t="inlineStr">
        <is>
          <t>1144076241</t>
        </is>
      </c>
      <c r="F931" s="11" t="inlineStr">
        <is>
          <t>ZAMORA GALINDO ZULY</t>
        </is>
      </c>
      <c r="G931" s="11" t="inlineStr"/>
      <c r="H931" s="11" t="inlineStr">
        <is>
          <t>INTERFACE P.O.S.</t>
        </is>
      </c>
      <c r="I931" s="11" t="n">
        <v>7800</v>
      </c>
      <c r="J931" s="11" t="inlineStr"/>
    </row>
    <row r="932">
      <c r="A932" s="11" t="n">
        <v>931</v>
      </c>
      <c r="B932" s="12" t="n">
        <v>46105</v>
      </c>
      <c r="C932" s="11" t="inlineStr">
        <is>
          <t>INTF</t>
        </is>
      </c>
      <c r="D932" s="11" t="inlineStr">
        <is>
          <t>202603</t>
        </is>
      </c>
      <c r="E932" s="11" t="inlineStr">
        <is>
          <t>1123330695</t>
        </is>
      </c>
      <c r="F932" s="11" t="inlineStr">
        <is>
          <t>GOMEZ ORDOÑEZ JOHN E</t>
        </is>
      </c>
      <c r="G932" s="11" t="inlineStr"/>
      <c r="H932" s="11" t="inlineStr">
        <is>
          <t>INTERFACE P.O.S.</t>
        </is>
      </c>
      <c r="I932" s="11" t="n">
        <v>18000</v>
      </c>
      <c r="J932" s="11" t="inlineStr"/>
    </row>
    <row r="933">
      <c r="A933" s="11" t="n">
        <v>932</v>
      </c>
      <c r="B933" s="12" t="n">
        <v>46105</v>
      </c>
      <c r="C933" s="11" t="inlineStr">
        <is>
          <t>INTF</t>
        </is>
      </c>
      <c r="D933" s="11" t="inlineStr">
        <is>
          <t>202603</t>
        </is>
      </c>
      <c r="E933" s="11" t="inlineStr">
        <is>
          <t>1140879841</t>
        </is>
      </c>
      <c r="F933" s="11" t="inlineStr">
        <is>
          <t>HERNANDEZ DIAZ BRIGE</t>
        </is>
      </c>
      <c r="G933" s="11" t="inlineStr"/>
      <c r="H933" s="11" t="inlineStr">
        <is>
          <t>INTERFACE P.O.S.</t>
        </is>
      </c>
      <c r="I933" s="11" t="n">
        <v>42600</v>
      </c>
      <c r="J933" s="11" t="inlineStr"/>
    </row>
    <row r="934">
      <c r="A934" s="11" t="n">
        <v>933</v>
      </c>
      <c r="B934" s="12" t="n">
        <v>46105</v>
      </c>
      <c r="C934" s="11" t="inlineStr">
        <is>
          <t>INTF</t>
        </is>
      </c>
      <c r="D934" s="11" t="inlineStr">
        <is>
          <t>202603</t>
        </is>
      </c>
      <c r="E934" s="11" t="inlineStr">
        <is>
          <t>41109066</t>
        </is>
      </c>
      <c r="F934" s="11" t="inlineStr">
        <is>
          <t>RIASCOS AYALA HEDITA</t>
        </is>
      </c>
      <c r="G934" s="11" t="inlineStr"/>
      <c r="H934" s="11" t="inlineStr">
        <is>
          <t>INTERFACE P.O.S.</t>
        </is>
      </c>
      <c r="I934" s="11" t="n">
        <v>49800</v>
      </c>
      <c r="J934" s="11" t="inlineStr"/>
    </row>
    <row r="935">
      <c r="A935" s="11" t="n">
        <v>934</v>
      </c>
      <c r="B935" s="12" t="n">
        <v>46105</v>
      </c>
      <c r="C935" s="11" t="inlineStr">
        <is>
          <t>INTF</t>
        </is>
      </c>
      <c r="D935" s="11" t="inlineStr">
        <is>
          <t>202603</t>
        </is>
      </c>
      <c r="E935" s="11" t="inlineStr">
        <is>
          <t>1006848018</t>
        </is>
      </c>
      <c r="F935" s="11" t="inlineStr">
        <is>
          <t>MEZA ROSERO LESLY DA</t>
        </is>
      </c>
      <c r="G935" s="11" t="inlineStr"/>
      <c r="H935" s="11" t="inlineStr">
        <is>
          <t>INTERFACE P.O.S.</t>
        </is>
      </c>
      <c r="I935" s="11" t="n">
        <v>14800</v>
      </c>
      <c r="J935" s="11" t="inlineStr"/>
    </row>
    <row r="936">
      <c r="A936" s="11" t="n">
        <v>935</v>
      </c>
      <c r="B936" s="12" t="n">
        <v>46105</v>
      </c>
      <c r="C936" s="11" t="inlineStr">
        <is>
          <t>INTF</t>
        </is>
      </c>
      <c r="D936" s="11" t="inlineStr">
        <is>
          <t>202603</t>
        </is>
      </c>
      <c r="E936" s="11" t="inlineStr">
        <is>
          <t>901649424</t>
        </is>
      </c>
      <c r="F936" s="11" t="inlineStr">
        <is>
          <t>CONSORCIO OBRAS ACO.</t>
        </is>
      </c>
      <c r="G936" s="11" t="inlineStr"/>
      <c r="H936" s="11" t="inlineStr">
        <is>
          <t>INTERFACE P.O.S.</t>
        </is>
      </c>
      <c r="I936" s="11" t="n">
        <v>21100</v>
      </c>
      <c r="J936" s="11" t="inlineStr"/>
    </row>
    <row r="937">
      <c r="A937" s="11" t="n">
        <v>936</v>
      </c>
      <c r="B937" s="12" t="n">
        <v>46105</v>
      </c>
      <c r="C937" s="11" t="inlineStr">
        <is>
          <t>INTF</t>
        </is>
      </c>
      <c r="D937" s="11" t="inlineStr">
        <is>
          <t>202603</t>
        </is>
      </c>
      <c r="E937" s="11" t="inlineStr">
        <is>
          <t>1123323970</t>
        </is>
      </c>
      <c r="F937" s="11" t="inlineStr">
        <is>
          <t>BARRIONUEVO PEREZ GI</t>
        </is>
      </c>
      <c r="G937" s="11" t="inlineStr"/>
      <c r="H937" s="11" t="inlineStr">
        <is>
          <t>INTERFACE P.O.S.</t>
        </is>
      </c>
      <c r="I937" s="11" t="n">
        <v>12500</v>
      </c>
      <c r="J937" s="11" t="inlineStr"/>
    </row>
    <row r="938">
      <c r="A938" s="11" t="n">
        <v>937</v>
      </c>
      <c r="B938" s="12" t="n">
        <v>46105</v>
      </c>
      <c r="C938" s="11" t="inlineStr">
        <is>
          <t>INTF</t>
        </is>
      </c>
      <c r="D938" s="11" t="inlineStr">
        <is>
          <t>202603</t>
        </is>
      </c>
      <c r="E938" s="11" t="inlineStr">
        <is>
          <t>1085340000</t>
        </is>
      </c>
      <c r="F938" s="11" t="inlineStr">
        <is>
          <t>ZABALA ANDRADE LAURA</t>
        </is>
      </c>
      <c r="G938" s="11" t="inlineStr"/>
      <c r="H938" s="11" t="inlineStr">
        <is>
          <t>INTERFACE P.O.S.</t>
        </is>
      </c>
      <c r="I938" s="11" t="n">
        <v>28000</v>
      </c>
      <c r="J938" s="11" t="inlineStr"/>
    </row>
    <row r="939">
      <c r="A939" s="11" t="n">
        <v>938</v>
      </c>
      <c r="B939" s="12" t="n">
        <v>46105</v>
      </c>
      <c r="C939" s="11" t="inlineStr">
        <is>
          <t>INTF</t>
        </is>
      </c>
      <c r="D939" s="11" t="inlineStr">
        <is>
          <t>202603</t>
        </is>
      </c>
      <c r="E939" s="11" t="inlineStr">
        <is>
          <t>1123333677</t>
        </is>
      </c>
      <c r="F939" s="11" t="inlineStr">
        <is>
          <t>CABEZAS CONTRERAS JU</t>
        </is>
      </c>
      <c r="G939" s="11" t="inlineStr"/>
      <c r="H939" s="11" t="inlineStr">
        <is>
          <t>INTERFACE P.O.S.</t>
        </is>
      </c>
      <c r="I939" s="11" t="n">
        <v>18600</v>
      </c>
      <c r="J939" s="11" t="inlineStr"/>
    </row>
    <row r="940">
      <c r="A940" s="11" t="n">
        <v>939</v>
      </c>
      <c r="B940" s="12" t="n">
        <v>46105</v>
      </c>
      <c r="C940" s="11" t="inlineStr">
        <is>
          <t>INTF</t>
        </is>
      </c>
      <c r="D940" s="11" t="inlineStr">
        <is>
          <t>202603</t>
        </is>
      </c>
      <c r="E940" s="11" t="inlineStr">
        <is>
          <t>1123324128</t>
        </is>
      </c>
      <c r="F940" s="11" t="inlineStr">
        <is>
          <t>MARTINEZ MUÑOZ MARIA</t>
        </is>
      </c>
      <c r="G940" s="11" t="inlineStr"/>
      <c r="H940" s="11" t="inlineStr">
        <is>
          <t>INTERFACE P.O.S.</t>
        </is>
      </c>
      <c r="I940" s="11" t="n">
        <v>12500</v>
      </c>
      <c r="J940" s="11" t="inlineStr"/>
    </row>
    <row r="941">
      <c r="A941" s="11" t="n">
        <v>940</v>
      </c>
      <c r="B941" s="12" t="n">
        <v>46105</v>
      </c>
      <c r="C941" s="11" t="inlineStr">
        <is>
          <t>INTF</t>
        </is>
      </c>
      <c r="D941" s="11" t="inlineStr">
        <is>
          <t>202603</t>
        </is>
      </c>
      <c r="E941" s="11" t="inlineStr">
        <is>
          <t>1151937158</t>
        </is>
      </c>
      <c r="F941" s="11" t="inlineStr">
        <is>
          <t>QUIROZ CAMPAÑA FRANC</t>
        </is>
      </c>
      <c r="G941" s="11" t="inlineStr"/>
      <c r="H941" s="11" t="inlineStr">
        <is>
          <t>INTERFACE P.O.S.</t>
        </is>
      </c>
      <c r="I941" s="11" t="n">
        <v>5300</v>
      </c>
      <c r="J941" s="11" t="inlineStr"/>
    </row>
    <row r="942">
      <c r="A942" s="11" t="n">
        <v>941</v>
      </c>
      <c r="B942" s="12" t="n">
        <v>46105</v>
      </c>
      <c r="C942" s="11" t="inlineStr">
        <is>
          <t>INTF</t>
        </is>
      </c>
      <c r="D942" s="11" t="inlineStr">
        <is>
          <t>202603</t>
        </is>
      </c>
      <c r="E942" s="11" t="inlineStr">
        <is>
          <t>1123320594</t>
        </is>
      </c>
      <c r="F942" s="11" t="inlineStr">
        <is>
          <t>CUEVA PINTA WILSON B</t>
        </is>
      </c>
      <c r="G942" s="11" t="inlineStr"/>
      <c r="H942" s="11" t="inlineStr">
        <is>
          <t>INTERFACE P.O.S.</t>
        </is>
      </c>
      <c r="I942" s="11" t="n">
        <v>56600</v>
      </c>
      <c r="J942" s="11" t="inlineStr"/>
    </row>
    <row r="943">
      <c r="A943" s="11" t="n">
        <v>942</v>
      </c>
      <c r="B943" s="12" t="n">
        <v>46105</v>
      </c>
      <c r="C943" s="11" t="inlineStr">
        <is>
          <t>INTF</t>
        </is>
      </c>
      <c r="D943" s="11" t="inlineStr">
        <is>
          <t>202603</t>
        </is>
      </c>
      <c r="E943" s="11" t="inlineStr">
        <is>
          <t>1085276201</t>
        </is>
      </c>
      <c r="F943" s="11" t="inlineStr">
        <is>
          <t>JARAMILLO PORTILLA J</t>
        </is>
      </c>
      <c r="G943" s="11" t="inlineStr"/>
      <c r="H943" s="11" t="inlineStr">
        <is>
          <t>INTERFACE P.O.S.</t>
        </is>
      </c>
      <c r="I943" s="11" t="n">
        <v>29900</v>
      </c>
      <c r="J943" s="11" t="inlineStr"/>
    </row>
    <row r="944">
      <c r="A944" s="11" t="n">
        <v>943</v>
      </c>
      <c r="B944" s="12" t="n">
        <v>46105</v>
      </c>
      <c r="C944" s="11" t="inlineStr">
        <is>
          <t>INTF</t>
        </is>
      </c>
      <c r="D944" s="11" t="inlineStr">
        <is>
          <t>202603</t>
        </is>
      </c>
      <c r="E944" s="11" t="inlineStr">
        <is>
          <t>18145823</t>
        </is>
      </c>
      <c r="F944" s="11" t="inlineStr">
        <is>
          <t>MACUACE FERRO ALEXAN</t>
        </is>
      </c>
      <c r="G944" s="11" t="inlineStr"/>
      <c r="H944" s="11" t="inlineStr">
        <is>
          <t>INTERFACE P.O.S.</t>
        </is>
      </c>
      <c r="I944" s="11" t="n">
        <v>12100</v>
      </c>
      <c r="J944" s="11" t="inlineStr"/>
    </row>
    <row r="945">
      <c r="A945" s="11" t="n">
        <v>944</v>
      </c>
      <c r="B945" s="12" t="n">
        <v>46105</v>
      </c>
      <c r="C945" s="11" t="inlineStr">
        <is>
          <t>INTF</t>
        </is>
      </c>
      <c r="D945" s="11" t="inlineStr">
        <is>
          <t>202603</t>
        </is>
      </c>
      <c r="E945" s="11" t="inlineStr">
        <is>
          <t>18147034</t>
        </is>
      </c>
      <c r="F945" s="11" t="inlineStr">
        <is>
          <t>SEPULVEDA MARIO</t>
        </is>
      </c>
      <c r="G945" s="11" t="inlineStr"/>
      <c r="H945" s="11" t="inlineStr">
        <is>
          <t>INTERFACE P.O.S.</t>
        </is>
      </c>
      <c r="I945" s="11" t="n">
        <v>5600</v>
      </c>
      <c r="J945" s="11" t="inlineStr"/>
    </row>
    <row r="946">
      <c r="A946" s="11" t="n">
        <v>945</v>
      </c>
      <c r="B946" s="12" t="n">
        <v>46105</v>
      </c>
      <c r="C946" s="11" t="inlineStr">
        <is>
          <t>INTF</t>
        </is>
      </c>
      <c r="D946" s="11" t="inlineStr">
        <is>
          <t>202603</t>
        </is>
      </c>
      <c r="E946" s="11" t="inlineStr">
        <is>
          <t>1123332637</t>
        </is>
      </c>
      <c r="F946" s="11" t="inlineStr">
        <is>
          <t>ARAGON FRANCO HUGO G</t>
        </is>
      </c>
      <c r="G946" s="11" t="inlineStr"/>
      <c r="H946" s="11" t="inlineStr">
        <is>
          <t>INTERFACE P.O.S.</t>
        </is>
      </c>
      <c r="I946" s="11" t="n">
        <v>56800</v>
      </c>
      <c r="J946" s="11" t="inlineStr"/>
    </row>
    <row r="947">
      <c r="A947" s="11" t="n">
        <v>946</v>
      </c>
      <c r="B947" s="12" t="n">
        <v>46105</v>
      </c>
      <c r="C947" s="11" t="inlineStr">
        <is>
          <t>INTF</t>
        </is>
      </c>
      <c r="D947" s="11" t="inlineStr">
        <is>
          <t>202603</t>
        </is>
      </c>
      <c r="E947" s="11" t="inlineStr">
        <is>
          <t>1123326299</t>
        </is>
      </c>
      <c r="F947" s="11" t="inlineStr">
        <is>
          <t>RUIZ SUAREZ NATAEL I</t>
        </is>
      </c>
      <c r="G947" s="11" t="inlineStr"/>
      <c r="H947" s="11" t="inlineStr">
        <is>
          <t>INTERFACE P.O.S.</t>
        </is>
      </c>
      <c r="I947" s="11" t="n">
        <v>93000</v>
      </c>
      <c r="J947" s="11" t="inlineStr"/>
    </row>
    <row r="948">
      <c r="A948" s="11" t="n">
        <v>947</v>
      </c>
      <c r="B948" s="12" t="n">
        <v>46105</v>
      </c>
      <c r="C948" s="11" t="inlineStr">
        <is>
          <t>INTF</t>
        </is>
      </c>
      <c r="D948" s="11" t="inlineStr">
        <is>
          <t>202603</t>
        </is>
      </c>
      <c r="E948" s="11" t="inlineStr">
        <is>
          <t>59831372</t>
        </is>
      </c>
      <c r="F948" s="11" t="inlineStr">
        <is>
          <t>CASTILLO CORRALES SI</t>
        </is>
      </c>
      <c r="G948" s="11" t="inlineStr"/>
      <c r="H948" s="11" t="inlineStr">
        <is>
          <t>INTERFACE P.O.S.</t>
        </is>
      </c>
      <c r="I948" s="11" t="n">
        <v>26000</v>
      </c>
      <c r="J948" s="11" t="inlineStr"/>
    </row>
    <row r="949">
      <c r="A949" s="11" t="n">
        <v>948</v>
      </c>
      <c r="B949" s="12" t="n">
        <v>46105</v>
      </c>
      <c r="C949" s="11" t="inlineStr">
        <is>
          <t>INTF</t>
        </is>
      </c>
      <c r="D949" s="11" t="inlineStr">
        <is>
          <t>202603</t>
        </is>
      </c>
      <c r="E949" s="11" t="inlineStr">
        <is>
          <t>18147413</t>
        </is>
      </c>
      <c r="F949" s="11" t="inlineStr">
        <is>
          <t>VANEGAS DELGADO RIGO</t>
        </is>
      </c>
      <c r="G949" s="11" t="inlineStr"/>
      <c r="H949" s="11" t="inlineStr">
        <is>
          <t>INTERFACE P.O.S.</t>
        </is>
      </c>
      <c r="I949" s="11" t="n">
        <v>22700</v>
      </c>
      <c r="J949" s="11" t="inlineStr"/>
    </row>
    <row r="950">
      <c r="A950" s="11" t="n">
        <v>949</v>
      </c>
      <c r="B950" s="12" t="n">
        <v>46105</v>
      </c>
      <c r="C950" s="11" t="inlineStr">
        <is>
          <t>INTF</t>
        </is>
      </c>
      <c r="D950" s="11" t="inlineStr">
        <is>
          <t>202603</t>
        </is>
      </c>
      <c r="E950" s="11" t="inlineStr">
        <is>
          <t>80323224</t>
        </is>
      </c>
      <c r="F950" s="11" t="inlineStr">
        <is>
          <t>SANTOS JHON JAIRO</t>
        </is>
      </c>
      <c r="G950" s="11" t="inlineStr"/>
      <c r="H950" s="11" t="inlineStr">
        <is>
          <t>INTERFACE P.O.S.</t>
        </is>
      </c>
      <c r="I950" s="11" t="n">
        <v>40000</v>
      </c>
      <c r="J950" s="11" t="inlineStr"/>
    </row>
    <row r="951">
      <c r="A951" s="11" t="n">
        <v>950</v>
      </c>
      <c r="B951" s="12" t="n">
        <v>46105</v>
      </c>
      <c r="C951" s="11" t="inlineStr">
        <is>
          <t>INTF</t>
        </is>
      </c>
      <c r="D951" s="11" t="inlineStr">
        <is>
          <t>202603</t>
        </is>
      </c>
      <c r="E951" s="11" t="inlineStr">
        <is>
          <t>1094282670</t>
        </is>
      </c>
      <c r="F951" s="11" t="inlineStr">
        <is>
          <t>PEÑA PEÑA LISBETH PA</t>
        </is>
      </c>
      <c r="G951" s="11" t="inlineStr"/>
      <c r="H951" s="11" t="inlineStr">
        <is>
          <t>INTERFACE P.O.S.</t>
        </is>
      </c>
      <c r="I951" s="11" t="n">
        <v>4700</v>
      </c>
      <c r="J951" s="11" t="inlineStr"/>
    </row>
    <row r="952">
      <c r="A952" s="11" t="n">
        <v>951</v>
      </c>
      <c r="B952" s="12" t="n">
        <v>46105</v>
      </c>
      <c r="C952" s="11" t="inlineStr">
        <is>
          <t>INTF</t>
        </is>
      </c>
      <c r="D952" s="11" t="inlineStr">
        <is>
          <t>202603</t>
        </is>
      </c>
      <c r="E952" s="11" t="inlineStr">
        <is>
          <t>1124858469</t>
        </is>
      </c>
      <c r="F952" s="11" t="inlineStr">
        <is>
          <t>MARIN BENAVIDES EDWI</t>
        </is>
      </c>
      <c r="G952" s="11" t="inlineStr"/>
      <c r="H952" s="11" t="inlineStr">
        <is>
          <t>INTERFACE P.O.S.</t>
        </is>
      </c>
      <c r="I952" s="11" t="n">
        <v>28100</v>
      </c>
      <c r="J952" s="11" t="inlineStr"/>
    </row>
    <row r="953">
      <c r="A953" s="11" t="n">
        <v>952</v>
      </c>
      <c r="B953" s="12" t="n">
        <v>46105</v>
      </c>
      <c r="C953" s="11" t="inlineStr">
        <is>
          <t>INTF</t>
        </is>
      </c>
      <c r="D953" s="11" t="inlineStr">
        <is>
          <t>202603</t>
        </is>
      </c>
      <c r="E953" s="11" t="inlineStr">
        <is>
          <t>1080360535</t>
        </is>
      </c>
      <c r="F953" s="11" t="inlineStr">
        <is>
          <t>TAPIA PERDOMO ANGIE</t>
        </is>
      </c>
      <c r="G953" s="11" t="inlineStr"/>
      <c r="H953" s="11" t="inlineStr">
        <is>
          <t>INTERFACE P.O.S.</t>
        </is>
      </c>
      <c r="I953" s="11" t="n">
        <v>12400</v>
      </c>
      <c r="J953" s="11" t="inlineStr"/>
    </row>
    <row r="954">
      <c r="A954" s="11" t="n">
        <v>953</v>
      </c>
      <c r="B954" s="12" t="n">
        <v>46105</v>
      </c>
      <c r="C954" s="11" t="inlineStr">
        <is>
          <t>INTF</t>
        </is>
      </c>
      <c r="D954" s="11" t="inlineStr">
        <is>
          <t>202603</t>
        </is>
      </c>
      <c r="E954" s="11" t="inlineStr">
        <is>
          <t>12989791</t>
        </is>
      </c>
      <c r="F954" s="11" t="inlineStr">
        <is>
          <t>CASTILLO PATIÑO HERN</t>
        </is>
      </c>
      <c r="G954" s="11" t="inlineStr"/>
      <c r="H954" s="11" t="inlineStr">
        <is>
          <t>INTERFACE P.O.S.</t>
        </is>
      </c>
      <c r="I954" s="11" t="n">
        <v>21800</v>
      </c>
      <c r="J954" s="11" t="inlineStr"/>
    </row>
    <row r="955">
      <c r="A955" s="11" t="n">
        <v>954</v>
      </c>
      <c r="B955" s="12" t="n">
        <v>46105</v>
      </c>
      <c r="C955" s="11" t="inlineStr">
        <is>
          <t>INTF</t>
        </is>
      </c>
      <c r="D955" s="11" t="inlineStr">
        <is>
          <t>202603</t>
        </is>
      </c>
      <c r="E955" s="11" t="inlineStr">
        <is>
          <t>52623491</t>
        </is>
      </c>
      <c r="F955" s="11" t="inlineStr">
        <is>
          <t>NAVARRO ARIZA DEISSY</t>
        </is>
      </c>
      <c r="G955" s="11" t="inlineStr"/>
      <c r="H955" s="11" t="inlineStr">
        <is>
          <t>INTERFACE P.O.S.</t>
        </is>
      </c>
      <c r="I955" s="11" t="n">
        <v>56300</v>
      </c>
      <c r="J955" s="11" t="inlineStr"/>
    </row>
    <row r="956">
      <c r="A956" s="11" t="n">
        <v>955</v>
      </c>
      <c r="B956" s="12" t="n">
        <v>46105</v>
      </c>
      <c r="C956" s="11" t="inlineStr">
        <is>
          <t>INTF</t>
        </is>
      </c>
      <c r="D956" s="11" t="inlineStr">
        <is>
          <t>202603</t>
        </is>
      </c>
      <c r="E956" s="11" t="inlineStr">
        <is>
          <t>1123327912</t>
        </is>
      </c>
      <c r="F956" s="11" t="inlineStr">
        <is>
          <t>FLOREZ CAES KELY YOJ</t>
        </is>
      </c>
      <c r="G956" s="11" t="inlineStr"/>
      <c r="H956" s="11" t="inlineStr">
        <is>
          <t>INTERFACE P.O.S.</t>
        </is>
      </c>
      <c r="I956" s="11" t="n">
        <v>22700</v>
      </c>
      <c r="J956" s="11" t="inlineStr"/>
    </row>
    <row r="957">
      <c r="A957" s="11" t="n">
        <v>956</v>
      </c>
      <c r="B957" s="12" t="n">
        <v>46105</v>
      </c>
      <c r="C957" s="11" t="inlineStr">
        <is>
          <t>INTF</t>
        </is>
      </c>
      <c r="D957" s="11" t="inlineStr">
        <is>
          <t>202603</t>
        </is>
      </c>
      <c r="E957" s="11" t="inlineStr">
        <is>
          <t>1113673578</t>
        </is>
      </c>
      <c r="F957" s="11" t="inlineStr">
        <is>
          <t>NUPAN HERNANDEZ PAOL</t>
        </is>
      </c>
      <c r="G957" s="11" t="inlineStr"/>
      <c r="H957" s="11" t="inlineStr">
        <is>
          <t>INTERFACE P.O.S.</t>
        </is>
      </c>
      <c r="I957" s="11" t="n">
        <v>2500</v>
      </c>
      <c r="J957" s="11" t="inlineStr"/>
    </row>
    <row r="958">
      <c r="A958" s="11" t="n">
        <v>957</v>
      </c>
      <c r="B958" s="12" t="n">
        <v>46105</v>
      </c>
      <c r="C958" s="11" t="inlineStr">
        <is>
          <t>INTF</t>
        </is>
      </c>
      <c r="D958" s="11" t="inlineStr">
        <is>
          <t>202603</t>
        </is>
      </c>
      <c r="E958" s="11" t="inlineStr">
        <is>
          <t>1006696549</t>
        </is>
      </c>
      <c r="F958" s="11" t="inlineStr">
        <is>
          <t>CIFUENTES AGATON ING</t>
        </is>
      </c>
      <c r="G958" s="11" t="inlineStr"/>
      <c r="H958" s="11" t="inlineStr">
        <is>
          <t>INTERFACE P.O.S.</t>
        </is>
      </c>
      <c r="I958" s="11" t="n">
        <v>18200</v>
      </c>
      <c r="J958" s="11" t="inlineStr"/>
    </row>
    <row r="959">
      <c r="A959" s="11" t="n">
        <v>958</v>
      </c>
      <c r="B959" s="12" t="n">
        <v>46105</v>
      </c>
      <c r="C959" s="11" t="inlineStr">
        <is>
          <t>INTF</t>
        </is>
      </c>
      <c r="D959" s="11" t="inlineStr">
        <is>
          <t>202603</t>
        </is>
      </c>
      <c r="E959" s="11" t="inlineStr">
        <is>
          <t>5751269</t>
        </is>
      </c>
      <c r="F959" s="11" t="inlineStr">
        <is>
          <t>FRANCO MEDINA JHON A</t>
        </is>
      </c>
      <c r="G959" s="11" t="inlineStr"/>
      <c r="H959" s="11" t="inlineStr">
        <is>
          <t>INTERFACE P.O.S.</t>
        </is>
      </c>
      <c r="I959" s="11" t="n">
        <v>39000</v>
      </c>
      <c r="J959" s="11" t="inlineStr"/>
    </row>
    <row r="960">
      <c r="A960" s="11" t="n">
        <v>959</v>
      </c>
      <c r="B960" s="12" t="n">
        <v>46105</v>
      </c>
      <c r="C960" s="11" t="inlineStr">
        <is>
          <t>INTF</t>
        </is>
      </c>
      <c r="D960" s="11" t="inlineStr">
        <is>
          <t>202603</t>
        </is>
      </c>
      <c r="E960" s="11" t="inlineStr">
        <is>
          <t>1123332615</t>
        </is>
      </c>
      <c r="F960" s="11" t="inlineStr">
        <is>
          <t>ORTEGA DANI</t>
        </is>
      </c>
      <c r="G960" s="11" t="inlineStr"/>
      <c r="H960" s="11" t="inlineStr">
        <is>
          <t>INTERFACE P.O.S.</t>
        </is>
      </c>
      <c r="I960" s="11" t="n">
        <v>22200</v>
      </c>
      <c r="J960" s="11" t="inlineStr"/>
    </row>
    <row r="961">
      <c r="A961" s="11" t="n">
        <v>960</v>
      </c>
      <c r="B961" s="12" t="n">
        <v>46105</v>
      </c>
      <c r="C961" s="11" t="inlineStr">
        <is>
          <t>INTF</t>
        </is>
      </c>
      <c r="D961" s="11" t="inlineStr">
        <is>
          <t>202603</t>
        </is>
      </c>
      <c r="E961" s="11" t="inlineStr">
        <is>
          <t>41108416</t>
        </is>
      </c>
      <c r="F961" s="11" t="inlineStr">
        <is>
          <t>LANDASURY MORAN FRAN</t>
        </is>
      </c>
      <c r="G961" s="11" t="inlineStr"/>
      <c r="H961" s="11" t="inlineStr">
        <is>
          <t>INTERFACE P.O.S.</t>
        </is>
      </c>
      <c r="I961" s="11" t="n">
        <v>6400</v>
      </c>
      <c r="J961" s="11" t="inlineStr"/>
    </row>
    <row r="962">
      <c r="A962" s="11" t="n">
        <v>961</v>
      </c>
      <c r="B962" s="12" t="n">
        <v>46105</v>
      </c>
      <c r="C962" s="11" t="inlineStr">
        <is>
          <t>INTF</t>
        </is>
      </c>
      <c r="D962" s="11" t="inlineStr">
        <is>
          <t>202603</t>
        </is>
      </c>
      <c r="E962" s="11" t="inlineStr">
        <is>
          <t>1143877518</t>
        </is>
      </c>
      <c r="F962" s="11" t="inlineStr">
        <is>
          <t>ESPAÑA DIAZ ALEJANDR</t>
        </is>
      </c>
      <c r="G962" s="11" t="inlineStr"/>
      <c r="H962" s="11" t="inlineStr">
        <is>
          <t>INTERFACE P.O.S.</t>
        </is>
      </c>
      <c r="I962" s="11" t="n">
        <v>13300</v>
      </c>
      <c r="J962" s="11" t="inlineStr"/>
    </row>
    <row r="963">
      <c r="A963" s="11" t="n">
        <v>962</v>
      </c>
      <c r="B963" s="12" t="n">
        <v>46105</v>
      </c>
      <c r="C963" s="11" t="inlineStr">
        <is>
          <t>INTF</t>
        </is>
      </c>
      <c r="D963" s="11" t="inlineStr">
        <is>
          <t>202603</t>
        </is>
      </c>
      <c r="E963" s="11" t="inlineStr">
        <is>
          <t>1123331440</t>
        </is>
      </c>
      <c r="F963" s="11" t="inlineStr">
        <is>
          <t>RIVEROS CARVAJAL CAM</t>
        </is>
      </c>
      <c r="G963" s="11" t="inlineStr"/>
      <c r="H963" s="11" t="inlineStr">
        <is>
          <t>INTERFACE P.O.S.</t>
        </is>
      </c>
      <c r="I963" s="11" t="n">
        <v>10500</v>
      </c>
      <c r="J963" s="11" t="inlineStr"/>
    </row>
    <row r="964">
      <c r="A964" s="11" t="n">
        <v>963</v>
      </c>
      <c r="B964" s="12" t="n">
        <v>46105</v>
      </c>
      <c r="C964" s="11" t="inlineStr">
        <is>
          <t>INTF</t>
        </is>
      </c>
      <c r="D964" s="11" t="inlineStr">
        <is>
          <t>202603</t>
        </is>
      </c>
      <c r="E964" s="11" t="inlineStr">
        <is>
          <t>1020715864</t>
        </is>
      </c>
      <c r="F964" s="11" t="inlineStr">
        <is>
          <t>PEPINOSA RUIZ JOSE A</t>
        </is>
      </c>
      <c r="G964" s="11" t="inlineStr"/>
      <c r="H964" s="11" t="inlineStr">
        <is>
          <t>INTERFACE P.O.S.</t>
        </is>
      </c>
      <c r="I964" s="11" t="n">
        <v>27700</v>
      </c>
      <c r="J964" s="11" t="inlineStr"/>
    </row>
    <row r="965">
      <c r="A965" s="11" t="n">
        <v>964</v>
      </c>
      <c r="B965" s="12" t="n">
        <v>46105</v>
      </c>
      <c r="C965" s="11" t="inlineStr">
        <is>
          <t>INTF</t>
        </is>
      </c>
      <c r="D965" s="11" t="inlineStr">
        <is>
          <t>202603</t>
        </is>
      </c>
      <c r="E965" s="11" t="inlineStr">
        <is>
          <t>1124849009</t>
        </is>
      </c>
      <c r="F965" s="11" t="inlineStr">
        <is>
          <t>LARA VIVEROS MARIA E</t>
        </is>
      </c>
      <c r="G965" s="11" t="inlineStr"/>
      <c r="H965" s="11" t="inlineStr">
        <is>
          <t>INTERFACE P.O.S.</t>
        </is>
      </c>
      <c r="I965" s="11" t="n">
        <v>50000</v>
      </c>
      <c r="J965" s="11" t="inlineStr"/>
    </row>
    <row r="966">
      <c r="A966" s="11" t="n">
        <v>965</v>
      </c>
      <c r="B966" s="12" t="n">
        <v>46105</v>
      </c>
      <c r="C966" s="11" t="inlineStr">
        <is>
          <t>INTF</t>
        </is>
      </c>
      <c r="D966" s="11" t="inlineStr">
        <is>
          <t>202603</t>
        </is>
      </c>
      <c r="E966" s="11" t="inlineStr">
        <is>
          <t>1192774677</t>
        </is>
      </c>
      <c r="F966" s="11" t="inlineStr">
        <is>
          <t>BETANCUR BASTIDAS AL</t>
        </is>
      </c>
      <c r="G966" s="11" t="inlineStr"/>
      <c r="H966" s="11" t="inlineStr">
        <is>
          <t>INTERFACE P.O.S.</t>
        </is>
      </c>
      <c r="I966" s="11" t="n">
        <v>27200</v>
      </c>
      <c r="J966" s="11" t="inlineStr"/>
    </row>
    <row r="967">
      <c r="A967" s="11" t="n">
        <v>966</v>
      </c>
      <c r="B967" s="12" t="n">
        <v>46105</v>
      </c>
      <c r="C967" s="11" t="inlineStr">
        <is>
          <t>INTF</t>
        </is>
      </c>
      <c r="D967" s="11" t="inlineStr">
        <is>
          <t>202603</t>
        </is>
      </c>
      <c r="E967" s="11" t="inlineStr">
        <is>
          <t>1023888740</t>
        </is>
      </c>
      <c r="F967" s="11" t="inlineStr">
        <is>
          <t>GARZON ROCHA WILSON</t>
        </is>
      </c>
      <c r="G967" s="11" t="inlineStr"/>
      <c r="H967" s="11" t="inlineStr">
        <is>
          <t>INTERFACE P.O.S.</t>
        </is>
      </c>
      <c r="I967" s="11" t="n">
        <v>8000</v>
      </c>
      <c r="J967" s="11" t="inlineStr"/>
    </row>
    <row r="968">
      <c r="A968" s="11" t="n">
        <v>967</v>
      </c>
      <c r="B968" s="12" t="n">
        <v>46105</v>
      </c>
      <c r="C968" s="11" t="inlineStr">
        <is>
          <t>INTF</t>
        </is>
      </c>
      <c r="D968" s="11" t="inlineStr">
        <is>
          <t>202603</t>
        </is>
      </c>
      <c r="E968" s="11" t="inlineStr">
        <is>
          <t>1094921709</t>
        </is>
      </c>
      <c r="F968" s="11" t="inlineStr">
        <is>
          <t>FRANCO MOLINA YULIET</t>
        </is>
      </c>
      <c r="G968" s="11" t="inlineStr"/>
      <c r="H968" s="11" t="inlineStr">
        <is>
          <t>INTERFACE P.O.S.</t>
        </is>
      </c>
      <c r="I968" s="11" t="n">
        <v>11000</v>
      </c>
      <c r="J968" s="11" t="inlineStr"/>
    </row>
    <row r="969">
      <c r="A969" s="11" t="n">
        <v>968</v>
      </c>
      <c r="B969" s="12" t="n">
        <v>46105</v>
      </c>
      <c r="C969" s="11" t="inlineStr">
        <is>
          <t>INTF</t>
        </is>
      </c>
      <c r="D969" s="11" t="inlineStr">
        <is>
          <t>202603</t>
        </is>
      </c>
      <c r="E969" s="11" t="inlineStr">
        <is>
          <t>41109613</t>
        </is>
      </c>
      <c r="F969" s="11" t="inlineStr">
        <is>
          <t>VISCAYA VELASCO YINA</t>
        </is>
      </c>
      <c r="G969" s="11" t="inlineStr"/>
      <c r="H969" s="11" t="inlineStr">
        <is>
          <t>INTERFACE P.O.S.</t>
        </is>
      </c>
      <c r="I969" s="11" t="n">
        <v>19800</v>
      </c>
      <c r="J969" s="11" t="inlineStr"/>
    </row>
    <row r="970">
      <c r="A970" s="11" t="n">
        <v>969</v>
      </c>
      <c r="B970" s="12" t="n">
        <v>46105</v>
      </c>
      <c r="C970" s="11" t="inlineStr">
        <is>
          <t>INTF</t>
        </is>
      </c>
      <c r="D970" s="11" t="inlineStr">
        <is>
          <t>202603</t>
        </is>
      </c>
      <c r="E970" s="11" t="inlineStr">
        <is>
          <t>1122339463</t>
        </is>
      </c>
      <c r="F970" s="11" t="inlineStr">
        <is>
          <t>MORA HERMOSA LUZ ANG</t>
        </is>
      </c>
      <c r="G970" s="11" t="inlineStr"/>
      <c r="H970" s="11" t="inlineStr">
        <is>
          <t>INTERFACE P.O.S.</t>
        </is>
      </c>
      <c r="I970" s="11" t="n">
        <v>36100</v>
      </c>
      <c r="J970" s="11" t="inlineStr"/>
    </row>
    <row r="971">
      <c r="A971" s="11" t="n">
        <v>970</v>
      </c>
      <c r="B971" s="12" t="n">
        <v>46105</v>
      </c>
      <c r="C971" s="11" t="inlineStr">
        <is>
          <t>INTF</t>
        </is>
      </c>
      <c r="D971" s="11" t="inlineStr">
        <is>
          <t>202603</t>
        </is>
      </c>
      <c r="E971" s="11" t="inlineStr">
        <is>
          <t>1123204262</t>
        </is>
      </c>
      <c r="F971" s="11" t="inlineStr">
        <is>
          <t>YELA NARVAEZ BRIYITH</t>
        </is>
      </c>
      <c r="G971" s="11" t="inlineStr"/>
      <c r="H971" s="11" t="inlineStr">
        <is>
          <t>INTERFACE P.O.S.</t>
        </is>
      </c>
      <c r="I971" s="11" t="n">
        <v>4200</v>
      </c>
      <c r="J971" s="11" t="inlineStr"/>
    </row>
    <row r="972">
      <c r="A972" s="11" t="n">
        <v>971</v>
      </c>
      <c r="B972" s="12" t="n">
        <v>46105</v>
      </c>
      <c r="C972" s="11" t="inlineStr">
        <is>
          <t>INTF</t>
        </is>
      </c>
      <c r="D972" s="11" t="inlineStr">
        <is>
          <t>202603</t>
        </is>
      </c>
      <c r="E972" s="11" t="inlineStr">
        <is>
          <t>1123209411</t>
        </is>
      </c>
      <c r="F972" s="11" t="inlineStr">
        <is>
          <t>BASTIDAS TORO KAREN</t>
        </is>
      </c>
      <c r="G972" s="11" t="inlineStr"/>
      <c r="H972" s="11" t="inlineStr">
        <is>
          <t>INTERFACE P.O.S.</t>
        </is>
      </c>
      <c r="I972" s="11" t="n">
        <v>7100</v>
      </c>
      <c r="J972" s="11" t="inlineStr"/>
    </row>
    <row r="973">
      <c r="A973" s="11" t="n">
        <v>972</v>
      </c>
      <c r="B973" s="12" t="n">
        <v>46105</v>
      </c>
      <c r="C973" s="11" t="inlineStr">
        <is>
          <t>INTF</t>
        </is>
      </c>
      <c r="D973" s="11" t="inlineStr">
        <is>
          <t>202603</t>
        </is>
      </c>
      <c r="E973" s="11" t="inlineStr">
        <is>
          <t>1123326745</t>
        </is>
      </c>
      <c r="F973" s="11" t="inlineStr">
        <is>
          <t>NACEQUIA TANIGAMA JU</t>
        </is>
      </c>
      <c r="G973" s="11" t="inlineStr"/>
      <c r="H973" s="11" t="inlineStr">
        <is>
          <t>INTERFACE P.O.S.</t>
        </is>
      </c>
      <c r="I973" s="11" t="n">
        <v>16000</v>
      </c>
      <c r="J973" s="11" t="inlineStr"/>
    </row>
    <row r="974">
      <c r="A974" s="11" t="n">
        <v>973</v>
      </c>
      <c r="B974" s="12" t="n">
        <v>46105</v>
      </c>
      <c r="C974" s="11" t="inlineStr">
        <is>
          <t>INTF</t>
        </is>
      </c>
      <c r="D974" s="11" t="inlineStr">
        <is>
          <t>202603</t>
        </is>
      </c>
      <c r="E974" s="11" t="inlineStr">
        <is>
          <t>1124855887</t>
        </is>
      </c>
      <c r="F974" s="11" t="inlineStr">
        <is>
          <t>NATI MORA SARA DAN</t>
        </is>
      </c>
      <c r="G974" s="11" t="inlineStr"/>
      <c r="H974" s="11" t="inlineStr">
        <is>
          <t>INTERFACE P.O.S.</t>
        </is>
      </c>
      <c r="I974" s="11" t="n">
        <v>21700</v>
      </c>
      <c r="J974" s="11" t="inlineStr"/>
    </row>
    <row r="975">
      <c r="A975" s="11" t="n">
        <v>974</v>
      </c>
      <c r="B975" s="12" t="n">
        <v>46105</v>
      </c>
      <c r="C975" s="11" t="inlineStr">
        <is>
          <t>INTF</t>
        </is>
      </c>
      <c r="D975" s="11" t="inlineStr">
        <is>
          <t>202603</t>
        </is>
      </c>
      <c r="E975" s="11" t="inlineStr">
        <is>
          <t>1123323576</t>
        </is>
      </c>
      <c r="F975" s="11" t="inlineStr">
        <is>
          <t>ARBOLEDA CIFUENTES</t>
        </is>
      </c>
      <c r="G975" s="11" t="inlineStr"/>
      <c r="H975" s="11" t="inlineStr">
        <is>
          <t>INTERFACE P.O.S.</t>
        </is>
      </c>
      <c r="I975" s="11" t="n">
        <v>20900</v>
      </c>
      <c r="J975" s="11" t="inlineStr"/>
    </row>
    <row r="976">
      <c r="A976" s="11" t="n">
        <v>975</v>
      </c>
      <c r="B976" s="12" t="n">
        <v>46106</v>
      </c>
      <c r="C976" s="11" t="inlineStr">
        <is>
          <t>CE</t>
        </is>
      </c>
      <c r="D976" s="11" t="inlineStr">
        <is>
          <t>9462</t>
        </is>
      </c>
      <c r="E976" s="11" t="inlineStr">
        <is>
          <t>901418995</t>
        </is>
      </c>
      <c r="F976" s="11" t="inlineStr">
        <is>
          <t>ALIMENTOS MASIVOS DE</t>
        </is>
      </c>
      <c r="G976" s="11" t="inlineStr">
        <is>
          <t>M11469934</t>
        </is>
      </c>
      <c r="H976" s="11" t="inlineStr">
        <is>
          <t>PF ALIMAS</t>
        </is>
      </c>
      <c r="I976" s="11" t="inlineStr"/>
      <c r="J976" s="11" t="n">
        <v>1460492</v>
      </c>
    </row>
    <row r="977">
      <c r="A977" s="11" t="n">
        <v>976</v>
      </c>
      <c r="B977" s="12" t="n">
        <v>46106</v>
      </c>
      <c r="C977" s="11" t="inlineStr">
        <is>
          <t>INTF</t>
        </is>
      </c>
      <c r="D977" s="11" t="inlineStr">
        <is>
          <t>202603</t>
        </is>
      </c>
      <c r="E977" s="11" t="inlineStr">
        <is>
          <t>1085907080</t>
        </is>
      </c>
      <c r="F977" s="11" t="inlineStr">
        <is>
          <t>DIAZ MENESES ANYELA</t>
        </is>
      </c>
      <c r="G977" s="11" t="inlineStr"/>
      <c r="H977" s="11" t="inlineStr">
        <is>
          <t>INTERFACE P.O.S.</t>
        </is>
      </c>
      <c r="I977" s="11" t="n">
        <v>51500</v>
      </c>
      <c r="J977" s="11" t="inlineStr"/>
    </row>
    <row r="978">
      <c r="A978" s="11" t="n">
        <v>977</v>
      </c>
      <c r="B978" s="12" t="n">
        <v>46106</v>
      </c>
      <c r="C978" s="11" t="inlineStr">
        <is>
          <t>INTF</t>
        </is>
      </c>
      <c r="D978" s="11" t="inlineStr">
        <is>
          <t>202603</t>
        </is>
      </c>
      <c r="E978" s="11" t="inlineStr">
        <is>
          <t>1006850694</t>
        </is>
      </c>
      <c r="F978" s="11" t="inlineStr">
        <is>
          <t>ROJAS MARTINEZ LIZET</t>
        </is>
      </c>
      <c r="G978" s="11" t="inlineStr"/>
      <c r="H978" s="11" t="inlineStr">
        <is>
          <t>INTERFACE P.O.S.</t>
        </is>
      </c>
      <c r="I978" s="11" t="n">
        <v>94800</v>
      </c>
      <c r="J978" s="11" t="inlineStr"/>
    </row>
    <row r="979">
      <c r="A979" s="11" t="n">
        <v>978</v>
      </c>
      <c r="B979" s="12" t="n">
        <v>46106</v>
      </c>
      <c r="C979" s="11" t="inlineStr">
        <is>
          <t>INTF</t>
        </is>
      </c>
      <c r="D979" s="11" t="inlineStr">
        <is>
          <t>202603</t>
        </is>
      </c>
      <c r="E979" s="11" t="inlineStr">
        <is>
          <t>1083912179</t>
        </is>
      </c>
      <c r="F979" s="11" t="inlineStr">
        <is>
          <t>RENGIFO GUERRA MARVE</t>
        </is>
      </c>
      <c r="G979" s="11" t="inlineStr"/>
      <c r="H979" s="11" t="inlineStr">
        <is>
          <t>INTERFACE P.O.S.</t>
        </is>
      </c>
      <c r="I979" s="11" t="n">
        <v>30000</v>
      </c>
      <c r="J979" s="11" t="inlineStr"/>
    </row>
    <row r="980">
      <c r="A980" s="11" t="n">
        <v>979</v>
      </c>
      <c r="B980" s="12" t="n">
        <v>46106</v>
      </c>
      <c r="C980" s="11" t="inlineStr">
        <is>
          <t>INTF</t>
        </is>
      </c>
      <c r="D980" s="11" t="inlineStr">
        <is>
          <t>202603</t>
        </is>
      </c>
      <c r="E980" s="11" t="inlineStr">
        <is>
          <t>37082055</t>
        </is>
      </c>
      <c r="F980" s="11" t="inlineStr">
        <is>
          <t>QUIÑONES DELGADO BRE</t>
        </is>
      </c>
      <c r="G980" s="11" t="inlineStr"/>
      <c r="H980" s="11" t="inlineStr">
        <is>
          <t>INTERFACE P.O.S.</t>
        </is>
      </c>
      <c r="I980" s="11" t="n">
        <v>27900</v>
      </c>
      <c r="J980" s="11" t="inlineStr"/>
    </row>
    <row r="981">
      <c r="A981" s="11" t="n">
        <v>980</v>
      </c>
      <c r="B981" s="12" t="n">
        <v>46106</v>
      </c>
      <c r="C981" s="11" t="inlineStr">
        <is>
          <t>INTF</t>
        </is>
      </c>
      <c r="D981" s="11" t="inlineStr">
        <is>
          <t>202603</t>
        </is>
      </c>
      <c r="E981" s="11" t="inlineStr">
        <is>
          <t>39820310</t>
        </is>
      </c>
      <c r="F981" s="11" t="inlineStr">
        <is>
          <t>ERAZO GARCES YULI VI</t>
        </is>
      </c>
      <c r="G981" s="11" t="inlineStr"/>
      <c r="H981" s="11" t="inlineStr">
        <is>
          <t>INTERFACE P.O.S.</t>
        </is>
      </c>
      <c r="I981" s="11" t="n">
        <v>48000</v>
      </c>
      <c r="J981" s="11" t="inlineStr"/>
    </row>
    <row r="982">
      <c r="A982" s="11" t="n">
        <v>981</v>
      </c>
      <c r="B982" s="12" t="n">
        <v>46106</v>
      </c>
      <c r="C982" s="11" t="inlineStr">
        <is>
          <t>INTF</t>
        </is>
      </c>
      <c r="D982" s="11" t="inlineStr">
        <is>
          <t>202603</t>
        </is>
      </c>
      <c r="E982" s="11" t="inlineStr">
        <is>
          <t>1111792263</t>
        </is>
      </c>
      <c r="F982" s="11" t="inlineStr">
        <is>
          <t>ARBOLEDA FLOREZ JOAN</t>
        </is>
      </c>
      <c r="G982" s="11" t="inlineStr"/>
      <c r="H982" s="11" t="inlineStr">
        <is>
          <t>INTERFACE P.O.S.</t>
        </is>
      </c>
      <c r="I982" s="11" t="n">
        <v>19100</v>
      </c>
      <c r="J982" s="11" t="inlineStr"/>
    </row>
    <row r="983">
      <c r="A983" s="11" t="n">
        <v>982</v>
      </c>
      <c r="B983" s="12" t="n">
        <v>46106</v>
      </c>
      <c r="C983" s="11" t="inlineStr">
        <is>
          <t>INTF</t>
        </is>
      </c>
      <c r="D983" s="11" t="inlineStr">
        <is>
          <t>202603</t>
        </is>
      </c>
      <c r="E983" s="11" t="inlineStr">
        <is>
          <t>80253306</t>
        </is>
      </c>
      <c r="F983" s="11" t="inlineStr">
        <is>
          <t>LUNA CRUZ MARIO JACI</t>
        </is>
      </c>
      <c r="G983" s="11" t="inlineStr"/>
      <c r="H983" s="11" t="inlineStr">
        <is>
          <t>INTERFACE P.O.S.</t>
        </is>
      </c>
      <c r="I983" s="11" t="n">
        <v>26400</v>
      </c>
      <c r="J983" s="11" t="inlineStr"/>
    </row>
    <row r="984">
      <c r="A984" s="11" t="n">
        <v>983</v>
      </c>
      <c r="B984" s="12" t="n">
        <v>46106</v>
      </c>
      <c r="C984" s="11" t="inlineStr">
        <is>
          <t>INTF</t>
        </is>
      </c>
      <c r="D984" s="11" t="inlineStr">
        <is>
          <t>202603</t>
        </is>
      </c>
      <c r="E984" s="11" t="inlineStr">
        <is>
          <t>1006846866</t>
        </is>
      </c>
      <c r="F984" s="11" t="inlineStr">
        <is>
          <t>CANGREJO DIAZ KAREN</t>
        </is>
      </c>
      <c r="G984" s="11" t="inlineStr"/>
      <c r="H984" s="11" t="inlineStr">
        <is>
          <t>INTERFACE P.O.S.</t>
        </is>
      </c>
      <c r="I984" s="11" t="n">
        <v>13000</v>
      </c>
      <c r="J984" s="11" t="inlineStr"/>
    </row>
    <row r="985">
      <c r="A985" s="11" t="n">
        <v>984</v>
      </c>
      <c r="B985" s="12" t="n">
        <v>46106</v>
      </c>
      <c r="C985" s="11" t="inlineStr">
        <is>
          <t>INTF</t>
        </is>
      </c>
      <c r="D985" s="11" t="inlineStr">
        <is>
          <t>202603</t>
        </is>
      </c>
      <c r="E985" s="11" t="inlineStr">
        <is>
          <t>1123332826</t>
        </is>
      </c>
      <c r="F985" s="11" t="inlineStr">
        <is>
          <t>JIMENEZ MENA ELKIN O</t>
        </is>
      </c>
      <c r="G985" s="11" t="inlineStr"/>
      <c r="H985" s="11" t="inlineStr">
        <is>
          <t>INTERFACE P.O.S.</t>
        </is>
      </c>
      <c r="I985" s="11" t="n">
        <v>44200</v>
      </c>
      <c r="J985" s="11" t="inlineStr"/>
    </row>
    <row r="986">
      <c r="A986" s="11" t="n">
        <v>985</v>
      </c>
      <c r="B986" s="12" t="n">
        <v>46106</v>
      </c>
      <c r="C986" s="11" t="inlineStr">
        <is>
          <t>INTF</t>
        </is>
      </c>
      <c r="D986" s="11" t="inlineStr">
        <is>
          <t>202603</t>
        </is>
      </c>
      <c r="E986" s="11" t="inlineStr">
        <is>
          <t>1006849484</t>
        </is>
      </c>
      <c r="F986" s="11" t="inlineStr">
        <is>
          <t>RENTERIA MATURANA KA</t>
        </is>
      </c>
      <c r="G986" s="11" t="inlineStr"/>
      <c r="H986" s="11" t="inlineStr">
        <is>
          <t>INTERFACE P.O.S.</t>
        </is>
      </c>
      <c r="I986" s="11" t="n">
        <v>50800</v>
      </c>
      <c r="J986" s="11" t="inlineStr"/>
    </row>
    <row r="987">
      <c r="A987" s="11" t="n">
        <v>986</v>
      </c>
      <c r="B987" s="12" t="n">
        <v>46106</v>
      </c>
      <c r="C987" s="11" t="inlineStr">
        <is>
          <t>INTF</t>
        </is>
      </c>
      <c r="D987" s="11" t="inlineStr">
        <is>
          <t>202603</t>
        </is>
      </c>
      <c r="E987" s="11" t="inlineStr">
        <is>
          <t>1123320090</t>
        </is>
      </c>
      <c r="F987" s="11" t="inlineStr">
        <is>
          <t>CABRERA GUTIERREZ LU</t>
        </is>
      </c>
      <c r="G987" s="11" t="inlineStr"/>
      <c r="H987" s="11" t="inlineStr">
        <is>
          <t>INTERFACE P.O.S.</t>
        </is>
      </c>
      <c r="I987" s="11" t="n">
        <v>27900</v>
      </c>
      <c r="J987" s="11" t="inlineStr"/>
    </row>
    <row r="988">
      <c r="A988" s="11" t="n">
        <v>987</v>
      </c>
      <c r="B988" s="12" t="n">
        <v>46106</v>
      </c>
      <c r="C988" s="11" t="inlineStr">
        <is>
          <t>INTF</t>
        </is>
      </c>
      <c r="D988" s="11" t="inlineStr">
        <is>
          <t>202603</t>
        </is>
      </c>
      <c r="E988" s="11" t="inlineStr">
        <is>
          <t>1123326952</t>
        </is>
      </c>
      <c r="F988" s="11" t="inlineStr">
        <is>
          <t>PANTOJA MORALES JACK</t>
        </is>
      </c>
      <c r="G988" s="11" t="inlineStr"/>
      <c r="H988" s="11" t="inlineStr">
        <is>
          <t>INTERFACE P.O.S.</t>
        </is>
      </c>
      <c r="I988" s="11" t="n">
        <v>4700</v>
      </c>
      <c r="J988" s="11" t="inlineStr"/>
    </row>
    <row r="989">
      <c r="A989" s="11" t="n">
        <v>988</v>
      </c>
      <c r="B989" s="12" t="n">
        <v>46106</v>
      </c>
      <c r="C989" s="11" t="inlineStr">
        <is>
          <t>INTF</t>
        </is>
      </c>
      <c r="D989" s="11" t="inlineStr">
        <is>
          <t>202603</t>
        </is>
      </c>
      <c r="E989" s="11" t="inlineStr">
        <is>
          <t>1123334440</t>
        </is>
      </c>
      <c r="F989" s="11" t="inlineStr">
        <is>
          <t>POTOSI CADENA SANDRA</t>
        </is>
      </c>
      <c r="G989" s="11" t="inlineStr"/>
      <c r="H989" s="11" t="inlineStr">
        <is>
          <t>INTERFACE P.O.S.</t>
        </is>
      </c>
      <c r="I989" s="11" t="n">
        <v>20600</v>
      </c>
      <c r="J989" s="11" t="inlineStr"/>
    </row>
    <row r="990">
      <c r="A990" s="11" t="n">
        <v>989</v>
      </c>
      <c r="B990" s="12" t="n">
        <v>46106</v>
      </c>
      <c r="C990" s="11" t="inlineStr">
        <is>
          <t>INTF</t>
        </is>
      </c>
      <c r="D990" s="11" t="inlineStr">
        <is>
          <t>202603</t>
        </is>
      </c>
      <c r="E990" s="11" t="inlineStr">
        <is>
          <t>1093786192</t>
        </is>
      </c>
      <c r="F990" s="11" t="inlineStr">
        <is>
          <t>CARVAJAL PORTILLA CA</t>
        </is>
      </c>
      <c r="G990" s="11" t="inlineStr"/>
      <c r="H990" s="11" t="inlineStr">
        <is>
          <t>INTERFACE P.O.S.</t>
        </is>
      </c>
      <c r="I990" s="11" t="n">
        <v>11900</v>
      </c>
      <c r="J990" s="11" t="inlineStr"/>
    </row>
    <row r="991">
      <c r="A991" s="11" t="n">
        <v>990</v>
      </c>
      <c r="B991" s="12" t="n">
        <v>46106</v>
      </c>
      <c r="C991" s="11" t="inlineStr">
        <is>
          <t>INTF</t>
        </is>
      </c>
      <c r="D991" s="11" t="inlineStr">
        <is>
          <t>202603</t>
        </is>
      </c>
      <c r="E991" s="11" t="inlineStr">
        <is>
          <t>86062228</t>
        </is>
      </c>
      <c r="F991" s="11" t="inlineStr">
        <is>
          <t>GARCIA TAICUS JESUS</t>
        </is>
      </c>
      <c r="G991" s="11" t="inlineStr"/>
      <c r="H991" s="11" t="inlineStr">
        <is>
          <t>INTERFACE P.O.S.</t>
        </is>
      </c>
      <c r="I991" s="11" t="n">
        <v>13000</v>
      </c>
      <c r="J991" s="11" t="inlineStr"/>
    </row>
    <row r="992">
      <c r="A992" s="11" t="n">
        <v>991</v>
      </c>
      <c r="B992" s="12" t="n">
        <v>46106</v>
      </c>
      <c r="C992" s="11" t="inlineStr">
        <is>
          <t>INTF</t>
        </is>
      </c>
      <c r="D992" s="11" t="inlineStr">
        <is>
          <t>202603</t>
        </is>
      </c>
      <c r="E992" s="11" t="inlineStr">
        <is>
          <t>1123320594</t>
        </is>
      </c>
      <c r="F992" s="11" t="inlineStr">
        <is>
          <t>CUEVA PINTA WILSON B</t>
        </is>
      </c>
      <c r="G992" s="11" t="inlineStr"/>
      <c r="H992" s="11" t="inlineStr">
        <is>
          <t>INTERFACE P.O.S.</t>
        </is>
      </c>
      <c r="I992" s="11" t="n">
        <v>12100</v>
      </c>
      <c r="J992" s="11" t="inlineStr"/>
    </row>
    <row r="993">
      <c r="A993" s="11" t="n">
        <v>992</v>
      </c>
      <c r="B993" s="12" t="n">
        <v>46106</v>
      </c>
      <c r="C993" s="11" t="inlineStr">
        <is>
          <t>INTF</t>
        </is>
      </c>
      <c r="D993" s="11" t="inlineStr">
        <is>
          <t>202603</t>
        </is>
      </c>
      <c r="E993" s="11" t="inlineStr">
        <is>
          <t>1033754901</t>
        </is>
      </c>
      <c r="F993" s="11" t="inlineStr">
        <is>
          <t>ORTIZ PEREZ KELLY JH</t>
        </is>
      </c>
      <c r="G993" s="11" t="inlineStr"/>
      <c r="H993" s="11" t="inlineStr">
        <is>
          <t>INTERFACE P.O.S.</t>
        </is>
      </c>
      <c r="I993" s="11" t="n">
        <v>5400</v>
      </c>
      <c r="J993" s="11" t="inlineStr"/>
    </row>
    <row r="994">
      <c r="A994" s="11" t="n">
        <v>993</v>
      </c>
      <c r="B994" s="12" t="n">
        <v>46106</v>
      </c>
      <c r="C994" s="11" t="inlineStr">
        <is>
          <t>INTF</t>
        </is>
      </c>
      <c r="D994" s="11" t="inlineStr">
        <is>
          <t>202603</t>
        </is>
      </c>
      <c r="E994" s="11" t="inlineStr">
        <is>
          <t>1004146307</t>
        </is>
      </c>
      <c r="F994" s="11" t="inlineStr">
        <is>
          <t>MOREANO PALMA CARLA</t>
        </is>
      </c>
      <c r="G994" s="11" t="inlineStr"/>
      <c r="H994" s="11" t="inlineStr">
        <is>
          <t>INTERFACE P.O.S.</t>
        </is>
      </c>
      <c r="I994" s="11" t="n">
        <v>6800</v>
      </c>
      <c r="J994" s="11" t="inlineStr"/>
    </row>
    <row r="995">
      <c r="A995" s="11" t="n">
        <v>994</v>
      </c>
      <c r="B995" s="12" t="n">
        <v>46106</v>
      </c>
      <c r="C995" s="11" t="inlineStr">
        <is>
          <t>INTF</t>
        </is>
      </c>
      <c r="D995" s="11" t="inlineStr">
        <is>
          <t>202603</t>
        </is>
      </c>
      <c r="E995" s="11" t="inlineStr">
        <is>
          <t>18147034</t>
        </is>
      </c>
      <c r="F995" s="11" t="inlineStr">
        <is>
          <t>SEPULVEDA MARIO</t>
        </is>
      </c>
      <c r="G995" s="11" t="inlineStr"/>
      <c r="H995" s="11" t="inlineStr">
        <is>
          <t>INTERFACE P.O.S.</t>
        </is>
      </c>
      <c r="I995" s="11" t="n">
        <v>26500</v>
      </c>
      <c r="J995" s="11" t="inlineStr"/>
    </row>
    <row r="996">
      <c r="A996" s="11" t="n">
        <v>995</v>
      </c>
      <c r="B996" s="12" t="n">
        <v>46106</v>
      </c>
      <c r="C996" s="11" t="inlineStr">
        <is>
          <t>INTF</t>
        </is>
      </c>
      <c r="D996" s="11" t="inlineStr">
        <is>
          <t>202603</t>
        </is>
      </c>
      <c r="E996" s="11" t="inlineStr">
        <is>
          <t>11028011115</t>
        </is>
      </c>
      <c r="F996" s="11" t="inlineStr">
        <is>
          <t>MENDEZ VELASQUEZ DIN</t>
        </is>
      </c>
      <c r="G996" s="11" t="inlineStr"/>
      <c r="H996" s="11" t="inlineStr">
        <is>
          <t>INTERFACE P.O.S.</t>
        </is>
      </c>
      <c r="I996" s="11" t="n">
        <v>36000</v>
      </c>
      <c r="J996" s="11" t="inlineStr"/>
    </row>
    <row r="997">
      <c r="A997" s="11" t="n">
        <v>996</v>
      </c>
      <c r="B997" s="12" t="n">
        <v>46106</v>
      </c>
      <c r="C997" s="11" t="inlineStr">
        <is>
          <t>INTF</t>
        </is>
      </c>
      <c r="D997" s="11" t="inlineStr">
        <is>
          <t>202603</t>
        </is>
      </c>
      <c r="E997" s="11" t="inlineStr">
        <is>
          <t>1123321018</t>
        </is>
      </c>
      <c r="F997" s="11" t="inlineStr">
        <is>
          <t>ROSERO CORREA YIDI Y</t>
        </is>
      </c>
      <c r="G997" s="11" t="inlineStr"/>
      <c r="H997" s="11" t="inlineStr">
        <is>
          <t>INTERFACE P.O.S.</t>
        </is>
      </c>
      <c r="I997" s="11" t="n">
        <v>44300</v>
      </c>
      <c r="J997" s="11" t="inlineStr"/>
    </row>
    <row r="998">
      <c r="A998" s="11" t="n">
        <v>997</v>
      </c>
      <c r="B998" s="12" t="n">
        <v>46106</v>
      </c>
      <c r="C998" s="11" t="inlineStr">
        <is>
          <t>INTF</t>
        </is>
      </c>
      <c r="D998" s="11" t="inlineStr">
        <is>
          <t>202603</t>
        </is>
      </c>
      <c r="E998" s="11" t="inlineStr">
        <is>
          <t>1004714168</t>
        </is>
      </c>
      <c r="F998" s="11" t="inlineStr">
        <is>
          <t>OVIEDO RUALES JHON S</t>
        </is>
      </c>
      <c r="G998" s="11" t="inlineStr"/>
      <c r="H998" s="11" t="inlineStr">
        <is>
          <t>INTERFACE P.O.S.</t>
        </is>
      </c>
      <c r="I998" s="11" t="n">
        <v>14400</v>
      </c>
      <c r="J998" s="11" t="inlineStr"/>
    </row>
    <row r="999">
      <c r="A999" s="11" t="n">
        <v>998</v>
      </c>
      <c r="B999" s="12" t="n">
        <v>46106</v>
      </c>
      <c r="C999" s="11" t="inlineStr">
        <is>
          <t>INTF</t>
        </is>
      </c>
      <c r="D999" s="11" t="inlineStr">
        <is>
          <t>202603</t>
        </is>
      </c>
      <c r="E999" s="11" t="inlineStr">
        <is>
          <t>1123321589</t>
        </is>
      </c>
      <c r="F999" s="11" t="inlineStr">
        <is>
          <t>DIAS CHAVEZ EVA LINE</t>
        </is>
      </c>
      <c r="G999" s="11" t="inlineStr"/>
      <c r="H999" s="11" t="inlineStr">
        <is>
          <t>INTERFACE P.O.S.</t>
        </is>
      </c>
      <c r="I999" s="11" t="n">
        <v>26900</v>
      </c>
      <c r="J999" s="11" t="inlineStr"/>
    </row>
    <row r="1000">
      <c r="A1000" s="11" t="n">
        <v>999</v>
      </c>
      <c r="B1000" s="12" t="n">
        <v>46106</v>
      </c>
      <c r="C1000" s="11" t="inlineStr">
        <is>
          <t>INTF</t>
        </is>
      </c>
      <c r="D1000" s="11" t="inlineStr">
        <is>
          <t>202603</t>
        </is>
      </c>
      <c r="E1000" s="11" t="inlineStr">
        <is>
          <t>1123332750</t>
        </is>
      </c>
      <c r="F1000" s="11" t="inlineStr">
        <is>
          <t>GETIAL CASTRO MARIA</t>
        </is>
      </c>
      <c r="G1000" s="11" t="inlineStr"/>
      <c r="H1000" s="11" t="inlineStr">
        <is>
          <t>INTERFACE P.O.S.</t>
        </is>
      </c>
      <c r="I1000" s="11" t="n">
        <v>19600</v>
      </c>
      <c r="J1000" s="11" t="inlineStr"/>
    </row>
    <row r="1001">
      <c r="A1001" s="11" t="n">
        <v>1000</v>
      </c>
      <c r="B1001" s="12" t="n">
        <v>46106</v>
      </c>
      <c r="C1001" s="11" t="inlineStr">
        <is>
          <t>INTF</t>
        </is>
      </c>
      <c r="D1001" s="11" t="inlineStr">
        <is>
          <t>202603</t>
        </is>
      </c>
      <c r="E1001" s="11" t="inlineStr">
        <is>
          <t>52623491</t>
        </is>
      </c>
      <c r="F1001" s="11" t="inlineStr">
        <is>
          <t>NAVARRO ARIZA DEISSY</t>
        </is>
      </c>
      <c r="G1001" s="11" t="inlineStr"/>
      <c r="H1001" s="11" t="inlineStr">
        <is>
          <t>INTERFACE P.O.S.</t>
        </is>
      </c>
      <c r="I1001" s="11" t="n">
        <v>43500</v>
      </c>
      <c r="J1001" s="11" t="inlineStr"/>
    </row>
    <row r="1002">
      <c r="A1002" s="11" t="n">
        <v>1001</v>
      </c>
      <c r="B1002" s="12" t="n">
        <v>46106</v>
      </c>
      <c r="C1002" s="11" t="inlineStr">
        <is>
          <t>INTF</t>
        </is>
      </c>
      <c r="D1002" s="11" t="inlineStr">
        <is>
          <t>202603</t>
        </is>
      </c>
      <c r="E1002" s="11" t="inlineStr">
        <is>
          <t>1143877285</t>
        </is>
      </c>
      <c r="F1002" s="11" t="inlineStr">
        <is>
          <t>SANCHEZ LOPEZ JORGE</t>
        </is>
      </c>
      <c r="G1002" s="11" t="inlineStr"/>
      <c r="H1002" s="11" t="inlineStr">
        <is>
          <t>INTERFACE P.O.S.</t>
        </is>
      </c>
      <c r="I1002" s="11" t="n">
        <v>26200</v>
      </c>
      <c r="J1002" s="11" t="inlineStr"/>
    </row>
    <row r="1003">
      <c r="A1003" s="11" t="n">
        <v>1002</v>
      </c>
      <c r="B1003" s="12" t="n">
        <v>46106</v>
      </c>
      <c r="C1003" s="11" t="inlineStr">
        <is>
          <t>INTF</t>
        </is>
      </c>
      <c r="D1003" s="11" t="inlineStr">
        <is>
          <t>202603</t>
        </is>
      </c>
      <c r="E1003" s="11" t="inlineStr">
        <is>
          <t>1123325945</t>
        </is>
      </c>
      <c r="F1003" s="11" t="inlineStr">
        <is>
          <t>GUERRERO RIVADENEIRA</t>
        </is>
      </c>
      <c r="G1003" s="11" t="inlineStr"/>
      <c r="H1003" s="11" t="inlineStr">
        <is>
          <t>INTERFACE P.O.S.</t>
        </is>
      </c>
      <c r="I1003" s="11" t="n">
        <v>12300</v>
      </c>
      <c r="J1003" s="11" t="inlineStr"/>
    </row>
    <row r="1004">
      <c r="A1004" s="11" t="n">
        <v>1003</v>
      </c>
      <c r="B1004" s="12" t="n">
        <v>46106</v>
      </c>
      <c r="C1004" s="11" t="inlineStr">
        <is>
          <t>INTF</t>
        </is>
      </c>
      <c r="D1004" s="11" t="inlineStr">
        <is>
          <t>202603</t>
        </is>
      </c>
      <c r="E1004" s="11" t="inlineStr">
        <is>
          <t>1123307277</t>
        </is>
      </c>
      <c r="F1004" s="11" t="inlineStr">
        <is>
          <t>SANCHEZ BUESAQUILLO</t>
        </is>
      </c>
      <c r="G1004" s="11" t="inlineStr"/>
      <c r="H1004" s="11" t="inlineStr">
        <is>
          <t>INTERFACE P.O.S.</t>
        </is>
      </c>
      <c r="I1004" s="11" t="n">
        <v>18100</v>
      </c>
      <c r="J1004" s="11" t="inlineStr"/>
    </row>
    <row r="1005">
      <c r="A1005" s="11" t="n">
        <v>1004</v>
      </c>
      <c r="B1005" s="12" t="n">
        <v>46106</v>
      </c>
      <c r="C1005" s="11" t="inlineStr">
        <is>
          <t>INTF</t>
        </is>
      </c>
      <c r="D1005" s="11" t="inlineStr">
        <is>
          <t>202603</t>
        </is>
      </c>
      <c r="E1005" s="11" t="inlineStr">
        <is>
          <t>1123324847</t>
        </is>
      </c>
      <c r="F1005" s="11" t="inlineStr">
        <is>
          <t>YAGARIN NEQUIRUCAMA</t>
        </is>
      </c>
      <c r="G1005" s="11" t="inlineStr"/>
      <c r="H1005" s="11" t="inlineStr">
        <is>
          <t>INTERFACE P.O.S.</t>
        </is>
      </c>
      <c r="I1005" s="11" t="n">
        <v>44900</v>
      </c>
      <c r="J1005" s="11" t="inlineStr"/>
    </row>
    <row r="1006">
      <c r="A1006" s="11" t="n">
        <v>1005</v>
      </c>
      <c r="B1006" s="12" t="n">
        <v>46106</v>
      </c>
      <c r="C1006" s="11" t="inlineStr">
        <is>
          <t>INTF</t>
        </is>
      </c>
      <c r="D1006" s="11" t="inlineStr">
        <is>
          <t>202603</t>
        </is>
      </c>
      <c r="E1006" s="11" t="inlineStr">
        <is>
          <t>1113673578</t>
        </is>
      </c>
      <c r="F1006" s="11" t="inlineStr">
        <is>
          <t>NUPAN HERNANDEZ PAOL</t>
        </is>
      </c>
      <c r="G1006" s="11" t="inlineStr"/>
      <c r="H1006" s="11" t="inlineStr">
        <is>
          <t>INTERFACE P.O.S.</t>
        </is>
      </c>
      <c r="I1006" s="11" t="n">
        <v>5000</v>
      </c>
      <c r="J1006" s="11" t="inlineStr"/>
    </row>
    <row r="1007">
      <c r="A1007" s="11" t="n">
        <v>1006</v>
      </c>
      <c r="B1007" s="12" t="n">
        <v>46106</v>
      </c>
      <c r="C1007" s="11" t="inlineStr">
        <is>
          <t>INTF</t>
        </is>
      </c>
      <c r="D1007" s="11" t="inlineStr">
        <is>
          <t>202603</t>
        </is>
      </c>
      <c r="E1007" s="11" t="inlineStr">
        <is>
          <t>1117497936</t>
        </is>
      </c>
      <c r="F1007" s="11" t="inlineStr">
        <is>
          <t>MARTINEZ GASCA KEYNY</t>
        </is>
      </c>
      <c r="G1007" s="11" t="inlineStr"/>
      <c r="H1007" s="11" t="inlineStr">
        <is>
          <t>INTERFACE P.O.S.</t>
        </is>
      </c>
      <c r="I1007" s="11" t="n">
        <v>12800</v>
      </c>
      <c r="J1007" s="11" t="inlineStr"/>
    </row>
    <row r="1008">
      <c r="A1008" s="11" t="n">
        <v>1007</v>
      </c>
      <c r="B1008" s="12" t="n">
        <v>46106</v>
      </c>
      <c r="C1008" s="11" t="inlineStr">
        <is>
          <t>INTF</t>
        </is>
      </c>
      <c r="D1008" s="11" t="inlineStr">
        <is>
          <t>202603</t>
        </is>
      </c>
      <c r="E1008" s="11" t="inlineStr">
        <is>
          <t>1123332615</t>
        </is>
      </c>
      <c r="F1008" s="11" t="inlineStr">
        <is>
          <t>ORTEGA DANI</t>
        </is>
      </c>
      <c r="G1008" s="11" t="inlineStr"/>
      <c r="H1008" s="11" t="inlineStr">
        <is>
          <t>INTERFACE P.O.S.</t>
        </is>
      </c>
      <c r="I1008" s="11" t="n">
        <v>14800</v>
      </c>
      <c r="J1008" s="11" t="inlineStr"/>
    </row>
    <row r="1009">
      <c r="A1009" s="11" t="n">
        <v>1008</v>
      </c>
      <c r="B1009" s="12" t="n">
        <v>46106</v>
      </c>
      <c r="C1009" s="11" t="inlineStr">
        <is>
          <t>INTF</t>
        </is>
      </c>
      <c r="D1009" s="11" t="inlineStr">
        <is>
          <t>202603</t>
        </is>
      </c>
      <c r="E1009" s="11" t="inlineStr">
        <is>
          <t>1123327778</t>
        </is>
      </c>
      <c r="F1009" s="11" t="inlineStr">
        <is>
          <t>ENRIQUEZ ANDERSON</t>
        </is>
      </c>
      <c r="G1009" s="11" t="inlineStr"/>
      <c r="H1009" s="11" t="inlineStr">
        <is>
          <t>INTERFACE P.O.S.</t>
        </is>
      </c>
      <c r="I1009" s="11" t="n">
        <v>7200</v>
      </c>
      <c r="J1009" s="11" t="inlineStr"/>
    </row>
    <row r="1010">
      <c r="A1010" s="11" t="n">
        <v>1009</v>
      </c>
      <c r="B1010" s="12" t="n">
        <v>46106</v>
      </c>
      <c r="C1010" s="11" t="inlineStr">
        <is>
          <t>INTF</t>
        </is>
      </c>
      <c r="D1010" s="11" t="inlineStr">
        <is>
          <t>202603</t>
        </is>
      </c>
      <c r="E1010" s="11" t="inlineStr">
        <is>
          <t>1122723431</t>
        </is>
      </c>
      <c r="F1010" s="11" t="inlineStr">
        <is>
          <t>IBAÑEZ BOLAÑOS CELIA</t>
        </is>
      </c>
      <c r="G1010" s="11" t="inlineStr"/>
      <c r="H1010" s="11" t="inlineStr">
        <is>
          <t>INTERFACE P.O.S.</t>
        </is>
      </c>
      <c r="I1010" s="11" t="n">
        <v>11400</v>
      </c>
      <c r="J1010" s="11" t="inlineStr"/>
    </row>
    <row r="1011">
      <c r="A1011" s="11" t="n">
        <v>1010</v>
      </c>
      <c r="B1011" s="12" t="n">
        <v>46106</v>
      </c>
      <c r="C1011" s="11" t="inlineStr">
        <is>
          <t>INTF</t>
        </is>
      </c>
      <c r="D1011" s="11" t="inlineStr">
        <is>
          <t>202603</t>
        </is>
      </c>
      <c r="E1011" s="11" t="inlineStr">
        <is>
          <t>1112770743</t>
        </is>
      </c>
      <c r="F1011" s="11" t="inlineStr">
        <is>
          <t>DIAZ DIEGO</t>
        </is>
      </c>
      <c r="G1011" s="11" t="inlineStr"/>
      <c r="H1011" s="11" t="inlineStr">
        <is>
          <t>INTERFACE P.O.S.</t>
        </is>
      </c>
      <c r="I1011" s="11" t="n">
        <v>21000</v>
      </c>
      <c r="J1011" s="11" t="inlineStr"/>
    </row>
    <row r="1012">
      <c r="A1012" s="11" t="n">
        <v>1011</v>
      </c>
      <c r="B1012" s="12" t="n">
        <v>46106</v>
      </c>
      <c r="C1012" s="11" t="inlineStr">
        <is>
          <t>INTF</t>
        </is>
      </c>
      <c r="D1012" s="11" t="inlineStr">
        <is>
          <t>202603</t>
        </is>
      </c>
      <c r="E1012" s="11" t="inlineStr">
        <is>
          <t>1124849389</t>
        </is>
      </c>
      <c r="F1012" s="11" t="inlineStr">
        <is>
          <t>ERAZO CERON ANA</t>
        </is>
      </c>
      <c r="G1012" s="11" t="inlineStr"/>
      <c r="H1012" s="11" t="inlineStr">
        <is>
          <t>INTERFACE P.O.S.</t>
        </is>
      </c>
      <c r="I1012" s="11" t="n">
        <v>84000</v>
      </c>
      <c r="J1012" s="11" t="inlineStr"/>
    </row>
    <row r="1013">
      <c r="A1013" s="11" t="n">
        <v>1012</v>
      </c>
      <c r="B1013" s="12" t="n">
        <v>46106</v>
      </c>
      <c r="C1013" s="11" t="inlineStr">
        <is>
          <t>INTF</t>
        </is>
      </c>
      <c r="D1013" s="11" t="inlineStr">
        <is>
          <t>202603</t>
        </is>
      </c>
      <c r="E1013" s="11" t="inlineStr">
        <is>
          <t>1023888740</t>
        </is>
      </c>
      <c r="F1013" s="11" t="inlineStr">
        <is>
          <t>GARZON ROCHA WILSON</t>
        </is>
      </c>
      <c r="G1013" s="11" t="inlineStr"/>
      <c r="H1013" s="11" t="inlineStr">
        <is>
          <t>INTERFACE P.O.S.</t>
        </is>
      </c>
      <c r="I1013" s="11" t="n">
        <v>21200</v>
      </c>
      <c r="J1013" s="11" t="inlineStr"/>
    </row>
    <row r="1014">
      <c r="A1014" s="11" t="n">
        <v>1013</v>
      </c>
      <c r="B1014" s="12" t="n">
        <v>46106</v>
      </c>
      <c r="C1014" s="11" t="inlineStr">
        <is>
          <t>INTF</t>
        </is>
      </c>
      <c r="D1014" s="11" t="inlineStr">
        <is>
          <t>202603</t>
        </is>
      </c>
      <c r="E1014" s="11" t="inlineStr">
        <is>
          <t>1123333957</t>
        </is>
      </c>
      <c r="F1014" s="11" t="inlineStr">
        <is>
          <t>ZAMBRANO ALVARADO LO</t>
        </is>
      </c>
      <c r="G1014" s="11" t="inlineStr"/>
      <c r="H1014" s="11" t="inlineStr">
        <is>
          <t>INTERFACE P.O.S.</t>
        </is>
      </c>
      <c r="I1014" s="11" t="n">
        <v>9400</v>
      </c>
      <c r="J1014" s="11" t="inlineStr"/>
    </row>
    <row r="1015">
      <c r="A1015" s="11" t="n">
        <v>1014</v>
      </c>
      <c r="B1015" s="12" t="n">
        <v>46106</v>
      </c>
      <c r="C1015" s="11" t="inlineStr">
        <is>
          <t>INTF</t>
        </is>
      </c>
      <c r="D1015" s="11" t="inlineStr">
        <is>
          <t>202603</t>
        </is>
      </c>
      <c r="E1015" s="11" t="inlineStr">
        <is>
          <t>52342662</t>
        </is>
      </c>
      <c r="F1015" s="11" t="inlineStr">
        <is>
          <t>ERAZO TOBAR CARME</t>
        </is>
      </c>
      <c r="G1015" s="11" t="inlineStr"/>
      <c r="H1015" s="11" t="inlineStr">
        <is>
          <t>INTERFACE P.O.S.</t>
        </is>
      </c>
      <c r="I1015" s="11" t="n">
        <v>3500</v>
      </c>
      <c r="J1015" s="11" t="inlineStr"/>
    </row>
    <row r="1016">
      <c r="A1016" s="11" t="n">
        <v>1015</v>
      </c>
      <c r="B1016" s="12" t="n">
        <v>46106</v>
      </c>
      <c r="C1016" s="11" t="inlineStr">
        <is>
          <t>INTF</t>
        </is>
      </c>
      <c r="D1016" s="11" t="inlineStr">
        <is>
          <t>202603</t>
        </is>
      </c>
      <c r="E1016" s="11" t="inlineStr">
        <is>
          <t>1024460691</t>
        </is>
      </c>
      <c r="F1016" s="11" t="inlineStr">
        <is>
          <t>MARTINEZ ROCERO MI</t>
        </is>
      </c>
      <c r="G1016" s="11" t="inlineStr"/>
      <c r="H1016" s="11" t="inlineStr">
        <is>
          <t>INTERFACE P.O.S.</t>
        </is>
      </c>
      <c r="I1016" s="11" t="n">
        <v>8400</v>
      </c>
      <c r="J1016" s="11" t="inlineStr"/>
    </row>
    <row r="1017">
      <c r="A1017" s="11" t="n">
        <v>1016</v>
      </c>
      <c r="B1017" s="12" t="n">
        <v>46107</v>
      </c>
      <c r="C1017" s="11" t="inlineStr">
        <is>
          <t>INTF</t>
        </is>
      </c>
      <c r="D1017" s="11" t="inlineStr">
        <is>
          <t>202603</t>
        </is>
      </c>
      <c r="E1017" s="11" t="inlineStr">
        <is>
          <t>94061986</t>
        </is>
      </c>
      <c r="F1017" s="11" t="inlineStr">
        <is>
          <t>CARRETERO DIAZ OSCAR</t>
        </is>
      </c>
      <c r="G1017" s="11" t="inlineStr"/>
      <c r="H1017" s="11" t="inlineStr">
        <is>
          <t>INTERFACE P.O.S.</t>
        </is>
      </c>
      <c r="I1017" s="11" t="n">
        <v>13000</v>
      </c>
      <c r="J1017" s="11" t="inlineStr"/>
    </row>
    <row r="1018">
      <c r="A1018" s="11" t="n">
        <v>1017</v>
      </c>
      <c r="B1018" s="12" t="n">
        <v>46107</v>
      </c>
      <c r="C1018" s="11" t="inlineStr">
        <is>
          <t>INTF</t>
        </is>
      </c>
      <c r="D1018" s="11" t="inlineStr">
        <is>
          <t>202603</t>
        </is>
      </c>
      <c r="E1018" s="11" t="inlineStr">
        <is>
          <t>69016469</t>
        </is>
      </c>
      <c r="F1018" s="11" t="inlineStr">
        <is>
          <t>RAYO CARDONA MARIA A</t>
        </is>
      </c>
      <c r="G1018" s="11" t="inlineStr"/>
      <c r="H1018" s="11" t="inlineStr">
        <is>
          <t>INTERFACE P.O.S.</t>
        </is>
      </c>
      <c r="I1018" s="11" t="n">
        <v>11400</v>
      </c>
      <c r="J1018" s="11" t="inlineStr"/>
    </row>
    <row r="1019">
      <c r="A1019" s="11" t="n">
        <v>1018</v>
      </c>
      <c r="B1019" s="12" t="n">
        <v>46107</v>
      </c>
      <c r="C1019" s="11" t="inlineStr">
        <is>
          <t>INTF</t>
        </is>
      </c>
      <c r="D1019" s="11" t="inlineStr">
        <is>
          <t>202603</t>
        </is>
      </c>
      <c r="E1019" s="11" t="inlineStr">
        <is>
          <t>94543113</t>
        </is>
      </c>
      <c r="F1019" s="11" t="inlineStr">
        <is>
          <t>OROZCO URAN LUIS CAR</t>
        </is>
      </c>
      <c r="G1019" s="11" t="inlineStr"/>
      <c r="H1019" s="11" t="inlineStr">
        <is>
          <t>INTERFACE P.O.S.</t>
        </is>
      </c>
      <c r="I1019" s="11" t="n">
        <v>19500</v>
      </c>
      <c r="J1019" s="11" t="inlineStr"/>
    </row>
    <row r="1020">
      <c r="A1020" s="11" t="n">
        <v>1019</v>
      </c>
      <c r="B1020" s="12" t="n">
        <v>46107</v>
      </c>
      <c r="C1020" s="11" t="inlineStr">
        <is>
          <t>INTF</t>
        </is>
      </c>
      <c r="D1020" s="11" t="inlineStr">
        <is>
          <t>202603</t>
        </is>
      </c>
      <c r="E1020" s="11" t="inlineStr">
        <is>
          <t>16072719</t>
        </is>
      </c>
      <c r="F1020" s="11" t="inlineStr">
        <is>
          <t>FLOREZ LONDOÑO YESID</t>
        </is>
      </c>
      <c r="G1020" s="11" t="inlineStr"/>
      <c r="H1020" s="11" t="inlineStr">
        <is>
          <t>INTERFACE P.O.S.</t>
        </is>
      </c>
      <c r="I1020" s="11" t="n">
        <v>36000</v>
      </c>
      <c r="J1020" s="11" t="inlineStr"/>
    </row>
    <row r="1021">
      <c r="A1021" s="11" t="n">
        <v>1020</v>
      </c>
      <c r="B1021" s="12" t="n">
        <v>46107</v>
      </c>
      <c r="C1021" s="11" t="inlineStr">
        <is>
          <t>INTF</t>
        </is>
      </c>
      <c r="D1021" s="11" t="inlineStr">
        <is>
          <t>202603</t>
        </is>
      </c>
      <c r="E1021" s="11" t="inlineStr">
        <is>
          <t>98431092</t>
        </is>
      </c>
      <c r="F1021" s="11" t="inlineStr">
        <is>
          <t>GALLON QUINONES MARI</t>
        </is>
      </c>
      <c r="G1021" s="11" t="inlineStr"/>
      <c r="H1021" s="11" t="inlineStr">
        <is>
          <t>INTERFACE P.O.S.</t>
        </is>
      </c>
      <c r="I1021" s="11" t="n">
        <v>11300</v>
      </c>
      <c r="J1021" s="11" t="inlineStr"/>
    </row>
    <row r="1022">
      <c r="A1022" s="11" t="n">
        <v>1021</v>
      </c>
      <c r="B1022" s="12" t="n">
        <v>46107</v>
      </c>
      <c r="C1022" s="11" t="inlineStr">
        <is>
          <t>INTF</t>
        </is>
      </c>
      <c r="D1022" s="11" t="inlineStr">
        <is>
          <t>202603</t>
        </is>
      </c>
      <c r="E1022" s="11" t="inlineStr">
        <is>
          <t>79123819</t>
        </is>
      </c>
      <c r="F1022" s="11" t="inlineStr">
        <is>
          <t>PAEZ MANRIQUE JAIME</t>
        </is>
      </c>
      <c r="G1022" s="11" t="inlineStr"/>
      <c r="H1022" s="11" t="inlineStr">
        <is>
          <t>INTERFACE P.O.S.</t>
        </is>
      </c>
      <c r="I1022" s="11" t="n">
        <v>13100</v>
      </c>
      <c r="J1022" s="11" t="inlineStr"/>
    </row>
    <row r="1023">
      <c r="A1023" s="11" t="n">
        <v>1022</v>
      </c>
      <c r="B1023" s="12" t="n">
        <v>46107</v>
      </c>
      <c r="C1023" s="11" t="inlineStr">
        <is>
          <t>INTF</t>
        </is>
      </c>
      <c r="D1023" s="11" t="inlineStr">
        <is>
          <t>202603</t>
        </is>
      </c>
      <c r="E1023" s="11" t="inlineStr">
        <is>
          <t>1123329479</t>
        </is>
      </c>
      <c r="F1023" s="11" t="inlineStr">
        <is>
          <t>BENAVIDES VASQUEZ LU</t>
        </is>
      </c>
      <c r="G1023" s="11" t="inlineStr"/>
      <c r="H1023" s="11" t="inlineStr">
        <is>
          <t>INTERFACE P.O.S.</t>
        </is>
      </c>
      <c r="I1023" s="11" t="n">
        <v>6500</v>
      </c>
      <c r="J1023" s="11" t="inlineStr"/>
    </row>
    <row r="1024">
      <c r="A1024" s="11" t="n">
        <v>1023</v>
      </c>
      <c r="B1024" s="12" t="n">
        <v>46107</v>
      </c>
      <c r="C1024" s="11" t="inlineStr">
        <is>
          <t>INTF</t>
        </is>
      </c>
      <c r="D1024" s="11" t="inlineStr">
        <is>
          <t>202603</t>
        </is>
      </c>
      <c r="E1024" s="11" t="inlineStr">
        <is>
          <t>1123331415</t>
        </is>
      </c>
      <c r="F1024" s="11" t="inlineStr">
        <is>
          <t>CAHUASA ANGULO ISMEN</t>
        </is>
      </c>
      <c r="G1024" s="11" t="inlineStr"/>
      <c r="H1024" s="11" t="inlineStr">
        <is>
          <t>INTERFACE P.O.S.</t>
        </is>
      </c>
      <c r="I1024" s="11" t="n">
        <v>22400</v>
      </c>
      <c r="J1024" s="11" t="inlineStr"/>
    </row>
    <row r="1025">
      <c r="A1025" s="11" t="n">
        <v>1024</v>
      </c>
      <c r="B1025" s="12" t="n">
        <v>46107</v>
      </c>
      <c r="C1025" s="11" t="inlineStr">
        <is>
          <t>INTF</t>
        </is>
      </c>
      <c r="D1025" s="11" t="inlineStr">
        <is>
          <t>202603</t>
        </is>
      </c>
      <c r="E1025" s="11" t="inlineStr">
        <is>
          <t>1006846044</t>
        </is>
      </c>
      <c r="F1025" s="11" t="inlineStr">
        <is>
          <t>MARTINEZ NOLBERTO JA</t>
        </is>
      </c>
      <c r="G1025" s="11" t="inlineStr"/>
      <c r="H1025" s="11" t="inlineStr">
        <is>
          <t>INTERFACE P.O.S.</t>
        </is>
      </c>
      <c r="I1025" s="11" t="n">
        <v>11500</v>
      </c>
      <c r="J1025" s="11" t="inlineStr"/>
    </row>
    <row r="1026">
      <c r="A1026" s="11" t="n">
        <v>1025</v>
      </c>
      <c r="B1026" s="12" t="n">
        <v>46107</v>
      </c>
      <c r="C1026" s="11" t="inlineStr">
        <is>
          <t>INTF</t>
        </is>
      </c>
      <c r="D1026" s="11" t="inlineStr">
        <is>
          <t>202603</t>
        </is>
      </c>
      <c r="E1026" s="11" t="inlineStr">
        <is>
          <t>18142717</t>
        </is>
      </c>
      <c r="F1026" s="11" t="inlineStr">
        <is>
          <t>VEGA PATIÑO JOSE HER</t>
        </is>
      </c>
      <c r="G1026" s="11" t="inlineStr"/>
      <c r="H1026" s="11" t="inlineStr">
        <is>
          <t>INTERFACE P.O.S.</t>
        </is>
      </c>
      <c r="I1026" s="11" t="n">
        <v>7900</v>
      </c>
      <c r="J1026" s="11" t="inlineStr"/>
    </row>
    <row r="1027">
      <c r="A1027" s="11" t="n">
        <v>1026</v>
      </c>
      <c r="B1027" s="12" t="n">
        <v>46107</v>
      </c>
      <c r="C1027" s="11" t="inlineStr">
        <is>
          <t>INTF</t>
        </is>
      </c>
      <c r="D1027" s="11" t="inlineStr">
        <is>
          <t>202603</t>
        </is>
      </c>
      <c r="E1027" s="11" t="inlineStr">
        <is>
          <t>1006848684</t>
        </is>
      </c>
      <c r="F1027" s="11" t="inlineStr">
        <is>
          <t>AVILA DANIELA FERNAN</t>
        </is>
      </c>
      <c r="G1027" s="11" t="inlineStr"/>
      <c r="H1027" s="11" t="inlineStr">
        <is>
          <t>INTERFACE P.O.S.</t>
        </is>
      </c>
      <c r="I1027" s="11" t="n">
        <v>25800</v>
      </c>
      <c r="J1027" s="11" t="inlineStr"/>
    </row>
    <row r="1028">
      <c r="A1028" s="11" t="n">
        <v>1027</v>
      </c>
      <c r="B1028" s="12" t="n">
        <v>46107</v>
      </c>
      <c r="C1028" s="11" t="inlineStr">
        <is>
          <t>INTF</t>
        </is>
      </c>
      <c r="D1028" s="11" t="inlineStr">
        <is>
          <t>202603</t>
        </is>
      </c>
      <c r="E1028" s="11" t="inlineStr">
        <is>
          <t>1085271819</t>
        </is>
      </c>
      <c r="F1028" s="11" t="inlineStr">
        <is>
          <t>SALAZAR ALDERETE JOR</t>
        </is>
      </c>
      <c r="G1028" s="11" t="inlineStr"/>
      <c r="H1028" s="11" t="inlineStr">
        <is>
          <t>INTERFACE P.O.S.</t>
        </is>
      </c>
      <c r="I1028" s="11" t="n">
        <v>17000</v>
      </c>
      <c r="J1028" s="11" t="inlineStr"/>
    </row>
    <row r="1029">
      <c r="A1029" s="11" t="n">
        <v>1028</v>
      </c>
      <c r="B1029" s="12" t="n">
        <v>46107</v>
      </c>
      <c r="C1029" s="11" t="inlineStr">
        <is>
          <t>INTF</t>
        </is>
      </c>
      <c r="D1029" s="11" t="inlineStr">
        <is>
          <t>202603</t>
        </is>
      </c>
      <c r="E1029" s="11" t="inlineStr">
        <is>
          <t>1123329564</t>
        </is>
      </c>
      <c r="F1029" s="11" t="inlineStr">
        <is>
          <t>YEPES SOLARTE LINDA</t>
        </is>
      </c>
      <c r="G1029" s="11" t="inlineStr"/>
      <c r="H1029" s="11" t="inlineStr">
        <is>
          <t>INTERFACE P.O.S.</t>
        </is>
      </c>
      <c r="I1029" s="11" t="n">
        <v>17500</v>
      </c>
      <c r="J1029" s="11" t="inlineStr"/>
    </row>
    <row r="1030">
      <c r="A1030" s="11" t="n">
        <v>1029</v>
      </c>
      <c r="B1030" s="12" t="n">
        <v>46107</v>
      </c>
      <c r="C1030" s="11" t="inlineStr">
        <is>
          <t>INTF</t>
        </is>
      </c>
      <c r="D1030" s="11" t="inlineStr">
        <is>
          <t>202603</t>
        </is>
      </c>
      <c r="E1030" s="11" t="inlineStr">
        <is>
          <t>1075300641</t>
        </is>
      </c>
      <c r="F1030" s="11" t="inlineStr">
        <is>
          <t>MILLAN SOUSA NATALY</t>
        </is>
      </c>
      <c r="G1030" s="11" t="inlineStr"/>
      <c r="H1030" s="11" t="inlineStr">
        <is>
          <t>INTERFACE P.O.S.</t>
        </is>
      </c>
      <c r="I1030" s="11" t="n">
        <v>14900</v>
      </c>
      <c r="J1030" s="11" t="inlineStr"/>
    </row>
    <row r="1031">
      <c r="A1031" s="11" t="n">
        <v>1030</v>
      </c>
      <c r="B1031" s="12" t="n">
        <v>46107</v>
      </c>
      <c r="C1031" s="11" t="inlineStr">
        <is>
          <t>INTF</t>
        </is>
      </c>
      <c r="D1031" s="11" t="inlineStr">
        <is>
          <t>202603</t>
        </is>
      </c>
      <c r="E1031" s="11" t="inlineStr">
        <is>
          <t>1123334440</t>
        </is>
      </c>
      <c r="F1031" s="11" t="inlineStr">
        <is>
          <t>POTOSI CADENA SANDRA</t>
        </is>
      </c>
      <c r="G1031" s="11" t="inlineStr"/>
      <c r="H1031" s="11" t="inlineStr">
        <is>
          <t>INTERFACE P.O.S.</t>
        </is>
      </c>
      <c r="I1031" s="11" t="n">
        <v>7500</v>
      </c>
      <c r="J1031" s="11" t="inlineStr"/>
    </row>
    <row r="1032">
      <c r="A1032" s="11" t="n">
        <v>1031</v>
      </c>
      <c r="B1032" s="12" t="n">
        <v>46107</v>
      </c>
      <c r="C1032" s="11" t="inlineStr">
        <is>
          <t>INTF</t>
        </is>
      </c>
      <c r="D1032" s="11" t="inlineStr">
        <is>
          <t>202603</t>
        </is>
      </c>
      <c r="E1032" s="11" t="inlineStr">
        <is>
          <t>41108274</t>
        </is>
      </c>
      <c r="F1032" s="11" t="inlineStr">
        <is>
          <t>MANTILLA PALADINES C</t>
        </is>
      </c>
      <c r="G1032" s="11" t="inlineStr"/>
      <c r="H1032" s="11" t="inlineStr">
        <is>
          <t>INTERFACE P.O.S.</t>
        </is>
      </c>
      <c r="I1032" s="11" t="n">
        <v>55100</v>
      </c>
      <c r="J1032" s="11" t="inlineStr"/>
    </row>
    <row r="1033">
      <c r="A1033" s="11" t="n">
        <v>1032</v>
      </c>
      <c r="B1033" s="12" t="n">
        <v>46107</v>
      </c>
      <c r="C1033" s="11" t="inlineStr">
        <is>
          <t>INTF</t>
        </is>
      </c>
      <c r="D1033" s="11" t="inlineStr">
        <is>
          <t>202603</t>
        </is>
      </c>
      <c r="E1033" s="11" t="inlineStr">
        <is>
          <t>1093786192</t>
        </is>
      </c>
      <c r="F1033" s="11" t="inlineStr">
        <is>
          <t>CARVAJAL PORTILLA CA</t>
        </is>
      </c>
      <c r="G1033" s="11" t="inlineStr"/>
      <c r="H1033" s="11" t="inlineStr">
        <is>
          <t>INTERFACE P.O.S.</t>
        </is>
      </c>
      <c r="I1033" s="11" t="n">
        <v>9500</v>
      </c>
      <c r="J1033" s="11" t="inlineStr"/>
    </row>
    <row r="1034">
      <c r="A1034" s="11" t="n">
        <v>1033</v>
      </c>
      <c r="B1034" s="12" t="n">
        <v>46107</v>
      </c>
      <c r="C1034" s="11" t="inlineStr">
        <is>
          <t>INTF</t>
        </is>
      </c>
      <c r="D1034" s="11" t="inlineStr">
        <is>
          <t>202603</t>
        </is>
      </c>
      <c r="E1034" s="11" t="inlineStr">
        <is>
          <t>1006850277</t>
        </is>
      </c>
      <c r="F1034" s="11" t="inlineStr">
        <is>
          <t>DIAZ PANTOJA JEIMY T</t>
        </is>
      </c>
      <c r="G1034" s="11" t="inlineStr"/>
      <c r="H1034" s="11" t="inlineStr">
        <is>
          <t>INTERFACE P.O.S.</t>
        </is>
      </c>
      <c r="I1034" s="11" t="n">
        <v>13800</v>
      </c>
      <c r="J1034" s="11" t="inlineStr"/>
    </row>
    <row r="1035">
      <c r="A1035" s="11" t="n">
        <v>1034</v>
      </c>
      <c r="B1035" s="12" t="n">
        <v>46107</v>
      </c>
      <c r="C1035" s="11" t="inlineStr">
        <is>
          <t>INTF</t>
        </is>
      </c>
      <c r="D1035" s="11" t="inlineStr">
        <is>
          <t>202603</t>
        </is>
      </c>
      <c r="E1035" s="11" t="inlineStr">
        <is>
          <t>1123329945</t>
        </is>
      </c>
      <c r="F1035" s="11" t="inlineStr">
        <is>
          <t>BERNAL CORAL PAULA A</t>
        </is>
      </c>
      <c r="G1035" s="11" t="inlineStr"/>
      <c r="H1035" s="11" t="inlineStr">
        <is>
          <t>INTERFACE P.O.S.</t>
        </is>
      </c>
      <c r="I1035" s="11" t="n">
        <v>7000</v>
      </c>
      <c r="J1035" s="11" t="inlineStr"/>
    </row>
    <row r="1036">
      <c r="A1036" s="11" t="n">
        <v>1035</v>
      </c>
      <c r="B1036" s="12" t="n">
        <v>46107</v>
      </c>
      <c r="C1036" s="11" t="inlineStr">
        <is>
          <t>INTF</t>
        </is>
      </c>
      <c r="D1036" s="11" t="inlineStr">
        <is>
          <t>202603</t>
        </is>
      </c>
      <c r="E1036" s="11" t="inlineStr">
        <is>
          <t>1006850975</t>
        </is>
      </c>
      <c r="F1036" s="11" t="inlineStr">
        <is>
          <t>ALDANA RENTERIA JOHA</t>
        </is>
      </c>
      <c r="G1036" s="11" t="inlineStr"/>
      <c r="H1036" s="11" t="inlineStr">
        <is>
          <t>INTERFACE P.O.S.</t>
        </is>
      </c>
      <c r="I1036" s="11" t="n">
        <v>4200</v>
      </c>
      <c r="J1036" s="11" t="inlineStr"/>
    </row>
    <row r="1037">
      <c r="A1037" s="11" t="n">
        <v>1036</v>
      </c>
      <c r="B1037" s="12" t="n">
        <v>46107</v>
      </c>
      <c r="C1037" s="11" t="inlineStr">
        <is>
          <t>INTF</t>
        </is>
      </c>
      <c r="D1037" s="11" t="inlineStr">
        <is>
          <t>202603</t>
        </is>
      </c>
      <c r="E1037" s="11" t="inlineStr">
        <is>
          <t>40740556</t>
        </is>
      </c>
      <c r="F1037" s="11" t="inlineStr">
        <is>
          <t>CUBILLOS ORDOÑES NIV</t>
        </is>
      </c>
      <c r="G1037" s="11" t="inlineStr"/>
      <c r="H1037" s="11" t="inlineStr">
        <is>
          <t>INTERFACE P.O.S.</t>
        </is>
      </c>
      <c r="I1037" s="11" t="n">
        <v>28500</v>
      </c>
      <c r="J1037" s="11" t="inlineStr"/>
    </row>
    <row r="1038">
      <c r="A1038" s="11" t="n">
        <v>1037</v>
      </c>
      <c r="B1038" s="12" t="n">
        <v>46107</v>
      </c>
      <c r="C1038" s="11" t="inlineStr">
        <is>
          <t>INTF</t>
        </is>
      </c>
      <c r="D1038" s="11" t="inlineStr">
        <is>
          <t>202603</t>
        </is>
      </c>
      <c r="E1038" s="11" t="inlineStr">
        <is>
          <t>1123322389</t>
        </is>
      </c>
      <c r="F1038" s="11" t="inlineStr">
        <is>
          <t>MARLON STIVEN JURADO</t>
        </is>
      </c>
      <c r="G1038" s="11" t="inlineStr"/>
      <c r="H1038" s="11" t="inlineStr">
        <is>
          <t>INTERFACE P.O.S.</t>
        </is>
      </c>
      <c r="I1038" s="11" t="n">
        <v>4700</v>
      </c>
      <c r="J1038" s="11" t="inlineStr"/>
    </row>
    <row r="1039">
      <c r="A1039" s="11" t="n">
        <v>1038</v>
      </c>
      <c r="B1039" s="12" t="n">
        <v>46107</v>
      </c>
      <c r="C1039" s="11" t="inlineStr">
        <is>
          <t>INTF</t>
        </is>
      </c>
      <c r="D1039" s="11" t="inlineStr">
        <is>
          <t>202603</t>
        </is>
      </c>
      <c r="E1039" s="11" t="inlineStr">
        <is>
          <t>1102801115</t>
        </is>
      </c>
      <c r="F1039" s="11" t="inlineStr">
        <is>
          <t>MENDEZ VELASQUEZ DIN</t>
        </is>
      </c>
      <c r="G1039" s="11" t="inlineStr"/>
      <c r="H1039" s="11" t="inlineStr">
        <is>
          <t>INTERFACE P.O.S.</t>
        </is>
      </c>
      <c r="I1039" s="11" t="n">
        <v>10000</v>
      </c>
      <c r="J1039" s="11" t="inlineStr"/>
    </row>
    <row r="1040">
      <c r="A1040" s="11" t="n">
        <v>1039</v>
      </c>
      <c r="B1040" s="12" t="n">
        <v>46107</v>
      </c>
      <c r="C1040" s="11" t="inlineStr">
        <is>
          <t>INTF</t>
        </is>
      </c>
      <c r="D1040" s="11" t="inlineStr">
        <is>
          <t>202603</t>
        </is>
      </c>
      <c r="E1040" s="11" t="inlineStr">
        <is>
          <t>1123334388</t>
        </is>
      </c>
      <c r="F1040" s="11" t="inlineStr">
        <is>
          <t>MARIN DAZA DIANA KAT</t>
        </is>
      </c>
      <c r="G1040" s="11" t="inlineStr"/>
      <c r="H1040" s="11" t="inlineStr">
        <is>
          <t>INTERFACE P.O.S.</t>
        </is>
      </c>
      <c r="I1040" s="11" t="n">
        <v>12000</v>
      </c>
      <c r="J1040" s="11" t="inlineStr"/>
    </row>
    <row r="1041">
      <c r="A1041" s="11" t="n">
        <v>1040</v>
      </c>
      <c r="B1041" s="12" t="n">
        <v>46107</v>
      </c>
      <c r="C1041" s="11" t="inlineStr">
        <is>
          <t>INTF</t>
        </is>
      </c>
      <c r="D1041" s="11" t="inlineStr">
        <is>
          <t>202603</t>
        </is>
      </c>
      <c r="E1041" s="11" t="inlineStr">
        <is>
          <t>14271256</t>
        </is>
      </c>
      <c r="F1041" s="11" t="inlineStr">
        <is>
          <t>BRAVO RODRIGUEZ DANI</t>
        </is>
      </c>
      <c r="G1041" s="11" t="inlineStr"/>
      <c r="H1041" s="11" t="inlineStr">
        <is>
          <t>INTERFACE P.O.S.</t>
        </is>
      </c>
      <c r="I1041" s="11" t="n">
        <v>5120</v>
      </c>
      <c r="J1041" s="11" t="inlineStr"/>
    </row>
    <row r="1042">
      <c r="A1042" s="11" t="n">
        <v>1041</v>
      </c>
      <c r="B1042" s="12" t="n">
        <v>46107</v>
      </c>
      <c r="C1042" s="11" t="inlineStr">
        <is>
          <t>INTF</t>
        </is>
      </c>
      <c r="D1042" s="11" t="inlineStr">
        <is>
          <t>202603</t>
        </is>
      </c>
      <c r="E1042" s="11" t="inlineStr">
        <is>
          <t>1002726238</t>
        </is>
      </c>
      <c r="F1042" s="11" t="inlineStr">
        <is>
          <t>MOLINA ALVAREZ KARO</t>
        </is>
      </c>
      <c r="G1042" s="11" t="inlineStr"/>
      <c r="H1042" s="11" t="inlineStr">
        <is>
          <t>INTERFACE P.O.S.</t>
        </is>
      </c>
      <c r="I1042" s="11" t="n">
        <v>27800</v>
      </c>
      <c r="J1042" s="11" t="inlineStr"/>
    </row>
    <row r="1043">
      <c r="A1043" s="11" t="n">
        <v>1042</v>
      </c>
      <c r="B1043" s="12" t="n">
        <v>46107</v>
      </c>
      <c r="C1043" s="11" t="inlineStr">
        <is>
          <t>INTF</t>
        </is>
      </c>
      <c r="D1043" s="11" t="inlineStr">
        <is>
          <t>202603</t>
        </is>
      </c>
      <c r="E1043" s="11" t="inlineStr">
        <is>
          <t>1123321589</t>
        </is>
      </c>
      <c r="F1043" s="11" t="inlineStr">
        <is>
          <t>DIAS CHAVEZ EVA LINE</t>
        </is>
      </c>
      <c r="G1043" s="11" t="inlineStr"/>
      <c r="H1043" s="11" t="inlineStr">
        <is>
          <t>INTERFACE P.O.S.</t>
        </is>
      </c>
      <c r="I1043" s="11" t="n">
        <v>16800</v>
      </c>
      <c r="J1043" s="11" t="inlineStr"/>
    </row>
    <row r="1044">
      <c r="A1044" s="11" t="n">
        <v>1043</v>
      </c>
      <c r="B1044" s="12" t="n">
        <v>46107</v>
      </c>
      <c r="C1044" s="11" t="inlineStr">
        <is>
          <t>INTF</t>
        </is>
      </c>
      <c r="D1044" s="11" t="inlineStr">
        <is>
          <t>202603</t>
        </is>
      </c>
      <c r="E1044" s="11" t="inlineStr">
        <is>
          <t>59831372</t>
        </is>
      </c>
      <c r="F1044" s="11" t="inlineStr">
        <is>
          <t>CASTILLO CORRALES SI</t>
        </is>
      </c>
      <c r="G1044" s="11" t="inlineStr"/>
      <c r="H1044" s="11" t="inlineStr">
        <is>
          <t>INTERFACE P.O.S.</t>
        </is>
      </c>
      <c r="I1044" s="11" t="n">
        <v>50000</v>
      </c>
      <c r="J1044" s="11" t="inlineStr"/>
    </row>
    <row r="1045">
      <c r="A1045" s="11" t="n">
        <v>1044</v>
      </c>
      <c r="B1045" s="12" t="n">
        <v>46107</v>
      </c>
      <c r="C1045" s="11" t="inlineStr">
        <is>
          <t>INTF</t>
        </is>
      </c>
      <c r="D1045" s="11" t="inlineStr">
        <is>
          <t>202603</t>
        </is>
      </c>
      <c r="E1045" s="11" t="inlineStr">
        <is>
          <t>1192903854</t>
        </is>
      </c>
      <c r="F1045" s="11" t="inlineStr">
        <is>
          <t>YARCE LOPEZ JENIFER</t>
        </is>
      </c>
      <c r="G1045" s="11" t="inlineStr"/>
      <c r="H1045" s="11" t="inlineStr">
        <is>
          <t>INTERFACE P.O.S.</t>
        </is>
      </c>
      <c r="I1045" s="11" t="n">
        <v>8000</v>
      </c>
      <c r="J1045" s="11" t="inlineStr"/>
    </row>
    <row r="1046">
      <c r="A1046" s="11" t="n">
        <v>1045</v>
      </c>
      <c r="B1046" s="12" t="n">
        <v>46107</v>
      </c>
      <c r="C1046" s="11" t="inlineStr">
        <is>
          <t>INTF</t>
        </is>
      </c>
      <c r="D1046" s="11" t="inlineStr">
        <is>
          <t>202603</t>
        </is>
      </c>
      <c r="E1046" s="11" t="inlineStr">
        <is>
          <t>1006850492</t>
        </is>
      </c>
      <c r="F1046" s="11" t="inlineStr">
        <is>
          <t>ARBOLEDA GUARNICA FR</t>
        </is>
      </c>
      <c r="G1046" s="11" t="inlineStr"/>
      <c r="H1046" s="11" t="inlineStr">
        <is>
          <t>INTERFACE P.O.S.</t>
        </is>
      </c>
      <c r="I1046" s="11" t="n">
        <v>14800</v>
      </c>
      <c r="J1046" s="11" t="inlineStr"/>
    </row>
    <row r="1047">
      <c r="A1047" s="11" t="n">
        <v>1046</v>
      </c>
      <c r="B1047" s="12" t="n">
        <v>46107</v>
      </c>
      <c r="C1047" s="11" t="inlineStr">
        <is>
          <t>INTF</t>
        </is>
      </c>
      <c r="D1047" s="11" t="inlineStr">
        <is>
          <t>202603</t>
        </is>
      </c>
      <c r="E1047" s="11" t="inlineStr">
        <is>
          <t>1124858469</t>
        </is>
      </c>
      <c r="F1047" s="11" t="inlineStr">
        <is>
          <t>MARIN BENAVIDES EDWI</t>
        </is>
      </c>
      <c r="G1047" s="11" t="inlineStr"/>
      <c r="H1047" s="11" t="inlineStr">
        <is>
          <t>INTERFACE P.O.S.</t>
        </is>
      </c>
      <c r="I1047" s="11" t="n">
        <v>26100</v>
      </c>
      <c r="J1047" s="11" t="inlineStr"/>
    </row>
    <row r="1048">
      <c r="A1048" s="11" t="n">
        <v>1047</v>
      </c>
      <c r="B1048" s="12" t="n">
        <v>46107</v>
      </c>
      <c r="C1048" s="11" t="inlineStr">
        <is>
          <t>INTF</t>
        </is>
      </c>
      <c r="D1048" s="11" t="inlineStr">
        <is>
          <t>202603</t>
        </is>
      </c>
      <c r="E1048" s="11" t="inlineStr">
        <is>
          <t>1075281542</t>
        </is>
      </c>
      <c r="F1048" s="11" t="inlineStr">
        <is>
          <t>RODRIGUEZ BUITRON KA</t>
        </is>
      </c>
      <c r="G1048" s="11" t="inlineStr"/>
      <c r="H1048" s="11" t="inlineStr">
        <is>
          <t>INTERFACE P.O.S.</t>
        </is>
      </c>
      <c r="I1048" s="11" t="n">
        <v>23000</v>
      </c>
      <c r="J1048" s="11" t="inlineStr"/>
    </row>
    <row r="1049">
      <c r="A1049" s="11" t="n">
        <v>1048</v>
      </c>
      <c r="B1049" s="12" t="n">
        <v>46107</v>
      </c>
      <c r="C1049" s="11" t="inlineStr">
        <is>
          <t>INTF</t>
        </is>
      </c>
      <c r="D1049" s="11" t="inlineStr">
        <is>
          <t>202603</t>
        </is>
      </c>
      <c r="E1049" s="11" t="inlineStr">
        <is>
          <t>1007620522</t>
        </is>
      </c>
      <c r="F1049" s="11" t="inlineStr">
        <is>
          <t>CHAVARRO LARA LUISA</t>
        </is>
      </c>
      <c r="G1049" s="11" t="inlineStr"/>
      <c r="H1049" s="11" t="inlineStr">
        <is>
          <t>INTERFACE P.O.S.</t>
        </is>
      </c>
      <c r="I1049" s="11" t="n">
        <v>21000</v>
      </c>
      <c r="J1049" s="11" t="inlineStr"/>
    </row>
    <row r="1050">
      <c r="A1050" s="11" t="n">
        <v>1049</v>
      </c>
      <c r="B1050" s="12" t="n">
        <v>46107</v>
      </c>
      <c r="C1050" s="11" t="inlineStr">
        <is>
          <t>INTF</t>
        </is>
      </c>
      <c r="D1050" s="11" t="inlineStr">
        <is>
          <t>202603</t>
        </is>
      </c>
      <c r="E1050" s="11" t="inlineStr">
        <is>
          <t>5650960</t>
        </is>
      </c>
      <c r="F1050" s="11" t="inlineStr">
        <is>
          <t>OROPEZA ANA TERESA</t>
        </is>
      </c>
      <c r="G1050" s="11" t="inlineStr"/>
      <c r="H1050" s="11" t="inlineStr">
        <is>
          <t>INTERFACE P.O.S.</t>
        </is>
      </c>
      <c r="I1050" s="11" t="n">
        <v>13400</v>
      </c>
      <c r="J1050" s="11" t="inlineStr"/>
    </row>
    <row r="1051">
      <c r="A1051" s="11" t="n">
        <v>1050</v>
      </c>
      <c r="B1051" s="12" t="n">
        <v>46107</v>
      </c>
      <c r="C1051" s="11" t="inlineStr">
        <is>
          <t>INTF</t>
        </is>
      </c>
      <c r="D1051" s="11" t="inlineStr">
        <is>
          <t>202603</t>
        </is>
      </c>
      <c r="E1051" s="11" t="inlineStr">
        <is>
          <t>1123307277</t>
        </is>
      </c>
      <c r="F1051" s="11" t="inlineStr">
        <is>
          <t>SANCHEZ BUESAQUILLO</t>
        </is>
      </c>
      <c r="G1051" s="11" t="inlineStr"/>
      <c r="H1051" s="11" t="inlineStr">
        <is>
          <t>INTERFACE P.O.S.</t>
        </is>
      </c>
      <c r="I1051" s="11" t="n">
        <v>41700</v>
      </c>
      <c r="J1051" s="11" t="inlineStr"/>
    </row>
    <row r="1052">
      <c r="A1052" s="11" t="n">
        <v>1051</v>
      </c>
      <c r="B1052" s="12" t="n">
        <v>46107</v>
      </c>
      <c r="C1052" s="11" t="inlineStr">
        <is>
          <t>INTF</t>
        </is>
      </c>
      <c r="D1052" s="11" t="inlineStr">
        <is>
          <t>202603</t>
        </is>
      </c>
      <c r="E1052" s="11" t="inlineStr">
        <is>
          <t>1123332054</t>
        </is>
      </c>
      <c r="F1052" s="11" t="inlineStr">
        <is>
          <t>ALVAREZ CHAVEZ CRIST</t>
        </is>
      </c>
      <c r="G1052" s="11" t="inlineStr"/>
      <c r="H1052" s="11" t="inlineStr">
        <is>
          <t>INTERFACE P.O.S.</t>
        </is>
      </c>
      <c r="I1052" s="11" t="n">
        <v>14400</v>
      </c>
      <c r="J1052" s="11" t="inlineStr"/>
    </row>
    <row r="1053">
      <c r="A1053" s="11" t="n">
        <v>1052</v>
      </c>
      <c r="B1053" s="12" t="n">
        <v>46107</v>
      </c>
      <c r="C1053" s="11" t="inlineStr">
        <is>
          <t>INTF</t>
        </is>
      </c>
      <c r="D1053" s="11" t="inlineStr">
        <is>
          <t>202603</t>
        </is>
      </c>
      <c r="E1053" s="11" t="inlineStr">
        <is>
          <t>1130145154</t>
        </is>
      </c>
      <c r="F1053" s="11" t="inlineStr">
        <is>
          <t>MONTENEGRO MARTINEZ</t>
        </is>
      </c>
      <c r="G1053" s="11" t="inlineStr"/>
      <c r="H1053" s="11" t="inlineStr">
        <is>
          <t>INTERFACE P.O.S.</t>
        </is>
      </c>
      <c r="I1053" s="11" t="n">
        <v>29900</v>
      </c>
      <c r="J1053" s="11" t="inlineStr"/>
    </row>
    <row r="1054">
      <c r="A1054" s="11" t="n">
        <v>1053</v>
      </c>
      <c r="B1054" s="12" t="n">
        <v>46107</v>
      </c>
      <c r="C1054" s="11" t="inlineStr">
        <is>
          <t>INTF</t>
        </is>
      </c>
      <c r="D1054" s="11" t="inlineStr">
        <is>
          <t>202603</t>
        </is>
      </c>
      <c r="E1054" s="11" t="inlineStr">
        <is>
          <t>1123323576</t>
        </is>
      </c>
      <c r="F1054" s="11" t="inlineStr">
        <is>
          <t>ARBOLEDA CIFUENTES</t>
        </is>
      </c>
      <c r="G1054" s="11" t="inlineStr"/>
      <c r="H1054" s="11" t="inlineStr">
        <is>
          <t>INTERFACE P.O.S.</t>
        </is>
      </c>
      <c r="I1054" s="11" t="n">
        <v>51200</v>
      </c>
      <c r="J1054" s="11" t="inlineStr"/>
    </row>
    <row r="1055">
      <c r="A1055" s="11" t="n">
        <v>1054</v>
      </c>
      <c r="B1055" s="12" t="n">
        <v>46107</v>
      </c>
      <c r="C1055" s="11" t="inlineStr">
        <is>
          <t>INTF</t>
        </is>
      </c>
      <c r="D1055" s="11" t="inlineStr">
        <is>
          <t>202603</t>
        </is>
      </c>
      <c r="E1055" s="11" t="inlineStr">
        <is>
          <t>1123333960</t>
        </is>
      </c>
      <c r="F1055" s="11" t="inlineStr">
        <is>
          <t>CUASANCHIR ROSERO</t>
        </is>
      </c>
      <c r="G1055" s="11" t="inlineStr"/>
      <c r="H1055" s="11" t="inlineStr">
        <is>
          <t>INTERFACE P.O.S.</t>
        </is>
      </c>
      <c r="I1055" s="11" t="n">
        <v>43200</v>
      </c>
      <c r="J1055" s="11" t="inlineStr"/>
    </row>
    <row r="1056">
      <c r="A1056" s="11" t="n">
        <v>1055</v>
      </c>
      <c r="B1056" s="12" t="n">
        <v>46107</v>
      </c>
      <c r="C1056" s="11" t="inlineStr">
        <is>
          <t>INTF</t>
        </is>
      </c>
      <c r="D1056" s="11" t="inlineStr">
        <is>
          <t>202603</t>
        </is>
      </c>
      <c r="E1056" s="11" t="inlineStr">
        <is>
          <t>1124863935</t>
        </is>
      </c>
      <c r="F1056" s="11" t="inlineStr">
        <is>
          <t>RIVERA REVELO YESICA</t>
        </is>
      </c>
      <c r="G1056" s="11" t="inlineStr"/>
      <c r="H1056" s="11" t="inlineStr">
        <is>
          <t>INTERFACE P.O.S.</t>
        </is>
      </c>
      <c r="I1056" s="11" t="n">
        <v>35000</v>
      </c>
      <c r="J1056" s="11" t="inlineStr"/>
    </row>
    <row r="1057">
      <c r="A1057" s="11" t="n">
        <v>1056</v>
      </c>
      <c r="B1057" s="12" t="n">
        <v>46108</v>
      </c>
      <c r="C1057" s="11" t="inlineStr">
        <is>
          <t>INTF</t>
        </is>
      </c>
      <c r="D1057" s="11" t="inlineStr">
        <is>
          <t>202603</t>
        </is>
      </c>
      <c r="E1057" s="11" t="inlineStr">
        <is>
          <t>66956077</t>
        </is>
      </c>
      <c r="F1057" s="11" t="inlineStr">
        <is>
          <t>VARGAS GAMBOA DOLY</t>
        </is>
      </c>
      <c r="G1057" s="11" t="inlineStr"/>
      <c r="H1057" s="11" t="inlineStr">
        <is>
          <t>INTERFACE P.O.S.</t>
        </is>
      </c>
      <c r="I1057" s="11" t="n">
        <v>33200</v>
      </c>
      <c r="J1057" s="11" t="inlineStr"/>
    </row>
    <row r="1058">
      <c r="A1058" s="11" t="n">
        <v>1057</v>
      </c>
      <c r="B1058" s="12" t="n">
        <v>46108</v>
      </c>
      <c r="C1058" s="11" t="inlineStr">
        <is>
          <t>INTF</t>
        </is>
      </c>
      <c r="D1058" s="11" t="inlineStr">
        <is>
          <t>202603</t>
        </is>
      </c>
      <c r="E1058" s="11" t="inlineStr">
        <is>
          <t>1123323769</t>
        </is>
      </c>
      <c r="F1058" s="11" t="inlineStr">
        <is>
          <t>CORDERO CORREA DIANA</t>
        </is>
      </c>
      <c r="G1058" s="11" t="inlineStr"/>
      <c r="H1058" s="11" t="inlineStr">
        <is>
          <t>INTERFACE P.O.S.</t>
        </is>
      </c>
      <c r="I1058" s="11" t="n">
        <v>51200</v>
      </c>
      <c r="J1058" s="11" t="inlineStr"/>
    </row>
    <row r="1059">
      <c r="A1059" s="11" t="n">
        <v>1058</v>
      </c>
      <c r="B1059" s="12" t="n">
        <v>46108</v>
      </c>
      <c r="C1059" s="11" t="inlineStr">
        <is>
          <t>INTF</t>
        </is>
      </c>
      <c r="D1059" s="11" t="inlineStr">
        <is>
          <t>202603</t>
        </is>
      </c>
      <c r="E1059" s="11" t="inlineStr">
        <is>
          <t>41117434</t>
        </is>
      </c>
      <c r="F1059" s="11" t="inlineStr">
        <is>
          <t>ARMERO RODRIGUEZ MAR</t>
        </is>
      </c>
      <c r="G1059" s="11" t="inlineStr"/>
      <c r="H1059" s="11" t="inlineStr">
        <is>
          <t>INTERFACE P.O.S.</t>
        </is>
      </c>
      <c r="I1059" s="11" t="n">
        <v>18800</v>
      </c>
      <c r="J1059" s="11" t="inlineStr"/>
    </row>
    <row r="1060">
      <c r="A1060" s="11" t="n">
        <v>1059</v>
      </c>
      <c r="B1060" s="12" t="n">
        <v>46108</v>
      </c>
      <c r="C1060" s="11" t="inlineStr">
        <is>
          <t>INTF</t>
        </is>
      </c>
      <c r="D1060" s="11" t="inlineStr">
        <is>
          <t>202603</t>
        </is>
      </c>
      <c r="E1060" s="11" t="inlineStr">
        <is>
          <t>1115943396</t>
        </is>
      </c>
      <c r="F1060" s="11" t="inlineStr">
        <is>
          <t>FRANCO RUBIANO AZUCE</t>
        </is>
      </c>
      <c r="G1060" s="11" t="inlineStr"/>
      <c r="H1060" s="11" t="inlineStr">
        <is>
          <t>INTERFACE P.O.S.</t>
        </is>
      </c>
      <c r="I1060" s="11" t="n">
        <v>12800</v>
      </c>
      <c r="J1060" s="11" t="inlineStr"/>
    </row>
    <row r="1061">
      <c r="A1061" s="11" t="n">
        <v>1060</v>
      </c>
      <c r="B1061" s="12" t="n">
        <v>46108</v>
      </c>
      <c r="C1061" s="11" t="inlineStr">
        <is>
          <t>INTF</t>
        </is>
      </c>
      <c r="D1061" s="11" t="inlineStr">
        <is>
          <t>202603</t>
        </is>
      </c>
      <c r="E1061" s="11" t="inlineStr">
        <is>
          <t>1130144217</t>
        </is>
      </c>
      <c r="F1061" s="11" t="inlineStr">
        <is>
          <t>FAJARDO GUERRA MACYI</t>
        </is>
      </c>
      <c r="G1061" s="11" t="inlineStr"/>
      <c r="H1061" s="11" t="inlineStr">
        <is>
          <t>INTERFACE P.O.S.</t>
        </is>
      </c>
      <c r="I1061" s="11" t="n">
        <v>16500</v>
      </c>
      <c r="J1061" s="11" t="inlineStr"/>
    </row>
    <row r="1062">
      <c r="A1062" s="11" t="n">
        <v>1061</v>
      </c>
      <c r="B1062" s="12" t="n">
        <v>46108</v>
      </c>
      <c r="C1062" s="11" t="inlineStr">
        <is>
          <t>INTF</t>
        </is>
      </c>
      <c r="D1062" s="11" t="inlineStr">
        <is>
          <t>202603</t>
        </is>
      </c>
      <c r="E1062" s="11" t="inlineStr">
        <is>
          <t>1123322642</t>
        </is>
      </c>
      <c r="F1062" s="11" t="inlineStr">
        <is>
          <t>DIAZ ZANDOBAL CLAUDI</t>
        </is>
      </c>
      <c r="G1062" s="11" t="inlineStr"/>
      <c r="H1062" s="11" t="inlineStr">
        <is>
          <t>INTERFACE P.O.S.</t>
        </is>
      </c>
      <c r="I1062" s="11" t="n">
        <v>13200</v>
      </c>
      <c r="J1062" s="11" t="inlineStr"/>
    </row>
    <row r="1063">
      <c r="A1063" s="11" t="n">
        <v>1062</v>
      </c>
      <c r="B1063" s="12" t="n">
        <v>46108</v>
      </c>
      <c r="C1063" s="11" t="inlineStr">
        <is>
          <t>INTF</t>
        </is>
      </c>
      <c r="D1063" s="11" t="inlineStr">
        <is>
          <t>202603</t>
        </is>
      </c>
      <c r="E1063" s="11" t="inlineStr">
        <is>
          <t>1126448969</t>
        </is>
      </c>
      <c r="F1063" s="11" t="inlineStr">
        <is>
          <t>CABRERA CADENA ANGEL</t>
        </is>
      </c>
      <c r="G1063" s="11" t="inlineStr"/>
      <c r="H1063" s="11" t="inlineStr">
        <is>
          <t>INTERFACE P.O.S.</t>
        </is>
      </c>
      <c r="I1063" s="11" t="n">
        <v>37000</v>
      </c>
      <c r="J1063" s="11" t="inlineStr"/>
    </row>
    <row r="1064">
      <c r="A1064" s="11" t="n">
        <v>1063</v>
      </c>
      <c r="B1064" s="12" t="n">
        <v>46108</v>
      </c>
      <c r="C1064" s="11" t="inlineStr">
        <is>
          <t>INTF</t>
        </is>
      </c>
      <c r="D1064" s="11" t="inlineStr">
        <is>
          <t>202603</t>
        </is>
      </c>
      <c r="E1064" s="11" t="inlineStr">
        <is>
          <t>1006846866</t>
        </is>
      </c>
      <c r="F1064" s="11" t="inlineStr">
        <is>
          <t>CANGREJO DIAZ KAREN</t>
        </is>
      </c>
      <c r="G1064" s="11" t="inlineStr"/>
      <c r="H1064" s="11" t="inlineStr">
        <is>
          <t>INTERFACE P.O.S.</t>
        </is>
      </c>
      <c r="I1064" s="11" t="n">
        <v>13200</v>
      </c>
      <c r="J1064" s="11" t="inlineStr"/>
    </row>
    <row r="1065">
      <c r="A1065" s="11" t="n">
        <v>1064</v>
      </c>
      <c r="B1065" s="12" t="n">
        <v>46108</v>
      </c>
      <c r="C1065" s="11" t="inlineStr">
        <is>
          <t>INTF</t>
        </is>
      </c>
      <c r="D1065" s="11" t="inlineStr">
        <is>
          <t>202603</t>
        </is>
      </c>
      <c r="E1065" s="11" t="inlineStr">
        <is>
          <t>1124861369</t>
        </is>
      </c>
      <c r="F1065" s="11" t="inlineStr">
        <is>
          <t>BURBANO OSSA MONICA</t>
        </is>
      </c>
      <c r="G1065" s="11" t="inlineStr"/>
      <c r="H1065" s="11" t="inlineStr">
        <is>
          <t>INTERFACE P.O.S.</t>
        </is>
      </c>
      <c r="I1065" s="11" t="n">
        <v>50600</v>
      </c>
      <c r="J1065" s="11" t="inlineStr"/>
    </row>
    <row r="1066">
      <c r="A1066" s="11" t="n">
        <v>1065</v>
      </c>
      <c r="B1066" s="12" t="n">
        <v>46108</v>
      </c>
      <c r="C1066" s="11" t="inlineStr">
        <is>
          <t>INTF</t>
        </is>
      </c>
      <c r="D1066" s="11" t="inlineStr">
        <is>
          <t>202603</t>
        </is>
      </c>
      <c r="E1066" s="11" t="inlineStr">
        <is>
          <t>41108099</t>
        </is>
      </c>
      <c r="F1066" s="11" t="inlineStr">
        <is>
          <t>BURBANO GARCIA DORA</t>
        </is>
      </c>
      <c r="G1066" s="11" t="inlineStr"/>
      <c r="H1066" s="11" t="inlineStr">
        <is>
          <t>INTERFACE P.O.S.</t>
        </is>
      </c>
      <c r="I1066" s="11" t="n">
        <v>9400</v>
      </c>
      <c r="J1066" s="11" t="inlineStr"/>
    </row>
    <row r="1067">
      <c r="A1067" s="11" t="n">
        <v>1066</v>
      </c>
      <c r="B1067" s="12" t="n">
        <v>46108</v>
      </c>
      <c r="C1067" s="11" t="inlineStr">
        <is>
          <t>INTF</t>
        </is>
      </c>
      <c r="D1067" s="11" t="inlineStr">
        <is>
          <t>202603</t>
        </is>
      </c>
      <c r="E1067" s="11" t="inlineStr">
        <is>
          <t>63367669</t>
        </is>
      </c>
      <c r="F1067" s="11" t="inlineStr">
        <is>
          <t>PEREZ BECERRA PATRIC</t>
        </is>
      </c>
      <c r="G1067" s="11" t="inlineStr"/>
      <c r="H1067" s="11" t="inlineStr">
        <is>
          <t>INTERFACE P.O.S.</t>
        </is>
      </c>
      <c r="I1067" s="11" t="n">
        <v>11100</v>
      </c>
      <c r="J1067" s="11" t="inlineStr"/>
    </row>
    <row r="1068">
      <c r="A1068" s="11" t="n">
        <v>1067</v>
      </c>
      <c r="B1068" s="12" t="n">
        <v>46108</v>
      </c>
      <c r="C1068" s="11" t="inlineStr">
        <is>
          <t>INTF</t>
        </is>
      </c>
      <c r="D1068" s="11" t="inlineStr">
        <is>
          <t>202603</t>
        </is>
      </c>
      <c r="E1068" s="11" t="inlineStr">
        <is>
          <t>1123334440</t>
        </is>
      </c>
      <c r="F1068" s="11" t="inlineStr">
        <is>
          <t>POTOSI CADENA SANDRA</t>
        </is>
      </c>
      <c r="G1068" s="11" t="inlineStr"/>
      <c r="H1068" s="11" t="inlineStr">
        <is>
          <t>INTERFACE P.O.S.</t>
        </is>
      </c>
      <c r="I1068" s="11" t="n">
        <v>29100</v>
      </c>
      <c r="J1068" s="11" t="inlineStr"/>
    </row>
    <row r="1069">
      <c r="A1069" s="11" t="n">
        <v>1068</v>
      </c>
      <c r="B1069" s="12" t="n">
        <v>46108</v>
      </c>
      <c r="C1069" s="11" t="inlineStr">
        <is>
          <t>INTF</t>
        </is>
      </c>
      <c r="D1069" s="11" t="inlineStr">
        <is>
          <t>202603</t>
        </is>
      </c>
      <c r="E1069" s="11" t="inlineStr">
        <is>
          <t>1006848854</t>
        </is>
      </c>
      <c r="F1069" s="11" t="inlineStr">
        <is>
          <t>BRAVO ZUÑIGA NAHOMY</t>
        </is>
      </c>
      <c r="G1069" s="11" t="inlineStr"/>
      <c r="H1069" s="11" t="inlineStr">
        <is>
          <t>INTERFACE P.O.S.</t>
        </is>
      </c>
      <c r="I1069" s="11" t="n">
        <v>9100</v>
      </c>
      <c r="J1069" s="11" t="inlineStr"/>
    </row>
    <row r="1070">
      <c r="A1070" s="11" t="n">
        <v>1069</v>
      </c>
      <c r="B1070" s="12" t="n">
        <v>46108</v>
      </c>
      <c r="C1070" s="11" t="inlineStr">
        <is>
          <t>INTF</t>
        </is>
      </c>
      <c r="D1070" s="11" t="inlineStr">
        <is>
          <t>202603</t>
        </is>
      </c>
      <c r="E1070" s="11" t="inlineStr">
        <is>
          <t>1233189644</t>
        </is>
      </c>
      <c r="F1070" s="11" t="inlineStr">
        <is>
          <t>GUERRERO JURADO JHON</t>
        </is>
      </c>
      <c r="G1070" s="11" t="inlineStr"/>
      <c r="H1070" s="11" t="inlineStr">
        <is>
          <t>INTERFACE P.O.S.</t>
        </is>
      </c>
      <c r="I1070" s="11" t="n">
        <v>71200</v>
      </c>
      <c r="J1070" s="11" t="inlineStr"/>
    </row>
    <row r="1071">
      <c r="A1071" s="11" t="n">
        <v>1070</v>
      </c>
      <c r="B1071" s="12" t="n">
        <v>46108</v>
      </c>
      <c r="C1071" s="11" t="inlineStr">
        <is>
          <t>INTF</t>
        </is>
      </c>
      <c r="D1071" s="11" t="inlineStr">
        <is>
          <t>202603</t>
        </is>
      </c>
      <c r="E1071" s="11" t="inlineStr">
        <is>
          <t>1006849723</t>
        </is>
      </c>
      <c r="F1071" s="11" t="inlineStr">
        <is>
          <t>GUANGA TIMARAN KEVIN</t>
        </is>
      </c>
      <c r="G1071" s="11" t="inlineStr"/>
      <c r="H1071" s="11" t="inlineStr">
        <is>
          <t>INTERFACE P.O.S.</t>
        </is>
      </c>
      <c r="I1071" s="11" t="n">
        <v>20300</v>
      </c>
      <c r="J1071" s="11" t="inlineStr"/>
    </row>
    <row r="1072">
      <c r="A1072" s="11" t="n">
        <v>1071</v>
      </c>
      <c r="B1072" s="12" t="n">
        <v>46108</v>
      </c>
      <c r="C1072" s="11" t="inlineStr">
        <is>
          <t>INTF</t>
        </is>
      </c>
      <c r="D1072" s="11" t="inlineStr">
        <is>
          <t>202603</t>
        </is>
      </c>
      <c r="E1072" s="11" t="inlineStr">
        <is>
          <t>1123322938</t>
        </is>
      </c>
      <c r="F1072" s="11" t="inlineStr">
        <is>
          <t>JOSA ROSALES YURY YO</t>
        </is>
      </c>
      <c r="G1072" s="11" t="inlineStr"/>
      <c r="H1072" s="11" t="inlineStr">
        <is>
          <t>INTERFACE P.O.S.</t>
        </is>
      </c>
      <c r="I1072" s="11" t="n">
        <v>22300</v>
      </c>
      <c r="J1072" s="11" t="inlineStr"/>
    </row>
    <row r="1073">
      <c r="A1073" s="11" t="n">
        <v>1072</v>
      </c>
      <c r="B1073" s="12" t="n">
        <v>46108</v>
      </c>
      <c r="C1073" s="11" t="inlineStr">
        <is>
          <t>INTF</t>
        </is>
      </c>
      <c r="D1073" s="11" t="inlineStr">
        <is>
          <t>202603</t>
        </is>
      </c>
      <c r="E1073" s="11" t="inlineStr">
        <is>
          <t>1123322168</t>
        </is>
      </c>
      <c r="F1073" s="11" t="inlineStr">
        <is>
          <t>MUÑOZ PIPICANO JAMES</t>
        </is>
      </c>
      <c r="G1073" s="11" t="inlineStr"/>
      <c r="H1073" s="11" t="inlineStr">
        <is>
          <t>INTERFACE P.O.S.</t>
        </is>
      </c>
      <c r="I1073" s="11" t="n">
        <v>10000</v>
      </c>
      <c r="J1073" s="11" t="inlineStr"/>
    </row>
    <row r="1074">
      <c r="A1074" s="11" t="n">
        <v>1073</v>
      </c>
      <c r="B1074" s="12" t="n">
        <v>46108</v>
      </c>
      <c r="C1074" s="11" t="inlineStr">
        <is>
          <t>INTF</t>
        </is>
      </c>
      <c r="D1074" s="11" t="inlineStr">
        <is>
          <t>202603</t>
        </is>
      </c>
      <c r="E1074" s="11" t="inlineStr">
        <is>
          <t>1086300202</t>
        </is>
      </c>
      <c r="F1074" s="11" t="inlineStr">
        <is>
          <t>REALPE DAZA YIBI JHA</t>
        </is>
      </c>
      <c r="G1074" s="11" t="inlineStr"/>
      <c r="H1074" s="11" t="inlineStr">
        <is>
          <t>INTERFACE P.O.S.</t>
        </is>
      </c>
      <c r="I1074" s="11" t="n">
        <v>68000</v>
      </c>
      <c r="J1074" s="11" t="inlineStr"/>
    </row>
    <row r="1075">
      <c r="A1075" s="11" t="n">
        <v>1074</v>
      </c>
      <c r="B1075" s="12" t="n">
        <v>46108</v>
      </c>
      <c r="C1075" s="11" t="inlineStr">
        <is>
          <t>INTF</t>
        </is>
      </c>
      <c r="D1075" s="11" t="inlineStr">
        <is>
          <t>202603</t>
        </is>
      </c>
      <c r="E1075" s="11" t="inlineStr">
        <is>
          <t>1102801115</t>
        </is>
      </c>
      <c r="F1075" s="11" t="inlineStr">
        <is>
          <t>MENDEZ VELASQUEZ DIN</t>
        </is>
      </c>
      <c r="G1075" s="11" t="inlineStr"/>
      <c r="H1075" s="11" t="inlineStr">
        <is>
          <t>INTERFACE P.O.S.</t>
        </is>
      </c>
      <c r="I1075" s="11" t="n">
        <v>13400</v>
      </c>
      <c r="J1075" s="11" t="inlineStr"/>
    </row>
    <row r="1076">
      <c r="A1076" s="11" t="n">
        <v>1075</v>
      </c>
      <c r="B1076" s="12" t="n">
        <v>46108</v>
      </c>
      <c r="C1076" s="11" t="inlineStr">
        <is>
          <t>INTF</t>
        </is>
      </c>
      <c r="D1076" s="11" t="inlineStr">
        <is>
          <t>202603</t>
        </is>
      </c>
      <c r="E1076" s="11" t="inlineStr">
        <is>
          <t>1123332637</t>
        </is>
      </c>
      <c r="F1076" s="11" t="inlineStr">
        <is>
          <t>ARAGON FRANCO HUGO G</t>
        </is>
      </c>
      <c r="G1076" s="11" t="inlineStr"/>
      <c r="H1076" s="11" t="inlineStr">
        <is>
          <t>INTERFACE P.O.S.</t>
        </is>
      </c>
      <c r="I1076" s="11" t="n">
        <v>12600</v>
      </c>
      <c r="J1076" s="11" t="inlineStr"/>
    </row>
    <row r="1077">
      <c r="A1077" s="11" t="n">
        <v>1076</v>
      </c>
      <c r="B1077" s="12" t="n">
        <v>46108</v>
      </c>
      <c r="C1077" s="11" t="inlineStr">
        <is>
          <t>INTF</t>
        </is>
      </c>
      <c r="D1077" s="11" t="inlineStr">
        <is>
          <t>202603</t>
        </is>
      </c>
      <c r="E1077" s="11" t="inlineStr">
        <is>
          <t>1085282128</t>
        </is>
      </c>
      <c r="F1077" s="11" t="inlineStr">
        <is>
          <t>CHANA POTOSI EDISSON</t>
        </is>
      </c>
      <c r="G1077" s="11" t="inlineStr"/>
      <c r="H1077" s="11" t="inlineStr">
        <is>
          <t>INTERFACE P.O.S.</t>
        </is>
      </c>
      <c r="I1077" s="11" t="n">
        <v>8900</v>
      </c>
      <c r="J1077" s="11" t="inlineStr"/>
    </row>
    <row r="1078">
      <c r="A1078" s="11" t="n">
        <v>1077</v>
      </c>
      <c r="B1078" s="12" t="n">
        <v>46108</v>
      </c>
      <c r="C1078" s="11" t="inlineStr">
        <is>
          <t>INTF</t>
        </is>
      </c>
      <c r="D1078" s="11" t="inlineStr">
        <is>
          <t>202603</t>
        </is>
      </c>
      <c r="E1078" s="11" t="inlineStr">
        <is>
          <t>1193121849</t>
        </is>
      </c>
      <c r="F1078" s="11" t="inlineStr">
        <is>
          <t>VEGA PAI CRISTIAN HE</t>
        </is>
      </c>
      <c r="G1078" s="11" t="inlineStr"/>
      <c r="H1078" s="11" t="inlineStr">
        <is>
          <t>INTERFACE P.O.S.</t>
        </is>
      </c>
      <c r="I1078" s="11" t="n">
        <v>29800</v>
      </c>
      <c r="J1078" s="11" t="inlineStr"/>
    </row>
    <row r="1079">
      <c r="A1079" s="11" t="n">
        <v>1078</v>
      </c>
      <c r="B1079" s="12" t="n">
        <v>46108</v>
      </c>
      <c r="C1079" s="11" t="inlineStr">
        <is>
          <t>INTF</t>
        </is>
      </c>
      <c r="D1079" s="11" t="inlineStr">
        <is>
          <t>202603</t>
        </is>
      </c>
      <c r="E1079" s="11" t="inlineStr">
        <is>
          <t>1007659370</t>
        </is>
      </c>
      <c r="F1079" s="11" t="inlineStr">
        <is>
          <t>ROSALES JOJOA ERIKA</t>
        </is>
      </c>
      <c r="G1079" s="11" t="inlineStr"/>
      <c r="H1079" s="11" t="inlineStr">
        <is>
          <t>INTERFACE P.O.S.</t>
        </is>
      </c>
      <c r="I1079" s="11" t="n">
        <v>400</v>
      </c>
      <c r="J1079" s="11" t="inlineStr"/>
    </row>
    <row r="1080">
      <c r="A1080" s="11" t="n">
        <v>1079</v>
      </c>
      <c r="B1080" s="12" t="n">
        <v>46108</v>
      </c>
      <c r="C1080" s="11" t="inlineStr">
        <is>
          <t>INTF</t>
        </is>
      </c>
      <c r="D1080" s="11" t="inlineStr">
        <is>
          <t>202603</t>
        </is>
      </c>
      <c r="E1080" s="11" t="inlineStr">
        <is>
          <t>1083905135</t>
        </is>
      </c>
      <c r="F1080" s="11" t="inlineStr">
        <is>
          <t>CHAMORRO GARCIA JEIS</t>
        </is>
      </c>
      <c r="G1080" s="11" t="inlineStr"/>
      <c r="H1080" s="11" t="inlineStr">
        <is>
          <t>INTERFACE P.O.S.</t>
        </is>
      </c>
      <c r="I1080" s="11" t="n">
        <v>37000</v>
      </c>
      <c r="J1080" s="11" t="inlineStr"/>
    </row>
    <row r="1081">
      <c r="A1081" s="11" t="n">
        <v>1080</v>
      </c>
      <c r="B1081" s="12" t="n">
        <v>46108</v>
      </c>
      <c r="C1081" s="11" t="inlineStr">
        <is>
          <t>INTF</t>
        </is>
      </c>
      <c r="D1081" s="11" t="inlineStr">
        <is>
          <t>202603</t>
        </is>
      </c>
      <c r="E1081" s="11" t="inlineStr">
        <is>
          <t>1130144391</t>
        </is>
      </c>
      <c r="F1081" s="11" t="inlineStr">
        <is>
          <t>ZAMBRANO RIVERA JUAN</t>
        </is>
      </c>
      <c r="G1081" s="11" t="inlineStr"/>
      <c r="H1081" s="11" t="inlineStr">
        <is>
          <t>INTERFACE P.O.S.</t>
        </is>
      </c>
      <c r="I1081" s="11" t="n">
        <v>16900</v>
      </c>
      <c r="J1081" s="11" t="inlineStr"/>
    </row>
    <row r="1082">
      <c r="A1082" s="11" t="n">
        <v>1081</v>
      </c>
      <c r="B1082" s="12" t="n">
        <v>46108</v>
      </c>
      <c r="C1082" s="11" t="inlineStr">
        <is>
          <t>INTF</t>
        </is>
      </c>
      <c r="D1082" s="11" t="inlineStr">
        <is>
          <t>202603</t>
        </is>
      </c>
      <c r="E1082" s="11" t="inlineStr">
        <is>
          <t>1127073872</t>
        </is>
      </c>
      <c r="F1082" s="11" t="inlineStr">
        <is>
          <t>QUIÑONEZ RODRIGUES E</t>
        </is>
      </c>
      <c r="G1082" s="11" t="inlineStr"/>
      <c r="H1082" s="11" t="inlineStr">
        <is>
          <t>INTERFACE P.O.S.</t>
        </is>
      </c>
      <c r="I1082" s="11" t="n">
        <v>10200</v>
      </c>
      <c r="J1082" s="11" t="inlineStr"/>
    </row>
    <row r="1083">
      <c r="A1083" s="11" t="n">
        <v>1082</v>
      </c>
      <c r="B1083" s="12" t="n">
        <v>46108</v>
      </c>
      <c r="C1083" s="11" t="inlineStr">
        <is>
          <t>INTF</t>
        </is>
      </c>
      <c r="D1083" s="11" t="inlineStr">
        <is>
          <t>202603</t>
        </is>
      </c>
      <c r="E1083" s="11" t="inlineStr">
        <is>
          <t>1004516578</t>
        </is>
      </c>
      <c r="F1083" s="11" t="inlineStr">
        <is>
          <t>CUACIALPUD CADENA DA</t>
        </is>
      </c>
      <c r="G1083" s="11" t="inlineStr"/>
      <c r="H1083" s="11" t="inlineStr">
        <is>
          <t>INTERFACE P.O.S.</t>
        </is>
      </c>
      <c r="I1083" s="11" t="n">
        <v>12500</v>
      </c>
      <c r="J1083" s="11" t="inlineStr"/>
    </row>
    <row r="1084">
      <c r="A1084" s="11" t="n">
        <v>1083</v>
      </c>
      <c r="B1084" s="12" t="n">
        <v>46108</v>
      </c>
      <c r="C1084" s="11" t="inlineStr">
        <is>
          <t>INTF</t>
        </is>
      </c>
      <c r="D1084" s="11" t="inlineStr">
        <is>
          <t>202603</t>
        </is>
      </c>
      <c r="E1084" s="11" t="inlineStr">
        <is>
          <t>1123328240</t>
        </is>
      </c>
      <c r="F1084" s="11" t="inlineStr">
        <is>
          <t>MUÑOS ARIAS ERICA</t>
        </is>
      </c>
      <c r="G1084" s="11" t="inlineStr"/>
      <c r="H1084" s="11" t="inlineStr">
        <is>
          <t>INTERFACE P.O.S.</t>
        </is>
      </c>
      <c r="I1084" s="11" t="n">
        <v>32800</v>
      </c>
      <c r="J1084" s="11" t="inlineStr"/>
    </row>
    <row r="1085">
      <c r="A1085" s="11" t="n">
        <v>1084</v>
      </c>
      <c r="B1085" s="12" t="n">
        <v>46108</v>
      </c>
      <c r="C1085" s="11" t="inlineStr">
        <is>
          <t>INTF</t>
        </is>
      </c>
      <c r="D1085" s="11" t="inlineStr">
        <is>
          <t>202603</t>
        </is>
      </c>
      <c r="E1085" s="11" t="inlineStr">
        <is>
          <t>1123328605</t>
        </is>
      </c>
      <c r="F1085" s="11" t="inlineStr">
        <is>
          <t>MARROQUIN IMBACHI</t>
        </is>
      </c>
      <c r="G1085" s="11" t="inlineStr"/>
      <c r="H1085" s="11" t="inlineStr">
        <is>
          <t>INTERFACE P.O.S.</t>
        </is>
      </c>
      <c r="I1085" s="11" t="n">
        <v>18800</v>
      </c>
      <c r="J1085" s="11" t="inlineStr"/>
    </row>
    <row r="1086">
      <c r="A1086" s="11" t="n">
        <v>1085</v>
      </c>
      <c r="B1086" s="12" t="n">
        <v>46108</v>
      </c>
      <c r="C1086" s="11" t="inlineStr">
        <is>
          <t>INTF</t>
        </is>
      </c>
      <c r="D1086" s="11" t="inlineStr">
        <is>
          <t>202603</t>
        </is>
      </c>
      <c r="E1086" s="11" t="inlineStr">
        <is>
          <t>1123327778</t>
        </is>
      </c>
      <c r="F1086" s="11" t="inlineStr">
        <is>
          <t>ENRIQUEZ ANDERSON</t>
        </is>
      </c>
      <c r="G1086" s="11" t="inlineStr"/>
      <c r="H1086" s="11" t="inlineStr">
        <is>
          <t>INTERFACE P.O.S.</t>
        </is>
      </c>
      <c r="I1086" s="11" t="n">
        <v>7200</v>
      </c>
      <c r="J1086" s="11" t="inlineStr"/>
    </row>
    <row r="1087">
      <c r="A1087" s="11" t="n">
        <v>1086</v>
      </c>
      <c r="B1087" s="12" t="n">
        <v>46108</v>
      </c>
      <c r="C1087" s="11" t="inlineStr">
        <is>
          <t>INTF</t>
        </is>
      </c>
      <c r="D1087" s="11" t="inlineStr">
        <is>
          <t>202603</t>
        </is>
      </c>
      <c r="E1087" s="11" t="inlineStr">
        <is>
          <t>41106947</t>
        </is>
      </c>
      <c r="F1087" s="11" t="inlineStr">
        <is>
          <t>ALVAREZ MELO ANA DEL</t>
        </is>
      </c>
      <c r="G1087" s="11" t="inlineStr"/>
      <c r="H1087" s="11" t="inlineStr">
        <is>
          <t>INTERFACE P.O.S.</t>
        </is>
      </c>
      <c r="I1087" s="11" t="n">
        <v>9400</v>
      </c>
      <c r="J1087" s="11" t="inlineStr"/>
    </row>
    <row r="1088">
      <c r="A1088" s="11" t="n">
        <v>1087</v>
      </c>
      <c r="B1088" s="12" t="n">
        <v>46108</v>
      </c>
      <c r="C1088" s="11" t="inlineStr">
        <is>
          <t>INTF</t>
        </is>
      </c>
      <c r="D1088" s="11" t="inlineStr">
        <is>
          <t>202603</t>
        </is>
      </c>
      <c r="E1088" s="11" t="inlineStr">
        <is>
          <t>1023888740</t>
        </is>
      </c>
      <c r="F1088" s="11" t="inlineStr">
        <is>
          <t>GARZON ROCHA WILSON</t>
        </is>
      </c>
      <c r="G1088" s="11" t="inlineStr"/>
      <c r="H1088" s="11" t="inlineStr">
        <is>
          <t>INTERFACE P.O.S.</t>
        </is>
      </c>
      <c r="I1088" s="11" t="n">
        <v>13000</v>
      </c>
      <c r="J1088" s="11" t="inlineStr"/>
    </row>
    <row r="1089">
      <c r="A1089" s="11" t="n">
        <v>1088</v>
      </c>
      <c r="B1089" s="12" t="n">
        <v>46108</v>
      </c>
      <c r="C1089" s="11" t="inlineStr">
        <is>
          <t>INTF</t>
        </is>
      </c>
      <c r="D1089" s="11" t="inlineStr">
        <is>
          <t>202603</t>
        </is>
      </c>
      <c r="E1089" s="11" t="inlineStr">
        <is>
          <t>1123204262</t>
        </is>
      </c>
      <c r="F1089" s="11" t="inlineStr">
        <is>
          <t>YELA NARVAEZ BRIYITH</t>
        </is>
      </c>
      <c r="G1089" s="11" t="inlineStr"/>
      <c r="H1089" s="11" t="inlineStr">
        <is>
          <t>INTERFACE P.O.S.</t>
        </is>
      </c>
      <c r="I1089" s="11" t="n">
        <v>8600</v>
      </c>
      <c r="J1089" s="11" t="inlineStr"/>
    </row>
    <row r="1090">
      <c r="A1090" s="11" t="n">
        <v>1089</v>
      </c>
      <c r="B1090" s="12" t="n">
        <v>46108</v>
      </c>
      <c r="C1090" s="11" t="inlineStr">
        <is>
          <t>INTF</t>
        </is>
      </c>
      <c r="D1090" s="11" t="inlineStr">
        <is>
          <t>202603</t>
        </is>
      </c>
      <c r="E1090" s="11" t="inlineStr">
        <is>
          <t>1124863935</t>
        </is>
      </c>
      <c r="F1090" s="11" t="inlineStr">
        <is>
          <t>RIVERA REVELO YESICA</t>
        </is>
      </c>
      <c r="G1090" s="11" t="inlineStr"/>
      <c r="H1090" s="11" t="inlineStr">
        <is>
          <t>INTERFACE P.O.S.</t>
        </is>
      </c>
      <c r="I1090" s="11" t="n">
        <v>262700</v>
      </c>
      <c r="J1090" s="11" t="inlineStr"/>
    </row>
    <row r="1091">
      <c r="A1091" s="11" t="n">
        <v>1090</v>
      </c>
      <c r="B1091" s="12" t="n">
        <v>46108</v>
      </c>
      <c r="C1091" s="11" t="inlineStr">
        <is>
          <t>INTF</t>
        </is>
      </c>
      <c r="D1091" s="11" t="inlineStr">
        <is>
          <t>202603</t>
        </is>
      </c>
      <c r="E1091" s="11" t="inlineStr">
        <is>
          <t>1086358352</t>
        </is>
      </c>
      <c r="F1091" s="11" t="inlineStr">
        <is>
          <t>ROSERO LUNA JENIF</t>
        </is>
      </c>
      <c r="G1091" s="11" t="inlineStr"/>
      <c r="H1091" s="11" t="inlineStr">
        <is>
          <t>INTERFACE P.O.S.</t>
        </is>
      </c>
      <c r="I1091" s="11" t="n">
        <v>18800</v>
      </c>
      <c r="J1091" s="11" t="inlineStr"/>
    </row>
    <row r="1092">
      <c r="A1092" s="11" t="n">
        <v>1091</v>
      </c>
      <c r="B1092" s="12" t="n">
        <v>46108</v>
      </c>
      <c r="C1092" s="11" t="inlineStr">
        <is>
          <t>INTF</t>
        </is>
      </c>
      <c r="D1092" s="11" t="inlineStr">
        <is>
          <t>202603</t>
        </is>
      </c>
      <c r="E1092" s="11" t="inlineStr">
        <is>
          <t>1123324193</t>
        </is>
      </c>
      <c r="F1092" s="11" t="inlineStr">
        <is>
          <t>NACEQUIA VELASQUE</t>
        </is>
      </c>
      <c r="G1092" s="11" t="inlineStr"/>
      <c r="H1092" s="11" t="inlineStr">
        <is>
          <t>INTERFACE P.O.S.</t>
        </is>
      </c>
      <c r="I1092" s="11" t="n">
        <v>12300</v>
      </c>
      <c r="J1092" s="11" t="inlineStr"/>
    </row>
    <row r="1093">
      <c r="A1093" s="11" t="n">
        <v>1092</v>
      </c>
      <c r="B1093" s="12" t="n">
        <v>46108</v>
      </c>
      <c r="C1093" s="11" t="inlineStr">
        <is>
          <t>INTF</t>
        </is>
      </c>
      <c r="D1093" s="11" t="inlineStr">
        <is>
          <t>202603</t>
        </is>
      </c>
      <c r="E1093" s="11" t="inlineStr">
        <is>
          <t>1123333701</t>
        </is>
      </c>
      <c r="F1093" s="11" t="inlineStr">
        <is>
          <t>PANTOJA TORO LILIANA</t>
        </is>
      </c>
      <c r="G1093" s="11" t="inlineStr"/>
      <c r="H1093" s="11" t="inlineStr">
        <is>
          <t>INTERFACE P.O.S.</t>
        </is>
      </c>
      <c r="I1093" s="11" t="n">
        <v>30000</v>
      </c>
      <c r="J1093" s="11" t="inlineStr"/>
    </row>
    <row r="1094">
      <c r="A1094" s="11" t="n">
        <v>1093</v>
      </c>
      <c r="B1094" s="12" t="n">
        <v>46108</v>
      </c>
      <c r="C1094" s="11" t="inlineStr">
        <is>
          <t>INTF</t>
        </is>
      </c>
      <c r="D1094" s="11" t="inlineStr">
        <is>
          <t>202603</t>
        </is>
      </c>
      <c r="E1094" s="11" t="inlineStr">
        <is>
          <t>1117493586</t>
        </is>
      </c>
      <c r="F1094" s="11" t="inlineStr">
        <is>
          <t>JURADO GORDON JULIAN</t>
        </is>
      </c>
      <c r="G1094" s="11" t="inlineStr"/>
      <c r="H1094" s="11" t="inlineStr">
        <is>
          <t>INTERFACE P.O.S.</t>
        </is>
      </c>
      <c r="I1094" s="11" t="n">
        <v>23500</v>
      </c>
      <c r="J1094" s="11" t="inlineStr"/>
    </row>
    <row r="1095">
      <c r="A1095" s="11" t="n">
        <v>1094</v>
      </c>
      <c r="B1095" s="12" t="n">
        <v>46108</v>
      </c>
      <c r="C1095" s="11" t="inlineStr">
        <is>
          <t>INTF</t>
        </is>
      </c>
      <c r="D1095" s="11" t="inlineStr">
        <is>
          <t>202603</t>
        </is>
      </c>
      <c r="E1095" s="11" t="inlineStr">
        <is>
          <t>1123327790</t>
        </is>
      </c>
      <c r="F1095" s="11" t="inlineStr">
        <is>
          <t>ESCOBAR CUELTAN ELIA</t>
        </is>
      </c>
      <c r="G1095" s="11" t="inlineStr"/>
      <c r="H1095" s="11" t="inlineStr">
        <is>
          <t>INTERFACE P.O.S.</t>
        </is>
      </c>
      <c r="I1095" s="11" t="n">
        <v>16300</v>
      </c>
      <c r="J1095" s="11" t="inlineStr"/>
    </row>
    <row r="1096">
      <c r="A1096" s="11" t="n">
        <v>1095</v>
      </c>
      <c r="B1096" s="12" t="n">
        <v>46109</v>
      </c>
      <c r="C1096" s="11" t="inlineStr">
        <is>
          <t>CE</t>
        </is>
      </c>
      <c r="D1096" s="11" t="inlineStr">
        <is>
          <t>9472</t>
        </is>
      </c>
      <c r="E1096" s="11" t="inlineStr">
        <is>
          <t>860013771</t>
        </is>
      </c>
      <c r="F1096" s="11" t="inlineStr">
        <is>
          <t>AJOVER DARNEL S.A.S</t>
        </is>
      </c>
      <c r="G1096" s="11" t="inlineStr">
        <is>
          <t>M02267909</t>
        </is>
      </c>
      <c r="H1096" s="11" t="inlineStr">
        <is>
          <t>PF AJOVER</t>
        </is>
      </c>
      <c r="I1096" s="11" t="inlineStr"/>
      <c r="J1096" s="11" t="n">
        <v>4589711</v>
      </c>
    </row>
    <row r="1097">
      <c r="A1097" s="11" t="n">
        <v>1096</v>
      </c>
      <c r="B1097" s="12" t="n">
        <v>46109</v>
      </c>
      <c r="C1097" s="11" t="inlineStr">
        <is>
          <t>INTF</t>
        </is>
      </c>
      <c r="D1097" s="11" t="inlineStr">
        <is>
          <t>202603</t>
        </is>
      </c>
      <c r="E1097" s="11" t="inlineStr">
        <is>
          <t>79841340</t>
        </is>
      </c>
      <c r="F1097" s="11" t="inlineStr">
        <is>
          <t>ERASO CERON EVELIO R</t>
        </is>
      </c>
      <c r="G1097" s="11" t="inlineStr"/>
      <c r="H1097" s="11" t="inlineStr">
        <is>
          <t>INTERFACE P.O.S.</t>
        </is>
      </c>
      <c r="I1097" s="11" t="n">
        <v>53000</v>
      </c>
      <c r="J1097" s="11" t="inlineStr"/>
    </row>
    <row r="1098">
      <c r="A1098" s="11" t="n">
        <v>1097</v>
      </c>
      <c r="B1098" s="12" t="n">
        <v>46109</v>
      </c>
      <c r="C1098" s="11" t="inlineStr">
        <is>
          <t>INTF</t>
        </is>
      </c>
      <c r="D1098" s="11" t="inlineStr">
        <is>
          <t>202603</t>
        </is>
      </c>
      <c r="E1098" s="11" t="inlineStr">
        <is>
          <t>1085907080</t>
        </is>
      </c>
      <c r="F1098" s="11" t="inlineStr">
        <is>
          <t>DIAZ MENESES ANYELA</t>
        </is>
      </c>
      <c r="G1098" s="11" t="inlineStr"/>
      <c r="H1098" s="11" t="inlineStr">
        <is>
          <t>INTERFACE P.O.S.</t>
        </is>
      </c>
      <c r="I1098" s="11" t="n">
        <v>9800</v>
      </c>
      <c r="J1098" s="11" t="inlineStr"/>
    </row>
    <row r="1099">
      <c r="A1099" s="11" t="n">
        <v>1098</v>
      </c>
      <c r="B1099" s="12" t="n">
        <v>46109</v>
      </c>
      <c r="C1099" s="11" t="inlineStr">
        <is>
          <t>INTF</t>
        </is>
      </c>
      <c r="D1099" s="11" t="inlineStr">
        <is>
          <t>202603</t>
        </is>
      </c>
      <c r="E1099" s="11" t="inlineStr">
        <is>
          <t>1086300097</t>
        </is>
      </c>
      <c r="F1099" s="11" t="inlineStr">
        <is>
          <t>QUELAL TORO MARIA JU</t>
        </is>
      </c>
      <c r="G1099" s="11" t="inlineStr"/>
      <c r="H1099" s="11" t="inlineStr">
        <is>
          <t>INTERFACE P.O.S.</t>
        </is>
      </c>
      <c r="I1099" s="11" t="n">
        <v>32200</v>
      </c>
      <c r="J1099" s="11" t="inlineStr"/>
    </row>
    <row r="1100">
      <c r="A1100" s="11" t="n">
        <v>1099</v>
      </c>
      <c r="B1100" s="12" t="n">
        <v>46109</v>
      </c>
      <c r="C1100" s="11" t="inlineStr">
        <is>
          <t>INTF</t>
        </is>
      </c>
      <c r="D1100" s="11" t="inlineStr">
        <is>
          <t>202603</t>
        </is>
      </c>
      <c r="E1100" s="11" t="inlineStr">
        <is>
          <t>16072719</t>
        </is>
      </c>
      <c r="F1100" s="11" t="inlineStr">
        <is>
          <t>FLOREZ LONDOÑO YESID</t>
        </is>
      </c>
      <c r="G1100" s="11" t="inlineStr"/>
      <c r="H1100" s="11" t="inlineStr">
        <is>
          <t>INTERFACE P.O.S.</t>
        </is>
      </c>
      <c r="I1100" s="11" t="n">
        <v>38700</v>
      </c>
      <c r="J1100" s="11" t="inlineStr"/>
    </row>
    <row r="1101">
      <c r="A1101" s="11" t="n">
        <v>1100</v>
      </c>
      <c r="B1101" s="12" t="n">
        <v>46109</v>
      </c>
      <c r="C1101" s="11" t="inlineStr">
        <is>
          <t>INTF</t>
        </is>
      </c>
      <c r="D1101" s="11" t="inlineStr">
        <is>
          <t>202603</t>
        </is>
      </c>
      <c r="E1101" s="11" t="inlineStr">
        <is>
          <t>1073693731</t>
        </is>
      </c>
      <c r="F1101" s="11" t="inlineStr">
        <is>
          <t>NARVAEZ ACOSTA IDALY</t>
        </is>
      </c>
      <c r="G1101" s="11" t="inlineStr"/>
      <c r="H1101" s="11" t="inlineStr">
        <is>
          <t>INTERFACE P.O.S.</t>
        </is>
      </c>
      <c r="I1101" s="11" t="n">
        <v>14900</v>
      </c>
      <c r="J1101" s="11" t="inlineStr"/>
    </row>
    <row r="1102">
      <c r="A1102" s="11" t="n">
        <v>1101</v>
      </c>
      <c r="B1102" s="12" t="n">
        <v>46109</v>
      </c>
      <c r="C1102" s="11" t="inlineStr">
        <is>
          <t>INTF</t>
        </is>
      </c>
      <c r="D1102" s="11" t="inlineStr">
        <is>
          <t>202603</t>
        </is>
      </c>
      <c r="E1102" s="11" t="inlineStr">
        <is>
          <t>1075278733</t>
        </is>
      </c>
      <c r="F1102" s="11" t="inlineStr">
        <is>
          <t>FLOREZ REYES DAYAN L</t>
        </is>
      </c>
      <c r="G1102" s="11" t="inlineStr"/>
      <c r="H1102" s="11" t="inlineStr">
        <is>
          <t>INTERFACE P.O.S.</t>
        </is>
      </c>
      <c r="I1102" s="11" t="n">
        <v>18100</v>
      </c>
      <c r="J1102" s="11" t="inlineStr"/>
    </row>
    <row r="1103">
      <c r="A1103" s="11" t="n">
        <v>1102</v>
      </c>
      <c r="B1103" s="12" t="n">
        <v>46109</v>
      </c>
      <c r="C1103" s="11" t="inlineStr">
        <is>
          <t>INTF</t>
        </is>
      </c>
      <c r="D1103" s="11" t="inlineStr">
        <is>
          <t>202603</t>
        </is>
      </c>
      <c r="E1103" s="11" t="inlineStr">
        <is>
          <t>1123331415</t>
        </is>
      </c>
      <c r="F1103" s="11" t="inlineStr">
        <is>
          <t>CAHUASA ANGULO ISMEN</t>
        </is>
      </c>
      <c r="G1103" s="11" t="inlineStr"/>
      <c r="H1103" s="11" t="inlineStr">
        <is>
          <t>INTERFACE P.O.S.</t>
        </is>
      </c>
      <c r="I1103" s="11" t="n">
        <v>33500</v>
      </c>
      <c r="J1103" s="11" t="inlineStr"/>
    </row>
    <row r="1104">
      <c r="A1104" s="11" t="n">
        <v>1103</v>
      </c>
      <c r="B1104" s="12" t="n">
        <v>46109</v>
      </c>
      <c r="C1104" s="11" t="inlineStr">
        <is>
          <t>INTF</t>
        </is>
      </c>
      <c r="D1104" s="11" t="inlineStr">
        <is>
          <t>202603</t>
        </is>
      </c>
      <c r="E1104" s="11" t="inlineStr">
        <is>
          <t>1140879841</t>
        </is>
      </c>
      <c r="F1104" s="11" t="inlineStr">
        <is>
          <t>HERNANDEZ DIAZ BRIGE</t>
        </is>
      </c>
      <c r="G1104" s="11" t="inlineStr"/>
      <c r="H1104" s="11" t="inlineStr">
        <is>
          <t>INTERFACE P.O.S.</t>
        </is>
      </c>
      <c r="I1104" s="11" t="n">
        <v>91100</v>
      </c>
      <c r="J1104" s="11" t="inlineStr"/>
    </row>
    <row r="1105">
      <c r="A1105" s="11" t="n">
        <v>1104</v>
      </c>
      <c r="B1105" s="12" t="n">
        <v>46109</v>
      </c>
      <c r="C1105" s="11" t="inlineStr">
        <is>
          <t>INTF</t>
        </is>
      </c>
      <c r="D1105" s="11" t="inlineStr">
        <is>
          <t>202603</t>
        </is>
      </c>
      <c r="E1105" s="11" t="inlineStr">
        <is>
          <t>1117552526</t>
        </is>
      </c>
      <c r="F1105" s="11" t="inlineStr">
        <is>
          <t>GUERRERO PANEZO HAND</t>
        </is>
      </c>
      <c r="G1105" s="11" t="inlineStr"/>
      <c r="H1105" s="11" t="inlineStr">
        <is>
          <t>INTERFACE P.O.S.</t>
        </is>
      </c>
      <c r="I1105" s="11" t="n">
        <v>63000</v>
      </c>
      <c r="J1105" s="11" t="inlineStr"/>
    </row>
    <row r="1106">
      <c r="A1106" s="11" t="n">
        <v>1105</v>
      </c>
      <c r="B1106" s="12" t="n">
        <v>46109</v>
      </c>
      <c r="C1106" s="11" t="inlineStr">
        <is>
          <t>INTF</t>
        </is>
      </c>
      <c r="D1106" s="11" t="inlineStr">
        <is>
          <t>202603</t>
        </is>
      </c>
      <c r="E1106" s="11" t="inlineStr">
        <is>
          <t>22222222222</t>
        </is>
      </c>
      <c r="F1106" s="11" t="inlineStr">
        <is>
          <t>CONSUMIDOR FINAL</t>
        </is>
      </c>
      <c r="G1106" s="11" t="inlineStr"/>
      <c r="H1106" s="11" t="inlineStr">
        <is>
          <t>INTERFACE P.O.S.</t>
        </is>
      </c>
      <c r="I1106" s="11" t="n">
        <v>11300</v>
      </c>
      <c r="J1106" s="11" t="inlineStr"/>
    </row>
    <row r="1107">
      <c r="A1107" s="11" t="n">
        <v>1106</v>
      </c>
      <c r="B1107" s="12" t="n">
        <v>46109</v>
      </c>
      <c r="C1107" s="11" t="inlineStr">
        <is>
          <t>INTF</t>
        </is>
      </c>
      <c r="D1107" s="11" t="inlineStr">
        <is>
          <t>202603</t>
        </is>
      </c>
      <c r="E1107" s="11" t="inlineStr">
        <is>
          <t>1006849686</t>
        </is>
      </c>
      <c r="F1107" s="11" t="inlineStr">
        <is>
          <t>MELENDEZ ORDOÑEZ JEN</t>
        </is>
      </c>
      <c r="G1107" s="11" t="inlineStr"/>
      <c r="H1107" s="11" t="inlineStr">
        <is>
          <t>INTERFACE P.O.S.</t>
        </is>
      </c>
      <c r="I1107" s="11" t="n">
        <v>38000</v>
      </c>
      <c r="J1107" s="11" t="inlineStr"/>
    </row>
    <row r="1108">
      <c r="A1108" s="11" t="n">
        <v>1107</v>
      </c>
      <c r="B1108" s="12" t="n">
        <v>46109</v>
      </c>
      <c r="C1108" s="11" t="inlineStr">
        <is>
          <t>INTF</t>
        </is>
      </c>
      <c r="D1108" s="11" t="inlineStr">
        <is>
          <t>202603</t>
        </is>
      </c>
      <c r="E1108" s="11" t="inlineStr">
        <is>
          <t>1006813345</t>
        </is>
      </c>
      <c r="F1108" s="11" t="inlineStr">
        <is>
          <t>HERNANDEZ PAYA ANA G</t>
        </is>
      </c>
      <c r="G1108" s="11" t="inlineStr"/>
      <c r="H1108" s="11" t="inlineStr">
        <is>
          <t>INTERFACE P.O.S.</t>
        </is>
      </c>
      <c r="I1108" s="11" t="n">
        <v>106100</v>
      </c>
      <c r="J1108" s="11" t="inlineStr"/>
    </row>
    <row r="1109">
      <c r="A1109" s="11" t="n">
        <v>1108</v>
      </c>
      <c r="B1109" s="12" t="n">
        <v>46109</v>
      </c>
      <c r="C1109" s="11" t="inlineStr">
        <is>
          <t>INTF</t>
        </is>
      </c>
      <c r="D1109" s="11" t="inlineStr">
        <is>
          <t>202603</t>
        </is>
      </c>
      <c r="E1109" s="11" t="inlineStr">
        <is>
          <t>1123331189</t>
        </is>
      </c>
      <c r="F1109" s="11" t="inlineStr">
        <is>
          <t>MOSQUERA CORDOBA HEL</t>
        </is>
      </c>
      <c r="G1109" s="11" t="inlineStr"/>
      <c r="H1109" s="11" t="inlineStr">
        <is>
          <t>INTERFACE P.O.S.</t>
        </is>
      </c>
      <c r="I1109" s="11" t="n">
        <v>40400</v>
      </c>
      <c r="J1109" s="11" t="inlineStr"/>
    </row>
    <row r="1110">
      <c r="A1110" s="11" t="n">
        <v>1109</v>
      </c>
      <c r="B1110" s="12" t="n">
        <v>46109</v>
      </c>
      <c r="C1110" s="11" t="inlineStr">
        <is>
          <t>INTF</t>
        </is>
      </c>
      <c r="D1110" s="11" t="inlineStr">
        <is>
          <t>202603</t>
        </is>
      </c>
      <c r="E1110" s="11" t="inlineStr">
        <is>
          <t>1123322938</t>
        </is>
      </c>
      <c r="F1110" s="11" t="inlineStr">
        <is>
          <t>JOSA ROSALES YURY YO</t>
        </is>
      </c>
      <c r="G1110" s="11" t="inlineStr"/>
      <c r="H1110" s="11" t="inlineStr">
        <is>
          <t>INTERFACE P.O.S.</t>
        </is>
      </c>
      <c r="I1110" s="11" t="n">
        <v>40800</v>
      </c>
      <c r="J1110" s="11" t="inlineStr"/>
    </row>
    <row r="1111">
      <c r="A1111" s="11" t="n">
        <v>1110</v>
      </c>
      <c r="B1111" s="12" t="n">
        <v>46109</v>
      </c>
      <c r="C1111" s="11" t="inlineStr">
        <is>
          <t>INTF</t>
        </is>
      </c>
      <c r="D1111" s="11" t="inlineStr">
        <is>
          <t>202603</t>
        </is>
      </c>
      <c r="E1111" s="11" t="inlineStr">
        <is>
          <t>1124858581</t>
        </is>
      </c>
      <c r="F1111" s="11" t="inlineStr">
        <is>
          <t>PINTO VIVEROS ANGIE</t>
        </is>
      </c>
      <c r="G1111" s="11" t="inlineStr"/>
      <c r="H1111" s="11" t="inlineStr">
        <is>
          <t>INTERFACE P.O.S.</t>
        </is>
      </c>
      <c r="I1111" s="11" t="n">
        <v>37400</v>
      </c>
      <c r="J1111" s="11" t="inlineStr"/>
    </row>
    <row r="1112">
      <c r="A1112" s="11" t="n">
        <v>1111</v>
      </c>
      <c r="B1112" s="12" t="n">
        <v>46109</v>
      </c>
      <c r="C1112" s="11" t="inlineStr">
        <is>
          <t>INTF</t>
        </is>
      </c>
      <c r="D1112" s="11" t="inlineStr">
        <is>
          <t>202603</t>
        </is>
      </c>
      <c r="E1112" s="11" t="inlineStr">
        <is>
          <t>1123320594</t>
        </is>
      </c>
      <c r="F1112" s="11" t="inlineStr">
        <is>
          <t>CUEVA PINTA WILSON B</t>
        </is>
      </c>
      <c r="G1112" s="11" t="inlineStr"/>
      <c r="H1112" s="11" t="inlineStr">
        <is>
          <t>INTERFACE P.O.S.</t>
        </is>
      </c>
      <c r="I1112" s="11" t="n">
        <v>12700</v>
      </c>
      <c r="J1112" s="11" t="inlineStr"/>
    </row>
    <row r="1113">
      <c r="A1113" s="11" t="n">
        <v>1112</v>
      </c>
      <c r="B1113" s="12" t="n">
        <v>46109</v>
      </c>
      <c r="C1113" s="11" t="inlineStr">
        <is>
          <t>INTF</t>
        </is>
      </c>
      <c r="D1113" s="11" t="inlineStr">
        <is>
          <t>202603</t>
        </is>
      </c>
      <c r="E1113" s="11" t="inlineStr">
        <is>
          <t>52890583</t>
        </is>
      </c>
      <c r="F1113" s="11" t="inlineStr">
        <is>
          <t>MORA RUALES NURY ADR</t>
        </is>
      </c>
      <c r="G1113" s="11" t="inlineStr"/>
      <c r="H1113" s="11" t="inlineStr">
        <is>
          <t>INTERFACE P.O.S.</t>
        </is>
      </c>
      <c r="I1113" s="11" t="n">
        <v>82200</v>
      </c>
      <c r="J1113" s="11" t="inlineStr"/>
    </row>
    <row r="1114">
      <c r="A1114" s="11" t="n">
        <v>1113</v>
      </c>
      <c r="B1114" s="12" t="n">
        <v>46109</v>
      </c>
      <c r="C1114" s="11" t="inlineStr">
        <is>
          <t>INTF</t>
        </is>
      </c>
      <c r="D1114" s="11" t="inlineStr">
        <is>
          <t>202603</t>
        </is>
      </c>
      <c r="E1114" s="11" t="inlineStr">
        <is>
          <t>40740556</t>
        </is>
      </c>
      <c r="F1114" s="11" t="inlineStr">
        <is>
          <t>CUBILLOS ORDOÑES NIV</t>
        </is>
      </c>
      <c r="G1114" s="11" t="inlineStr"/>
      <c r="H1114" s="11" t="inlineStr">
        <is>
          <t>INTERFACE P.O.S.</t>
        </is>
      </c>
      <c r="I1114" s="11" t="n">
        <v>15000</v>
      </c>
      <c r="J1114" s="11" t="inlineStr"/>
    </row>
    <row r="1115">
      <c r="A1115" s="11" t="n">
        <v>1114</v>
      </c>
      <c r="B1115" s="12" t="n">
        <v>46109</v>
      </c>
      <c r="C1115" s="11" t="inlineStr">
        <is>
          <t>INTF</t>
        </is>
      </c>
      <c r="D1115" s="11" t="inlineStr">
        <is>
          <t>202603</t>
        </is>
      </c>
      <c r="E1115" s="11" t="inlineStr">
        <is>
          <t>1123328186</t>
        </is>
      </c>
      <c r="F1115" s="11" t="inlineStr">
        <is>
          <t>MORALES MORALES JEIN</t>
        </is>
      </c>
      <c r="G1115" s="11" t="inlineStr"/>
      <c r="H1115" s="11" t="inlineStr">
        <is>
          <t>INTERFACE P.O.S.</t>
        </is>
      </c>
      <c r="I1115" s="11" t="n">
        <v>46500</v>
      </c>
      <c r="J1115" s="11" t="inlineStr"/>
    </row>
    <row r="1116">
      <c r="A1116" s="11" t="n">
        <v>1115</v>
      </c>
      <c r="B1116" s="12" t="n">
        <v>46109</v>
      </c>
      <c r="C1116" s="11" t="inlineStr">
        <is>
          <t>INTF</t>
        </is>
      </c>
      <c r="D1116" s="11" t="inlineStr">
        <is>
          <t>202603</t>
        </is>
      </c>
      <c r="E1116" s="11" t="inlineStr">
        <is>
          <t>1123328245</t>
        </is>
      </c>
      <c r="F1116" s="11" t="inlineStr">
        <is>
          <t>RUALES MORALES NASLY</t>
        </is>
      </c>
      <c r="G1116" s="11" t="inlineStr"/>
      <c r="H1116" s="11" t="inlineStr">
        <is>
          <t>INTERFACE P.O.S.</t>
        </is>
      </c>
      <c r="I1116" s="11" t="n">
        <v>3400</v>
      </c>
      <c r="J1116" s="11" t="inlineStr"/>
    </row>
    <row r="1117">
      <c r="A1117" s="11" t="n">
        <v>1116</v>
      </c>
      <c r="B1117" s="12" t="n">
        <v>46109</v>
      </c>
      <c r="C1117" s="11" t="inlineStr">
        <is>
          <t>INTF</t>
        </is>
      </c>
      <c r="D1117" s="11" t="inlineStr">
        <is>
          <t>202603</t>
        </is>
      </c>
      <c r="E1117" s="11" t="inlineStr">
        <is>
          <t>27879934</t>
        </is>
      </c>
      <c r="F1117" s="11" t="inlineStr">
        <is>
          <t>FUENTES CLARA HELENA</t>
        </is>
      </c>
      <c r="G1117" s="11" t="inlineStr"/>
      <c r="H1117" s="11" t="inlineStr">
        <is>
          <t>INTERFACE P.O.S.</t>
        </is>
      </c>
      <c r="I1117" s="11" t="n">
        <v>19700</v>
      </c>
      <c r="J1117" s="11" t="inlineStr"/>
    </row>
    <row r="1118">
      <c r="A1118" s="11" t="n">
        <v>1117</v>
      </c>
      <c r="B1118" s="12" t="n">
        <v>46109</v>
      </c>
      <c r="C1118" s="11" t="inlineStr">
        <is>
          <t>INTF</t>
        </is>
      </c>
      <c r="D1118" s="11" t="inlineStr">
        <is>
          <t>202603</t>
        </is>
      </c>
      <c r="E1118" s="11" t="inlineStr">
        <is>
          <t>1006846970</t>
        </is>
      </c>
      <c r="F1118" s="11" t="inlineStr">
        <is>
          <t>DIAZ CORTES MIGUEL A</t>
        </is>
      </c>
      <c r="G1118" s="11" t="inlineStr"/>
      <c r="H1118" s="11" t="inlineStr">
        <is>
          <t>INTERFACE P.O.S.</t>
        </is>
      </c>
      <c r="I1118" s="11" t="n">
        <v>26100</v>
      </c>
      <c r="J1118" s="11" t="inlineStr"/>
    </row>
    <row r="1119">
      <c r="A1119" s="11" t="n">
        <v>1118</v>
      </c>
      <c r="B1119" s="12" t="n">
        <v>46109</v>
      </c>
      <c r="C1119" s="11" t="inlineStr">
        <is>
          <t>INTF</t>
        </is>
      </c>
      <c r="D1119" s="11" t="inlineStr">
        <is>
          <t>202603</t>
        </is>
      </c>
      <c r="E1119" s="11" t="inlineStr">
        <is>
          <t>1032420119</t>
        </is>
      </c>
      <c r="F1119" s="11" t="inlineStr">
        <is>
          <t>TORRE ELIANA MERCEDE</t>
        </is>
      </c>
      <c r="G1119" s="11" t="inlineStr"/>
      <c r="H1119" s="11" t="inlineStr">
        <is>
          <t>INTERFACE P.O.S.</t>
        </is>
      </c>
      <c r="I1119" s="11" t="n">
        <v>45700</v>
      </c>
      <c r="J1119" s="11" t="inlineStr"/>
    </row>
    <row r="1120">
      <c r="A1120" s="11" t="n">
        <v>1119</v>
      </c>
      <c r="B1120" s="12" t="n">
        <v>46109</v>
      </c>
      <c r="C1120" s="11" t="inlineStr">
        <is>
          <t>INTF</t>
        </is>
      </c>
      <c r="D1120" s="11" t="inlineStr">
        <is>
          <t>202603</t>
        </is>
      </c>
      <c r="E1120" s="11" t="inlineStr">
        <is>
          <t>1130144391</t>
        </is>
      </c>
      <c r="F1120" s="11" t="inlineStr">
        <is>
          <t>ZAMBRANO RIVERA JUAN</t>
        </is>
      </c>
      <c r="G1120" s="11" t="inlineStr"/>
      <c r="H1120" s="11" t="inlineStr">
        <is>
          <t>INTERFACE P.O.S.</t>
        </is>
      </c>
      <c r="I1120" s="11" t="n">
        <v>11600</v>
      </c>
      <c r="J1120" s="11" t="inlineStr"/>
    </row>
    <row r="1121">
      <c r="A1121" s="11" t="n">
        <v>1120</v>
      </c>
      <c r="B1121" s="12" t="n">
        <v>46109</v>
      </c>
      <c r="C1121" s="11" t="inlineStr">
        <is>
          <t>INTF</t>
        </is>
      </c>
      <c r="D1121" s="11" t="inlineStr">
        <is>
          <t>202603</t>
        </is>
      </c>
      <c r="E1121" s="11" t="inlineStr">
        <is>
          <t>1123331196</t>
        </is>
      </c>
      <c r="F1121" s="11" t="inlineStr">
        <is>
          <t>PRADO VELASCO AN</t>
        </is>
      </c>
      <c r="G1121" s="11" t="inlineStr"/>
      <c r="H1121" s="11" t="inlineStr">
        <is>
          <t>INTERFACE P.O.S.</t>
        </is>
      </c>
      <c r="I1121" s="11" t="n">
        <v>7500</v>
      </c>
      <c r="J1121" s="11" t="inlineStr"/>
    </row>
    <row r="1122">
      <c r="A1122" s="11" t="n">
        <v>1121</v>
      </c>
      <c r="B1122" s="12" t="n">
        <v>46109</v>
      </c>
      <c r="C1122" s="11" t="inlineStr">
        <is>
          <t>INTF</t>
        </is>
      </c>
      <c r="D1122" s="11" t="inlineStr">
        <is>
          <t>202603</t>
        </is>
      </c>
      <c r="E1122" s="11" t="inlineStr">
        <is>
          <t>1123330797</t>
        </is>
      </c>
      <c r="F1122" s="11" t="inlineStr">
        <is>
          <t>DIAZ QUIROZ LEIDY AN</t>
        </is>
      </c>
      <c r="G1122" s="11" t="inlineStr"/>
      <c r="H1122" s="11" t="inlineStr">
        <is>
          <t>INTERFACE P.O.S.</t>
        </is>
      </c>
      <c r="I1122" s="11" t="n">
        <v>19800</v>
      </c>
      <c r="J1122" s="11" t="inlineStr"/>
    </row>
    <row r="1123">
      <c r="A1123" s="11" t="n">
        <v>1122</v>
      </c>
      <c r="B1123" s="12" t="n">
        <v>46109</v>
      </c>
      <c r="C1123" s="11" t="inlineStr">
        <is>
          <t>INTF</t>
        </is>
      </c>
      <c r="D1123" s="11" t="inlineStr">
        <is>
          <t>202603</t>
        </is>
      </c>
      <c r="E1123" s="11" t="inlineStr">
        <is>
          <t>1123332110</t>
        </is>
      </c>
      <c r="F1123" s="11" t="inlineStr">
        <is>
          <t>MAYA TANIA</t>
        </is>
      </c>
      <c r="G1123" s="11" t="inlineStr"/>
      <c r="H1123" s="11" t="inlineStr">
        <is>
          <t>INTERFACE P.O.S.</t>
        </is>
      </c>
      <c r="I1123" s="11" t="n">
        <v>11000</v>
      </c>
      <c r="J1123" s="11" t="inlineStr"/>
    </row>
    <row r="1124">
      <c r="A1124" s="11" t="n">
        <v>1123</v>
      </c>
      <c r="B1124" s="12" t="n">
        <v>46109</v>
      </c>
      <c r="C1124" s="11" t="inlineStr">
        <is>
          <t>INTF</t>
        </is>
      </c>
      <c r="D1124" s="11" t="inlineStr">
        <is>
          <t>202603</t>
        </is>
      </c>
      <c r="E1124" s="11" t="inlineStr">
        <is>
          <t>1143877518</t>
        </is>
      </c>
      <c r="F1124" s="11" t="inlineStr">
        <is>
          <t>ESPAÑA DIAZ ALEJANDR</t>
        </is>
      </c>
      <c r="G1124" s="11" t="inlineStr"/>
      <c r="H1124" s="11" t="inlineStr">
        <is>
          <t>INTERFACE P.O.S.</t>
        </is>
      </c>
      <c r="I1124" s="11" t="n">
        <v>47300</v>
      </c>
      <c r="J1124" s="11" t="inlineStr"/>
    </row>
    <row r="1125">
      <c r="A1125" s="11" t="n">
        <v>1124</v>
      </c>
      <c r="B1125" s="12" t="n">
        <v>46109</v>
      </c>
      <c r="C1125" s="11" t="inlineStr">
        <is>
          <t>INTF</t>
        </is>
      </c>
      <c r="D1125" s="11" t="inlineStr">
        <is>
          <t>202603</t>
        </is>
      </c>
      <c r="E1125" s="11" t="inlineStr">
        <is>
          <t>1023888740</t>
        </is>
      </c>
      <c r="F1125" s="11" t="inlineStr">
        <is>
          <t>GARZON ROCHA WILSON</t>
        </is>
      </c>
      <c r="G1125" s="11" t="inlineStr"/>
      <c r="H1125" s="11" t="inlineStr">
        <is>
          <t>INTERFACE P.O.S.</t>
        </is>
      </c>
      <c r="I1125" s="11" t="n">
        <v>5000</v>
      </c>
      <c r="J1125" s="11" t="inlineStr"/>
    </row>
    <row r="1126">
      <c r="A1126" s="11" t="n">
        <v>1125</v>
      </c>
      <c r="B1126" s="12" t="n">
        <v>46109</v>
      </c>
      <c r="C1126" s="11" t="inlineStr">
        <is>
          <t>INTF</t>
        </is>
      </c>
      <c r="D1126" s="11" t="inlineStr">
        <is>
          <t>202603</t>
        </is>
      </c>
      <c r="E1126" s="11" t="inlineStr">
        <is>
          <t>1120096442</t>
        </is>
      </c>
      <c r="F1126" s="11" t="inlineStr">
        <is>
          <t>CASANOVA PEREZ STEFA</t>
        </is>
      </c>
      <c r="G1126" s="11" t="inlineStr"/>
      <c r="H1126" s="11" t="inlineStr">
        <is>
          <t>INTERFACE P.O.S.</t>
        </is>
      </c>
      <c r="I1126" s="11" t="n">
        <v>16800</v>
      </c>
      <c r="J1126" s="11" t="inlineStr"/>
    </row>
    <row r="1127">
      <c r="A1127" s="11" t="n">
        <v>1126</v>
      </c>
      <c r="B1127" s="12" t="n">
        <v>46109</v>
      </c>
      <c r="C1127" s="11" t="inlineStr">
        <is>
          <t>INTF</t>
        </is>
      </c>
      <c r="D1127" s="11" t="inlineStr">
        <is>
          <t>202603</t>
        </is>
      </c>
      <c r="E1127" s="11" t="inlineStr">
        <is>
          <t>1036677748</t>
        </is>
      </c>
      <c r="F1127" s="11" t="inlineStr">
        <is>
          <t>HERRERA RUIZ DIEGO A</t>
        </is>
      </c>
      <c r="G1127" s="11" t="inlineStr"/>
      <c r="H1127" s="11" t="inlineStr">
        <is>
          <t>INTERFACE P.O.S.</t>
        </is>
      </c>
      <c r="I1127" s="11" t="n">
        <v>6000</v>
      </c>
      <c r="J1127" s="11" t="inlineStr"/>
    </row>
    <row r="1128">
      <c r="A1128" s="11" t="n">
        <v>1127</v>
      </c>
      <c r="B1128" s="12" t="n">
        <v>46109</v>
      </c>
      <c r="C1128" s="11" t="inlineStr">
        <is>
          <t>INTF</t>
        </is>
      </c>
      <c r="D1128" s="11" t="inlineStr">
        <is>
          <t>202603</t>
        </is>
      </c>
      <c r="E1128" s="11" t="inlineStr">
        <is>
          <t>1006849743</t>
        </is>
      </c>
      <c r="F1128" s="11" t="inlineStr">
        <is>
          <t>MENESES PAI EMER</t>
        </is>
      </c>
      <c r="G1128" s="11" t="inlineStr"/>
      <c r="H1128" s="11" t="inlineStr">
        <is>
          <t>INTERFACE P.O.S.</t>
        </is>
      </c>
      <c r="I1128" s="11" t="n">
        <v>10900</v>
      </c>
      <c r="J1128" s="11" t="inlineStr"/>
    </row>
    <row r="1129">
      <c r="A1129" s="11" t="n">
        <v>1128</v>
      </c>
      <c r="B1129" s="12" t="n">
        <v>46109</v>
      </c>
      <c r="C1129" s="11" t="inlineStr">
        <is>
          <t>INTF</t>
        </is>
      </c>
      <c r="D1129" s="11" t="inlineStr">
        <is>
          <t>202603</t>
        </is>
      </c>
      <c r="E1129" s="11" t="inlineStr">
        <is>
          <t>1006849060</t>
        </is>
      </c>
      <c r="F1129" s="11" t="inlineStr">
        <is>
          <t>GELPUD CASTILLO ANGI</t>
        </is>
      </c>
      <c r="G1129" s="11" t="inlineStr"/>
      <c r="H1129" s="11" t="inlineStr">
        <is>
          <t>INTERFACE P.O.S.</t>
        </is>
      </c>
      <c r="I1129" s="11" t="n">
        <v>17000</v>
      </c>
      <c r="J1129" s="11" t="inlineStr"/>
    </row>
    <row r="1130">
      <c r="A1130" s="11" t="n">
        <v>1129</v>
      </c>
      <c r="B1130" s="12" t="n">
        <v>46109</v>
      </c>
      <c r="C1130" s="11" t="inlineStr">
        <is>
          <t>INTF</t>
        </is>
      </c>
      <c r="D1130" s="11" t="inlineStr">
        <is>
          <t>202603</t>
        </is>
      </c>
      <c r="E1130" s="11" t="inlineStr">
        <is>
          <t>1095827465</t>
        </is>
      </c>
      <c r="F1130" s="11" t="inlineStr">
        <is>
          <t>HERAZO BELEÑO DANIEL</t>
        </is>
      </c>
      <c r="G1130" s="11" t="inlineStr"/>
      <c r="H1130" s="11" t="inlineStr">
        <is>
          <t>INTERFACE P.O.S.</t>
        </is>
      </c>
      <c r="I1130" s="11" t="n">
        <v>36000</v>
      </c>
      <c r="J1130" s="11" t="inlineStr"/>
    </row>
    <row r="1131">
      <c r="A1131" s="11" t="n">
        <v>1130</v>
      </c>
      <c r="B1131" s="12" t="n">
        <v>46109</v>
      </c>
      <c r="C1131" s="11" t="inlineStr">
        <is>
          <t>INTF</t>
        </is>
      </c>
      <c r="D1131" s="11" t="inlineStr">
        <is>
          <t>202603</t>
        </is>
      </c>
      <c r="E1131" s="11" t="inlineStr">
        <is>
          <t>1123321670</t>
        </is>
      </c>
      <c r="F1131" s="11" t="inlineStr">
        <is>
          <t>PANTOJA MORALES J</t>
        </is>
      </c>
      <c r="G1131" s="11" t="inlineStr"/>
      <c r="H1131" s="11" t="inlineStr">
        <is>
          <t>INTERFACE P.O.S.</t>
        </is>
      </c>
      <c r="I1131" s="11" t="n">
        <v>117500</v>
      </c>
      <c r="J1131" s="11" t="inlineStr"/>
    </row>
    <row r="1132">
      <c r="A1132" s="11" t="n">
        <v>1131</v>
      </c>
      <c r="B1132" s="12" t="n">
        <v>46110</v>
      </c>
      <c r="C1132" s="11" t="inlineStr">
        <is>
          <t>INTF</t>
        </is>
      </c>
      <c r="D1132" s="11" t="inlineStr">
        <is>
          <t>202603</t>
        </is>
      </c>
      <c r="E1132" s="11" t="inlineStr">
        <is>
          <t>11806823</t>
        </is>
      </c>
      <c r="F1132" s="11" t="inlineStr">
        <is>
          <t>VERGARA BORJA FRESLE</t>
        </is>
      </c>
      <c r="G1132" s="11" t="inlineStr"/>
      <c r="H1132" s="11" t="inlineStr">
        <is>
          <t>INTERFACE P.O.S.</t>
        </is>
      </c>
      <c r="I1132" s="11" t="n">
        <v>144700</v>
      </c>
      <c r="J1132" s="11" t="inlineStr"/>
    </row>
    <row r="1133">
      <c r="A1133" s="11" t="n">
        <v>1132</v>
      </c>
      <c r="B1133" s="12" t="n">
        <v>46110</v>
      </c>
      <c r="C1133" s="11" t="inlineStr">
        <is>
          <t>INTF</t>
        </is>
      </c>
      <c r="D1133" s="11" t="inlineStr">
        <is>
          <t>202603</t>
        </is>
      </c>
      <c r="E1133" s="11" t="inlineStr">
        <is>
          <t>1123328832</t>
        </is>
      </c>
      <c r="F1133" s="11" t="inlineStr">
        <is>
          <t>FIGUEROA MAFLA JHONN</t>
        </is>
      </c>
      <c r="G1133" s="11" t="inlineStr"/>
      <c r="H1133" s="11" t="inlineStr">
        <is>
          <t>INTERFACE P.O.S.</t>
        </is>
      </c>
      <c r="I1133" s="11" t="n">
        <v>14100</v>
      </c>
      <c r="J1133" s="11" t="inlineStr"/>
    </row>
    <row r="1134">
      <c r="A1134" s="11" t="n">
        <v>1133</v>
      </c>
      <c r="B1134" s="12" t="n">
        <v>46110</v>
      </c>
      <c r="C1134" s="11" t="inlineStr">
        <is>
          <t>INTF</t>
        </is>
      </c>
      <c r="D1134" s="11" t="inlineStr">
        <is>
          <t>202603</t>
        </is>
      </c>
      <c r="E1134" s="11" t="inlineStr">
        <is>
          <t>1123333457</t>
        </is>
      </c>
      <c r="F1134" s="11" t="inlineStr">
        <is>
          <t>MOSQUERA ANGGIE LILI</t>
        </is>
      </c>
      <c r="G1134" s="11" t="inlineStr"/>
      <c r="H1134" s="11" t="inlineStr">
        <is>
          <t>INTERFACE P.O.S.</t>
        </is>
      </c>
      <c r="I1134" s="11" t="n">
        <v>10000</v>
      </c>
      <c r="J1134" s="11" t="inlineStr"/>
    </row>
    <row r="1135">
      <c r="A1135" s="11" t="n">
        <v>1134</v>
      </c>
      <c r="B1135" s="12" t="n">
        <v>46110</v>
      </c>
      <c r="C1135" s="11" t="inlineStr">
        <is>
          <t>INTF</t>
        </is>
      </c>
      <c r="D1135" s="11" t="inlineStr">
        <is>
          <t>202603</t>
        </is>
      </c>
      <c r="E1135" s="11" t="inlineStr">
        <is>
          <t>18147356</t>
        </is>
      </c>
      <c r="F1135" s="11" t="inlineStr">
        <is>
          <t>DIAZ CASTILLO HECTOR</t>
        </is>
      </c>
      <c r="G1135" s="11" t="inlineStr"/>
      <c r="H1135" s="11" t="inlineStr">
        <is>
          <t>INTERFACE P.O.S.</t>
        </is>
      </c>
      <c r="I1135" s="11" t="n">
        <v>18000</v>
      </c>
      <c r="J1135" s="11" t="inlineStr"/>
    </row>
    <row r="1136">
      <c r="A1136" s="11" t="n">
        <v>1135</v>
      </c>
      <c r="B1136" s="12" t="n">
        <v>46110</v>
      </c>
      <c r="C1136" s="11" t="inlineStr">
        <is>
          <t>INTF</t>
        </is>
      </c>
      <c r="D1136" s="11" t="inlineStr">
        <is>
          <t>202603</t>
        </is>
      </c>
      <c r="E1136" s="11" t="inlineStr">
        <is>
          <t>1123329911</t>
        </is>
      </c>
      <c r="F1136" s="11" t="inlineStr">
        <is>
          <t>BURBANO TELLEZ ALVAR</t>
        </is>
      </c>
      <c r="G1136" s="11" t="inlineStr"/>
      <c r="H1136" s="11" t="inlineStr">
        <is>
          <t>INTERFACE P.O.S.</t>
        </is>
      </c>
      <c r="I1136" s="11" t="n">
        <v>37500</v>
      </c>
      <c r="J1136" s="11" t="inlineStr"/>
    </row>
    <row r="1137">
      <c r="A1137" s="11" t="n">
        <v>1136</v>
      </c>
      <c r="B1137" s="12" t="n">
        <v>46110</v>
      </c>
      <c r="C1137" s="11" t="inlineStr">
        <is>
          <t>INTF</t>
        </is>
      </c>
      <c r="D1137" s="11" t="inlineStr">
        <is>
          <t>202603</t>
        </is>
      </c>
      <c r="E1137" s="11" t="inlineStr">
        <is>
          <t>1123331286</t>
        </is>
      </c>
      <c r="F1137" s="11" t="inlineStr">
        <is>
          <t>AVILA DURAN BRAYAN A</t>
        </is>
      </c>
      <c r="G1137" s="11" t="inlineStr"/>
      <c r="H1137" s="11" t="inlineStr">
        <is>
          <t>INTERFACE P.O.S.</t>
        </is>
      </c>
      <c r="I1137" s="11" t="n">
        <v>35400</v>
      </c>
      <c r="J1137" s="11" t="inlineStr"/>
    </row>
    <row r="1138">
      <c r="A1138" s="11" t="n">
        <v>1137</v>
      </c>
      <c r="B1138" s="12" t="n">
        <v>46110</v>
      </c>
      <c r="C1138" s="11" t="inlineStr">
        <is>
          <t>INTF</t>
        </is>
      </c>
      <c r="D1138" s="11" t="inlineStr">
        <is>
          <t>202603</t>
        </is>
      </c>
      <c r="E1138" s="11" t="inlineStr">
        <is>
          <t>1123324247</t>
        </is>
      </c>
      <c r="F1138" s="11" t="inlineStr">
        <is>
          <t>GONZALEZ FORERO JENN</t>
        </is>
      </c>
      <c r="G1138" s="11" t="inlineStr"/>
      <c r="H1138" s="11" t="inlineStr">
        <is>
          <t>INTERFACE P.O.S.</t>
        </is>
      </c>
      <c r="I1138" s="11" t="n">
        <v>12100</v>
      </c>
      <c r="J1138" s="11" t="inlineStr"/>
    </row>
    <row r="1139">
      <c r="A1139" s="11" t="n">
        <v>1138</v>
      </c>
      <c r="B1139" s="12" t="n">
        <v>46110</v>
      </c>
      <c r="C1139" s="11" t="inlineStr">
        <is>
          <t>INTF</t>
        </is>
      </c>
      <c r="D1139" s="11" t="inlineStr">
        <is>
          <t>202603</t>
        </is>
      </c>
      <c r="E1139" s="11" t="inlineStr">
        <is>
          <t>1124861369</t>
        </is>
      </c>
      <c r="F1139" s="11" t="inlineStr">
        <is>
          <t>BURBANO OSSA MONICA</t>
        </is>
      </c>
      <c r="G1139" s="11" t="inlineStr"/>
      <c r="H1139" s="11" t="inlineStr">
        <is>
          <t>INTERFACE P.O.S.</t>
        </is>
      </c>
      <c r="I1139" s="11" t="n">
        <v>38200</v>
      </c>
      <c r="J1139" s="11" t="inlineStr"/>
    </row>
    <row r="1140">
      <c r="A1140" s="11" t="n">
        <v>1139</v>
      </c>
      <c r="B1140" s="12" t="n">
        <v>46110</v>
      </c>
      <c r="C1140" s="11" t="inlineStr">
        <is>
          <t>INTF</t>
        </is>
      </c>
      <c r="D1140" s="11" t="inlineStr">
        <is>
          <t>202603</t>
        </is>
      </c>
      <c r="E1140" s="11" t="inlineStr">
        <is>
          <t>1006843129</t>
        </is>
      </c>
      <c r="F1140" s="11" t="inlineStr">
        <is>
          <t>RICALDE ROSERO NARKY</t>
        </is>
      </c>
      <c r="G1140" s="11" t="inlineStr"/>
      <c r="H1140" s="11" t="inlineStr">
        <is>
          <t>INTERFACE P.O.S.</t>
        </is>
      </c>
      <c r="I1140" s="11" t="n">
        <v>30600</v>
      </c>
      <c r="J1140" s="11" t="inlineStr"/>
    </row>
    <row r="1141">
      <c r="A1141" s="11" t="n">
        <v>1140</v>
      </c>
      <c r="B1141" s="12" t="n">
        <v>46110</v>
      </c>
      <c r="C1141" s="11" t="inlineStr">
        <is>
          <t>INTF</t>
        </is>
      </c>
      <c r="D1141" s="11" t="inlineStr">
        <is>
          <t>202603</t>
        </is>
      </c>
      <c r="E1141" s="11" t="inlineStr">
        <is>
          <t>1123332826</t>
        </is>
      </c>
      <c r="F1141" s="11" t="inlineStr">
        <is>
          <t>JIMENEZ MENA ELKIN O</t>
        </is>
      </c>
      <c r="G1141" s="11" t="inlineStr"/>
      <c r="H1141" s="11" t="inlineStr">
        <is>
          <t>INTERFACE P.O.S.</t>
        </is>
      </c>
      <c r="I1141" s="11" t="n">
        <v>44200</v>
      </c>
      <c r="J1141" s="11" t="inlineStr"/>
    </row>
    <row r="1142">
      <c r="A1142" s="11" t="n">
        <v>1141</v>
      </c>
      <c r="B1142" s="12" t="n">
        <v>46110</v>
      </c>
      <c r="C1142" s="11" t="inlineStr">
        <is>
          <t>INTF</t>
        </is>
      </c>
      <c r="D1142" s="11" t="inlineStr">
        <is>
          <t>202603</t>
        </is>
      </c>
      <c r="E1142" s="11" t="inlineStr">
        <is>
          <t>1123327770</t>
        </is>
      </c>
      <c r="F1142" s="11" t="inlineStr">
        <is>
          <t>CORDERO CORREA MONIC</t>
        </is>
      </c>
      <c r="G1142" s="11" t="inlineStr"/>
      <c r="H1142" s="11" t="inlineStr">
        <is>
          <t>INTERFACE P.O.S.</t>
        </is>
      </c>
      <c r="I1142" s="11" t="n">
        <v>36400</v>
      </c>
      <c r="J1142" s="11" t="inlineStr"/>
    </row>
    <row r="1143">
      <c r="A1143" s="11" t="n">
        <v>1142</v>
      </c>
      <c r="B1143" s="12" t="n">
        <v>46110</v>
      </c>
      <c r="C1143" s="11" t="inlineStr">
        <is>
          <t>INTF</t>
        </is>
      </c>
      <c r="D1143" s="11" t="inlineStr">
        <is>
          <t>202603</t>
        </is>
      </c>
      <c r="E1143" s="11" t="inlineStr">
        <is>
          <t>22222222222</t>
        </is>
      </c>
      <c r="F1143" s="11" t="inlineStr">
        <is>
          <t>CONSUMIDOR FINAL</t>
        </is>
      </c>
      <c r="G1143" s="11" t="inlineStr"/>
      <c r="H1143" s="11" t="inlineStr">
        <is>
          <t>INTERFACE P.O.S.</t>
        </is>
      </c>
      <c r="I1143" s="11" t="n">
        <v>84700</v>
      </c>
      <c r="J1143" s="11" t="inlineStr"/>
    </row>
    <row r="1144">
      <c r="A1144" s="11" t="n">
        <v>1143</v>
      </c>
      <c r="B1144" s="12" t="n">
        <v>46110</v>
      </c>
      <c r="C1144" s="11" t="inlineStr">
        <is>
          <t>INTF</t>
        </is>
      </c>
      <c r="D1144" s="11" t="inlineStr">
        <is>
          <t>202603</t>
        </is>
      </c>
      <c r="E1144" s="11" t="inlineStr">
        <is>
          <t>1123320090</t>
        </is>
      </c>
      <c r="F1144" s="11" t="inlineStr">
        <is>
          <t>CABRERA GUTIERREZ LU</t>
        </is>
      </c>
      <c r="G1144" s="11" t="inlineStr"/>
      <c r="H1144" s="11" t="inlineStr">
        <is>
          <t>INTERFACE P.O.S.</t>
        </is>
      </c>
      <c r="I1144" s="11" t="n">
        <v>36100</v>
      </c>
      <c r="J1144" s="11" t="inlineStr"/>
    </row>
    <row r="1145">
      <c r="A1145" s="11" t="n">
        <v>1144</v>
      </c>
      <c r="B1145" s="12" t="n">
        <v>46110</v>
      </c>
      <c r="C1145" s="11" t="inlineStr">
        <is>
          <t>INTF</t>
        </is>
      </c>
      <c r="D1145" s="11" t="inlineStr">
        <is>
          <t>202603</t>
        </is>
      </c>
      <c r="E1145" s="11" t="inlineStr">
        <is>
          <t>27361913</t>
        </is>
      </c>
      <c r="F1145" s="11" t="inlineStr">
        <is>
          <t>BATERO CORTES NUBIA</t>
        </is>
      </c>
      <c r="G1145" s="11" t="inlineStr"/>
      <c r="H1145" s="11" t="inlineStr">
        <is>
          <t>INTERFACE P.O.S.</t>
        </is>
      </c>
      <c r="I1145" s="11" t="n">
        <v>76800</v>
      </c>
      <c r="J1145" s="11" t="inlineStr"/>
    </row>
    <row r="1146">
      <c r="A1146" s="11" t="n">
        <v>1145</v>
      </c>
      <c r="B1146" s="12" t="n">
        <v>46110</v>
      </c>
      <c r="C1146" s="11" t="inlineStr">
        <is>
          <t>INTF</t>
        </is>
      </c>
      <c r="D1146" s="11" t="inlineStr">
        <is>
          <t>202603</t>
        </is>
      </c>
      <c r="E1146" s="11" t="inlineStr">
        <is>
          <t>1123322483</t>
        </is>
      </c>
      <c r="F1146" s="11" t="inlineStr">
        <is>
          <t>PANTOJA MONTIEL LEID</t>
        </is>
      </c>
      <c r="G1146" s="11" t="inlineStr"/>
      <c r="H1146" s="11" t="inlineStr">
        <is>
          <t>INTERFACE P.O.S.</t>
        </is>
      </c>
      <c r="I1146" s="11" t="n">
        <v>16200</v>
      </c>
      <c r="J1146" s="11" t="inlineStr"/>
    </row>
    <row r="1147">
      <c r="A1147" s="11" t="n">
        <v>1146</v>
      </c>
      <c r="B1147" s="12" t="n">
        <v>46110</v>
      </c>
      <c r="C1147" s="11" t="inlineStr">
        <is>
          <t>INTF</t>
        </is>
      </c>
      <c r="D1147" s="11" t="inlineStr">
        <is>
          <t>202603</t>
        </is>
      </c>
      <c r="E1147" s="11" t="inlineStr">
        <is>
          <t>1093786192</t>
        </is>
      </c>
      <c r="F1147" s="11" t="inlineStr">
        <is>
          <t>CARVAJAL PORTILLA CA</t>
        </is>
      </c>
      <c r="G1147" s="11" t="inlineStr"/>
      <c r="H1147" s="11" t="inlineStr">
        <is>
          <t>INTERFACE P.O.S.</t>
        </is>
      </c>
      <c r="I1147" s="11" t="n">
        <v>17500</v>
      </c>
      <c r="J1147" s="11" t="inlineStr"/>
    </row>
    <row r="1148">
      <c r="A1148" s="11" t="n">
        <v>1147</v>
      </c>
      <c r="B1148" s="12" t="n">
        <v>46110</v>
      </c>
      <c r="C1148" s="11" t="inlineStr">
        <is>
          <t>INTF</t>
        </is>
      </c>
      <c r="D1148" s="11" t="inlineStr">
        <is>
          <t>202603</t>
        </is>
      </c>
      <c r="E1148" s="11" t="inlineStr">
        <is>
          <t>1123331189</t>
        </is>
      </c>
      <c r="F1148" s="11" t="inlineStr">
        <is>
          <t>MOSQUERA CORDOBA HEL</t>
        </is>
      </c>
      <c r="G1148" s="11" t="inlineStr"/>
      <c r="H1148" s="11" t="inlineStr">
        <is>
          <t>INTERFACE P.O.S.</t>
        </is>
      </c>
      <c r="I1148" s="11" t="n">
        <v>10700</v>
      </c>
      <c r="J1148" s="11" t="inlineStr"/>
    </row>
    <row r="1149">
      <c r="A1149" s="11" t="n">
        <v>1148</v>
      </c>
      <c r="B1149" s="12" t="n">
        <v>46110</v>
      </c>
      <c r="C1149" s="11" t="inlineStr">
        <is>
          <t>INTF</t>
        </is>
      </c>
      <c r="D1149" s="11" t="inlineStr">
        <is>
          <t>202603</t>
        </is>
      </c>
      <c r="E1149" s="11" t="inlineStr">
        <is>
          <t>1123324128</t>
        </is>
      </c>
      <c r="F1149" s="11" t="inlineStr">
        <is>
          <t>MARTINEZ MUÑOZ MARIA</t>
        </is>
      </c>
      <c r="G1149" s="11" t="inlineStr"/>
      <c r="H1149" s="11" t="inlineStr">
        <is>
          <t>INTERFACE P.O.S.</t>
        </is>
      </c>
      <c r="I1149" s="11" t="n">
        <v>24100</v>
      </c>
      <c r="J1149" s="11" t="inlineStr"/>
    </row>
    <row r="1150">
      <c r="A1150" s="11" t="n">
        <v>1149</v>
      </c>
      <c r="B1150" s="12" t="n">
        <v>46110</v>
      </c>
      <c r="C1150" s="11" t="inlineStr">
        <is>
          <t>INTF</t>
        </is>
      </c>
      <c r="D1150" s="11" t="inlineStr">
        <is>
          <t>202603</t>
        </is>
      </c>
      <c r="E1150" s="11" t="inlineStr">
        <is>
          <t>12447282</t>
        </is>
      </c>
      <c r="F1150" s="11" t="inlineStr">
        <is>
          <t>MENDOZA CARLOS EDUAR</t>
        </is>
      </c>
      <c r="G1150" s="11" t="inlineStr"/>
      <c r="H1150" s="11" t="inlineStr">
        <is>
          <t>INTERFACE P.O.S.</t>
        </is>
      </c>
      <c r="I1150" s="11" t="n">
        <v>18000</v>
      </c>
      <c r="J1150" s="11" t="inlineStr"/>
    </row>
    <row r="1151">
      <c r="A1151" s="11" t="n">
        <v>1150</v>
      </c>
      <c r="B1151" s="12" t="n">
        <v>46110</v>
      </c>
      <c r="C1151" s="11" t="inlineStr">
        <is>
          <t>INTF</t>
        </is>
      </c>
      <c r="D1151" s="11" t="inlineStr">
        <is>
          <t>202603</t>
        </is>
      </c>
      <c r="E1151" s="11" t="inlineStr">
        <is>
          <t>1087749045</t>
        </is>
      </c>
      <c r="F1151" s="11" t="inlineStr">
        <is>
          <t>INGRID DAYERLY QUINT</t>
        </is>
      </c>
      <c r="G1151" s="11" t="inlineStr"/>
      <c r="H1151" s="11" t="inlineStr">
        <is>
          <t>INTERFACE P.O.S.</t>
        </is>
      </c>
      <c r="I1151" s="11" t="n">
        <v>16100</v>
      </c>
      <c r="J1151" s="11" t="inlineStr"/>
    </row>
    <row r="1152">
      <c r="A1152" s="11" t="n">
        <v>1151</v>
      </c>
      <c r="B1152" s="12" t="n">
        <v>46110</v>
      </c>
      <c r="C1152" s="11" t="inlineStr">
        <is>
          <t>INTF</t>
        </is>
      </c>
      <c r="D1152" s="11" t="inlineStr">
        <is>
          <t>202603</t>
        </is>
      </c>
      <c r="E1152" s="11" t="inlineStr">
        <is>
          <t>1123328186</t>
        </is>
      </c>
      <c r="F1152" s="11" t="inlineStr">
        <is>
          <t>MORALES MORALES JEIN</t>
        </is>
      </c>
      <c r="G1152" s="11" t="inlineStr"/>
      <c r="H1152" s="11" t="inlineStr">
        <is>
          <t>INTERFACE P.O.S.</t>
        </is>
      </c>
      <c r="I1152" s="11" t="n">
        <v>19100</v>
      </c>
      <c r="J1152" s="11" t="inlineStr"/>
    </row>
    <row r="1153">
      <c r="A1153" s="11" t="n">
        <v>1152</v>
      </c>
      <c r="B1153" s="12" t="n">
        <v>46110</v>
      </c>
      <c r="C1153" s="11" t="inlineStr">
        <is>
          <t>INTF</t>
        </is>
      </c>
      <c r="D1153" s="11" t="inlineStr">
        <is>
          <t>202603</t>
        </is>
      </c>
      <c r="E1153" s="11" t="inlineStr">
        <is>
          <t>1085282128</t>
        </is>
      </c>
      <c r="F1153" s="11" t="inlineStr">
        <is>
          <t>CHANA POTOSI EDISSON</t>
        </is>
      </c>
      <c r="G1153" s="11" t="inlineStr"/>
      <c r="H1153" s="11" t="inlineStr">
        <is>
          <t>INTERFACE P.O.S.</t>
        </is>
      </c>
      <c r="I1153" s="11" t="n">
        <v>134800</v>
      </c>
      <c r="J1153" s="11" t="inlineStr"/>
    </row>
    <row r="1154">
      <c r="A1154" s="11" t="n">
        <v>1153</v>
      </c>
      <c r="B1154" s="12" t="n">
        <v>46110</v>
      </c>
      <c r="C1154" s="11" t="inlineStr">
        <is>
          <t>INTF</t>
        </is>
      </c>
      <c r="D1154" s="11" t="inlineStr">
        <is>
          <t>202603</t>
        </is>
      </c>
      <c r="E1154" s="11" t="inlineStr">
        <is>
          <t>1123323841</t>
        </is>
      </c>
      <c r="F1154" s="11" t="inlineStr">
        <is>
          <t>CAICEDO YELA RODRIGO</t>
        </is>
      </c>
      <c r="G1154" s="11" t="inlineStr"/>
      <c r="H1154" s="11" t="inlineStr">
        <is>
          <t>INTERFACE P.O.S.</t>
        </is>
      </c>
      <c r="I1154" s="11" t="n">
        <v>24200</v>
      </c>
      <c r="J1154" s="11" t="inlineStr"/>
    </row>
    <row r="1155">
      <c r="A1155" s="11" t="n">
        <v>1154</v>
      </c>
      <c r="B1155" s="12" t="n">
        <v>46110</v>
      </c>
      <c r="C1155" s="11" t="inlineStr">
        <is>
          <t>INTF</t>
        </is>
      </c>
      <c r="D1155" s="11" t="inlineStr">
        <is>
          <t>202603</t>
        </is>
      </c>
      <c r="E1155" s="11" t="inlineStr">
        <is>
          <t>1092455694</t>
        </is>
      </c>
      <c r="F1155" s="11" t="inlineStr">
        <is>
          <t>SEPULVEDAD CARDOZO V</t>
        </is>
      </c>
      <c r="G1155" s="11" t="inlineStr"/>
      <c r="H1155" s="11" t="inlineStr">
        <is>
          <t>INTERFACE P.O.S.</t>
        </is>
      </c>
      <c r="I1155" s="11" t="n">
        <v>5200</v>
      </c>
      <c r="J1155" s="11" t="inlineStr"/>
    </row>
    <row r="1156">
      <c r="A1156" s="11" t="n">
        <v>1155</v>
      </c>
      <c r="B1156" s="12" t="n">
        <v>46110</v>
      </c>
      <c r="C1156" s="11" t="inlineStr">
        <is>
          <t>INTF</t>
        </is>
      </c>
      <c r="D1156" s="11" t="inlineStr">
        <is>
          <t>202603</t>
        </is>
      </c>
      <c r="E1156" s="11" t="inlineStr">
        <is>
          <t>1120100991</t>
        </is>
      </c>
      <c r="F1156" s="11" t="inlineStr">
        <is>
          <t>CUARAN VILLAMARIN FE</t>
        </is>
      </c>
      <c r="G1156" s="11" t="inlineStr"/>
      <c r="H1156" s="11" t="inlineStr">
        <is>
          <t>INTERFACE P.O.S.</t>
        </is>
      </c>
      <c r="I1156" s="11" t="n">
        <v>7400</v>
      </c>
      <c r="J1156" s="11" t="inlineStr"/>
    </row>
    <row r="1157">
      <c r="A1157" s="11" t="n">
        <v>1156</v>
      </c>
      <c r="B1157" s="12" t="n">
        <v>46110</v>
      </c>
      <c r="C1157" s="11" t="inlineStr">
        <is>
          <t>INTF</t>
        </is>
      </c>
      <c r="D1157" s="11" t="inlineStr">
        <is>
          <t>202603</t>
        </is>
      </c>
      <c r="E1157" s="11" t="inlineStr">
        <is>
          <t>1130144808</t>
        </is>
      </c>
      <c r="F1157" s="11" t="inlineStr">
        <is>
          <t>BENAVIDES ARIAS KATH</t>
        </is>
      </c>
      <c r="G1157" s="11" t="inlineStr"/>
      <c r="H1157" s="11" t="inlineStr">
        <is>
          <t>INTERFACE P.O.S.</t>
        </is>
      </c>
      <c r="I1157" s="11" t="n">
        <v>23300</v>
      </c>
      <c r="J1157" s="11" t="inlineStr"/>
    </row>
    <row r="1158">
      <c r="A1158" s="11" t="n">
        <v>1157</v>
      </c>
      <c r="B1158" s="12" t="n">
        <v>46110</v>
      </c>
      <c r="C1158" s="11" t="inlineStr">
        <is>
          <t>INTF</t>
        </is>
      </c>
      <c r="D1158" s="11" t="inlineStr">
        <is>
          <t>202603</t>
        </is>
      </c>
      <c r="E1158" s="11" t="inlineStr">
        <is>
          <t>1123329714</t>
        </is>
      </c>
      <c r="F1158" s="11" t="inlineStr">
        <is>
          <t>RODRIGUEZ BASTIDAS J</t>
        </is>
      </c>
      <c r="G1158" s="11" t="inlineStr"/>
      <c r="H1158" s="11" t="inlineStr">
        <is>
          <t>INTERFACE P.O.S.</t>
        </is>
      </c>
      <c r="I1158" s="11" t="n">
        <v>107100</v>
      </c>
      <c r="J1158" s="11" t="inlineStr"/>
    </row>
    <row r="1159">
      <c r="A1159" s="11" t="n">
        <v>1158</v>
      </c>
      <c r="B1159" s="12" t="n">
        <v>46110</v>
      </c>
      <c r="C1159" s="11" t="inlineStr">
        <is>
          <t>INTF</t>
        </is>
      </c>
      <c r="D1159" s="11" t="inlineStr">
        <is>
          <t>202603</t>
        </is>
      </c>
      <c r="E1159" s="11" t="inlineStr">
        <is>
          <t>1087209923</t>
        </is>
      </c>
      <c r="F1159" s="11" t="inlineStr">
        <is>
          <t>CASTRO PALACIO NEFE</t>
        </is>
      </c>
      <c r="G1159" s="11" t="inlineStr"/>
      <c r="H1159" s="11" t="inlineStr">
        <is>
          <t>INTERFACE P.O.S.</t>
        </is>
      </c>
      <c r="I1159" s="11" t="n">
        <v>14500</v>
      </c>
      <c r="J1159" s="11" t="inlineStr"/>
    </row>
    <row r="1160">
      <c r="A1160" s="11" t="n">
        <v>1159</v>
      </c>
      <c r="B1160" s="12" t="n">
        <v>46110</v>
      </c>
      <c r="C1160" s="11" t="inlineStr">
        <is>
          <t>INTF</t>
        </is>
      </c>
      <c r="D1160" s="11" t="inlineStr">
        <is>
          <t>202603</t>
        </is>
      </c>
      <c r="E1160" s="11" t="inlineStr">
        <is>
          <t>1006996288</t>
        </is>
      </c>
      <c r="F1160" s="11" t="inlineStr">
        <is>
          <t>CONGOTE ARBOLEDA JOR</t>
        </is>
      </c>
      <c r="G1160" s="11" t="inlineStr"/>
      <c r="H1160" s="11" t="inlineStr">
        <is>
          <t>INTERFACE P.O.S.</t>
        </is>
      </c>
      <c r="I1160" s="11" t="n">
        <v>8000</v>
      </c>
      <c r="J1160" s="11" t="inlineStr"/>
    </row>
    <row r="1161">
      <c r="A1161" s="11" t="n">
        <v>1160</v>
      </c>
      <c r="B1161" s="12" t="n">
        <v>46110</v>
      </c>
      <c r="C1161" s="11" t="inlineStr">
        <is>
          <t>INTF</t>
        </is>
      </c>
      <c r="D1161" s="11" t="inlineStr">
        <is>
          <t>202603</t>
        </is>
      </c>
      <c r="E1161" s="11" t="inlineStr">
        <is>
          <t>1123328448</t>
        </is>
      </c>
      <c r="F1161" s="11" t="inlineStr">
        <is>
          <t>TAICUS CANTICUS GERA</t>
        </is>
      </c>
      <c r="G1161" s="11" t="inlineStr"/>
      <c r="H1161" s="11" t="inlineStr">
        <is>
          <t>INTERFACE P.O.S.</t>
        </is>
      </c>
      <c r="I1161" s="11" t="n">
        <v>54300</v>
      </c>
      <c r="J1161" s="11" t="inlineStr"/>
    </row>
    <row r="1162">
      <c r="A1162" s="11" t="n">
        <v>1161</v>
      </c>
      <c r="B1162" s="12" t="n">
        <v>46110</v>
      </c>
      <c r="C1162" s="11" t="inlineStr">
        <is>
          <t>INTF</t>
        </is>
      </c>
      <c r="D1162" s="11" t="inlineStr">
        <is>
          <t>202603</t>
        </is>
      </c>
      <c r="E1162" s="11" t="inlineStr">
        <is>
          <t>1130643711</t>
        </is>
      </c>
      <c r="F1162" s="11" t="inlineStr">
        <is>
          <t>MEDINA MOSQUERA LUZ</t>
        </is>
      </c>
      <c r="G1162" s="11" t="inlineStr"/>
      <c r="H1162" s="11" t="inlineStr">
        <is>
          <t>INTERFACE P.O.S.</t>
        </is>
      </c>
      <c r="I1162" s="11" t="n">
        <v>12700</v>
      </c>
      <c r="J1162" s="11" t="inlineStr"/>
    </row>
    <row r="1163">
      <c r="A1163" s="11" t="n">
        <v>1162</v>
      </c>
      <c r="B1163" s="12" t="n">
        <v>46110</v>
      </c>
      <c r="C1163" s="11" t="inlineStr">
        <is>
          <t>INTF</t>
        </is>
      </c>
      <c r="D1163" s="11" t="inlineStr">
        <is>
          <t>202603</t>
        </is>
      </c>
      <c r="E1163" s="11" t="inlineStr">
        <is>
          <t>1123331196</t>
        </is>
      </c>
      <c r="F1163" s="11" t="inlineStr">
        <is>
          <t>PRADO VELASCO AN</t>
        </is>
      </c>
      <c r="G1163" s="11" t="inlineStr"/>
      <c r="H1163" s="11" t="inlineStr">
        <is>
          <t>INTERFACE P.O.S.</t>
        </is>
      </c>
      <c r="I1163" s="11" t="n">
        <v>14000</v>
      </c>
      <c r="J1163" s="11" t="inlineStr"/>
    </row>
    <row r="1164">
      <c r="A1164" s="11" t="n">
        <v>1163</v>
      </c>
      <c r="B1164" s="12" t="n">
        <v>46110</v>
      </c>
      <c r="C1164" s="11" t="inlineStr">
        <is>
          <t>INTF</t>
        </is>
      </c>
      <c r="D1164" s="11" t="inlineStr">
        <is>
          <t>202603</t>
        </is>
      </c>
      <c r="E1164" s="11" t="inlineStr">
        <is>
          <t>1117497936</t>
        </is>
      </c>
      <c r="F1164" s="11" t="inlineStr">
        <is>
          <t>MARTINEZ GASCA KEYNY</t>
        </is>
      </c>
      <c r="G1164" s="11" t="inlineStr"/>
      <c r="H1164" s="11" t="inlineStr">
        <is>
          <t>INTERFACE P.O.S.</t>
        </is>
      </c>
      <c r="I1164" s="11" t="n">
        <v>71700</v>
      </c>
      <c r="J1164" s="11" t="inlineStr"/>
    </row>
    <row r="1165">
      <c r="A1165" s="11" t="n">
        <v>1164</v>
      </c>
      <c r="B1165" s="12" t="n">
        <v>46110</v>
      </c>
      <c r="C1165" s="11" t="inlineStr">
        <is>
          <t>INTF</t>
        </is>
      </c>
      <c r="D1165" s="11" t="inlineStr">
        <is>
          <t>202603</t>
        </is>
      </c>
      <c r="E1165" s="11" t="inlineStr">
        <is>
          <t>1123324102</t>
        </is>
      </c>
      <c r="F1165" s="11" t="inlineStr">
        <is>
          <t>DOVIGAMA NACAVERA JO</t>
        </is>
      </c>
      <c r="G1165" s="11" t="inlineStr"/>
      <c r="H1165" s="11" t="inlineStr">
        <is>
          <t>INTERFACE P.O.S.</t>
        </is>
      </c>
      <c r="I1165" s="11" t="n">
        <v>6000</v>
      </c>
      <c r="J1165" s="11" t="inlineStr"/>
    </row>
    <row r="1166">
      <c r="A1166" s="11" t="n">
        <v>1165</v>
      </c>
      <c r="B1166" s="12" t="n">
        <v>46110</v>
      </c>
      <c r="C1166" s="11" t="inlineStr">
        <is>
          <t>INTF</t>
        </is>
      </c>
      <c r="D1166" s="11" t="inlineStr">
        <is>
          <t>202603</t>
        </is>
      </c>
      <c r="E1166" s="11" t="inlineStr">
        <is>
          <t>18146529</t>
        </is>
      </c>
      <c r="F1166" s="11" t="inlineStr">
        <is>
          <t>CORREA ALVAREZ ALEXA</t>
        </is>
      </c>
      <c r="G1166" s="11" t="inlineStr"/>
      <c r="H1166" s="11" t="inlineStr">
        <is>
          <t>INTERFACE P.O.S.</t>
        </is>
      </c>
      <c r="I1166" s="11" t="n">
        <v>71900</v>
      </c>
      <c r="J1166" s="11" t="inlineStr"/>
    </row>
    <row r="1167">
      <c r="A1167" s="11" t="n">
        <v>1166</v>
      </c>
      <c r="B1167" s="12" t="n">
        <v>46110</v>
      </c>
      <c r="C1167" s="11" t="inlineStr">
        <is>
          <t>INTF</t>
        </is>
      </c>
      <c r="D1167" s="11" t="inlineStr">
        <is>
          <t>202603</t>
        </is>
      </c>
      <c r="E1167" s="11" t="inlineStr">
        <is>
          <t>1124863915</t>
        </is>
      </c>
      <c r="F1167" s="11" t="inlineStr">
        <is>
          <t>ZAMBRANO ZUIN OMAR Y</t>
        </is>
      </c>
      <c r="G1167" s="11" t="inlineStr"/>
      <c r="H1167" s="11" t="inlineStr">
        <is>
          <t>INTERFACE P.O.S.</t>
        </is>
      </c>
      <c r="I1167" s="11" t="n">
        <v>7300</v>
      </c>
      <c r="J1167" s="11" t="inlineStr"/>
    </row>
    <row r="1168">
      <c r="A1168" s="11" t="n">
        <v>1167</v>
      </c>
      <c r="B1168" s="12" t="n">
        <v>46110</v>
      </c>
      <c r="C1168" s="11" t="inlineStr">
        <is>
          <t>INTF</t>
        </is>
      </c>
      <c r="D1168" s="11" t="inlineStr">
        <is>
          <t>202603</t>
        </is>
      </c>
      <c r="E1168" s="11" t="inlineStr">
        <is>
          <t>1193088315</t>
        </is>
      </c>
      <c r="F1168" s="11" t="inlineStr">
        <is>
          <t>MONTENEGRO BOLAÑOS I</t>
        </is>
      </c>
      <c r="G1168" s="11" t="inlineStr"/>
      <c r="H1168" s="11" t="inlineStr">
        <is>
          <t>INTERFACE P.O.S.</t>
        </is>
      </c>
      <c r="I1168" s="11" t="n">
        <v>10000</v>
      </c>
      <c r="J1168" s="11" t="inlineStr"/>
    </row>
    <row r="1169">
      <c r="A1169" s="11" t="n">
        <v>1168</v>
      </c>
      <c r="B1169" s="12" t="n">
        <v>46110</v>
      </c>
      <c r="C1169" s="11" t="inlineStr">
        <is>
          <t>INTF</t>
        </is>
      </c>
      <c r="D1169" s="11" t="inlineStr">
        <is>
          <t>202603</t>
        </is>
      </c>
      <c r="E1169" s="11" t="inlineStr">
        <is>
          <t>1023888740</t>
        </is>
      </c>
      <c r="F1169" s="11" t="inlineStr">
        <is>
          <t>GARZON ROCHA WILSON</t>
        </is>
      </c>
      <c r="G1169" s="11" t="inlineStr"/>
      <c r="H1169" s="11" t="inlineStr">
        <is>
          <t>INTERFACE P.O.S.</t>
        </is>
      </c>
      <c r="I1169" s="11" t="n">
        <v>10000</v>
      </c>
      <c r="J1169" s="11" t="inlineStr"/>
    </row>
    <row r="1170">
      <c r="A1170" s="11" t="n">
        <v>1169</v>
      </c>
      <c r="B1170" s="12" t="n">
        <v>46110</v>
      </c>
      <c r="C1170" s="11" t="inlineStr">
        <is>
          <t>INTF</t>
        </is>
      </c>
      <c r="D1170" s="11" t="inlineStr">
        <is>
          <t>202603</t>
        </is>
      </c>
      <c r="E1170" s="11" t="inlineStr">
        <is>
          <t>1110297964</t>
        </is>
      </c>
      <c r="F1170" s="11" t="inlineStr">
        <is>
          <t>ZULETA BERNAL ANJELI</t>
        </is>
      </c>
      <c r="G1170" s="11" t="inlineStr"/>
      <c r="H1170" s="11" t="inlineStr">
        <is>
          <t>INTERFACE P.O.S.</t>
        </is>
      </c>
      <c r="I1170" s="11" t="n">
        <v>7500</v>
      </c>
      <c r="J1170" s="11" t="inlineStr"/>
    </row>
    <row r="1171">
      <c r="A1171" s="11" t="n">
        <v>1170</v>
      </c>
      <c r="B1171" s="12" t="n">
        <v>46110</v>
      </c>
      <c r="C1171" s="11" t="inlineStr">
        <is>
          <t>INTF</t>
        </is>
      </c>
      <c r="D1171" s="11" t="inlineStr">
        <is>
          <t>202603</t>
        </is>
      </c>
      <c r="E1171" s="11" t="inlineStr">
        <is>
          <t>1010070530</t>
        </is>
      </c>
      <c r="F1171" s="11" t="inlineStr">
        <is>
          <t>RODRIGUEZ DIANA</t>
        </is>
      </c>
      <c r="G1171" s="11" t="inlineStr"/>
      <c r="H1171" s="11" t="inlineStr">
        <is>
          <t>INTERFACE P.O.S.</t>
        </is>
      </c>
      <c r="I1171" s="11" t="n">
        <v>40200</v>
      </c>
      <c r="J1171" s="11" t="inlineStr"/>
    </row>
    <row r="1172">
      <c r="A1172" s="11" t="n">
        <v>1171</v>
      </c>
      <c r="B1172" s="12" t="n">
        <v>46110</v>
      </c>
      <c r="C1172" s="11" t="inlineStr">
        <is>
          <t>INTF</t>
        </is>
      </c>
      <c r="D1172" s="11" t="inlineStr">
        <is>
          <t>202603</t>
        </is>
      </c>
      <c r="E1172" s="11" t="inlineStr">
        <is>
          <t>1085347117</t>
        </is>
      </c>
      <c r="F1172" s="11" t="inlineStr">
        <is>
          <t>ESPAÑA CRIOLLO ARBEY</t>
        </is>
      </c>
      <c r="G1172" s="11" t="inlineStr"/>
      <c r="H1172" s="11" t="inlineStr">
        <is>
          <t>INTERFACE P.O.S.</t>
        </is>
      </c>
      <c r="I1172" s="11" t="n">
        <v>30200</v>
      </c>
      <c r="J1172" s="11" t="inlineStr"/>
    </row>
    <row r="1173">
      <c r="A1173" s="11" t="n">
        <v>1172</v>
      </c>
      <c r="B1173" s="12" t="n">
        <v>46110</v>
      </c>
      <c r="C1173" s="11" t="inlineStr">
        <is>
          <t>INTF</t>
        </is>
      </c>
      <c r="D1173" s="11" t="inlineStr">
        <is>
          <t>202603</t>
        </is>
      </c>
      <c r="E1173" s="11" t="inlineStr">
        <is>
          <t>1061528738</t>
        </is>
      </c>
      <c r="F1173" s="11" t="inlineStr">
        <is>
          <t>GARCES CRUZ YURI</t>
        </is>
      </c>
      <c r="G1173" s="11" t="inlineStr"/>
      <c r="H1173" s="11" t="inlineStr">
        <is>
          <t>INTERFACE P.O.S.</t>
        </is>
      </c>
      <c r="I1173" s="11" t="n">
        <v>20000</v>
      </c>
      <c r="J1173" s="11" t="inlineStr"/>
    </row>
    <row r="1174">
      <c r="A1174" s="11" t="n">
        <v>1173</v>
      </c>
      <c r="B1174" s="12" t="n">
        <v>46110</v>
      </c>
      <c r="C1174" s="11" t="inlineStr">
        <is>
          <t>INTF</t>
        </is>
      </c>
      <c r="D1174" s="11" t="inlineStr">
        <is>
          <t>202603</t>
        </is>
      </c>
      <c r="E1174" s="11" t="inlineStr">
        <is>
          <t>1006849376</t>
        </is>
      </c>
      <c r="F1174" s="11" t="inlineStr">
        <is>
          <t>QUISTIAL NOGUERA CRI</t>
        </is>
      </c>
      <c r="G1174" s="11" t="inlineStr"/>
      <c r="H1174" s="11" t="inlineStr">
        <is>
          <t>INTERFACE P.O.S.</t>
        </is>
      </c>
      <c r="I1174" s="11" t="n">
        <v>9400</v>
      </c>
      <c r="J1174" s="11" t="inlineStr"/>
    </row>
    <row r="1175">
      <c r="A1175" s="11" t="n">
        <v>1174</v>
      </c>
      <c r="B1175" s="12" t="n">
        <v>46110</v>
      </c>
      <c r="C1175" s="11" t="inlineStr">
        <is>
          <t>INTF</t>
        </is>
      </c>
      <c r="D1175" s="11" t="inlineStr">
        <is>
          <t>202603</t>
        </is>
      </c>
      <c r="E1175" s="11" t="inlineStr">
        <is>
          <t>1006848667</t>
        </is>
      </c>
      <c r="F1175" s="11" t="inlineStr">
        <is>
          <t>SEGURA TIMARAN JHONI</t>
        </is>
      </c>
      <c r="G1175" s="11" t="inlineStr"/>
      <c r="H1175" s="11" t="inlineStr">
        <is>
          <t>INTERFACE P.O.S.</t>
        </is>
      </c>
      <c r="I1175" s="11" t="n">
        <v>11300</v>
      </c>
      <c r="J1175" s="11" t="inlineStr"/>
    </row>
    <row r="1176">
      <c r="A1176" s="11" t="n">
        <v>1175</v>
      </c>
      <c r="B1176" s="12" t="n">
        <v>46110</v>
      </c>
      <c r="C1176" s="11" t="inlineStr">
        <is>
          <t>INTF</t>
        </is>
      </c>
      <c r="D1176" s="11" t="inlineStr">
        <is>
          <t>202603</t>
        </is>
      </c>
      <c r="E1176" s="11" t="inlineStr">
        <is>
          <t>1123320764</t>
        </is>
      </c>
      <c r="F1176" s="11" t="inlineStr">
        <is>
          <t>JOSA RUIZ ELENA</t>
        </is>
      </c>
      <c r="G1176" s="11" t="inlineStr"/>
      <c r="H1176" s="11" t="inlineStr">
        <is>
          <t>INTERFACE P.O.S.</t>
        </is>
      </c>
      <c r="I1176" s="11" t="n">
        <v>24700</v>
      </c>
      <c r="J1176" s="11" t="inlineStr"/>
    </row>
    <row r="1177">
      <c r="A1177" s="11" t="n">
        <v>1176</v>
      </c>
      <c r="B1177" s="12" t="n">
        <v>46110</v>
      </c>
      <c r="C1177" s="11" t="inlineStr">
        <is>
          <t>INTF</t>
        </is>
      </c>
      <c r="D1177" s="11" t="inlineStr">
        <is>
          <t>202603</t>
        </is>
      </c>
      <c r="E1177" s="11" t="inlineStr">
        <is>
          <t>1006850158</t>
        </is>
      </c>
      <c r="F1177" s="11" t="inlineStr">
        <is>
          <t>MOREANO GUEVARA YURA</t>
        </is>
      </c>
      <c r="G1177" s="11" t="inlineStr"/>
      <c r="H1177" s="11" t="inlineStr">
        <is>
          <t>INTERFACE P.O.S.</t>
        </is>
      </c>
      <c r="I1177" s="11" t="n">
        <v>30000</v>
      </c>
      <c r="J1177" s="11" t="inlineStr"/>
    </row>
    <row r="1178">
      <c r="A1178" s="11" t="n">
        <v>1177</v>
      </c>
      <c r="B1178" s="12" t="n">
        <v>46111</v>
      </c>
      <c r="C1178" s="11" t="inlineStr">
        <is>
          <t>CE</t>
        </is>
      </c>
      <c r="D1178" s="11" t="inlineStr">
        <is>
          <t>9474</t>
        </is>
      </c>
      <c r="E1178" s="11" t="inlineStr">
        <is>
          <t>800052534</t>
        </is>
      </c>
      <c r="F1178" s="11" t="inlineStr">
        <is>
          <t>DISTRIBUCIONES AXA S</t>
        </is>
      </c>
      <c r="G1178" s="11" t="inlineStr">
        <is>
          <t>M05090902</t>
        </is>
      </c>
      <c r="H1178" s="11" t="inlineStr">
        <is>
          <t>PF AXA</t>
        </is>
      </c>
      <c r="I1178" s="11" t="inlineStr"/>
      <c r="J1178" s="11" t="n">
        <v>957475</v>
      </c>
    </row>
    <row r="1179">
      <c r="A1179" s="11" t="n">
        <v>1178</v>
      </c>
      <c r="B1179" s="12" t="n">
        <v>46111</v>
      </c>
      <c r="C1179" s="11" t="inlineStr">
        <is>
          <t>CE</t>
        </is>
      </c>
      <c r="D1179" s="11" t="inlineStr">
        <is>
          <t>9475</t>
        </is>
      </c>
      <c r="E1179" s="11" t="inlineStr">
        <is>
          <t>901787934</t>
        </is>
      </c>
      <c r="F1179" s="11" t="inlineStr">
        <is>
          <t>SURTIVENTAS DE NARIÑ</t>
        </is>
      </c>
      <c r="G1179" s="11" t="inlineStr">
        <is>
          <t>M05296856</t>
        </is>
      </c>
      <c r="H1179" s="11" t="inlineStr">
        <is>
          <t>PF ALPINA</t>
        </is>
      </c>
      <c r="I1179" s="11" t="inlineStr"/>
      <c r="J1179" s="11" t="n">
        <v>494607</v>
      </c>
    </row>
    <row r="1180">
      <c r="A1180" s="11" t="n">
        <v>1179</v>
      </c>
      <c r="B1180" s="12" t="n">
        <v>46111</v>
      </c>
      <c r="C1180" s="11" t="inlineStr">
        <is>
          <t>CE</t>
        </is>
      </c>
      <c r="D1180" s="11" t="inlineStr">
        <is>
          <t>9476</t>
        </is>
      </c>
      <c r="E1180" s="11" t="inlineStr">
        <is>
          <t>12960879</t>
        </is>
      </c>
      <c r="F1180" s="11" t="inlineStr">
        <is>
          <t>PATIÑO HERMES ANTONI</t>
        </is>
      </c>
      <c r="G1180" s="11" t="inlineStr">
        <is>
          <t>M05749247</t>
        </is>
      </c>
      <c r="H1180" s="11" t="inlineStr">
        <is>
          <t>PF ZENU</t>
        </is>
      </c>
      <c r="I1180" s="11" t="inlineStr"/>
      <c r="J1180" s="11" t="n">
        <v>2087101</v>
      </c>
    </row>
    <row r="1181">
      <c r="A1181" s="11" t="n">
        <v>1180</v>
      </c>
      <c r="B1181" s="12" t="n">
        <v>46111</v>
      </c>
      <c r="C1181" s="11" t="inlineStr">
        <is>
          <t>INTF</t>
        </is>
      </c>
      <c r="D1181" s="11" t="inlineStr">
        <is>
          <t>202603</t>
        </is>
      </c>
      <c r="E1181" s="11" t="inlineStr">
        <is>
          <t>1123322058</t>
        </is>
      </c>
      <c r="F1181" s="11" t="inlineStr">
        <is>
          <t>RIASCOS PIAGUAJE FRE</t>
        </is>
      </c>
      <c r="G1181" s="11" t="inlineStr"/>
      <c r="H1181" s="11" t="inlineStr">
        <is>
          <t>INTERFACE P.O.S.</t>
        </is>
      </c>
      <c r="I1181" s="11" t="n">
        <v>32086</v>
      </c>
      <c r="J1181" s="11" t="inlineStr"/>
    </row>
    <row r="1182">
      <c r="A1182" s="11" t="n">
        <v>1181</v>
      </c>
      <c r="B1182" s="12" t="n">
        <v>46111</v>
      </c>
      <c r="C1182" s="11" t="inlineStr">
        <is>
          <t>INTF</t>
        </is>
      </c>
      <c r="D1182" s="11" t="inlineStr">
        <is>
          <t>202603</t>
        </is>
      </c>
      <c r="E1182" s="11" t="inlineStr">
        <is>
          <t>41110276</t>
        </is>
      </c>
      <c r="F1182" s="11" t="inlineStr">
        <is>
          <t>CORTEZ CAYCEDO HELID</t>
        </is>
      </c>
      <c r="G1182" s="11" t="inlineStr"/>
      <c r="H1182" s="11" t="inlineStr">
        <is>
          <t>INTERFACE P.O.S.</t>
        </is>
      </c>
      <c r="I1182" s="11" t="n">
        <v>5700</v>
      </c>
      <c r="J1182" s="11" t="inlineStr"/>
    </row>
    <row r="1183">
      <c r="A1183" s="11" t="n">
        <v>1182</v>
      </c>
      <c r="B1183" s="12" t="n">
        <v>46111</v>
      </c>
      <c r="C1183" s="11" t="inlineStr">
        <is>
          <t>INTF</t>
        </is>
      </c>
      <c r="D1183" s="11" t="inlineStr">
        <is>
          <t>202603</t>
        </is>
      </c>
      <c r="E1183" s="11" t="inlineStr">
        <is>
          <t>1086329255</t>
        </is>
      </c>
      <c r="F1183" s="11" t="inlineStr">
        <is>
          <t>ERAZO CUARAN MARWIN</t>
        </is>
      </c>
      <c r="G1183" s="11" t="inlineStr"/>
      <c r="H1183" s="11" t="inlineStr">
        <is>
          <t>INTERFACE P.O.S.</t>
        </is>
      </c>
      <c r="I1183" s="11" t="n">
        <v>8800</v>
      </c>
      <c r="J1183" s="11" t="inlineStr"/>
    </row>
    <row r="1184">
      <c r="A1184" s="11" t="n">
        <v>1183</v>
      </c>
      <c r="B1184" s="12" t="n">
        <v>46111</v>
      </c>
      <c r="C1184" s="11" t="inlineStr">
        <is>
          <t>INTF</t>
        </is>
      </c>
      <c r="D1184" s="11" t="inlineStr">
        <is>
          <t>202603</t>
        </is>
      </c>
      <c r="E1184" s="11" t="inlineStr">
        <is>
          <t>846000474</t>
        </is>
      </c>
      <c r="F1184" s="11" t="inlineStr">
        <is>
          <t>EMPRESA SOCIAL DEL E</t>
        </is>
      </c>
      <c r="G1184" s="11" t="inlineStr"/>
      <c r="H1184" s="11" t="inlineStr">
        <is>
          <t>INTERFACE P.O.S.</t>
        </is>
      </c>
      <c r="I1184" s="11" t="n">
        <v>15200</v>
      </c>
      <c r="J1184" s="11" t="inlineStr"/>
    </row>
    <row r="1185">
      <c r="A1185" s="11" t="n">
        <v>1184</v>
      </c>
      <c r="B1185" s="12" t="n">
        <v>46111</v>
      </c>
      <c r="C1185" s="11" t="inlineStr">
        <is>
          <t>INTF</t>
        </is>
      </c>
      <c r="D1185" s="11" t="inlineStr">
        <is>
          <t>202603</t>
        </is>
      </c>
      <c r="E1185" s="11" t="inlineStr">
        <is>
          <t>1123323769</t>
        </is>
      </c>
      <c r="F1185" s="11" t="inlineStr">
        <is>
          <t>CORDERO CORREA DIANA</t>
        </is>
      </c>
      <c r="G1185" s="11" t="inlineStr"/>
      <c r="H1185" s="11" t="inlineStr">
        <is>
          <t>INTERFACE P.O.S.</t>
        </is>
      </c>
      <c r="I1185" s="11" t="n">
        <v>79000</v>
      </c>
      <c r="J1185" s="11" t="inlineStr"/>
    </row>
    <row r="1186">
      <c r="A1186" s="11" t="n">
        <v>1185</v>
      </c>
      <c r="B1186" s="12" t="n">
        <v>46111</v>
      </c>
      <c r="C1186" s="11" t="inlineStr">
        <is>
          <t>INTF</t>
        </is>
      </c>
      <c r="D1186" s="11" t="inlineStr">
        <is>
          <t>202603</t>
        </is>
      </c>
      <c r="E1186" s="11" t="inlineStr">
        <is>
          <t>18144803</t>
        </is>
      </c>
      <c r="F1186" s="11" t="inlineStr">
        <is>
          <t>LONSERIA CORTEZ RODR</t>
        </is>
      </c>
      <c r="G1186" s="11" t="inlineStr"/>
      <c r="H1186" s="11" t="inlineStr">
        <is>
          <t>INTERFACE P.O.S.</t>
        </is>
      </c>
      <c r="I1186" s="11" t="n">
        <v>96000</v>
      </c>
      <c r="J1186" s="11" t="inlineStr"/>
    </row>
    <row r="1187">
      <c r="A1187" s="11" t="n">
        <v>1186</v>
      </c>
      <c r="B1187" s="12" t="n">
        <v>46111</v>
      </c>
      <c r="C1187" s="11" t="inlineStr">
        <is>
          <t>INTF</t>
        </is>
      </c>
      <c r="D1187" s="11" t="inlineStr">
        <is>
          <t>202603</t>
        </is>
      </c>
      <c r="E1187" s="11" t="inlineStr">
        <is>
          <t>79557789</t>
        </is>
      </c>
      <c r="F1187" s="11" t="inlineStr">
        <is>
          <t>CORDOBA PORTILLA ORL</t>
        </is>
      </c>
      <c r="G1187" s="11" t="inlineStr"/>
      <c r="H1187" s="11" t="inlineStr">
        <is>
          <t>INTERFACE P.O.S.</t>
        </is>
      </c>
      <c r="I1187" s="11" t="n">
        <v>34500</v>
      </c>
      <c r="J1187" s="11" t="inlineStr"/>
    </row>
    <row r="1188">
      <c r="A1188" s="11" t="n">
        <v>1187</v>
      </c>
      <c r="B1188" s="12" t="n">
        <v>46111</v>
      </c>
      <c r="C1188" s="11" t="inlineStr">
        <is>
          <t>INTF</t>
        </is>
      </c>
      <c r="D1188" s="11" t="inlineStr">
        <is>
          <t>202603</t>
        </is>
      </c>
      <c r="E1188" s="11" t="inlineStr">
        <is>
          <t>87027236</t>
        </is>
      </c>
      <c r="F1188" s="11" t="inlineStr">
        <is>
          <t>GOMEZ HERNANDEZ JOHN</t>
        </is>
      </c>
      <c r="G1188" s="11" t="inlineStr"/>
      <c r="H1188" s="11" t="inlineStr">
        <is>
          <t>INTERFACE P.O.S.</t>
        </is>
      </c>
      <c r="I1188" s="11" t="n">
        <v>8100</v>
      </c>
      <c r="J1188" s="11" t="inlineStr"/>
    </row>
    <row r="1189">
      <c r="A1189" s="11" t="n">
        <v>1188</v>
      </c>
      <c r="B1189" s="12" t="n">
        <v>46111</v>
      </c>
      <c r="C1189" s="11" t="inlineStr">
        <is>
          <t>INTF</t>
        </is>
      </c>
      <c r="D1189" s="11" t="inlineStr">
        <is>
          <t>202603</t>
        </is>
      </c>
      <c r="E1189" s="11" t="inlineStr">
        <is>
          <t>1006848438</t>
        </is>
      </c>
      <c r="F1189" s="11" t="inlineStr">
        <is>
          <t>LEIVA CIRO DANIELA F</t>
        </is>
      </c>
      <c r="G1189" s="11" t="inlineStr"/>
      <c r="H1189" s="11" t="inlineStr">
        <is>
          <t>INTERFACE P.O.S.</t>
        </is>
      </c>
      <c r="I1189" s="11" t="n">
        <v>8000</v>
      </c>
      <c r="J1189" s="11" t="inlineStr"/>
    </row>
    <row r="1190">
      <c r="A1190" s="11" t="n">
        <v>1189</v>
      </c>
      <c r="B1190" s="12" t="n">
        <v>46111</v>
      </c>
      <c r="C1190" s="11" t="inlineStr">
        <is>
          <t>INTF</t>
        </is>
      </c>
      <c r="D1190" s="11" t="inlineStr">
        <is>
          <t>202603</t>
        </is>
      </c>
      <c r="E1190" s="11" t="inlineStr">
        <is>
          <t>1005026004</t>
        </is>
      </c>
      <c r="F1190" s="11" t="inlineStr">
        <is>
          <t>CARVAJAL PORTILLA LE</t>
        </is>
      </c>
      <c r="G1190" s="11" t="inlineStr"/>
      <c r="H1190" s="11" t="inlineStr">
        <is>
          <t>INTERFACE P.O.S.</t>
        </is>
      </c>
      <c r="I1190" s="11" t="n">
        <v>6500</v>
      </c>
      <c r="J1190" s="11" t="inlineStr"/>
    </row>
    <row r="1191">
      <c r="A1191" s="11" t="n">
        <v>1190</v>
      </c>
      <c r="B1191" s="12" t="n">
        <v>46111</v>
      </c>
      <c r="C1191" s="11" t="inlineStr">
        <is>
          <t>INTF</t>
        </is>
      </c>
      <c r="D1191" s="11" t="inlineStr">
        <is>
          <t>202603</t>
        </is>
      </c>
      <c r="E1191" s="11" t="inlineStr">
        <is>
          <t>1073693731</t>
        </is>
      </c>
      <c r="F1191" s="11" t="inlineStr">
        <is>
          <t>NARVAEZ ACOSTA IDALY</t>
        </is>
      </c>
      <c r="G1191" s="11" t="inlineStr"/>
      <c r="H1191" s="11" t="inlineStr">
        <is>
          <t>INTERFACE P.O.S.</t>
        </is>
      </c>
      <c r="I1191" s="11" t="n">
        <v>10200</v>
      </c>
      <c r="J1191" s="11" t="inlineStr"/>
    </row>
    <row r="1192">
      <c r="A1192" s="11" t="n">
        <v>1191</v>
      </c>
      <c r="B1192" s="12" t="n">
        <v>46111</v>
      </c>
      <c r="C1192" s="11" t="inlineStr">
        <is>
          <t>INTF</t>
        </is>
      </c>
      <c r="D1192" s="11" t="inlineStr">
        <is>
          <t>202603</t>
        </is>
      </c>
      <c r="E1192" s="11" t="inlineStr">
        <is>
          <t>1123331415</t>
        </is>
      </c>
      <c r="F1192" s="11" t="inlineStr">
        <is>
          <t>CAHUASA ANGULO ISMEN</t>
        </is>
      </c>
      <c r="G1192" s="11" t="inlineStr"/>
      <c r="H1192" s="11" t="inlineStr">
        <is>
          <t>INTERFACE P.O.S.</t>
        </is>
      </c>
      <c r="I1192" s="11" t="n">
        <v>38700</v>
      </c>
      <c r="J1192" s="11" t="inlineStr"/>
    </row>
    <row r="1193">
      <c r="A1193" s="11" t="n">
        <v>1192</v>
      </c>
      <c r="B1193" s="12" t="n">
        <v>46111</v>
      </c>
      <c r="C1193" s="11" t="inlineStr">
        <is>
          <t>INTF</t>
        </is>
      </c>
      <c r="D1193" s="11" t="inlineStr">
        <is>
          <t>202603</t>
        </is>
      </c>
      <c r="E1193" s="11" t="inlineStr">
        <is>
          <t>1006844841</t>
        </is>
      </c>
      <c r="F1193" s="11" t="inlineStr">
        <is>
          <t>TISOY VELASCO EMIS L</t>
        </is>
      </c>
      <c r="G1193" s="11" t="inlineStr"/>
      <c r="H1193" s="11" t="inlineStr">
        <is>
          <t>INTERFACE P.O.S.</t>
        </is>
      </c>
      <c r="I1193" s="11" t="n">
        <v>37300</v>
      </c>
      <c r="J1193" s="11" t="inlineStr"/>
    </row>
    <row r="1194">
      <c r="A1194" s="11" t="n">
        <v>1193</v>
      </c>
      <c r="B1194" s="12" t="n">
        <v>46111</v>
      </c>
      <c r="C1194" s="11" t="inlineStr">
        <is>
          <t>INTF</t>
        </is>
      </c>
      <c r="D1194" s="11" t="inlineStr">
        <is>
          <t>202603</t>
        </is>
      </c>
      <c r="E1194" s="11" t="inlineStr">
        <is>
          <t>1123332826</t>
        </is>
      </c>
      <c r="F1194" s="11" t="inlineStr">
        <is>
          <t>JIMENEZ MENA ELKIN O</t>
        </is>
      </c>
      <c r="G1194" s="11" t="inlineStr"/>
      <c r="H1194" s="11" t="inlineStr">
        <is>
          <t>INTERFACE P.O.S.</t>
        </is>
      </c>
      <c r="I1194" s="11" t="n">
        <v>21100</v>
      </c>
      <c r="J1194" s="11" t="inlineStr"/>
    </row>
    <row r="1195">
      <c r="A1195" s="11" t="n">
        <v>1194</v>
      </c>
      <c r="B1195" s="12" t="n">
        <v>46111</v>
      </c>
      <c r="C1195" s="11" t="inlineStr">
        <is>
          <t>INTF</t>
        </is>
      </c>
      <c r="D1195" s="11" t="inlineStr">
        <is>
          <t>202603</t>
        </is>
      </c>
      <c r="E1195" s="11" t="inlineStr">
        <is>
          <t>1123327770</t>
        </is>
      </c>
      <c r="F1195" s="11" t="inlineStr">
        <is>
          <t>CORDERO CORREA MONIC</t>
        </is>
      </c>
      <c r="G1195" s="11" t="inlineStr"/>
      <c r="H1195" s="11" t="inlineStr">
        <is>
          <t>INTERFACE P.O.S.</t>
        </is>
      </c>
      <c r="I1195" s="11" t="n">
        <v>35100</v>
      </c>
      <c r="J1195" s="11" t="inlineStr"/>
    </row>
    <row r="1196">
      <c r="A1196" s="11" t="n">
        <v>1195</v>
      </c>
      <c r="B1196" s="12" t="n">
        <v>46111</v>
      </c>
      <c r="C1196" s="11" t="inlineStr">
        <is>
          <t>INTF</t>
        </is>
      </c>
      <c r="D1196" s="11" t="inlineStr">
        <is>
          <t>202603</t>
        </is>
      </c>
      <c r="E1196" s="11" t="inlineStr">
        <is>
          <t>1085325055</t>
        </is>
      </c>
      <c r="F1196" s="11" t="inlineStr">
        <is>
          <t>VARGAS CORDOBA DIEGO</t>
        </is>
      </c>
      <c r="G1196" s="11" t="inlineStr"/>
      <c r="H1196" s="11" t="inlineStr">
        <is>
          <t>INTERFACE P.O.S.</t>
        </is>
      </c>
      <c r="I1196" s="11" t="n">
        <v>6400</v>
      </c>
      <c r="J1196" s="11" t="inlineStr"/>
    </row>
    <row r="1197">
      <c r="A1197" s="11" t="n">
        <v>1196</v>
      </c>
      <c r="B1197" s="12" t="n">
        <v>46111</v>
      </c>
      <c r="C1197" s="11" t="inlineStr">
        <is>
          <t>INTF</t>
        </is>
      </c>
      <c r="D1197" s="11" t="inlineStr">
        <is>
          <t>202603</t>
        </is>
      </c>
      <c r="E1197" s="11" t="inlineStr">
        <is>
          <t>1006849984</t>
        </is>
      </c>
      <c r="F1197" s="11" t="inlineStr">
        <is>
          <t>FAJARDO PANTOJA LISS</t>
        </is>
      </c>
      <c r="G1197" s="11" t="inlineStr"/>
      <c r="H1197" s="11" t="inlineStr">
        <is>
          <t>INTERFACE P.O.S.</t>
        </is>
      </c>
      <c r="I1197" s="11" t="n">
        <v>42400</v>
      </c>
      <c r="J1197" s="11" t="inlineStr"/>
    </row>
    <row r="1198">
      <c r="A1198" s="11" t="n">
        <v>1197</v>
      </c>
      <c r="B1198" s="12" t="n">
        <v>46111</v>
      </c>
      <c r="C1198" s="11" t="inlineStr">
        <is>
          <t>INTF</t>
        </is>
      </c>
      <c r="D1198" s="11" t="inlineStr">
        <is>
          <t>202603</t>
        </is>
      </c>
      <c r="E1198" s="11" t="inlineStr">
        <is>
          <t>1005337692</t>
        </is>
      </c>
      <c r="F1198" s="11" t="inlineStr">
        <is>
          <t>ALBA PEREZ MARIA CAM</t>
        </is>
      </c>
      <c r="G1198" s="11" t="inlineStr"/>
      <c r="H1198" s="11" t="inlineStr">
        <is>
          <t>INTERFACE P.O.S.</t>
        </is>
      </c>
      <c r="I1198" s="11" t="n">
        <v>1000</v>
      </c>
      <c r="J1198" s="11" t="inlineStr"/>
    </row>
    <row r="1199">
      <c r="A1199" s="11" t="n">
        <v>1198</v>
      </c>
      <c r="B1199" s="12" t="n">
        <v>46111</v>
      </c>
      <c r="C1199" s="11" t="inlineStr">
        <is>
          <t>INTF</t>
        </is>
      </c>
      <c r="D1199" s="11" t="inlineStr">
        <is>
          <t>202603</t>
        </is>
      </c>
      <c r="E1199" s="11" t="inlineStr">
        <is>
          <t>1123328467</t>
        </is>
      </c>
      <c r="F1199" s="11" t="inlineStr">
        <is>
          <t>PORTILLA DIAZ KAREN</t>
        </is>
      </c>
      <c r="G1199" s="11" t="inlineStr"/>
      <c r="H1199" s="11" t="inlineStr">
        <is>
          <t>INTERFACE P.O.S.</t>
        </is>
      </c>
      <c r="I1199" s="11" t="n">
        <v>55800</v>
      </c>
      <c r="J1199" s="11" t="inlineStr"/>
    </row>
    <row r="1200">
      <c r="A1200" s="11" t="n">
        <v>1199</v>
      </c>
      <c r="B1200" s="12" t="n">
        <v>46111</v>
      </c>
      <c r="C1200" s="11" t="inlineStr">
        <is>
          <t>INTF</t>
        </is>
      </c>
      <c r="D1200" s="11" t="inlineStr">
        <is>
          <t>202603</t>
        </is>
      </c>
      <c r="E1200" s="11" t="inlineStr">
        <is>
          <t>1123331260</t>
        </is>
      </c>
      <c r="F1200" s="11" t="inlineStr">
        <is>
          <t>ROMO PALMA LINDA JOS</t>
        </is>
      </c>
      <c r="G1200" s="11" t="inlineStr"/>
      <c r="H1200" s="11" t="inlineStr">
        <is>
          <t>INTERFACE P.O.S.</t>
        </is>
      </c>
      <c r="I1200" s="11" t="n">
        <v>21000</v>
      </c>
      <c r="J1200" s="11" t="inlineStr"/>
    </row>
    <row r="1201">
      <c r="A1201" s="11" t="n">
        <v>1200</v>
      </c>
      <c r="B1201" s="12" t="n">
        <v>46111</v>
      </c>
      <c r="C1201" s="11" t="inlineStr">
        <is>
          <t>INTF</t>
        </is>
      </c>
      <c r="D1201" s="11" t="inlineStr">
        <is>
          <t>202603</t>
        </is>
      </c>
      <c r="E1201" s="11" t="inlineStr">
        <is>
          <t>1007081351</t>
        </is>
      </c>
      <c r="F1201" s="11" t="inlineStr">
        <is>
          <t>ITUYAN BASTIDAS FERN</t>
        </is>
      </c>
      <c r="G1201" s="11" t="inlineStr"/>
      <c r="H1201" s="11" t="inlineStr">
        <is>
          <t>INTERFACE P.O.S.</t>
        </is>
      </c>
      <c r="I1201" s="11" t="n">
        <v>5000</v>
      </c>
      <c r="J1201" s="11" t="inlineStr"/>
    </row>
    <row r="1202">
      <c r="A1202" s="11" t="n">
        <v>1201</v>
      </c>
      <c r="B1202" s="12" t="n">
        <v>46111</v>
      </c>
      <c r="C1202" s="11" t="inlineStr">
        <is>
          <t>INTF</t>
        </is>
      </c>
      <c r="D1202" s="11" t="inlineStr">
        <is>
          <t>202603</t>
        </is>
      </c>
      <c r="E1202" s="11" t="inlineStr">
        <is>
          <t>1123328186</t>
        </is>
      </c>
      <c r="F1202" s="11" t="inlineStr">
        <is>
          <t>MORALES MORALES JEIN</t>
        </is>
      </c>
      <c r="G1202" s="11" t="inlineStr"/>
      <c r="H1202" s="11" t="inlineStr">
        <is>
          <t>INTERFACE P.O.S.</t>
        </is>
      </c>
      <c r="I1202" s="11" t="n">
        <v>50900</v>
      </c>
      <c r="J1202" s="11" t="inlineStr"/>
    </row>
    <row r="1203">
      <c r="A1203" s="11" t="n">
        <v>1202</v>
      </c>
      <c r="B1203" s="12" t="n">
        <v>46111</v>
      </c>
      <c r="C1203" s="11" t="inlineStr">
        <is>
          <t>INTF</t>
        </is>
      </c>
      <c r="D1203" s="11" t="inlineStr">
        <is>
          <t>202603</t>
        </is>
      </c>
      <c r="E1203" s="11" t="inlineStr">
        <is>
          <t>1123321929</t>
        </is>
      </c>
      <c r="F1203" s="11" t="inlineStr">
        <is>
          <t>SEVILLANO VALLEJOS A</t>
        </is>
      </c>
      <c r="G1203" s="11" t="inlineStr"/>
      <c r="H1203" s="11" t="inlineStr">
        <is>
          <t>INTERFACE P.O.S.</t>
        </is>
      </c>
      <c r="I1203" s="11" t="n">
        <v>40000</v>
      </c>
      <c r="J1203" s="11" t="inlineStr"/>
    </row>
    <row r="1204">
      <c r="A1204" s="11" t="n">
        <v>1203</v>
      </c>
      <c r="B1204" s="12" t="n">
        <v>46111</v>
      </c>
      <c r="C1204" s="11" t="inlineStr">
        <is>
          <t>INTF</t>
        </is>
      </c>
      <c r="D1204" s="11" t="inlineStr">
        <is>
          <t>202603</t>
        </is>
      </c>
      <c r="E1204" s="11" t="inlineStr">
        <is>
          <t>27879934</t>
        </is>
      </c>
      <c r="F1204" s="11" t="inlineStr">
        <is>
          <t>FUENTES CLARA HELENA</t>
        </is>
      </c>
      <c r="G1204" s="11" t="inlineStr"/>
      <c r="H1204" s="11" t="inlineStr">
        <is>
          <t>INTERFACE P.O.S.</t>
        </is>
      </c>
      <c r="I1204" s="11" t="n">
        <v>26300</v>
      </c>
      <c r="J1204" s="11" t="inlineStr"/>
    </row>
    <row r="1205">
      <c r="A1205" s="11" t="n">
        <v>1204</v>
      </c>
      <c r="B1205" s="12" t="n">
        <v>46111</v>
      </c>
      <c r="C1205" s="11" t="inlineStr">
        <is>
          <t>INTF</t>
        </is>
      </c>
      <c r="D1205" s="11" t="inlineStr">
        <is>
          <t>202603</t>
        </is>
      </c>
      <c r="E1205" s="11" t="inlineStr">
        <is>
          <t>1006995728</t>
        </is>
      </c>
      <c r="F1205" s="11" t="inlineStr">
        <is>
          <t>SANTANDER BENAVIDES</t>
        </is>
      </c>
      <c r="G1205" s="11" t="inlineStr"/>
      <c r="H1205" s="11" t="inlineStr">
        <is>
          <t>INTERFACE P.O.S.</t>
        </is>
      </c>
      <c r="I1205" s="11" t="n">
        <v>2200</v>
      </c>
      <c r="J1205" s="11" t="inlineStr"/>
    </row>
    <row r="1206">
      <c r="A1206" s="11" t="n">
        <v>1205</v>
      </c>
      <c r="B1206" s="12" t="n">
        <v>46111</v>
      </c>
      <c r="C1206" s="11" t="inlineStr">
        <is>
          <t>INTF</t>
        </is>
      </c>
      <c r="D1206" s="11" t="inlineStr">
        <is>
          <t>202603</t>
        </is>
      </c>
      <c r="E1206" s="11" t="inlineStr">
        <is>
          <t>1123325938</t>
        </is>
      </c>
      <c r="F1206" s="11" t="inlineStr">
        <is>
          <t>VELEZ ROBLES CRISTHI</t>
        </is>
      </c>
      <c r="G1206" s="11" t="inlineStr"/>
      <c r="H1206" s="11" t="inlineStr">
        <is>
          <t>INTERFACE P.O.S.</t>
        </is>
      </c>
      <c r="I1206" s="11" t="n">
        <v>50400</v>
      </c>
      <c r="J1206" s="11" t="inlineStr"/>
    </row>
    <row r="1207">
      <c r="A1207" s="11" t="n">
        <v>1206</v>
      </c>
      <c r="B1207" s="12" t="n">
        <v>46111</v>
      </c>
      <c r="C1207" s="11" t="inlineStr">
        <is>
          <t>INTF</t>
        </is>
      </c>
      <c r="D1207" s="11" t="inlineStr">
        <is>
          <t>202603</t>
        </is>
      </c>
      <c r="E1207" s="11" t="inlineStr">
        <is>
          <t>41108150</t>
        </is>
      </c>
      <c r="F1207" s="11" t="inlineStr">
        <is>
          <t>GIRALDO POLANIAS GRE</t>
        </is>
      </c>
      <c r="G1207" s="11" t="inlineStr"/>
      <c r="H1207" s="11" t="inlineStr">
        <is>
          <t>INTERFACE P.O.S.</t>
        </is>
      </c>
      <c r="I1207" s="11" t="n">
        <v>10000</v>
      </c>
      <c r="J1207" s="11" t="inlineStr"/>
    </row>
    <row r="1208">
      <c r="A1208" s="11" t="n">
        <v>1207</v>
      </c>
      <c r="B1208" s="12" t="n">
        <v>46111</v>
      </c>
      <c r="C1208" s="11" t="inlineStr">
        <is>
          <t>INTF</t>
        </is>
      </c>
      <c r="D1208" s="11" t="inlineStr">
        <is>
          <t>202603</t>
        </is>
      </c>
      <c r="E1208" s="11" t="inlineStr">
        <is>
          <t>1123322059</t>
        </is>
      </c>
      <c r="F1208" s="11" t="inlineStr">
        <is>
          <t>TARAZONA ROJA EDINSO</t>
        </is>
      </c>
      <c r="G1208" s="11" t="inlineStr"/>
      <c r="H1208" s="11" t="inlineStr">
        <is>
          <t>INTERFACE P.O.S.</t>
        </is>
      </c>
      <c r="I1208" s="11" t="n">
        <v>19000</v>
      </c>
      <c r="J1208" s="11" t="inlineStr"/>
    </row>
    <row r="1209">
      <c r="A1209" s="11" t="n">
        <v>1208</v>
      </c>
      <c r="B1209" s="12" t="n">
        <v>46111</v>
      </c>
      <c r="C1209" s="11" t="inlineStr">
        <is>
          <t>INTF</t>
        </is>
      </c>
      <c r="D1209" s="11" t="inlineStr">
        <is>
          <t>202603</t>
        </is>
      </c>
      <c r="E1209" s="11" t="inlineStr">
        <is>
          <t>1130144391</t>
        </is>
      </c>
      <c r="F1209" s="11" t="inlineStr">
        <is>
          <t>ZAMBRANO RIVERA JUAN</t>
        </is>
      </c>
      <c r="G1209" s="11" t="inlineStr"/>
      <c r="H1209" s="11" t="inlineStr">
        <is>
          <t>INTERFACE P.O.S.</t>
        </is>
      </c>
      <c r="I1209" s="11" t="n">
        <v>23900</v>
      </c>
      <c r="J1209" s="11" t="inlineStr"/>
    </row>
    <row r="1210">
      <c r="A1210" s="11" t="n">
        <v>1209</v>
      </c>
      <c r="B1210" s="12" t="n">
        <v>46111</v>
      </c>
      <c r="C1210" s="11" t="inlineStr">
        <is>
          <t>INTF</t>
        </is>
      </c>
      <c r="D1210" s="11" t="inlineStr">
        <is>
          <t>202603</t>
        </is>
      </c>
      <c r="E1210" s="11" t="inlineStr">
        <is>
          <t>1119212502</t>
        </is>
      </c>
      <c r="F1210" s="11" t="inlineStr">
        <is>
          <t>CUBILLOS CUELLAR HUG</t>
        </is>
      </c>
      <c r="G1210" s="11" t="inlineStr"/>
      <c r="H1210" s="11" t="inlineStr">
        <is>
          <t>INTERFACE P.O.S.</t>
        </is>
      </c>
      <c r="I1210" s="11" t="n">
        <v>38300</v>
      </c>
      <c r="J1210" s="11" t="inlineStr"/>
    </row>
    <row r="1211">
      <c r="A1211" s="11" t="n">
        <v>1210</v>
      </c>
      <c r="B1211" s="12" t="n">
        <v>46111</v>
      </c>
      <c r="C1211" s="11" t="inlineStr">
        <is>
          <t>INTF</t>
        </is>
      </c>
      <c r="D1211" s="11" t="inlineStr">
        <is>
          <t>202603</t>
        </is>
      </c>
      <c r="E1211" s="11" t="inlineStr">
        <is>
          <t>1123334308</t>
        </is>
      </c>
      <c r="F1211" s="11" t="inlineStr">
        <is>
          <t>GONSALEZ PERDOMO LIN</t>
        </is>
      </c>
      <c r="G1211" s="11" t="inlineStr"/>
      <c r="H1211" s="11" t="inlineStr">
        <is>
          <t>INTERFACE P.O.S.</t>
        </is>
      </c>
      <c r="I1211" s="11" t="n">
        <v>114000</v>
      </c>
      <c r="J1211" s="11" t="inlineStr"/>
    </row>
    <row r="1212">
      <c r="A1212" s="11" t="n">
        <v>1211</v>
      </c>
      <c r="B1212" s="12" t="n">
        <v>46111</v>
      </c>
      <c r="C1212" s="11" t="inlineStr">
        <is>
          <t>INTF</t>
        </is>
      </c>
      <c r="D1212" s="11" t="inlineStr">
        <is>
          <t>202603</t>
        </is>
      </c>
      <c r="E1212" s="11" t="inlineStr">
        <is>
          <t>1006996288</t>
        </is>
      </c>
      <c r="F1212" s="11" t="inlineStr">
        <is>
          <t>CONGOTE ARBOLEDA JOR</t>
        </is>
      </c>
      <c r="G1212" s="11" t="inlineStr"/>
      <c r="H1212" s="11" t="inlineStr">
        <is>
          <t>INTERFACE P.O.S.</t>
        </is>
      </c>
      <c r="I1212" s="11" t="n">
        <v>12800</v>
      </c>
      <c r="J1212" s="11" t="inlineStr"/>
    </row>
    <row r="1213">
      <c r="A1213" s="11" t="n">
        <v>1212</v>
      </c>
      <c r="B1213" s="12" t="n">
        <v>46111</v>
      </c>
      <c r="C1213" s="11" t="inlineStr">
        <is>
          <t>INTF</t>
        </is>
      </c>
      <c r="D1213" s="11" t="inlineStr">
        <is>
          <t>202603</t>
        </is>
      </c>
      <c r="E1213" s="11" t="inlineStr">
        <is>
          <t>1123323640</t>
        </is>
      </c>
      <c r="F1213" s="11" t="inlineStr">
        <is>
          <t>PANTOJA LOZANO SOFIA</t>
        </is>
      </c>
      <c r="G1213" s="11" t="inlineStr"/>
      <c r="H1213" s="11" t="inlineStr">
        <is>
          <t>INTERFACE P.O.S.</t>
        </is>
      </c>
      <c r="I1213" s="11" t="n">
        <v>19000</v>
      </c>
      <c r="J1213" s="11" t="inlineStr"/>
    </row>
    <row r="1214">
      <c r="A1214" s="11" t="n">
        <v>1213</v>
      </c>
      <c r="B1214" s="12" t="n">
        <v>46111</v>
      </c>
      <c r="C1214" s="11" t="inlineStr">
        <is>
          <t>INTF</t>
        </is>
      </c>
      <c r="D1214" s="11" t="inlineStr">
        <is>
          <t>202603</t>
        </is>
      </c>
      <c r="E1214" s="11" t="inlineStr">
        <is>
          <t>1000689436</t>
        </is>
      </c>
      <c r="F1214" s="11" t="inlineStr">
        <is>
          <t>NIÑO NARVAEZ ADRIANA</t>
        </is>
      </c>
      <c r="G1214" s="11" t="inlineStr"/>
      <c r="H1214" s="11" t="inlineStr">
        <is>
          <t>INTERFACE P.O.S.</t>
        </is>
      </c>
      <c r="I1214" s="11" t="n">
        <v>5900</v>
      </c>
      <c r="J1214" s="11" t="inlineStr"/>
    </row>
    <row r="1215">
      <c r="A1215" s="11" t="n">
        <v>1214</v>
      </c>
      <c r="B1215" s="12" t="n">
        <v>46111</v>
      </c>
      <c r="C1215" s="11" t="inlineStr">
        <is>
          <t>INTF</t>
        </is>
      </c>
      <c r="D1215" s="11" t="inlineStr">
        <is>
          <t>202603</t>
        </is>
      </c>
      <c r="E1215" s="11" t="inlineStr">
        <is>
          <t>41107618</t>
        </is>
      </c>
      <c r="F1215" s="11" t="inlineStr">
        <is>
          <t>MANCO HIGUITA LUCIDI</t>
        </is>
      </c>
      <c r="G1215" s="11" t="inlineStr"/>
      <c r="H1215" s="11" t="inlineStr">
        <is>
          <t>INTERFACE P.O.S.</t>
        </is>
      </c>
      <c r="I1215" s="11" t="n">
        <v>5500</v>
      </c>
      <c r="J1215" s="11" t="inlineStr"/>
    </row>
    <row r="1216">
      <c r="A1216" s="11" t="n">
        <v>1215</v>
      </c>
      <c r="B1216" s="12" t="n">
        <v>46111</v>
      </c>
      <c r="C1216" s="11" t="inlineStr">
        <is>
          <t>INTF</t>
        </is>
      </c>
      <c r="D1216" s="11" t="inlineStr">
        <is>
          <t>202603</t>
        </is>
      </c>
      <c r="E1216" s="11" t="inlineStr">
        <is>
          <t>1123332615</t>
        </is>
      </c>
      <c r="F1216" s="11" t="inlineStr">
        <is>
          <t>ORTEGA DANI</t>
        </is>
      </c>
      <c r="G1216" s="11" t="inlineStr"/>
      <c r="H1216" s="11" t="inlineStr">
        <is>
          <t>INTERFACE P.O.S.</t>
        </is>
      </c>
      <c r="I1216" s="11" t="n">
        <v>34600</v>
      </c>
      <c r="J1216" s="11" t="inlineStr"/>
    </row>
    <row r="1217">
      <c r="A1217" s="11" t="n">
        <v>1216</v>
      </c>
      <c r="B1217" s="12" t="n">
        <v>46111</v>
      </c>
      <c r="C1217" s="11" t="inlineStr">
        <is>
          <t>INTF</t>
        </is>
      </c>
      <c r="D1217" s="11" t="inlineStr">
        <is>
          <t>202603</t>
        </is>
      </c>
      <c r="E1217" s="11" t="inlineStr">
        <is>
          <t>1124863915</t>
        </is>
      </c>
      <c r="F1217" s="11" t="inlineStr">
        <is>
          <t>ZAMBRANO ZUIN OMAR Y</t>
        </is>
      </c>
      <c r="G1217" s="11" t="inlineStr"/>
      <c r="H1217" s="11" t="inlineStr">
        <is>
          <t>INTERFACE P.O.S.</t>
        </is>
      </c>
      <c r="I1217" s="11" t="n">
        <v>8000</v>
      </c>
      <c r="J1217" s="11" t="inlineStr"/>
    </row>
    <row r="1218">
      <c r="A1218" s="11" t="n">
        <v>1217</v>
      </c>
      <c r="B1218" s="12" t="n">
        <v>46111</v>
      </c>
      <c r="C1218" s="11" t="inlineStr">
        <is>
          <t>INTF</t>
        </is>
      </c>
      <c r="D1218" s="11" t="inlineStr">
        <is>
          <t>202603</t>
        </is>
      </c>
      <c r="E1218" s="11" t="inlineStr">
        <is>
          <t>1085344429</t>
        </is>
      </c>
      <c r="F1218" s="11" t="inlineStr">
        <is>
          <t>CUARAN SOLARTE TATIA</t>
        </is>
      </c>
      <c r="G1218" s="11" t="inlineStr"/>
      <c r="H1218" s="11" t="inlineStr">
        <is>
          <t>INTERFACE P.O.S.</t>
        </is>
      </c>
      <c r="I1218" s="11" t="n">
        <v>91400</v>
      </c>
      <c r="J1218" s="11" t="inlineStr"/>
    </row>
    <row r="1219">
      <c r="A1219" s="11" t="n">
        <v>1218</v>
      </c>
      <c r="B1219" s="12" t="n">
        <v>46111</v>
      </c>
      <c r="C1219" s="11" t="inlineStr">
        <is>
          <t>INTF</t>
        </is>
      </c>
      <c r="D1219" s="11" t="inlineStr">
        <is>
          <t>202603</t>
        </is>
      </c>
      <c r="E1219" s="11" t="inlineStr">
        <is>
          <t>27362252</t>
        </is>
      </c>
      <c r="F1219" s="11" t="inlineStr">
        <is>
          <t>TIMARAN CHASOY JUDY</t>
        </is>
      </c>
      <c r="G1219" s="11" t="inlineStr"/>
      <c r="H1219" s="11" t="inlineStr">
        <is>
          <t>INTERFACE P.O.S.</t>
        </is>
      </c>
      <c r="I1219" s="11" t="n">
        <v>60900</v>
      </c>
      <c r="J1219" s="11" t="inlineStr"/>
    </row>
    <row r="1220">
      <c r="A1220" s="11" t="n">
        <v>1219</v>
      </c>
      <c r="B1220" s="12" t="n">
        <v>46111</v>
      </c>
      <c r="C1220" s="11" t="inlineStr">
        <is>
          <t>INTF</t>
        </is>
      </c>
      <c r="D1220" s="11" t="inlineStr">
        <is>
          <t>202603</t>
        </is>
      </c>
      <c r="E1220" s="11" t="inlineStr">
        <is>
          <t>1023888740</t>
        </is>
      </c>
      <c r="F1220" s="11" t="inlineStr">
        <is>
          <t>GARZON ROCHA WILSON</t>
        </is>
      </c>
      <c r="G1220" s="11" t="inlineStr"/>
      <c r="H1220" s="11" t="inlineStr">
        <is>
          <t>INTERFACE P.O.S.</t>
        </is>
      </c>
      <c r="I1220" s="11" t="n">
        <v>10000</v>
      </c>
      <c r="J1220" s="11" t="inlineStr"/>
    </row>
    <row r="1221">
      <c r="A1221" s="11" t="n">
        <v>1220</v>
      </c>
      <c r="B1221" s="12" t="n">
        <v>46111</v>
      </c>
      <c r="C1221" s="11" t="inlineStr">
        <is>
          <t>INTF</t>
        </is>
      </c>
      <c r="D1221" s="11" t="inlineStr">
        <is>
          <t>202603</t>
        </is>
      </c>
      <c r="E1221" s="11" t="inlineStr">
        <is>
          <t>1233194078</t>
        </is>
      </c>
      <c r="F1221" s="11" t="inlineStr">
        <is>
          <t>NARVAEZ CHAMORRO DAV</t>
        </is>
      </c>
      <c r="G1221" s="11" t="inlineStr"/>
      <c r="H1221" s="11" t="inlineStr">
        <is>
          <t>INTERFACE P.O.S.</t>
        </is>
      </c>
      <c r="I1221" s="11" t="n">
        <v>4000</v>
      </c>
      <c r="J1221" s="11" t="inlineStr"/>
    </row>
    <row r="1222">
      <c r="A1222" s="11" t="n">
        <v>1221</v>
      </c>
      <c r="B1222" s="12" t="n">
        <v>46111</v>
      </c>
      <c r="C1222" s="11" t="inlineStr">
        <is>
          <t>INTF</t>
        </is>
      </c>
      <c r="D1222" s="11" t="inlineStr">
        <is>
          <t>202603</t>
        </is>
      </c>
      <c r="E1222" s="11" t="inlineStr">
        <is>
          <t>1006849348</t>
        </is>
      </c>
      <c r="F1222" s="11" t="inlineStr">
        <is>
          <t>QUENGUAN QUENGUAN JI</t>
        </is>
      </c>
      <c r="G1222" s="11" t="inlineStr"/>
      <c r="H1222" s="11" t="inlineStr">
        <is>
          <t>INTERFACE P.O.S.</t>
        </is>
      </c>
      <c r="I1222" s="11" t="n">
        <v>28000</v>
      </c>
      <c r="J1222" s="11" t="inlineStr"/>
    </row>
    <row r="1223">
      <c r="A1223" s="11" t="n">
        <v>1222</v>
      </c>
      <c r="B1223" s="12" t="n">
        <v>46111</v>
      </c>
      <c r="C1223" s="11" t="inlineStr">
        <is>
          <t>INTF</t>
        </is>
      </c>
      <c r="D1223" s="11" t="inlineStr">
        <is>
          <t>202603</t>
        </is>
      </c>
      <c r="E1223" s="11" t="inlineStr">
        <is>
          <t>32774529</t>
        </is>
      </c>
      <c r="F1223" s="11" t="inlineStr">
        <is>
          <t>DIAZ LLERENA ELIZABE</t>
        </is>
      </c>
      <c r="G1223" s="11" t="inlineStr"/>
      <c r="H1223" s="11" t="inlineStr">
        <is>
          <t>INTERFACE P.O.S.</t>
        </is>
      </c>
      <c r="I1223" s="11" t="n">
        <v>193800</v>
      </c>
      <c r="J1223" s="11" t="inlineStr"/>
    </row>
    <row r="1224">
      <c r="A1224" s="11" t="n">
        <v>1223</v>
      </c>
      <c r="B1224" s="12" t="n">
        <v>46112</v>
      </c>
      <c r="C1224" s="11" t="inlineStr">
        <is>
          <t>CE</t>
        </is>
      </c>
      <c r="D1224" s="11" t="inlineStr">
        <is>
          <t>9483</t>
        </is>
      </c>
      <c r="E1224" s="11" t="inlineStr">
        <is>
          <t>901713448</t>
        </is>
      </c>
      <c r="F1224" s="11" t="inlineStr">
        <is>
          <t>DISTRI VENUS SAS</t>
        </is>
      </c>
      <c r="G1224" s="11" t="inlineStr">
        <is>
          <t>M03883179</t>
        </is>
      </c>
      <c r="H1224" s="11" t="inlineStr">
        <is>
          <t>PF DIST VENUS</t>
        </is>
      </c>
      <c r="I1224" s="11" t="inlineStr"/>
      <c r="J1224" s="11" t="n">
        <v>1393007</v>
      </c>
    </row>
    <row r="1225">
      <c r="A1225" s="11" t="n">
        <v>1224</v>
      </c>
      <c r="B1225" s="12" t="n">
        <v>46112</v>
      </c>
      <c r="C1225" s="11" t="inlineStr">
        <is>
          <t>GB</t>
        </is>
      </c>
      <c r="D1225" s="11" t="inlineStr">
        <is>
          <t>94</t>
        </is>
      </c>
      <c r="E1225" s="11" t="inlineStr">
        <is>
          <t>900062917</t>
        </is>
      </c>
      <c r="F1225" s="11" t="inlineStr">
        <is>
          <t>NEQUI</t>
        </is>
      </c>
      <c r="G1225" s="11" t="inlineStr">
        <is>
          <t>94</t>
        </is>
      </c>
      <c r="H1225" s="11" t="inlineStr">
        <is>
          <t>INTERESES</t>
        </is>
      </c>
      <c r="I1225" s="11" t="n">
        <v>229.52</v>
      </c>
      <c r="J1225" s="11" t="inlineStr"/>
    </row>
    <row r="1226">
      <c r="A1226" s="11" t="n">
        <v>1225</v>
      </c>
      <c r="B1226" s="12" t="n">
        <v>46112</v>
      </c>
      <c r="C1226" s="11" t="inlineStr">
        <is>
          <t>GB</t>
        </is>
      </c>
      <c r="D1226" s="11" t="inlineStr">
        <is>
          <t>94</t>
        </is>
      </c>
      <c r="E1226" s="11" t="inlineStr">
        <is>
          <t>900062917</t>
        </is>
      </c>
      <c r="F1226" s="11" t="inlineStr">
        <is>
          <t>NEQUI</t>
        </is>
      </c>
      <c r="G1226" s="11" t="inlineStr">
        <is>
          <t>94</t>
        </is>
      </c>
      <c r="H1226" s="11" t="inlineStr">
        <is>
          <t>GASTOS BANCARIOS</t>
        </is>
      </c>
      <c r="I1226" s="11" t="inlineStr"/>
      <c r="J1226" s="11" t="n">
        <v>167646.22</v>
      </c>
    </row>
    <row r="1227">
      <c r="A1227" s="11" t="n">
        <v>1226</v>
      </c>
      <c r="B1227" s="12" t="n">
        <v>46112</v>
      </c>
      <c r="C1227" s="11" t="inlineStr">
        <is>
          <t>INTF</t>
        </is>
      </c>
      <c r="D1227" s="11" t="inlineStr">
        <is>
          <t>202603</t>
        </is>
      </c>
      <c r="E1227" s="11" t="inlineStr">
        <is>
          <t>1123323769</t>
        </is>
      </c>
      <c r="F1227" s="11" t="inlineStr">
        <is>
          <t>CORDERO CORREA DIANA</t>
        </is>
      </c>
      <c r="G1227" s="11" t="inlineStr"/>
      <c r="H1227" s="11" t="inlineStr">
        <is>
          <t>INTERFACE P.O.S.</t>
        </is>
      </c>
      <c r="I1227" s="11" t="n">
        <v>23700</v>
      </c>
      <c r="J1227" s="11" t="inlineStr"/>
    </row>
    <row r="1228">
      <c r="A1228" s="11" t="n">
        <v>1227</v>
      </c>
      <c r="B1228" s="12" t="n">
        <v>46112</v>
      </c>
      <c r="C1228" s="11" t="inlineStr">
        <is>
          <t>INTF</t>
        </is>
      </c>
      <c r="D1228" s="11" t="inlineStr">
        <is>
          <t>202603</t>
        </is>
      </c>
      <c r="E1228" s="11" t="inlineStr">
        <is>
          <t>18144803</t>
        </is>
      </c>
      <c r="F1228" s="11" t="inlineStr">
        <is>
          <t>LONSERIA CORTEZ RODR</t>
        </is>
      </c>
      <c r="G1228" s="11" t="inlineStr"/>
      <c r="H1228" s="11" t="inlineStr">
        <is>
          <t>INTERFACE P.O.S.</t>
        </is>
      </c>
      <c r="I1228" s="11" t="n">
        <v>29100</v>
      </c>
      <c r="J1228" s="11" t="inlineStr"/>
    </row>
    <row r="1229">
      <c r="A1229" s="11" t="n">
        <v>1228</v>
      </c>
      <c r="B1229" s="12" t="n">
        <v>46112</v>
      </c>
      <c r="C1229" s="11" t="inlineStr">
        <is>
          <t>INTF</t>
        </is>
      </c>
      <c r="D1229" s="11" t="inlineStr">
        <is>
          <t>202603</t>
        </is>
      </c>
      <c r="E1229" s="11" t="inlineStr">
        <is>
          <t>13069539</t>
        </is>
      </c>
      <c r="F1229" s="11" t="inlineStr">
        <is>
          <t>MANCHABAJOY BENAVIDE</t>
        </is>
      </c>
      <c r="G1229" s="11" t="inlineStr"/>
      <c r="H1229" s="11" t="inlineStr">
        <is>
          <t>INTERFACE P.O.S.</t>
        </is>
      </c>
      <c r="I1229" s="11" t="n">
        <v>22200</v>
      </c>
      <c r="J1229" s="11" t="inlineStr"/>
    </row>
    <row r="1230">
      <c r="A1230" s="11" t="n">
        <v>1229</v>
      </c>
      <c r="B1230" s="12" t="n">
        <v>46112</v>
      </c>
      <c r="C1230" s="11" t="inlineStr">
        <is>
          <t>INTF</t>
        </is>
      </c>
      <c r="D1230" s="11" t="inlineStr">
        <is>
          <t>202603</t>
        </is>
      </c>
      <c r="E1230" s="11" t="inlineStr">
        <is>
          <t>1123328208</t>
        </is>
      </c>
      <c r="F1230" s="11" t="inlineStr">
        <is>
          <t>CHAVEZ GALARZA LUIS</t>
        </is>
      </c>
      <c r="G1230" s="11" t="inlineStr"/>
      <c r="H1230" s="11" t="inlineStr">
        <is>
          <t>INTERFACE P.O.S.</t>
        </is>
      </c>
      <c r="I1230" s="11" t="n">
        <v>38000</v>
      </c>
      <c r="J1230" s="11" t="inlineStr"/>
    </row>
    <row r="1231">
      <c r="A1231" s="11" t="n">
        <v>1230</v>
      </c>
      <c r="B1231" s="12" t="n">
        <v>46112</v>
      </c>
      <c r="C1231" s="11" t="inlineStr">
        <is>
          <t>INTF</t>
        </is>
      </c>
      <c r="D1231" s="11" t="inlineStr">
        <is>
          <t>202603</t>
        </is>
      </c>
      <c r="E1231" s="11" t="inlineStr">
        <is>
          <t>36297366</t>
        </is>
      </c>
      <c r="F1231" s="11" t="inlineStr">
        <is>
          <t>MARTINEZ ALVEAR MART</t>
        </is>
      </c>
      <c r="G1231" s="11" t="inlineStr"/>
      <c r="H1231" s="11" t="inlineStr">
        <is>
          <t>INTERFACE P.O.S.</t>
        </is>
      </c>
      <c r="I1231" s="11" t="n">
        <v>5900</v>
      </c>
      <c r="J1231" s="11" t="inlineStr"/>
    </row>
    <row r="1232">
      <c r="A1232" s="11" t="n">
        <v>1231</v>
      </c>
      <c r="B1232" s="12" t="n">
        <v>46112</v>
      </c>
      <c r="C1232" s="11" t="inlineStr">
        <is>
          <t>INTF</t>
        </is>
      </c>
      <c r="D1232" s="11" t="inlineStr">
        <is>
          <t>202603</t>
        </is>
      </c>
      <c r="E1232" s="11" t="inlineStr">
        <is>
          <t>41105616</t>
        </is>
      </c>
      <c r="F1232" s="11" t="inlineStr">
        <is>
          <t>PALANDINES BOLAÑOS N</t>
        </is>
      </c>
      <c r="G1232" s="11" t="inlineStr"/>
      <c r="H1232" s="11" t="inlineStr">
        <is>
          <t>INTERFACE P.O.S.</t>
        </is>
      </c>
      <c r="I1232" s="11" t="n">
        <v>57000</v>
      </c>
      <c r="J1232" s="11" t="inlineStr"/>
    </row>
    <row r="1233">
      <c r="A1233" s="11" t="n">
        <v>1232</v>
      </c>
      <c r="B1233" s="12" t="n">
        <v>46112</v>
      </c>
      <c r="C1233" s="11" t="inlineStr">
        <is>
          <t>INTF</t>
        </is>
      </c>
      <c r="D1233" s="11" t="inlineStr">
        <is>
          <t>202603</t>
        </is>
      </c>
      <c r="E1233" s="11" t="inlineStr">
        <is>
          <t>1124861369</t>
        </is>
      </c>
      <c r="F1233" s="11" t="inlineStr">
        <is>
          <t>BURBANO OSSA MONICA</t>
        </is>
      </c>
      <c r="G1233" s="11" t="inlineStr"/>
      <c r="H1233" s="11" t="inlineStr">
        <is>
          <t>INTERFACE P.O.S.</t>
        </is>
      </c>
      <c r="I1233" s="11" t="n">
        <v>47460</v>
      </c>
      <c r="J1233" s="11" t="inlineStr"/>
    </row>
    <row r="1234">
      <c r="A1234" s="11" t="n">
        <v>1233</v>
      </c>
      <c r="B1234" s="12" t="n">
        <v>46112</v>
      </c>
      <c r="C1234" s="11" t="inlineStr">
        <is>
          <t>INTF</t>
        </is>
      </c>
      <c r="D1234" s="11" t="inlineStr">
        <is>
          <t>202603</t>
        </is>
      </c>
      <c r="E1234" s="11" t="inlineStr">
        <is>
          <t>1143929486</t>
        </is>
      </c>
      <c r="F1234" s="11" t="inlineStr">
        <is>
          <t>MEZA FERNANDEZ CLAUD</t>
        </is>
      </c>
      <c r="G1234" s="11" t="inlineStr"/>
      <c r="H1234" s="11" t="inlineStr">
        <is>
          <t>INTERFACE P.O.S.</t>
        </is>
      </c>
      <c r="I1234" s="11" t="n">
        <v>24600</v>
      </c>
      <c r="J1234" s="11" t="inlineStr"/>
    </row>
    <row r="1235">
      <c r="A1235" s="11" t="n">
        <v>1234</v>
      </c>
      <c r="B1235" s="12" t="n">
        <v>46112</v>
      </c>
      <c r="C1235" s="11" t="inlineStr">
        <is>
          <t>INTF</t>
        </is>
      </c>
      <c r="D1235" s="11" t="inlineStr">
        <is>
          <t>202603</t>
        </is>
      </c>
      <c r="E1235" s="11" t="inlineStr">
        <is>
          <t>1006848684</t>
        </is>
      </c>
      <c r="F1235" s="11" t="inlineStr">
        <is>
          <t>AVILA DANIELA FERNAN</t>
        </is>
      </c>
      <c r="G1235" s="11" t="inlineStr"/>
      <c r="H1235" s="11" t="inlineStr">
        <is>
          <t>INTERFACE P.O.S.</t>
        </is>
      </c>
      <c r="I1235" s="11" t="n">
        <v>11600</v>
      </c>
      <c r="J1235" s="11" t="inlineStr"/>
    </row>
    <row r="1236">
      <c r="A1236" s="11" t="n">
        <v>1235</v>
      </c>
      <c r="B1236" s="12" t="n">
        <v>46112</v>
      </c>
      <c r="C1236" s="11" t="inlineStr">
        <is>
          <t>INTF</t>
        </is>
      </c>
      <c r="D1236" s="11" t="inlineStr">
        <is>
          <t>202603</t>
        </is>
      </c>
      <c r="E1236" s="11" t="inlineStr">
        <is>
          <t>1123328145</t>
        </is>
      </c>
      <c r="F1236" s="11" t="inlineStr">
        <is>
          <t>TAICUS PANTOJA JANIE</t>
        </is>
      </c>
      <c r="G1236" s="11" t="inlineStr"/>
      <c r="H1236" s="11" t="inlineStr">
        <is>
          <t>INTERFACE P.O.S.</t>
        </is>
      </c>
      <c r="I1236" s="11" t="n">
        <v>4000</v>
      </c>
      <c r="J1236" s="11" t="inlineStr"/>
    </row>
    <row r="1237">
      <c r="A1237" s="11" t="n">
        <v>1236</v>
      </c>
      <c r="B1237" s="12" t="n">
        <v>46112</v>
      </c>
      <c r="C1237" s="11" t="inlineStr">
        <is>
          <t>INTF</t>
        </is>
      </c>
      <c r="D1237" s="11" t="inlineStr">
        <is>
          <t>202603</t>
        </is>
      </c>
      <c r="E1237" s="11" t="inlineStr">
        <is>
          <t>1075300641</t>
        </is>
      </c>
      <c r="F1237" s="11" t="inlineStr">
        <is>
          <t>MILLAN SOUSA NATALY</t>
        </is>
      </c>
      <c r="G1237" s="11" t="inlineStr"/>
      <c r="H1237" s="11" t="inlineStr">
        <is>
          <t>INTERFACE P.O.S.</t>
        </is>
      </c>
      <c r="I1237" s="11" t="n">
        <v>11180</v>
      </c>
      <c r="J1237" s="11" t="inlineStr"/>
    </row>
    <row r="1238">
      <c r="A1238" s="11" t="n">
        <v>1237</v>
      </c>
      <c r="B1238" s="12" t="n">
        <v>46112</v>
      </c>
      <c r="C1238" s="11" t="inlineStr">
        <is>
          <t>INTF</t>
        </is>
      </c>
      <c r="D1238" s="11" t="inlineStr">
        <is>
          <t>202603</t>
        </is>
      </c>
      <c r="E1238" s="11" t="inlineStr">
        <is>
          <t>1123324626</t>
        </is>
      </c>
      <c r="F1238" s="11" t="inlineStr">
        <is>
          <t>PEREZ ORTIZ HOVER AL</t>
        </is>
      </c>
      <c r="G1238" s="11" t="inlineStr"/>
      <c r="H1238" s="11" t="inlineStr">
        <is>
          <t>INTERFACE P.O.S.</t>
        </is>
      </c>
      <c r="I1238" s="11" t="n">
        <v>23500</v>
      </c>
      <c r="J1238" s="11" t="inlineStr"/>
    </row>
    <row r="1239">
      <c r="A1239" s="11" t="n">
        <v>1238</v>
      </c>
      <c r="B1239" s="12" t="n">
        <v>46112</v>
      </c>
      <c r="C1239" s="11" t="inlineStr">
        <is>
          <t>INTF</t>
        </is>
      </c>
      <c r="D1239" s="11" t="inlineStr">
        <is>
          <t>202603</t>
        </is>
      </c>
      <c r="E1239" s="11" t="inlineStr">
        <is>
          <t>901649424</t>
        </is>
      </c>
      <c r="F1239" s="11" t="inlineStr">
        <is>
          <t>CONSORCIO OBRAS ACO.</t>
        </is>
      </c>
      <c r="G1239" s="11" t="inlineStr"/>
      <c r="H1239" s="11" t="inlineStr">
        <is>
          <t>INTERFACE P.O.S.</t>
        </is>
      </c>
      <c r="I1239" s="11" t="n">
        <v>1500</v>
      </c>
      <c r="J1239" s="11" t="inlineStr"/>
    </row>
    <row r="1240">
      <c r="A1240" s="11" t="n">
        <v>1239</v>
      </c>
      <c r="B1240" s="12" t="n">
        <v>46112</v>
      </c>
      <c r="C1240" s="11" t="inlineStr">
        <is>
          <t>INTF</t>
        </is>
      </c>
      <c r="D1240" s="11" t="inlineStr">
        <is>
          <t>202603</t>
        </is>
      </c>
      <c r="E1240" s="11" t="inlineStr">
        <is>
          <t>1006850975</t>
        </is>
      </c>
      <c r="F1240" s="11" t="inlineStr">
        <is>
          <t>ALDANA RENTERIA JOHA</t>
        </is>
      </c>
      <c r="G1240" s="11" t="inlineStr"/>
      <c r="H1240" s="11" t="inlineStr">
        <is>
          <t>INTERFACE P.O.S.</t>
        </is>
      </c>
      <c r="I1240" s="11" t="n">
        <v>2200</v>
      </c>
      <c r="J1240" s="11" t="inlineStr"/>
    </row>
    <row r="1241">
      <c r="A1241" s="11" t="n">
        <v>1240</v>
      </c>
      <c r="B1241" s="12" t="n">
        <v>46112</v>
      </c>
      <c r="C1241" s="11" t="inlineStr">
        <is>
          <t>INTF</t>
        </is>
      </c>
      <c r="D1241" s="11" t="inlineStr">
        <is>
          <t>202603</t>
        </is>
      </c>
      <c r="E1241" s="11" t="inlineStr">
        <is>
          <t>40740556</t>
        </is>
      </c>
      <c r="F1241" s="11" t="inlineStr">
        <is>
          <t>CUBILLOS ORDOÑES NIV</t>
        </is>
      </c>
      <c r="G1241" s="11" t="inlineStr"/>
      <c r="H1241" s="11" t="inlineStr">
        <is>
          <t>INTERFACE P.O.S.</t>
        </is>
      </c>
      <c r="I1241" s="11" t="n">
        <v>11300</v>
      </c>
      <c r="J1241" s="11" t="inlineStr"/>
    </row>
    <row r="1242">
      <c r="A1242" s="11" t="n">
        <v>1241</v>
      </c>
      <c r="B1242" s="12" t="n">
        <v>46112</v>
      </c>
      <c r="C1242" s="11" t="inlineStr">
        <is>
          <t>INTF</t>
        </is>
      </c>
      <c r="D1242" s="11" t="inlineStr">
        <is>
          <t>202603</t>
        </is>
      </c>
      <c r="E1242" s="11" t="inlineStr">
        <is>
          <t>69006051</t>
        </is>
      </c>
      <c r="F1242" s="11" t="inlineStr">
        <is>
          <t>SANCHEZ SANTACRUZ CL</t>
        </is>
      </c>
      <c r="G1242" s="11" t="inlineStr"/>
      <c r="H1242" s="11" t="inlineStr">
        <is>
          <t>INTERFACE P.O.S.</t>
        </is>
      </c>
      <c r="I1242" s="11" t="n">
        <v>157600</v>
      </c>
      <c r="J1242" s="11" t="inlineStr"/>
    </row>
    <row r="1243">
      <c r="A1243" s="11" t="n">
        <v>1242</v>
      </c>
      <c r="B1243" s="12" t="n">
        <v>46112</v>
      </c>
      <c r="C1243" s="11" t="inlineStr">
        <is>
          <t>INTF</t>
        </is>
      </c>
      <c r="D1243" s="11" t="inlineStr">
        <is>
          <t>202603</t>
        </is>
      </c>
      <c r="E1243" s="11" t="inlineStr">
        <is>
          <t>1130144670</t>
        </is>
      </c>
      <c r="F1243" s="11" t="inlineStr">
        <is>
          <t>CARDENAS BURBANO JUA</t>
        </is>
      </c>
      <c r="G1243" s="11" t="inlineStr"/>
      <c r="H1243" s="11" t="inlineStr">
        <is>
          <t>INTERFACE P.O.S.</t>
        </is>
      </c>
      <c r="I1243" s="11" t="n">
        <v>20100</v>
      </c>
      <c r="J1243" s="11" t="inlineStr"/>
    </row>
    <row r="1244">
      <c r="A1244" s="11" t="n">
        <v>1243</v>
      </c>
      <c r="B1244" s="12" t="n">
        <v>46112</v>
      </c>
      <c r="C1244" s="11" t="inlineStr">
        <is>
          <t>INTF</t>
        </is>
      </c>
      <c r="D1244" s="11" t="inlineStr">
        <is>
          <t>202603</t>
        </is>
      </c>
      <c r="E1244" s="11" t="inlineStr">
        <is>
          <t>1006851451</t>
        </is>
      </c>
      <c r="F1244" s="11" t="inlineStr">
        <is>
          <t>SALDAÑA PINTO CAROLI</t>
        </is>
      </c>
      <c r="G1244" s="11" t="inlineStr"/>
      <c r="H1244" s="11" t="inlineStr">
        <is>
          <t>INTERFACE P.O.S.</t>
        </is>
      </c>
      <c r="I1244" s="11" t="n">
        <v>4700</v>
      </c>
      <c r="J1244" s="11" t="inlineStr"/>
    </row>
    <row r="1245">
      <c r="A1245" s="11" t="n">
        <v>1244</v>
      </c>
      <c r="B1245" s="12" t="n">
        <v>46112</v>
      </c>
      <c r="C1245" s="11" t="inlineStr">
        <is>
          <t>INTF</t>
        </is>
      </c>
      <c r="D1245" s="11" t="inlineStr">
        <is>
          <t>202603</t>
        </is>
      </c>
      <c r="E1245" s="11" t="inlineStr">
        <is>
          <t>87490569</t>
        </is>
      </c>
      <c r="F1245" s="11" t="inlineStr">
        <is>
          <t>CERON DOMINGO JOSE</t>
        </is>
      </c>
      <c r="G1245" s="11" t="inlineStr"/>
      <c r="H1245" s="11" t="inlineStr">
        <is>
          <t>INTERFACE P.O.S.</t>
        </is>
      </c>
      <c r="I1245" s="11" t="n">
        <v>4400</v>
      </c>
      <c r="J1245" s="11" t="inlineStr"/>
    </row>
    <row r="1246">
      <c r="A1246" s="11" t="n">
        <v>1245</v>
      </c>
      <c r="B1246" s="12" t="n">
        <v>46112</v>
      </c>
      <c r="C1246" s="11" t="inlineStr">
        <is>
          <t>INTF</t>
        </is>
      </c>
      <c r="D1246" s="11" t="inlineStr">
        <is>
          <t>202603</t>
        </is>
      </c>
      <c r="E1246" s="11" t="inlineStr">
        <is>
          <t>80323224</t>
        </is>
      </c>
      <c r="F1246" s="11" t="inlineStr">
        <is>
          <t>SANTOS JHON JAIRO</t>
        </is>
      </c>
      <c r="G1246" s="11" t="inlineStr"/>
      <c r="H1246" s="11" t="inlineStr">
        <is>
          <t>INTERFACE P.O.S.</t>
        </is>
      </c>
      <c r="I1246" s="11" t="n">
        <v>80000</v>
      </c>
      <c r="J1246" s="11" t="inlineStr"/>
    </row>
    <row r="1247">
      <c r="A1247" s="11" t="n">
        <v>1246</v>
      </c>
      <c r="B1247" s="12" t="n">
        <v>46112</v>
      </c>
      <c r="C1247" s="11" t="inlineStr">
        <is>
          <t>INTF</t>
        </is>
      </c>
      <c r="D1247" s="11" t="inlineStr">
        <is>
          <t>202603</t>
        </is>
      </c>
      <c r="E1247" s="11" t="inlineStr">
        <is>
          <t>1124858469</t>
        </is>
      </c>
      <c r="F1247" s="11" t="inlineStr">
        <is>
          <t>MARIN BENAVIDES EDWI</t>
        </is>
      </c>
      <c r="G1247" s="11" t="inlineStr"/>
      <c r="H1247" s="11" t="inlineStr">
        <is>
          <t>INTERFACE P.O.S.</t>
        </is>
      </c>
      <c r="I1247" s="11" t="n">
        <v>8600</v>
      </c>
      <c r="J1247" s="11" t="inlineStr"/>
    </row>
    <row r="1248">
      <c r="A1248" s="11" t="n">
        <v>1247</v>
      </c>
      <c r="B1248" s="12" t="n">
        <v>46112</v>
      </c>
      <c r="C1248" s="11" t="inlineStr">
        <is>
          <t>INTF</t>
        </is>
      </c>
      <c r="D1248" s="11" t="inlineStr">
        <is>
          <t>202603</t>
        </is>
      </c>
      <c r="E1248" s="11" t="inlineStr">
        <is>
          <t>1075281542</t>
        </is>
      </c>
      <c r="F1248" s="11" t="inlineStr">
        <is>
          <t>RODRIGUEZ BUITRON KA</t>
        </is>
      </c>
      <c r="G1248" s="11" t="inlineStr"/>
      <c r="H1248" s="11" t="inlineStr">
        <is>
          <t>INTERFACE P.O.S.</t>
        </is>
      </c>
      <c r="I1248" s="11" t="n">
        <v>4600</v>
      </c>
      <c r="J1248" s="11" t="inlineStr"/>
    </row>
    <row r="1249">
      <c r="A1249" s="11" t="n">
        <v>1248</v>
      </c>
      <c r="B1249" s="12" t="n">
        <v>46112</v>
      </c>
      <c r="C1249" s="11" t="inlineStr">
        <is>
          <t>INTF</t>
        </is>
      </c>
      <c r="D1249" s="11" t="inlineStr">
        <is>
          <t>202603</t>
        </is>
      </c>
      <c r="E1249" s="11" t="inlineStr">
        <is>
          <t>1123325945</t>
        </is>
      </c>
      <c r="F1249" s="11" t="inlineStr">
        <is>
          <t>GUERRERO RIVADENEIRA</t>
        </is>
      </c>
      <c r="G1249" s="11" t="inlineStr"/>
      <c r="H1249" s="11" t="inlineStr">
        <is>
          <t>INTERFACE P.O.S.</t>
        </is>
      </c>
      <c r="I1249" s="11" t="n">
        <v>11600</v>
      </c>
      <c r="J1249" s="11" t="inlineStr"/>
    </row>
    <row r="1250">
      <c r="A1250" s="11" t="n">
        <v>1249</v>
      </c>
      <c r="B1250" s="12" t="n">
        <v>46112</v>
      </c>
      <c r="C1250" s="11" t="inlineStr">
        <is>
          <t>INTF</t>
        </is>
      </c>
      <c r="D1250" s="11" t="inlineStr">
        <is>
          <t>202603</t>
        </is>
      </c>
      <c r="E1250" s="11" t="inlineStr">
        <is>
          <t>1032428853</t>
        </is>
      </c>
      <c r="F1250" s="11" t="inlineStr">
        <is>
          <t>HIPIA RIASCOS LUZ AD</t>
        </is>
      </c>
      <c r="G1250" s="11" t="inlineStr"/>
      <c r="H1250" s="11" t="inlineStr">
        <is>
          <t>INTERFACE P.O.S.</t>
        </is>
      </c>
      <c r="I1250" s="11" t="n">
        <v>20400</v>
      </c>
      <c r="J1250" s="11" t="inlineStr"/>
    </row>
    <row r="1251">
      <c r="A1251" s="11" t="n">
        <v>1250</v>
      </c>
      <c r="B1251" s="12" t="n">
        <v>46112</v>
      </c>
      <c r="C1251" s="11" t="inlineStr">
        <is>
          <t>INTF</t>
        </is>
      </c>
      <c r="D1251" s="11" t="inlineStr">
        <is>
          <t>202603</t>
        </is>
      </c>
      <c r="E1251" s="11" t="inlineStr">
        <is>
          <t>41110094</t>
        </is>
      </c>
      <c r="F1251" s="11" t="inlineStr">
        <is>
          <t>ROJAS ORDOÑEZ YENI</t>
        </is>
      </c>
      <c r="G1251" s="11" t="inlineStr"/>
      <c r="H1251" s="11" t="inlineStr">
        <is>
          <t>INTERFACE P.O.S.</t>
        </is>
      </c>
      <c r="I1251" s="11" t="n">
        <v>12300</v>
      </c>
      <c r="J1251" s="11" t="inlineStr"/>
    </row>
    <row r="1252">
      <c r="A1252" s="11" t="n">
        <v>1251</v>
      </c>
      <c r="B1252" s="12" t="n">
        <v>46112</v>
      </c>
      <c r="C1252" s="11" t="inlineStr">
        <is>
          <t>INTF</t>
        </is>
      </c>
      <c r="D1252" s="11" t="inlineStr">
        <is>
          <t>202603</t>
        </is>
      </c>
      <c r="E1252" s="11" t="inlineStr">
        <is>
          <t>1032361572</t>
        </is>
      </c>
      <c r="F1252" s="11" t="inlineStr">
        <is>
          <t>BENAVIDES RODRIGUEZ</t>
        </is>
      </c>
      <c r="G1252" s="11" t="inlineStr"/>
      <c r="H1252" s="11" t="inlineStr">
        <is>
          <t>INTERFACE P.O.S.</t>
        </is>
      </c>
      <c r="I1252" s="11" t="n">
        <v>18500</v>
      </c>
      <c r="J1252" s="11" t="inlineStr"/>
    </row>
    <row r="1253">
      <c r="A1253" s="11" t="n">
        <v>1252</v>
      </c>
      <c r="B1253" s="12" t="n">
        <v>46112</v>
      </c>
      <c r="C1253" s="11" t="inlineStr">
        <is>
          <t>INTF</t>
        </is>
      </c>
      <c r="D1253" s="11" t="inlineStr">
        <is>
          <t>202603</t>
        </is>
      </c>
      <c r="E1253" s="11" t="inlineStr">
        <is>
          <t>1085317554</t>
        </is>
      </c>
      <c r="F1253" s="11" t="inlineStr">
        <is>
          <t>GUERRERO PALACIOS JU</t>
        </is>
      </c>
      <c r="G1253" s="11" t="inlineStr"/>
      <c r="H1253" s="11" t="inlineStr">
        <is>
          <t>INTERFACE P.O.S.</t>
        </is>
      </c>
      <c r="I1253" s="11" t="n">
        <v>35300</v>
      </c>
      <c r="J1253" s="11" t="inlineStr"/>
    </row>
    <row r="1254">
      <c r="A1254" s="11" t="n">
        <v>1253</v>
      </c>
      <c r="B1254" s="12" t="n">
        <v>46112</v>
      </c>
      <c r="C1254" s="11" t="inlineStr">
        <is>
          <t>RC</t>
        </is>
      </c>
      <c r="D1254" s="11" t="inlineStr">
        <is>
          <t>4154</t>
        </is>
      </c>
      <c r="E1254" s="11" t="inlineStr">
        <is>
          <t>1056775282</t>
        </is>
      </c>
      <c r="F1254" s="11" t="inlineStr">
        <is>
          <t>AVILA RIVERA LUIS EN</t>
        </is>
      </c>
      <c r="G1254" s="11" t="inlineStr">
        <is>
          <t>5282</t>
        </is>
      </c>
      <c r="H1254" s="11" t="inlineStr">
        <is>
          <t>RC LUIS</t>
        </is>
      </c>
      <c r="I1254" s="11" t="n">
        <v>500000</v>
      </c>
      <c r="J1254" s="11" t="inlineStr"/>
    </row>
    <row r="1255">
      <c r="A1255" s="11" t="n">
        <v>1254</v>
      </c>
      <c r="B1255" s="12" t="n">
        <v>46112</v>
      </c>
      <c r="C1255" s="11" t="inlineStr">
        <is>
          <t>RC</t>
        </is>
      </c>
      <c r="D1255" s="11" t="inlineStr">
        <is>
          <t>4157</t>
        </is>
      </c>
      <c r="E1255" s="11" t="inlineStr">
        <is>
          <t>41108859</t>
        </is>
      </c>
      <c r="F1255" s="11" t="inlineStr">
        <is>
          <t>LOPEZ GARCIA OLGA ED</t>
        </is>
      </c>
      <c r="G1255" s="11" t="inlineStr">
        <is>
          <t>8859</t>
        </is>
      </c>
      <c r="H1255" s="11" t="inlineStr">
        <is>
          <t>RC OLGA</t>
        </is>
      </c>
      <c r="I1255" s="11" t="n">
        <v>300000</v>
      </c>
      <c r="J1255" s="11" t="inlineStr"/>
    </row>
  </sheetData>
  <autoFilter ref="A1:J12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2026-06-06T02:52:52Z</dcterms:created>
  <dcterms:modified xmlns:dcterms="http://purl.org/dc/terms/" xmlns:xsi="http://www.w3.org/2001/XMLSchema-instance" xsi:type="dcterms:W3CDTF">2026-06-06T02:53:07Z</dcterms:modified>
</cp:coreProperties>
</file>