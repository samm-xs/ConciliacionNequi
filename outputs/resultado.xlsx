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auxiliar vs banco" sheetId="1" state="visible" r:id="rId1"/>
    <sheet xmlns:r="http://schemas.openxmlformats.org/officeDocument/2006/relationships" name="Conciliacion de compuestos" sheetId="2" state="visible" r:id="rId2"/>
    <sheet xmlns:r="http://schemas.openxmlformats.org/officeDocument/2006/relationships" name="Registros pendientes del banco" sheetId="3" state="visible" r:id="rId3"/>
    <sheet xmlns:r="http://schemas.openxmlformats.org/officeDocument/2006/relationships" name="Conceptos bancarios" sheetId="4" state="visible" r:id="rId4"/>
    <sheet xmlns:r="http://schemas.openxmlformats.org/officeDocument/2006/relationships" name="Extractos banco" sheetId="5" state="visible" r:id="rId5"/>
    <sheet xmlns:r="http://schemas.openxmlformats.org/officeDocument/2006/relationships" name="Libro Auxiliar" sheetId="6" state="visible" r:id="rId6"/>
  </sheets>
  <definedNames>
    <definedName name="_xlnm._FilterDatabase" localSheetId="0" hidden="1">'Libro auxiliar vs banco'!$A$3:$H$284</definedName>
    <definedName name="_xlnm._FilterDatabase" localSheetId="1" hidden="1">'Conciliacion de compuestos'!$A$1:$O$13</definedName>
    <definedName name="_xlnm._FilterDatabase" localSheetId="2" hidden="1">'Registros pendientes del banco'!$A$2:$E$324</definedName>
    <definedName name="_xlnm._FilterDatabase" localSheetId="3" hidden="1">'Conceptos bancarios'!$A$1:$D$10</definedName>
    <definedName name="_xlnm._FilterDatabase" localSheetId="4" hidden="1">'Extractos banco'!$A$1:$G$1638</definedName>
    <definedName name="_xlnm._FilterDatabase" localSheetId="5" hidden="1">'Libro Auxiliar'!$A$1:$J$282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  <i val="1"/>
      <color rgb="00FFFFFF"/>
      <sz val="20"/>
    </font>
    <font>
      <b val="1"/>
      <color rgb="00FFFFFF"/>
      <sz val="14"/>
    </font>
    <font>
      <sz val="13"/>
    </font>
  </fonts>
  <fills count="6">
    <fill>
      <patternFill/>
    </fill>
    <fill>
      <patternFill patternType="gray125"/>
    </fill>
    <fill>
      <patternFill patternType="solid">
        <fgColor rgb="00A64D79"/>
        <bgColor rgb="00A64D79"/>
      </patternFill>
    </fill>
    <fill>
      <patternFill patternType="solid">
        <fgColor rgb="003C78D8"/>
        <bgColor rgb="003C78D8"/>
      </patternFill>
    </fill>
    <fill>
      <patternFill patternType="solid">
        <fgColor rgb="00BF9000"/>
        <bgColor rgb="00BF9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64" fontId="0" fillId="0" borderId="1" pivotButton="0" quotePrefix="0" xfId="0"/>
    <xf numFmtId="4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Conciliacion</author>
  </authors>
  <commentList>
    <comment ref="H3" authorId="0" shapeId="0">
      <text>
        <t>Podrías usar un formato así:
ID / dd-mm-yyyy / nombre / valor
ID / dd-mm-yyyy / nombre / valor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8" customWidth="1" min="3" max="3"/>
    <col width="16" customWidth="1" min="4" max="4"/>
    <col width="14" customWidth="1" min="5" max="5"/>
    <col width="65" customWidth="1" min="6" max="6"/>
    <col width="16" customWidth="1" min="7" max="7"/>
    <col width="55" customWidth="1" min="8" max="8"/>
    <col hidden="1" width="13" customWidth="1" min="9" max="9"/>
  </cols>
  <sheetData>
    <row r="1">
      <c r="A1" s="1" t="inlineStr">
        <is>
          <t>Conciliacion Bancaria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Libro Auxiliar</t>
        </is>
      </c>
      <c r="B2" s="4" t="n"/>
      <c r="C2" s="2" t="n"/>
      <c r="D2" s="5" t="n"/>
      <c r="E2" s="6" t="inlineStr">
        <is>
          <t>Conciliacion Automatica</t>
        </is>
      </c>
      <c r="F2" s="2" t="n"/>
      <c r="G2" s="7" t="inlineStr">
        <is>
          <t>Conciliacion manual</t>
        </is>
      </c>
      <c r="H2" s="2" t="n"/>
      <c r="I2" s="2" t="n"/>
    </row>
    <row r="3">
      <c r="A3" s="8" t="inlineStr">
        <is>
          <t>ID</t>
        </is>
      </c>
      <c r="B3" s="9" t="inlineStr">
        <is>
          <t>Fecha</t>
        </is>
      </c>
      <c r="C3" s="8" t="inlineStr">
        <is>
          <t>Nombre</t>
        </is>
      </c>
      <c r="D3" s="10" t="inlineStr">
        <is>
          <t>Valor</t>
        </is>
      </c>
      <c r="E3" s="8" t="inlineStr">
        <is>
          <t>Estado</t>
        </is>
      </c>
      <c r="F3" s="8" t="inlineStr">
        <is>
          <t>Conciliado del banco con registros:</t>
        </is>
      </c>
      <c r="G3" s="8" t="inlineStr">
        <is>
          <t>Estado</t>
        </is>
      </c>
      <c r="H3" s="8" t="inlineStr">
        <is>
          <t>Conciliado del banco con registros:</t>
        </is>
      </c>
      <c r="I3" s="8" t="inlineStr">
        <is>
          <t>Estado automatico base</t>
        </is>
      </c>
    </row>
    <row r="4">
      <c r="A4" s="11" t="n">
        <v>144</v>
      </c>
      <c r="B4" s="12" t="n">
        <v>46038</v>
      </c>
      <c r="C4" s="11" t="inlineStr">
        <is>
          <t>m mata nubia rosales</t>
        </is>
      </c>
      <c r="D4" s="13" t="n">
        <v>37700</v>
      </c>
      <c r="E4" s="11">
        <f>IF(G4="conciliado","conciliado",I4)</f>
        <v/>
      </c>
      <c r="F4" s="11">
        <f>IF(SUM(COUNTIFS('Conciliacion de compuestos'!$D$2:$D$13,"conciliado",'Conciliacion de compuestos'!$E$2:$E$13,"OK",'Conciliacion de compuestos'!$M$2:$M$13,A4),COUNTIFS('Conciliacion de compuestos'!$D$2:$D$13,"conciliado",'Conciliacion de compuestos'!$E$2:$E$13,"OK",'Conciliacion de compuestos'!$N$2:$N$13,A4),COUNTIFS('Conciliacion de compuestos'!$D$2:$D$13,"conciliado",'Conciliacion de compuestos'!$E$2:$E$13,"OK",'Conciliacion de compuestos'!$O$2:$O$13,A4))&gt;0,IFERROR(TEXTJOIN(CHAR(10),TRUE,FILTER('Conciliacion de compuestos'!$A$2:$A$13,('Conciliacion de compuestos'!$D$2:$D$13="conciliado")*('Conciliacion de compuestos'!$E$2:$E$13="OK")*((('Conciliacion de compuestos'!$M$2:$M$13=A4)+('Conciliacion de compuestos'!$N$2:$N$13=A4)+('Conciliacion de compuestos'!$O$2:$O$13=A4))&gt;0))),""),"")</f>
        <v/>
      </c>
      <c r="G4" s="11">
        <f>IF(I4="conciliado","conciliado","por revisar")</f>
        <v/>
      </c>
      <c r="H4" s="11" t="inlineStr"/>
      <c r="I4" s="11">
        <f>IF(SUM(COUNTIFS('Conciliacion de compuestos'!$D$2:$D$13,"conciliado",'Conciliacion de compuestos'!$E$2:$E$13,"OK",'Conciliacion de compuestos'!$M$2:$M$13,A4),COUNTIFS('Conciliacion de compuestos'!$D$2:$D$13,"conciliado",'Conciliacion de compuestos'!$E$2:$E$13,"OK",'Conciliacion de compuestos'!$N$2:$N$13,A4),COUNTIFS('Conciliacion de compuestos'!$D$2:$D$13,"conciliado",'Conciliacion de compuestos'!$E$2:$E$13,"OK",'Conciliacion de compuestos'!$O$2:$O$13,A4))&gt;0,"conciliado","por revisar")</f>
        <v/>
      </c>
    </row>
    <row r="5">
      <c r="A5" s="11" t="n">
        <v>148</v>
      </c>
      <c r="B5" s="12" t="n">
        <v>46038</v>
      </c>
      <c r="C5" s="11" t="inlineStr">
        <is>
          <t>f luis moreno romero</t>
        </is>
      </c>
      <c r="D5" s="13" t="n">
        <v>22400</v>
      </c>
      <c r="E5" s="11">
        <f>IF(G5="conciliado","conciliado",I5)</f>
        <v/>
      </c>
      <c r="F5" s="11">
        <f>IF(SUM(COUNTIFS('Conciliacion de compuestos'!$D$2:$D$13,"conciliado",'Conciliacion de compuestos'!$E$2:$E$13,"OK",'Conciliacion de compuestos'!$M$2:$M$13,A5),COUNTIFS('Conciliacion de compuestos'!$D$2:$D$13,"conciliado",'Conciliacion de compuestos'!$E$2:$E$13,"OK",'Conciliacion de compuestos'!$N$2:$N$13,A5),COUNTIFS('Conciliacion de compuestos'!$D$2:$D$13,"conciliado",'Conciliacion de compuestos'!$E$2:$E$13,"OK",'Conciliacion de compuestos'!$O$2:$O$13,A5))&gt;0,IFERROR(TEXTJOIN(CHAR(10),TRUE,FILTER('Conciliacion de compuestos'!$A$2:$A$13,('Conciliacion de compuestos'!$D$2:$D$13="conciliado")*('Conciliacion de compuestos'!$E$2:$E$13="OK")*((('Conciliacion de compuestos'!$M$2:$M$13=A5)+('Conciliacion de compuestos'!$N$2:$N$13=A5)+('Conciliacion de compuestos'!$O$2:$O$13=A5))&gt;0))),""),"")</f>
        <v/>
      </c>
      <c r="G5" s="11">
        <f>IF(I5="conciliado","conciliado","por revisar")</f>
        <v/>
      </c>
      <c r="H5" s="11" t="inlineStr"/>
      <c r="I5" s="11">
        <f>IF(SUM(COUNTIFS('Conciliacion de compuestos'!$D$2:$D$13,"conciliado",'Conciliacion de compuestos'!$E$2:$E$13,"OK",'Conciliacion de compuestos'!$M$2:$M$13,A5),COUNTIFS('Conciliacion de compuestos'!$D$2:$D$13,"conciliado",'Conciliacion de compuestos'!$E$2:$E$13,"OK",'Conciliacion de compuestos'!$N$2:$N$13,A5),COUNTIFS('Conciliacion de compuestos'!$D$2:$D$13,"conciliado",'Conciliacion de compuestos'!$E$2:$E$13,"OK",'Conciliacion de compuestos'!$O$2:$O$13,A5))&gt;0,"conciliado","por revisar")</f>
        <v/>
      </c>
    </row>
    <row r="6">
      <c r="A6" s="11" t="n">
        <v>100</v>
      </c>
      <c r="B6" s="12" t="n">
        <v>46032</v>
      </c>
      <c r="C6" s="11" t="inlineStr">
        <is>
          <t>hernandez jaid silva</t>
        </is>
      </c>
      <c r="D6" s="13" t="n">
        <v>50200</v>
      </c>
      <c r="E6" s="11">
        <f>IF(G6="conciliado","conciliado",I6)</f>
        <v/>
      </c>
      <c r="F6" s="11">
        <f>IF(SUM(COUNTIFS('Conciliacion de compuestos'!$D$2:$D$13,"conciliado",'Conciliacion de compuestos'!$E$2:$E$13,"OK",'Conciliacion de compuestos'!$M$2:$M$13,A6),COUNTIFS('Conciliacion de compuestos'!$D$2:$D$13,"conciliado",'Conciliacion de compuestos'!$E$2:$E$13,"OK",'Conciliacion de compuestos'!$N$2:$N$13,A6),COUNTIFS('Conciliacion de compuestos'!$D$2:$D$13,"conciliado",'Conciliacion de compuestos'!$E$2:$E$13,"OK",'Conciliacion de compuestos'!$O$2:$O$13,A6))&gt;0,IFERROR(TEXTJOIN(CHAR(10),TRUE,FILTER('Conciliacion de compuestos'!$A$2:$A$13,('Conciliacion de compuestos'!$D$2:$D$13="conciliado")*('Conciliacion de compuestos'!$E$2:$E$13="OK")*((('Conciliacion de compuestos'!$M$2:$M$13=A6)+('Conciliacion de compuestos'!$N$2:$N$13=A6)+('Conciliacion de compuestos'!$O$2:$O$13=A6))&gt;0))),""),"")</f>
        <v/>
      </c>
      <c r="G6" s="11">
        <f>IF(I6="conciliado","conciliado","por revisar")</f>
        <v/>
      </c>
      <c r="H6" s="11" t="inlineStr"/>
      <c r="I6" s="11">
        <f>IF(SUM(COUNTIFS('Conciliacion de compuestos'!$D$2:$D$13,"conciliado",'Conciliacion de compuestos'!$E$2:$E$13,"OK",'Conciliacion de compuestos'!$M$2:$M$13,A6),COUNTIFS('Conciliacion de compuestos'!$D$2:$D$13,"conciliado",'Conciliacion de compuestos'!$E$2:$E$13,"OK",'Conciliacion de compuestos'!$N$2:$N$13,A6),COUNTIFS('Conciliacion de compuestos'!$D$2:$D$13,"conciliado",'Conciliacion de compuestos'!$E$2:$E$13,"OK",'Conciliacion de compuestos'!$O$2:$O$13,A6))&gt;0,"conciliado","por revisar")</f>
        <v/>
      </c>
    </row>
    <row r="7">
      <c r="A7" s="11" t="n">
        <v>180</v>
      </c>
      <c r="B7" s="12" t="n">
        <v>46042</v>
      </c>
      <c r="C7" s="11" t="inlineStr">
        <is>
          <t>dony norve pantoja</t>
        </is>
      </c>
      <c r="D7" s="13" t="n">
        <v>24800</v>
      </c>
      <c r="E7" s="11">
        <f>IF(G7="conciliado","conciliado",I7)</f>
        <v/>
      </c>
      <c r="F7" s="11">
        <f>IF(SUM(COUNTIFS('Conciliacion de compuestos'!$D$2:$D$13,"conciliado",'Conciliacion de compuestos'!$E$2:$E$13,"OK",'Conciliacion de compuestos'!$M$2:$M$13,A7),COUNTIFS('Conciliacion de compuestos'!$D$2:$D$13,"conciliado",'Conciliacion de compuestos'!$E$2:$E$13,"OK",'Conciliacion de compuestos'!$N$2:$N$13,A7),COUNTIFS('Conciliacion de compuestos'!$D$2:$D$13,"conciliado",'Conciliacion de compuestos'!$E$2:$E$13,"OK",'Conciliacion de compuestos'!$O$2:$O$13,A7))&gt;0,IFERROR(TEXTJOIN(CHAR(10),TRUE,FILTER('Conciliacion de compuestos'!$A$2:$A$13,('Conciliacion de compuestos'!$D$2:$D$13="conciliado")*('Conciliacion de compuestos'!$E$2:$E$13="OK")*((('Conciliacion de compuestos'!$M$2:$M$13=A7)+('Conciliacion de compuestos'!$N$2:$N$13=A7)+('Conciliacion de compuestos'!$O$2:$O$13=A7))&gt;0))),""),"")</f>
        <v/>
      </c>
      <c r="G7" s="11">
        <f>IF(I7="conciliado","conciliado","por revisar")</f>
        <v/>
      </c>
      <c r="H7" s="11" t="inlineStr"/>
      <c r="I7" s="11">
        <f>IF(SUM(COUNTIFS('Conciliacion de compuestos'!$D$2:$D$13,"conciliado",'Conciliacion de compuestos'!$E$2:$E$13,"OK",'Conciliacion de compuestos'!$M$2:$M$13,A7),COUNTIFS('Conciliacion de compuestos'!$D$2:$D$13,"conciliado",'Conciliacion de compuestos'!$E$2:$E$13,"OK",'Conciliacion de compuestos'!$N$2:$N$13,A7),COUNTIFS('Conciliacion de compuestos'!$D$2:$D$13,"conciliado",'Conciliacion de compuestos'!$E$2:$E$13,"OK",'Conciliacion de compuestos'!$O$2:$O$13,A7))&gt;0,"conciliado","por revisar")</f>
        <v/>
      </c>
    </row>
    <row r="8">
      <c r="A8" s="11" t="n">
        <v>34</v>
      </c>
      <c r="B8" s="12" t="n">
        <v>46026</v>
      </c>
      <c r="C8" s="11" t="inlineStr">
        <is>
          <t>abela ortiz zambrano</t>
        </is>
      </c>
      <c r="D8" s="13" t="n">
        <v>69200</v>
      </c>
      <c r="E8" s="11">
        <f>IF(G8="conciliado","conciliado",I8)</f>
        <v/>
      </c>
      <c r="F8" s="11">
        <f>IF(SUM(COUNTIFS('Conciliacion de compuestos'!$D$2:$D$13,"conciliado",'Conciliacion de compuestos'!$E$2:$E$13,"OK",'Conciliacion de compuestos'!$M$2:$M$13,A8),COUNTIFS('Conciliacion de compuestos'!$D$2:$D$13,"conciliado",'Conciliacion de compuestos'!$E$2:$E$13,"OK",'Conciliacion de compuestos'!$N$2:$N$13,A8),COUNTIFS('Conciliacion de compuestos'!$D$2:$D$13,"conciliado",'Conciliacion de compuestos'!$E$2:$E$13,"OK",'Conciliacion de compuestos'!$O$2:$O$13,A8))&gt;0,IFERROR(TEXTJOIN(CHAR(10),TRUE,FILTER('Conciliacion de compuestos'!$A$2:$A$13,('Conciliacion de compuestos'!$D$2:$D$13="conciliado")*('Conciliacion de compuestos'!$E$2:$E$13="OK")*((('Conciliacion de compuestos'!$M$2:$M$13=A8)+('Conciliacion de compuestos'!$N$2:$N$13=A8)+('Conciliacion de compuestos'!$O$2:$O$13=A8))&gt;0))),""),"")</f>
        <v/>
      </c>
      <c r="G8" s="11">
        <f>IF(I8="conciliado","conciliado","por revisar")</f>
        <v/>
      </c>
      <c r="H8" s="11" t="inlineStr"/>
      <c r="I8" s="11">
        <f>IF(SUM(COUNTIFS('Conciliacion de compuestos'!$D$2:$D$13,"conciliado",'Conciliacion de compuestos'!$E$2:$E$13,"OK",'Conciliacion de compuestos'!$M$2:$M$13,A8),COUNTIFS('Conciliacion de compuestos'!$D$2:$D$13,"conciliado",'Conciliacion de compuestos'!$E$2:$E$13,"OK",'Conciliacion de compuestos'!$N$2:$N$13,A8),COUNTIFS('Conciliacion de compuestos'!$D$2:$D$13,"conciliado",'Conciliacion de compuestos'!$E$2:$E$13,"OK",'Conciliacion de compuestos'!$O$2:$O$13,A8))&gt;0,"conciliado","por revisar")</f>
        <v/>
      </c>
    </row>
    <row r="9">
      <c r="A9" s="11" t="n">
        <v>27</v>
      </c>
      <c r="B9" s="12" t="n">
        <v>46026</v>
      </c>
      <c r="C9" s="11" t="inlineStr">
        <is>
          <t>fernan salazar silva</t>
        </is>
      </c>
      <c r="D9" s="13" t="n">
        <v>85500</v>
      </c>
      <c r="E9" s="11">
        <f>IF(G9="conciliado","conciliado",I9)</f>
        <v/>
      </c>
      <c r="F9" s="11">
        <f>IF(SUM(COUNTIFS('Conciliacion de compuestos'!$D$2:$D$13,"conciliado",'Conciliacion de compuestos'!$E$2:$E$13,"OK",'Conciliacion de compuestos'!$M$2:$M$13,A9),COUNTIFS('Conciliacion de compuestos'!$D$2:$D$13,"conciliado",'Conciliacion de compuestos'!$E$2:$E$13,"OK",'Conciliacion de compuestos'!$N$2:$N$13,A9),COUNTIFS('Conciliacion de compuestos'!$D$2:$D$13,"conciliado",'Conciliacion de compuestos'!$E$2:$E$13,"OK",'Conciliacion de compuestos'!$O$2:$O$13,A9))&gt;0,IFERROR(TEXTJOIN(CHAR(10),TRUE,FILTER('Conciliacion de compuestos'!$A$2:$A$13,('Conciliacion de compuestos'!$D$2:$D$13="conciliado")*('Conciliacion de compuestos'!$E$2:$E$13="OK")*((('Conciliacion de compuestos'!$M$2:$M$13=A9)+('Conciliacion de compuestos'!$N$2:$N$13=A9)+('Conciliacion de compuestos'!$O$2:$O$13=A9))&gt;0))),""),"")</f>
        <v/>
      </c>
      <c r="G9" s="11">
        <f>IF(I9="conciliado","conciliado","por revisar")</f>
        <v/>
      </c>
      <c r="H9" s="11" t="inlineStr"/>
      <c r="I9" s="11">
        <f>IF(SUM(COUNTIFS('Conciliacion de compuestos'!$D$2:$D$13,"conciliado",'Conciliacion de compuestos'!$E$2:$E$13,"OK",'Conciliacion de compuestos'!$M$2:$M$13,A9),COUNTIFS('Conciliacion de compuestos'!$D$2:$D$13,"conciliado",'Conciliacion de compuestos'!$E$2:$E$13,"OK",'Conciliacion de compuestos'!$N$2:$N$13,A9),COUNTIFS('Conciliacion de compuestos'!$D$2:$D$13,"conciliado",'Conciliacion de compuestos'!$E$2:$E$13,"OK",'Conciliacion de compuestos'!$O$2:$O$13,A9))&gt;0,"conciliado","por revisar")</f>
        <v/>
      </c>
    </row>
    <row r="10">
      <c r="A10" s="11" t="n">
        <v>239</v>
      </c>
      <c r="B10" s="12" t="n">
        <v>46049</v>
      </c>
      <c r="C10" s="11" t="inlineStr">
        <is>
          <t>bastidas cordoba yol</t>
        </is>
      </c>
      <c r="D10" s="13" t="n">
        <v>60000</v>
      </c>
      <c r="E10" s="11">
        <f>IF(G10="conciliado","conciliado",I10)</f>
        <v/>
      </c>
      <c r="F10" s="11">
        <f>IF(SUM(COUNTIFS('Conciliacion de compuestos'!$D$2:$D$13,"conciliado",'Conciliacion de compuestos'!$E$2:$E$13,"OK",'Conciliacion de compuestos'!$M$2:$M$13,A10),COUNTIFS('Conciliacion de compuestos'!$D$2:$D$13,"conciliado",'Conciliacion de compuestos'!$E$2:$E$13,"OK",'Conciliacion de compuestos'!$N$2:$N$13,A10),COUNTIFS('Conciliacion de compuestos'!$D$2:$D$13,"conciliado",'Conciliacion de compuestos'!$E$2:$E$13,"OK",'Conciliacion de compuestos'!$O$2:$O$13,A10))&gt;0,IFERROR(TEXTJOIN(CHAR(10),TRUE,FILTER('Conciliacion de compuestos'!$A$2:$A$13,('Conciliacion de compuestos'!$D$2:$D$13="conciliado")*('Conciliacion de compuestos'!$E$2:$E$13="OK")*((('Conciliacion de compuestos'!$M$2:$M$13=A10)+('Conciliacion de compuestos'!$N$2:$N$13=A10)+('Conciliacion de compuestos'!$O$2:$O$13=A10))&gt;0))),""),"")</f>
        <v/>
      </c>
      <c r="G10" s="11">
        <f>IF(I10="conciliado","conciliado","por revisar")</f>
        <v/>
      </c>
      <c r="H10" s="11" t="inlineStr"/>
      <c r="I10" s="11">
        <f>IF(SUM(COUNTIFS('Conciliacion de compuestos'!$D$2:$D$13,"conciliado",'Conciliacion de compuestos'!$E$2:$E$13,"OK",'Conciliacion de compuestos'!$M$2:$M$13,A10),COUNTIFS('Conciliacion de compuestos'!$D$2:$D$13,"conciliado",'Conciliacion de compuestos'!$E$2:$E$13,"OK",'Conciliacion de compuestos'!$N$2:$N$13,A10),COUNTIFS('Conciliacion de compuestos'!$D$2:$D$13,"conciliado",'Conciliacion de compuestos'!$E$2:$E$13,"OK",'Conciliacion de compuestos'!$O$2:$O$13,A10))&gt;0,"conciliado","por revisar")</f>
        <v/>
      </c>
    </row>
    <row r="11">
      <c r="A11" s="11" t="n">
        <v>31</v>
      </c>
      <c r="B11" s="12" t="n">
        <v>46026</v>
      </c>
      <c r="C11" s="11" t="inlineStr">
        <is>
          <t>alvarez mon quintero</t>
        </is>
      </c>
      <c r="D11" s="13" t="n">
        <v>226100</v>
      </c>
      <c r="E11" s="11">
        <f>IF(G11="conciliado","conciliado",I11)</f>
        <v/>
      </c>
      <c r="F11" s="11">
        <f>IF(SUM(COUNTIFS('Conciliacion de compuestos'!$D$2:$D$13,"conciliado",'Conciliacion de compuestos'!$E$2:$E$13,"OK",'Conciliacion de compuestos'!$M$2:$M$13,A11),COUNTIFS('Conciliacion de compuestos'!$D$2:$D$13,"conciliado",'Conciliacion de compuestos'!$E$2:$E$13,"OK",'Conciliacion de compuestos'!$N$2:$N$13,A11),COUNTIFS('Conciliacion de compuestos'!$D$2:$D$13,"conciliado",'Conciliacion de compuestos'!$E$2:$E$13,"OK",'Conciliacion de compuestos'!$O$2:$O$13,A11))&gt;0,IFERROR(TEXTJOIN(CHAR(10),TRUE,FILTER('Conciliacion de compuestos'!$A$2:$A$13,('Conciliacion de compuestos'!$D$2:$D$13="conciliado")*('Conciliacion de compuestos'!$E$2:$E$13="OK")*((('Conciliacion de compuestos'!$M$2:$M$13=A11)+('Conciliacion de compuestos'!$N$2:$N$13=A11)+('Conciliacion de compuestos'!$O$2:$O$13=A11))&gt;0))),""),"")</f>
        <v/>
      </c>
      <c r="G11" s="11">
        <f>IF(I11="conciliado","conciliado","por revisar")</f>
        <v/>
      </c>
      <c r="H11" s="11" t="inlineStr"/>
      <c r="I11" s="11">
        <f>IF(SUM(COUNTIFS('Conciliacion de compuestos'!$D$2:$D$13,"conciliado",'Conciliacion de compuestos'!$E$2:$E$13,"OK",'Conciliacion de compuestos'!$M$2:$M$13,A11),COUNTIFS('Conciliacion de compuestos'!$D$2:$D$13,"conciliado",'Conciliacion de compuestos'!$E$2:$E$13,"OK",'Conciliacion de compuestos'!$N$2:$N$13,A11),COUNTIFS('Conciliacion de compuestos'!$D$2:$D$13,"conciliado",'Conciliacion de compuestos'!$E$2:$E$13,"OK",'Conciliacion de compuestos'!$O$2:$O$13,A11))&gt;0,"conciliado","por revisar")</f>
        <v/>
      </c>
    </row>
    <row r="12">
      <c r="A12" s="11" t="n">
        <v>36</v>
      </c>
      <c r="B12" s="12" t="n">
        <v>46026</v>
      </c>
      <c r="C12" s="11" t="inlineStr">
        <is>
          <t>hernadez valencia</t>
        </is>
      </c>
      <c r="D12" s="13" t="n">
        <v>84100</v>
      </c>
      <c r="E12" s="11">
        <f>IF(G12="conciliado","conciliado",I12)</f>
        <v/>
      </c>
      <c r="F12" s="11">
        <f>IF(SUM(COUNTIFS('Conciliacion de compuestos'!$D$2:$D$13,"conciliado",'Conciliacion de compuestos'!$E$2:$E$13,"OK",'Conciliacion de compuestos'!$M$2:$M$13,A12),COUNTIFS('Conciliacion de compuestos'!$D$2:$D$13,"conciliado",'Conciliacion de compuestos'!$E$2:$E$13,"OK",'Conciliacion de compuestos'!$N$2:$N$13,A12),COUNTIFS('Conciliacion de compuestos'!$D$2:$D$13,"conciliado",'Conciliacion de compuestos'!$E$2:$E$13,"OK",'Conciliacion de compuestos'!$O$2:$O$13,A12))&gt;0,IFERROR(TEXTJOIN(CHAR(10),TRUE,FILTER('Conciliacion de compuestos'!$A$2:$A$13,('Conciliacion de compuestos'!$D$2:$D$13="conciliado")*('Conciliacion de compuestos'!$E$2:$E$13="OK")*((('Conciliacion de compuestos'!$M$2:$M$13=A12)+('Conciliacion de compuestos'!$N$2:$N$13=A12)+('Conciliacion de compuestos'!$O$2:$O$13=A12))&gt;0))),""),"")</f>
        <v/>
      </c>
      <c r="G12" s="11">
        <f>IF(I12="conciliado","conciliado","por revisar")</f>
        <v/>
      </c>
      <c r="H12" s="11" t="inlineStr"/>
      <c r="I12" s="11">
        <f>IF(SUM(COUNTIFS('Conciliacion de compuestos'!$D$2:$D$13,"conciliado",'Conciliacion de compuestos'!$E$2:$E$13,"OK",'Conciliacion de compuestos'!$M$2:$M$13,A12),COUNTIFS('Conciliacion de compuestos'!$D$2:$D$13,"conciliado",'Conciliacion de compuestos'!$E$2:$E$13,"OK",'Conciliacion de compuestos'!$N$2:$N$13,A12),COUNTIFS('Conciliacion de compuestos'!$D$2:$D$13,"conciliado",'Conciliacion de compuestos'!$E$2:$E$13,"OK",'Conciliacion de compuestos'!$O$2:$O$13,A12))&gt;0,"conciliado","por revisar")</f>
        <v/>
      </c>
    </row>
    <row r="13">
      <c r="A13" s="11" t="n">
        <v>32</v>
      </c>
      <c r="B13" s="12" t="n">
        <v>46026</v>
      </c>
      <c r="C13" s="11" t="inlineStr">
        <is>
          <t>coral jorge l rosero</t>
        </is>
      </c>
      <c r="D13" s="13" t="n">
        <v>42300</v>
      </c>
      <c r="E13" s="11">
        <f>IF(G13="conciliado","conciliado",I13)</f>
        <v/>
      </c>
      <c r="F13" s="11">
        <f>IF(SUM(COUNTIFS('Conciliacion de compuestos'!$D$2:$D$13,"conciliado",'Conciliacion de compuestos'!$E$2:$E$13,"OK",'Conciliacion de compuestos'!$M$2:$M$13,A13),COUNTIFS('Conciliacion de compuestos'!$D$2:$D$13,"conciliado",'Conciliacion de compuestos'!$E$2:$E$13,"OK",'Conciliacion de compuestos'!$N$2:$N$13,A13),COUNTIFS('Conciliacion de compuestos'!$D$2:$D$13,"conciliado",'Conciliacion de compuestos'!$E$2:$E$13,"OK",'Conciliacion de compuestos'!$O$2:$O$13,A13))&gt;0,IFERROR(TEXTJOIN(CHAR(10),TRUE,FILTER('Conciliacion de compuestos'!$A$2:$A$13,('Conciliacion de compuestos'!$D$2:$D$13="conciliado")*('Conciliacion de compuestos'!$E$2:$E$13="OK")*((('Conciliacion de compuestos'!$M$2:$M$13=A13)+('Conciliacion de compuestos'!$N$2:$N$13=A13)+('Conciliacion de compuestos'!$O$2:$O$13=A13))&gt;0))),""),"")</f>
        <v/>
      </c>
      <c r="G13" s="11">
        <f>IF(I13="conciliado","conciliado","por revisar")</f>
        <v/>
      </c>
      <c r="H13" s="11" t="inlineStr"/>
      <c r="I13" s="11">
        <f>IF(SUM(COUNTIFS('Conciliacion de compuestos'!$D$2:$D$13,"conciliado",'Conciliacion de compuestos'!$E$2:$E$13,"OK",'Conciliacion de compuestos'!$M$2:$M$13,A13),COUNTIFS('Conciliacion de compuestos'!$D$2:$D$13,"conciliado",'Conciliacion de compuestos'!$E$2:$E$13,"OK",'Conciliacion de compuestos'!$N$2:$N$13,A13),COUNTIFS('Conciliacion de compuestos'!$D$2:$D$13,"conciliado",'Conciliacion de compuestos'!$E$2:$E$13,"OK",'Conciliacion de compuestos'!$O$2:$O$13,A13))&gt;0,"conciliado","por revisar")</f>
        <v/>
      </c>
    </row>
    <row r="14">
      <c r="A14" s="11" t="n">
        <v>10</v>
      </c>
      <c r="B14" s="12" t="n">
        <v>46024</v>
      </c>
      <c r="C14" s="11" t="inlineStr">
        <is>
          <t>cristian rosero</t>
        </is>
      </c>
      <c r="D14" s="13" t="n">
        <v>88000</v>
      </c>
      <c r="E14" s="11">
        <f>IF(G14="conciliado","conciliado",I14)</f>
        <v/>
      </c>
      <c r="F14" s="11">
        <f>IF(SUM(COUNTIFS('Conciliacion de compuestos'!$D$2:$D$13,"conciliado",'Conciliacion de compuestos'!$E$2:$E$13,"OK",'Conciliacion de compuestos'!$M$2:$M$13,A14),COUNTIFS('Conciliacion de compuestos'!$D$2:$D$13,"conciliado",'Conciliacion de compuestos'!$E$2:$E$13,"OK",'Conciliacion de compuestos'!$N$2:$N$13,A14),COUNTIFS('Conciliacion de compuestos'!$D$2:$D$13,"conciliado",'Conciliacion de compuestos'!$E$2:$E$13,"OK",'Conciliacion de compuestos'!$O$2:$O$13,A14))&gt;0,IFERROR(TEXTJOIN(CHAR(10),TRUE,FILTER('Conciliacion de compuestos'!$A$2:$A$13,('Conciliacion de compuestos'!$D$2:$D$13="conciliado")*('Conciliacion de compuestos'!$E$2:$E$13="OK")*((('Conciliacion de compuestos'!$M$2:$M$13=A14)+('Conciliacion de compuestos'!$N$2:$N$13=A14)+('Conciliacion de compuestos'!$O$2:$O$13=A14))&gt;0))),""),"")</f>
        <v/>
      </c>
      <c r="G14" s="11">
        <f>IF(I14="conciliado","conciliado","por revisar")</f>
        <v/>
      </c>
      <c r="H14" s="11" t="inlineStr"/>
      <c r="I14" s="11">
        <f>IF(SUM(COUNTIFS('Conciliacion de compuestos'!$D$2:$D$13,"conciliado",'Conciliacion de compuestos'!$E$2:$E$13,"OK",'Conciliacion de compuestos'!$M$2:$M$13,A14),COUNTIFS('Conciliacion de compuestos'!$D$2:$D$13,"conciliado",'Conciliacion de compuestos'!$E$2:$E$13,"OK",'Conciliacion de compuestos'!$N$2:$N$13,A14),COUNTIFS('Conciliacion de compuestos'!$D$2:$D$13,"conciliado",'Conciliacion de compuestos'!$E$2:$E$13,"OK",'Conciliacion de compuestos'!$O$2:$O$13,A14))&gt;0,"conciliado","por revisar")</f>
        <v/>
      </c>
    </row>
    <row r="15">
      <c r="A15" s="11" t="n">
        <v>3</v>
      </c>
      <c r="B15" s="12" t="n">
        <v>46024</v>
      </c>
      <c r="C15" s="11" t="inlineStr">
        <is>
          <t>laso linsay pachucan</t>
        </is>
      </c>
      <c r="D15" s="13" t="n">
        <v>43200</v>
      </c>
      <c r="E15" s="11">
        <f>IF(G15="conciliado","conciliado",I15)</f>
        <v/>
      </c>
      <c r="F15" s="11">
        <f>IF(SUM(COUNTIFS('Conciliacion de compuestos'!$D$2:$D$13,"conciliado",'Conciliacion de compuestos'!$E$2:$E$13,"OK",'Conciliacion de compuestos'!$M$2:$M$13,A15),COUNTIFS('Conciliacion de compuestos'!$D$2:$D$13,"conciliado",'Conciliacion de compuestos'!$E$2:$E$13,"OK",'Conciliacion de compuestos'!$N$2:$N$13,A15),COUNTIFS('Conciliacion de compuestos'!$D$2:$D$13,"conciliado",'Conciliacion de compuestos'!$E$2:$E$13,"OK",'Conciliacion de compuestos'!$O$2:$O$13,A15))&gt;0,IFERROR(TEXTJOIN(CHAR(10),TRUE,FILTER('Conciliacion de compuestos'!$A$2:$A$13,('Conciliacion de compuestos'!$D$2:$D$13="conciliado")*('Conciliacion de compuestos'!$E$2:$E$13="OK")*((('Conciliacion de compuestos'!$M$2:$M$13=A15)+('Conciliacion de compuestos'!$N$2:$N$13=A15)+('Conciliacion de compuestos'!$O$2:$O$13=A15))&gt;0))),""),"")</f>
        <v/>
      </c>
      <c r="G15" s="11">
        <f>IF(I15="conciliado","conciliado","por revisar")</f>
        <v/>
      </c>
      <c r="H15" s="11" t="inlineStr"/>
      <c r="I15" s="11">
        <f>IF(SUM(COUNTIFS('Conciliacion de compuestos'!$D$2:$D$13,"conciliado",'Conciliacion de compuestos'!$E$2:$E$13,"OK",'Conciliacion de compuestos'!$M$2:$M$13,A15),COUNTIFS('Conciliacion de compuestos'!$D$2:$D$13,"conciliado",'Conciliacion de compuestos'!$E$2:$E$13,"OK",'Conciliacion de compuestos'!$N$2:$N$13,A15),COUNTIFS('Conciliacion de compuestos'!$D$2:$D$13,"conciliado",'Conciliacion de compuestos'!$E$2:$E$13,"OK",'Conciliacion de compuestos'!$O$2:$O$13,A15))&gt;0,"conciliado","por revisar")</f>
        <v/>
      </c>
    </row>
    <row r="16">
      <c r="A16" s="11" t="n">
        <v>4</v>
      </c>
      <c r="B16" s="12" t="n">
        <v>46024</v>
      </c>
      <c r="C16" s="11" t="inlineStr">
        <is>
          <t>l piedad ramos rueda</t>
        </is>
      </c>
      <c r="D16" s="13" t="n">
        <v>156300</v>
      </c>
      <c r="E16" s="11">
        <f>IF(G16="conciliado","conciliado",I16)</f>
        <v/>
      </c>
      <c r="F16" s="11">
        <f>IF(SUM(COUNTIFS('Conciliacion de compuestos'!$D$2:$D$13,"conciliado",'Conciliacion de compuestos'!$E$2:$E$13,"OK",'Conciliacion de compuestos'!$M$2:$M$13,A16),COUNTIFS('Conciliacion de compuestos'!$D$2:$D$13,"conciliado",'Conciliacion de compuestos'!$E$2:$E$13,"OK",'Conciliacion de compuestos'!$N$2:$N$13,A16),COUNTIFS('Conciliacion de compuestos'!$D$2:$D$13,"conciliado",'Conciliacion de compuestos'!$E$2:$E$13,"OK",'Conciliacion de compuestos'!$O$2:$O$13,A16))&gt;0,IFERROR(TEXTJOIN(CHAR(10),TRUE,FILTER('Conciliacion de compuestos'!$A$2:$A$13,('Conciliacion de compuestos'!$D$2:$D$13="conciliado")*('Conciliacion de compuestos'!$E$2:$E$13="OK")*((('Conciliacion de compuestos'!$M$2:$M$13=A16)+('Conciliacion de compuestos'!$N$2:$N$13=A16)+('Conciliacion de compuestos'!$O$2:$O$13=A16))&gt;0))),""),"")</f>
        <v/>
      </c>
      <c r="G16" s="11">
        <f>IF(I16="conciliado","conciliado","por revisar")</f>
        <v/>
      </c>
      <c r="H16" s="11" t="inlineStr"/>
      <c r="I16" s="11">
        <f>IF(SUM(COUNTIFS('Conciliacion de compuestos'!$D$2:$D$13,"conciliado",'Conciliacion de compuestos'!$E$2:$E$13,"OK",'Conciliacion de compuestos'!$M$2:$M$13,A16),COUNTIFS('Conciliacion de compuestos'!$D$2:$D$13,"conciliado",'Conciliacion de compuestos'!$E$2:$E$13,"OK",'Conciliacion de compuestos'!$N$2:$N$13,A16),COUNTIFS('Conciliacion de compuestos'!$D$2:$D$13,"conciliado",'Conciliacion de compuestos'!$E$2:$E$13,"OK",'Conciliacion de compuestos'!$O$2:$O$13,A16))&gt;0,"conciliado","por revisar")</f>
        <v/>
      </c>
    </row>
    <row r="17">
      <c r="A17" s="11" t="n">
        <v>20</v>
      </c>
      <c r="B17" s="12" t="n">
        <v>46025</v>
      </c>
      <c r="C17" s="11" t="inlineStr">
        <is>
          <t>consumidor final</t>
        </is>
      </c>
      <c r="D17" s="13" t="n">
        <v>34000</v>
      </c>
      <c r="E17" s="11">
        <f>IF(G17="conciliado","conciliado",I17)</f>
        <v/>
      </c>
      <c r="F17" s="11">
        <f>IF(SUM(COUNTIFS('Conciliacion de compuestos'!$D$2:$D$13,"conciliado",'Conciliacion de compuestos'!$E$2:$E$13,"OK",'Conciliacion de compuestos'!$M$2:$M$13,A17),COUNTIFS('Conciliacion de compuestos'!$D$2:$D$13,"conciliado",'Conciliacion de compuestos'!$E$2:$E$13,"OK",'Conciliacion de compuestos'!$N$2:$N$13,A17),COUNTIFS('Conciliacion de compuestos'!$D$2:$D$13,"conciliado",'Conciliacion de compuestos'!$E$2:$E$13,"OK",'Conciliacion de compuestos'!$O$2:$O$13,A17))&gt;0,IFERROR(TEXTJOIN(CHAR(10),TRUE,FILTER('Conciliacion de compuestos'!$A$2:$A$13,('Conciliacion de compuestos'!$D$2:$D$13="conciliado")*('Conciliacion de compuestos'!$E$2:$E$13="OK")*((('Conciliacion de compuestos'!$M$2:$M$13=A17)+('Conciliacion de compuestos'!$N$2:$N$13=A17)+('Conciliacion de compuestos'!$O$2:$O$13=A17))&gt;0))),""),"")</f>
        <v/>
      </c>
      <c r="G17" s="11">
        <f>IF(I17="conciliado","conciliado","por revisar")</f>
        <v/>
      </c>
      <c r="H17" s="11" t="inlineStr"/>
      <c r="I17" s="11">
        <f>IF(SUM(COUNTIFS('Conciliacion de compuestos'!$D$2:$D$13,"conciliado",'Conciliacion de compuestos'!$E$2:$E$13,"OK",'Conciliacion de compuestos'!$M$2:$M$13,A17),COUNTIFS('Conciliacion de compuestos'!$D$2:$D$13,"conciliado",'Conciliacion de compuestos'!$E$2:$E$13,"OK",'Conciliacion de compuestos'!$N$2:$N$13,A17),COUNTIFS('Conciliacion de compuestos'!$D$2:$D$13,"conciliado",'Conciliacion de compuestos'!$E$2:$E$13,"OK",'Conciliacion de compuestos'!$O$2:$O$13,A17))&gt;0,"conciliado","por revisar")</f>
        <v/>
      </c>
    </row>
    <row r="18">
      <c r="A18" s="11" t="n">
        <v>23</v>
      </c>
      <c r="B18" s="12" t="n">
        <v>46025</v>
      </c>
      <c r="C18" s="11" t="inlineStr">
        <is>
          <t>jordan villareal</t>
        </is>
      </c>
      <c r="D18" s="13" t="n">
        <v>21800</v>
      </c>
      <c r="E18" s="11">
        <f>IF(G18="conciliado","conciliado",I18)</f>
        <v/>
      </c>
      <c r="F18" s="11">
        <f>IF(SUM(COUNTIFS('Conciliacion de compuestos'!$D$2:$D$13,"conciliado",'Conciliacion de compuestos'!$E$2:$E$13,"OK",'Conciliacion de compuestos'!$M$2:$M$13,A18),COUNTIFS('Conciliacion de compuestos'!$D$2:$D$13,"conciliado",'Conciliacion de compuestos'!$E$2:$E$13,"OK",'Conciliacion de compuestos'!$N$2:$N$13,A18),COUNTIFS('Conciliacion de compuestos'!$D$2:$D$13,"conciliado",'Conciliacion de compuestos'!$E$2:$E$13,"OK",'Conciliacion de compuestos'!$O$2:$O$13,A18))&gt;0,IFERROR(TEXTJOIN(CHAR(10),TRUE,FILTER('Conciliacion de compuestos'!$A$2:$A$13,('Conciliacion de compuestos'!$D$2:$D$13="conciliado")*('Conciliacion de compuestos'!$E$2:$E$13="OK")*((('Conciliacion de compuestos'!$M$2:$M$13=A18)+('Conciliacion de compuestos'!$N$2:$N$13=A18)+('Conciliacion de compuestos'!$O$2:$O$13=A18))&gt;0))),""),"")</f>
        <v/>
      </c>
      <c r="G18" s="11">
        <f>IF(I18="conciliado","conciliado","por revisar")</f>
        <v/>
      </c>
      <c r="H18" s="11" t="inlineStr"/>
      <c r="I18" s="11">
        <f>IF(SUM(COUNTIFS('Conciliacion de compuestos'!$D$2:$D$13,"conciliado",'Conciliacion de compuestos'!$E$2:$E$13,"OK",'Conciliacion de compuestos'!$M$2:$M$13,A18),COUNTIFS('Conciliacion de compuestos'!$D$2:$D$13,"conciliado",'Conciliacion de compuestos'!$E$2:$E$13,"OK",'Conciliacion de compuestos'!$N$2:$N$13,A18),COUNTIFS('Conciliacion de compuestos'!$D$2:$D$13,"conciliado",'Conciliacion de compuestos'!$E$2:$E$13,"OK",'Conciliacion de compuestos'!$O$2:$O$13,A18))&gt;0,"conciliado","por revisar")</f>
        <v/>
      </c>
    </row>
    <row r="19">
      <c r="A19" s="11" t="n">
        <v>1</v>
      </c>
      <c r="B19" s="12" t="n">
        <v>46024</v>
      </c>
      <c r="C19" s="11" t="inlineStr">
        <is>
          <t>giraldo luis medina</t>
        </is>
      </c>
      <c r="D19" s="13" t="n">
        <v>122600</v>
      </c>
      <c r="E19" s="11">
        <f>IF(G19="conciliado","conciliado",I19)</f>
        <v/>
      </c>
      <c r="F19" s="11">
        <f>IF(SUM(COUNTIFS('Conciliacion de compuestos'!$D$2:$D$13,"conciliado",'Conciliacion de compuestos'!$E$2:$E$13,"OK",'Conciliacion de compuestos'!$M$2:$M$13,A19),COUNTIFS('Conciliacion de compuestos'!$D$2:$D$13,"conciliado",'Conciliacion de compuestos'!$E$2:$E$13,"OK",'Conciliacion de compuestos'!$N$2:$N$13,A19),COUNTIFS('Conciliacion de compuestos'!$D$2:$D$13,"conciliado",'Conciliacion de compuestos'!$E$2:$E$13,"OK",'Conciliacion de compuestos'!$O$2:$O$13,A19))&gt;0,IFERROR(TEXTJOIN(CHAR(10),TRUE,FILTER('Conciliacion de compuestos'!$A$2:$A$13,('Conciliacion de compuestos'!$D$2:$D$13="conciliado")*('Conciliacion de compuestos'!$E$2:$E$13="OK")*((('Conciliacion de compuestos'!$M$2:$M$13=A19)+('Conciliacion de compuestos'!$N$2:$N$13=A19)+('Conciliacion de compuestos'!$O$2:$O$13=A19))&gt;0))),""),"")</f>
        <v/>
      </c>
      <c r="G19" s="11">
        <f>IF(I19="conciliado","conciliado","por revisar")</f>
        <v/>
      </c>
      <c r="H19" s="11" t="inlineStr"/>
      <c r="I19" s="11">
        <f>IF(SUM(COUNTIFS('Conciliacion de compuestos'!$D$2:$D$13,"conciliado",'Conciliacion de compuestos'!$E$2:$E$13,"OK",'Conciliacion de compuestos'!$M$2:$M$13,A19),COUNTIFS('Conciliacion de compuestos'!$D$2:$D$13,"conciliado",'Conciliacion de compuestos'!$E$2:$E$13,"OK",'Conciliacion de compuestos'!$N$2:$N$13,A19),COUNTIFS('Conciliacion de compuestos'!$D$2:$D$13,"conciliado",'Conciliacion de compuestos'!$E$2:$E$13,"OK",'Conciliacion de compuestos'!$O$2:$O$13,A19))&gt;0,"conciliado","por revisar")</f>
        <v/>
      </c>
    </row>
    <row r="20">
      <c r="A20" s="11" t="n">
        <v>13</v>
      </c>
      <c r="B20" s="12" t="n">
        <v>46025</v>
      </c>
      <c r="C20" s="11" t="inlineStr">
        <is>
          <t>anyela diaz meneses</t>
        </is>
      </c>
      <c r="D20" s="13" t="n">
        <v>28683</v>
      </c>
      <c r="E20" s="11">
        <f>IF(G20="conciliado","conciliado",I20)</f>
        <v/>
      </c>
      <c r="F20" s="11">
        <f>IF(SUM(COUNTIFS('Conciliacion de compuestos'!$D$2:$D$13,"conciliado",'Conciliacion de compuestos'!$E$2:$E$13,"OK",'Conciliacion de compuestos'!$M$2:$M$13,A20),COUNTIFS('Conciliacion de compuestos'!$D$2:$D$13,"conciliado",'Conciliacion de compuestos'!$E$2:$E$13,"OK",'Conciliacion de compuestos'!$N$2:$N$13,A20),COUNTIFS('Conciliacion de compuestos'!$D$2:$D$13,"conciliado",'Conciliacion de compuestos'!$E$2:$E$13,"OK",'Conciliacion de compuestos'!$O$2:$O$13,A20))&gt;0,IFERROR(TEXTJOIN(CHAR(10),TRUE,FILTER('Conciliacion de compuestos'!$A$2:$A$13,('Conciliacion de compuestos'!$D$2:$D$13="conciliado")*('Conciliacion de compuestos'!$E$2:$E$13="OK")*((('Conciliacion de compuestos'!$M$2:$M$13=A20)+('Conciliacion de compuestos'!$N$2:$N$13=A20)+('Conciliacion de compuestos'!$O$2:$O$13=A20))&gt;0))),""),"")</f>
        <v/>
      </c>
      <c r="G20" s="11">
        <f>IF(I20="conciliado","conciliado","por revisar")</f>
        <v/>
      </c>
      <c r="H20" s="11" t="inlineStr"/>
      <c r="I20" s="11">
        <f>IF(SUM(COUNTIFS('Conciliacion de compuestos'!$D$2:$D$13,"conciliado",'Conciliacion de compuestos'!$E$2:$E$13,"OK",'Conciliacion de compuestos'!$M$2:$M$13,A20),COUNTIFS('Conciliacion de compuestos'!$D$2:$D$13,"conciliado",'Conciliacion de compuestos'!$E$2:$E$13,"OK",'Conciliacion de compuestos'!$N$2:$N$13,A20),COUNTIFS('Conciliacion de compuestos'!$D$2:$D$13,"conciliado",'Conciliacion de compuestos'!$E$2:$E$13,"OK",'Conciliacion de compuestos'!$O$2:$O$13,A20))&gt;0,"conciliado","por revisar")</f>
        <v/>
      </c>
    </row>
    <row r="21">
      <c r="A21" s="11" t="n">
        <v>12</v>
      </c>
      <c r="B21" s="12" t="n">
        <v>46025</v>
      </c>
      <c r="C21" s="11" t="inlineStr">
        <is>
          <t>caycedo cortez helid</t>
        </is>
      </c>
      <c r="D21" s="13" t="n">
        <v>267200</v>
      </c>
      <c r="E21" s="11">
        <f>IF(G21="conciliado","conciliado",I21)</f>
        <v/>
      </c>
      <c r="F21" s="11">
        <f>IF(SUM(COUNTIFS('Conciliacion de compuestos'!$D$2:$D$13,"conciliado",'Conciliacion de compuestos'!$E$2:$E$13,"OK",'Conciliacion de compuestos'!$M$2:$M$13,A21),COUNTIFS('Conciliacion de compuestos'!$D$2:$D$13,"conciliado",'Conciliacion de compuestos'!$E$2:$E$13,"OK",'Conciliacion de compuestos'!$N$2:$N$13,A21),COUNTIFS('Conciliacion de compuestos'!$D$2:$D$13,"conciliado",'Conciliacion de compuestos'!$E$2:$E$13,"OK",'Conciliacion de compuestos'!$O$2:$O$13,A21))&gt;0,IFERROR(TEXTJOIN(CHAR(10),TRUE,FILTER('Conciliacion de compuestos'!$A$2:$A$13,('Conciliacion de compuestos'!$D$2:$D$13="conciliado")*('Conciliacion de compuestos'!$E$2:$E$13="OK")*((('Conciliacion de compuestos'!$M$2:$M$13=A21)+('Conciliacion de compuestos'!$N$2:$N$13=A21)+('Conciliacion de compuestos'!$O$2:$O$13=A21))&gt;0))),""),"")</f>
        <v/>
      </c>
      <c r="G21" s="11">
        <f>IF(I21="conciliado","conciliado","por revisar")</f>
        <v/>
      </c>
      <c r="H21" s="11" t="inlineStr"/>
      <c r="I21" s="11">
        <f>IF(SUM(COUNTIFS('Conciliacion de compuestos'!$D$2:$D$13,"conciliado",'Conciliacion de compuestos'!$E$2:$E$13,"OK",'Conciliacion de compuestos'!$M$2:$M$13,A21),COUNTIFS('Conciliacion de compuestos'!$D$2:$D$13,"conciliado",'Conciliacion de compuestos'!$E$2:$E$13,"OK",'Conciliacion de compuestos'!$N$2:$N$13,A21),COUNTIFS('Conciliacion de compuestos'!$D$2:$D$13,"conciliado",'Conciliacion de compuestos'!$E$2:$E$13,"OK",'Conciliacion de compuestos'!$O$2:$O$13,A21))&gt;0,"conciliado","por revisar")</f>
        <v/>
      </c>
    </row>
    <row r="22">
      <c r="A22" s="11" t="n">
        <v>25</v>
      </c>
      <c r="B22" s="12" t="n">
        <v>46025</v>
      </c>
      <c r="C22" s="11" t="inlineStr">
        <is>
          <t>ange coime torres</t>
        </is>
      </c>
      <c r="D22" s="13" t="n">
        <v>20500</v>
      </c>
      <c r="E22" s="11">
        <f>IF(G22="conciliado","conciliado",I22)</f>
        <v/>
      </c>
      <c r="F22" s="11">
        <f>IF(SUM(COUNTIFS('Conciliacion de compuestos'!$D$2:$D$13,"conciliado",'Conciliacion de compuestos'!$E$2:$E$13,"OK",'Conciliacion de compuestos'!$M$2:$M$13,A22),COUNTIFS('Conciliacion de compuestos'!$D$2:$D$13,"conciliado",'Conciliacion de compuestos'!$E$2:$E$13,"OK",'Conciliacion de compuestos'!$N$2:$N$13,A22),COUNTIFS('Conciliacion de compuestos'!$D$2:$D$13,"conciliado",'Conciliacion de compuestos'!$E$2:$E$13,"OK",'Conciliacion de compuestos'!$O$2:$O$13,A22))&gt;0,IFERROR(TEXTJOIN(CHAR(10),TRUE,FILTER('Conciliacion de compuestos'!$A$2:$A$13,('Conciliacion de compuestos'!$D$2:$D$13="conciliado")*('Conciliacion de compuestos'!$E$2:$E$13="OK")*((('Conciliacion de compuestos'!$M$2:$M$13=A22)+('Conciliacion de compuestos'!$N$2:$N$13=A22)+('Conciliacion de compuestos'!$O$2:$O$13=A22))&gt;0))),""),"")</f>
        <v/>
      </c>
      <c r="G22" s="11">
        <f>IF(I22="conciliado","conciliado","por revisar")</f>
        <v/>
      </c>
      <c r="H22" s="11" t="inlineStr"/>
      <c r="I22" s="11">
        <f>IF(SUM(COUNTIFS('Conciliacion de compuestos'!$D$2:$D$13,"conciliado",'Conciliacion de compuestos'!$E$2:$E$13,"OK",'Conciliacion de compuestos'!$M$2:$M$13,A22),COUNTIFS('Conciliacion de compuestos'!$D$2:$D$13,"conciliado",'Conciliacion de compuestos'!$E$2:$E$13,"OK",'Conciliacion de compuestos'!$N$2:$N$13,A22),COUNTIFS('Conciliacion de compuestos'!$D$2:$D$13,"conciliado",'Conciliacion de compuestos'!$E$2:$E$13,"OK",'Conciliacion de compuestos'!$O$2:$O$13,A22))&gt;0,"conciliado","por revisar")</f>
        <v/>
      </c>
    </row>
    <row r="23">
      <c r="A23" s="11" t="n">
        <v>18</v>
      </c>
      <c r="B23" s="12" t="n">
        <v>46025</v>
      </c>
      <c r="C23" s="11" t="inlineStr">
        <is>
          <t>martinez munoz willi</t>
        </is>
      </c>
      <c r="D23" s="13" t="n">
        <v>63100</v>
      </c>
      <c r="E23" s="11">
        <f>IF(G23="conciliado","conciliado",I23)</f>
        <v/>
      </c>
      <c r="F23" s="11">
        <f>IF(SUM(COUNTIFS('Conciliacion de compuestos'!$D$2:$D$13,"conciliado",'Conciliacion de compuestos'!$E$2:$E$13,"OK",'Conciliacion de compuestos'!$M$2:$M$13,A23),COUNTIFS('Conciliacion de compuestos'!$D$2:$D$13,"conciliado",'Conciliacion de compuestos'!$E$2:$E$13,"OK",'Conciliacion de compuestos'!$N$2:$N$13,A23),COUNTIFS('Conciliacion de compuestos'!$D$2:$D$13,"conciliado",'Conciliacion de compuestos'!$E$2:$E$13,"OK",'Conciliacion de compuestos'!$O$2:$O$13,A23))&gt;0,IFERROR(TEXTJOIN(CHAR(10),TRUE,FILTER('Conciliacion de compuestos'!$A$2:$A$13,('Conciliacion de compuestos'!$D$2:$D$13="conciliado")*('Conciliacion de compuestos'!$E$2:$E$13="OK")*((('Conciliacion de compuestos'!$M$2:$M$13=A23)+('Conciliacion de compuestos'!$N$2:$N$13=A23)+('Conciliacion de compuestos'!$O$2:$O$13=A23))&gt;0))),""),"")</f>
        <v/>
      </c>
      <c r="G23" s="11">
        <f>IF(I23="conciliado","conciliado","por revisar")</f>
        <v/>
      </c>
      <c r="H23" s="11" t="inlineStr"/>
      <c r="I23" s="11">
        <f>IF(SUM(COUNTIFS('Conciliacion de compuestos'!$D$2:$D$13,"conciliado",'Conciliacion de compuestos'!$E$2:$E$13,"OK",'Conciliacion de compuestos'!$M$2:$M$13,A23),COUNTIFS('Conciliacion de compuestos'!$D$2:$D$13,"conciliado",'Conciliacion de compuestos'!$E$2:$E$13,"OK",'Conciliacion de compuestos'!$N$2:$N$13,A23),COUNTIFS('Conciliacion de compuestos'!$D$2:$D$13,"conciliado",'Conciliacion de compuestos'!$E$2:$E$13,"OK",'Conciliacion de compuestos'!$O$2:$O$13,A23))&gt;0,"conciliado","por revisar")</f>
        <v/>
      </c>
    </row>
    <row r="24">
      <c r="A24" s="11" t="n">
        <v>9</v>
      </c>
      <c r="B24" s="12" t="n">
        <v>46024</v>
      </c>
      <c r="C24" s="11" t="inlineStr">
        <is>
          <t>angulo rayo sofi yul</t>
        </is>
      </c>
      <c r="D24" s="13" t="n">
        <v>79955</v>
      </c>
      <c r="E24" s="11">
        <f>IF(G24="conciliado","conciliado",I24)</f>
        <v/>
      </c>
      <c r="F24" s="11">
        <f>IF(SUM(COUNTIFS('Conciliacion de compuestos'!$D$2:$D$13,"conciliado",'Conciliacion de compuestos'!$E$2:$E$13,"OK",'Conciliacion de compuestos'!$M$2:$M$13,A24),COUNTIFS('Conciliacion de compuestos'!$D$2:$D$13,"conciliado",'Conciliacion de compuestos'!$E$2:$E$13,"OK",'Conciliacion de compuestos'!$N$2:$N$13,A24),COUNTIFS('Conciliacion de compuestos'!$D$2:$D$13,"conciliado",'Conciliacion de compuestos'!$E$2:$E$13,"OK",'Conciliacion de compuestos'!$O$2:$O$13,A24))&gt;0,IFERROR(TEXTJOIN(CHAR(10),TRUE,FILTER('Conciliacion de compuestos'!$A$2:$A$13,('Conciliacion de compuestos'!$D$2:$D$13="conciliado")*('Conciliacion de compuestos'!$E$2:$E$13="OK")*((('Conciliacion de compuestos'!$M$2:$M$13=A24)+('Conciliacion de compuestos'!$N$2:$N$13=A24)+('Conciliacion de compuestos'!$O$2:$O$13=A24))&gt;0))),""),"")</f>
        <v/>
      </c>
      <c r="G24" s="11">
        <f>IF(I24="conciliado","conciliado","por revisar")</f>
        <v/>
      </c>
      <c r="H24" s="11" t="inlineStr"/>
      <c r="I24" s="11">
        <f>IF(SUM(COUNTIFS('Conciliacion de compuestos'!$D$2:$D$13,"conciliado",'Conciliacion de compuestos'!$E$2:$E$13,"OK",'Conciliacion de compuestos'!$M$2:$M$13,A24),COUNTIFS('Conciliacion de compuestos'!$D$2:$D$13,"conciliado",'Conciliacion de compuestos'!$E$2:$E$13,"OK",'Conciliacion de compuestos'!$N$2:$N$13,A24),COUNTIFS('Conciliacion de compuestos'!$D$2:$D$13,"conciliado",'Conciliacion de compuestos'!$E$2:$E$13,"OK",'Conciliacion de compuestos'!$O$2:$O$13,A24))&gt;0,"conciliado","por revisar")</f>
        <v/>
      </c>
    </row>
    <row r="25">
      <c r="A25" s="11" t="n">
        <v>11</v>
      </c>
      <c r="B25" s="12" t="n">
        <v>46024</v>
      </c>
      <c r="C25" s="11" t="inlineStr">
        <is>
          <t>isabela mejia</t>
        </is>
      </c>
      <c r="D25" s="13" t="n">
        <v>685700</v>
      </c>
      <c r="E25" s="11">
        <f>IF(G25="conciliado","conciliado",I25)</f>
        <v/>
      </c>
      <c r="F25" s="11">
        <f>IF(SUM(COUNTIFS('Conciliacion de compuestos'!$D$2:$D$13,"conciliado",'Conciliacion de compuestos'!$E$2:$E$13,"OK",'Conciliacion de compuestos'!$M$2:$M$13,A25),COUNTIFS('Conciliacion de compuestos'!$D$2:$D$13,"conciliado",'Conciliacion de compuestos'!$E$2:$E$13,"OK",'Conciliacion de compuestos'!$N$2:$N$13,A25),COUNTIFS('Conciliacion de compuestos'!$D$2:$D$13,"conciliado",'Conciliacion de compuestos'!$E$2:$E$13,"OK",'Conciliacion de compuestos'!$O$2:$O$13,A25))&gt;0,IFERROR(TEXTJOIN(CHAR(10),TRUE,FILTER('Conciliacion de compuestos'!$A$2:$A$13,('Conciliacion de compuestos'!$D$2:$D$13="conciliado")*('Conciliacion de compuestos'!$E$2:$E$13="OK")*((('Conciliacion de compuestos'!$M$2:$M$13=A25)+('Conciliacion de compuestos'!$N$2:$N$13=A25)+('Conciliacion de compuestos'!$O$2:$O$13=A25))&gt;0))),""),"")</f>
        <v/>
      </c>
      <c r="G25" s="11">
        <f>IF(I25="conciliado","conciliado","por revisar")</f>
        <v/>
      </c>
      <c r="H25" s="11" t="inlineStr"/>
      <c r="I25" s="11">
        <f>IF(SUM(COUNTIFS('Conciliacion de compuestos'!$D$2:$D$13,"conciliado",'Conciliacion de compuestos'!$E$2:$E$13,"OK",'Conciliacion de compuestos'!$M$2:$M$13,A25),COUNTIFS('Conciliacion de compuestos'!$D$2:$D$13,"conciliado",'Conciliacion de compuestos'!$E$2:$E$13,"OK",'Conciliacion de compuestos'!$N$2:$N$13,A25),COUNTIFS('Conciliacion de compuestos'!$D$2:$D$13,"conciliado",'Conciliacion de compuestos'!$E$2:$E$13,"OK",'Conciliacion de compuestos'!$O$2:$O$13,A25))&gt;0,"conciliado","por revisar")</f>
        <v/>
      </c>
    </row>
    <row r="26">
      <c r="A26" s="11" t="n">
        <v>7</v>
      </c>
      <c r="B26" s="12" t="n">
        <v>46024</v>
      </c>
      <c r="C26" s="11" t="inlineStr">
        <is>
          <t>alomia boliv riascos</t>
        </is>
      </c>
      <c r="D26" s="13" t="n">
        <v>33300</v>
      </c>
      <c r="E26" s="11">
        <f>IF(G26="conciliado","conciliado",I26)</f>
        <v/>
      </c>
      <c r="F26" s="11">
        <f>IF(SUM(COUNTIFS('Conciliacion de compuestos'!$D$2:$D$13,"conciliado",'Conciliacion de compuestos'!$E$2:$E$13,"OK",'Conciliacion de compuestos'!$M$2:$M$13,A26),COUNTIFS('Conciliacion de compuestos'!$D$2:$D$13,"conciliado",'Conciliacion de compuestos'!$E$2:$E$13,"OK",'Conciliacion de compuestos'!$N$2:$N$13,A26),COUNTIFS('Conciliacion de compuestos'!$D$2:$D$13,"conciliado",'Conciliacion de compuestos'!$E$2:$E$13,"OK",'Conciliacion de compuestos'!$O$2:$O$13,A26))&gt;0,IFERROR(TEXTJOIN(CHAR(10),TRUE,FILTER('Conciliacion de compuestos'!$A$2:$A$13,('Conciliacion de compuestos'!$D$2:$D$13="conciliado")*('Conciliacion de compuestos'!$E$2:$E$13="OK")*((('Conciliacion de compuestos'!$M$2:$M$13=A26)+('Conciliacion de compuestos'!$N$2:$N$13=A26)+('Conciliacion de compuestos'!$O$2:$O$13=A26))&gt;0))),""),"")</f>
        <v/>
      </c>
      <c r="G26" s="11">
        <f>IF(I26="conciliado","conciliado","por revisar")</f>
        <v/>
      </c>
      <c r="H26" s="11" t="inlineStr"/>
      <c r="I26" s="11">
        <f>IF(SUM(COUNTIFS('Conciliacion de compuestos'!$D$2:$D$13,"conciliado",'Conciliacion de compuestos'!$E$2:$E$13,"OK",'Conciliacion de compuestos'!$M$2:$M$13,A26),COUNTIFS('Conciliacion de compuestos'!$D$2:$D$13,"conciliado",'Conciliacion de compuestos'!$E$2:$E$13,"OK",'Conciliacion de compuestos'!$N$2:$N$13,A26),COUNTIFS('Conciliacion de compuestos'!$D$2:$D$13,"conciliado",'Conciliacion de compuestos'!$E$2:$E$13,"OK",'Conciliacion de compuestos'!$O$2:$O$13,A26))&gt;0,"conciliado","por revisar")</f>
        <v/>
      </c>
    </row>
    <row r="27">
      <c r="A27" s="11" t="n">
        <v>17</v>
      </c>
      <c r="B27" s="12" t="n">
        <v>46025</v>
      </c>
      <c r="C27" s="11" t="inlineStr">
        <is>
          <t>hernandez lema pedro</t>
        </is>
      </c>
      <c r="D27" s="13" t="n">
        <v>59800</v>
      </c>
      <c r="E27" s="11">
        <f>IF(G27="conciliado","conciliado",I27)</f>
        <v/>
      </c>
      <c r="F27" s="11">
        <f>IF(SUM(COUNTIFS('Conciliacion de compuestos'!$D$2:$D$13,"conciliado",'Conciliacion de compuestos'!$E$2:$E$13,"OK",'Conciliacion de compuestos'!$M$2:$M$13,A27),COUNTIFS('Conciliacion de compuestos'!$D$2:$D$13,"conciliado",'Conciliacion de compuestos'!$E$2:$E$13,"OK",'Conciliacion de compuestos'!$N$2:$N$13,A27),COUNTIFS('Conciliacion de compuestos'!$D$2:$D$13,"conciliado",'Conciliacion de compuestos'!$E$2:$E$13,"OK",'Conciliacion de compuestos'!$O$2:$O$13,A27))&gt;0,IFERROR(TEXTJOIN(CHAR(10),TRUE,FILTER('Conciliacion de compuestos'!$A$2:$A$13,('Conciliacion de compuestos'!$D$2:$D$13="conciliado")*('Conciliacion de compuestos'!$E$2:$E$13="OK")*((('Conciliacion de compuestos'!$M$2:$M$13=A27)+('Conciliacion de compuestos'!$N$2:$N$13=A27)+('Conciliacion de compuestos'!$O$2:$O$13=A27))&gt;0))),""),"")</f>
        <v/>
      </c>
      <c r="G27" s="11">
        <f>IF(I27="conciliado","conciliado","por revisar")</f>
        <v/>
      </c>
      <c r="H27" s="11" t="inlineStr"/>
      <c r="I27" s="11">
        <f>IF(SUM(COUNTIFS('Conciliacion de compuestos'!$D$2:$D$13,"conciliado",'Conciliacion de compuestos'!$E$2:$E$13,"OK",'Conciliacion de compuestos'!$M$2:$M$13,A27),COUNTIFS('Conciliacion de compuestos'!$D$2:$D$13,"conciliado",'Conciliacion de compuestos'!$E$2:$E$13,"OK",'Conciliacion de compuestos'!$N$2:$N$13,A27),COUNTIFS('Conciliacion de compuestos'!$D$2:$D$13,"conciliado",'Conciliacion de compuestos'!$E$2:$E$13,"OK",'Conciliacion de compuestos'!$O$2:$O$13,A27))&gt;0,"conciliado","por revisar")</f>
        <v/>
      </c>
    </row>
    <row r="28">
      <c r="A28" s="11" t="n">
        <v>14</v>
      </c>
      <c r="B28" s="12" t="n">
        <v>46025</v>
      </c>
      <c r="C28" s="11" t="inlineStr">
        <is>
          <t>buelvas diaz jose mi</t>
        </is>
      </c>
      <c r="D28" s="13" t="n">
        <v>49900</v>
      </c>
      <c r="E28" s="11">
        <f>IF(G28="conciliado","conciliado",I28)</f>
        <v/>
      </c>
      <c r="F28" s="11">
        <f>IF(SUM(COUNTIFS('Conciliacion de compuestos'!$D$2:$D$13,"conciliado",'Conciliacion de compuestos'!$E$2:$E$13,"OK",'Conciliacion de compuestos'!$M$2:$M$13,A28),COUNTIFS('Conciliacion de compuestos'!$D$2:$D$13,"conciliado",'Conciliacion de compuestos'!$E$2:$E$13,"OK",'Conciliacion de compuestos'!$N$2:$N$13,A28),COUNTIFS('Conciliacion de compuestos'!$D$2:$D$13,"conciliado",'Conciliacion de compuestos'!$E$2:$E$13,"OK",'Conciliacion de compuestos'!$O$2:$O$13,A28))&gt;0,IFERROR(TEXTJOIN(CHAR(10),TRUE,FILTER('Conciliacion de compuestos'!$A$2:$A$13,('Conciliacion de compuestos'!$D$2:$D$13="conciliado")*('Conciliacion de compuestos'!$E$2:$E$13="OK")*((('Conciliacion de compuestos'!$M$2:$M$13=A28)+('Conciliacion de compuestos'!$N$2:$N$13=A28)+('Conciliacion de compuestos'!$O$2:$O$13=A28))&gt;0))),""),"")</f>
        <v/>
      </c>
      <c r="G28" s="11">
        <f>IF(I28="conciliado","conciliado","por revisar")</f>
        <v/>
      </c>
      <c r="H28" s="11" t="inlineStr"/>
      <c r="I28" s="11">
        <f>IF(SUM(COUNTIFS('Conciliacion de compuestos'!$D$2:$D$13,"conciliado",'Conciliacion de compuestos'!$E$2:$E$13,"OK",'Conciliacion de compuestos'!$M$2:$M$13,A28),COUNTIFS('Conciliacion de compuestos'!$D$2:$D$13,"conciliado",'Conciliacion de compuestos'!$E$2:$E$13,"OK",'Conciliacion de compuestos'!$N$2:$N$13,A28),COUNTIFS('Conciliacion de compuestos'!$D$2:$D$13,"conciliado",'Conciliacion de compuestos'!$E$2:$E$13,"OK",'Conciliacion de compuestos'!$O$2:$O$13,A28))&gt;0,"conciliado","por revisar")</f>
        <v/>
      </c>
    </row>
    <row r="29">
      <c r="A29" s="11" t="n">
        <v>21</v>
      </c>
      <c r="B29" s="12" t="n">
        <v>46025</v>
      </c>
      <c r="C29" s="11" t="inlineStr">
        <is>
          <t>gregory josa rendon</t>
        </is>
      </c>
      <c r="D29" s="13" t="n">
        <v>23700</v>
      </c>
      <c r="E29" s="11">
        <f>IF(G29="conciliado","conciliado",I29)</f>
        <v/>
      </c>
      <c r="F29" s="11">
        <f>IF(SUM(COUNTIFS('Conciliacion de compuestos'!$D$2:$D$13,"conciliado",'Conciliacion de compuestos'!$E$2:$E$13,"OK",'Conciliacion de compuestos'!$M$2:$M$13,A29),COUNTIFS('Conciliacion de compuestos'!$D$2:$D$13,"conciliado",'Conciliacion de compuestos'!$E$2:$E$13,"OK",'Conciliacion de compuestos'!$N$2:$N$13,A29),COUNTIFS('Conciliacion de compuestos'!$D$2:$D$13,"conciliado",'Conciliacion de compuestos'!$E$2:$E$13,"OK",'Conciliacion de compuestos'!$O$2:$O$13,A29))&gt;0,IFERROR(TEXTJOIN(CHAR(10),TRUE,FILTER('Conciliacion de compuestos'!$A$2:$A$13,('Conciliacion de compuestos'!$D$2:$D$13="conciliado")*('Conciliacion de compuestos'!$E$2:$E$13="OK")*((('Conciliacion de compuestos'!$M$2:$M$13=A29)+('Conciliacion de compuestos'!$N$2:$N$13=A29)+('Conciliacion de compuestos'!$O$2:$O$13=A29))&gt;0))),""),"")</f>
        <v/>
      </c>
      <c r="G29" s="11">
        <f>IF(I29="conciliado","conciliado","por revisar")</f>
        <v/>
      </c>
      <c r="H29" s="11" t="inlineStr"/>
      <c r="I29" s="11">
        <f>IF(SUM(COUNTIFS('Conciliacion de compuestos'!$D$2:$D$13,"conciliado",'Conciliacion de compuestos'!$E$2:$E$13,"OK",'Conciliacion de compuestos'!$M$2:$M$13,A29),COUNTIFS('Conciliacion de compuestos'!$D$2:$D$13,"conciliado",'Conciliacion de compuestos'!$E$2:$E$13,"OK",'Conciliacion de compuestos'!$N$2:$N$13,A29),COUNTIFS('Conciliacion de compuestos'!$D$2:$D$13,"conciliado",'Conciliacion de compuestos'!$E$2:$E$13,"OK",'Conciliacion de compuestos'!$O$2:$O$13,A29))&gt;0,"conciliado","por revisar")</f>
        <v/>
      </c>
    </row>
    <row r="30">
      <c r="A30" s="11" t="n">
        <v>22</v>
      </c>
      <c r="B30" s="12" t="n">
        <v>46025</v>
      </c>
      <c r="C30" s="11" t="inlineStr">
        <is>
          <t>joel portilla</t>
        </is>
      </c>
      <c r="D30" s="13" t="n">
        <v>21400</v>
      </c>
      <c r="E30" s="11">
        <f>IF(G30="conciliado","conciliado",I30)</f>
        <v/>
      </c>
      <c r="F30" s="11">
        <f>IF(SUM(COUNTIFS('Conciliacion de compuestos'!$D$2:$D$13,"conciliado",'Conciliacion de compuestos'!$E$2:$E$13,"OK",'Conciliacion de compuestos'!$M$2:$M$13,A30),COUNTIFS('Conciliacion de compuestos'!$D$2:$D$13,"conciliado",'Conciliacion de compuestos'!$E$2:$E$13,"OK",'Conciliacion de compuestos'!$N$2:$N$13,A30),COUNTIFS('Conciliacion de compuestos'!$D$2:$D$13,"conciliado",'Conciliacion de compuestos'!$E$2:$E$13,"OK",'Conciliacion de compuestos'!$O$2:$O$13,A30))&gt;0,IFERROR(TEXTJOIN(CHAR(10),TRUE,FILTER('Conciliacion de compuestos'!$A$2:$A$13,('Conciliacion de compuestos'!$D$2:$D$13="conciliado")*('Conciliacion de compuestos'!$E$2:$E$13="OK")*((('Conciliacion de compuestos'!$M$2:$M$13=A30)+('Conciliacion de compuestos'!$N$2:$N$13=A30)+('Conciliacion de compuestos'!$O$2:$O$13=A30))&gt;0))),""),"")</f>
        <v/>
      </c>
      <c r="G30" s="11">
        <f>IF(I30="conciliado","conciliado","por revisar")</f>
        <v/>
      </c>
      <c r="H30" s="11" t="inlineStr"/>
      <c r="I30" s="11">
        <f>IF(SUM(COUNTIFS('Conciliacion de compuestos'!$D$2:$D$13,"conciliado",'Conciliacion de compuestos'!$E$2:$E$13,"OK",'Conciliacion de compuestos'!$M$2:$M$13,A30),COUNTIFS('Conciliacion de compuestos'!$D$2:$D$13,"conciliado",'Conciliacion de compuestos'!$E$2:$E$13,"OK",'Conciliacion de compuestos'!$N$2:$N$13,A30),COUNTIFS('Conciliacion de compuestos'!$D$2:$D$13,"conciliado",'Conciliacion de compuestos'!$E$2:$E$13,"OK",'Conciliacion de compuestos'!$O$2:$O$13,A30))&gt;0,"conciliado","por revisar")</f>
        <v/>
      </c>
    </row>
    <row r="31">
      <c r="A31" s="11" t="n">
        <v>19</v>
      </c>
      <c r="B31" s="12" t="n">
        <v>46025</v>
      </c>
      <c r="C31" s="11" t="inlineStr">
        <is>
          <t>becerra narvaez paul</t>
        </is>
      </c>
      <c r="D31" s="13" t="n">
        <v>53200</v>
      </c>
      <c r="E31" s="11">
        <f>IF(G31="conciliado","conciliado",I31)</f>
        <v/>
      </c>
      <c r="F31" s="11">
        <f>IF(SUM(COUNTIFS('Conciliacion de compuestos'!$D$2:$D$13,"conciliado",'Conciliacion de compuestos'!$E$2:$E$13,"OK",'Conciliacion de compuestos'!$M$2:$M$13,A31),COUNTIFS('Conciliacion de compuestos'!$D$2:$D$13,"conciliado",'Conciliacion de compuestos'!$E$2:$E$13,"OK",'Conciliacion de compuestos'!$N$2:$N$13,A31),COUNTIFS('Conciliacion de compuestos'!$D$2:$D$13,"conciliado",'Conciliacion de compuestos'!$E$2:$E$13,"OK",'Conciliacion de compuestos'!$O$2:$O$13,A31))&gt;0,IFERROR(TEXTJOIN(CHAR(10),TRUE,FILTER('Conciliacion de compuestos'!$A$2:$A$13,('Conciliacion de compuestos'!$D$2:$D$13="conciliado")*('Conciliacion de compuestos'!$E$2:$E$13="OK")*((('Conciliacion de compuestos'!$M$2:$M$13=A31)+('Conciliacion de compuestos'!$N$2:$N$13=A31)+('Conciliacion de compuestos'!$O$2:$O$13=A31))&gt;0))),""),"")</f>
        <v/>
      </c>
      <c r="G31" s="11">
        <f>IF(I31="conciliado","conciliado","por revisar")</f>
        <v/>
      </c>
      <c r="H31" s="11" t="inlineStr"/>
      <c r="I31" s="11">
        <f>IF(SUM(COUNTIFS('Conciliacion de compuestos'!$D$2:$D$13,"conciliado",'Conciliacion de compuestos'!$E$2:$E$13,"OK",'Conciliacion de compuestos'!$M$2:$M$13,A31),COUNTIFS('Conciliacion de compuestos'!$D$2:$D$13,"conciliado",'Conciliacion de compuestos'!$E$2:$E$13,"OK",'Conciliacion de compuestos'!$N$2:$N$13,A31),COUNTIFS('Conciliacion de compuestos'!$D$2:$D$13,"conciliado",'Conciliacion de compuestos'!$E$2:$E$13,"OK",'Conciliacion de compuestos'!$O$2:$O$13,A31))&gt;0,"conciliado","por revisar")</f>
        <v/>
      </c>
    </row>
    <row r="32">
      <c r="A32" s="11" t="n">
        <v>15</v>
      </c>
      <c r="B32" s="12" t="n">
        <v>46025</v>
      </c>
      <c r="C32" s="11" t="inlineStr">
        <is>
          <t>day mosquera ordonez</t>
        </is>
      </c>
      <c r="D32" s="13" t="n">
        <v>164300</v>
      </c>
      <c r="E32" s="11">
        <f>IF(G32="conciliado","conciliado",I32)</f>
        <v/>
      </c>
      <c r="F32" s="11">
        <f>IF(SUM(COUNTIFS('Conciliacion de compuestos'!$D$2:$D$13,"conciliado",'Conciliacion de compuestos'!$E$2:$E$13,"OK",'Conciliacion de compuestos'!$M$2:$M$13,A32),COUNTIFS('Conciliacion de compuestos'!$D$2:$D$13,"conciliado",'Conciliacion de compuestos'!$E$2:$E$13,"OK",'Conciliacion de compuestos'!$N$2:$N$13,A32),COUNTIFS('Conciliacion de compuestos'!$D$2:$D$13,"conciliado",'Conciliacion de compuestos'!$E$2:$E$13,"OK",'Conciliacion de compuestos'!$O$2:$O$13,A32))&gt;0,IFERROR(TEXTJOIN(CHAR(10),TRUE,FILTER('Conciliacion de compuestos'!$A$2:$A$13,('Conciliacion de compuestos'!$D$2:$D$13="conciliado")*('Conciliacion de compuestos'!$E$2:$E$13="OK")*((('Conciliacion de compuestos'!$M$2:$M$13=A32)+('Conciliacion de compuestos'!$N$2:$N$13=A32)+('Conciliacion de compuestos'!$O$2:$O$13=A32))&gt;0))),""),"")</f>
        <v/>
      </c>
      <c r="G32" s="11">
        <f>IF(I32="conciliado","conciliado","por revisar")</f>
        <v/>
      </c>
      <c r="H32" s="11" t="inlineStr"/>
      <c r="I32" s="11">
        <f>IF(SUM(COUNTIFS('Conciliacion de compuestos'!$D$2:$D$13,"conciliado",'Conciliacion de compuestos'!$E$2:$E$13,"OK",'Conciliacion de compuestos'!$M$2:$M$13,A32),COUNTIFS('Conciliacion de compuestos'!$D$2:$D$13,"conciliado",'Conciliacion de compuestos'!$E$2:$E$13,"OK",'Conciliacion de compuestos'!$N$2:$N$13,A32),COUNTIFS('Conciliacion de compuestos'!$D$2:$D$13,"conciliado",'Conciliacion de compuestos'!$E$2:$E$13,"OK",'Conciliacion de compuestos'!$O$2:$O$13,A32))&gt;0,"conciliado","por revisar")</f>
        <v/>
      </c>
    </row>
    <row r="33">
      <c r="A33" s="11" t="n">
        <v>28</v>
      </c>
      <c r="B33" s="12" t="n">
        <v>46026</v>
      </c>
      <c r="C33" s="11" t="inlineStr">
        <is>
          <t>a gomez jimenez john</t>
        </is>
      </c>
      <c r="D33" s="13" t="n">
        <v>359500</v>
      </c>
      <c r="E33" s="11">
        <f>IF(G33="conciliado","conciliado",I33)</f>
        <v/>
      </c>
      <c r="F33" s="11">
        <f>IF(SUM(COUNTIFS('Conciliacion de compuestos'!$D$2:$D$13,"conciliado",'Conciliacion de compuestos'!$E$2:$E$13,"OK",'Conciliacion de compuestos'!$M$2:$M$13,A33),COUNTIFS('Conciliacion de compuestos'!$D$2:$D$13,"conciliado",'Conciliacion de compuestos'!$E$2:$E$13,"OK",'Conciliacion de compuestos'!$N$2:$N$13,A33),COUNTIFS('Conciliacion de compuestos'!$D$2:$D$13,"conciliado",'Conciliacion de compuestos'!$E$2:$E$13,"OK",'Conciliacion de compuestos'!$O$2:$O$13,A33))&gt;0,IFERROR(TEXTJOIN(CHAR(10),TRUE,FILTER('Conciliacion de compuestos'!$A$2:$A$13,('Conciliacion de compuestos'!$D$2:$D$13="conciliado")*('Conciliacion de compuestos'!$E$2:$E$13="OK")*((('Conciliacion de compuestos'!$M$2:$M$13=A33)+('Conciliacion de compuestos'!$N$2:$N$13=A33)+('Conciliacion de compuestos'!$O$2:$O$13=A33))&gt;0))),""),"")</f>
        <v/>
      </c>
      <c r="G33" s="11">
        <f>IF(I33="conciliado","conciliado","por revisar")</f>
        <v/>
      </c>
      <c r="H33" s="11" t="inlineStr"/>
      <c r="I33" s="11">
        <f>IF(SUM(COUNTIFS('Conciliacion de compuestos'!$D$2:$D$13,"conciliado",'Conciliacion de compuestos'!$E$2:$E$13,"OK",'Conciliacion de compuestos'!$M$2:$M$13,A33),COUNTIFS('Conciliacion de compuestos'!$D$2:$D$13,"conciliado",'Conciliacion de compuestos'!$E$2:$E$13,"OK",'Conciliacion de compuestos'!$N$2:$N$13,A33),COUNTIFS('Conciliacion de compuestos'!$D$2:$D$13,"conciliado",'Conciliacion de compuestos'!$E$2:$E$13,"OK",'Conciliacion de compuestos'!$O$2:$O$13,A33))&gt;0,"conciliado","por revisar")</f>
        <v/>
      </c>
    </row>
    <row r="34">
      <c r="A34" s="11" t="n">
        <v>30</v>
      </c>
      <c r="B34" s="12" t="n">
        <v>46026</v>
      </c>
      <c r="C34" s="11" t="inlineStr">
        <is>
          <t>blandon ceballos lyn</t>
        </is>
      </c>
      <c r="D34" s="13" t="n">
        <v>22200</v>
      </c>
      <c r="E34" s="11">
        <f>IF(G34="conciliado","conciliado",I34)</f>
        <v/>
      </c>
      <c r="F34" s="11">
        <f>IF(SUM(COUNTIFS('Conciliacion de compuestos'!$D$2:$D$13,"conciliado",'Conciliacion de compuestos'!$E$2:$E$13,"OK",'Conciliacion de compuestos'!$M$2:$M$13,A34),COUNTIFS('Conciliacion de compuestos'!$D$2:$D$13,"conciliado",'Conciliacion de compuestos'!$E$2:$E$13,"OK",'Conciliacion de compuestos'!$N$2:$N$13,A34),COUNTIFS('Conciliacion de compuestos'!$D$2:$D$13,"conciliado",'Conciliacion de compuestos'!$E$2:$E$13,"OK",'Conciliacion de compuestos'!$O$2:$O$13,A34))&gt;0,IFERROR(TEXTJOIN(CHAR(10),TRUE,FILTER('Conciliacion de compuestos'!$A$2:$A$13,('Conciliacion de compuestos'!$D$2:$D$13="conciliado")*('Conciliacion de compuestos'!$E$2:$E$13="OK")*((('Conciliacion de compuestos'!$M$2:$M$13=A34)+('Conciliacion de compuestos'!$N$2:$N$13=A34)+('Conciliacion de compuestos'!$O$2:$O$13=A34))&gt;0))),""),"")</f>
        <v/>
      </c>
      <c r="G34" s="11">
        <f>IF(I34="conciliado","conciliado","por revisar")</f>
        <v/>
      </c>
      <c r="H34" s="11" t="inlineStr"/>
      <c r="I34" s="11">
        <f>IF(SUM(COUNTIFS('Conciliacion de compuestos'!$D$2:$D$13,"conciliado",'Conciliacion de compuestos'!$E$2:$E$13,"OK",'Conciliacion de compuestos'!$M$2:$M$13,A34),COUNTIFS('Conciliacion de compuestos'!$D$2:$D$13,"conciliado",'Conciliacion de compuestos'!$E$2:$E$13,"OK",'Conciliacion de compuestos'!$N$2:$N$13,A34),COUNTIFS('Conciliacion de compuestos'!$D$2:$D$13,"conciliado",'Conciliacion de compuestos'!$E$2:$E$13,"OK",'Conciliacion de compuestos'!$O$2:$O$13,A34))&gt;0,"conciliado","por revisar")</f>
        <v/>
      </c>
    </row>
    <row r="35">
      <c r="A35" s="11" t="n">
        <v>38</v>
      </c>
      <c r="B35" s="12" t="n">
        <v>46027</v>
      </c>
      <c r="C35" s="11" t="inlineStr">
        <is>
          <t>cardona ospina victo</t>
        </is>
      </c>
      <c r="D35" s="13" t="n">
        <v>46100</v>
      </c>
      <c r="E35" s="11">
        <f>IF(G35="conciliado","conciliado",I35)</f>
        <v/>
      </c>
      <c r="F35" s="11">
        <f>IF(SUM(COUNTIFS('Conciliacion de compuestos'!$D$2:$D$13,"conciliado",'Conciliacion de compuestos'!$E$2:$E$13,"OK",'Conciliacion de compuestos'!$M$2:$M$13,A35),COUNTIFS('Conciliacion de compuestos'!$D$2:$D$13,"conciliado",'Conciliacion de compuestos'!$E$2:$E$13,"OK",'Conciliacion de compuestos'!$N$2:$N$13,A35),COUNTIFS('Conciliacion de compuestos'!$D$2:$D$13,"conciliado",'Conciliacion de compuestos'!$E$2:$E$13,"OK",'Conciliacion de compuestos'!$O$2:$O$13,A35))&gt;0,IFERROR(TEXTJOIN(CHAR(10),TRUE,FILTER('Conciliacion de compuestos'!$A$2:$A$13,('Conciliacion de compuestos'!$D$2:$D$13="conciliado")*('Conciliacion de compuestos'!$E$2:$E$13="OK")*((('Conciliacion de compuestos'!$M$2:$M$13=A35)+('Conciliacion de compuestos'!$N$2:$N$13=A35)+('Conciliacion de compuestos'!$O$2:$O$13=A35))&gt;0))),""),"")</f>
        <v/>
      </c>
      <c r="G35" s="11">
        <f>IF(I35="conciliado","conciliado","por revisar")</f>
        <v/>
      </c>
      <c r="H35" s="11" t="inlineStr"/>
      <c r="I35" s="11">
        <f>IF(SUM(COUNTIFS('Conciliacion de compuestos'!$D$2:$D$13,"conciliado",'Conciliacion de compuestos'!$E$2:$E$13,"OK",'Conciliacion de compuestos'!$M$2:$M$13,A35),COUNTIFS('Conciliacion de compuestos'!$D$2:$D$13,"conciliado",'Conciliacion de compuestos'!$E$2:$E$13,"OK",'Conciliacion de compuestos'!$N$2:$N$13,A35),COUNTIFS('Conciliacion de compuestos'!$D$2:$D$13,"conciliado",'Conciliacion de compuestos'!$E$2:$E$13,"OK",'Conciliacion de compuestos'!$O$2:$O$13,A35))&gt;0,"conciliado","por revisar")</f>
        <v/>
      </c>
    </row>
    <row r="36">
      <c r="A36" s="11" t="n">
        <v>40</v>
      </c>
      <c r="B36" s="12" t="n">
        <v>46027</v>
      </c>
      <c r="C36" s="11" t="inlineStr">
        <is>
          <t>carlosama chingue yo</t>
        </is>
      </c>
      <c r="D36" s="13" t="n">
        <v>128500</v>
      </c>
      <c r="E36" s="11">
        <f>IF(G36="conciliado","conciliado",I36)</f>
        <v/>
      </c>
      <c r="F36" s="11">
        <f>IF(SUM(COUNTIFS('Conciliacion de compuestos'!$D$2:$D$13,"conciliado",'Conciliacion de compuestos'!$E$2:$E$13,"OK",'Conciliacion de compuestos'!$M$2:$M$13,A36),COUNTIFS('Conciliacion de compuestos'!$D$2:$D$13,"conciliado",'Conciliacion de compuestos'!$E$2:$E$13,"OK",'Conciliacion de compuestos'!$N$2:$N$13,A36),COUNTIFS('Conciliacion de compuestos'!$D$2:$D$13,"conciliado",'Conciliacion de compuestos'!$E$2:$E$13,"OK",'Conciliacion de compuestos'!$O$2:$O$13,A36))&gt;0,IFERROR(TEXTJOIN(CHAR(10),TRUE,FILTER('Conciliacion de compuestos'!$A$2:$A$13,('Conciliacion de compuestos'!$D$2:$D$13="conciliado")*('Conciliacion de compuestos'!$E$2:$E$13="OK")*((('Conciliacion de compuestos'!$M$2:$M$13=A36)+('Conciliacion de compuestos'!$N$2:$N$13=A36)+('Conciliacion de compuestos'!$O$2:$O$13=A36))&gt;0))),""),"")</f>
        <v/>
      </c>
      <c r="G36" s="11">
        <f>IF(I36="conciliado","conciliado","por revisar")</f>
        <v/>
      </c>
      <c r="H36" s="11" t="inlineStr"/>
      <c r="I36" s="11">
        <f>IF(SUM(COUNTIFS('Conciliacion de compuestos'!$D$2:$D$13,"conciliado",'Conciliacion de compuestos'!$E$2:$E$13,"OK",'Conciliacion de compuestos'!$M$2:$M$13,A36),COUNTIFS('Conciliacion de compuestos'!$D$2:$D$13,"conciliado",'Conciliacion de compuestos'!$E$2:$E$13,"OK",'Conciliacion de compuestos'!$N$2:$N$13,A36),COUNTIFS('Conciliacion de compuestos'!$D$2:$D$13,"conciliado",'Conciliacion de compuestos'!$E$2:$E$13,"OK",'Conciliacion de compuestos'!$O$2:$O$13,A36))&gt;0,"conciliado","por revisar")</f>
        <v/>
      </c>
    </row>
    <row r="37">
      <c r="A37" s="11" t="n">
        <v>42</v>
      </c>
      <c r="B37" s="12" t="n">
        <v>46027</v>
      </c>
      <c r="C37" s="11" t="inlineStr">
        <is>
          <t>chaves imbachi tatia</t>
        </is>
      </c>
      <c r="D37" s="13" t="n">
        <v>512225</v>
      </c>
      <c r="E37" s="11">
        <f>IF(G37="conciliado","conciliado",I37)</f>
        <v/>
      </c>
      <c r="F37" s="11">
        <f>IF(SUM(COUNTIFS('Conciliacion de compuestos'!$D$2:$D$13,"conciliado",'Conciliacion de compuestos'!$E$2:$E$13,"OK",'Conciliacion de compuestos'!$M$2:$M$13,A37),COUNTIFS('Conciliacion de compuestos'!$D$2:$D$13,"conciliado",'Conciliacion de compuestos'!$E$2:$E$13,"OK",'Conciliacion de compuestos'!$N$2:$N$13,A37),COUNTIFS('Conciliacion de compuestos'!$D$2:$D$13,"conciliado",'Conciliacion de compuestos'!$E$2:$E$13,"OK",'Conciliacion de compuestos'!$O$2:$O$13,A37))&gt;0,IFERROR(TEXTJOIN(CHAR(10),TRUE,FILTER('Conciliacion de compuestos'!$A$2:$A$13,('Conciliacion de compuestos'!$D$2:$D$13="conciliado")*('Conciliacion de compuestos'!$E$2:$E$13="OK")*((('Conciliacion de compuestos'!$M$2:$M$13=A37)+('Conciliacion de compuestos'!$N$2:$N$13=A37)+('Conciliacion de compuestos'!$O$2:$O$13=A37))&gt;0))),""),"")</f>
        <v/>
      </c>
      <c r="G37" s="11">
        <f>IF(I37="conciliado","conciliado","por revisar")</f>
        <v/>
      </c>
      <c r="H37" s="11" t="inlineStr"/>
      <c r="I37" s="11">
        <f>IF(SUM(COUNTIFS('Conciliacion de compuestos'!$D$2:$D$13,"conciliado",'Conciliacion de compuestos'!$E$2:$E$13,"OK",'Conciliacion de compuestos'!$M$2:$M$13,A37),COUNTIFS('Conciliacion de compuestos'!$D$2:$D$13,"conciliado",'Conciliacion de compuestos'!$E$2:$E$13,"OK",'Conciliacion de compuestos'!$N$2:$N$13,A37),COUNTIFS('Conciliacion de compuestos'!$D$2:$D$13,"conciliado",'Conciliacion de compuestos'!$E$2:$E$13,"OK",'Conciliacion de compuestos'!$O$2:$O$13,A37))&gt;0,"conciliado","por revisar")</f>
        <v/>
      </c>
    </row>
    <row r="38">
      <c r="A38" s="11" t="n">
        <v>39</v>
      </c>
      <c r="B38" s="12" t="n">
        <v>46027</v>
      </c>
      <c r="C38" s="11" t="inlineStr">
        <is>
          <t>luci martinez rosero</t>
        </is>
      </c>
      <c r="D38" s="13" t="n">
        <v>27195</v>
      </c>
      <c r="E38" s="11">
        <f>IF(G38="conciliado","conciliado",I38)</f>
        <v/>
      </c>
      <c r="F38" s="11">
        <f>IF(SUM(COUNTIFS('Conciliacion de compuestos'!$D$2:$D$13,"conciliado",'Conciliacion de compuestos'!$E$2:$E$13,"OK",'Conciliacion de compuestos'!$M$2:$M$13,A38),COUNTIFS('Conciliacion de compuestos'!$D$2:$D$13,"conciliado",'Conciliacion de compuestos'!$E$2:$E$13,"OK",'Conciliacion de compuestos'!$N$2:$N$13,A38),COUNTIFS('Conciliacion de compuestos'!$D$2:$D$13,"conciliado",'Conciliacion de compuestos'!$E$2:$E$13,"OK",'Conciliacion de compuestos'!$O$2:$O$13,A38))&gt;0,IFERROR(TEXTJOIN(CHAR(10),TRUE,FILTER('Conciliacion de compuestos'!$A$2:$A$13,('Conciliacion de compuestos'!$D$2:$D$13="conciliado")*('Conciliacion de compuestos'!$E$2:$E$13="OK")*((('Conciliacion de compuestos'!$M$2:$M$13=A38)+('Conciliacion de compuestos'!$N$2:$N$13=A38)+('Conciliacion de compuestos'!$O$2:$O$13=A38))&gt;0))),""),"")</f>
        <v/>
      </c>
      <c r="G38" s="11">
        <f>IF(I38="conciliado","conciliado","por revisar")</f>
        <v/>
      </c>
      <c r="H38" s="11" t="inlineStr"/>
      <c r="I38" s="11">
        <f>IF(SUM(COUNTIFS('Conciliacion de compuestos'!$D$2:$D$13,"conciliado",'Conciliacion de compuestos'!$E$2:$E$13,"OK",'Conciliacion de compuestos'!$M$2:$M$13,A38),COUNTIFS('Conciliacion de compuestos'!$D$2:$D$13,"conciliado",'Conciliacion de compuestos'!$E$2:$E$13,"OK",'Conciliacion de compuestos'!$N$2:$N$13,A38),COUNTIFS('Conciliacion de compuestos'!$D$2:$D$13,"conciliado",'Conciliacion de compuestos'!$E$2:$E$13,"OK",'Conciliacion de compuestos'!$O$2:$O$13,A38))&gt;0,"conciliado","por revisar")</f>
        <v/>
      </c>
    </row>
    <row r="39">
      <c r="A39" s="11" t="n">
        <v>45</v>
      </c>
      <c r="B39" s="12" t="n">
        <v>46027</v>
      </c>
      <c r="C39" s="11" t="inlineStr">
        <is>
          <t>jaramillo valvuena w</t>
        </is>
      </c>
      <c r="D39" s="13" t="n">
        <v>38615</v>
      </c>
      <c r="E39" s="11">
        <f>IF(G39="conciliado","conciliado",I39)</f>
        <v/>
      </c>
      <c r="F39" s="11">
        <f>IF(SUM(COUNTIFS('Conciliacion de compuestos'!$D$2:$D$13,"conciliado",'Conciliacion de compuestos'!$E$2:$E$13,"OK",'Conciliacion de compuestos'!$M$2:$M$13,A39),COUNTIFS('Conciliacion de compuestos'!$D$2:$D$13,"conciliado",'Conciliacion de compuestos'!$E$2:$E$13,"OK",'Conciliacion de compuestos'!$N$2:$N$13,A39),COUNTIFS('Conciliacion de compuestos'!$D$2:$D$13,"conciliado",'Conciliacion de compuestos'!$E$2:$E$13,"OK",'Conciliacion de compuestos'!$O$2:$O$13,A39))&gt;0,IFERROR(TEXTJOIN(CHAR(10),TRUE,FILTER('Conciliacion de compuestos'!$A$2:$A$13,('Conciliacion de compuestos'!$D$2:$D$13="conciliado")*('Conciliacion de compuestos'!$E$2:$E$13="OK")*((('Conciliacion de compuestos'!$M$2:$M$13=A39)+('Conciliacion de compuestos'!$N$2:$N$13=A39)+('Conciliacion de compuestos'!$O$2:$O$13=A39))&gt;0))),""),"")</f>
        <v/>
      </c>
      <c r="G39" s="11">
        <f>IF(I39="conciliado","conciliado","por revisar")</f>
        <v/>
      </c>
      <c r="H39" s="11" t="inlineStr"/>
      <c r="I39" s="11">
        <f>IF(SUM(COUNTIFS('Conciliacion de compuestos'!$D$2:$D$13,"conciliado",'Conciliacion de compuestos'!$E$2:$E$13,"OK",'Conciliacion de compuestos'!$M$2:$M$13,A39),COUNTIFS('Conciliacion de compuestos'!$D$2:$D$13,"conciliado",'Conciliacion de compuestos'!$E$2:$E$13,"OK",'Conciliacion de compuestos'!$N$2:$N$13,A39),COUNTIFS('Conciliacion de compuestos'!$D$2:$D$13,"conciliado",'Conciliacion de compuestos'!$E$2:$E$13,"OK",'Conciliacion de compuestos'!$O$2:$O$13,A39))&gt;0,"conciliado","por revisar")</f>
        <v/>
      </c>
    </row>
    <row r="40">
      <c r="A40" s="11" t="n">
        <v>46</v>
      </c>
      <c r="B40" s="12" t="n">
        <v>46027</v>
      </c>
      <c r="C40" s="11" t="inlineStr">
        <is>
          <t>guzman rob turcan</t>
        </is>
      </c>
      <c r="D40" s="13" t="n">
        <v>63600</v>
      </c>
      <c r="E40" s="11">
        <f>IF(G40="conciliado","conciliado",I40)</f>
        <v/>
      </c>
      <c r="F40" s="11">
        <f>IF(SUM(COUNTIFS('Conciliacion de compuestos'!$D$2:$D$13,"conciliado",'Conciliacion de compuestos'!$E$2:$E$13,"OK",'Conciliacion de compuestos'!$M$2:$M$13,A40),COUNTIFS('Conciliacion de compuestos'!$D$2:$D$13,"conciliado",'Conciliacion de compuestos'!$E$2:$E$13,"OK",'Conciliacion de compuestos'!$N$2:$N$13,A40),COUNTIFS('Conciliacion de compuestos'!$D$2:$D$13,"conciliado",'Conciliacion de compuestos'!$E$2:$E$13,"OK",'Conciliacion de compuestos'!$O$2:$O$13,A40))&gt;0,IFERROR(TEXTJOIN(CHAR(10),TRUE,FILTER('Conciliacion de compuestos'!$A$2:$A$13,('Conciliacion de compuestos'!$D$2:$D$13="conciliado")*('Conciliacion de compuestos'!$E$2:$E$13="OK")*((('Conciliacion de compuestos'!$M$2:$M$13=A40)+('Conciliacion de compuestos'!$N$2:$N$13=A40)+('Conciliacion de compuestos'!$O$2:$O$13=A40))&gt;0))),""),"")</f>
        <v/>
      </c>
      <c r="G40" s="11">
        <f>IF(I40="conciliado","conciliado","por revisar")</f>
        <v/>
      </c>
      <c r="H40" s="11" t="inlineStr"/>
      <c r="I40" s="11">
        <f>IF(SUM(COUNTIFS('Conciliacion de compuestos'!$D$2:$D$13,"conciliado",'Conciliacion de compuestos'!$E$2:$E$13,"OK",'Conciliacion de compuestos'!$M$2:$M$13,A40),COUNTIFS('Conciliacion de compuestos'!$D$2:$D$13,"conciliado",'Conciliacion de compuestos'!$E$2:$E$13,"OK",'Conciliacion de compuestos'!$N$2:$N$13,A40),COUNTIFS('Conciliacion de compuestos'!$D$2:$D$13,"conciliado",'Conciliacion de compuestos'!$E$2:$E$13,"OK",'Conciliacion de compuestos'!$O$2:$O$13,A40))&gt;0,"conciliado","por revisar")</f>
        <v/>
      </c>
    </row>
    <row r="41">
      <c r="A41" s="11" t="n">
        <v>43</v>
      </c>
      <c r="B41" s="12" t="n">
        <v>46027</v>
      </c>
      <c r="C41" s="11" t="inlineStr">
        <is>
          <t>castano jorge rincon</t>
        </is>
      </c>
      <c r="D41" s="13" t="n">
        <v>1265266</v>
      </c>
      <c r="E41" s="11">
        <f>IF(G41="conciliado","conciliado",I41)</f>
        <v/>
      </c>
      <c r="F41" s="11">
        <f>IF(SUM(COUNTIFS('Conciliacion de compuestos'!$D$2:$D$13,"conciliado",'Conciliacion de compuestos'!$E$2:$E$13,"OK",'Conciliacion de compuestos'!$M$2:$M$13,A41),COUNTIFS('Conciliacion de compuestos'!$D$2:$D$13,"conciliado",'Conciliacion de compuestos'!$E$2:$E$13,"OK",'Conciliacion de compuestos'!$N$2:$N$13,A41),COUNTIFS('Conciliacion de compuestos'!$D$2:$D$13,"conciliado",'Conciliacion de compuestos'!$E$2:$E$13,"OK",'Conciliacion de compuestos'!$O$2:$O$13,A41))&gt;0,IFERROR(TEXTJOIN(CHAR(10),TRUE,FILTER('Conciliacion de compuestos'!$A$2:$A$13,('Conciliacion de compuestos'!$D$2:$D$13="conciliado")*('Conciliacion de compuestos'!$E$2:$E$13="OK")*((('Conciliacion de compuestos'!$M$2:$M$13=A41)+('Conciliacion de compuestos'!$N$2:$N$13=A41)+('Conciliacion de compuestos'!$O$2:$O$13=A41))&gt;0))),""),"")</f>
        <v/>
      </c>
      <c r="G41" s="11">
        <f>IF(I41="conciliado","conciliado","por revisar")</f>
        <v/>
      </c>
      <c r="H41" s="11" t="inlineStr"/>
      <c r="I41" s="11">
        <f>IF(SUM(COUNTIFS('Conciliacion de compuestos'!$D$2:$D$13,"conciliado",'Conciliacion de compuestos'!$E$2:$E$13,"OK",'Conciliacion de compuestos'!$M$2:$M$13,A41),COUNTIFS('Conciliacion de compuestos'!$D$2:$D$13,"conciliado",'Conciliacion de compuestos'!$E$2:$E$13,"OK",'Conciliacion de compuestos'!$N$2:$N$13,A41),COUNTIFS('Conciliacion de compuestos'!$D$2:$D$13,"conciliado",'Conciliacion de compuestos'!$E$2:$E$13,"OK",'Conciliacion de compuestos'!$O$2:$O$13,A41))&gt;0,"conciliado","por revisar")</f>
        <v/>
      </c>
    </row>
    <row r="42">
      <c r="A42" s="11" t="n">
        <v>51</v>
      </c>
      <c r="B42" s="12" t="n">
        <v>46028</v>
      </c>
      <c r="C42" s="11" t="inlineStr">
        <is>
          <t>claudi diaz zandobal</t>
        </is>
      </c>
      <c r="D42" s="13" t="n">
        <v>405600</v>
      </c>
      <c r="E42" s="11">
        <f>IF(G42="conciliado","conciliado",I42)</f>
        <v/>
      </c>
      <c r="F42" s="11">
        <f>IF(SUM(COUNTIFS('Conciliacion de compuestos'!$D$2:$D$13,"conciliado",'Conciliacion de compuestos'!$E$2:$E$13,"OK",'Conciliacion de compuestos'!$M$2:$M$13,A42),COUNTIFS('Conciliacion de compuestos'!$D$2:$D$13,"conciliado",'Conciliacion de compuestos'!$E$2:$E$13,"OK",'Conciliacion de compuestos'!$N$2:$N$13,A42),COUNTIFS('Conciliacion de compuestos'!$D$2:$D$13,"conciliado",'Conciliacion de compuestos'!$E$2:$E$13,"OK",'Conciliacion de compuestos'!$O$2:$O$13,A42))&gt;0,IFERROR(TEXTJOIN(CHAR(10),TRUE,FILTER('Conciliacion de compuestos'!$A$2:$A$13,('Conciliacion de compuestos'!$D$2:$D$13="conciliado")*('Conciliacion de compuestos'!$E$2:$E$13="OK")*((('Conciliacion de compuestos'!$M$2:$M$13=A42)+('Conciliacion de compuestos'!$N$2:$N$13=A42)+('Conciliacion de compuestos'!$O$2:$O$13=A42))&gt;0))),""),"")</f>
        <v/>
      </c>
      <c r="G42" s="11">
        <f>IF(I42="conciliado","conciliado","por revisar")</f>
        <v/>
      </c>
      <c r="H42" s="11" t="inlineStr"/>
      <c r="I42" s="11">
        <f>IF(SUM(COUNTIFS('Conciliacion de compuestos'!$D$2:$D$13,"conciliado",'Conciliacion de compuestos'!$E$2:$E$13,"OK",'Conciliacion de compuestos'!$M$2:$M$13,A42),COUNTIFS('Conciliacion de compuestos'!$D$2:$D$13,"conciliado",'Conciliacion de compuestos'!$E$2:$E$13,"OK",'Conciliacion de compuestos'!$N$2:$N$13,A42),COUNTIFS('Conciliacion de compuestos'!$D$2:$D$13,"conciliado",'Conciliacion de compuestos'!$E$2:$E$13,"OK",'Conciliacion de compuestos'!$O$2:$O$13,A42))&gt;0,"conciliado","por revisar")</f>
        <v/>
      </c>
    </row>
    <row r="43">
      <c r="A43" s="11" t="n">
        <v>57</v>
      </c>
      <c r="B43" s="12" t="n">
        <v>46028</v>
      </c>
      <c r="C43" s="11" t="inlineStr">
        <is>
          <t>andrea lopez</t>
        </is>
      </c>
      <c r="D43" s="13" t="n">
        <v>26600</v>
      </c>
      <c r="E43" s="11">
        <f>IF(G43="conciliado","conciliado",I43)</f>
        <v/>
      </c>
      <c r="F43" s="11">
        <f>IF(SUM(COUNTIFS('Conciliacion de compuestos'!$D$2:$D$13,"conciliado",'Conciliacion de compuestos'!$E$2:$E$13,"OK",'Conciliacion de compuestos'!$M$2:$M$13,A43),COUNTIFS('Conciliacion de compuestos'!$D$2:$D$13,"conciliado",'Conciliacion de compuestos'!$E$2:$E$13,"OK",'Conciliacion de compuestos'!$N$2:$N$13,A43),COUNTIFS('Conciliacion de compuestos'!$D$2:$D$13,"conciliado",'Conciliacion de compuestos'!$E$2:$E$13,"OK",'Conciliacion de compuestos'!$O$2:$O$13,A43))&gt;0,IFERROR(TEXTJOIN(CHAR(10),TRUE,FILTER('Conciliacion de compuestos'!$A$2:$A$13,('Conciliacion de compuestos'!$D$2:$D$13="conciliado")*('Conciliacion de compuestos'!$E$2:$E$13="OK")*((('Conciliacion de compuestos'!$M$2:$M$13=A43)+('Conciliacion de compuestos'!$N$2:$N$13=A43)+('Conciliacion de compuestos'!$O$2:$O$13=A43))&gt;0))),""),"")</f>
        <v/>
      </c>
      <c r="G43" s="11">
        <f>IF(I43="conciliado","conciliado","por revisar")</f>
        <v/>
      </c>
      <c r="H43" s="11" t="inlineStr"/>
      <c r="I43" s="11">
        <f>IF(SUM(COUNTIFS('Conciliacion de compuestos'!$D$2:$D$13,"conciliado",'Conciliacion de compuestos'!$E$2:$E$13,"OK",'Conciliacion de compuestos'!$M$2:$M$13,A43),COUNTIFS('Conciliacion de compuestos'!$D$2:$D$13,"conciliado",'Conciliacion de compuestos'!$E$2:$E$13,"OK",'Conciliacion de compuestos'!$N$2:$N$13,A43),COUNTIFS('Conciliacion de compuestos'!$D$2:$D$13,"conciliado",'Conciliacion de compuestos'!$E$2:$E$13,"OK",'Conciliacion de compuestos'!$O$2:$O$13,A43))&gt;0,"conciliado","por revisar")</f>
        <v/>
      </c>
    </row>
    <row r="44">
      <c r="A44" s="11" t="n">
        <v>54</v>
      </c>
      <c r="B44" s="12" t="n">
        <v>46028</v>
      </c>
      <c r="C44" s="11" t="inlineStr">
        <is>
          <t>consumidor final</t>
        </is>
      </c>
      <c r="D44" s="13" t="n">
        <v>162550</v>
      </c>
      <c r="E44" s="11">
        <f>IF(G44="conciliado","conciliado",I44)</f>
        <v/>
      </c>
      <c r="F44" s="11">
        <f>IF(SUM(COUNTIFS('Conciliacion de compuestos'!$D$2:$D$13,"conciliado",'Conciliacion de compuestos'!$E$2:$E$13,"OK",'Conciliacion de compuestos'!$M$2:$M$13,A44),COUNTIFS('Conciliacion de compuestos'!$D$2:$D$13,"conciliado",'Conciliacion de compuestos'!$E$2:$E$13,"OK",'Conciliacion de compuestos'!$N$2:$N$13,A44),COUNTIFS('Conciliacion de compuestos'!$D$2:$D$13,"conciliado",'Conciliacion de compuestos'!$E$2:$E$13,"OK",'Conciliacion de compuestos'!$O$2:$O$13,A44))&gt;0,IFERROR(TEXTJOIN(CHAR(10),TRUE,FILTER('Conciliacion de compuestos'!$A$2:$A$13,('Conciliacion de compuestos'!$D$2:$D$13="conciliado")*('Conciliacion de compuestos'!$E$2:$E$13="OK")*((('Conciliacion de compuestos'!$M$2:$M$13=A44)+('Conciliacion de compuestos'!$N$2:$N$13=A44)+('Conciliacion de compuestos'!$O$2:$O$13=A44))&gt;0))),""),"")</f>
        <v/>
      </c>
      <c r="G44" s="11">
        <f>IF(I44="conciliado","conciliado","por revisar")</f>
        <v/>
      </c>
      <c r="H44" s="11" t="inlineStr"/>
      <c r="I44" s="11">
        <f>IF(SUM(COUNTIFS('Conciliacion de compuestos'!$D$2:$D$13,"conciliado",'Conciliacion de compuestos'!$E$2:$E$13,"OK",'Conciliacion de compuestos'!$M$2:$M$13,A44),COUNTIFS('Conciliacion de compuestos'!$D$2:$D$13,"conciliado",'Conciliacion de compuestos'!$E$2:$E$13,"OK",'Conciliacion de compuestos'!$N$2:$N$13,A44),COUNTIFS('Conciliacion de compuestos'!$D$2:$D$13,"conciliado",'Conciliacion de compuestos'!$E$2:$E$13,"OK",'Conciliacion de compuestos'!$O$2:$O$13,A44))&gt;0,"conciliado","por revisar")</f>
        <v/>
      </c>
    </row>
    <row r="45">
      <c r="A45" s="11" t="n">
        <v>52</v>
      </c>
      <c r="B45" s="12" t="n">
        <v>46028</v>
      </c>
      <c r="C45" s="11" t="inlineStr">
        <is>
          <t>dayan florez l reyes</t>
        </is>
      </c>
      <c r="D45" s="13" t="n">
        <v>55100</v>
      </c>
      <c r="E45" s="11">
        <f>IF(G45="conciliado","conciliado",I45)</f>
        <v/>
      </c>
      <c r="F45" s="11">
        <f>IF(SUM(COUNTIFS('Conciliacion de compuestos'!$D$2:$D$13,"conciliado",'Conciliacion de compuestos'!$E$2:$E$13,"OK",'Conciliacion de compuestos'!$M$2:$M$13,A45),COUNTIFS('Conciliacion de compuestos'!$D$2:$D$13,"conciliado",'Conciliacion de compuestos'!$E$2:$E$13,"OK",'Conciliacion de compuestos'!$N$2:$N$13,A45),COUNTIFS('Conciliacion de compuestos'!$D$2:$D$13,"conciliado",'Conciliacion de compuestos'!$E$2:$E$13,"OK",'Conciliacion de compuestos'!$O$2:$O$13,A45))&gt;0,IFERROR(TEXTJOIN(CHAR(10),TRUE,FILTER('Conciliacion de compuestos'!$A$2:$A$13,('Conciliacion de compuestos'!$D$2:$D$13="conciliado")*('Conciliacion de compuestos'!$E$2:$E$13="OK")*((('Conciliacion de compuestos'!$M$2:$M$13=A45)+('Conciliacion de compuestos'!$N$2:$N$13=A45)+('Conciliacion de compuestos'!$O$2:$O$13=A45))&gt;0))),""),"")</f>
        <v/>
      </c>
      <c r="G45" s="11">
        <f>IF(I45="conciliado","conciliado","por revisar")</f>
        <v/>
      </c>
      <c r="H45" s="11" t="inlineStr"/>
      <c r="I45" s="11">
        <f>IF(SUM(COUNTIFS('Conciliacion de compuestos'!$D$2:$D$13,"conciliado",'Conciliacion de compuestos'!$E$2:$E$13,"OK",'Conciliacion de compuestos'!$M$2:$M$13,A45),COUNTIFS('Conciliacion de compuestos'!$D$2:$D$13,"conciliado",'Conciliacion de compuestos'!$E$2:$E$13,"OK",'Conciliacion de compuestos'!$N$2:$N$13,A45),COUNTIFS('Conciliacion de compuestos'!$D$2:$D$13,"conciliado",'Conciliacion de compuestos'!$E$2:$E$13,"OK",'Conciliacion de compuestos'!$O$2:$O$13,A45))&gt;0,"conciliado","por revisar")</f>
        <v/>
      </c>
    </row>
    <row r="46">
      <c r="A46" s="11" t="n">
        <v>50</v>
      </c>
      <c r="B46" s="12" t="n">
        <v>46028</v>
      </c>
      <c r="C46" s="11" t="inlineStr">
        <is>
          <t>caicedo car jimenez</t>
        </is>
      </c>
      <c r="D46" s="13" t="n">
        <v>474500</v>
      </c>
      <c r="E46" s="11">
        <f>IF(G46="conciliado","conciliado",I46)</f>
        <v/>
      </c>
      <c r="F46" s="11">
        <f>IF(SUM(COUNTIFS('Conciliacion de compuestos'!$D$2:$D$13,"conciliado",'Conciliacion de compuestos'!$E$2:$E$13,"OK",'Conciliacion de compuestos'!$M$2:$M$13,A46),COUNTIFS('Conciliacion de compuestos'!$D$2:$D$13,"conciliado",'Conciliacion de compuestos'!$E$2:$E$13,"OK",'Conciliacion de compuestos'!$N$2:$N$13,A46),COUNTIFS('Conciliacion de compuestos'!$D$2:$D$13,"conciliado",'Conciliacion de compuestos'!$E$2:$E$13,"OK",'Conciliacion de compuestos'!$O$2:$O$13,A46))&gt;0,IFERROR(TEXTJOIN(CHAR(10),TRUE,FILTER('Conciliacion de compuestos'!$A$2:$A$13,('Conciliacion de compuestos'!$D$2:$D$13="conciliado")*('Conciliacion de compuestos'!$E$2:$E$13="OK")*((('Conciliacion de compuestos'!$M$2:$M$13=A46)+('Conciliacion de compuestos'!$N$2:$N$13=A46)+('Conciliacion de compuestos'!$O$2:$O$13=A46))&gt;0))),""),"")</f>
        <v/>
      </c>
      <c r="G46" s="11">
        <f>IF(I46="conciliado","conciliado","por revisar")</f>
        <v/>
      </c>
      <c r="H46" s="11" t="inlineStr"/>
      <c r="I46" s="11">
        <f>IF(SUM(COUNTIFS('Conciliacion de compuestos'!$D$2:$D$13,"conciliado",'Conciliacion de compuestos'!$E$2:$E$13,"OK",'Conciliacion de compuestos'!$M$2:$M$13,A46),COUNTIFS('Conciliacion de compuestos'!$D$2:$D$13,"conciliado",'Conciliacion de compuestos'!$E$2:$E$13,"OK",'Conciliacion de compuestos'!$N$2:$N$13,A46),COUNTIFS('Conciliacion de compuestos'!$D$2:$D$13,"conciliado",'Conciliacion de compuestos'!$E$2:$E$13,"OK",'Conciliacion de compuestos'!$O$2:$O$13,A46))&gt;0,"conciliado","por revisar")</f>
        <v/>
      </c>
    </row>
    <row r="47">
      <c r="A47" s="11" t="n">
        <v>47</v>
      </c>
      <c r="B47" s="12" t="n">
        <v>46028</v>
      </c>
      <c r="C47" s="11" t="inlineStr">
        <is>
          <t>cuacialpud hernandez</t>
        </is>
      </c>
      <c r="D47" s="13" t="n">
        <v>108200</v>
      </c>
      <c r="E47" s="11">
        <f>IF(G47="conciliado","conciliado",I47)</f>
        <v/>
      </c>
      <c r="F47" s="11">
        <f>IF(SUM(COUNTIFS('Conciliacion de compuestos'!$D$2:$D$13,"conciliado",'Conciliacion de compuestos'!$E$2:$E$13,"OK",'Conciliacion de compuestos'!$M$2:$M$13,A47),COUNTIFS('Conciliacion de compuestos'!$D$2:$D$13,"conciliado",'Conciliacion de compuestos'!$E$2:$E$13,"OK",'Conciliacion de compuestos'!$N$2:$N$13,A47),COUNTIFS('Conciliacion de compuestos'!$D$2:$D$13,"conciliado",'Conciliacion de compuestos'!$E$2:$E$13,"OK",'Conciliacion de compuestos'!$O$2:$O$13,A47))&gt;0,IFERROR(TEXTJOIN(CHAR(10),TRUE,FILTER('Conciliacion de compuestos'!$A$2:$A$13,('Conciliacion de compuestos'!$D$2:$D$13="conciliado")*('Conciliacion de compuestos'!$E$2:$E$13="OK")*((('Conciliacion de compuestos'!$M$2:$M$13=A47)+('Conciliacion de compuestos'!$N$2:$N$13=A47)+('Conciliacion de compuestos'!$O$2:$O$13=A47))&gt;0))),""),"")</f>
        <v/>
      </c>
      <c r="G47" s="11">
        <f>IF(I47="conciliado","conciliado","por revisar")</f>
        <v/>
      </c>
      <c r="H47" s="11" t="inlineStr"/>
      <c r="I47" s="11">
        <f>IF(SUM(COUNTIFS('Conciliacion de compuestos'!$D$2:$D$13,"conciliado",'Conciliacion de compuestos'!$E$2:$E$13,"OK",'Conciliacion de compuestos'!$M$2:$M$13,A47),COUNTIFS('Conciliacion de compuestos'!$D$2:$D$13,"conciliado",'Conciliacion de compuestos'!$E$2:$E$13,"OK",'Conciliacion de compuestos'!$N$2:$N$13,A47),COUNTIFS('Conciliacion de compuestos'!$D$2:$D$13,"conciliado",'Conciliacion de compuestos'!$E$2:$E$13,"OK",'Conciliacion de compuestos'!$O$2:$O$13,A47))&gt;0,"conciliado","por revisar")</f>
        <v/>
      </c>
    </row>
    <row r="48">
      <c r="A48" s="11" t="n">
        <v>55</v>
      </c>
      <c r="B48" s="12" t="n">
        <v>46028</v>
      </c>
      <c r="C48" s="11" t="inlineStr">
        <is>
          <t>lenin sousa tribaldo</t>
        </is>
      </c>
      <c r="D48" s="13" t="n">
        <v>96500</v>
      </c>
      <c r="E48" s="11">
        <f>IF(G48="conciliado","conciliado",I48)</f>
        <v/>
      </c>
      <c r="F48" s="11">
        <f>IF(SUM(COUNTIFS('Conciliacion de compuestos'!$D$2:$D$13,"conciliado",'Conciliacion de compuestos'!$E$2:$E$13,"OK",'Conciliacion de compuestos'!$M$2:$M$13,A48),COUNTIFS('Conciliacion de compuestos'!$D$2:$D$13,"conciliado",'Conciliacion de compuestos'!$E$2:$E$13,"OK",'Conciliacion de compuestos'!$N$2:$N$13,A48),COUNTIFS('Conciliacion de compuestos'!$D$2:$D$13,"conciliado",'Conciliacion de compuestos'!$E$2:$E$13,"OK",'Conciliacion de compuestos'!$O$2:$O$13,A48))&gt;0,IFERROR(TEXTJOIN(CHAR(10),TRUE,FILTER('Conciliacion de compuestos'!$A$2:$A$13,('Conciliacion de compuestos'!$D$2:$D$13="conciliado")*('Conciliacion de compuestos'!$E$2:$E$13="OK")*((('Conciliacion de compuestos'!$M$2:$M$13=A48)+('Conciliacion de compuestos'!$N$2:$N$13=A48)+('Conciliacion de compuestos'!$O$2:$O$13=A48))&gt;0))),""),"")</f>
        <v/>
      </c>
      <c r="G48" s="11">
        <f>IF(I48="conciliado","conciliado","por revisar")</f>
        <v/>
      </c>
      <c r="H48" s="11" t="inlineStr"/>
      <c r="I48" s="11">
        <f>IF(SUM(COUNTIFS('Conciliacion de compuestos'!$D$2:$D$13,"conciliado",'Conciliacion de compuestos'!$E$2:$E$13,"OK",'Conciliacion de compuestos'!$M$2:$M$13,A48),COUNTIFS('Conciliacion de compuestos'!$D$2:$D$13,"conciliado",'Conciliacion de compuestos'!$E$2:$E$13,"OK",'Conciliacion de compuestos'!$N$2:$N$13,A48),COUNTIFS('Conciliacion de compuestos'!$D$2:$D$13,"conciliado",'Conciliacion de compuestos'!$E$2:$E$13,"OK",'Conciliacion de compuestos'!$O$2:$O$13,A48))&gt;0,"conciliado","por revisar")</f>
        <v/>
      </c>
    </row>
    <row r="49">
      <c r="A49" s="11" t="n">
        <v>80</v>
      </c>
      <c r="B49" s="12" t="n">
        <v>46030</v>
      </c>
      <c r="C49" s="11" t="inlineStr">
        <is>
          <t>lukumi mosquera</t>
        </is>
      </c>
      <c r="D49" s="13" t="n">
        <v>33200</v>
      </c>
      <c r="E49" s="11">
        <f>IF(G49="conciliado","conciliado",I49)</f>
        <v/>
      </c>
      <c r="F49" s="11" t="inlineStr">
        <is>
          <t>540 | 2026-01-08 | 33,200 | consignacion credibanco d e</t>
        </is>
      </c>
      <c r="G49" s="11">
        <f>IF(I49="conciliado","conciliado","por revisar")</f>
        <v/>
      </c>
      <c r="H49" s="11" t="inlineStr"/>
      <c r="I49" s="11" t="inlineStr">
        <is>
          <t>conciliado</t>
        </is>
      </c>
    </row>
    <row r="50">
      <c r="A50" s="11" t="n">
        <v>62</v>
      </c>
      <c r="B50" s="12" t="n">
        <v>46029</v>
      </c>
      <c r="C50" s="11" t="inlineStr">
        <is>
          <t>giraldo luis medina</t>
        </is>
      </c>
      <c r="D50" s="13" t="n">
        <v>110300</v>
      </c>
      <c r="E50" s="11">
        <f>IF(G50="conciliado","conciliado",I50)</f>
        <v/>
      </c>
      <c r="F50" s="11">
        <f>IF(SUM(COUNTIFS('Conciliacion de compuestos'!$D$2:$D$13,"conciliado",'Conciliacion de compuestos'!$E$2:$E$13,"OK",'Conciliacion de compuestos'!$M$2:$M$13,A50),COUNTIFS('Conciliacion de compuestos'!$D$2:$D$13,"conciliado",'Conciliacion de compuestos'!$E$2:$E$13,"OK",'Conciliacion de compuestos'!$N$2:$N$13,A50),COUNTIFS('Conciliacion de compuestos'!$D$2:$D$13,"conciliado",'Conciliacion de compuestos'!$E$2:$E$13,"OK",'Conciliacion de compuestos'!$O$2:$O$13,A50))&gt;0,IFERROR(TEXTJOIN(CHAR(10),TRUE,FILTER('Conciliacion de compuestos'!$A$2:$A$13,('Conciliacion de compuestos'!$D$2:$D$13="conciliado")*('Conciliacion de compuestos'!$E$2:$E$13="OK")*((('Conciliacion de compuestos'!$M$2:$M$13=A50)+('Conciliacion de compuestos'!$N$2:$N$13=A50)+('Conciliacion de compuestos'!$O$2:$O$13=A50))&gt;0))),""),"")</f>
        <v/>
      </c>
      <c r="G50" s="11">
        <f>IF(I50="conciliado","conciliado","por revisar")</f>
        <v/>
      </c>
      <c r="H50" s="11" t="inlineStr"/>
      <c r="I50" s="11">
        <f>IF(SUM(COUNTIFS('Conciliacion de compuestos'!$D$2:$D$13,"conciliado",'Conciliacion de compuestos'!$E$2:$E$13,"OK",'Conciliacion de compuestos'!$M$2:$M$13,A50),COUNTIFS('Conciliacion de compuestos'!$D$2:$D$13,"conciliado",'Conciliacion de compuestos'!$E$2:$E$13,"OK",'Conciliacion de compuestos'!$N$2:$N$13,A50),COUNTIFS('Conciliacion de compuestos'!$D$2:$D$13,"conciliado",'Conciliacion de compuestos'!$E$2:$E$13,"OK",'Conciliacion de compuestos'!$O$2:$O$13,A50))&gt;0,"conciliado","por revisar")</f>
        <v/>
      </c>
    </row>
    <row r="51">
      <c r="A51" s="11" t="n">
        <v>59</v>
      </c>
      <c r="B51" s="12" t="n">
        <v>46029</v>
      </c>
      <c r="C51" s="11" t="inlineStr">
        <is>
          <t>marquez nanc narvaez</t>
        </is>
      </c>
      <c r="D51" s="13" t="n">
        <v>28000</v>
      </c>
      <c r="E51" s="11">
        <f>IF(G51="conciliado","conciliado",I51)</f>
        <v/>
      </c>
      <c r="F51" s="11">
        <f>IF(SUM(COUNTIFS('Conciliacion de compuestos'!$D$2:$D$13,"conciliado",'Conciliacion de compuestos'!$E$2:$E$13,"OK",'Conciliacion de compuestos'!$M$2:$M$13,A51),COUNTIFS('Conciliacion de compuestos'!$D$2:$D$13,"conciliado",'Conciliacion de compuestos'!$E$2:$E$13,"OK",'Conciliacion de compuestos'!$N$2:$N$13,A51),COUNTIFS('Conciliacion de compuestos'!$D$2:$D$13,"conciliado",'Conciliacion de compuestos'!$E$2:$E$13,"OK",'Conciliacion de compuestos'!$O$2:$O$13,A51))&gt;0,IFERROR(TEXTJOIN(CHAR(10),TRUE,FILTER('Conciliacion de compuestos'!$A$2:$A$13,('Conciliacion de compuestos'!$D$2:$D$13="conciliado")*('Conciliacion de compuestos'!$E$2:$E$13="OK")*((('Conciliacion de compuestos'!$M$2:$M$13=A51)+('Conciliacion de compuestos'!$N$2:$N$13=A51)+('Conciliacion de compuestos'!$O$2:$O$13=A51))&gt;0))),""),"")</f>
        <v/>
      </c>
      <c r="G51" s="11">
        <f>IF(I51="conciliado","conciliado","por revisar")</f>
        <v/>
      </c>
      <c r="H51" s="11" t="inlineStr"/>
      <c r="I51" s="11">
        <f>IF(SUM(COUNTIFS('Conciliacion de compuestos'!$D$2:$D$13,"conciliado",'Conciliacion de compuestos'!$E$2:$E$13,"OK",'Conciliacion de compuestos'!$M$2:$M$13,A51),COUNTIFS('Conciliacion de compuestos'!$D$2:$D$13,"conciliado",'Conciliacion de compuestos'!$E$2:$E$13,"OK",'Conciliacion de compuestos'!$N$2:$N$13,A51),COUNTIFS('Conciliacion de compuestos'!$D$2:$D$13,"conciliado",'Conciliacion de compuestos'!$E$2:$E$13,"OK",'Conciliacion de compuestos'!$O$2:$O$13,A51))&gt;0,"conciliado","por revisar")</f>
        <v/>
      </c>
    </row>
    <row r="52">
      <c r="A52" s="11" t="n">
        <v>60</v>
      </c>
      <c r="B52" s="12" t="n">
        <v>46029</v>
      </c>
      <c r="C52" s="11" t="inlineStr">
        <is>
          <t>lemus martinez pasto</t>
        </is>
      </c>
      <c r="D52" s="13" t="n">
        <v>52600</v>
      </c>
      <c r="E52" s="11">
        <f>IF(G52="conciliado","conciliado",I52)</f>
        <v/>
      </c>
      <c r="F52" s="11">
        <f>IF(SUM(COUNTIFS('Conciliacion de compuestos'!$D$2:$D$13,"conciliado",'Conciliacion de compuestos'!$E$2:$E$13,"OK",'Conciliacion de compuestos'!$M$2:$M$13,A52),COUNTIFS('Conciliacion de compuestos'!$D$2:$D$13,"conciliado",'Conciliacion de compuestos'!$E$2:$E$13,"OK",'Conciliacion de compuestos'!$N$2:$N$13,A52),COUNTIFS('Conciliacion de compuestos'!$D$2:$D$13,"conciliado",'Conciliacion de compuestos'!$E$2:$E$13,"OK",'Conciliacion de compuestos'!$O$2:$O$13,A52))&gt;0,IFERROR(TEXTJOIN(CHAR(10),TRUE,FILTER('Conciliacion de compuestos'!$A$2:$A$13,('Conciliacion de compuestos'!$D$2:$D$13="conciliado")*('Conciliacion de compuestos'!$E$2:$E$13="OK")*((('Conciliacion de compuestos'!$M$2:$M$13=A52)+('Conciliacion de compuestos'!$N$2:$N$13=A52)+('Conciliacion de compuestos'!$O$2:$O$13=A52))&gt;0))),""),"")</f>
        <v/>
      </c>
      <c r="G52" s="11">
        <f>IF(I52="conciliado","conciliado","por revisar")</f>
        <v/>
      </c>
      <c r="H52" s="11" t="inlineStr"/>
      <c r="I52" s="11">
        <f>IF(SUM(COUNTIFS('Conciliacion de compuestos'!$D$2:$D$13,"conciliado",'Conciliacion de compuestos'!$E$2:$E$13,"OK",'Conciliacion de compuestos'!$M$2:$M$13,A52),COUNTIFS('Conciliacion de compuestos'!$D$2:$D$13,"conciliado",'Conciliacion de compuestos'!$E$2:$E$13,"OK",'Conciliacion de compuestos'!$N$2:$N$13,A52),COUNTIFS('Conciliacion de compuestos'!$D$2:$D$13,"conciliado",'Conciliacion de compuestos'!$E$2:$E$13,"OK",'Conciliacion de compuestos'!$O$2:$O$13,A52))&gt;0,"conciliado","por revisar")</f>
        <v/>
      </c>
    </row>
    <row r="53">
      <c r="A53" s="11" t="n">
        <v>63</v>
      </c>
      <c r="B53" s="12" t="n">
        <v>46029</v>
      </c>
      <c r="C53" s="11" t="inlineStr">
        <is>
          <t>buelvas diaz jose mi</t>
        </is>
      </c>
      <c r="D53" s="13" t="n">
        <v>55800</v>
      </c>
      <c r="E53" s="11">
        <f>IF(G53="conciliado","conciliado",I53)</f>
        <v/>
      </c>
      <c r="F53" s="11">
        <f>IF(SUM(COUNTIFS('Conciliacion de compuestos'!$D$2:$D$13,"conciliado",'Conciliacion de compuestos'!$E$2:$E$13,"OK",'Conciliacion de compuestos'!$M$2:$M$13,A53),COUNTIFS('Conciliacion de compuestos'!$D$2:$D$13,"conciliado",'Conciliacion de compuestos'!$E$2:$E$13,"OK",'Conciliacion de compuestos'!$N$2:$N$13,A53),COUNTIFS('Conciliacion de compuestos'!$D$2:$D$13,"conciliado",'Conciliacion de compuestos'!$E$2:$E$13,"OK",'Conciliacion de compuestos'!$O$2:$O$13,A53))&gt;0,IFERROR(TEXTJOIN(CHAR(10),TRUE,FILTER('Conciliacion de compuestos'!$A$2:$A$13,('Conciliacion de compuestos'!$D$2:$D$13="conciliado")*('Conciliacion de compuestos'!$E$2:$E$13="OK")*((('Conciliacion de compuestos'!$M$2:$M$13=A53)+('Conciliacion de compuestos'!$N$2:$N$13=A53)+('Conciliacion de compuestos'!$O$2:$O$13=A53))&gt;0))),""),"")</f>
        <v/>
      </c>
      <c r="G53" s="11">
        <f>IF(I53="conciliado","conciliado","por revisar")</f>
        <v/>
      </c>
      <c r="H53" s="11" t="inlineStr"/>
      <c r="I53" s="11">
        <f>IF(SUM(COUNTIFS('Conciliacion de compuestos'!$D$2:$D$13,"conciliado",'Conciliacion de compuestos'!$E$2:$E$13,"OK",'Conciliacion de compuestos'!$M$2:$M$13,A53),COUNTIFS('Conciliacion de compuestos'!$D$2:$D$13,"conciliado",'Conciliacion de compuestos'!$E$2:$E$13,"OK",'Conciliacion de compuestos'!$N$2:$N$13,A53),COUNTIFS('Conciliacion de compuestos'!$D$2:$D$13,"conciliado",'Conciliacion de compuestos'!$E$2:$E$13,"OK",'Conciliacion de compuestos'!$O$2:$O$13,A53))&gt;0,"conciliado","por revisar")</f>
        <v/>
      </c>
    </row>
    <row r="54">
      <c r="A54" s="11" t="n">
        <v>58</v>
      </c>
      <c r="B54" s="12" t="n">
        <v>46029</v>
      </c>
      <c r="C54" s="11" t="inlineStr">
        <is>
          <t>jorge mosquera ramos</t>
        </is>
      </c>
      <c r="D54" s="13" t="n">
        <v>429310</v>
      </c>
      <c r="E54" s="11">
        <f>IF(G54="conciliado","conciliado",I54)</f>
        <v/>
      </c>
      <c r="F54" s="11">
        <f>IF(SUM(COUNTIFS('Conciliacion de compuestos'!$D$2:$D$13,"conciliado",'Conciliacion de compuestos'!$E$2:$E$13,"OK",'Conciliacion de compuestos'!$M$2:$M$13,A54),COUNTIFS('Conciliacion de compuestos'!$D$2:$D$13,"conciliado",'Conciliacion de compuestos'!$E$2:$E$13,"OK",'Conciliacion de compuestos'!$N$2:$N$13,A54),COUNTIFS('Conciliacion de compuestos'!$D$2:$D$13,"conciliado",'Conciliacion de compuestos'!$E$2:$E$13,"OK",'Conciliacion de compuestos'!$O$2:$O$13,A54))&gt;0,IFERROR(TEXTJOIN(CHAR(10),TRUE,FILTER('Conciliacion de compuestos'!$A$2:$A$13,('Conciliacion de compuestos'!$D$2:$D$13="conciliado")*('Conciliacion de compuestos'!$E$2:$E$13="OK")*((('Conciliacion de compuestos'!$M$2:$M$13=A54)+('Conciliacion de compuestos'!$N$2:$N$13=A54)+('Conciliacion de compuestos'!$O$2:$O$13=A54))&gt;0))),""),"")</f>
        <v/>
      </c>
      <c r="G54" s="11">
        <f>IF(I54="conciliado","conciliado","por revisar")</f>
        <v/>
      </c>
      <c r="H54" s="11" t="inlineStr"/>
      <c r="I54" s="11">
        <f>IF(SUM(COUNTIFS('Conciliacion de compuestos'!$D$2:$D$13,"conciliado",'Conciliacion de compuestos'!$E$2:$E$13,"OK",'Conciliacion de compuestos'!$M$2:$M$13,A54),COUNTIFS('Conciliacion de compuestos'!$D$2:$D$13,"conciliado",'Conciliacion de compuestos'!$E$2:$E$13,"OK",'Conciliacion de compuestos'!$N$2:$N$13,A54),COUNTIFS('Conciliacion de compuestos'!$D$2:$D$13,"conciliado",'Conciliacion de compuestos'!$E$2:$E$13,"OK",'Conciliacion de compuestos'!$O$2:$O$13,A54))&gt;0,"conciliado","por revisar")</f>
        <v/>
      </c>
    </row>
    <row r="55">
      <c r="A55" s="11" t="n">
        <v>67</v>
      </c>
      <c r="B55" s="12" t="n">
        <v>46029</v>
      </c>
      <c r="C55" s="11" t="inlineStr">
        <is>
          <t>aragon diego salazar</t>
        </is>
      </c>
      <c r="D55" s="13" t="n">
        <v>80500</v>
      </c>
      <c r="E55" s="11">
        <f>IF(G55="conciliado","conciliado",I55)</f>
        <v/>
      </c>
      <c r="F55" s="11">
        <f>IF(SUM(COUNTIFS('Conciliacion de compuestos'!$D$2:$D$13,"conciliado",'Conciliacion de compuestos'!$E$2:$E$13,"OK",'Conciliacion de compuestos'!$M$2:$M$13,A55),COUNTIFS('Conciliacion de compuestos'!$D$2:$D$13,"conciliado",'Conciliacion de compuestos'!$E$2:$E$13,"OK",'Conciliacion de compuestos'!$N$2:$N$13,A55),COUNTIFS('Conciliacion de compuestos'!$D$2:$D$13,"conciliado",'Conciliacion de compuestos'!$E$2:$E$13,"OK",'Conciliacion de compuestos'!$O$2:$O$13,A55))&gt;0,IFERROR(TEXTJOIN(CHAR(10),TRUE,FILTER('Conciliacion de compuestos'!$A$2:$A$13,('Conciliacion de compuestos'!$D$2:$D$13="conciliado")*('Conciliacion de compuestos'!$E$2:$E$13="OK")*((('Conciliacion de compuestos'!$M$2:$M$13=A55)+('Conciliacion de compuestos'!$N$2:$N$13=A55)+('Conciliacion de compuestos'!$O$2:$O$13=A55))&gt;0))),""),"")</f>
        <v/>
      </c>
      <c r="G55" s="11">
        <f>IF(I55="conciliado","conciliado","por revisar")</f>
        <v/>
      </c>
      <c r="H55" s="11" t="inlineStr"/>
      <c r="I55" s="11">
        <f>IF(SUM(COUNTIFS('Conciliacion de compuestos'!$D$2:$D$13,"conciliado",'Conciliacion de compuestos'!$E$2:$E$13,"OK",'Conciliacion de compuestos'!$M$2:$M$13,A55),COUNTIFS('Conciliacion de compuestos'!$D$2:$D$13,"conciliado",'Conciliacion de compuestos'!$E$2:$E$13,"OK",'Conciliacion de compuestos'!$N$2:$N$13,A55),COUNTIFS('Conciliacion de compuestos'!$D$2:$D$13,"conciliado",'Conciliacion de compuestos'!$E$2:$E$13,"OK",'Conciliacion de compuestos'!$O$2:$O$13,A55))&gt;0,"conciliado","por revisar")</f>
        <v/>
      </c>
    </row>
    <row r="56">
      <c r="A56" s="11" t="n">
        <v>65</v>
      </c>
      <c r="B56" s="12" t="n">
        <v>46029</v>
      </c>
      <c r="C56" s="11" t="inlineStr">
        <is>
          <t>bastidas edi jurado</t>
        </is>
      </c>
      <c r="D56" s="13" t="n">
        <v>52800</v>
      </c>
      <c r="E56" s="11">
        <f>IF(G56="conciliado","conciliado",I56)</f>
        <v/>
      </c>
      <c r="F56" s="11">
        <f>IF(SUM(COUNTIFS('Conciliacion de compuestos'!$D$2:$D$13,"conciliado",'Conciliacion de compuestos'!$E$2:$E$13,"OK",'Conciliacion de compuestos'!$M$2:$M$13,A56),COUNTIFS('Conciliacion de compuestos'!$D$2:$D$13,"conciliado",'Conciliacion de compuestos'!$E$2:$E$13,"OK",'Conciliacion de compuestos'!$N$2:$N$13,A56),COUNTIFS('Conciliacion de compuestos'!$D$2:$D$13,"conciliado",'Conciliacion de compuestos'!$E$2:$E$13,"OK",'Conciliacion de compuestos'!$O$2:$O$13,A56))&gt;0,IFERROR(TEXTJOIN(CHAR(10),TRUE,FILTER('Conciliacion de compuestos'!$A$2:$A$13,('Conciliacion de compuestos'!$D$2:$D$13="conciliado")*('Conciliacion de compuestos'!$E$2:$E$13="OK")*((('Conciliacion de compuestos'!$M$2:$M$13=A56)+('Conciliacion de compuestos'!$N$2:$N$13=A56)+('Conciliacion de compuestos'!$O$2:$O$13=A56))&gt;0))),""),"")</f>
        <v/>
      </c>
      <c r="G56" s="11">
        <f>IF(I56="conciliado","conciliado","por revisar")</f>
        <v/>
      </c>
      <c r="H56" s="11" t="inlineStr"/>
      <c r="I56" s="11">
        <f>IF(SUM(COUNTIFS('Conciliacion de compuestos'!$D$2:$D$13,"conciliado",'Conciliacion de compuestos'!$E$2:$E$13,"OK",'Conciliacion de compuestos'!$M$2:$M$13,A56),COUNTIFS('Conciliacion de compuestos'!$D$2:$D$13,"conciliado",'Conciliacion de compuestos'!$E$2:$E$13,"OK",'Conciliacion de compuestos'!$N$2:$N$13,A56),COUNTIFS('Conciliacion de compuestos'!$D$2:$D$13,"conciliado",'Conciliacion de compuestos'!$E$2:$E$13,"OK",'Conciliacion de compuestos'!$O$2:$O$13,A56))&gt;0,"conciliado","por revisar")</f>
        <v/>
      </c>
    </row>
    <row r="57">
      <c r="A57" s="11" t="n">
        <v>61</v>
      </c>
      <c r="B57" s="12" t="n">
        <v>46029</v>
      </c>
      <c r="C57" s="11" t="inlineStr">
        <is>
          <t>acosta jaiber rosero</t>
        </is>
      </c>
      <c r="D57" s="13" t="n">
        <v>120400</v>
      </c>
      <c r="E57" s="11">
        <f>IF(G57="conciliado","conciliado",I57)</f>
        <v/>
      </c>
      <c r="F57" s="11">
        <f>IF(SUM(COUNTIFS('Conciliacion de compuestos'!$D$2:$D$13,"conciliado",'Conciliacion de compuestos'!$E$2:$E$13,"OK",'Conciliacion de compuestos'!$M$2:$M$13,A57),COUNTIFS('Conciliacion de compuestos'!$D$2:$D$13,"conciliado",'Conciliacion de compuestos'!$E$2:$E$13,"OK",'Conciliacion de compuestos'!$N$2:$N$13,A57),COUNTIFS('Conciliacion de compuestos'!$D$2:$D$13,"conciliado",'Conciliacion de compuestos'!$E$2:$E$13,"OK",'Conciliacion de compuestos'!$O$2:$O$13,A57))&gt;0,IFERROR(TEXTJOIN(CHAR(10),TRUE,FILTER('Conciliacion de compuestos'!$A$2:$A$13,('Conciliacion de compuestos'!$D$2:$D$13="conciliado")*('Conciliacion de compuestos'!$E$2:$E$13="OK")*((('Conciliacion de compuestos'!$M$2:$M$13=A57)+('Conciliacion de compuestos'!$N$2:$N$13=A57)+('Conciliacion de compuestos'!$O$2:$O$13=A57))&gt;0))),""),"")</f>
        <v/>
      </c>
      <c r="G57" s="11">
        <f>IF(I57="conciliado","conciliado","por revisar")</f>
        <v/>
      </c>
      <c r="H57" s="11" t="inlineStr"/>
      <c r="I57" s="11">
        <f>IF(SUM(COUNTIFS('Conciliacion de compuestos'!$D$2:$D$13,"conciliado",'Conciliacion de compuestos'!$E$2:$E$13,"OK",'Conciliacion de compuestos'!$M$2:$M$13,A57),COUNTIFS('Conciliacion de compuestos'!$D$2:$D$13,"conciliado",'Conciliacion de compuestos'!$E$2:$E$13,"OK",'Conciliacion de compuestos'!$N$2:$N$13,A57),COUNTIFS('Conciliacion de compuestos'!$D$2:$D$13,"conciliado",'Conciliacion de compuestos'!$E$2:$E$13,"OK",'Conciliacion de compuestos'!$O$2:$O$13,A57))&gt;0,"conciliado","por revisar")</f>
        <v/>
      </c>
    </row>
    <row r="58">
      <c r="A58" s="11" t="n">
        <v>78</v>
      </c>
      <c r="B58" s="12" t="n">
        <v>46030</v>
      </c>
      <c r="C58" s="11" t="inlineStr">
        <is>
          <t>arenas bray melendez</t>
        </is>
      </c>
      <c r="D58" s="13" t="n">
        <v>38900</v>
      </c>
      <c r="E58" s="11">
        <f>IF(G58="conciliado","conciliado",I58)</f>
        <v/>
      </c>
      <c r="F58" s="11">
        <f>IF(SUM(COUNTIFS('Conciliacion de compuestos'!$D$2:$D$13,"conciliado",'Conciliacion de compuestos'!$E$2:$E$13,"OK",'Conciliacion de compuestos'!$M$2:$M$13,A58),COUNTIFS('Conciliacion de compuestos'!$D$2:$D$13,"conciliado",'Conciliacion de compuestos'!$E$2:$E$13,"OK",'Conciliacion de compuestos'!$N$2:$N$13,A58),COUNTIFS('Conciliacion de compuestos'!$D$2:$D$13,"conciliado",'Conciliacion de compuestos'!$E$2:$E$13,"OK",'Conciliacion de compuestos'!$O$2:$O$13,A58))&gt;0,IFERROR(TEXTJOIN(CHAR(10),TRUE,FILTER('Conciliacion de compuestos'!$A$2:$A$13,('Conciliacion de compuestos'!$D$2:$D$13="conciliado")*('Conciliacion de compuestos'!$E$2:$E$13="OK")*((('Conciliacion de compuestos'!$M$2:$M$13=A58)+('Conciliacion de compuestos'!$N$2:$N$13=A58)+('Conciliacion de compuestos'!$O$2:$O$13=A58))&gt;0))),""),"")</f>
        <v/>
      </c>
      <c r="G58" s="11">
        <f>IF(I58="conciliado","conciliado","por revisar")</f>
        <v/>
      </c>
      <c r="H58" s="11" t="inlineStr"/>
      <c r="I58" s="11">
        <f>IF(SUM(COUNTIFS('Conciliacion de compuestos'!$D$2:$D$13,"conciliado",'Conciliacion de compuestos'!$E$2:$E$13,"OK",'Conciliacion de compuestos'!$M$2:$M$13,A58),COUNTIFS('Conciliacion de compuestos'!$D$2:$D$13,"conciliado",'Conciliacion de compuestos'!$E$2:$E$13,"OK",'Conciliacion de compuestos'!$N$2:$N$13,A58),COUNTIFS('Conciliacion de compuestos'!$D$2:$D$13,"conciliado",'Conciliacion de compuestos'!$E$2:$E$13,"OK",'Conciliacion de compuestos'!$O$2:$O$13,A58))&gt;0,"conciliado","por revisar")</f>
        <v/>
      </c>
    </row>
    <row r="59">
      <c r="A59" s="11" t="n">
        <v>69</v>
      </c>
      <c r="B59" s="12" t="n">
        <v>46030</v>
      </c>
      <c r="C59" s="11" t="inlineStr">
        <is>
          <t>angulo benavides yad</t>
        </is>
      </c>
      <c r="D59" s="13" t="n">
        <v>46400</v>
      </c>
      <c r="E59" s="11">
        <f>IF(G59="conciliado","conciliado",I59)</f>
        <v/>
      </c>
      <c r="F59" s="11">
        <f>IF(SUM(COUNTIFS('Conciliacion de compuestos'!$D$2:$D$13,"conciliado",'Conciliacion de compuestos'!$E$2:$E$13,"OK",'Conciliacion de compuestos'!$M$2:$M$13,A59),COUNTIFS('Conciliacion de compuestos'!$D$2:$D$13,"conciliado",'Conciliacion de compuestos'!$E$2:$E$13,"OK",'Conciliacion de compuestos'!$N$2:$N$13,A59),COUNTIFS('Conciliacion de compuestos'!$D$2:$D$13,"conciliado",'Conciliacion de compuestos'!$E$2:$E$13,"OK",'Conciliacion de compuestos'!$O$2:$O$13,A59))&gt;0,IFERROR(TEXTJOIN(CHAR(10),TRUE,FILTER('Conciliacion de compuestos'!$A$2:$A$13,('Conciliacion de compuestos'!$D$2:$D$13="conciliado")*('Conciliacion de compuestos'!$E$2:$E$13="OK")*((('Conciliacion de compuestos'!$M$2:$M$13=A59)+('Conciliacion de compuestos'!$N$2:$N$13=A59)+('Conciliacion de compuestos'!$O$2:$O$13=A59))&gt;0))),""),"")</f>
        <v/>
      </c>
      <c r="G59" s="11">
        <f>IF(I59="conciliado","conciliado","por revisar")</f>
        <v/>
      </c>
      <c r="H59" s="11" t="inlineStr"/>
      <c r="I59" s="11">
        <f>IF(SUM(COUNTIFS('Conciliacion de compuestos'!$D$2:$D$13,"conciliado",'Conciliacion de compuestos'!$E$2:$E$13,"OK",'Conciliacion de compuestos'!$M$2:$M$13,A59),COUNTIFS('Conciliacion de compuestos'!$D$2:$D$13,"conciliado",'Conciliacion de compuestos'!$E$2:$E$13,"OK",'Conciliacion de compuestos'!$N$2:$N$13,A59),COUNTIFS('Conciliacion de compuestos'!$D$2:$D$13,"conciliado",'Conciliacion de compuestos'!$E$2:$E$13,"OK",'Conciliacion de compuestos'!$O$2:$O$13,A59))&gt;0,"conciliado","por revisar")</f>
        <v/>
      </c>
    </row>
    <row r="60">
      <c r="A60" s="11" t="n">
        <v>73</v>
      </c>
      <c r="B60" s="12" t="n">
        <v>46030</v>
      </c>
      <c r="C60" s="11" t="inlineStr">
        <is>
          <t>hurtado jhon noguera</t>
        </is>
      </c>
      <c r="D60" s="13" t="n">
        <v>63200</v>
      </c>
      <c r="E60" s="11">
        <f>IF(G60="conciliado","conciliado",I60)</f>
        <v/>
      </c>
      <c r="F60" s="11">
        <f>IF(SUM(COUNTIFS('Conciliacion de compuestos'!$D$2:$D$13,"conciliado",'Conciliacion de compuestos'!$E$2:$E$13,"OK",'Conciliacion de compuestos'!$M$2:$M$13,A60),COUNTIFS('Conciliacion de compuestos'!$D$2:$D$13,"conciliado",'Conciliacion de compuestos'!$E$2:$E$13,"OK",'Conciliacion de compuestos'!$N$2:$N$13,A60),COUNTIFS('Conciliacion de compuestos'!$D$2:$D$13,"conciliado",'Conciliacion de compuestos'!$E$2:$E$13,"OK",'Conciliacion de compuestos'!$O$2:$O$13,A60))&gt;0,IFERROR(TEXTJOIN(CHAR(10),TRUE,FILTER('Conciliacion de compuestos'!$A$2:$A$13,('Conciliacion de compuestos'!$D$2:$D$13="conciliado")*('Conciliacion de compuestos'!$E$2:$E$13="OK")*((('Conciliacion de compuestos'!$M$2:$M$13=A60)+('Conciliacion de compuestos'!$N$2:$N$13=A60)+('Conciliacion de compuestos'!$O$2:$O$13=A60))&gt;0))),""),"")</f>
        <v/>
      </c>
      <c r="G60" s="11">
        <f>IF(I60="conciliado","conciliado","por revisar")</f>
        <v/>
      </c>
      <c r="H60" s="11" t="inlineStr"/>
      <c r="I60" s="11">
        <f>IF(SUM(COUNTIFS('Conciliacion de compuestos'!$D$2:$D$13,"conciliado",'Conciliacion de compuestos'!$E$2:$E$13,"OK",'Conciliacion de compuestos'!$M$2:$M$13,A60),COUNTIFS('Conciliacion de compuestos'!$D$2:$D$13,"conciliado",'Conciliacion de compuestos'!$E$2:$E$13,"OK",'Conciliacion de compuestos'!$N$2:$N$13,A60),COUNTIFS('Conciliacion de compuestos'!$D$2:$D$13,"conciliado",'Conciliacion de compuestos'!$E$2:$E$13,"OK",'Conciliacion de compuestos'!$O$2:$O$13,A60))&gt;0,"conciliado","por revisar")</f>
        <v/>
      </c>
    </row>
    <row r="61">
      <c r="A61" s="11" t="n">
        <v>68</v>
      </c>
      <c r="B61" s="12" t="n">
        <v>46030</v>
      </c>
      <c r="C61" s="11" t="inlineStr">
        <is>
          <t>lemus martinez pasto</t>
        </is>
      </c>
      <c r="D61" s="13" t="n">
        <v>31070</v>
      </c>
      <c r="E61" s="11">
        <f>IF(G61="conciliado","conciliado",I61)</f>
        <v/>
      </c>
      <c r="F61" s="11">
        <f>IF(SUM(COUNTIFS('Conciliacion de compuestos'!$D$2:$D$13,"conciliado",'Conciliacion de compuestos'!$E$2:$E$13,"OK",'Conciliacion de compuestos'!$M$2:$M$13,A61),COUNTIFS('Conciliacion de compuestos'!$D$2:$D$13,"conciliado",'Conciliacion de compuestos'!$E$2:$E$13,"OK",'Conciliacion de compuestos'!$N$2:$N$13,A61),COUNTIFS('Conciliacion de compuestos'!$D$2:$D$13,"conciliado",'Conciliacion de compuestos'!$E$2:$E$13,"OK",'Conciliacion de compuestos'!$O$2:$O$13,A61))&gt;0,IFERROR(TEXTJOIN(CHAR(10),TRUE,FILTER('Conciliacion de compuestos'!$A$2:$A$13,('Conciliacion de compuestos'!$D$2:$D$13="conciliado")*('Conciliacion de compuestos'!$E$2:$E$13="OK")*((('Conciliacion de compuestos'!$M$2:$M$13=A61)+('Conciliacion de compuestos'!$N$2:$N$13=A61)+('Conciliacion de compuestos'!$O$2:$O$13=A61))&gt;0))),""),"")</f>
        <v/>
      </c>
      <c r="G61" s="11">
        <f>IF(I61="conciliado","conciliado","por revisar")</f>
        <v/>
      </c>
      <c r="H61" s="11" t="inlineStr"/>
      <c r="I61" s="11">
        <f>IF(SUM(COUNTIFS('Conciliacion de compuestos'!$D$2:$D$13,"conciliado",'Conciliacion de compuestos'!$E$2:$E$13,"OK",'Conciliacion de compuestos'!$M$2:$M$13,A61),COUNTIFS('Conciliacion de compuestos'!$D$2:$D$13,"conciliado",'Conciliacion de compuestos'!$E$2:$E$13,"OK",'Conciliacion de compuestos'!$N$2:$N$13,A61),COUNTIFS('Conciliacion de compuestos'!$D$2:$D$13,"conciliado",'Conciliacion de compuestos'!$E$2:$E$13,"OK",'Conciliacion de compuestos'!$O$2:$O$13,A61))&gt;0,"conciliado","por revisar")</f>
        <v/>
      </c>
    </row>
    <row r="62">
      <c r="A62" s="11" t="n">
        <v>72</v>
      </c>
      <c r="B62" s="12" t="n">
        <v>46030</v>
      </c>
      <c r="C62" s="11" t="inlineStr">
        <is>
          <t>anghel ceron villota</t>
        </is>
      </c>
      <c r="D62" s="13" t="n">
        <v>32300</v>
      </c>
      <c r="E62" s="11">
        <f>IF(G62="conciliado","conciliado",I62)</f>
        <v/>
      </c>
      <c r="F62" s="11">
        <f>IF(SUM(COUNTIFS('Conciliacion de compuestos'!$D$2:$D$13,"conciliado",'Conciliacion de compuestos'!$E$2:$E$13,"OK",'Conciliacion de compuestos'!$M$2:$M$13,A62),COUNTIFS('Conciliacion de compuestos'!$D$2:$D$13,"conciliado",'Conciliacion de compuestos'!$E$2:$E$13,"OK",'Conciliacion de compuestos'!$N$2:$N$13,A62),COUNTIFS('Conciliacion de compuestos'!$D$2:$D$13,"conciliado",'Conciliacion de compuestos'!$E$2:$E$13,"OK",'Conciliacion de compuestos'!$O$2:$O$13,A62))&gt;0,IFERROR(TEXTJOIN(CHAR(10),TRUE,FILTER('Conciliacion de compuestos'!$A$2:$A$13,('Conciliacion de compuestos'!$D$2:$D$13="conciliado")*('Conciliacion de compuestos'!$E$2:$E$13="OK")*((('Conciliacion de compuestos'!$M$2:$M$13=A62)+('Conciliacion de compuestos'!$N$2:$N$13=A62)+('Conciliacion de compuestos'!$O$2:$O$13=A62))&gt;0))),""),"")</f>
        <v/>
      </c>
      <c r="G62" s="11">
        <f>IF(I62="conciliado","conciliado","por revisar")</f>
        <v/>
      </c>
      <c r="H62" s="11" t="inlineStr"/>
      <c r="I62" s="11">
        <f>IF(SUM(COUNTIFS('Conciliacion de compuestos'!$D$2:$D$13,"conciliado",'Conciliacion de compuestos'!$E$2:$E$13,"OK",'Conciliacion de compuestos'!$M$2:$M$13,A62),COUNTIFS('Conciliacion de compuestos'!$D$2:$D$13,"conciliado",'Conciliacion de compuestos'!$E$2:$E$13,"OK",'Conciliacion de compuestos'!$N$2:$N$13,A62),COUNTIFS('Conciliacion de compuestos'!$D$2:$D$13,"conciliado",'Conciliacion de compuestos'!$E$2:$E$13,"OK",'Conciliacion de compuestos'!$O$2:$O$13,A62))&gt;0,"conciliado","por revisar")</f>
        <v/>
      </c>
    </row>
    <row r="63">
      <c r="A63" s="11" t="n">
        <v>79</v>
      </c>
      <c r="B63" s="12" t="n">
        <v>46030</v>
      </c>
      <c r="C63" s="11" t="inlineStr">
        <is>
          <t>dony norve pantoja</t>
        </is>
      </c>
      <c r="D63" s="13" t="n">
        <v>97875</v>
      </c>
      <c r="E63" s="11">
        <f>IF(G63="conciliado","conciliado",I63)</f>
        <v/>
      </c>
      <c r="F63" s="11">
        <f>IF(SUM(COUNTIFS('Conciliacion de compuestos'!$D$2:$D$13,"conciliado",'Conciliacion de compuestos'!$E$2:$E$13,"OK",'Conciliacion de compuestos'!$M$2:$M$13,A63),COUNTIFS('Conciliacion de compuestos'!$D$2:$D$13,"conciliado",'Conciliacion de compuestos'!$E$2:$E$13,"OK",'Conciliacion de compuestos'!$N$2:$N$13,A63),COUNTIFS('Conciliacion de compuestos'!$D$2:$D$13,"conciliado",'Conciliacion de compuestos'!$E$2:$E$13,"OK",'Conciliacion de compuestos'!$O$2:$O$13,A63))&gt;0,IFERROR(TEXTJOIN(CHAR(10),TRUE,FILTER('Conciliacion de compuestos'!$A$2:$A$13,('Conciliacion de compuestos'!$D$2:$D$13="conciliado")*('Conciliacion de compuestos'!$E$2:$E$13="OK")*((('Conciliacion de compuestos'!$M$2:$M$13=A63)+('Conciliacion de compuestos'!$N$2:$N$13=A63)+('Conciliacion de compuestos'!$O$2:$O$13=A63))&gt;0))),""),"")</f>
        <v/>
      </c>
      <c r="G63" s="11">
        <f>IF(I63="conciliado","conciliado","por revisar")</f>
        <v/>
      </c>
      <c r="H63" s="11" t="inlineStr"/>
      <c r="I63" s="11">
        <f>IF(SUM(COUNTIFS('Conciliacion de compuestos'!$D$2:$D$13,"conciliado",'Conciliacion de compuestos'!$E$2:$E$13,"OK",'Conciliacion de compuestos'!$M$2:$M$13,A63),COUNTIFS('Conciliacion de compuestos'!$D$2:$D$13,"conciliado",'Conciliacion de compuestos'!$E$2:$E$13,"OK",'Conciliacion de compuestos'!$N$2:$N$13,A63),COUNTIFS('Conciliacion de compuestos'!$D$2:$D$13,"conciliado",'Conciliacion de compuestos'!$E$2:$E$13,"OK",'Conciliacion de compuestos'!$O$2:$O$13,A63))&gt;0,"conciliado","por revisar")</f>
        <v/>
      </c>
    </row>
    <row r="64">
      <c r="A64" s="11" t="n">
        <v>74</v>
      </c>
      <c r="B64" s="12" t="n">
        <v>46030</v>
      </c>
      <c r="C64" s="11" t="inlineStr">
        <is>
          <t>integrales servicios</t>
        </is>
      </c>
      <c r="D64" s="13" t="n">
        <v>64000</v>
      </c>
      <c r="E64" s="11">
        <f>IF(G64="conciliado","conciliado",I64)</f>
        <v/>
      </c>
      <c r="F64" s="11">
        <f>IF(SUM(COUNTIFS('Conciliacion de compuestos'!$D$2:$D$13,"conciliado",'Conciliacion de compuestos'!$E$2:$E$13,"OK",'Conciliacion de compuestos'!$M$2:$M$13,A64),COUNTIFS('Conciliacion de compuestos'!$D$2:$D$13,"conciliado",'Conciliacion de compuestos'!$E$2:$E$13,"OK",'Conciliacion de compuestos'!$N$2:$N$13,A64),COUNTIFS('Conciliacion de compuestos'!$D$2:$D$13,"conciliado",'Conciliacion de compuestos'!$E$2:$E$13,"OK",'Conciliacion de compuestos'!$O$2:$O$13,A64))&gt;0,IFERROR(TEXTJOIN(CHAR(10),TRUE,FILTER('Conciliacion de compuestos'!$A$2:$A$13,('Conciliacion de compuestos'!$D$2:$D$13="conciliado")*('Conciliacion de compuestos'!$E$2:$E$13="OK")*((('Conciliacion de compuestos'!$M$2:$M$13=A64)+('Conciliacion de compuestos'!$N$2:$N$13=A64)+('Conciliacion de compuestos'!$O$2:$O$13=A64))&gt;0))),""),"")</f>
        <v/>
      </c>
      <c r="G64" s="11">
        <f>IF(I64="conciliado","conciliado","por revisar")</f>
        <v/>
      </c>
      <c r="H64" s="11" t="inlineStr"/>
      <c r="I64" s="11">
        <f>IF(SUM(COUNTIFS('Conciliacion de compuestos'!$D$2:$D$13,"conciliado",'Conciliacion de compuestos'!$E$2:$E$13,"OK",'Conciliacion de compuestos'!$M$2:$M$13,A64),COUNTIFS('Conciliacion de compuestos'!$D$2:$D$13,"conciliado",'Conciliacion de compuestos'!$E$2:$E$13,"OK",'Conciliacion de compuestos'!$N$2:$N$13,A64),COUNTIFS('Conciliacion de compuestos'!$D$2:$D$13,"conciliado",'Conciliacion de compuestos'!$E$2:$E$13,"OK",'Conciliacion de compuestos'!$O$2:$O$13,A64))&gt;0,"conciliado","por revisar")</f>
        <v/>
      </c>
    </row>
    <row r="65">
      <c r="A65" s="11" t="n">
        <v>70</v>
      </c>
      <c r="B65" s="12" t="n">
        <v>46030</v>
      </c>
      <c r="C65" s="11" t="inlineStr">
        <is>
          <t>au bastidas grijalba</t>
        </is>
      </c>
      <c r="D65" s="13" t="n">
        <v>61220</v>
      </c>
      <c r="E65" s="11">
        <f>IF(G65="conciliado","conciliado",I65)</f>
        <v/>
      </c>
      <c r="F65" s="11">
        <f>IF(SUM(COUNTIFS('Conciliacion de compuestos'!$D$2:$D$13,"conciliado",'Conciliacion de compuestos'!$E$2:$E$13,"OK",'Conciliacion de compuestos'!$M$2:$M$13,A65),COUNTIFS('Conciliacion de compuestos'!$D$2:$D$13,"conciliado",'Conciliacion de compuestos'!$E$2:$E$13,"OK",'Conciliacion de compuestos'!$N$2:$N$13,A65),COUNTIFS('Conciliacion de compuestos'!$D$2:$D$13,"conciliado",'Conciliacion de compuestos'!$E$2:$E$13,"OK",'Conciliacion de compuestos'!$O$2:$O$13,A65))&gt;0,IFERROR(TEXTJOIN(CHAR(10),TRUE,FILTER('Conciliacion de compuestos'!$A$2:$A$13,('Conciliacion de compuestos'!$D$2:$D$13="conciliado")*('Conciliacion de compuestos'!$E$2:$E$13="OK")*((('Conciliacion de compuestos'!$M$2:$M$13=A65)+('Conciliacion de compuestos'!$N$2:$N$13=A65)+('Conciliacion de compuestos'!$O$2:$O$13=A65))&gt;0))),""),"")</f>
        <v/>
      </c>
      <c r="G65" s="11">
        <f>IF(I65="conciliado","conciliado","por revisar")</f>
        <v/>
      </c>
      <c r="H65" s="11" t="inlineStr"/>
      <c r="I65" s="11">
        <f>IF(SUM(COUNTIFS('Conciliacion de compuestos'!$D$2:$D$13,"conciliado",'Conciliacion de compuestos'!$E$2:$E$13,"OK",'Conciliacion de compuestos'!$M$2:$M$13,A65),COUNTIFS('Conciliacion de compuestos'!$D$2:$D$13,"conciliado",'Conciliacion de compuestos'!$E$2:$E$13,"OK",'Conciliacion de compuestos'!$N$2:$N$13,A65),COUNTIFS('Conciliacion de compuestos'!$D$2:$D$13,"conciliado",'Conciliacion de compuestos'!$E$2:$E$13,"OK",'Conciliacion de compuestos'!$O$2:$O$13,A65))&gt;0,"conciliado","por revisar")</f>
        <v/>
      </c>
    </row>
    <row r="66">
      <c r="A66" s="11" t="n">
        <v>109</v>
      </c>
      <c r="B66" s="12" t="n">
        <v>46034</v>
      </c>
      <c r="C66" s="11" t="inlineStr">
        <is>
          <t>gallardo maril palma</t>
        </is>
      </c>
      <c r="D66" s="13" t="n">
        <v>103900</v>
      </c>
      <c r="E66" s="11">
        <f>IF(G66="conciliado","conciliado",I66)</f>
        <v/>
      </c>
      <c r="F66" s="11">
        <f>IF(SUM(COUNTIFS('Conciliacion de compuestos'!$D$2:$D$13,"conciliado",'Conciliacion de compuestos'!$E$2:$E$13,"OK",'Conciliacion de compuestos'!$M$2:$M$13,A66),COUNTIFS('Conciliacion de compuestos'!$D$2:$D$13,"conciliado",'Conciliacion de compuestos'!$E$2:$E$13,"OK",'Conciliacion de compuestos'!$N$2:$N$13,A66),COUNTIFS('Conciliacion de compuestos'!$D$2:$D$13,"conciliado",'Conciliacion de compuestos'!$E$2:$E$13,"OK",'Conciliacion de compuestos'!$O$2:$O$13,A66))&gt;0,IFERROR(TEXTJOIN(CHAR(10),TRUE,FILTER('Conciliacion de compuestos'!$A$2:$A$13,('Conciliacion de compuestos'!$D$2:$D$13="conciliado")*('Conciliacion de compuestos'!$E$2:$E$13="OK")*((('Conciliacion de compuestos'!$M$2:$M$13=A66)+('Conciliacion de compuestos'!$N$2:$N$13=A66)+('Conciliacion de compuestos'!$O$2:$O$13=A66))&gt;0))),""),"")</f>
        <v/>
      </c>
      <c r="G66" s="11">
        <f>IF(I66="conciliado","conciliado","por revisar")</f>
        <v/>
      </c>
      <c r="H66" s="11" t="inlineStr"/>
      <c r="I66" s="11">
        <f>IF(SUM(COUNTIFS('Conciliacion de compuestos'!$D$2:$D$13,"conciliado",'Conciliacion de compuestos'!$E$2:$E$13,"OK",'Conciliacion de compuestos'!$M$2:$M$13,A66),COUNTIFS('Conciliacion de compuestos'!$D$2:$D$13,"conciliado",'Conciliacion de compuestos'!$E$2:$E$13,"OK",'Conciliacion de compuestos'!$N$2:$N$13,A66),COUNTIFS('Conciliacion de compuestos'!$D$2:$D$13,"conciliado",'Conciliacion de compuestos'!$E$2:$E$13,"OK",'Conciliacion de compuestos'!$O$2:$O$13,A66))&gt;0,"conciliado","por revisar")</f>
        <v/>
      </c>
    </row>
    <row r="67">
      <c r="A67" s="11" t="n">
        <v>105</v>
      </c>
      <c r="B67" s="12" t="n">
        <v>46034</v>
      </c>
      <c r="C67" s="11" t="inlineStr">
        <is>
          <t>claudio eraso munoz</t>
        </is>
      </c>
      <c r="D67" s="13" t="n">
        <v>40700</v>
      </c>
      <c r="E67" s="11">
        <f>IF(G67="conciliado","conciliado",I67)</f>
        <v/>
      </c>
      <c r="F67" s="11">
        <f>IF(SUM(COUNTIFS('Conciliacion de compuestos'!$D$2:$D$13,"conciliado",'Conciliacion de compuestos'!$E$2:$E$13,"OK",'Conciliacion de compuestos'!$M$2:$M$13,A67),COUNTIFS('Conciliacion de compuestos'!$D$2:$D$13,"conciliado",'Conciliacion de compuestos'!$E$2:$E$13,"OK",'Conciliacion de compuestos'!$N$2:$N$13,A67),COUNTIFS('Conciliacion de compuestos'!$D$2:$D$13,"conciliado",'Conciliacion de compuestos'!$E$2:$E$13,"OK",'Conciliacion de compuestos'!$O$2:$O$13,A67))&gt;0,IFERROR(TEXTJOIN(CHAR(10),TRUE,FILTER('Conciliacion de compuestos'!$A$2:$A$13,('Conciliacion de compuestos'!$D$2:$D$13="conciliado")*('Conciliacion de compuestos'!$E$2:$E$13="OK")*((('Conciliacion de compuestos'!$M$2:$M$13=A67)+('Conciliacion de compuestos'!$N$2:$N$13=A67)+('Conciliacion de compuestos'!$O$2:$O$13=A67))&gt;0))),""),"")</f>
        <v/>
      </c>
      <c r="G67" s="11">
        <f>IF(I67="conciliado","conciliado","por revisar")</f>
        <v/>
      </c>
      <c r="H67" s="11" t="inlineStr"/>
      <c r="I67" s="11">
        <f>IF(SUM(COUNTIFS('Conciliacion de compuestos'!$D$2:$D$13,"conciliado",'Conciliacion de compuestos'!$E$2:$E$13,"OK",'Conciliacion de compuestos'!$M$2:$M$13,A67),COUNTIFS('Conciliacion de compuestos'!$D$2:$D$13,"conciliado",'Conciliacion de compuestos'!$E$2:$E$13,"OK",'Conciliacion de compuestos'!$N$2:$N$13,A67),COUNTIFS('Conciliacion de compuestos'!$D$2:$D$13,"conciliado",'Conciliacion de compuestos'!$E$2:$E$13,"OK",'Conciliacion de compuestos'!$O$2:$O$13,A67))&gt;0,"conciliado","por revisar")</f>
        <v/>
      </c>
    </row>
    <row r="68">
      <c r="A68" s="11" t="n">
        <v>122</v>
      </c>
      <c r="B68" s="12" t="n">
        <v>46035</v>
      </c>
      <c r="C68" s="11" t="inlineStr">
        <is>
          <t>ciro gonzalez santos</t>
        </is>
      </c>
      <c r="D68" s="13" t="n">
        <v>20000</v>
      </c>
      <c r="E68" s="11">
        <f>IF(G68="conciliado","conciliado",I68)</f>
        <v/>
      </c>
      <c r="F68" s="11" t="inlineStr">
        <is>
          <t>670 | 2026-01-13 | 20,000 | consignacion credibanco d e</t>
        </is>
      </c>
      <c r="G68" s="11">
        <f>IF(I68="conciliado","conciliado","por revisar")</f>
        <v/>
      </c>
      <c r="H68" s="11" t="inlineStr"/>
      <c r="I68" s="11" t="inlineStr">
        <is>
          <t>conciliado</t>
        </is>
      </c>
    </row>
    <row r="69">
      <c r="A69" s="11" t="n">
        <v>112</v>
      </c>
      <c r="B69" s="12" t="n">
        <v>46034</v>
      </c>
      <c r="C69" s="11" t="inlineStr">
        <is>
          <t>castaneda rodriguez</t>
        </is>
      </c>
      <c r="D69" s="13" t="n">
        <v>16800</v>
      </c>
      <c r="E69" s="11">
        <f>IF(G69="conciliado","conciliado",I69)</f>
        <v/>
      </c>
      <c r="F69" s="11">
        <f>IF(SUM(COUNTIFS('Conciliacion de compuestos'!$D$2:$D$13,"conciliado",'Conciliacion de compuestos'!$E$2:$E$13,"OK",'Conciliacion de compuestos'!$M$2:$M$13,A69),COUNTIFS('Conciliacion de compuestos'!$D$2:$D$13,"conciliado",'Conciliacion de compuestos'!$E$2:$E$13,"OK",'Conciliacion de compuestos'!$N$2:$N$13,A69),COUNTIFS('Conciliacion de compuestos'!$D$2:$D$13,"conciliado",'Conciliacion de compuestos'!$E$2:$E$13,"OK",'Conciliacion de compuestos'!$O$2:$O$13,A69))&gt;0,IFERROR(TEXTJOIN(CHAR(10),TRUE,FILTER('Conciliacion de compuestos'!$A$2:$A$13,('Conciliacion de compuestos'!$D$2:$D$13="conciliado")*('Conciliacion de compuestos'!$E$2:$E$13="OK")*((('Conciliacion de compuestos'!$M$2:$M$13=A69)+('Conciliacion de compuestos'!$N$2:$N$13=A69)+('Conciliacion de compuestos'!$O$2:$O$13=A69))&gt;0))),""),"")</f>
        <v/>
      </c>
      <c r="G69" s="11">
        <f>IF(I69="conciliado","conciliado","por revisar")</f>
        <v/>
      </c>
      <c r="H69" s="11" t="inlineStr"/>
      <c r="I69" s="11">
        <f>IF(SUM(COUNTIFS('Conciliacion de compuestos'!$D$2:$D$13,"conciliado",'Conciliacion de compuestos'!$E$2:$E$13,"OK",'Conciliacion de compuestos'!$M$2:$M$13,A69),COUNTIFS('Conciliacion de compuestos'!$D$2:$D$13,"conciliado",'Conciliacion de compuestos'!$E$2:$E$13,"OK",'Conciliacion de compuestos'!$N$2:$N$13,A69),COUNTIFS('Conciliacion de compuestos'!$D$2:$D$13,"conciliado",'Conciliacion de compuestos'!$E$2:$E$13,"OK",'Conciliacion de compuestos'!$O$2:$O$13,A69))&gt;0,"conciliado","por revisar")</f>
        <v/>
      </c>
    </row>
    <row r="70">
      <c r="A70" s="11" t="n">
        <v>104</v>
      </c>
      <c r="B70" s="12" t="n">
        <v>46034</v>
      </c>
      <c r="C70" s="11" t="inlineStr">
        <is>
          <t>anyela diaz meneses</t>
        </is>
      </c>
      <c r="D70" s="13" t="n">
        <v>23100</v>
      </c>
      <c r="E70" s="11">
        <f>IF(G70="conciliado","conciliado",I70)</f>
        <v/>
      </c>
      <c r="F70" s="11">
        <f>IF(SUM(COUNTIFS('Conciliacion de compuestos'!$D$2:$D$13,"conciliado",'Conciliacion de compuestos'!$E$2:$E$13,"OK",'Conciliacion de compuestos'!$M$2:$M$13,A70),COUNTIFS('Conciliacion de compuestos'!$D$2:$D$13,"conciliado",'Conciliacion de compuestos'!$E$2:$E$13,"OK",'Conciliacion de compuestos'!$N$2:$N$13,A70),COUNTIFS('Conciliacion de compuestos'!$D$2:$D$13,"conciliado",'Conciliacion de compuestos'!$E$2:$E$13,"OK",'Conciliacion de compuestos'!$O$2:$O$13,A70))&gt;0,IFERROR(TEXTJOIN(CHAR(10),TRUE,FILTER('Conciliacion de compuestos'!$A$2:$A$13,('Conciliacion de compuestos'!$D$2:$D$13="conciliado")*('Conciliacion de compuestos'!$E$2:$E$13="OK")*((('Conciliacion de compuestos'!$M$2:$M$13=A70)+('Conciliacion de compuestos'!$N$2:$N$13=A70)+('Conciliacion de compuestos'!$O$2:$O$13=A70))&gt;0))),""),"")</f>
        <v/>
      </c>
      <c r="G70" s="11">
        <f>IF(I70="conciliado","conciliado","por revisar")</f>
        <v/>
      </c>
      <c r="H70" s="11" t="inlineStr"/>
      <c r="I70" s="11">
        <f>IF(SUM(COUNTIFS('Conciliacion de compuestos'!$D$2:$D$13,"conciliado",'Conciliacion de compuestos'!$E$2:$E$13,"OK",'Conciliacion de compuestos'!$M$2:$M$13,A70),COUNTIFS('Conciliacion de compuestos'!$D$2:$D$13,"conciliado",'Conciliacion de compuestos'!$E$2:$E$13,"OK",'Conciliacion de compuestos'!$N$2:$N$13,A70),COUNTIFS('Conciliacion de compuestos'!$D$2:$D$13,"conciliado",'Conciliacion de compuestos'!$E$2:$E$13,"OK",'Conciliacion de compuestos'!$O$2:$O$13,A70))&gt;0,"conciliado","por revisar")</f>
        <v/>
      </c>
    </row>
    <row r="71">
      <c r="A71" s="11" t="n">
        <v>106</v>
      </c>
      <c r="B71" s="12" t="n">
        <v>46034</v>
      </c>
      <c r="C71" s="11" t="inlineStr">
        <is>
          <t>bastidas bolanos pao</t>
        </is>
      </c>
      <c r="D71" s="13" t="n">
        <v>24245</v>
      </c>
      <c r="E71" s="11">
        <f>IF(G71="conciliado","conciliado",I71)</f>
        <v/>
      </c>
      <c r="F71" s="11">
        <f>IF(SUM(COUNTIFS('Conciliacion de compuestos'!$D$2:$D$13,"conciliado",'Conciliacion de compuestos'!$E$2:$E$13,"OK",'Conciliacion de compuestos'!$M$2:$M$13,A71),COUNTIFS('Conciliacion de compuestos'!$D$2:$D$13,"conciliado",'Conciliacion de compuestos'!$E$2:$E$13,"OK",'Conciliacion de compuestos'!$N$2:$N$13,A71),COUNTIFS('Conciliacion de compuestos'!$D$2:$D$13,"conciliado",'Conciliacion de compuestos'!$E$2:$E$13,"OK",'Conciliacion de compuestos'!$O$2:$O$13,A71))&gt;0,IFERROR(TEXTJOIN(CHAR(10),TRUE,FILTER('Conciliacion de compuestos'!$A$2:$A$13,('Conciliacion de compuestos'!$D$2:$D$13="conciliado")*('Conciliacion de compuestos'!$E$2:$E$13="OK")*((('Conciliacion de compuestos'!$M$2:$M$13=A71)+('Conciliacion de compuestos'!$N$2:$N$13=A71)+('Conciliacion de compuestos'!$O$2:$O$13=A71))&gt;0))),""),"")</f>
        <v/>
      </c>
      <c r="G71" s="11">
        <f>IF(I71="conciliado","conciliado","por revisar")</f>
        <v/>
      </c>
      <c r="H71" s="11" t="inlineStr"/>
      <c r="I71" s="11">
        <f>IF(SUM(COUNTIFS('Conciliacion de compuestos'!$D$2:$D$13,"conciliado",'Conciliacion de compuestos'!$E$2:$E$13,"OK",'Conciliacion de compuestos'!$M$2:$M$13,A71),COUNTIFS('Conciliacion de compuestos'!$D$2:$D$13,"conciliado",'Conciliacion de compuestos'!$E$2:$E$13,"OK",'Conciliacion de compuestos'!$N$2:$N$13,A71),COUNTIFS('Conciliacion de compuestos'!$D$2:$D$13,"conciliado",'Conciliacion de compuestos'!$E$2:$E$13,"OK",'Conciliacion de compuestos'!$O$2:$O$13,A71))&gt;0,"conciliado","por revisar")</f>
        <v/>
      </c>
    </row>
    <row r="72">
      <c r="A72" s="11" t="n">
        <v>108</v>
      </c>
      <c r="B72" s="12" t="n">
        <v>46034</v>
      </c>
      <c r="C72" s="11" t="inlineStr">
        <is>
          <t>dayan florez l reyes</t>
        </is>
      </c>
      <c r="D72" s="13" t="n">
        <v>81400</v>
      </c>
      <c r="E72" s="11">
        <f>IF(G72="conciliado","conciliado",I72)</f>
        <v/>
      </c>
      <c r="F72" s="11">
        <f>IF(SUM(COUNTIFS('Conciliacion de compuestos'!$D$2:$D$13,"conciliado",'Conciliacion de compuestos'!$E$2:$E$13,"OK",'Conciliacion de compuestos'!$M$2:$M$13,A72),COUNTIFS('Conciliacion de compuestos'!$D$2:$D$13,"conciliado",'Conciliacion de compuestos'!$E$2:$E$13,"OK",'Conciliacion de compuestos'!$N$2:$N$13,A72),COUNTIFS('Conciliacion de compuestos'!$D$2:$D$13,"conciliado",'Conciliacion de compuestos'!$E$2:$E$13,"OK",'Conciliacion de compuestos'!$O$2:$O$13,A72))&gt;0,IFERROR(TEXTJOIN(CHAR(10),TRUE,FILTER('Conciliacion de compuestos'!$A$2:$A$13,('Conciliacion de compuestos'!$D$2:$D$13="conciliado")*('Conciliacion de compuestos'!$E$2:$E$13="OK")*((('Conciliacion de compuestos'!$M$2:$M$13=A72)+('Conciliacion de compuestos'!$N$2:$N$13=A72)+('Conciliacion de compuestos'!$O$2:$O$13=A72))&gt;0))),""),"")</f>
        <v/>
      </c>
      <c r="G72" s="11">
        <f>IF(I72="conciliado","conciliado","por revisar")</f>
        <v/>
      </c>
      <c r="H72" s="11" t="inlineStr"/>
      <c r="I72" s="11">
        <f>IF(SUM(COUNTIFS('Conciliacion de compuestos'!$D$2:$D$13,"conciliado",'Conciliacion de compuestos'!$E$2:$E$13,"OK",'Conciliacion de compuestos'!$M$2:$M$13,A72),COUNTIFS('Conciliacion de compuestos'!$D$2:$D$13,"conciliado",'Conciliacion de compuestos'!$E$2:$E$13,"OK",'Conciliacion de compuestos'!$N$2:$N$13,A72),COUNTIFS('Conciliacion de compuestos'!$D$2:$D$13,"conciliado",'Conciliacion de compuestos'!$E$2:$E$13,"OK",'Conciliacion de compuestos'!$O$2:$O$13,A72))&gt;0,"conciliado","por revisar")</f>
        <v/>
      </c>
    </row>
    <row r="73">
      <c r="A73" s="11" t="n">
        <v>110</v>
      </c>
      <c r="B73" s="12" t="n">
        <v>46034</v>
      </c>
      <c r="C73" s="11" t="inlineStr">
        <is>
          <t>al enriquez yaguapaz</t>
        </is>
      </c>
      <c r="D73" s="13" t="n">
        <v>35656</v>
      </c>
      <c r="E73" s="11">
        <f>IF(G73="conciliado","conciliado",I73)</f>
        <v/>
      </c>
      <c r="F73" s="11">
        <f>IF(SUM(COUNTIFS('Conciliacion de compuestos'!$D$2:$D$13,"conciliado",'Conciliacion de compuestos'!$E$2:$E$13,"OK",'Conciliacion de compuestos'!$M$2:$M$13,A73),COUNTIFS('Conciliacion de compuestos'!$D$2:$D$13,"conciliado",'Conciliacion de compuestos'!$E$2:$E$13,"OK",'Conciliacion de compuestos'!$N$2:$N$13,A73),COUNTIFS('Conciliacion de compuestos'!$D$2:$D$13,"conciliado",'Conciliacion de compuestos'!$E$2:$E$13,"OK",'Conciliacion de compuestos'!$O$2:$O$13,A73))&gt;0,IFERROR(TEXTJOIN(CHAR(10),TRUE,FILTER('Conciliacion de compuestos'!$A$2:$A$13,('Conciliacion de compuestos'!$D$2:$D$13="conciliado")*('Conciliacion de compuestos'!$E$2:$E$13="OK")*((('Conciliacion de compuestos'!$M$2:$M$13=A73)+('Conciliacion de compuestos'!$N$2:$N$13=A73)+('Conciliacion de compuestos'!$O$2:$O$13=A73))&gt;0))),""),"")</f>
        <v/>
      </c>
      <c r="G73" s="11">
        <f>IF(I73="conciliado","conciliado","por revisar")</f>
        <v/>
      </c>
      <c r="H73" s="11" t="inlineStr"/>
      <c r="I73" s="11">
        <f>IF(SUM(COUNTIFS('Conciliacion de compuestos'!$D$2:$D$13,"conciliado",'Conciliacion de compuestos'!$E$2:$E$13,"OK",'Conciliacion de compuestos'!$M$2:$M$13,A73),COUNTIFS('Conciliacion de compuestos'!$D$2:$D$13,"conciliado",'Conciliacion de compuestos'!$E$2:$E$13,"OK",'Conciliacion de compuestos'!$N$2:$N$13,A73),COUNTIFS('Conciliacion de compuestos'!$D$2:$D$13,"conciliado",'Conciliacion de compuestos'!$E$2:$E$13,"OK",'Conciliacion de compuestos'!$O$2:$O$13,A73))&gt;0,"conciliado","por revisar")</f>
        <v/>
      </c>
    </row>
    <row r="74">
      <c r="A74" s="11" t="n">
        <v>82</v>
      </c>
      <c r="B74" s="12" t="n">
        <v>46031</v>
      </c>
      <c r="C74" s="11" t="inlineStr">
        <is>
          <t>alba arango meza pat</t>
        </is>
      </c>
      <c r="D74" s="13" t="n">
        <v>124100</v>
      </c>
      <c r="E74" s="11">
        <f>IF(G74="conciliado","conciliado",I74)</f>
        <v/>
      </c>
      <c r="F74" s="11">
        <f>IF(SUM(COUNTIFS('Conciliacion de compuestos'!$D$2:$D$13,"conciliado",'Conciliacion de compuestos'!$E$2:$E$13,"OK",'Conciliacion de compuestos'!$M$2:$M$13,A74),COUNTIFS('Conciliacion de compuestos'!$D$2:$D$13,"conciliado",'Conciliacion de compuestos'!$E$2:$E$13,"OK",'Conciliacion de compuestos'!$N$2:$N$13,A74),COUNTIFS('Conciliacion de compuestos'!$D$2:$D$13,"conciliado",'Conciliacion de compuestos'!$E$2:$E$13,"OK",'Conciliacion de compuestos'!$O$2:$O$13,A74))&gt;0,IFERROR(TEXTJOIN(CHAR(10),TRUE,FILTER('Conciliacion de compuestos'!$A$2:$A$13,('Conciliacion de compuestos'!$D$2:$D$13="conciliado")*('Conciliacion de compuestos'!$E$2:$E$13="OK")*((('Conciliacion de compuestos'!$M$2:$M$13=A74)+('Conciliacion de compuestos'!$N$2:$N$13=A74)+('Conciliacion de compuestos'!$O$2:$O$13=A74))&gt;0))),""),"")</f>
        <v/>
      </c>
      <c r="G74" s="11">
        <f>IF(I74="conciliado","conciliado","por revisar")</f>
        <v/>
      </c>
      <c r="H74" s="11" t="inlineStr"/>
      <c r="I74" s="11">
        <f>IF(SUM(COUNTIFS('Conciliacion de compuestos'!$D$2:$D$13,"conciliado",'Conciliacion de compuestos'!$E$2:$E$13,"OK",'Conciliacion de compuestos'!$M$2:$M$13,A74),COUNTIFS('Conciliacion de compuestos'!$D$2:$D$13,"conciliado",'Conciliacion de compuestos'!$E$2:$E$13,"OK",'Conciliacion de compuestos'!$N$2:$N$13,A74),COUNTIFS('Conciliacion de compuestos'!$D$2:$D$13,"conciliado",'Conciliacion de compuestos'!$E$2:$E$13,"OK",'Conciliacion de compuestos'!$O$2:$O$13,A74))&gt;0,"conciliado","por revisar")</f>
        <v/>
      </c>
    </row>
    <row r="75">
      <c r="A75" s="11" t="n">
        <v>83</v>
      </c>
      <c r="B75" s="12" t="n">
        <v>46031</v>
      </c>
      <c r="C75" s="11" t="inlineStr">
        <is>
          <t>hoz la sanmiguel</t>
        </is>
      </c>
      <c r="D75" s="13" t="n">
        <v>44400</v>
      </c>
      <c r="E75" s="11">
        <f>IF(G75="conciliado","conciliado",I75)</f>
        <v/>
      </c>
      <c r="F75" s="11">
        <f>IF(SUM(COUNTIFS('Conciliacion de compuestos'!$D$2:$D$13,"conciliado",'Conciliacion de compuestos'!$E$2:$E$13,"OK",'Conciliacion de compuestos'!$M$2:$M$13,A75),COUNTIFS('Conciliacion de compuestos'!$D$2:$D$13,"conciliado",'Conciliacion de compuestos'!$E$2:$E$13,"OK",'Conciliacion de compuestos'!$N$2:$N$13,A75),COUNTIFS('Conciliacion de compuestos'!$D$2:$D$13,"conciliado",'Conciliacion de compuestos'!$E$2:$E$13,"OK",'Conciliacion de compuestos'!$O$2:$O$13,A75))&gt;0,IFERROR(TEXTJOIN(CHAR(10),TRUE,FILTER('Conciliacion de compuestos'!$A$2:$A$13,('Conciliacion de compuestos'!$D$2:$D$13="conciliado")*('Conciliacion de compuestos'!$E$2:$E$13="OK")*((('Conciliacion de compuestos'!$M$2:$M$13=A75)+('Conciliacion de compuestos'!$N$2:$N$13=A75)+('Conciliacion de compuestos'!$O$2:$O$13=A75))&gt;0))),""),"")</f>
        <v/>
      </c>
      <c r="G75" s="11">
        <f>IF(I75="conciliado","conciliado","por revisar")</f>
        <v/>
      </c>
      <c r="H75" s="11" t="inlineStr"/>
      <c r="I75" s="11">
        <f>IF(SUM(COUNTIFS('Conciliacion de compuestos'!$D$2:$D$13,"conciliado",'Conciliacion de compuestos'!$E$2:$E$13,"OK",'Conciliacion de compuestos'!$M$2:$M$13,A75),COUNTIFS('Conciliacion de compuestos'!$D$2:$D$13,"conciliado",'Conciliacion de compuestos'!$E$2:$E$13,"OK",'Conciliacion de compuestos'!$N$2:$N$13,A75),COUNTIFS('Conciliacion de compuestos'!$D$2:$D$13,"conciliado",'Conciliacion de compuestos'!$E$2:$E$13,"OK",'Conciliacion de compuestos'!$O$2:$O$13,A75))&gt;0,"conciliado","por revisar")</f>
        <v/>
      </c>
    </row>
    <row r="76">
      <c r="A76" s="11" t="n">
        <v>85</v>
      </c>
      <c r="B76" s="12" t="n">
        <v>46031</v>
      </c>
      <c r="C76" s="11" t="inlineStr">
        <is>
          <t>bl castano tuberquia</t>
        </is>
      </c>
      <c r="D76" s="13" t="n">
        <v>100200</v>
      </c>
      <c r="E76" s="11">
        <f>IF(G76="conciliado","conciliado",I76)</f>
        <v/>
      </c>
      <c r="F76" s="11">
        <f>IF(SUM(COUNTIFS('Conciliacion de compuestos'!$D$2:$D$13,"conciliado",'Conciliacion de compuestos'!$E$2:$E$13,"OK",'Conciliacion de compuestos'!$M$2:$M$13,A76),COUNTIFS('Conciliacion de compuestos'!$D$2:$D$13,"conciliado",'Conciliacion de compuestos'!$E$2:$E$13,"OK",'Conciliacion de compuestos'!$N$2:$N$13,A76),COUNTIFS('Conciliacion de compuestos'!$D$2:$D$13,"conciliado",'Conciliacion de compuestos'!$E$2:$E$13,"OK",'Conciliacion de compuestos'!$O$2:$O$13,A76))&gt;0,IFERROR(TEXTJOIN(CHAR(10),TRUE,FILTER('Conciliacion de compuestos'!$A$2:$A$13,('Conciliacion de compuestos'!$D$2:$D$13="conciliado")*('Conciliacion de compuestos'!$E$2:$E$13="OK")*((('Conciliacion de compuestos'!$M$2:$M$13=A76)+('Conciliacion de compuestos'!$N$2:$N$13=A76)+('Conciliacion de compuestos'!$O$2:$O$13=A76))&gt;0))),""),"")</f>
        <v/>
      </c>
      <c r="G76" s="11">
        <f>IF(I76="conciliado","conciliado","por revisar")</f>
        <v/>
      </c>
      <c r="H76" s="11" t="inlineStr"/>
      <c r="I76" s="11">
        <f>IF(SUM(COUNTIFS('Conciliacion de compuestos'!$D$2:$D$13,"conciliado",'Conciliacion de compuestos'!$E$2:$E$13,"OK",'Conciliacion de compuestos'!$M$2:$M$13,A76),COUNTIFS('Conciliacion de compuestos'!$D$2:$D$13,"conciliado",'Conciliacion de compuestos'!$E$2:$E$13,"OK",'Conciliacion de compuestos'!$N$2:$N$13,A76),COUNTIFS('Conciliacion de compuestos'!$D$2:$D$13,"conciliado",'Conciliacion de compuestos'!$E$2:$E$13,"OK",'Conciliacion de compuestos'!$O$2:$O$13,A76))&gt;0,"conciliado","por revisar")</f>
        <v/>
      </c>
    </row>
    <row r="77">
      <c r="A77" s="11" t="n">
        <v>90</v>
      </c>
      <c r="B77" s="12" t="n">
        <v>46032</v>
      </c>
      <c r="C77" s="11" t="inlineStr">
        <is>
          <t>arango mario meza</t>
        </is>
      </c>
      <c r="D77" s="13" t="n">
        <v>222700</v>
      </c>
      <c r="E77" s="11">
        <f>IF(G77="conciliado","conciliado",I77)</f>
        <v/>
      </c>
      <c r="F77" s="11">
        <f>IF(SUM(COUNTIFS('Conciliacion de compuestos'!$D$2:$D$13,"conciliado",'Conciliacion de compuestos'!$E$2:$E$13,"OK",'Conciliacion de compuestos'!$M$2:$M$13,A77),COUNTIFS('Conciliacion de compuestos'!$D$2:$D$13,"conciliado",'Conciliacion de compuestos'!$E$2:$E$13,"OK",'Conciliacion de compuestos'!$N$2:$N$13,A77),COUNTIFS('Conciliacion de compuestos'!$D$2:$D$13,"conciliado",'Conciliacion de compuestos'!$E$2:$E$13,"OK",'Conciliacion de compuestos'!$O$2:$O$13,A77))&gt;0,IFERROR(TEXTJOIN(CHAR(10),TRUE,FILTER('Conciliacion de compuestos'!$A$2:$A$13,('Conciliacion de compuestos'!$D$2:$D$13="conciliado")*('Conciliacion de compuestos'!$E$2:$E$13="OK")*((('Conciliacion de compuestos'!$M$2:$M$13=A77)+('Conciliacion de compuestos'!$N$2:$N$13=A77)+('Conciliacion de compuestos'!$O$2:$O$13=A77))&gt;0))),""),"")</f>
        <v/>
      </c>
      <c r="G77" s="11">
        <f>IF(I77="conciliado","conciliado","por revisar")</f>
        <v/>
      </c>
      <c r="H77" s="11" t="inlineStr"/>
      <c r="I77" s="11">
        <f>IF(SUM(COUNTIFS('Conciliacion de compuestos'!$D$2:$D$13,"conciliado",'Conciliacion de compuestos'!$E$2:$E$13,"OK",'Conciliacion de compuestos'!$M$2:$M$13,A77),COUNTIFS('Conciliacion de compuestos'!$D$2:$D$13,"conciliado",'Conciliacion de compuestos'!$E$2:$E$13,"OK",'Conciliacion de compuestos'!$N$2:$N$13,A77),COUNTIFS('Conciliacion de compuestos'!$D$2:$D$13,"conciliado",'Conciliacion de compuestos'!$E$2:$E$13,"OK",'Conciliacion de compuestos'!$O$2:$O$13,A77))&gt;0,"conciliado","por revisar")</f>
        <v/>
      </c>
    </row>
    <row r="78">
      <c r="A78" s="11" t="n">
        <v>96</v>
      </c>
      <c r="B78" s="12" t="n">
        <v>46032</v>
      </c>
      <c r="C78" s="11" t="inlineStr">
        <is>
          <t>maria prado salazar</t>
        </is>
      </c>
      <c r="D78" s="13" t="n">
        <v>83200</v>
      </c>
      <c r="E78" s="11">
        <f>IF(G78="conciliado","conciliado",I78)</f>
        <v/>
      </c>
      <c r="F78" s="11">
        <f>IF(SUM(COUNTIFS('Conciliacion de compuestos'!$D$2:$D$13,"conciliado",'Conciliacion de compuestos'!$E$2:$E$13,"OK",'Conciliacion de compuestos'!$M$2:$M$13,A78),COUNTIFS('Conciliacion de compuestos'!$D$2:$D$13,"conciliado",'Conciliacion de compuestos'!$E$2:$E$13,"OK",'Conciliacion de compuestos'!$N$2:$N$13,A78),COUNTIFS('Conciliacion de compuestos'!$D$2:$D$13,"conciliado",'Conciliacion de compuestos'!$E$2:$E$13,"OK",'Conciliacion de compuestos'!$O$2:$O$13,A78))&gt;0,IFERROR(TEXTJOIN(CHAR(10),TRUE,FILTER('Conciliacion de compuestos'!$A$2:$A$13,('Conciliacion de compuestos'!$D$2:$D$13="conciliado")*('Conciliacion de compuestos'!$E$2:$E$13="OK")*((('Conciliacion de compuestos'!$M$2:$M$13=A78)+('Conciliacion de compuestos'!$N$2:$N$13=A78)+('Conciliacion de compuestos'!$O$2:$O$13=A78))&gt;0))),""),"")</f>
        <v/>
      </c>
      <c r="G78" s="11">
        <f>IF(I78="conciliado","conciliado","por revisar")</f>
        <v/>
      </c>
      <c r="H78" s="11" t="inlineStr"/>
      <c r="I78" s="11">
        <f>IF(SUM(COUNTIFS('Conciliacion de compuestos'!$D$2:$D$13,"conciliado",'Conciliacion de compuestos'!$E$2:$E$13,"OK",'Conciliacion de compuestos'!$M$2:$M$13,A78),COUNTIFS('Conciliacion de compuestos'!$D$2:$D$13,"conciliado",'Conciliacion de compuestos'!$E$2:$E$13,"OK",'Conciliacion de compuestos'!$N$2:$N$13,A78),COUNTIFS('Conciliacion de compuestos'!$D$2:$D$13,"conciliado",'Conciliacion de compuestos'!$E$2:$E$13,"OK",'Conciliacion de compuestos'!$O$2:$O$13,A78))&gt;0,"conciliado","por revisar")</f>
        <v/>
      </c>
    </row>
    <row r="79">
      <c r="A79" s="11" t="n">
        <v>102</v>
      </c>
      <c r="B79" s="12" t="n">
        <v>46032</v>
      </c>
      <c r="C79" s="11" t="inlineStr">
        <is>
          <t>anggie mosquera</t>
        </is>
      </c>
      <c r="D79" s="13" t="n">
        <v>103100</v>
      </c>
      <c r="E79" s="11">
        <f>IF(G79="conciliado","conciliado",I79)</f>
        <v/>
      </c>
      <c r="F79" s="11">
        <f>IF(SUM(COUNTIFS('Conciliacion de compuestos'!$D$2:$D$13,"conciliado",'Conciliacion de compuestos'!$E$2:$E$13,"OK",'Conciliacion de compuestos'!$M$2:$M$13,A79),COUNTIFS('Conciliacion de compuestos'!$D$2:$D$13,"conciliado",'Conciliacion de compuestos'!$E$2:$E$13,"OK",'Conciliacion de compuestos'!$N$2:$N$13,A79),COUNTIFS('Conciliacion de compuestos'!$D$2:$D$13,"conciliado",'Conciliacion de compuestos'!$E$2:$E$13,"OK",'Conciliacion de compuestos'!$O$2:$O$13,A79))&gt;0,IFERROR(TEXTJOIN(CHAR(10),TRUE,FILTER('Conciliacion de compuestos'!$A$2:$A$13,('Conciliacion de compuestos'!$D$2:$D$13="conciliado")*('Conciliacion de compuestos'!$E$2:$E$13="OK")*((('Conciliacion de compuestos'!$M$2:$M$13=A79)+('Conciliacion de compuestos'!$N$2:$N$13=A79)+('Conciliacion de compuestos'!$O$2:$O$13=A79))&gt;0))),""),"")</f>
        <v/>
      </c>
      <c r="G79" s="11">
        <f>IF(I79="conciliado","conciliado","por revisar")</f>
        <v/>
      </c>
      <c r="H79" s="11" t="inlineStr"/>
      <c r="I79" s="11">
        <f>IF(SUM(COUNTIFS('Conciliacion de compuestos'!$D$2:$D$13,"conciliado",'Conciliacion de compuestos'!$E$2:$E$13,"OK",'Conciliacion de compuestos'!$M$2:$M$13,A79),COUNTIFS('Conciliacion de compuestos'!$D$2:$D$13,"conciliado",'Conciliacion de compuestos'!$E$2:$E$13,"OK",'Conciliacion de compuestos'!$N$2:$N$13,A79),COUNTIFS('Conciliacion de compuestos'!$D$2:$D$13,"conciliado",'Conciliacion de compuestos'!$E$2:$E$13,"OK",'Conciliacion de compuestos'!$O$2:$O$13,A79))&gt;0,"conciliado","por revisar")</f>
        <v/>
      </c>
    </row>
    <row r="80">
      <c r="A80" s="11" t="n">
        <v>97</v>
      </c>
      <c r="B80" s="12" t="n">
        <v>46032</v>
      </c>
      <c r="C80" s="11" t="inlineStr">
        <is>
          <t>leon r sandra zamora</t>
        </is>
      </c>
      <c r="D80" s="13" t="n">
        <v>475100</v>
      </c>
      <c r="E80" s="11">
        <f>IF(G80="conciliado","conciliado",I80)</f>
        <v/>
      </c>
      <c r="F80" s="11">
        <f>IF(SUM(COUNTIFS('Conciliacion de compuestos'!$D$2:$D$13,"conciliado",'Conciliacion de compuestos'!$E$2:$E$13,"OK",'Conciliacion de compuestos'!$M$2:$M$13,A80),COUNTIFS('Conciliacion de compuestos'!$D$2:$D$13,"conciliado",'Conciliacion de compuestos'!$E$2:$E$13,"OK",'Conciliacion de compuestos'!$N$2:$N$13,A80),COUNTIFS('Conciliacion de compuestos'!$D$2:$D$13,"conciliado",'Conciliacion de compuestos'!$E$2:$E$13,"OK",'Conciliacion de compuestos'!$O$2:$O$13,A80))&gt;0,IFERROR(TEXTJOIN(CHAR(10),TRUE,FILTER('Conciliacion de compuestos'!$A$2:$A$13,('Conciliacion de compuestos'!$D$2:$D$13="conciliado")*('Conciliacion de compuestos'!$E$2:$E$13="OK")*((('Conciliacion de compuestos'!$M$2:$M$13=A80)+('Conciliacion de compuestos'!$N$2:$N$13=A80)+('Conciliacion de compuestos'!$O$2:$O$13=A80))&gt;0))),""),"")</f>
        <v/>
      </c>
      <c r="G80" s="11">
        <f>IF(I80="conciliado","conciliado","por revisar")</f>
        <v/>
      </c>
      <c r="H80" s="11" t="inlineStr"/>
      <c r="I80" s="11">
        <f>IF(SUM(COUNTIFS('Conciliacion de compuestos'!$D$2:$D$13,"conciliado",'Conciliacion de compuestos'!$E$2:$E$13,"OK",'Conciliacion de compuestos'!$M$2:$M$13,A80),COUNTIFS('Conciliacion de compuestos'!$D$2:$D$13,"conciliado",'Conciliacion de compuestos'!$E$2:$E$13,"OK",'Conciliacion de compuestos'!$N$2:$N$13,A80),COUNTIFS('Conciliacion de compuestos'!$D$2:$D$13,"conciliado",'Conciliacion de compuestos'!$E$2:$E$13,"OK",'Conciliacion de compuestos'!$O$2:$O$13,A80))&gt;0,"conciliado","por revisar")</f>
        <v/>
      </c>
    </row>
    <row r="81">
      <c r="A81" s="11" t="n">
        <v>92</v>
      </c>
      <c r="B81" s="12" t="n">
        <v>46032</v>
      </c>
      <c r="C81" s="11" t="inlineStr">
        <is>
          <t>fernan salazar silva</t>
        </is>
      </c>
      <c r="D81" s="13" t="n">
        <v>32400</v>
      </c>
      <c r="E81" s="11">
        <f>IF(G81="conciliado","conciliado",I81)</f>
        <v/>
      </c>
      <c r="F81" s="11">
        <f>IF(SUM(COUNTIFS('Conciliacion de compuestos'!$D$2:$D$13,"conciliado",'Conciliacion de compuestos'!$E$2:$E$13,"OK",'Conciliacion de compuestos'!$M$2:$M$13,A81),COUNTIFS('Conciliacion de compuestos'!$D$2:$D$13,"conciliado",'Conciliacion de compuestos'!$E$2:$E$13,"OK",'Conciliacion de compuestos'!$N$2:$N$13,A81),COUNTIFS('Conciliacion de compuestos'!$D$2:$D$13,"conciliado",'Conciliacion de compuestos'!$E$2:$E$13,"OK",'Conciliacion de compuestos'!$O$2:$O$13,A81))&gt;0,IFERROR(TEXTJOIN(CHAR(10),TRUE,FILTER('Conciliacion de compuestos'!$A$2:$A$13,('Conciliacion de compuestos'!$D$2:$D$13="conciliado")*('Conciliacion de compuestos'!$E$2:$E$13="OK")*((('Conciliacion de compuestos'!$M$2:$M$13=A81)+('Conciliacion de compuestos'!$N$2:$N$13=A81)+('Conciliacion de compuestos'!$O$2:$O$13=A81))&gt;0))),""),"")</f>
        <v/>
      </c>
      <c r="G81" s="11">
        <f>IF(I81="conciliado","conciliado","por revisar")</f>
        <v/>
      </c>
      <c r="H81" s="11" t="inlineStr"/>
      <c r="I81" s="11">
        <f>IF(SUM(COUNTIFS('Conciliacion de compuestos'!$D$2:$D$13,"conciliado",'Conciliacion de compuestos'!$E$2:$E$13,"OK",'Conciliacion de compuestos'!$M$2:$M$13,A81),COUNTIFS('Conciliacion de compuestos'!$D$2:$D$13,"conciliado",'Conciliacion de compuestos'!$E$2:$E$13,"OK",'Conciliacion de compuestos'!$N$2:$N$13,A81),COUNTIFS('Conciliacion de compuestos'!$D$2:$D$13,"conciliado",'Conciliacion de compuestos'!$E$2:$E$13,"OK",'Conciliacion de compuestos'!$O$2:$O$13,A81))&gt;0,"conciliado","por revisar")</f>
        <v/>
      </c>
    </row>
    <row r="82">
      <c r="A82" s="11" t="n">
        <v>95</v>
      </c>
      <c r="B82" s="12" t="n">
        <v>46032</v>
      </c>
      <c r="C82" s="11" t="inlineStr">
        <is>
          <t>consumidor final</t>
        </is>
      </c>
      <c r="D82" s="13" t="n">
        <v>47200</v>
      </c>
      <c r="E82" s="11">
        <f>IF(G82="conciliado","conciliado",I82)</f>
        <v/>
      </c>
      <c r="F82" s="11">
        <f>IF(SUM(COUNTIFS('Conciliacion de compuestos'!$D$2:$D$13,"conciliado",'Conciliacion de compuestos'!$E$2:$E$13,"OK",'Conciliacion de compuestos'!$M$2:$M$13,A82),COUNTIFS('Conciliacion de compuestos'!$D$2:$D$13,"conciliado",'Conciliacion de compuestos'!$E$2:$E$13,"OK",'Conciliacion de compuestos'!$N$2:$N$13,A82),COUNTIFS('Conciliacion de compuestos'!$D$2:$D$13,"conciliado",'Conciliacion de compuestos'!$E$2:$E$13,"OK",'Conciliacion de compuestos'!$O$2:$O$13,A82))&gt;0,IFERROR(TEXTJOIN(CHAR(10),TRUE,FILTER('Conciliacion de compuestos'!$A$2:$A$13,('Conciliacion de compuestos'!$D$2:$D$13="conciliado")*('Conciliacion de compuestos'!$E$2:$E$13="OK")*((('Conciliacion de compuestos'!$M$2:$M$13=A82)+('Conciliacion de compuestos'!$N$2:$N$13=A82)+('Conciliacion de compuestos'!$O$2:$O$13=A82))&gt;0))),""),"")</f>
        <v/>
      </c>
      <c r="G82" s="11">
        <f>IF(I82="conciliado","conciliado","por revisar")</f>
        <v/>
      </c>
      <c r="H82" s="11" t="inlineStr"/>
      <c r="I82" s="11">
        <f>IF(SUM(COUNTIFS('Conciliacion de compuestos'!$D$2:$D$13,"conciliado",'Conciliacion de compuestos'!$E$2:$E$13,"OK",'Conciliacion de compuestos'!$M$2:$M$13,A82),COUNTIFS('Conciliacion de compuestos'!$D$2:$D$13,"conciliado",'Conciliacion de compuestos'!$E$2:$E$13,"OK",'Conciliacion de compuestos'!$N$2:$N$13,A82),COUNTIFS('Conciliacion de compuestos'!$D$2:$D$13,"conciliado",'Conciliacion de compuestos'!$E$2:$E$13,"OK",'Conciliacion de compuestos'!$O$2:$O$13,A82))&gt;0,"conciliado","por revisar")</f>
        <v/>
      </c>
    </row>
    <row r="83">
      <c r="A83" s="11" t="n">
        <v>88</v>
      </c>
      <c r="B83" s="12" t="n">
        <v>46031</v>
      </c>
      <c r="C83" s="11" t="inlineStr">
        <is>
          <t>campana cuartas d</t>
        </is>
      </c>
      <c r="D83" s="13" t="n">
        <v>27900</v>
      </c>
      <c r="E83" s="11">
        <f>IF(G83="conciliado","conciliado",I83)</f>
        <v/>
      </c>
      <c r="F83" s="11">
        <f>IF(SUM(COUNTIFS('Conciliacion de compuestos'!$D$2:$D$13,"conciliado",'Conciliacion de compuestos'!$E$2:$E$13,"OK",'Conciliacion de compuestos'!$M$2:$M$13,A83),COUNTIFS('Conciliacion de compuestos'!$D$2:$D$13,"conciliado",'Conciliacion de compuestos'!$E$2:$E$13,"OK",'Conciliacion de compuestos'!$N$2:$N$13,A83),COUNTIFS('Conciliacion de compuestos'!$D$2:$D$13,"conciliado",'Conciliacion de compuestos'!$E$2:$E$13,"OK",'Conciliacion de compuestos'!$O$2:$O$13,A83))&gt;0,IFERROR(TEXTJOIN(CHAR(10),TRUE,FILTER('Conciliacion de compuestos'!$A$2:$A$13,('Conciliacion de compuestos'!$D$2:$D$13="conciliado")*('Conciliacion de compuestos'!$E$2:$E$13="OK")*((('Conciliacion de compuestos'!$M$2:$M$13=A83)+('Conciliacion de compuestos'!$N$2:$N$13=A83)+('Conciliacion de compuestos'!$O$2:$O$13=A83))&gt;0))),""),"")</f>
        <v/>
      </c>
      <c r="G83" s="11">
        <f>IF(I83="conciliado","conciliado","por revisar")</f>
        <v/>
      </c>
      <c r="H83" s="11" t="inlineStr"/>
      <c r="I83" s="11">
        <f>IF(SUM(COUNTIFS('Conciliacion de compuestos'!$D$2:$D$13,"conciliado",'Conciliacion de compuestos'!$E$2:$E$13,"OK",'Conciliacion de compuestos'!$M$2:$M$13,A83),COUNTIFS('Conciliacion de compuestos'!$D$2:$D$13,"conciliado",'Conciliacion de compuestos'!$E$2:$E$13,"OK",'Conciliacion de compuestos'!$N$2:$N$13,A83),COUNTIFS('Conciliacion de compuestos'!$D$2:$D$13,"conciliado",'Conciliacion de compuestos'!$E$2:$E$13,"OK",'Conciliacion de compuestos'!$O$2:$O$13,A83))&gt;0,"conciliado","por revisar")</f>
        <v/>
      </c>
    </row>
    <row r="84">
      <c r="A84" s="11" t="n">
        <v>99</v>
      </c>
      <c r="B84" s="12" t="n">
        <v>46032</v>
      </c>
      <c r="C84" s="11" t="inlineStr">
        <is>
          <t>alexa garcia varela</t>
        </is>
      </c>
      <c r="D84" s="13" t="n">
        <v>141450</v>
      </c>
      <c r="E84" s="11">
        <f>IF(G84="conciliado","conciliado",I84)</f>
        <v/>
      </c>
      <c r="F84" s="11">
        <f>IF(SUM(COUNTIFS('Conciliacion de compuestos'!$D$2:$D$13,"conciliado",'Conciliacion de compuestos'!$E$2:$E$13,"OK",'Conciliacion de compuestos'!$M$2:$M$13,A84),COUNTIFS('Conciliacion de compuestos'!$D$2:$D$13,"conciliado",'Conciliacion de compuestos'!$E$2:$E$13,"OK",'Conciliacion de compuestos'!$N$2:$N$13,A84),COUNTIFS('Conciliacion de compuestos'!$D$2:$D$13,"conciliado",'Conciliacion de compuestos'!$E$2:$E$13,"OK",'Conciliacion de compuestos'!$O$2:$O$13,A84))&gt;0,IFERROR(TEXTJOIN(CHAR(10),TRUE,FILTER('Conciliacion de compuestos'!$A$2:$A$13,('Conciliacion de compuestos'!$D$2:$D$13="conciliado")*('Conciliacion de compuestos'!$E$2:$E$13="OK")*((('Conciliacion de compuestos'!$M$2:$M$13=A84)+('Conciliacion de compuestos'!$N$2:$N$13=A84)+('Conciliacion de compuestos'!$O$2:$O$13=A84))&gt;0))),""),"")</f>
        <v/>
      </c>
      <c r="G84" s="11">
        <f>IF(I84="conciliado","conciliado","por revisar")</f>
        <v/>
      </c>
      <c r="H84" s="11" t="inlineStr"/>
      <c r="I84" s="11">
        <f>IF(SUM(COUNTIFS('Conciliacion de compuestos'!$D$2:$D$13,"conciliado",'Conciliacion de compuestos'!$E$2:$E$13,"OK",'Conciliacion de compuestos'!$M$2:$M$13,A84),COUNTIFS('Conciliacion de compuestos'!$D$2:$D$13,"conciliado",'Conciliacion de compuestos'!$E$2:$E$13,"OK",'Conciliacion de compuestos'!$N$2:$N$13,A84),COUNTIFS('Conciliacion de compuestos'!$D$2:$D$13,"conciliado",'Conciliacion de compuestos'!$E$2:$E$13,"OK",'Conciliacion de compuestos'!$O$2:$O$13,A84))&gt;0,"conciliado","por revisar")</f>
        <v/>
      </c>
    </row>
    <row r="85">
      <c r="A85" s="11" t="n">
        <v>89</v>
      </c>
      <c r="B85" s="12" t="n">
        <v>46032</v>
      </c>
      <c r="C85" s="11" t="inlineStr">
        <is>
          <t>cagua garcia venanci</t>
        </is>
      </c>
      <c r="D85" s="13" t="n">
        <v>92200</v>
      </c>
      <c r="E85" s="11">
        <f>IF(G85="conciliado","conciliado",I85)</f>
        <v/>
      </c>
      <c r="F85" s="11">
        <f>IF(SUM(COUNTIFS('Conciliacion de compuestos'!$D$2:$D$13,"conciliado",'Conciliacion de compuestos'!$E$2:$E$13,"OK",'Conciliacion de compuestos'!$M$2:$M$13,A85),COUNTIFS('Conciliacion de compuestos'!$D$2:$D$13,"conciliado",'Conciliacion de compuestos'!$E$2:$E$13,"OK",'Conciliacion de compuestos'!$N$2:$N$13,A85),COUNTIFS('Conciliacion de compuestos'!$D$2:$D$13,"conciliado",'Conciliacion de compuestos'!$E$2:$E$13,"OK",'Conciliacion de compuestos'!$O$2:$O$13,A85))&gt;0,IFERROR(TEXTJOIN(CHAR(10),TRUE,FILTER('Conciliacion de compuestos'!$A$2:$A$13,('Conciliacion de compuestos'!$D$2:$D$13="conciliado")*('Conciliacion de compuestos'!$E$2:$E$13="OK")*((('Conciliacion de compuestos'!$M$2:$M$13=A85)+('Conciliacion de compuestos'!$N$2:$N$13=A85)+('Conciliacion de compuestos'!$O$2:$O$13=A85))&gt;0))),""),"")</f>
        <v/>
      </c>
      <c r="G85" s="11">
        <f>IF(I85="conciliado","conciliado","por revisar")</f>
        <v/>
      </c>
      <c r="H85" s="11" t="inlineStr"/>
      <c r="I85" s="11">
        <f>IF(SUM(COUNTIFS('Conciliacion de compuestos'!$D$2:$D$13,"conciliado",'Conciliacion de compuestos'!$E$2:$E$13,"OK",'Conciliacion de compuestos'!$M$2:$M$13,A85),COUNTIFS('Conciliacion de compuestos'!$D$2:$D$13,"conciliado",'Conciliacion de compuestos'!$E$2:$E$13,"OK",'Conciliacion de compuestos'!$N$2:$N$13,A85),COUNTIFS('Conciliacion de compuestos'!$D$2:$D$13,"conciliado",'Conciliacion de compuestos'!$E$2:$E$13,"OK",'Conciliacion de compuestos'!$O$2:$O$13,A85))&gt;0,"conciliado","por revisar")</f>
        <v/>
      </c>
    </row>
    <row r="86">
      <c r="A86" s="11" t="n">
        <v>93</v>
      </c>
      <c r="B86" s="12" t="n">
        <v>46032</v>
      </c>
      <c r="C86" s="11" t="inlineStr">
        <is>
          <t>her hugo lasso otaya</t>
        </is>
      </c>
      <c r="D86" s="13" t="n">
        <v>109700</v>
      </c>
      <c r="E86" s="11">
        <f>IF(G86="conciliado","conciliado",I86)</f>
        <v/>
      </c>
      <c r="F86" s="11">
        <f>IF(SUM(COUNTIFS('Conciliacion de compuestos'!$D$2:$D$13,"conciliado",'Conciliacion de compuestos'!$E$2:$E$13,"OK",'Conciliacion de compuestos'!$M$2:$M$13,A86),COUNTIFS('Conciliacion de compuestos'!$D$2:$D$13,"conciliado",'Conciliacion de compuestos'!$E$2:$E$13,"OK",'Conciliacion de compuestos'!$N$2:$N$13,A86),COUNTIFS('Conciliacion de compuestos'!$D$2:$D$13,"conciliado",'Conciliacion de compuestos'!$E$2:$E$13,"OK",'Conciliacion de compuestos'!$O$2:$O$13,A86))&gt;0,IFERROR(TEXTJOIN(CHAR(10),TRUE,FILTER('Conciliacion de compuestos'!$A$2:$A$13,('Conciliacion de compuestos'!$D$2:$D$13="conciliado")*('Conciliacion de compuestos'!$E$2:$E$13="OK")*((('Conciliacion de compuestos'!$M$2:$M$13=A86)+('Conciliacion de compuestos'!$N$2:$N$13=A86)+('Conciliacion de compuestos'!$O$2:$O$13=A86))&gt;0))),""),"")</f>
        <v/>
      </c>
      <c r="G86" s="11">
        <f>IF(I86="conciliado","conciliado","por revisar")</f>
        <v/>
      </c>
      <c r="H86" s="11" t="inlineStr"/>
      <c r="I86" s="11">
        <f>IF(SUM(COUNTIFS('Conciliacion de compuestos'!$D$2:$D$13,"conciliado",'Conciliacion de compuestos'!$E$2:$E$13,"OK",'Conciliacion de compuestos'!$M$2:$M$13,A86),COUNTIFS('Conciliacion de compuestos'!$D$2:$D$13,"conciliado",'Conciliacion de compuestos'!$E$2:$E$13,"OK",'Conciliacion de compuestos'!$N$2:$N$13,A86),COUNTIFS('Conciliacion de compuestos'!$D$2:$D$13,"conciliado",'Conciliacion de compuestos'!$E$2:$E$13,"OK",'Conciliacion de compuestos'!$O$2:$O$13,A86))&gt;0,"conciliado","por revisar")</f>
        <v/>
      </c>
    </row>
    <row r="87">
      <c r="A87" s="11" t="n">
        <v>91</v>
      </c>
      <c r="B87" s="12" t="n">
        <v>46032</v>
      </c>
      <c r="C87" s="11" t="inlineStr">
        <is>
          <t>arias fabia portilla</t>
        </is>
      </c>
      <c r="D87" s="13" t="n">
        <v>91500</v>
      </c>
      <c r="E87" s="11">
        <f>IF(G87="conciliado","conciliado",I87)</f>
        <v/>
      </c>
      <c r="F87" s="11">
        <f>IF(SUM(COUNTIFS('Conciliacion de compuestos'!$D$2:$D$13,"conciliado",'Conciliacion de compuestos'!$E$2:$E$13,"OK",'Conciliacion de compuestos'!$M$2:$M$13,A87),COUNTIFS('Conciliacion de compuestos'!$D$2:$D$13,"conciliado",'Conciliacion de compuestos'!$E$2:$E$13,"OK",'Conciliacion de compuestos'!$N$2:$N$13,A87),COUNTIFS('Conciliacion de compuestos'!$D$2:$D$13,"conciliado",'Conciliacion de compuestos'!$E$2:$E$13,"OK",'Conciliacion de compuestos'!$O$2:$O$13,A87))&gt;0,IFERROR(TEXTJOIN(CHAR(10),TRUE,FILTER('Conciliacion de compuestos'!$A$2:$A$13,('Conciliacion de compuestos'!$D$2:$D$13="conciliado")*('Conciliacion de compuestos'!$E$2:$E$13="OK")*((('Conciliacion de compuestos'!$M$2:$M$13=A87)+('Conciliacion de compuestos'!$N$2:$N$13=A87)+('Conciliacion de compuestos'!$O$2:$O$13=A87))&gt;0))),""),"")</f>
        <v/>
      </c>
      <c r="G87" s="11">
        <f>IF(I87="conciliado","conciliado","por revisar")</f>
        <v/>
      </c>
      <c r="H87" s="11" t="inlineStr"/>
      <c r="I87" s="11">
        <f>IF(SUM(COUNTIFS('Conciliacion de compuestos'!$D$2:$D$13,"conciliado",'Conciliacion de compuestos'!$E$2:$E$13,"OK",'Conciliacion de compuestos'!$M$2:$M$13,A87),COUNTIFS('Conciliacion de compuestos'!$D$2:$D$13,"conciliado",'Conciliacion de compuestos'!$E$2:$E$13,"OK",'Conciliacion de compuestos'!$N$2:$N$13,A87),COUNTIFS('Conciliacion de compuestos'!$D$2:$D$13,"conciliado",'Conciliacion de compuestos'!$E$2:$E$13,"OK",'Conciliacion de compuestos'!$O$2:$O$13,A87))&gt;0,"conciliado","por revisar")</f>
        <v/>
      </c>
    </row>
    <row r="88">
      <c r="A88" s="11" t="n">
        <v>136</v>
      </c>
      <c r="B88" s="12" t="n">
        <v>46036</v>
      </c>
      <c r="C88" s="11" t="inlineStr">
        <is>
          <t>fran guanga omar pai</t>
        </is>
      </c>
      <c r="D88" s="13" t="n">
        <v>20000</v>
      </c>
      <c r="E88" s="11">
        <f>IF(G88="conciliado","conciliado",I88)</f>
        <v/>
      </c>
      <c r="F88" s="11" t="inlineStr">
        <is>
          <t>835 | 2026-01-14 | 20,000 | consignacion credibanco d e</t>
        </is>
      </c>
      <c r="G88" s="11">
        <f>IF(I88="conciliado","conciliado","por revisar")</f>
        <v/>
      </c>
      <c r="H88" s="11" t="inlineStr"/>
      <c r="I88" s="11" t="inlineStr">
        <is>
          <t>conciliado</t>
        </is>
      </c>
    </row>
    <row r="89">
      <c r="A89" s="11" t="n">
        <v>123</v>
      </c>
      <c r="B89" s="12" t="n">
        <v>46035</v>
      </c>
      <c r="C89" s="11" t="inlineStr">
        <is>
          <t>arara canchala dolor</t>
        </is>
      </c>
      <c r="D89" s="13" t="n">
        <v>110724</v>
      </c>
      <c r="E89" s="11">
        <f>IF(G89="conciliado","conciliado",I89)</f>
        <v/>
      </c>
      <c r="F89" s="11">
        <f>IF(SUM(COUNTIFS('Conciliacion de compuestos'!$D$2:$D$13,"conciliado",'Conciliacion de compuestos'!$E$2:$E$13,"OK",'Conciliacion de compuestos'!$M$2:$M$13,A89),COUNTIFS('Conciliacion de compuestos'!$D$2:$D$13,"conciliado",'Conciliacion de compuestos'!$E$2:$E$13,"OK",'Conciliacion de compuestos'!$N$2:$N$13,A89),COUNTIFS('Conciliacion de compuestos'!$D$2:$D$13,"conciliado",'Conciliacion de compuestos'!$E$2:$E$13,"OK",'Conciliacion de compuestos'!$O$2:$O$13,A89))&gt;0,IFERROR(TEXTJOIN(CHAR(10),TRUE,FILTER('Conciliacion de compuestos'!$A$2:$A$13,('Conciliacion de compuestos'!$D$2:$D$13="conciliado")*('Conciliacion de compuestos'!$E$2:$E$13="OK")*((('Conciliacion de compuestos'!$M$2:$M$13=A89)+('Conciliacion de compuestos'!$N$2:$N$13=A89)+('Conciliacion de compuestos'!$O$2:$O$13=A89))&gt;0))),""),"")</f>
        <v/>
      </c>
      <c r="G89" s="11">
        <f>IF(I89="conciliado","conciliado","por revisar")</f>
        <v/>
      </c>
      <c r="H89" s="11" t="inlineStr"/>
      <c r="I89" s="11">
        <f>IF(SUM(COUNTIFS('Conciliacion de compuestos'!$D$2:$D$13,"conciliado",'Conciliacion de compuestos'!$E$2:$E$13,"OK",'Conciliacion de compuestos'!$M$2:$M$13,A89),COUNTIFS('Conciliacion de compuestos'!$D$2:$D$13,"conciliado",'Conciliacion de compuestos'!$E$2:$E$13,"OK",'Conciliacion de compuestos'!$N$2:$N$13,A89),COUNTIFS('Conciliacion de compuestos'!$D$2:$D$13,"conciliado",'Conciliacion de compuestos'!$E$2:$E$13,"OK",'Conciliacion de compuestos'!$O$2:$O$13,A89))&gt;0,"conciliado","por revisar")</f>
        <v/>
      </c>
    </row>
    <row r="90">
      <c r="A90" s="11" t="n">
        <v>115</v>
      </c>
      <c r="B90" s="12" t="n">
        <v>46035</v>
      </c>
      <c r="C90" s="11" t="inlineStr">
        <is>
          <t>marquez nanc narvaez</t>
        </is>
      </c>
      <c r="D90" s="13" t="n">
        <v>29100</v>
      </c>
      <c r="E90" s="11">
        <f>IF(G90="conciliado","conciliado",I90)</f>
        <v/>
      </c>
      <c r="F90" s="11">
        <f>IF(SUM(COUNTIFS('Conciliacion de compuestos'!$D$2:$D$13,"conciliado",'Conciliacion de compuestos'!$E$2:$E$13,"OK",'Conciliacion de compuestos'!$M$2:$M$13,A90),COUNTIFS('Conciliacion de compuestos'!$D$2:$D$13,"conciliado",'Conciliacion de compuestos'!$E$2:$E$13,"OK",'Conciliacion de compuestos'!$N$2:$N$13,A90),COUNTIFS('Conciliacion de compuestos'!$D$2:$D$13,"conciliado",'Conciliacion de compuestos'!$E$2:$E$13,"OK",'Conciliacion de compuestos'!$O$2:$O$13,A90))&gt;0,IFERROR(TEXTJOIN(CHAR(10),TRUE,FILTER('Conciliacion de compuestos'!$A$2:$A$13,('Conciliacion de compuestos'!$D$2:$D$13="conciliado")*('Conciliacion de compuestos'!$E$2:$E$13="OK")*((('Conciliacion de compuestos'!$M$2:$M$13=A90)+('Conciliacion de compuestos'!$N$2:$N$13=A90)+('Conciliacion de compuestos'!$O$2:$O$13=A90))&gt;0))),""),"")</f>
        <v/>
      </c>
      <c r="G90" s="11">
        <f>IF(I90="conciliado","conciliado","por revisar")</f>
        <v/>
      </c>
      <c r="H90" s="11" t="inlineStr"/>
      <c r="I90" s="11">
        <f>IF(SUM(COUNTIFS('Conciliacion de compuestos'!$D$2:$D$13,"conciliado",'Conciliacion de compuestos'!$E$2:$E$13,"OK",'Conciliacion de compuestos'!$M$2:$M$13,A90),COUNTIFS('Conciliacion de compuestos'!$D$2:$D$13,"conciliado",'Conciliacion de compuestos'!$E$2:$E$13,"OK",'Conciliacion de compuestos'!$N$2:$N$13,A90),COUNTIFS('Conciliacion de compuestos'!$D$2:$D$13,"conciliado",'Conciliacion de compuestos'!$E$2:$E$13,"OK",'Conciliacion de compuestos'!$O$2:$O$13,A90))&gt;0,"conciliado","por revisar")</f>
        <v/>
      </c>
    </row>
    <row r="91">
      <c r="A91" s="11" t="n">
        <v>125</v>
      </c>
      <c r="B91" s="12" t="n">
        <v>46035</v>
      </c>
      <c r="C91" s="11" t="inlineStr">
        <is>
          <t>al daira lopez trejo</t>
        </is>
      </c>
      <c r="D91" s="13" t="n">
        <v>73400</v>
      </c>
      <c r="E91" s="11">
        <f>IF(G91="conciliado","conciliado",I91)</f>
        <v/>
      </c>
      <c r="F91" s="11">
        <f>IF(SUM(COUNTIFS('Conciliacion de compuestos'!$D$2:$D$13,"conciliado",'Conciliacion de compuestos'!$E$2:$E$13,"OK",'Conciliacion de compuestos'!$M$2:$M$13,A91),COUNTIFS('Conciliacion de compuestos'!$D$2:$D$13,"conciliado",'Conciliacion de compuestos'!$E$2:$E$13,"OK",'Conciliacion de compuestos'!$N$2:$N$13,A91),COUNTIFS('Conciliacion de compuestos'!$D$2:$D$13,"conciliado",'Conciliacion de compuestos'!$E$2:$E$13,"OK",'Conciliacion de compuestos'!$O$2:$O$13,A91))&gt;0,IFERROR(TEXTJOIN(CHAR(10),TRUE,FILTER('Conciliacion de compuestos'!$A$2:$A$13,('Conciliacion de compuestos'!$D$2:$D$13="conciliado")*('Conciliacion de compuestos'!$E$2:$E$13="OK")*((('Conciliacion de compuestos'!$M$2:$M$13=A91)+('Conciliacion de compuestos'!$N$2:$N$13=A91)+('Conciliacion de compuestos'!$O$2:$O$13=A91))&gt;0))),""),"")</f>
        <v/>
      </c>
      <c r="G91" s="11">
        <f>IF(I91="conciliado","conciliado","por revisar")</f>
        <v/>
      </c>
      <c r="H91" s="11" t="inlineStr"/>
      <c r="I91" s="11">
        <f>IF(SUM(COUNTIFS('Conciliacion de compuestos'!$D$2:$D$13,"conciliado",'Conciliacion de compuestos'!$E$2:$E$13,"OK",'Conciliacion de compuestos'!$M$2:$M$13,A91),COUNTIFS('Conciliacion de compuestos'!$D$2:$D$13,"conciliado",'Conciliacion de compuestos'!$E$2:$E$13,"OK",'Conciliacion de compuestos'!$N$2:$N$13,A91),COUNTIFS('Conciliacion de compuestos'!$D$2:$D$13,"conciliado",'Conciliacion de compuestos'!$E$2:$E$13,"OK",'Conciliacion de compuestos'!$O$2:$O$13,A91))&gt;0,"conciliado","por revisar")</f>
        <v/>
      </c>
    </row>
    <row r="92">
      <c r="A92" s="11" t="n">
        <v>117</v>
      </c>
      <c r="B92" s="12" t="n">
        <v>46035</v>
      </c>
      <c r="C92" s="11" t="inlineStr">
        <is>
          <t>luci martinez rosero</t>
        </is>
      </c>
      <c r="D92" s="13" t="n">
        <v>81200</v>
      </c>
      <c r="E92" s="11">
        <f>IF(G92="conciliado","conciliado",I92)</f>
        <v/>
      </c>
      <c r="F92" s="11">
        <f>IF(SUM(COUNTIFS('Conciliacion de compuestos'!$D$2:$D$13,"conciliado",'Conciliacion de compuestos'!$E$2:$E$13,"OK",'Conciliacion de compuestos'!$M$2:$M$13,A92),COUNTIFS('Conciliacion de compuestos'!$D$2:$D$13,"conciliado",'Conciliacion de compuestos'!$E$2:$E$13,"OK",'Conciliacion de compuestos'!$N$2:$N$13,A92),COUNTIFS('Conciliacion de compuestos'!$D$2:$D$13,"conciliado",'Conciliacion de compuestos'!$E$2:$E$13,"OK",'Conciliacion de compuestos'!$O$2:$O$13,A92))&gt;0,IFERROR(TEXTJOIN(CHAR(10),TRUE,FILTER('Conciliacion de compuestos'!$A$2:$A$13,('Conciliacion de compuestos'!$D$2:$D$13="conciliado")*('Conciliacion de compuestos'!$E$2:$E$13="OK")*((('Conciliacion de compuestos'!$M$2:$M$13=A92)+('Conciliacion de compuestos'!$N$2:$N$13=A92)+('Conciliacion de compuestos'!$O$2:$O$13=A92))&gt;0))),""),"")</f>
        <v/>
      </c>
      <c r="G92" s="11">
        <f>IF(I92="conciliado","conciliado","por revisar")</f>
        <v/>
      </c>
      <c r="H92" s="11" t="inlineStr"/>
      <c r="I92" s="11">
        <f>IF(SUM(COUNTIFS('Conciliacion de compuestos'!$D$2:$D$13,"conciliado",'Conciliacion de compuestos'!$E$2:$E$13,"OK",'Conciliacion de compuestos'!$M$2:$M$13,A92),COUNTIFS('Conciliacion de compuestos'!$D$2:$D$13,"conciliado",'Conciliacion de compuestos'!$E$2:$E$13,"OK",'Conciliacion de compuestos'!$N$2:$N$13,A92),COUNTIFS('Conciliacion de compuestos'!$D$2:$D$13,"conciliado",'Conciliacion de compuestos'!$E$2:$E$13,"OK",'Conciliacion de compuestos'!$O$2:$O$13,A92))&gt;0,"conciliado","por revisar")</f>
        <v/>
      </c>
    </row>
    <row r="93">
      <c r="A93" s="11" t="n">
        <v>124</v>
      </c>
      <c r="B93" s="12" t="n">
        <v>46035</v>
      </c>
      <c r="C93" s="11" t="inlineStr">
        <is>
          <t>josef munoz zambrano</t>
        </is>
      </c>
      <c r="D93" s="13" t="n">
        <v>24100</v>
      </c>
      <c r="E93" s="11">
        <f>IF(G93="conciliado","conciliado",I93)</f>
        <v/>
      </c>
      <c r="F93" s="11">
        <f>IF(SUM(COUNTIFS('Conciliacion de compuestos'!$D$2:$D$13,"conciliado",'Conciliacion de compuestos'!$E$2:$E$13,"OK",'Conciliacion de compuestos'!$M$2:$M$13,A93),COUNTIFS('Conciliacion de compuestos'!$D$2:$D$13,"conciliado",'Conciliacion de compuestos'!$E$2:$E$13,"OK",'Conciliacion de compuestos'!$N$2:$N$13,A93),COUNTIFS('Conciliacion de compuestos'!$D$2:$D$13,"conciliado",'Conciliacion de compuestos'!$E$2:$E$13,"OK",'Conciliacion de compuestos'!$O$2:$O$13,A93))&gt;0,IFERROR(TEXTJOIN(CHAR(10),TRUE,FILTER('Conciliacion de compuestos'!$A$2:$A$13,('Conciliacion de compuestos'!$D$2:$D$13="conciliado")*('Conciliacion de compuestos'!$E$2:$E$13="OK")*((('Conciliacion de compuestos'!$M$2:$M$13=A93)+('Conciliacion de compuestos'!$N$2:$N$13=A93)+('Conciliacion de compuestos'!$O$2:$O$13=A93))&gt;0))),""),"")</f>
        <v/>
      </c>
      <c r="G93" s="11">
        <f>IF(I93="conciliado","conciliado","por revisar")</f>
        <v/>
      </c>
      <c r="H93" s="11" t="inlineStr"/>
      <c r="I93" s="11">
        <f>IF(SUM(COUNTIFS('Conciliacion de compuestos'!$D$2:$D$13,"conciliado",'Conciliacion de compuestos'!$E$2:$E$13,"OK",'Conciliacion de compuestos'!$M$2:$M$13,A93),COUNTIFS('Conciliacion de compuestos'!$D$2:$D$13,"conciliado",'Conciliacion de compuestos'!$E$2:$E$13,"OK",'Conciliacion de compuestos'!$N$2:$N$13,A93),COUNTIFS('Conciliacion de compuestos'!$D$2:$D$13,"conciliado",'Conciliacion de compuestos'!$E$2:$E$13,"OK",'Conciliacion de compuestos'!$O$2:$O$13,A93))&gt;0,"conciliado","por revisar")</f>
        <v/>
      </c>
    </row>
    <row r="94">
      <c r="A94" s="11" t="n">
        <v>126</v>
      </c>
      <c r="B94" s="12" t="n">
        <v>46035</v>
      </c>
      <c r="C94" s="11" t="inlineStr">
        <is>
          <t>alexa garcia varela</t>
        </is>
      </c>
      <c r="D94" s="13" t="n">
        <v>87100</v>
      </c>
      <c r="E94" s="11">
        <f>IF(G94="conciliado","conciliado",I94)</f>
        <v/>
      </c>
      <c r="F94" s="11">
        <f>IF(SUM(COUNTIFS('Conciliacion de compuestos'!$D$2:$D$13,"conciliado",'Conciliacion de compuestos'!$E$2:$E$13,"OK",'Conciliacion de compuestos'!$M$2:$M$13,A94),COUNTIFS('Conciliacion de compuestos'!$D$2:$D$13,"conciliado",'Conciliacion de compuestos'!$E$2:$E$13,"OK",'Conciliacion de compuestos'!$N$2:$N$13,A94),COUNTIFS('Conciliacion de compuestos'!$D$2:$D$13,"conciliado",'Conciliacion de compuestos'!$E$2:$E$13,"OK",'Conciliacion de compuestos'!$O$2:$O$13,A94))&gt;0,IFERROR(TEXTJOIN(CHAR(10),TRUE,FILTER('Conciliacion de compuestos'!$A$2:$A$13,('Conciliacion de compuestos'!$D$2:$D$13="conciliado")*('Conciliacion de compuestos'!$E$2:$E$13="OK")*((('Conciliacion de compuestos'!$M$2:$M$13=A94)+('Conciliacion de compuestos'!$N$2:$N$13=A94)+('Conciliacion de compuestos'!$O$2:$O$13=A94))&gt;0))),""),"")</f>
        <v/>
      </c>
      <c r="G94" s="11">
        <f>IF(I94="conciliado","conciliado","por revisar")</f>
        <v/>
      </c>
      <c r="H94" s="11" t="inlineStr"/>
      <c r="I94" s="11">
        <f>IF(SUM(COUNTIFS('Conciliacion de compuestos'!$D$2:$D$13,"conciliado",'Conciliacion de compuestos'!$E$2:$E$13,"OK",'Conciliacion de compuestos'!$M$2:$M$13,A94),COUNTIFS('Conciliacion de compuestos'!$D$2:$D$13,"conciliado",'Conciliacion de compuestos'!$E$2:$E$13,"OK",'Conciliacion de compuestos'!$N$2:$N$13,A94),COUNTIFS('Conciliacion de compuestos'!$D$2:$D$13,"conciliado",'Conciliacion de compuestos'!$E$2:$E$13,"OK",'Conciliacion de compuestos'!$O$2:$O$13,A94))&gt;0,"conciliado","por revisar")</f>
        <v/>
      </c>
    </row>
    <row r="95">
      <c r="A95" s="11" t="n">
        <v>121</v>
      </c>
      <c r="B95" s="12" t="n">
        <v>46035</v>
      </c>
      <c r="C95" s="11" t="inlineStr">
        <is>
          <t>gomez montenegro san</t>
        </is>
      </c>
      <c r="D95" s="13" t="n">
        <v>38600</v>
      </c>
      <c r="E95" s="11">
        <f>IF(G95="conciliado","conciliado",I95)</f>
        <v/>
      </c>
      <c r="F95" s="11">
        <f>IF(SUM(COUNTIFS('Conciliacion de compuestos'!$D$2:$D$13,"conciliado",'Conciliacion de compuestos'!$E$2:$E$13,"OK",'Conciliacion de compuestos'!$M$2:$M$13,A95),COUNTIFS('Conciliacion de compuestos'!$D$2:$D$13,"conciliado",'Conciliacion de compuestos'!$E$2:$E$13,"OK",'Conciliacion de compuestos'!$N$2:$N$13,A95),COUNTIFS('Conciliacion de compuestos'!$D$2:$D$13,"conciliado",'Conciliacion de compuestos'!$E$2:$E$13,"OK",'Conciliacion de compuestos'!$O$2:$O$13,A95))&gt;0,IFERROR(TEXTJOIN(CHAR(10),TRUE,FILTER('Conciliacion de compuestos'!$A$2:$A$13,('Conciliacion de compuestos'!$D$2:$D$13="conciliado")*('Conciliacion de compuestos'!$E$2:$E$13="OK")*((('Conciliacion de compuestos'!$M$2:$M$13=A95)+('Conciliacion de compuestos'!$N$2:$N$13=A95)+('Conciliacion de compuestos'!$O$2:$O$13=A95))&gt;0))),""),"")</f>
        <v/>
      </c>
      <c r="G95" s="11">
        <f>IF(I95="conciliado","conciliado","por revisar")</f>
        <v/>
      </c>
      <c r="H95" s="11" t="inlineStr"/>
      <c r="I95" s="11">
        <f>IF(SUM(COUNTIFS('Conciliacion de compuestos'!$D$2:$D$13,"conciliado",'Conciliacion de compuestos'!$E$2:$E$13,"OK",'Conciliacion de compuestos'!$M$2:$M$13,A95),COUNTIFS('Conciliacion de compuestos'!$D$2:$D$13,"conciliado",'Conciliacion de compuestos'!$E$2:$E$13,"OK",'Conciliacion de compuestos'!$N$2:$N$13,A95),COUNTIFS('Conciliacion de compuestos'!$D$2:$D$13,"conciliado",'Conciliacion de compuestos'!$E$2:$E$13,"OK",'Conciliacion de compuestos'!$O$2:$O$13,A95))&gt;0,"conciliado","por revisar")</f>
        <v/>
      </c>
    </row>
    <row r="96">
      <c r="A96" s="11" t="n">
        <v>119</v>
      </c>
      <c r="B96" s="12" t="n">
        <v>46035</v>
      </c>
      <c r="C96" s="11" t="inlineStr">
        <is>
          <t>buelvas diaz jose mi</t>
        </is>
      </c>
      <c r="D96" s="13" t="n">
        <v>66300</v>
      </c>
      <c r="E96" s="11">
        <f>IF(G96="conciliado","conciliado",I96)</f>
        <v/>
      </c>
      <c r="F96" s="11">
        <f>IF(SUM(COUNTIFS('Conciliacion de compuestos'!$D$2:$D$13,"conciliado",'Conciliacion de compuestos'!$E$2:$E$13,"OK",'Conciliacion de compuestos'!$M$2:$M$13,A96),COUNTIFS('Conciliacion de compuestos'!$D$2:$D$13,"conciliado",'Conciliacion de compuestos'!$E$2:$E$13,"OK",'Conciliacion de compuestos'!$N$2:$N$13,A96),COUNTIFS('Conciliacion de compuestos'!$D$2:$D$13,"conciliado",'Conciliacion de compuestos'!$E$2:$E$13,"OK",'Conciliacion de compuestos'!$O$2:$O$13,A96))&gt;0,IFERROR(TEXTJOIN(CHAR(10),TRUE,FILTER('Conciliacion de compuestos'!$A$2:$A$13,('Conciliacion de compuestos'!$D$2:$D$13="conciliado")*('Conciliacion de compuestos'!$E$2:$E$13="OK")*((('Conciliacion de compuestos'!$M$2:$M$13=A96)+('Conciliacion de compuestos'!$N$2:$N$13=A96)+('Conciliacion de compuestos'!$O$2:$O$13=A96))&gt;0))),""),"")</f>
        <v/>
      </c>
      <c r="G96" s="11">
        <f>IF(I96="conciliado","conciliado","por revisar")</f>
        <v/>
      </c>
      <c r="H96" s="11" t="inlineStr"/>
      <c r="I96" s="11">
        <f>IF(SUM(COUNTIFS('Conciliacion de compuestos'!$D$2:$D$13,"conciliado",'Conciliacion de compuestos'!$E$2:$E$13,"OK",'Conciliacion de compuestos'!$M$2:$M$13,A96),COUNTIFS('Conciliacion de compuestos'!$D$2:$D$13,"conciliado",'Conciliacion de compuestos'!$E$2:$E$13,"OK",'Conciliacion de compuestos'!$N$2:$N$13,A96),COUNTIFS('Conciliacion de compuestos'!$D$2:$D$13,"conciliado",'Conciliacion de compuestos'!$E$2:$E$13,"OK",'Conciliacion de compuestos'!$O$2:$O$13,A96))&gt;0,"conciliado","por revisar")</f>
        <v/>
      </c>
    </row>
    <row r="97">
      <c r="A97" s="11" t="n">
        <v>116</v>
      </c>
      <c r="B97" s="12" t="n">
        <v>46035</v>
      </c>
      <c r="C97" s="11" t="inlineStr">
        <is>
          <t>giraldo hoyos welker</t>
        </is>
      </c>
      <c r="D97" s="13" t="n">
        <v>42100</v>
      </c>
      <c r="E97" s="11">
        <f>IF(G97="conciliado","conciliado",I97)</f>
        <v/>
      </c>
      <c r="F97" s="11">
        <f>IF(SUM(COUNTIFS('Conciliacion de compuestos'!$D$2:$D$13,"conciliado",'Conciliacion de compuestos'!$E$2:$E$13,"OK",'Conciliacion de compuestos'!$M$2:$M$13,A97),COUNTIFS('Conciliacion de compuestos'!$D$2:$D$13,"conciliado",'Conciliacion de compuestos'!$E$2:$E$13,"OK",'Conciliacion de compuestos'!$N$2:$N$13,A97),COUNTIFS('Conciliacion de compuestos'!$D$2:$D$13,"conciliado",'Conciliacion de compuestos'!$E$2:$E$13,"OK",'Conciliacion de compuestos'!$O$2:$O$13,A97))&gt;0,IFERROR(TEXTJOIN(CHAR(10),TRUE,FILTER('Conciliacion de compuestos'!$A$2:$A$13,('Conciliacion de compuestos'!$D$2:$D$13="conciliado")*('Conciliacion de compuestos'!$E$2:$E$13="OK")*((('Conciliacion de compuestos'!$M$2:$M$13=A97)+('Conciliacion de compuestos'!$N$2:$N$13=A97)+('Conciliacion de compuestos'!$O$2:$O$13=A97))&gt;0))),""),"")</f>
        <v/>
      </c>
      <c r="G97" s="11">
        <f>IF(I97="conciliado","conciliado","por revisar")</f>
        <v/>
      </c>
      <c r="H97" s="11" t="inlineStr"/>
      <c r="I97" s="11">
        <f>IF(SUM(COUNTIFS('Conciliacion de compuestos'!$D$2:$D$13,"conciliado",'Conciliacion de compuestos'!$E$2:$E$13,"OK",'Conciliacion de compuestos'!$M$2:$M$13,A97),COUNTIFS('Conciliacion de compuestos'!$D$2:$D$13,"conciliado",'Conciliacion de compuestos'!$E$2:$E$13,"OK",'Conciliacion de compuestos'!$N$2:$N$13,A97),COUNTIFS('Conciliacion de compuestos'!$D$2:$D$13,"conciliado",'Conciliacion de compuestos'!$E$2:$E$13,"OK",'Conciliacion de compuestos'!$O$2:$O$13,A97))&gt;0,"conciliado","por revisar")</f>
        <v/>
      </c>
    </row>
    <row r="98">
      <c r="A98" s="11" t="n">
        <v>134</v>
      </c>
      <c r="B98" s="12" t="n">
        <v>46036</v>
      </c>
      <c r="C98" s="11" t="inlineStr">
        <is>
          <t>cisneros edwi norena</t>
        </is>
      </c>
      <c r="D98" s="13" t="n">
        <v>67000</v>
      </c>
      <c r="E98" s="11">
        <f>IF(G98="conciliado","conciliado",I98)</f>
        <v/>
      </c>
      <c r="F98" s="11">
        <f>IF(SUM(COUNTIFS('Conciliacion de compuestos'!$D$2:$D$13,"conciliado",'Conciliacion de compuestos'!$E$2:$E$13,"OK",'Conciliacion de compuestos'!$M$2:$M$13,A98),COUNTIFS('Conciliacion de compuestos'!$D$2:$D$13,"conciliado",'Conciliacion de compuestos'!$E$2:$E$13,"OK",'Conciliacion de compuestos'!$N$2:$N$13,A98),COUNTIFS('Conciliacion de compuestos'!$D$2:$D$13,"conciliado",'Conciliacion de compuestos'!$E$2:$E$13,"OK",'Conciliacion de compuestos'!$O$2:$O$13,A98))&gt;0,IFERROR(TEXTJOIN(CHAR(10),TRUE,FILTER('Conciliacion de compuestos'!$A$2:$A$13,('Conciliacion de compuestos'!$D$2:$D$13="conciliado")*('Conciliacion de compuestos'!$E$2:$E$13="OK")*((('Conciliacion de compuestos'!$M$2:$M$13=A98)+('Conciliacion de compuestos'!$N$2:$N$13=A98)+('Conciliacion de compuestos'!$O$2:$O$13=A98))&gt;0))),""),"")</f>
        <v/>
      </c>
      <c r="G98" s="11">
        <f>IF(I98="conciliado","conciliado","por revisar")</f>
        <v/>
      </c>
      <c r="H98" s="11" t="inlineStr"/>
      <c r="I98" s="11">
        <f>IF(SUM(COUNTIFS('Conciliacion de compuestos'!$D$2:$D$13,"conciliado",'Conciliacion de compuestos'!$E$2:$E$13,"OK",'Conciliacion de compuestos'!$M$2:$M$13,A98),COUNTIFS('Conciliacion de compuestos'!$D$2:$D$13,"conciliado",'Conciliacion de compuestos'!$E$2:$E$13,"OK",'Conciliacion de compuestos'!$N$2:$N$13,A98),COUNTIFS('Conciliacion de compuestos'!$D$2:$D$13,"conciliado",'Conciliacion de compuestos'!$E$2:$E$13,"OK",'Conciliacion de compuestos'!$O$2:$O$13,A98))&gt;0,"conciliado","por revisar")</f>
        <v/>
      </c>
    </row>
    <row r="99">
      <c r="A99" s="11" t="n">
        <v>135</v>
      </c>
      <c r="B99" s="12" t="n">
        <v>46036</v>
      </c>
      <c r="C99" s="11" t="inlineStr">
        <is>
          <t>fajardo me pejendino</t>
        </is>
      </c>
      <c r="D99" s="13" t="n">
        <v>54600</v>
      </c>
      <c r="E99" s="11">
        <f>IF(G99="conciliado","conciliado",I99)</f>
        <v/>
      </c>
      <c r="F99" s="11">
        <f>IF(SUM(COUNTIFS('Conciliacion de compuestos'!$D$2:$D$13,"conciliado",'Conciliacion de compuestos'!$E$2:$E$13,"OK",'Conciliacion de compuestos'!$M$2:$M$13,A99),COUNTIFS('Conciliacion de compuestos'!$D$2:$D$13,"conciliado",'Conciliacion de compuestos'!$E$2:$E$13,"OK",'Conciliacion de compuestos'!$N$2:$N$13,A99),COUNTIFS('Conciliacion de compuestos'!$D$2:$D$13,"conciliado",'Conciliacion de compuestos'!$E$2:$E$13,"OK",'Conciliacion de compuestos'!$O$2:$O$13,A99))&gt;0,IFERROR(TEXTJOIN(CHAR(10),TRUE,FILTER('Conciliacion de compuestos'!$A$2:$A$13,('Conciliacion de compuestos'!$D$2:$D$13="conciliado")*('Conciliacion de compuestos'!$E$2:$E$13="OK")*((('Conciliacion de compuestos'!$M$2:$M$13=A99)+('Conciliacion de compuestos'!$N$2:$N$13=A99)+('Conciliacion de compuestos'!$O$2:$O$13=A99))&gt;0))),""),"")</f>
        <v/>
      </c>
      <c r="G99" s="11">
        <f>IF(I99="conciliado","conciliado","por revisar")</f>
        <v/>
      </c>
      <c r="H99" s="11" t="inlineStr"/>
      <c r="I99" s="11">
        <f>IF(SUM(COUNTIFS('Conciliacion de compuestos'!$D$2:$D$13,"conciliado",'Conciliacion de compuestos'!$E$2:$E$13,"OK",'Conciliacion de compuestos'!$M$2:$M$13,A99),COUNTIFS('Conciliacion de compuestos'!$D$2:$D$13,"conciliado",'Conciliacion de compuestos'!$E$2:$E$13,"OK",'Conciliacion de compuestos'!$N$2:$N$13,A99),COUNTIFS('Conciliacion de compuestos'!$D$2:$D$13,"conciliado",'Conciliacion de compuestos'!$E$2:$E$13,"OK",'Conciliacion de compuestos'!$O$2:$O$13,A99))&gt;0,"conciliado","por revisar")</f>
        <v/>
      </c>
    </row>
    <row r="100">
      <c r="A100" s="11" t="n">
        <v>127</v>
      </c>
      <c r="B100" s="12" t="n">
        <v>46036</v>
      </c>
      <c r="C100" s="11" t="inlineStr">
        <is>
          <t>alejand cardona diaz</t>
        </is>
      </c>
      <c r="D100" s="13" t="n">
        <v>239700</v>
      </c>
      <c r="E100" s="11">
        <f>IF(G100="conciliado","conciliado",I100)</f>
        <v/>
      </c>
      <c r="F100" s="11">
        <f>IF(SUM(COUNTIFS('Conciliacion de compuestos'!$D$2:$D$13,"conciliado",'Conciliacion de compuestos'!$E$2:$E$13,"OK",'Conciliacion de compuestos'!$M$2:$M$13,A100),COUNTIFS('Conciliacion de compuestos'!$D$2:$D$13,"conciliado",'Conciliacion de compuestos'!$E$2:$E$13,"OK",'Conciliacion de compuestos'!$N$2:$N$13,A100),COUNTIFS('Conciliacion de compuestos'!$D$2:$D$13,"conciliado",'Conciliacion de compuestos'!$E$2:$E$13,"OK",'Conciliacion de compuestos'!$O$2:$O$13,A100))&gt;0,IFERROR(TEXTJOIN(CHAR(10),TRUE,FILTER('Conciliacion de compuestos'!$A$2:$A$13,('Conciliacion de compuestos'!$D$2:$D$13="conciliado")*('Conciliacion de compuestos'!$E$2:$E$13="OK")*((('Conciliacion de compuestos'!$M$2:$M$13=A100)+('Conciliacion de compuestos'!$N$2:$N$13=A100)+('Conciliacion de compuestos'!$O$2:$O$13=A100))&gt;0))),""),"")</f>
        <v/>
      </c>
      <c r="G100" s="11">
        <f>IF(I100="conciliado","conciliado","por revisar")</f>
        <v/>
      </c>
      <c r="H100" s="11" t="inlineStr"/>
      <c r="I100" s="11">
        <f>IF(SUM(COUNTIFS('Conciliacion de compuestos'!$D$2:$D$13,"conciliado",'Conciliacion de compuestos'!$E$2:$E$13,"OK",'Conciliacion de compuestos'!$M$2:$M$13,A100),COUNTIFS('Conciliacion de compuestos'!$D$2:$D$13,"conciliado",'Conciliacion de compuestos'!$E$2:$E$13,"OK",'Conciliacion de compuestos'!$N$2:$N$13,A100),COUNTIFS('Conciliacion de compuestos'!$D$2:$D$13,"conciliado",'Conciliacion de compuestos'!$E$2:$E$13,"OK",'Conciliacion de compuestos'!$O$2:$O$13,A100))&gt;0,"conciliado","por revisar")</f>
        <v/>
      </c>
    </row>
    <row r="101">
      <c r="A101" s="11" t="n">
        <v>132</v>
      </c>
      <c r="B101" s="12" t="n">
        <v>46036</v>
      </c>
      <c r="C101" s="11" t="inlineStr">
        <is>
          <t>dayan florez l reyes</t>
        </is>
      </c>
      <c r="D101" s="13" t="n">
        <v>46900</v>
      </c>
      <c r="E101" s="11">
        <f>IF(G101="conciliado","conciliado",I101)</f>
        <v/>
      </c>
      <c r="F101" s="11">
        <f>IF(SUM(COUNTIFS('Conciliacion de compuestos'!$D$2:$D$13,"conciliado",'Conciliacion de compuestos'!$E$2:$E$13,"OK",'Conciliacion de compuestos'!$M$2:$M$13,A101),COUNTIFS('Conciliacion de compuestos'!$D$2:$D$13,"conciliado",'Conciliacion de compuestos'!$E$2:$E$13,"OK",'Conciliacion de compuestos'!$N$2:$N$13,A101),COUNTIFS('Conciliacion de compuestos'!$D$2:$D$13,"conciliado",'Conciliacion de compuestos'!$E$2:$E$13,"OK",'Conciliacion de compuestos'!$O$2:$O$13,A101))&gt;0,IFERROR(TEXTJOIN(CHAR(10),TRUE,FILTER('Conciliacion de compuestos'!$A$2:$A$13,('Conciliacion de compuestos'!$D$2:$D$13="conciliado")*('Conciliacion de compuestos'!$E$2:$E$13="OK")*((('Conciliacion de compuestos'!$M$2:$M$13=A101)+('Conciliacion de compuestos'!$N$2:$N$13=A101)+('Conciliacion de compuestos'!$O$2:$O$13=A101))&gt;0))),""),"")</f>
        <v/>
      </c>
      <c r="G101" s="11">
        <f>IF(I101="conciliado","conciliado","por revisar")</f>
        <v/>
      </c>
      <c r="H101" s="11" t="inlineStr"/>
      <c r="I101" s="11">
        <f>IF(SUM(COUNTIFS('Conciliacion de compuestos'!$D$2:$D$13,"conciliado",'Conciliacion de compuestos'!$E$2:$E$13,"OK",'Conciliacion de compuestos'!$M$2:$M$13,A101),COUNTIFS('Conciliacion de compuestos'!$D$2:$D$13,"conciliado",'Conciliacion de compuestos'!$E$2:$E$13,"OK",'Conciliacion de compuestos'!$N$2:$N$13,A101),COUNTIFS('Conciliacion de compuestos'!$D$2:$D$13,"conciliado",'Conciliacion de compuestos'!$E$2:$E$13,"OK",'Conciliacion de compuestos'!$O$2:$O$13,A101))&gt;0,"conciliado","por revisar")</f>
        <v/>
      </c>
    </row>
    <row r="102">
      <c r="A102" s="11" t="n">
        <v>131</v>
      </c>
      <c r="B102" s="12" t="n">
        <v>46036</v>
      </c>
      <c r="C102" s="11" t="inlineStr">
        <is>
          <t>caicedo car jimenez</t>
        </is>
      </c>
      <c r="D102" s="13" t="n">
        <v>180920</v>
      </c>
      <c r="E102" s="11">
        <f>IF(G102="conciliado","conciliado",I102)</f>
        <v/>
      </c>
      <c r="F102" s="11">
        <f>IF(SUM(COUNTIFS('Conciliacion de compuestos'!$D$2:$D$13,"conciliado",'Conciliacion de compuestos'!$E$2:$E$13,"OK",'Conciliacion de compuestos'!$M$2:$M$13,A102),COUNTIFS('Conciliacion de compuestos'!$D$2:$D$13,"conciliado",'Conciliacion de compuestos'!$E$2:$E$13,"OK",'Conciliacion de compuestos'!$N$2:$N$13,A102),COUNTIFS('Conciliacion de compuestos'!$D$2:$D$13,"conciliado",'Conciliacion de compuestos'!$E$2:$E$13,"OK",'Conciliacion de compuestos'!$O$2:$O$13,A102))&gt;0,IFERROR(TEXTJOIN(CHAR(10),TRUE,FILTER('Conciliacion de compuestos'!$A$2:$A$13,('Conciliacion de compuestos'!$D$2:$D$13="conciliado")*('Conciliacion de compuestos'!$E$2:$E$13="OK")*((('Conciliacion de compuestos'!$M$2:$M$13=A102)+('Conciliacion de compuestos'!$N$2:$N$13=A102)+('Conciliacion de compuestos'!$O$2:$O$13=A102))&gt;0))),""),"")</f>
        <v/>
      </c>
      <c r="G102" s="11">
        <f>IF(I102="conciliado","conciliado","por revisar")</f>
        <v/>
      </c>
      <c r="H102" s="11" t="inlineStr"/>
      <c r="I102" s="11">
        <f>IF(SUM(COUNTIFS('Conciliacion de compuestos'!$D$2:$D$13,"conciliado",'Conciliacion de compuestos'!$E$2:$E$13,"OK",'Conciliacion de compuestos'!$M$2:$M$13,A102),COUNTIFS('Conciliacion de compuestos'!$D$2:$D$13,"conciliado",'Conciliacion de compuestos'!$E$2:$E$13,"OK",'Conciliacion de compuestos'!$N$2:$N$13,A102),COUNTIFS('Conciliacion de compuestos'!$D$2:$D$13,"conciliado",'Conciliacion de compuestos'!$E$2:$E$13,"OK",'Conciliacion de compuestos'!$O$2:$O$13,A102))&gt;0,"conciliado","por revisar")</f>
        <v/>
      </c>
    </row>
    <row r="103">
      <c r="A103" s="11" t="n">
        <v>133</v>
      </c>
      <c r="B103" s="12" t="n">
        <v>46036</v>
      </c>
      <c r="C103" s="11" t="inlineStr">
        <is>
          <t>m mata nubia rosales</t>
        </is>
      </c>
      <c r="D103" s="13" t="n">
        <v>51300</v>
      </c>
      <c r="E103" s="11">
        <f>IF(G103="conciliado","conciliado",I103)</f>
        <v/>
      </c>
      <c r="F103" s="11">
        <f>IF(SUM(COUNTIFS('Conciliacion de compuestos'!$D$2:$D$13,"conciliado",'Conciliacion de compuestos'!$E$2:$E$13,"OK",'Conciliacion de compuestos'!$M$2:$M$13,A103),COUNTIFS('Conciliacion de compuestos'!$D$2:$D$13,"conciliado",'Conciliacion de compuestos'!$E$2:$E$13,"OK",'Conciliacion de compuestos'!$N$2:$N$13,A103),COUNTIFS('Conciliacion de compuestos'!$D$2:$D$13,"conciliado",'Conciliacion de compuestos'!$E$2:$E$13,"OK",'Conciliacion de compuestos'!$O$2:$O$13,A103))&gt;0,IFERROR(TEXTJOIN(CHAR(10),TRUE,FILTER('Conciliacion de compuestos'!$A$2:$A$13,('Conciliacion de compuestos'!$D$2:$D$13="conciliado")*('Conciliacion de compuestos'!$E$2:$E$13="OK")*((('Conciliacion de compuestos'!$M$2:$M$13=A103)+('Conciliacion de compuestos'!$N$2:$N$13=A103)+('Conciliacion de compuestos'!$O$2:$O$13=A103))&gt;0))),""),"")</f>
        <v/>
      </c>
      <c r="G103" s="11">
        <f>IF(I103="conciliado","conciliado","por revisar")</f>
        <v/>
      </c>
      <c r="H103" s="11" t="inlineStr"/>
      <c r="I103" s="11">
        <f>IF(SUM(COUNTIFS('Conciliacion de compuestos'!$D$2:$D$13,"conciliado",'Conciliacion de compuestos'!$E$2:$E$13,"OK",'Conciliacion de compuestos'!$M$2:$M$13,A103),COUNTIFS('Conciliacion de compuestos'!$D$2:$D$13,"conciliado",'Conciliacion de compuestos'!$E$2:$E$13,"OK",'Conciliacion de compuestos'!$N$2:$N$13,A103),COUNTIFS('Conciliacion de compuestos'!$D$2:$D$13,"conciliado",'Conciliacion de compuestos'!$E$2:$E$13,"OK",'Conciliacion de compuestos'!$O$2:$O$13,A103))&gt;0,"conciliado","por revisar")</f>
        <v/>
      </c>
    </row>
    <row r="104">
      <c r="A104" s="11" t="n">
        <v>130</v>
      </c>
      <c r="B104" s="12" t="n">
        <v>46036</v>
      </c>
      <c r="C104" s="11" t="inlineStr">
        <is>
          <t>casanas cazanas jame</t>
        </is>
      </c>
      <c r="D104" s="13" t="n">
        <v>106733</v>
      </c>
      <c r="E104" s="11">
        <f>IF(G104="conciliado","conciliado",I104)</f>
        <v/>
      </c>
      <c r="F104" s="11">
        <f>IF(SUM(COUNTIFS('Conciliacion de compuestos'!$D$2:$D$13,"conciliado",'Conciliacion de compuestos'!$E$2:$E$13,"OK",'Conciliacion de compuestos'!$M$2:$M$13,A104),COUNTIFS('Conciliacion de compuestos'!$D$2:$D$13,"conciliado",'Conciliacion de compuestos'!$E$2:$E$13,"OK",'Conciliacion de compuestos'!$N$2:$N$13,A104),COUNTIFS('Conciliacion de compuestos'!$D$2:$D$13,"conciliado",'Conciliacion de compuestos'!$E$2:$E$13,"OK",'Conciliacion de compuestos'!$O$2:$O$13,A104))&gt;0,IFERROR(TEXTJOIN(CHAR(10),TRUE,FILTER('Conciliacion de compuestos'!$A$2:$A$13,('Conciliacion de compuestos'!$D$2:$D$13="conciliado")*('Conciliacion de compuestos'!$E$2:$E$13="OK")*((('Conciliacion de compuestos'!$M$2:$M$13=A104)+('Conciliacion de compuestos'!$N$2:$N$13=A104)+('Conciliacion de compuestos'!$O$2:$O$13=A104))&gt;0))),""),"")</f>
        <v/>
      </c>
      <c r="G104" s="11">
        <f>IF(I104="conciliado","conciliado","por revisar")</f>
        <v/>
      </c>
      <c r="H104" s="11" t="inlineStr"/>
      <c r="I104" s="11">
        <f>IF(SUM(COUNTIFS('Conciliacion de compuestos'!$D$2:$D$13,"conciliado",'Conciliacion de compuestos'!$E$2:$E$13,"OK",'Conciliacion de compuestos'!$M$2:$M$13,A104),COUNTIFS('Conciliacion de compuestos'!$D$2:$D$13,"conciliado",'Conciliacion de compuestos'!$E$2:$E$13,"OK",'Conciliacion de compuestos'!$N$2:$N$13,A104),COUNTIFS('Conciliacion de compuestos'!$D$2:$D$13,"conciliado",'Conciliacion de compuestos'!$E$2:$E$13,"OK",'Conciliacion de compuestos'!$O$2:$O$13,A104))&gt;0,"conciliado","por revisar")</f>
        <v/>
      </c>
    </row>
    <row r="105">
      <c r="A105" s="11" t="n">
        <v>128</v>
      </c>
      <c r="B105" s="12" t="n">
        <v>46036</v>
      </c>
      <c r="C105" s="11" t="inlineStr">
        <is>
          <t>buitrago luis tobon</t>
        </is>
      </c>
      <c r="D105" s="13" t="n">
        <v>79100</v>
      </c>
      <c r="E105" s="11">
        <f>IF(G105="conciliado","conciliado",I105)</f>
        <v/>
      </c>
      <c r="F105" s="11">
        <f>IF(SUM(COUNTIFS('Conciliacion de compuestos'!$D$2:$D$13,"conciliado",'Conciliacion de compuestos'!$E$2:$E$13,"OK",'Conciliacion de compuestos'!$M$2:$M$13,A105),COUNTIFS('Conciliacion de compuestos'!$D$2:$D$13,"conciliado",'Conciliacion de compuestos'!$E$2:$E$13,"OK",'Conciliacion de compuestos'!$N$2:$N$13,A105),COUNTIFS('Conciliacion de compuestos'!$D$2:$D$13,"conciliado",'Conciliacion de compuestos'!$E$2:$E$13,"OK",'Conciliacion de compuestos'!$O$2:$O$13,A105))&gt;0,IFERROR(TEXTJOIN(CHAR(10),TRUE,FILTER('Conciliacion de compuestos'!$A$2:$A$13,('Conciliacion de compuestos'!$D$2:$D$13="conciliado")*('Conciliacion de compuestos'!$E$2:$E$13="OK")*((('Conciliacion de compuestos'!$M$2:$M$13=A105)+('Conciliacion de compuestos'!$N$2:$N$13=A105)+('Conciliacion de compuestos'!$O$2:$O$13=A105))&gt;0))),""),"")</f>
        <v/>
      </c>
      <c r="G105" s="11">
        <f>IF(I105="conciliado","conciliado","por revisar")</f>
        <v/>
      </c>
      <c r="H105" s="11" t="inlineStr"/>
      <c r="I105" s="11">
        <f>IF(SUM(COUNTIFS('Conciliacion de compuestos'!$D$2:$D$13,"conciliado",'Conciliacion de compuestos'!$E$2:$E$13,"OK",'Conciliacion de compuestos'!$M$2:$M$13,A105),COUNTIFS('Conciliacion de compuestos'!$D$2:$D$13,"conciliado",'Conciliacion de compuestos'!$E$2:$E$13,"OK",'Conciliacion de compuestos'!$N$2:$N$13,A105),COUNTIFS('Conciliacion de compuestos'!$D$2:$D$13,"conciliado",'Conciliacion de compuestos'!$E$2:$E$13,"OK",'Conciliacion de compuestos'!$O$2:$O$13,A105))&gt;0,"conciliado","por revisar")</f>
        <v/>
      </c>
    </row>
    <row r="106">
      <c r="A106" s="11" t="n">
        <v>137</v>
      </c>
      <c r="B106" s="12" t="n">
        <v>46036</v>
      </c>
      <c r="C106" s="11" t="inlineStr">
        <is>
          <t>calvache f lopez</t>
        </is>
      </c>
      <c r="D106" s="13" t="n">
        <v>104000</v>
      </c>
      <c r="E106" s="11">
        <f>IF(G106="conciliado","conciliado",I106)</f>
        <v/>
      </c>
      <c r="F106" s="11">
        <f>IF(SUM(COUNTIFS('Conciliacion de compuestos'!$D$2:$D$13,"conciliado",'Conciliacion de compuestos'!$E$2:$E$13,"OK",'Conciliacion de compuestos'!$M$2:$M$13,A106),COUNTIFS('Conciliacion de compuestos'!$D$2:$D$13,"conciliado",'Conciliacion de compuestos'!$E$2:$E$13,"OK",'Conciliacion de compuestos'!$N$2:$N$13,A106),COUNTIFS('Conciliacion de compuestos'!$D$2:$D$13,"conciliado",'Conciliacion de compuestos'!$E$2:$E$13,"OK",'Conciliacion de compuestos'!$O$2:$O$13,A106))&gt;0,IFERROR(TEXTJOIN(CHAR(10),TRUE,FILTER('Conciliacion de compuestos'!$A$2:$A$13,('Conciliacion de compuestos'!$D$2:$D$13="conciliado")*('Conciliacion de compuestos'!$E$2:$E$13="OK")*((('Conciliacion de compuestos'!$M$2:$M$13=A106)+('Conciliacion de compuestos'!$N$2:$N$13=A106)+('Conciliacion de compuestos'!$O$2:$O$13=A106))&gt;0))),""),"")</f>
        <v/>
      </c>
      <c r="G106" s="11">
        <f>IF(I106="conciliado","conciliado","por revisar")</f>
        <v/>
      </c>
      <c r="H106" s="11" t="inlineStr"/>
      <c r="I106" s="11">
        <f>IF(SUM(COUNTIFS('Conciliacion de compuestos'!$D$2:$D$13,"conciliado",'Conciliacion de compuestos'!$E$2:$E$13,"OK",'Conciliacion de compuestos'!$M$2:$M$13,A106),COUNTIFS('Conciliacion de compuestos'!$D$2:$D$13,"conciliado",'Conciliacion de compuestos'!$E$2:$E$13,"OK",'Conciliacion de compuestos'!$N$2:$N$13,A106),COUNTIFS('Conciliacion de compuestos'!$D$2:$D$13,"conciliado",'Conciliacion de compuestos'!$E$2:$E$13,"OK",'Conciliacion de compuestos'!$O$2:$O$13,A106))&gt;0,"conciliado","por revisar")</f>
        <v/>
      </c>
    </row>
    <row r="107">
      <c r="A107" s="11" t="n">
        <v>129</v>
      </c>
      <c r="B107" s="12" t="n">
        <v>46036</v>
      </c>
      <c r="C107" s="11" t="inlineStr">
        <is>
          <t>e hernandez montilla</t>
        </is>
      </c>
      <c r="D107" s="13" t="n">
        <v>74500</v>
      </c>
      <c r="E107" s="11">
        <f>IF(G107="conciliado","conciliado",I107)</f>
        <v/>
      </c>
      <c r="F107" s="11">
        <f>IF(SUM(COUNTIFS('Conciliacion de compuestos'!$D$2:$D$13,"conciliado",'Conciliacion de compuestos'!$E$2:$E$13,"OK",'Conciliacion de compuestos'!$M$2:$M$13,A107),COUNTIFS('Conciliacion de compuestos'!$D$2:$D$13,"conciliado",'Conciliacion de compuestos'!$E$2:$E$13,"OK",'Conciliacion de compuestos'!$N$2:$N$13,A107),COUNTIFS('Conciliacion de compuestos'!$D$2:$D$13,"conciliado",'Conciliacion de compuestos'!$E$2:$E$13,"OK",'Conciliacion de compuestos'!$O$2:$O$13,A107))&gt;0,IFERROR(TEXTJOIN(CHAR(10),TRUE,FILTER('Conciliacion de compuestos'!$A$2:$A$13,('Conciliacion de compuestos'!$D$2:$D$13="conciliado")*('Conciliacion de compuestos'!$E$2:$E$13="OK")*((('Conciliacion de compuestos'!$M$2:$M$13=A107)+('Conciliacion de compuestos'!$N$2:$N$13=A107)+('Conciliacion de compuestos'!$O$2:$O$13=A107))&gt;0))),""),"")</f>
        <v/>
      </c>
      <c r="G107" s="11">
        <f>IF(I107="conciliado","conciliado","por revisar")</f>
        <v/>
      </c>
      <c r="H107" s="11" t="inlineStr"/>
      <c r="I107" s="11">
        <f>IF(SUM(COUNTIFS('Conciliacion de compuestos'!$D$2:$D$13,"conciliado",'Conciliacion de compuestos'!$E$2:$E$13,"OK",'Conciliacion de compuestos'!$M$2:$M$13,A107),COUNTIFS('Conciliacion de compuestos'!$D$2:$D$13,"conciliado",'Conciliacion de compuestos'!$E$2:$E$13,"OK",'Conciliacion de compuestos'!$N$2:$N$13,A107),COUNTIFS('Conciliacion de compuestos'!$D$2:$D$13,"conciliado",'Conciliacion de compuestos'!$E$2:$E$13,"OK",'Conciliacion de compuestos'!$O$2:$O$13,A107))&gt;0,"conciliado","por revisar")</f>
        <v/>
      </c>
    </row>
    <row r="108">
      <c r="A108" s="11" t="n">
        <v>138</v>
      </c>
      <c r="B108" s="12" t="n">
        <v>46037</v>
      </c>
      <c r="C108" s="11" t="inlineStr">
        <is>
          <t>giraldo hoyos welker</t>
        </is>
      </c>
      <c r="D108" s="13" t="n">
        <v>139800</v>
      </c>
      <c r="E108" s="11">
        <f>IF(G108="conciliado","conciliado",I108)</f>
        <v/>
      </c>
      <c r="F108" s="11">
        <f>IF(SUM(COUNTIFS('Conciliacion de compuestos'!$D$2:$D$13,"conciliado",'Conciliacion de compuestos'!$E$2:$E$13,"OK",'Conciliacion de compuestos'!$M$2:$M$13,A108),COUNTIFS('Conciliacion de compuestos'!$D$2:$D$13,"conciliado",'Conciliacion de compuestos'!$E$2:$E$13,"OK",'Conciliacion de compuestos'!$N$2:$N$13,A108),COUNTIFS('Conciliacion de compuestos'!$D$2:$D$13,"conciliado",'Conciliacion de compuestos'!$E$2:$E$13,"OK",'Conciliacion de compuestos'!$O$2:$O$13,A108))&gt;0,IFERROR(TEXTJOIN(CHAR(10),TRUE,FILTER('Conciliacion de compuestos'!$A$2:$A$13,('Conciliacion de compuestos'!$D$2:$D$13="conciliado")*('Conciliacion de compuestos'!$E$2:$E$13="OK")*((('Conciliacion de compuestos'!$M$2:$M$13=A108)+('Conciliacion de compuestos'!$N$2:$N$13=A108)+('Conciliacion de compuestos'!$O$2:$O$13=A108))&gt;0))),""),"")</f>
        <v/>
      </c>
      <c r="G108" s="11">
        <f>IF(I108="conciliado","conciliado","por revisar")</f>
        <v/>
      </c>
      <c r="H108" s="11" t="inlineStr"/>
      <c r="I108" s="11">
        <f>IF(SUM(COUNTIFS('Conciliacion de compuestos'!$D$2:$D$13,"conciliado",'Conciliacion de compuestos'!$E$2:$E$13,"OK",'Conciliacion de compuestos'!$M$2:$M$13,A108),COUNTIFS('Conciliacion de compuestos'!$D$2:$D$13,"conciliado",'Conciliacion de compuestos'!$E$2:$E$13,"OK",'Conciliacion de compuestos'!$N$2:$N$13,A108),COUNTIFS('Conciliacion de compuestos'!$D$2:$D$13,"conciliado",'Conciliacion de compuestos'!$E$2:$E$13,"OK",'Conciliacion de compuestos'!$O$2:$O$13,A108))&gt;0,"conciliado","por revisar")</f>
        <v/>
      </c>
    </row>
    <row r="109">
      <c r="A109" s="11" t="n">
        <v>142</v>
      </c>
      <c r="B109" s="12" t="n">
        <v>46037</v>
      </c>
      <c r="C109" s="11" t="inlineStr">
        <is>
          <t>benavides lopez sixt</t>
        </is>
      </c>
      <c r="D109" s="13" t="n">
        <v>141400</v>
      </c>
      <c r="E109" s="11">
        <f>IF(G109="conciliado","conciliado",I109)</f>
        <v/>
      </c>
      <c r="F109" s="11">
        <f>IF(SUM(COUNTIFS('Conciliacion de compuestos'!$D$2:$D$13,"conciliado",'Conciliacion de compuestos'!$E$2:$E$13,"OK",'Conciliacion de compuestos'!$M$2:$M$13,A109),COUNTIFS('Conciliacion de compuestos'!$D$2:$D$13,"conciliado",'Conciliacion de compuestos'!$E$2:$E$13,"OK",'Conciliacion de compuestos'!$N$2:$N$13,A109),COUNTIFS('Conciliacion de compuestos'!$D$2:$D$13,"conciliado",'Conciliacion de compuestos'!$E$2:$E$13,"OK",'Conciliacion de compuestos'!$O$2:$O$13,A109))&gt;0,IFERROR(TEXTJOIN(CHAR(10),TRUE,FILTER('Conciliacion de compuestos'!$A$2:$A$13,('Conciliacion de compuestos'!$D$2:$D$13="conciliado")*('Conciliacion de compuestos'!$E$2:$E$13="OK")*((('Conciliacion de compuestos'!$M$2:$M$13=A109)+('Conciliacion de compuestos'!$N$2:$N$13=A109)+('Conciliacion de compuestos'!$O$2:$O$13=A109))&gt;0))),""),"")</f>
        <v/>
      </c>
      <c r="G109" s="11">
        <f>IF(I109="conciliado","conciliado","por revisar")</f>
        <v/>
      </c>
      <c r="H109" s="11" t="inlineStr"/>
      <c r="I109" s="11">
        <f>IF(SUM(COUNTIFS('Conciliacion de compuestos'!$D$2:$D$13,"conciliado",'Conciliacion de compuestos'!$E$2:$E$13,"OK",'Conciliacion de compuestos'!$M$2:$M$13,A109),COUNTIFS('Conciliacion de compuestos'!$D$2:$D$13,"conciliado",'Conciliacion de compuestos'!$E$2:$E$13,"OK",'Conciliacion de compuestos'!$N$2:$N$13,A109),COUNTIFS('Conciliacion de compuestos'!$D$2:$D$13,"conciliado",'Conciliacion de compuestos'!$E$2:$E$13,"OK",'Conciliacion de compuestos'!$O$2:$O$13,A109))&gt;0,"conciliado","por revisar")</f>
        <v/>
      </c>
    </row>
    <row r="110">
      <c r="A110" s="11" t="n">
        <v>140</v>
      </c>
      <c r="B110" s="12" t="n">
        <v>46037</v>
      </c>
      <c r="C110" s="11" t="inlineStr">
        <is>
          <t>cabrera gutierrez je</t>
        </is>
      </c>
      <c r="D110" s="13" t="n">
        <v>109600</v>
      </c>
      <c r="E110" s="11">
        <f>IF(G110="conciliado","conciliado",I110)</f>
        <v/>
      </c>
      <c r="F110" s="11">
        <f>IF(SUM(COUNTIFS('Conciliacion de compuestos'!$D$2:$D$13,"conciliado",'Conciliacion de compuestos'!$E$2:$E$13,"OK",'Conciliacion de compuestos'!$M$2:$M$13,A110),COUNTIFS('Conciliacion de compuestos'!$D$2:$D$13,"conciliado",'Conciliacion de compuestos'!$E$2:$E$13,"OK",'Conciliacion de compuestos'!$N$2:$N$13,A110),COUNTIFS('Conciliacion de compuestos'!$D$2:$D$13,"conciliado",'Conciliacion de compuestos'!$E$2:$E$13,"OK",'Conciliacion de compuestos'!$O$2:$O$13,A110))&gt;0,IFERROR(TEXTJOIN(CHAR(10),TRUE,FILTER('Conciliacion de compuestos'!$A$2:$A$13,('Conciliacion de compuestos'!$D$2:$D$13="conciliado")*('Conciliacion de compuestos'!$E$2:$E$13="OK")*((('Conciliacion de compuestos'!$M$2:$M$13=A110)+('Conciliacion de compuestos'!$N$2:$N$13=A110)+('Conciliacion de compuestos'!$O$2:$O$13=A110))&gt;0))),""),"")</f>
        <v/>
      </c>
      <c r="G110" s="11">
        <f>IF(I110="conciliado","conciliado","por revisar")</f>
        <v/>
      </c>
      <c r="H110" s="11" t="inlineStr"/>
      <c r="I110" s="11">
        <f>IF(SUM(COUNTIFS('Conciliacion de compuestos'!$D$2:$D$13,"conciliado",'Conciliacion de compuestos'!$E$2:$E$13,"OK",'Conciliacion de compuestos'!$M$2:$M$13,A110),COUNTIFS('Conciliacion de compuestos'!$D$2:$D$13,"conciliado",'Conciliacion de compuestos'!$E$2:$E$13,"OK",'Conciliacion de compuestos'!$N$2:$N$13,A110),COUNTIFS('Conciliacion de compuestos'!$D$2:$D$13,"conciliado",'Conciliacion de compuestos'!$E$2:$E$13,"OK",'Conciliacion de compuestos'!$O$2:$O$13,A110))&gt;0,"conciliado","por revisar")</f>
        <v/>
      </c>
    </row>
    <row r="111">
      <c r="A111" s="11" t="n">
        <v>159</v>
      </c>
      <c r="B111" s="12" t="n">
        <v>46040</v>
      </c>
      <c r="C111" s="11" t="inlineStr">
        <is>
          <t>cabrera f luis saenz</t>
        </is>
      </c>
      <c r="D111" s="13" t="n">
        <v>244000</v>
      </c>
      <c r="E111" s="11">
        <f>IF(G111="conciliado","conciliado",I111)</f>
        <v/>
      </c>
      <c r="F111" s="11">
        <f>IF(SUM(COUNTIFS('Conciliacion de compuestos'!$D$2:$D$13,"conciliado",'Conciliacion de compuestos'!$E$2:$E$13,"OK",'Conciliacion de compuestos'!$M$2:$M$13,A111),COUNTIFS('Conciliacion de compuestos'!$D$2:$D$13,"conciliado",'Conciliacion de compuestos'!$E$2:$E$13,"OK",'Conciliacion de compuestos'!$N$2:$N$13,A111),COUNTIFS('Conciliacion de compuestos'!$D$2:$D$13,"conciliado",'Conciliacion de compuestos'!$E$2:$E$13,"OK",'Conciliacion de compuestos'!$O$2:$O$13,A111))&gt;0,IFERROR(TEXTJOIN(CHAR(10),TRUE,FILTER('Conciliacion de compuestos'!$A$2:$A$13,('Conciliacion de compuestos'!$D$2:$D$13="conciliado")*('Conciliacion de compuestos'!$E$2:$E$13="OK")*((('Conciliacion de compuestos'!$M$2:$M$13=A111)+('Conciliacion de compuestos'!$N$2:$N$13=A111)+('Conciliacion de compuestos'!$O$2:$O$13=A111))&gt;0))),""),"")</f>
        <v/>
      </c>
      <c r="G111" s="11">
        <f>IF(I111="conciliado","conciliado","por revisar")</f>
        <v/>
      </c>
      <c r="H111" s="11" t="inlineStr"/>
      <c r="I111" s="11">
        <f>IF(SUM(COUNTIFS('Conciliacion de compuestos'!$D$2:$D$13,"conciliado",'Conciliacion de compuestos'!$E$2:$E$13,"OK",'Conciliacion de compuestos'!$M$2:$M$13,A111),COUNTIFS('Conciliacion de compuestos'!$D$2:$D$13,"conciliado",'Conciliacion de compuestos'!$E$2:$E$13,"OK",'Conciliacion de compuestos'!$N$2:$N$13,A111),COUNTIFS('Conciliacion de compuestos'!$D$2:$D$13,"conciliado",'Conciliacion de compuestos'!$E$2:$E$13,"OK",'Conciliacion de compuestos'!$O$2:$O$13,A111))&gt;0,"conciliado","por revisar")</f>
        <v/>
      </c>
    </row>
    <row r="112">
      <c r="A112" s="11" t="n">
        <v>162</v>
      </c>
      <c r="B112" s="12" t="n">
        <v>46040</v>
      </c>
      <c r="C112" s="11" t="inlineStr">
        <is>
          <t>liss melo villarreal</t>
        </is>
      </c>
      <c r="D112" s="13" t="n">
        <v>48700</v>
      </c>
      <c r="E112" s="11">
        <f>IF(G112="conciliado","conciliado",I112)</f>
        <v/>
      </c>
      <c r="F112" s="11">
        <f>IF(SUM(COUNTIFS('Conciliacion de compuestos'!$D$2:$D$13,"conciliado",'Conciliacion de compuestos'!$E$2:$E$13,"OK",'Conciliacion de compuestos'!$M$2:$M$13,A112),COUNTIFS('Conciliacion de compuestos'!$D$2:$D$13,"conciliado",'Conciliacion de compuestos'!$E$2:$E$13,"OK",'Conciliacion de compuestos'!$N$2:$N$13,A112),COUNTIFS('Conciliacion de compuestos'!$D$2:$D$13,"conciliado",'Conciliacion de compuestos'!$E$2:$E$13,"OK",'Conciliacion de compuestos'!$O$2:$O$13,A112))&gt;0,IFERROR(TEXTJOIN(CHAR(10),TRUE,FILTER('Conciliacion de compuestos'!$A$2:$A$13,('Conciliacion de compuestos'!$D$2:$D$13="conciliado")*('Conciliacion de compuestos'!$E$2:$E$13="OK")*((('Conciliacion de compuestos'!$M$2:$M$13=A112)+('Conciliacion de compuestos'!$N$2:$N$13=A112)+('Conciliacion de compuestos'!$O$2:$O$13=A112))&gt;0))),""),"")</f>
        <v/>
      </c>
      <c r="G112" s="11">
        <f>IF(I112="conciliado","conciliado","por revisar")</f>
        <v/>
      </c>
      <c r="H112" s="11" t="inlineStr"/>
      <c r="I112" s="11">
        <f>IF(SUM(COUNTIFS('Conciliacion de compuestos'!$D$2:$D$13,"conciliado",'Conciliacion de compuestos'!$E$2:$E$13,"OK",'Conciliacion de compuestos'!$M$2:$M$13,A112),COUNTIFS('Conciliacion de compuestos'!$D$2:$D$13,"conciliado",'Conciliacion de compuestos'!$E$2:$E$13,"OK",'Conciliacion de compuestos'!$N$2:$N$13,A112),COUNTIFS('Conciliacion de compuestos'!$D$2:$D$13,"conciliado",'Conciliacion de compuestos'!$E$2:$E$13,"OK",'Conciliacion de compuestos'!$O$2:$O$13,A112))&gt;0,"conciliado","por revisar")</f>
        <v/>
      </c>
    </row>
    <row r="113">
      <c r="A113" s="11" t="n">
        <v>160</v>
      </c>
      <c r="B113" s="12" t="n">
        <v>46040</v>
      </c>
      <c r="C113" s="11" t="inlineStr">
        <is>
          <t>ceballos molina tito</t>
        </is>
      </c>
      <c r="D113" s="13" t="n">
        <v>56608</v>
      </c>
      <c r="E113" s="11">
        <f>IF(G113="conciliado","conciliado",I113)</f>
        <v/>
      </c>
      <c r="F113" s="11">
        <f>IF(SUM(COUNTIFS('Conciliacion de compuestos'!$D$2:$D$13,"conciliado",'Conciliacion de compuestos'!$E$2:$E$13,"OK",'Conciliacion de compuestos'!$M$2:$M$13,A113),COUNTIFS('Conciliacion de compuestos'!$D$2:$D$13,"conciliado",'Conciliacion de compuestos'!$E$2:$E$13,"OK",'Conciliacion de compuestos'!$N$2:$N$13,A113),COUNTIFS('Conciliacion de compuestos'!$D$2:$D$13,"conciliado",'Conciliacion de compuestos'!$E$2:$E$13,"OK",'Conciliacion de compuestos'!$O$2:$O$13,A113))&gt;0,IFERROR(TEXTJOIN(CHAR(10),TRUE,FILTER('Conciliacion de compuestos'!$A$2:$A$13,('Conciliacion de compuestos'!$D$2:$D$13="conciliado")*('Conciliacion de compuestos'!$E$2:$E$13="OK")*((('Conciliacion de compuestos'!$M$2:$M$13=A113)+('Conciliacion de compuestos'!$N$2:$N$13=A113)+('Conciliacion de compuestos'!$O$2:$O$13=A113))&gt;0))),""),"")</f>
        <v/>
      </c>
      <c r="G113" s="11">
        <f>IF(I113="conciliado","conciliado","por revisar")</f>
        <v/>
      </c>
      <c r="H113" s="11" t="inlineStr"/>
      <c r="I113" s="11">
        <f>IF(SUM(COUNTIFS('Conciliacion de compuestos'!$D$2:$D$13,"conciliado",'Conciliacion de compuestos'!$E$2:$E$13,"OK",'Conciliacion de compuestos'!$M$2:$M$13,A113),COUNTIFS('Conciliacion de compuestos'!$D$2:$D$13,"conciliado",'Conciliacion de compuestos'!$E$2:$E$13,"OK",'Conciliacion de compuestos'!$N$2:$N$13,A113),COUNTIFS('Conciliacion de compuestos'!$D$2:$D$13,"conciliado",'Conciliacion de compuestos'!$E$2:$E$13,"OK",'Conciliacion de compuestos'!$O$2:$O$13,A113))&gt;0,"conciliado","por revisar")</f>
        <v/>
      </c>
    </row>
    <row r="114">
      <c r="A114" s="11" t="n">
        <v>147</v>
      </c>
      <c r="B114" s="12" t="n">
        <v>46038</v>
      </c>
      <c r="C114" s="11" t="inlineStr">
        <is>
          <t>d luis ruiz tarapuez</t>
        </is>
      </c>
      <c r="D114" s="13" t="n">
        <v>119200</v>
      </c>
      <c r="E114" s="11">
        <f>IF(G114="conciliado","conciliado",I114)</f>
        <v/>
      </c>
      <c r="F114" s="11">
        <f>IF(SUM(COUNTIFS('Conciliacion de compuestos'!$D$2:$D$13,"conciliado",'Conciliacion de compuestos'!$E$2:$E$13,"OK",'Conciliacion de compuestos'!$M$2:$M$13,A114),COUNTIFS('Conciliacion de compuestos'!$D$2:$D$13,"conciliado",'Conciliacion de compuestos'!$E$2:$E$13,"OK",'Conciliacion de compuestos'!$N$2:$N$13,A114),COUNTIFS('Conciliacion de compuestos'!$D$2:$D$13,"conciliado",'Conciliacion de compuestos'!$E$2:$E$13,"OK",'Conciliacion de compuestos'!$O$2:$O$13,A114))&gt;0,IFERROR(TEXTJOIN(CHAR(10),TRUE,FILTER('Conciliacion de compuestos'!$A$2:$A$13,('Conciliacion de compuestos'!$D$2:$D$13="conciliado")*('Conciliacion de compuestos'!$E$2:$E$13="OK")*((('Conciliacion de compuestos'!$M$2:$M$13=A114)+('Conciliacion de compuestos'!$N$2:$N$13=A114)+('Conciliacion de compuestos'!$O$2:$O$13=A114))&gt;0))),""),"")</f>
        <v/>
      </c>
      <c r="G114" s="11">
        <f>IF(I114="conciliado","conciliado","por revisar")</f>
        <v/>
      </c>
      <c r="H114" s="11" t="inlineStr"/>
      <c r="I114" s="11">
        <f>IF(SUM(COUNTIFS('Conciliacion de compuestos'!$D$2:$D$13,"conciliado",'Conciliacion de compuestos'!$E$2:$E$13,"OK",'Conciliacion de compuestos'!$M$2:$M$13,A114),COUNTIFS('Conciliacion de compuestos'!$D$2:$D$13,"conciliado",'Conciliacion de compuestos'!$E$2:$E$13,"OK",'Conciliacion de compuestos'!$N$2:$N$13,A114),COUNTIFS('Conciliacion de compuestos'!$D$2:$D$13,"conciliado",'Conciliacion de compuestos'!$E$2:$E$13,"OK",'Conciliacion de compuestos'!$O$2:$O$13,A114))&gt;0,"conciliado","por revisar")</f>
        <v/>
      </c>
    </row>
    <row r="115">
      <c r="A115" s="11" t="n">
        <v>152</v>
      </c>
      <c r="B115" s="12" t="n">
        <v>46039</v>
      </c>
      <c r="C115" s="11" t="inlineStr">
        <is>
          <t>lina ma munoz nocove</t>
        </is>
      </c>
      <c r="D115" s="13" t="n">
        <v>42900</v>
      </c>
      <c r="E115" s="11">
        <f>IF(G115="conciliado","conciliado",I115)</f>
        <v/>
      </c>
      <c r="F115" s="11">
        <f>IF(SUM(COUNTIFS('Conciliacion de compuestos'!$D$2:$D$13,"conciliado",'Conciliacion de compuestos'!$E$2:$E$13,"OK",'Conciliacion de compuestos'!$M$2:$M$13,A115),COUNTIFS('Conciliacion de compuestos'!$D$2:$D$13,"conciliado",'Conciliacion de compuestos'!$E$2:$E$13,"OK",'Conciliacion de compuestos'!$N$2:$N$13,A115),COUNTIFS('Conciliacion de compuestos'!$D$2:$D$13,"conciliado",'Conciliacion de compuestos'!$E$2:$E$13,"OK",'Conciliacion de compuestos'!$O$2:$O$13,A115))&gt;0,IFERROR(TEXTJOIN(CHAR(10),TRUE,FILTER('Conciliacion de compuestos'!$A$2:$A$13,('Conciliacion de compuestos'!$D$2:$D$13="conciliado")*('Conciliacion de compuestos'!$E$2:$E$13="OK")*((('Conciliacion de compuestos'!$M$2:$M$13=A115)+('Conciliacion de compuestos'!$N$2:$N$13=A115)+('Conciliacion de compuestos'!$O$2:$O$13=A115))&gt;0))),""),"")</f>
        <v/>
      </c>
      <c r="G115" s="11">
        <f>IF(I115="conciliado","conciliado","por revisar")</f>
        <v/>
      </c>
      <c r="H115" s="11" t="inlineStr"/>
      <c r="I115" s="11">
        <f>IF(SUM(COUNTIFS('Conciliacion de compuestos'!$D$2:$D$13,"conciliado",'Conciliacion de compuestos'!$E$2:$E$13,"OK",'Conciliacion de compuestos'!$M$2:$M$13,A115),COUNTIFS('Conciliacion de compuestos'!$D$2:$D$13,"conciliado",'Conciliacion de compuestos'!$E$2:$E$13,"OK",'Conciliacion de compuestos'!$N$2:$N$13,A115),COUNTIFS('Conciliacion de compuestos'!$D$2:$D$13,"conciliado",'Conciliacion de compuestos'!$E$2:$E$13,"OK",'Conciliacion de compuestos'!$O$2:$O$13,A115))&gt;0,"conciliado","por revisar")</f>
        <v/>
      </c>
    </row>
    <row r="116">
      <c r="A116" s="11" t="n">
        <v>153</v>
      </c>
      <c r="B116" s="12" t="n">
        <v>46039</v>
      </c>
      <c r="C116" s="11" t="inlineStr">
        <is>
          <t>gutierrez juan rojas</t>
        </is>
      </c>
      <c r="D116" s="13" t="n">
        <v>26500</v>
      </c>
      <c r="E116" s="11">
        <f>IF(G116="conciliado","conciliado",I116)</f>
        <v/>
      </c>
      <c r="F116" s="11">
        <f>IF(SUM(COUNTIFS('Conciliacion de compuestos'!$D$2:$D$13,"conciliado",'Conciliacion de compuestos'!$E$2:$E$13,"OK",'Conciliacion de compuestos'!$M$2:$M$13,A116),COUNTIFS('Conciliacion de compuestos'!$D$2:$D$13,"conciliado",'Conciliacion de compuestos'!$E$2:$E$13,"OK",'Conciliacion de compuestos'!$N$2:$N$13,A116),COUNTIFS('Conciliacion de compuestos'!$D$2:$D$13,"conciliado",'Conciliacion de compuestos'!$E$2:$E$13,"OK",'Conciliacion de compuestos'!$O$2:$O$13,A116))&gt;0,IFERROR(TEXTJOIN(CHAR(10),TRUE,FILTER('Conciliacion de compuestos'!$A$2:$A$13,('Conciliacion de compuestos'!$D$2:$D$13="conciliado")*('Conciliacion de compuestos'!$E$2:$E$13="OK")*((('Conciliacion de compuestos'!$M$2:$M$13=A116)+('Conciliacion de compuestos'!$N$2:$N$13=A116)+('Conciliacion de compuestos'!$O$2:$O$13=A116))&gt;0))),""),"")</f>
        <v/>
      </c>
      <c r="G116" s="11">
        <f>IF(I116="conciliado","conciliado","por revisar")</f>
        <v/>
      </c>
      <c r="H116" s="11" t="inlineStr"/>
      <c r="I116" s="11">
        <f>IF(SUM(COUNTIFS('Conciliacion de compuestos'!$D$2:$D$13,"conciliado",'Conciliacion de compuestos'!$E$2:$E$13,"OK",'Conciliacion de compuestos'!$M$2:$M$13,A116),COUNTIFS('Conciliacion de compuestos'!$D$2:$D$13,"conciliado",'Conciliacion de compuestos'!$E$2:$E$13,"OK",'Conciliacion de compuestos'!$N$2:$N$13,A116),COUNTIFS('Conciliacion de compuestos'!$D$2:$D$13,"conciliado",'Conciliacion de compuestos'!$E$2:$E$13,"OK",'Conciliacion de compuestos'!$O$2:$O$13,A116))&gt;0,"conciliado","por revisar")</f>
        <v/>
      </c>
    </row>
    <row r="117">
      <c r="A117" s="11" t="n">
        <v>146</v>
      </c>
      <c r="B117" s="12" t="n">
        <v>46038</v>
      </c>
      <c r="C117" s="11" t="inlineStr">
        <is>
          <t>falcon romero solano</t>
        </is>
      </c>
      <c r="D117" s="13" t="n">
        <v>99200</v>
      </c>
      <c r="E117" s="11">
        <f>IF(G117="conciliado","conciliado",I117)</f>
        <v/>
      </c>
      <c r="F117" s="11">
        <f>IF(SUM(COUNTIFS('Conciliacion de compuestos'!$D$2:$D$13,"conciliado",'Conciliacion de compuestos'!$E$2:$E$13,"OK",'Conciliacion de compuestos'!$M$2:$M$13,A117),COUNTIFS('Conciliacion de compuestos'!$D$2:$D$13,"conciliado",'Conciliacion de compuestos'!$E$2:$E$13,"OK",'Conciliacion de compuestos'!$N$2:$N$13,A117),COUNTIFS('Conciliacion de compuestos'!$D$2:$D$13,"conciliado",'Conciliacion de compuestos'!$E$2:$E$13,"OK",'Conciliacion de compuestos'!$O$2:$O$13,A117))&gt;0,IFERROR(TEXTJOIN(CHAR(10),TRUE,FILTER('Conciliacion de compuestos'!$A$2:$A$13,('Conciliacion de compuestos'!$D$2:$D$13="conciliado")*('Conciliacion de compuestos'!$E$2:$E$13="OK")*((('Conciliacion de compuestos'!$M$2:$M$13=A117)+('Conciliacion de compuestos'!$N$2:$N$13=A117)+('Conciliacion de compuestos'!$O$2:$O$13=A117))&gt;0))),""),"")</f>
        <v/>
      </c>
      <c r="G117" s="11">
        <f>IF(I117="conciliado","conciliado","por revisar")</f>
        <v/>
      </c>
      <c r="H117" s="11" t="inlineStr"/>
      <c r="I117" s="11">
        <f>IF(SUM(COUNTIFS('Conciliacion de compuestos'!$D$2:$D$13,"conciliado",'Conciliacion de compuestos'!$E$2:$E$13,"OK",'Conciliacion de compuestos'!$M$2:$M$13,A117),COUNTIFS('Conciliacion de compuestos'!$D$2:$D$13,"conciliado",'Conciliacion de compuestos'!$E$2:$E$13,"OK",'Conciliacion de compuestos'!$N$2:$N$13,A117),COUNTIFS('Conciliacion de compuestos'!$D$2:$D$13,"conciliado",'Conciliacion de compuestos'!$E$2:$E$13,"OK",'Conciliacion de compuestos'!$O$2:$O$13,A117))&gt;0,"conciliado","por revisar")</f>
        <v/>
      </c>
    </row>
    <row r="118">
      <c r="A118" s="11" t="n">
        <v>149</v>
      </c>
      <c r="B118" s="12" t="n">
        <v>46038</v>
      </c>
      <c r="C118" s="11" t="inlineStr">
        <is>
          <t>adal carrillo romero</t>
        </is>
      </c>
      <c r="D118" s="13" t="n">
        <v>101600</v>
      </c>
      <c r="E118" s="11">
        <f>IF(G118="conciliado","conciliado",I118)</f>
        <v/>
      </c>
      <c r="F118" s="11">
        <f>IF(SUM(COUNTIFS('Conciliacion de compuestos'!$D$2:$D$13,"conciliado",'Conciliacion de compuestos'!$E$2:$E$13,"OK",'Conciliacion de compuestos'!$M$2:$M$13,A118),COUNTIFS('Conciliacion de compuestos'!$D$2:$D$13,"conciliado",'Conciliacion de compuestos'!$E$2:$E$13,"OK",'Conciliacion de compuestos'!$N$2:$N$13,A118),COUNTIFS('Conciliacion de compuestos'!$D$2:$D$13,"conciliado",'Conciliacion de compuestos'!$E$2:$E$13,"OK",'Conciliacion de compuestos'!$O$2:$O$13,A118))&gt;0,IFERROR(TEXTJOIN(CHAR(10),TRUE,FILTER('Conciliacion de compuestos'!$A$2:$A$13,('Conciliacion de compuestos'!$D$2:$D$13="conciliado")*('Conciliacion de compuestos'!$E$2:$E$13="OK")*((('Conciliacion de compuestos'!$M$2:$M$13=A118)+('Conciliacion de compuestos'!$N$2:$N$13=A118)+('Conciliacion de compuestos'!$O$2:$O$13=A118))&gt;0))),""),"")</f>
        <v/>
      </c>
      <c r="G118" s="11">
        <f>IF(I118="conciliado","conciliado","por revisar")</f>
        <v/>
      </c>
      <c r="H118" s="11" t="inlineStr"/>
      <c r="I118" s="11">
        <f>IF(SUM(COUNTIFS('Conciliacion de compuestos'!$D$2:$D$13,"conciliado",'Conciliacion de compuestos'!$E$2:$E$13,"OK",'Conciliacion de compuestos'!$M$2:$M$13,A118),COUNTIFS('Conciliacion de compuestos'!$D$2:$D$13,"conciliado",'Conciliacion de compuestos'!$E$2:$E$13,"OK",'Conciliacion de compuestos'!$N$2:$N$13,A118),COUNTIFS('Conciliacion de compuestos'!$D$2:$D$13,"conciliado",'Conciliacion de compuestos'!$E$2:$E$13,"OK",'Conciliacion de compuestos'!$O$2:$O$13,A118))&gt;0,"conciliado","por revisar")</f>
        <v/>
      </c>
    </row>
    <row r="119">
      <c r="A119" s="11" t="n">
        <v>150</v>
      </c>
      <c r="B119" s="12" t="n">
        <v>46039</v>
      </c>
      <c r="C119" s="11" t="inlineStr">
        <is>
          <t>buelvas diaz jose mi</t>
        </is>
      </c>
      <c r="D119" s="13" t="n">
        <v>150800</v>
      </c>
      <c r="E119" s="11">
        <f>IF(G119="conciliado","conciliado",I119)</f>
        <v/>
      </c>
      <c r="F119" s="11">
        <f>IF(SUM(COUNTIFS('Conciliacion de compuestos'!$D$2:$D$13,"conciliado",'Conciliacion de compuestos'!$E$2:$E$13,"OK",'Conciliacion de compuestos'!$M$2:$M$13,A119),COUNTIFS('Conciliacion de compuestos'!$D$2:$D$13,"conciliado",'Conciliacion de compuestos'!$E$2:$E$13,"OK",'Conciliacion de compuestos'!$N$2:$N$13,A119),COUNTIFS('Conciliacion de compuestos'!$D$2:$D$13,"conciliado",'Conciliacion de compuestos'!$E$2:$E$13,"OK",'Conciliacion de compuestos'!$O$2:$O$13,A119))&gt;0,IFERROR(TEXTJOIN(CHAR(10),TRUE,FILTER('Conciliacion de compuestos'!$A$2:$A$13,('Conciliacion de compuestos'!$D$2:$D$13="conciliado")*('Conciliacion de compuestos'!$E$2:$E$13="OK")*((('Conciliacion de compuestos'!$M$2:$M$13=A119)+('Conciliacion de compuestos'!$N$2:$N$13=A119)+('Conciliacion de compuestos'!$O$2:$O$13=A119))&gt;0))),""),"")</f>
        <v/>
      </c>
      <c r="G119" s="11">
        <f>IF(I119="conciliado","conciliado","por revisar")</f>
        <v/>
      </c>
      <c r="H119" s="11" t="inlineStr"/>
      <c r="I119" s="11">
        <f>IF(SUM(COUNTIFS('Conciliacion de compuestos'!$D$2:$D$13,"conciliado",'Conciliacion de compuestos'!$E$2:$E$13,"OK",'Conciliacion de compuestos'!$M$2:$M$13,A119),COUNTIFS('Conciliacion de compuestos'!$D$2:$D$13,"conciliado",'Conciliacion de compuestos'!$E$2:$E$13,"OK",'Conciliacion de compuestos'!$N$2:$N$13,A119),COUNTIFS('Conciliacion de compuestos'!$D$2:$D$13,"conciliado",'Conciliacion de compuestos'!$E$2:$E$13,"OK",'Conciliacion de compuestos'!$O$2:$O$13,A119))&gt;0,"conciliado","por revisar")</f>
        <v/>
      </c>
    </row>
    <row r="120">
      <c r="A120" s="11" t="n">
        <v>156</v>
      </c>
      <c r="B120" s="12" t="n">
        <v>46040</v>
      </c>
      <c r="C120" s="11" t="inlineStr">
        <is>
          <t>florez londono yesid</t>
        </is>
      </c>
      <c r="D120" s="13" t="n">
        <v>25000</v>
      </c>
      <c r="E120" s="11">
        <f>IF(G120="conciliado","conciliado",I120)</f>
        <v/>
      </c>
      <c r="F120" s="11">
        <f>IF(SUM(COUNTIFS('Conciliacion de compuestos'!$D$2:$D$13,"conciliado",'Conciliacion de compuestos'!$E$2:$E$13,"OK",'Conciliacion de compuestos'!$M$2:$M$13,A120),COUNTIFS('Conciliacion de compuestos'!$D$2:$D$13,"conciliado",'Conciliacion de compuestos'!$E$2:$E$13,"OK",'Conciliacion de compuestos'!$N$2:$N$13,A120),COUNTIFS('Conciliacion de compuestos'!$D$2:$D$13,"conciliado",'Conciliacion de compuestos'!$E$2:$E$13,"OK",'Conciliacion de compuestos'!$O$2:$O$13,A120))&gt;0,IFERROR(TEXTJOIN(CHAR(10),TRUE,FILTER('Conciliacion de compuestos'!$A$2:$A$13,('Conciliacion de compuestos'!$D$2:$D$13="conciliado")*('Conciliacion de compuestos'!$E$2:$E$13="OK")*((('Conciliacion de compuestos'!$M$2:$M$13=A120)+('Conciliacion de compuestos'!$N$2:$N$13=A120)+('Conciliacion de compuestos'!$O$2:$O$13=A120))&gt;0))),""),"")</f>
        <v/>
      </c>
      <c r="G120" s="11">
        <f>IF(I120="conciliado","conciliado","por revisar")</f>
        <v/>
      </c>
      <c r="H120" s="11" t="inlineStr"/>
      <c r="I120" s="11">
        <f>IF(SUM(COUNTIFS('Conciliacion de compuestos'!$D$2:$D$13,"conciliado",'Conciliacion de compuestos'!$E$2:$E$13,"OK",'Conciliacion de compuestos'!$M$2:$M$13,A120),COUNTIFS('Conciliacion de compuestos'!$D$2:$D$13,"conciliado",'Conciliacion de compuestos'!$E$2:$E$13,"OK",'Conciliacion de compuestos'!$N$2:$N$13,A120),COUNTIFS('Conciliacion de compuestos'!$D$2:$D$13,"conciliado",'Conciliacion de compuestos'!$E$2:$E$13,"OK",'Conciliacion de compuestos'!$O$2:$O$13,A120))&gt;0,"conciliado","por revisar")</f>
        <v/>
      </c>
    </row>
    <row r="121">
      <c r="A121" s="11" t="n">
        <v>155</v>
      </c>
      <c r="B121" s="12" t="n">
        <v>46040</v>
      </c>
      <c r="C121" s="11" t="inlineStr">
        <is>
          <t>acosta jaiber rosero</t>
        </is>
      </c>
      <c r="D121" s="13" t="n">
        <v>204800</v>
      </c>
      <c r="E121" s="11">
        <f>IF(G121="conciliado","conciliado",I121)</f>
        <v/>
      </c>
      <c r="F121" s="11">
        <f>IF(SUM(COUNTIFS('Conciliacion de compuestos'!$D$2:$D$13,"conciliado",'Conciliacion de compuestos'!$E$2:$E$13,"OK",'Conciliacion de compuestos'!$M$2:$M$13,A121),COUNTIFS('Conciliacion de compuestos'!$D$2:$D$13,"conciliado",'Conciliacion de compuestos'!$E$2:$E$13,"OK",'Conciliacion de compuestos'!$N$2:$N$13,A121),COUNTIFS('Conciliacion de compuestos'!$D$2:$D$13,"conciliado",'Conciliacion de compuestos'!$E$2:$E$13,"OK",'Conciliacion de compuestos'!$O$2:$O$13,A121))&gt;0,IFERROR(TEXTJOIN(CHAR(10),TRUE,FILTER('Conciliacion de compuestos'!$A$2:$A$13,('Conciliacion de compuestos'!$D$2:$D$13="conciliado")*('Conciliacion de compuestos'!$E$2:$E$13="OK")*((('Conciliacion de compuestos'!$M$2:$M$13=A121)+('Conciliacion de compuestos'!$N$2:$N$13=A121)+('Conciliacion de compuestos'!$O$2:$O$13=A121))&gt;0))),""),"")</f>
        <v/>
      </c>
      <c r="G121" s="11">
        <f>IF(I121="conciliado","conciliado","por revisar")</f>
        <v/>
      </c>
      <c r="H121" s="11" t="inlineStr"/>
      <c r="I121" s="11">
        <f>IF(SUM(COUNTIFS('Conciliacion de compuestos'!$D$2:$D$13,"conciliado",'Conciliacion de compuestos'!$E$2:$E$13,"OK",'Conciliacion de compuestos'!$M$2:$M$13,A121),COUNTIFS('Conciliacion de compuestos'!$D$2:$D$13,"conciliado",'Conciliacion de compuestos'!$E$2:$E$13,"OK",'Conciliacion de compuestos'!$N$2:$N$13,A121),COUNTIFS('Conciliacion de compuestos'!$D$2:$D$13,"conciliado",'Conciliacion de compuestos'!$E$2:$E$13,"OK",'Conciliacion de compuestos'!$O$2:$O$13,A121))&gt;0,"conciliado","por revisar")</f>
        <v/>
      </c>
    </row>
    <row r="122">
      <c r="A122" s="11" t="n">
        <v>168</v>
      </c>
      <c r="B122" s="12" t="n">
        <v>46041</v>
      </c>
      <c r="C122" s="11" t="inlineStr">
        <is>
          <t>gomez montenegro san</t>
        </is>
      </c>
      <c r="D122" s="13" t="n">
        <v>26800</v>
      </c>
      <c r="E122" s="11">
        <f>IF(G122="conciliado","conciliado",I122)</f>
        <v/>
      </c>
      <c r="F122" s="11">
        <f>IF(SUM(COUNTIFS('Conciliacion de compuestos'!$D$2:$D$13,"conciliado",'Conciliacion de compuestos'!$E$2:$E$13,"OK",'Conciliacion de compuestos'!$M$2:$M$13,A122),COUNTIFS('Conciliacion de compuestos'!$D$2:$D$13,"conciliado",'Conciliacion de compuestos'!$E$2:$E$13,"OK",'Conciliacion de compuestos'!$N$2:$N$13,A122),COUNTIFS('Conciliacion de compuestos'!$D$2:$D$13,"conciliado",'Conciliacion de compuestos'!$E$2:$E$13,"OK",'Conciliacion de compuestos'!$O$2:$O$13,A122))&gt;0,IFERROR(TEXTJOIN(CHAR(10),TRUE,FILTER('Conciliacion de compuestos'!$A$2:$A$13,('Conciliacion de compuestos'!$D$2:$D$13="conciliado")*('Conciliacion de compuestos'!$E$2:$E$13="OK")*((('Conciliacion de compuestos'!$M$2:$M$13=A122)+('Conciliacion de compuestos'!$N$2:$N$13=A122)+('Conciliacion de compuestos'!$O$2:$O$13=A122))&gt;0))),""),"")</f>
        <v/>
      </c>
      <c r="G122" s="11">
        <f>IF(I122="conciliado","conciliado","por revisar")</f>
        <v/>
      </c>
      <c r="H122" s="11" t="inlineStr"/>
      <c r="I122" s="11">
        <f>IF(SUM(COUNTIFS('Conciliacion de compuestos'!$D$2:$D$13,"conciliado",'Conciliacion de compuestos'!$E$2:$E$13,"OK",'Conciliacion de compuestos'!$M$2:$M$13,A122),COUNTIFS('Conciliacion de compuestos'!$D$2:$D$13,"conciliado",'Conciliacion de compuestos'!$E$2:$E$13,"OK",'Conciliacion de compuestos'!$N$2:$N$13,A122),COUNTIFS('Conciliacion de compuestos'!$D$2:$D$13,"conciliado",'Conciliacion de compuestos'!$E$2:$E$13,"OK",'Conciliacion de compuestos'!$O$2:$O$13,A122))&gt;0,"conciliado","por revisar")</f>
        <v/>
      </c>
    </row>
    <row r="123">
      <c r="A123" s="11" t="n">
        <v>170</v>
      </c>
      <c r="B123" s="12" t="n">
        <v>46041</v>
      </c>
      <c r="C123" s="11" t="inlineStr">
        <is>
          <t>cerquera montenegro</t>
        </is>
      </c>
      <c r="D123" s="13" t="n">
        <v>21100</v>
      </c>
      <c r="E123" s="11">
        <f>IF(G123="conciliado","conciliado",I123)</f>
        <v/>
      </c>
      <c r="F123" s="11">
        <f>IF(SUM(COUNTIFS('Conciliacion de compuestos'!$D$2:$D$13,"conciliado",'Conciliacion de compuestos'!$E$2:$E$13,"OK",'Conciliacion de compuestos'!$M$2:$M$13,A123),COUNTIFS('Conciliacion de compuestos'!$D$2:$D$13,"conciliado",'Conciliacion de compuestos'!$E$2:$E$13,"OK",'Conciliacion de compuestos'!$N$2:$N$13,A123),COUNTIFS('Conciliacion de compuestos'!$D$2:$D$13,"conciliado",'Conciliacion de compuestos'!$E$2:$E$13,"OK",'Conciliacion de compuestos'!$O$2:$O$13,A123))&gt;0,IFERROR(TEXTJOIN(CHAR(10),TRUE,FILTER('Conciliacion de compuestos'!$A$2:$A$13,('Conciliacion de compuestos'!$D$2:$D$13="conciliado")*('Conciliacion de compuestos'!$E$2:$E$13="OK")*((('Conciliacion de compuestos'!$M$2:$M$13=A123)+('Conciliacion de compuestos'!$N$2:$N$13=A123)+('Conciliacion de compuestos'!$O$2:$O$13=A123))&gt;0))),""),"")</f>
        <v/>
      </c>
      <c r="G123" s="11">
        <f>IF(I123="conciliado","conciliado","por revisar")</f>
        <v/>
      </c>
      <c r="H123" s="11" t="inlineStr"/>
      <c r="I123" s="11">
        <f>IF(SUM(COUNTIFS('Conciliacion de compuestos'!$D$2:$D$13,"conciliado",'Conciliacion de compuestos'!$E$2:$E$13,"OK",'Conciliacion de compuestos'!$M$2:$M$13,A123),COUNTIFS('Conciliacion de compuestos'!$D$2:$D$13,"conciliado",'Conciliacion de compuestos'!$E$2:$E$13,"OK",'Conciliacion de compuestos'!$N$2:$N$13,A123),COUNTIFS('Conciliacion de compuestos'!$D$2:$D$13,"conciliado",'Conciliacion de compuestos'!$E$2:$E$13,"OK",'Conciliacion de compuestos'!$O$2:$O$13,A123))&gt;0,"conciliado","por revisar")</f>
        <v/>
      </c>
    </row>
    <row r="124">
      <c r="A124" s="11" t="n">
        <v>172</v>
      </c>
      <c r="B124" s="12" t="n">
        <v>46041</v>
      </c>
      <c r="C124" s="11" t="inlineStr">
        <is>
          <t>benavides lopez sixt</t>
        </is>
      </c>
      <c r="D124" s="13" t="n">
        <v>149800</v>
      </c>
      <c r="E124" s="11">
        <f>IF(G124="conciliado","conciliado",I124)</f>
        <v/>
      </c>
      <c r="F124" s="11">
        <f>IF(SUM(COUNTIFS('Conciliacion de compuestos'!$D$2:$D$13,"conciliado",'Conciliacion de compuestos'!$E$2:$E$13,"OK",'Conciliacion de compuestos'!$M$2:$M$13,A124),COUNTIFS('Conciliacion de compuestos'!$D$2:$D$13,"conciliado",'Conciliacion de compuestos'!$E$2:$E$13,"OK",'Conciliacion de compuestos'!$N$2:$N$13,A124),COUNTIFS('Conciliacion de compuestos'!$D$2:$D$13,"conciliado",'Conciliacion de compuestos'!$E$2:$E$13,"OK",'Conciliacion de compuestos'!$O$2:$O$13,A124))&gt;0,IFERROR(TEXTJOIN(CHAR(10),TRUE,FILTER('Conciliacion de compuestos'!$A$2:$A$13,('Conciliacion de compuestos'!$D$2:$D$13="conciliado")*('Conciliacion de compuestos'!$E$2:$E$13="OK")*((('Conciliacion de compuestos'!$M$2:$M$13=A124)+('Conciliacion de compuestos'!$N$2:$N$13=A124)+('Conciliacion de compuestos'!$O$2:$O$13=A124))&gt;0))),""),"")</f>
        <v/>
      </c>
      <c r="G124" s="11">
        <f>IF(I124="conciliado","conciliado","por revisar")</f>
        <v/>
      </c>
      <c r="H124" s="11" t="inlineStr"/>
      <c r="I124" s="11">
        <f>IF(SUM(COUNTIFS('Conciliacion de compuestos'!$D$2:$D$13,"conciliado",'Conciliacion de compuestos'!$E$2:$E$13,"OK",'Conciliacion de compuestos'!$M$2:$M$13,A124),COUNTIFS('Conciliacion de compuestos'!$D$2:$D$13,"conciliado",'Conciliacion de compuestos'!$E$2:$E$13,"OK",'Conciliacion de compuestos'!$N$2:$N$13,A124),COUNTIFS('Conciliacion de compuestos'!$D$2:$D$13,"conciliado",'Conciliacion de compuestos'!$E$2:$E$13,"OK",'Conciliacion de compuestos'!$O$2:$O$13,A124))&gt;0,"conciliado","por revisar")</f>
        <v/>
      </c>
    </row>
    <row r="125">
      <c r="A125" s="11" t="n">
        <v>166</v>
      </c>
      <c r="B125" s="12" t="n">
        <v>46041</v>
      </c>
      <c r="C125" s="11" t="inlineStr">
        <is>
          <t>al diego mueses sabi</t>
        </is>
      </c>
      <c r="D125" s="13" t="n">
        <v>84700</v>
      </c>
      <c r="E125" s="11">
        <f>IF(G125="conciliado","conciliado",I125)</f>
        <v/>
      </c>
      <c r="F125" s="11">
        <f>IF(SUM(COUNTIFS('Conciliacion de compuestos'!$D$2:$D$13,"conciliado",'Conciliacion de compuestos'!$E$2:$E$13,"OK",'Conciliacion de compuestos'!$M$2:$M$13,A125),COUNTIFS('Conciliacion de compuestos'!$D$2:$D$13,"conciliado",'Conciliacion de compuestos'!$E$2:$E$13,"OK",'Conciliacion de compuestos'!$N$2:$N$13,A125),COUNTIFS('Conciliacion de compuestos'!$D$2:$D$13,"conciliado",'Conciliacion de compuestos'!$E$2:$E$13,"OK",'Conciliacion de compuestos'!$O$2:$O$13,A125))&gt;0,IFERROR(TEXTJOIN(CHAR(10),TRUE,FILTER('Conciliacion de compuestos'!$A$2:$A$13,('Conciliacion de compuestos'!$D$2:$D$13="conciliado")*('Conciliacion de compuestos'!$E$2:$E$13="OK")*((('Conciliacion de compuestos'!$M$2:$M$13=A125)+('Conciliacion de compuestos'!$N$2:$N$13=A125)+('Conciliacion de compuestos'!$O$2:$O$13=A125))&gt;0))),""),"")</f>
        <v/>
      </c>
      <c r="G125" s="11">
        <f>IF(I125="conciliado","conciliado","por revisar")</f>
        <v/>
      </c>
      <c r="H125" s="11" t="inlineStr"/>
      <c r="I125" s="11">
        <f>IF(SUM(COUNTIFS('Conciliacion de compuestos'!$D$2:$D$13,"conciliado",'Conciliacion de compuestos'!$E$2:$E$13,"OK",'Conciliacion de compuestos'!$M$2:$M$13,A125),COUNTIFS('Conciliacion de compuestos'!$D$2:$D$13,"conciliado",'Conciliacion de compuestos'!$E$2:$E$13,"OK",'Conciliacion de compuestos'!$N$2:$N$13,A125),COUNTIFS('Conciliacion de compuestos'!$D$2:$D$13,"conciliado",'Conciliacion de compuestos'!$E$2:$E$13,"OK",'Conciliacion de compuestos'!$O$2:$O$13,A125))&gt;0,"conciliado","por revisar")</f>
        <v/>
      </c>
    </row>
    <row r="126">
      <c r="A126" s="11" t="n">
        <v>171</v>
      </c>
      <c r="B126" s="12" t="n">
        <v>46041</v>
      </c>
      <c r="C126" s="11" t="inlineStr">
        <is>
          <t>cabrera f luis saenz</t>
        </is>
      </c>
      <c r="D126" s="13" t="n">
        <v>216000</v>
      </c>
      <c r="E126" s="11">
        <f>IF(G126="conciliado","conciliado",I126)</f>
        <v/>
      </c>
      <c r="F126" s="11">
        <f>IF(SUM(COUNTIFS('Conciliacion de compuestos'!$D$2:$D$13,"conciliado",'Conciliacion de compuestos'!$E$2:$E$13,"OK",'Conciliacion de compuestos'!$M$2:$M$13,A126),COUNTIFS('Conciliacion de compuestos'!$D$2:$D$13,"conciliado",'Conciliacion de compuestos'!$E$2:$E$13,"OK",'Conciliacion de compuestos'!$N$2:$N$13,A126),COUNTIFS('Conciliacion de compuestos'!$D$2:$D$13,"conciliado",'Conciliacion de compuestos'!$E$2:$E$13,"OK",'Conciliacion de compuestos'!$O$2:$O$13,A126))&gt;0,IFERROR(TEXTJOIN(CHAR(10),TRUE,FILTER('Conciliacion de compuestos'!$A$2:$A$13,('Conciliacion de compuestos'!$D$2:$D$13="conciliado")*('Conciliacion de compuestos'!$E$2:$E$13="OK")*((('Conciliacion de compuestos'!$M$2:$M$13=A126)+('Conciliacion de compuestos'!$N$2:$N$13=A126)+('Conciliacion de compuestos'!$O$2:$O$13=A126))&gt;0))),""),"")</f>
        <v/>
      </c>
      <c r="G126" s="11">
        <f>IF(I126="conciliado","conciliado","por revisar")</f>
        <v/>
      </c>
      <c r="H126" s="11" t="inlineStr"/>
      <c r="I126" s="11">
        <f>IF(SUM(COUNTIFS('Conciliacion de compuestos'!$D$2:$D$13,"conciliado",'Conciliacion de compuestos'!$E$2:$E$13,"OK",'Conciliacion de compuestos'!$M$2:$M$13,A126),COUNTIFS('Conciliacion de compuestos'!$D$2:$D$13,"conciliado",'Conciliacion de compuestos'!$E$2:$E$13,"OK",'Conciliacion de compuestos'!$N$2:$N$13,A126),COUNTIFS('Conciliacion de compuestos'!$D$2:$D$13,"conciliado",'Conciliacion de compuestos'!$E$2:$E$13,"OK",'Conciliacion de compuestos'!$O$2:$O$13,A126))&gt;0,"conciliado","por revisar")</f>
        <v/>
      </c>
    </row>
    <row r="127">
      <c r="A127" s="11" t="n">
        <v>176</v>
      </c>
      <c r="B127" s="12" t="n">
        <v>46041</v>
      </c>
      <c r="C127" s="11" t="inlineStr">
        <is>
          <t>industriales meta</t>
        </is>
      </c>
      <c r="D127" s="13" t="n">
        <v>260900</v>
      </c>
      <c r="E127" s="11">
        <f>IF(G127="conciliado","conciliado",I127)</f>
        <v/>
      </c>
      <c r="F127" s="11">
        <f>IF(SUM(COUNTIFS('Conciliacion de compuestos'!$D$2:$D$13,"conciliado",'Conciliacion de compuestos'!$E$2:$E$13,"OK",'Conciliacion de compuestos'!$M$2:$M$13,A127),COUNTIFS('Conciliacion de compuestos'!$D$2:$D$13,"conciliado",'Conciliacion de compuestos'!$E$2:$E$13,"OK",'Conciliacion de compuestos'!$N$2:$N$13,A127),COUNTIFS('Conciliacion de compuestos'!$D$2:$D$13,"conciliado",'Conciliacion de compuestos'!$E$2:$E$13,"OK",'Conciliacion de compuestos'!$O$2:$O$13,A127))&gt;0,IFERROR(TEXTJOIN(CHAR(10),TRUE,FILTER('Conciliacion de compuestos'!$A$2:$A$13,('Conciliacion de compuestos'!$D$2:$D$13="conciliado")*('Conciliacion de compuestos'!$E$2:$E$13="OK")*((('Conciliacion de compuestos'!$M$2:$M$13=A127)+('Conciliacion de compuestos'!$N$2:$N$13=A127)+('Conciliacion de compuestos'!$O$2:$O$13=A127))&gt;0))),""),"")</f>
        <v/>
      </c>
      <c r="G127" s="11">
        <f>IF(I127="conciliado","conciliado","por revisar")</f>
        <v/>
      </c>
      <c r="H127" s="11" t="inlineStr"/>
      <c r="I127" s="11">
        <f>IF(SUM(COUNTIFS('Conciliacion de compuestos'!$D$2:$D$13,"conciliado",'Conciliacion de compuestos'!$E$2:$E$13,"OK",'Conciliacion de compuestos'!$M$2:$M$13,A127),COUNTIFS('Conciliacion de compuestos'!$D$2:$D$13,"conciliado",'Conciliacion de compuestos'!$E$2:$E$13,"OK",'Conciliacion de compuestos'!$N$2:$N$13,A127),COUNTIFS('Conciliacion de compuestos'!$D$2:$D$13,"conciliado",'Conciliacion de compuestos'!$E$2:$E$13,"OK",'Conciliacion de compuestos'!$O$2:$O$13,A127))&gt;0,"conciliado","por revisar")</f>
        <v/>
      </c>
    </row>
    <row r="128">
      <c r="A128" s="11" t="n">
        <v>164</v>
      </c>
      <c r="B128" s="12" t="n">
        <v>46041</v>
      </c>
      <c r="C128" s="11" t="inlineStr">
        <is>
          <t>camp cardenas martin</t>
        </is>
      </c>
      <c r="D128" s="13" t="n">
        <v>106000</v>
      </c>
      <c r="E128" s="11">
        <f>IF(G128="conciliado","conciliado",I128)</f>
        <v/>
      </c>
      <c r="F128" s="11">
        <f>IF(SUM(COUNTIFS('Conciliacion de compuestos'!$D$2:$D$13,"conciliado",'Conciliacion de compuestos'!$E$2:$E$13,"OK",'Conciliacion de compuestos'!$M$2:$M$13,A128),COUNTIFS('Conciliacion de compuestos'!$D$2:$D$13,"conciliado",'Conciliacion de compuestos'!$E$2:$E$13,"OK",'Conciliacion de compuestos'!$N$2:$N$13,A128),COUNTIFS('Conciliacion de compuestos'!$D$2:$D$13,"conciliado",'Conciliacion de compuestos'!$E$2:$E$13,"OK",'Conciliacion de compuestos'!$O$2:$O$13,A128))&gt;0,IFERROR(TEXTJOIN(CHAR(10),TRUE,FILTER('Conciliacion de compuestos'!$A$2:$A$13,('Conciliacion de compuestos'!$D$2:$D$13="conciliado")*('Conciliacion de compuestos'!$E$2:$E$13="OK")*((('Conciliacion de compuestos'!$M$2:$M$13=A128)+('Conciliacion de compuestos'!$N$2:$N$13=A128)+('Conciliacion de compuestos'!$O$2:$O$13=A128))&gt;0))),""),"")</f>
        <v/>
      </c>
      <c r="G128" s="11">
        <f>IF(I128="conciliado","conciliado","por revisar")</f>
        <v/>
      </c>
      <c r="H128" s="11" t="inlineStr"/>
      <c r="I128" s="11">
        <f>IF(SUM(COUNTIFS('Conciliacion de compuestos'!$D$2:$D$13,"conciliado",'Conciliacion de compuestos'!$E$2:$E$13,"OK",'Conciliacion de compuestos'!$M$2:$M$13,A128),COUNTIFS('Conciliacion de compuestos'!$D$2:$D$13,"conciliado",'Conciliacion de compuestos'!$E$2:$E$13,"OK",'Conciliacion de compuestos'!$N$2:$N$13,A128),COUNTIFS('Conciliacion de compuestos'!$D$2:$D$13,"conciliado",'Conciliacion de compuestos'!$E$2:$E$13,"OK",'Conciliacion de compuestos'!$O$2:$O$13,A128))&gt;0,"conciliado","por revisar")</f>
        <v/>
      </c>
    </row>
    <row r="129">
      <c r="A129" s="11" t="n">
        <v>169</v>
      </c>
      <c r="B129" s="12" t="n">
        <v>46041</v>
      </c>
      <c r="C129" s="11" t="inlineStr">
        <is>
          <t>dayan florez l reyes</t>
        </is>
      </c>
      <c r="D129" s="13" t="n">
        <v>101800</v>
      </c>
      <c r="E129" s="11">
        <f>IF(G129="conciliado","conciliado",I129)</f>
        <v/>
      </c>
      <c r="F129" s="11">
        <f>IF(SUM(COUNTIFS('Conciliacion de compuestos'!$D$2:$D$13,"conciliado",'Conciliacion de compuestos'!$E$2:$E$13,"OK",'Conciliacion de compuestos'!$M$2:$M$13,A129),COUNTIFS('Conciliacion de compuestos'!$D$2:$D$13,"conciliado",'Conciliacion de compuestos'!$E$2:$E$13,"OK",'Conciliacion de compuestos'!$N$2:$N$13,A129),COUNTIFS('Conciliacion de compuestos'!$D$2:$D$13,"conciliado",'Conciliacion de compuestos'!$E$2:$E$13,"OK",'Conciliacion de compuestos'!$O$2:$O$13,A129))&gt;0,IFERROR(TEXTJOIN(CHAR(10),TRUE,FILTER('Conciliacion de compuestos'!$A$2:$A$13,('Conciliacion de compuestos'!$D$2:$D$13="conciliado")*('Conciliacion de compuestos'!$E$2:$E$13="OK")*((('Conciliacion de compuestos'!$M$2:$M$13=A129)+('Conciliacion de compuestos'!$N$2:$N$13=A129)+('Conciliacion de compuestos'!$O$2:$O$13=A129))&gt;0))),""),"")</f>
        <v/>
      </c>
      <c r="G129" s="11">
        <f>IF(I129="conciliado","conciliado","por revisar")</f>
        <v/>
      </c>
      <c r="H129" s="11" t="inlineStr"/>
      <c r="I129" s="11">
        <f>IF(SUM(COUNTIFS('Conciliacion de compuestos'!$D$2:$D$13,"conciliado",'Conciliacion de compuestos'!$E$2:$E$13,"OK",'Conciliacion de compuestos'!$M$2:$M$13,A129),COUNTIFS('Conciliacion de compuestos'!$D$2:$D$13,"conciliado",'Conciliacion de compuestos'!$E$2:$E$13,"OK",'Conciliacion de compuestos'!$N$2:$N$13,A129),COUNTIFS('Conciliacion de compuestos'!$D$2:$D$13,"conciliado",'Conciliacion de compuestos'!$E$2:$E$13,"OK",'Conciliacion de compuestos'!$O$2:$O$13,A129))&gt;0,"conciliado","por revisar")</f>
        <v/>
      </c>
    </row>
    <row r="130">
      <c r="A130" s="11" t="n">
        <v>165</v>
      </c>
      <c r="B130" s="12" t="n">
        <v>46041</v>
      </c>
      <c r="C130" s="11" t="inlineStr">
        <is>
          <t>cajigas gordillo kar</t>
        </is>
      </c>
      <c r="D130" s="13" t="n">
        <v>39400</v>
      </c>
      <c r="E130" s="11">
        <f>IF(G130="conciliado","conciliado",I130)</f>
        <v/>
      </c>
      <c r="F130" s="11">
        <f>IF(SUM(COUNTIFS('Conciliacion de compuestos'!$D$2:$D$13,"conciliado",'Conciliacion de compuestos'!$E$2:$E$13,"OK",'Conciliacion de compuestos'!$M$2:$M$13,A130),COUNTIFS('Conciliacion de compuestos'!$D$2:$D$13,"conciliado",'Conciliacion de compuestos'!$E$2:$E$13,"OK",'Conciliacion de compuestos'!$N$2:$N$13,A130),COUNTIFS('Conciliacion de compuestos'!$D$2:$D$13,"conciliado",'Conciliacion de compuestos'!$E$2:$E$13,"OK",'Conciliacion de compuestos'!$O$2:$O$13,A130))&gt;0,IFERROR(TEXTJOIN(CHAR(10),TRUE,FILTER('Conciliacion de compuestos'!$A$2:$A$13,('Conciliacion de compuestos'!$D$2:$D$13="conciliado")*('Conciliacion de compuestos'!$E$2:$E$13="OK")*((('Conciliacion de compuestos'!$M$2:$M$13=A130)+('Conciliacion de compuestos'!$N$2:$N$13=A130)+('Conciliacion de compuestos'!$O$2:$O$13=A130))&gt;0))),""),"")</f>
        <v/>
      </c>
      <c r="G130" s="11">
        <f>IF(I130="conciliado","conciliado","por revisar")</f>
        <v/>
      </c>
      <c r="H130" s="11" t="inlineStr"/>
      <c r="I130" s="11">
        <f>IF(SUM(COUNTIFS('Conciliacion de compuestos'!$D$2:$D$13,"conciliado",'Conciliacion de compuestos'!$E$2:$E$13,"OK",'Conciliacion de compuestos'!$M$2:$M$13,A130),COUNTIFS('Conciliacion de compuestos'!$D$2:$D$13,"conciliado",'Conciliacion de compuestos'!$E$2:$E$13,"OK",'Conciliacion de compuestos'!$N$2:$N$13,A130),COUNTIFS('Conciliacion de compuestos'!$D$2:$D$13,"conciliado",'Conciliacion de compuestos'!$E$2:$E$13,"OK",'Conciliacion de compuestos'!$O$2:$O$13,A130))&gt;0,"conciliado","por revisar")</f>
        <v/>
      </c>
    </row>
    <row r="131">
      <c r="A131" s="11" t="n">
        <v>173</v>
      </c>
      <c r="B131" s="12" t="n">
        <v>46041</v>
      </c>
      <c r="C131" s="11" t="inlineStr">
        <is>
          <t>cordoba diego vargas</t>
        </is>
      </c>
      <c r="D131" s="13" t="n">
        <v>49700</v>
      </c>
      <c r="E131" s="11">
        <f>IF(G131="conciliado","conciliado",I131)</f>
        <v/>
      </c>
      <c r="F131" s="11">
        <f>IF(SUM(COUNTIFS('Conciliacion de compuestos'!$D$2:$D$13,"conciliado",'Conciliacion de compuestos'!$E$2:$E$13,"OK",'Conciliacion de compuestos'!$M$2:$M$13,A131),COUNTIFS('Conciliacion de compuestos'!$D$2:$D$13,"conciliado",'Conciliacion de compuestos'!$E$2:$E$13,"OK",'Conciliacion de compuestos'!$N$2:$N$13,A131),COUNTIFS('Conciliacion de compuestos'!$D$2:$D$13,"conciliado",'Conciliacion de compuestos'!$E$2:$E$13,"OK",'Conciliacion de compuestos'!$O$2:$O$13,A131))&gt;0,IFERROR(TEXTJOIN(CHAR(10),TRUE,FILTER('Conciliacion de compuestos'!$A$2:$A$13,('Conciliacion de compuestos'!$D$2:$D$13="conciliado")*('Conciliacion de compuestos'!$E$2:$E$13="OK")*((('Conciliacion de compuestos'!$M$2:$M$13=A131)+('Conciliacion de compuestos'!$N$2:$N$13=A131)+('Conciliacion de compuestos'!$O$2:$O$13=A131))&gt;0))),""),"")</f>
        <v/>
      </c>
      <c r="G131" s="11">
        <f>IF(I131="conciliado","conciliado","por revisar")</f>
        <v/>
      </c>
      <c r="H131" s="11" t="inlineStr"/>
      <c r="I131" s="11">
        <f>IF(SUM(COUNTIFS('Conciliacion de compuestos'!$D$2:$D$13,"conciliado",'Conciliacion de compuestos'!$E$2:$E$13,"OK",'Conciliacion de compuestos'!$M$2:$M$13,A131),COUNTIFS('Conciliacion de compuestos'!$D$2:$D$13,"conciliado",'Conciliacion de compuestos'!$E$2:$E$13,"OK",'Conciliacion de compuestos'!$N$2:$N$13,A131),COUNTIFS('Conciliacion de compuestos'!$D$2:$D$13,"conciliado",'Conciliacion de compuestos'!$E$2:$E$13,"OK",'Conciliacion de compuestos'!$O$2:$O$13,A131))&gt;0,"conciliado","por revisar")</f>
        <v/>
      </c>
    </row>
    <row r="132">
      <c r="A132" s="11" t="n">
        <v>179</v>
      </c>
      <c r="B132" s="12" t="n">
        <v>46042</v>
      </c>
      <c r="C132" s="11" t="inlineStr">
        <is>
          <t>aleja chamorro vivas</t>
        </is>
      </c>
      <c r="D132" s="13" t="n">
        <v>33800</v>
      </c>
      <c r="E132" s="11">
        <f>IF(G132="conciliado","conciliado",I132)</f>
        <v/>
      </c>
      <c r="F132" s="11">
        <f>IF(SUM(COUNTIFS('Conciliacion de compuestos'!$D$2:$D$13,"conciliado",'Conciliacion de compuestos'!$E$2:$E$13,"OK",'Conciliacion de compuestos'!$M$2:$M$13,A132),COUNTIFS('Conciliacion de compuestos'!$D$2:$D$13,"conciliado",'Conciliacion de compuestos'!$E$2:$E$13,"OK",'Conciliacion de compuestos'!$N$2:$N$13,A132),COUNTIFS('Conciliacion de compuestos'!$D$2:$D$13,"conciliado",'Conciliacion de compuestos'!$E$2:$E$13,"OK",'Conciliacion de compuestos'!$O$2:$O$13,A132))&gt;0,IFERROR(TEXTJOIN(CHAR(10),TRUE,FILTER('Conciliacion de compuestos'!$A$2:$A$13,('Conciliacion de compuestos'!$D$2:$D$13="conciliado")*('Conciliacion de compuestos'!$E$2:$E$13="OK")*((('Conciliacion de compuestos'!$M$2:$M$13=A132)+('Conciliacion de compuestos'!$N$2:$N$13=A132)+('Conciliacion de compuestos'!$O$2:$O$13=A132))&gt;0))),""),"")</f>
        <v/>
      </c>
      <c r="G132" s="11">
        <f>IF(I132="conciliado","conciliado","por revisar")</f>
        <v/>
      </c>
      <c r="H132" s="11" t="inlineStr"/>
      <c r="I132" s="11">
        <f>IF(SUM(COUNTIFS('Conciliacion de compuestos'!$D$2:$D$13,"conciliado",'Conciliacion de compuestos'!$E$2:$E$13,"OK",'Conciliacion de compuestos'!$M$2:$M$13,A132),COUNTIFS('Conciliacion de compuestos'!$D$2:$D$13,"conciliado",'Conciliacion de compuestos'!$E$2:$E$13,"OK",'Conciliacion de compuestos'!$N$2:$N$13,A132),COUNTIFS('Conciliacion de compuestos'!$D$2:$D$13,"conciliado",'Conciliacion de compuestos'!$E$2:$E$13,"OK",'Conciliacion de compuestos'!$O$2:$O$13,A132))&gt;0,"conciliado","por revisar")</f>
        <v/>
      </c>
    </row>
    <row r="133">
      <c r="A133" s="11" t="n">
        <v>178</v>
      </c>
      <c r="B133" s="12" t="n">
        <v>46042</v>
      </c>
      <c r="C133" s="11" t="inlineStr">
        <is>
          <t>bastidas cordoba yol</t>
        </is>
      </c>
      <c r="D133" s="13" t="n">
        <v>54700</v>
      </c>
      <c r="E133" s="11">
        <f>IF(G133="conciliado","conciliado",I133)</f>
        <v/>
      </c>
      <c r="F133" s="11">
        <f>IF(SUM(COUNTIFS('Conciliacion de compuestos'!$D$2:$D$13,"conciliado",'Conciliacion de compuestos'!$E$2:$E$13,"OK",'Conciliacion de compuestos'!$M$2:$M$13,A133),COUNTIFS('Conciliacion de compuestos'!$D$2:$D$13,"conciliado",'Conciliacion de compuestos'!$E$2:$E$13,"OK",'Conciliacion de compuestos'!$N$2:$N$13,A133),COUNTIFS('Conciliacion de compuestos'!$D$2:$D$13,"conciliado",'Conciliacion de compuestos'!$E$2:$E$13,"OK",'Conciliacion de compuestos'!$O$2:$O$13,A133))&gt;0,IFERROR(TEXTJOIN(CHAR(10),TRUE,FILTER('Conciliacion de compuestos'!$A$2:$A$13,('Conciliacion de compuestos'!$D$2:$D$13="conciliado")*('Conciliacion de compuestos'!$E$2:$E$13="OK")*((('Conciliacion de compuestos'!$M$2:$M$13=A133)+('Conciliacion de compuestos'!$N$2:$N$13=A133)+('Conciliacion de compuestos'!$O$2:$O$13=A133))&gt;0))),""),"")</f>
        <v/>
      </c>
      <c r="G133" s="11">
        <f>IF(I133="conciliado","conciliado","por revisar")</f>
        <v/>
      </c>
      <c r="H133" s="11" t="inlineStr"/>
      <c r="I133" s="11">
        <f>IF(SUM(COUNTIFS('Conciliacion de compuestos'!$D$2:$D$13,"conciliado",'Conciliacion de compuestos'!$E$2:$E$13,"OK",'Conciliacion de compuestos'!$M$2:$M$13,A133),COUNTIFS('Conciliacion de compuestos'!$D$2:$D$13,"conciliado",'Conciliacion de compuestos'!$E$2:$E$13,"OK",'Conciliacion de compuestos'!$N$2:$N$13,A133),COUNTIFS('Conciliacion de compuestos'!$D$2:$D$13,"conciliado",'Conciliacion de compuestos'!$E$2:$E$13,"OK",'Conciliacion de compuestos'!$O$2:$O$13,A133))&gt;0,"conciliado","por revisar")</f>
        <v/>
      </c>
    </row>
    <row r="134">
      <c r="A134" s="11" t="n">
        <v>181</v>
      </c>
      <c r="B134" s="12" t="n">
        <v>46042</v>
      </c>
      <c r="C134" s="11" t="inlineStr">
        <is>
          <t>imues oscar sanchez</t>
        </is>
      </c>
      <c r="D134" s="13" t="n">
        <v>394000</v>
      </c>
      <c r="E134" s="11">
        <f>IF(G134="conciliado","conciliado",I134)</f>
        <v/>
      </c>
      <c r="F134" s="11">
        <f>IF(SUM(COUNTIFS('Conciliacion de compuestos'!$D$2:$D$13,"conciliado",'Conciliacion de compuestos'!$E$2:$E$13,"OK",'Conciliacion de compuestos'!$M$2:$M$13,A134),COUNTIFS('Conciliacion de compuestos'!$D$2:$D$13,"conciliado",'Conciliacion de compuestos'!$E$2:$E$13,"OK",'Conciliacion de compuestos'!$N$2:$N$13,A134),COUNTIFS('Conciliacion de compuestos'!$D$2:$D$13,"conciliado",'Conciliacion de compuestos'!$E$2:$E$13,"OK",'Conciliacion de compuestos'!$O$2:$O$13,A134))&gt;0,IFERROR(TEXTJOIN(CHAR(10),TRUE,FILTER('Conciliacion de compuestos'!$A$2:$A$13,('Conciliacion de compuestos'!$D$2:$D$13="conciliado")*('Conciliacion de compuestos'!$E$2:$E$13="OK")*((('Conciliacion de compuestos'!$M$2:$M$13=A134)+('Conciliacion de compuestos'!$N$2:$N$13=A134)+('Conciliacion de compuestos'!$O$2:$O$13=A134))&gt;0))),""),"")</f>
        <v/>
      </c>
      <c r="G134" s="11">
        <f>IF(I134="conciliado","conciliado","por revisar")</f>
        <v/>
      </c>
      <c r="H134" s="11" t="inlineStr"/>
      <c r="I134" s="11">
        <f>IF(SUM(COUNTIFS('Conciliacion de compuestos'!$D$2:$D$13,"conciliado",'Conciliacion de compuestos'!$E$2:$E$13,"OK",'Conciliacion de compuestos'!$M$2:$M$13,A134),COUNTIFS('Conciliacion de compuestos'!$D$2:$D$13,"conciliado",'Conciliacion de compuestos'!$E$2:$E$13,"OK",'Conciliacion de compuestos'!$N$2:$N$13,A134),COUNTIFS('Conciliacion de compuestos'!$D$2:$D$13,"conciliado",'Conciliacion de compuestos'!$E$2:$E$13,"OK",'Conciliacion de compuestos'!$O$2:$O$13,A134))&gt;0,"conciliado","por revisar")</f>
        <v/>
      </c>
    </row>
    <row r="135">
      <c r="A135" s="11" t="n">
        <v>177</v>
      </c>
      <c r="B135" s="12" t="n">
        <v>46042</v>
      </c>
      <c r="C135" s="11" t="inlineStr">
        <is>
          <t>casanas cazanas jame</t>
        </is>
      </c>
      <c r="D135" s="13" t="n">
        <v>78800</v>
      </c>
      <c r="E135" s="11">
        <f>IF(G135="conciliado","conciliado",I135)</f>
        <v/>
      </c>
      <c r="F135" s="11">
        <f>IF(SUM(COUNTIFS('Conciliacion de compuestos'!$D$2:$D$13,"conciliado",'Conciliacion de compuestos'!$E$2:$E$13,"OK",'Conciliacion de compuestos'!$M$2:$M$13,A135),COUNTIFS('Conciliacion de compuestos'!$D$2:$D$13,"conciliado",'Conciliacion de compuestos'!$E$2:$E$13,"OK",'Conciliacion de compuestos'!$N$2:$N$13,A135),COUNTIFS('Conciliacion de compuestos'!$D$2:$D$13,"conciliado",'Conciliacion de compuestos'!$E$2:$E$13,"OK",'Conciliacion de compuestos'!$O$2:$O$13,A135))&gt;0,IFERROR(TEXTJOIN(CHAR(10),TRUE,FILTER('Conciliacion de compuestos'!$A$2:$A$13,('Conciliacion de compuestos'!$D$2:$D$13="conciliado")*('Conciliacion de compuestos'!$E$2:$E$13="OK")*((('Conciliacion de compuestos'!$M$2:$M$13=A135)+('Conciliacion de compuestos'!$N$2:$N$13=A135)+('Conciliacion de compuestos'!$O$2:$O$13=A135))&gt;0))),""),"")</f>
        <v/>
      </c>
      <c r="G135" s="11">
        <f>IF(I135="conciliado","conciliado","por revisar")</f>
        <v/>
      </c>
      <c r="H135" s="11" t="inlineStr"/>
      <c r="I135" s="11">
        <f>IF(SUM(COUNTIFS('Conciliacion de compuestos'!$D$2:$D$13,"conciliado",'Conciliacion de compuestos'!$E$2:$E$13,"OK",'Conciliacion de compuestos'!$M$2:$M$13,A135),COUNTIFS('Conciliacion de compuestos'!$D$2:$D$13,"conciliado",'Conciliacion de compuestos'!$E$2:$E$13,"OK",'Conciliacion de compuestos'!$N$2:$N$13,A135),COUNTIFS('Conciliacion de compuestos'!$D$2:$D$13,"conciliado",'Conciliacion de compuestos'!$E$2:$E$13,"OK",'Conciliacion de compuestos'!$O$2:$O$13,A135))&gt;0,"conciliado","por revisar")</f>
        <v/>
      </c>
    </row>
    <row r="136">
      <c r="A136" s="11" t="n">
        <v>183</v>
      </c>
      <c r="B136" s="12" t="n">
        <v>46043</v>
      </c>
      <c r="C136" s="11" t="inlineStr">
        <is>
          <t>maria melo ortega se</t>
        </is>
      </c>
      <c r="D136" s="13" t="n">
        <v>80600</v>
      </c>
      <c r="E136" s="11">
        <f>IF(G136="conciliado","conciliado",I136)</f>
        <v/>
      </c>
      <c r="F136" s="11">
        <f>IF(SUM(COUNTIFS('Conciliacion de compuestos'!$D$2:$D$13,"conciliado",'Conciliacion de compuestos'!$E$2:$E$13,"OK",'Conciliacion de compuestos'!$M$2:$M$13,A136),COUNTIFS('Conciliacion de compuestos'!$D$2:$D$13,"conciliado",'Conciliacion de compuestos'!$E$2:$E$13,"OK",'Conciliacion de compuestos'!$N$2:$N$13,A136),COUNTIFS('Conciliacion de compuestos'!$D$2:$D$13,"conciliado",'Conciliacion de compuestos'!$E$2:$E$13,"OK",'Conciliacion de compuestos'!$O$2:$O$13,A136))&gt;0,IFERROR(TEXTJOIN(CHAR(10),TRUE,FILTER('Conciliacion de compuestos'!$A$2:$A$13,('Conciliacion de compuestos'!$D$2:$D$13="conciliado")*('Conciliacion de compuestos'!$E$2:$E$13="OK")*((('Conciliacion de compuestos'!$M$2:$M$13=A136)+('Conciliacion de compuestos'!$N$2:$N$13=A136)+('Conciliacion de compuestos'!$O$2:$O$13=A136))&gt;0))),""),"")</f>
        <v/>
      </c>
      <c r="G136" s="11">
        <f>IF(I136="conciliado","conciliado","por revisar")</f>
        <v/>
      </c>
      <c r="H136" s="11" t="inlineStr"/>
      <c r="I136" s="11">
        <f>IF(SUM(COUNTIFS('Conciliacion de compuestos'!$D$2:$D$13,"conciliado",'Conciliacion de compuestos'!$E$2:$E$13,"OK",'Conciliacion de compuestos'!$M$2:$M$13,A136),COUNTIFS('Conciliacion de compuestos'!$D$2:$D$13,"conciliado",'Conciliacion de compuestos'!$E$2:$E$13,"OK",'Conciliacion de compuestos'!$N$2:$N$13,A136),COUNTIFS('Conciliacion de compuestos'!$D$2:$D$13,"conciliado",'Conciliacion de compuestos'!$E$2:$E$13,"OK",'Conciliacion de compuestos'!$O$2:$O$13,A136))&gt;0,"conciliado","por revisar")</f>
        <v/>
      </c>
    </row>
    <row r="137">
      <c r="A137" s="11" t="n">
        <v>186</v>
      </c>
      <c r="B137" s="12" t="n">
        <v>46043</v>
      </c>
      <c r="C137" s="11" t="inlineStr">
        <is>
          <t>b cueva pinta wilson</t>
        </is>
      </c>
      <c r="D137" s="13" t="n">
        <v>38500</v>
      </c>
      <c r="E137" s="11">
        <f>IF(G137="conciliado","conciliado",I137)</f>
        <v/>
      </c>
      <c r="F137" s="11">
        <f>IF(SUM(COUNTIFS('Conciliacion de compuestos'!$D$2:$D$13,"conciliado",'Conciliacion de compuestos'!$E$2:$E$13,"OK",'Conciliacion de compuestos'!$M$2:$M$13,A137),COUNTIFS('Conciliacion de compuestos'!$D$2:$D$13,"conciliado",'Conciliacion de compuestos'!$E$2:$E$13,"OK",'Conciliacion de compuestos'!$N$2:$N$13,A137),COUNTIFS('Conciliacion de compuestos'!$D$2:$D$13,"conciliado",'Conciliacion de compuestos'!$E$2:$E$13,"OK",'Conciliacion de compuestos'!$O$2:$O$13,A137))&gt;0,IFERROR(TEXTJOIN(CHAR(10),TRUE,FILTER('Conciliacion de compuestos'!$A$2:$A$13,('Conciliacion de compuestos'!$D$2:$D$13="conciliado")*('Conciliacion de compuestos'!$E$2:$E$13="OK")*((('Conciliacion de compuestos'!$M$2:$M$13=A137)+('Conciliacion de compuestos'!$N$2:$N$13=A137)+('Conciliacion de compuestos'!$O$2:$O$13=A137))&gt;0))),""),"")</f>
        <v/>
      </c>
      <c r="G137" s="11">
        <f>IF(I137="conciliado","conciliado","por revisar")</f>
        <v/>
      </c>
      <c r="H137" s="11" t="inlineStr"/>
      <c r="I137" s="11">
        <f>IF(SUM(COUNTIFS('Conciliacion de compuestos'!$D$2:$D$13,"conciliado",'Conciliacion de compuestos'!$E$2:$E$13,"OK",'Conciliacion de compuestos'!$M$2:$M$13,A137),COUNTIFS('Conciliacion de compuestos'!$D$2:$D$13,"conciliado",'Conciliacion de compuestos'!$E$2:$E$13,"OK",'Conciliacion de compuestos'!$N$2:$N$13,A137),COUNTIFS('Conciliacion de compuestos'!$D$2:$D$13,"conciliado",'Conciliacion de compuestos'!$E$2:$E$13,"OK",'Conciliacion de compuestos'!$O$2:$O$13,A137))&gt;0,"conciliado","por revisar")</f>
        <v/>
      </c>
    </row>
    <row r="138">
      <c r="A138" s="11" t="n">
        <v>184</v>
      </c>
      <c r="B138" s="12" t="n">
        <v>46043</v>
      </c>
      <c r="C138" s="11" t="inlineStr">
        <is>
          <t>martinez munoz willi</t>
        </is>
      </c>
      <c r="D138" s="13" t="n">
        <v>58800</v>
      </c>
      <c r="E138" s="11">
        <f>IF(G138="conciliado","conciliado",I138)</f>
        <v/>
      </c>
      <c r="F138" s="11">
        <f>IF(SUM(COUNTIFS('Conciliacion de compuestos'!$D$2:$D$13,"conciliado",'Conciliacion de compuestos'!$E$2:$E$13,"OK",'Conciliacion de compuestos'!$M$2:$M$13,A138),COUNTIFS('Conciliacion de compuestos'!$D$2:$D$13,"conciliado",'Conciliacion de compuestos'!$E$2:$E$13,"OK",'Conciliacion de compuestos'!$N$2:$N$13,A138),COUNTIFS('Conciliacion de compuestos'!$D$2:$D$13,"conciliado",'Conciliacion de compuestos'!$E$2:$E$13,"OK",'Conciliacion de compuestos'!$O$2:$O$13,A138))&gt;0,IFERROR(TEXTJOIN(CHAR(10),TRUE,FILTER('Conciliacion de compuestos'!$A$2:$A$13,('Conciliacion de compuestos'!$D$2:$D$13="conciliado")*('Conciliacion de compuestos'!$E$2:$E$13="OK")*((('Conciliacion de compuestos'!$M$2:$M$13=A138)+('Conciliacion de compuestos'!$N$2:$N$13=A138)+('Conciliacion de compuestos'!$O$2:$O$13=A138))&gt;0))),""),"")</f>
        <v/>
      </c>
      <c r="G138" s="11">
        <f>IF(I138="conciliado","conciliado","por revisar")</f>
        <v/>
      </c>
      <c r="H138" s="11" t="inlineStr"/>
      <c r="I138" s="11">
        <f>IF(SUM(COUNTIFS('Conciliacion de compuestos'!$D$2:$D$13,"conciliado",'Conciliacion de compuestos'!$E$2:$E$13,"OK",'Conciliacion de compuestos'!$M$2:$M$13,A138),COUNTIFS('Conciliacion de compuestos'!$D$2:$D$13,"conciliado",'Conciliacion de compuestos'!$E$2:$E$13,"OK",'Conciliacion de compuestos'!$N$2:$N$13,A138),COUNTIFS('Conciliacion de compuestos'!$D$2:$D$13,"conciliado",'Conciliacion de compuestos'!$E$2:$E$13,"OK",'Conciliacion de compuestos'!$O$2:$O$13,A138))&gt;0,"conciliado","por revisar")</f>
        <v/>
      </c>
    </row>
    <row r="139">
      <c r="A139" s="11" t="n">
        <v>185</v>
      </c>
      <c r="B139" s="12" t="n">
        <v>46043</v>
      </c>
      <c r="C139" s="11" t="inlineStr">
        <is>
          <t>carvajal juan rojas</t>
        </is>
      </c>
      <c r="D139" s="13" t="n">
        <v>117600</v>
      </c>
      <c r="E139" s="11">
        <f>IF(G139="conciliado","conciliado",I139)</f>
        <v/>
      </c>
      <c r="F139" s="11">
        <f>IF(SUM(COUNTIFS('Conciliacion de compuestos'!$D$2:$D$13,"conciliado",'Conciliacion de compuestos'!$E$2:$E$13,"OK",'Conciliacion de compuestos'!$M$2:$M$13,A139),COUNTIFS('Conciliacion de compuestos'!$D$2:$D$13,"conciliado",'Conciliacion de compuestos'!$E$2:$E$13,"OK",'Conciliacion de compuestos'!$N$2:$N$13,A139),COUNTIFS('Conciliacion de compuestos'!$D$2:$D$13,"conciliado",'Conciliacion de compuestos'!$E$2:$E$13,"OK",'Conciliacion de compuestos'!$O$2:$O$13,A139))&gt;0,IFERROR(TEXTJOIN(CHAR(10),TRUE,FILTER('Conciliacion de compuestos'!$A$2:$A$13,('Conciliacion de compuestos'!$D$2:$D$13="conciliado")*('Conciliacion de compuestos'!$E$2:$E$13="OK")*((('Conciliacion de compuestos'!$M$2:$M$13=A139)+('Conciliacion de compuestos'!$N$2:$N$13=A139)+('Conciliacion de compuestos'!$O$2:$O$13=A139))&gt;0))),""),"")</f>
        <v/>
      </c>
      <c r="G139" s="11">
        <f>IF(I139="conciliado","conciliado","por revisar")</f>
        <v/>
      </c>
      <c r="H139" s="11" t="inlineStr"/>
      <c r="I139" s="11">
        <f>IF(SUM(COUNTIFS('Conciliacion de compuestos'!$D$2:$D$13,"conciliado",'Conciliacion de compuestos'!$E$2:$E$13,"OK",'Conciliacion de compuestos'!$M$2:$M$13,A139),COUNTIFS('Conciliacion de compuestos'!$D$2:$D$13,"conciliado",'Conciliacion de compuestos'!$E$2:$E$13,"OK",'Conciliacion de compuestos'!$N$2:$N$13,A139),COUNTIFS('Conciliacion de compuestos'!$D$2:$D$13,"conciliado",'Conciliacion de compuestos'!$E$2:$E$13,"OK",'Conciliacion de compuestos'!$O$2:$O$13,A139))&gt;0,"conciliado","por revisar")</f>
        <v/>
      </c>
    </row>
    <row r="140">
      <c r="A140" s="11" t="n">
        <v>192</v>
      </c>
      <c r="B140" s="12" t="n">
        <v>46044</v>
      </c>
      <c r="C140" s="11" t="inlineStr">
        <is>
          <t>claudi diaz zandobal</t>
        </is>
      </c>
      <c r="D140" s="13" t="n">
        <v>40900</v>
      </c>
      <c r="E140" s="11">
        <f>IF(G140="conciliado","conciliado",I140)</f>
        <v/>
      </c>
      <c r="F140" s="11">
        <f>IF(SUM(COUNTIFS('Conciliacion de compuestos'!$D$2:$D$13,"conciliado",'Conciliacion de compuestos'!$E$2:$E$13,"OK",'Conciliacion de compuestos'!$M$2:$M$13,A140),COUNTIFS('Conciliacion de compuestos'!$D$2:$D$13,"conciliado",'Conciliacion de compuestos'!$E$2:$E$13,"OK",'Conciliacion de compuestos'!$N$2:$N$13,A140),COUNTIFS('Conciliacion de compuestos'!$D$2:$D$13,"conciliado",'Conciliacion de compuestos'!$E$2:$E$13,"OK",'Conciliacion de compuestos'!$O$2:$O$13,A140))&gt;0,IFERROR(TEXTJOIN(CHAR(10),TRUE,FILTER('Conciliacion de compuestos'!$A$2:$A$13,('Conciliacion de compuestos'!$D$2:$D$13="conciliado")*('Conciliacion de compuestos'!$E$2:$E$13="OK")*((('Conciliacion de compuestos'!$M$2:$M$13=A140)+('Conciliacion de compuestos'!$N$2:$N$13=A140)+('Conciliacion de compuestos'!$O$2:$O$13=A140))&gt;0))),""),"")</f>
        <v/>
      </c>
      <c r="G140" s="11">
        <f>IF(I140="conciliado","conciliado","por revisar")</f>
        <v/>
      </c>
      <c r="H140" s="11" t="inlineStr"/>
      <c r="I140" s="11">
        <f>IF(SUM(COUNTIFS('Conciliacion de compuestos'!$D$2:$D$13,"conciliado",'Conciliacion de compuestos'!$E$2:$E$13,"OK",'Conciliacion de compuestos'!$M$2:$M$13,A140),COUNTIFS('Conciliacion de compuestos'!$D$2:$D$13,"conciliado",'Conciliacion de compuestos'!$E$2:$E$13,"OK",'Conciliacion de compuestos'!$N$2:$N$13,A140),COUNTIFS('Conciliacion de compuestos'!$D$2:$D$13,"conciliado",'Conciliacion de compuestos'!$E$2:$E$13,"OK",'Conciliacion de compuestos'!$O$2:$O$13,A140))&gt;0,"conciliado","por revisar")</f>
        <v/>
      </c>
    </row>
    <row r="141">
      <c r="A141" s="11" t="n">
        <v>189</v>
      </c>
      <c r="B141" s="12" t="n">
        <v>46044</v>
      </c>
      <c r="C141" s="11" t="inlineStr">
        <is>
          <t>arteaga ayda m troya</t>
        </is>
      </c>
      <c r="D141" s="13" t="n">
        <v>53600</v>
      </c>
      <c r="E141" s="11">
        <f>IF(G141="conciliado","conciliado",I141)</f>
        <v/>
      </c>
      <c r="F141" s="11">
        <f>IF(SUM(COUNTIFS('Conciliacion de compuestos'!$D$2:$D$13,"conciliado",'Conciliacion de compuestos'!$E$2:$E$13,"OK",'Conciliacion de compuestos'!$M$2:$M$13,A141),COUNTIFS('Conciliacion de compuestos'!$D$2:$D$13,"conciliado",'Conciliacion de compuestos'!$E$2:$E$13,"OK",'Conciliacion de compuestos'!$N$2:$N$13,A141),COUNTIFS('Conciliacion de compuestos'!$D$2:$D$13,"conciliado",'Conciliacion de compuestos'!$E$2:$E$13,"OK",'Conciliacion de compuestos'!$O$2:$O$13,A141))&gt;0,IFERROR(TEXTJOIN(CHAR(10),TRUE,FILTER('Conciliacion de compuestos'!$A$2:$A$13,('Conciliacion de compuestos'!$D$2:$D$13="conciliado")*('Conciliacion de compuestos'!$E$2:$E$13="OK")*((('Conciliacion de compuestos'!$M$2:$M$13=A141)+('Conciliacion de compuestos'!$N$2:$N$13=A141)+('Conciliacion de compuestos'!$O$2:$O$13=A141))&gt;0))),""),"")</f>
        <v/>
      </c>
      <c r="G141" s="11">
        <f>IF(I141="conciliado","conciliado","por revisar")</f>
        <v/>
      </c>
      <c r="H141" s="11" t="inlineStr"/>
      <c r="I141" s="11">
        <f>IF(SUM(COUNTIFS('Conciliacion de compuestos'!$D$2:$D$13,"conciliado",'Conciliacion de compuestos'!$E$2:$E$13,"OK",'Conciliacion de compuestos'!$M$2:$M$13,A141),COUNTIFS('Conciliacion de compuestos'!$D$2:$D$13,"conciliado",'Conciliacion de compuestos'!$E$2:$E$13,"OK",'Conciliacion de compuestos'!$N$2:$N$13,A141),COUNTIFS('Conciliacion de compuestos'!$D$2:$D$13,"conciliado",'Conciliacion de compuestos'!$E$2:$E$13,"OK",'Conciliacion de compuestos'!$O$2:$O$13,A141))&gt;0,"conciliado","por revisar")</f>
        <v/>
      </c>
    </row>
    <row r="142">
      <c r="A142" s="11" t="n">
        <v>193</v>
      </c>
      <c r="B142" s="12" t="n">
        <v>46044</v>
      </c>
      <c r="C142" s="11" t="inlineStr">
        <is>
          <t>championx colombi de</t>
        </is>
      </c>
      <c r="D142" s="13" t="n">
        <v>19000</v>
      </c>
      <c r="E142" s="11">
        <f>IF(G142="conciliado","conciliado",I142)</f>
        <v/>
      </c>
      <c r="F142" s="11">
        <f>IF(SUM(COUNTIFS('Conciliacion de compuestos'!$D$2:$D$13,"conciliado",'Conciliacion de compuestos'!$E$2:$E$13,"OK",'Conciliacion de compuestos'!$M$2:$M$13,A142),COUNTIFS('Conciliacion de compuestos'!$D$2:$D$13,"conciliado",'Conciliacion de compuestos'!$E$2:$E$13,"OK",'Conciliacion de compuestos'!$N$2:$N$13,A142),COUNTIFS('Conciliacion de compuestos'!$D$2:$D$13,"conciliado",'Conciliacion de compuestos'!$E$2:$E$13,"OK",'Conciliacion de compuestos'!$O$2:$O$13,A142))&gt;0,IFERROR(TEXTJOIN(CHAR(10),TRUE,FILTER('Conciliacion de compuestos'!$A$2:$A$13,('Conciliacion de compuestos'!$D$2:$D$13="conciliado")*('Conciliacion de compuestos'!$E$2:$E$13="OK")*((('Conciliacion de compuestos'!$M$2:$M$13=A142)+('Conciliacion de compuestos'!$N$2:$N$13=A142)+('Conciliacion de compuestos'!$O$2:$O$13=A142))&gt;0))),""),"")</f>
        <v/>
      </c>
      <c r="G142" s="11">
        <f>IF(I142="conciliado","conciliado","por revisar")</f>
        <v/>
      </c>
      <c r="H142" s="11" t="inlineStr"/>
      <c r="I142" s="11">
        <f>IF(SUM(COUNTIFS('Conciliacion de compuestos'!$D$2:$D$13,"conciliado",'Conciliacion de compuestos'!$E$2:$E$13,"OK",'Conciliacion de compuestos'!$M$2:$M$13,A142),COUNTIFS('Conciliacion de compuestos'!$D$2:$D$13,"conciliado",'Conciliacion de compuestos'!$E$2:$E$13,"OK",'Conciliacion de compuestos'!$N$2:$N$13,A142),COUNTIFS('Conciliacion de compuestos'!$D$2:$D$13,"conciliado",'Conciliacion de compuestos'!$E$2:$E$13,"OK",'Conciliacion de compuestos'!$O$2:$O$13,A142))&gt;0,"conciliado","por revisar")</f>
        <v/>
      </c>
    </row>
    <row r="143">
      <c r="A143" s="11" t="n">
        <v>190</v>
      </c>
      <c r="B143" s="12" t="n">
        <v>46044</v>
      </c>
      <c r="C143" s="11" t="inlineStr">
        <is>
          <t>alvarez quintero yis</t>
        </is>
      </c>
      <c r="D143" s="13" t="n">
        <v>36700</v>
      </c>
      <c r="E143" s="11">
        <f>IF(G143="conciliado","conciliado",I143)</f>
        <v/>
      </c>
      <c r="F143" s="11">
        <f>IF(SUM(COUNTIFS('Conciliacion de compuestos'!$D$2:$D$13,"conciliado",'Conciliacion de compuestos'!$E$2:$E$13,"OK",'Conciliacion de compuestos'!$M$2:$M$13,A143),COUNTIFS('Conciliacion de compuestos'!$D$2:$D$13,"conciliado",'Conciliacion de compuestos'!$E$2:$E$13,"OK",'Conciliacion de compuestos'!$N$2:$N$13,A143),COUNTIFS('Conciliacion de compuestos'!$D$2:$D$13,"conciliado",'Conciliacion de compuestos'!$E$2:$E$13,"OK",'Conciliacion de compuestos'!$O$2:$O$13,A143))&gt;0,IFERROR(TEXTJOIN(CHAR(10),TRUE,FILTER('Conciliacion de compuestos'!$A$2:$A$13,('Conciliacion de compuestos'!$D$2:$D$13="conciliado")*('Conciliacion de compuestos'!$E$2:$E$13="OK")*((('Conciliacion de compuestos'!$M$2:$M$13=A143)+('Conciliacion de compuestos'!$N$2:$N$13=A143)+('Conciliacion de compuestos'!$O$2:$O$13=A143))&gt;0))),""),"")</f>
        <v/>
      </c>
      <c r="G143" s="11">
        <f>IF(I143="conciliado","conciliado","por revisar")</f>
        <v/>
      </c>
      <c r="H143" s="11" t="inlineStr"/>
      <c r="I143" s="11">
        <f>IF(SUM(COUNTIFS('Conciliacion de compuestos'!$D$2:$D$13,"conciliado",'Conciliacion de compuestos'!$E$2:$E$13,"OK",'Conciliacion de compuestos'!$M$2:$M$13,A143),COUNTIFS('Conciliacion de compuestos'!$D$2:$D$13,"conciliado",'Conciliacion de compuestos'!$E$2:$E$13,"OK",'Conciliacion de compuestos'!$N$2:$N$13,A143),COUNTIFS('Conciliacion de compuestos'!$D$2:$D$13,"conciliado",'Conciliacion de compuestos'!$E$2:$E$13,"OK",'Conciliacion de compuestos'!$O$2:$O$13,A143))&gt;0,"conciliado","por revisar")</f>
        <v/>
      </c>
    </row>
    <row r="144">
      <c r="A144" s="11" t="n">
        <v>195</v>
      </c>
      <c r="B144" s="12" t="n">
        <v>46044</v>
      </c>
      <c r="C144" s="11" t="inlineStr">
        <is>
          <t>jes martinez urquijo</t>
        </is>
      </c>
      <c r="D144" s="13" t="n">
        <v>58100</v>
      </c>
      <c r="E144" s="11">
        <f>IF(G144="conciliado","conciliado",I144)</f>
        <v/>
      </c>
      <c r="F144" s="11">
        <f>IF(SUM(COUNTIFS('Conciliacion de compuestos'!$D$2:$D$13,"conciliado",'Conciliacion de compuestos'!$E$2:$E$13,"OK",'Conciliacion de compuestos'!$M$2:$M$13,A144),COUNTIFS('Conciliacion de compuestos'!$D$2:$D$13,"conciliado",'Conciliacion de compuestos'!$E$2:$E$13,"OK",'Conciliacion de compuestos'!$N$2:$N$13,A144),COUNTIFS('Conciliacion de compuestos'!$D$2:$D$13,"conciliado",'Conciliacion de compuestos'!$E$2:$E$13,"OK",'Conciliacion de compuestos'!$O$2:$O$13,A144))&gt;0,IFERROR(TEXTJOIN(CHAR(10),TRUE,FILTER('Conciliacion de compuestos'!$A$2:$A$13,('Conciliacion de compuestos'!$D$2:$D$13="conciliado")*('Conciliacion de compuestos'!$E$2:$E$13="OK")*((('Conciliacion de compuestos'!$M$2:$M$13=A144)+('Conciliacion de compuestos'!$N$2:$N$13=A144)+('Conciliacion de compuestos'!$O$2:$O$13=A144))&gt;0))),""),"")</f>
        <v/>
      </c>
      <c r="G144" s="11">
        <f>IF(I144="conciliado","conciliado","por revisar")</f>
        <v/>
      </c>
      <c r="H144" s="11" t="inlineStr"/>
      <c r="I144" s="11">
        <f>IF(SUM(COUNTIFS('Conciliacion de compuestos'!$D$2:$D$13,"conciliado",'Conciliacion de compuestos'!$E$2:$E$13,"OK",'Conciliacion de compuestos'!$M$2:$M$13,A144),COUNTIFS('Conciliacion de compuestos'!$D$2:$D$13,"conciliado",'Conciliacion de compuestos'!$E$2:$E$13,"OK",'Conciliacion de compuestos'!$N$2:$N$13,A144),COUNTIFS('Conciliacion de compuestos'!$D$2:$D$13,"conciliado",'Conciliacion de compuestos'!$E$2:$E$13,"OK",'Conciliacion de compuestos'!$O$2:$O$13,A144))&gt;0,"conciliado","por revisar")</f>
        <v/>
      </c>
    </row>
    <row r="145">
      <c r="A145" s="11" t="n">
        <v>226</v>
      </c>
      <c r="B145" s="12" t="n">
        <v>46047</v>
      </c>
      <c r="C145" s="11" t="inlineStr">
        <is>
          <t>betancourth salazar</t>
        </is>
      </c>
      <c r="D145" s="13" t="n">
        <v>104100</v>
      </c>
      <c r="E145" s="11">
        <f>IF(G145="conciliado","conciliado",I145)</f>
        <v/>
      </c>
      <c r="F145" s="11">
        <f>IF(SUM(COUNTIFS('Conciliacion de compuestos'!$D$2:$D$13,"conciliado",'Conciliacion de compuestos'!$E$2:$E$13,"OK",'Conciliacion de compuestos'!$M$2:$M$13,A145),COUNTIFS('Conciliacion de compuestos'!$D$2:$D$13,"conciliado",'Conciliacion de compuestos'!$E$2:$E$13,"OK",'Conciliacion de compuestos'!$N$2:$N$13,A145),COUNTIFS('Conciliacion de compuestos'!$D$2:$D$13,"conciliado",'Conciliacion de compuestos'!$E$2:$E$13,"OK",'Conciliacion de compuestos'!$O$2:$O$13,A145))&gt;0,IFERROR(TEXTJOIN(CHAR(10),TRUE,FILTER('Conciliacion de compuestos'!$A$2:$A$13,('Conciliacion de compuestos'!$D$2:$D$13="conciliado")*('Conciliacion de compuestos'!$E$2:$E$13="OK")*((('Conciliacion de compuestos'!$M$2:$M$13=A145)+('Conciliacion de compuestos'!$N$2:$N$13=A145)+('Conciliacion de compuestos'!$O$2:$O$13=A145))&gt;0))),""),"")</f>
        <v/>
      </c>
      <c r="G145" s="11">
        <f>IF(I145="conciliado","conciliado","por revisar")</f>
        <v/>
      </c>
      <c r="H145" s="11" t="inlineStr"/>
      <c r="I145" s="11">
        <f>IF(SUM(COUNTIFS('Conciliacion de compuestos'!$D$2:$D$13,"conciliado",'Conciliacion de compuestos'!$E$2:$E$13,"OK",'Conciliacion de compuestos'!$M$2:$M$13,A145),COUNTIFS('Conciliacion de compuestos'!$D$2:$D$13,"conciliado",'Conciliacion de compuestos'!$E$2:$E$13,"OK",'Conciliacion de compuestos'!$N$2:$N$13,A145),COUNTIFS('Conciliacion de compuestos'!$D$2:$D$13,"conciliado",'Conciliacion de compuestos'!$E$2:$E$13,"OK",'Conciliacion de compuestos'!$O$2:$O$13,A145))&gt;0,"conciliado","por revisar")</f>
        <v/>
      </c>
    </row>
    <row r="146">
      <c r="A146" s="11" t="n">
        <v>223</v>
      </c>
      <c r="B146" s="12" t="n">
        <v>46047</v>
      </c>
      <c r="C146" s="11" t="inlineStr">
        <is>
          <t>benavides lopez sixt</t>
        </is>
      </c>
      <c r="D146" s="13" t="n">
        <v>68960</v>
      </c>
      <c r="E146" s="11">
        <f>IF(G146="conciliado","conciliado",I146)</f>
        <v/>
      </c>
      <c r="F146" s="11">
        <f>IF(SUM(COUNTIFS('Conciliacion de compuestos'!$D$2:$D$13,"conciliado",'Conciliacion de compuestos'!$E$2:$E$13,"OK",'Conciliacion de compuestos'!$M$2:$M$13,A146),COUNTIFS('Conciliacion de compuestos'!$D$2:$D$13,"conciliado",'Conciliacion de compuestos'!$E$2:$E$13,"OK",'Conciliacion de compuestos'!$N$2:$N$13,A146),COUNTIFS('Conciliacion de compuestos'!$D$2:$D$13,"conciliado",'Conciliacion de compuestos'!$E$2:$E$13,"OK",'Conciliacion de compuestos'!$O$2:$O$13,A146))&gt;0,IFERROR(TEXTJOIN(CHAR(10),TRUE,FILTER('Conciliacion de compuestos'!$A$2:$A$13,('Conciliacion de compuestos'!$D$2:$D$13="conciliado")*('Conciliacion de compuestos'!$E$2:$E$13="OK")*((('Conciliacion de compuestos'!$M$2:$M$13=A146)+('Conciliacion de compuestos'!$N$2:$N$13=A146)+('Conciliacion de compuestos'!$O$2:$O$13=A146))&gt;0))),""),"")</f>
        <v/>
      </c>
      <c r="G146" s="11">
        <f>IF(I146="conciliado","conciliado","por revisar")</f>
        <v/>
      </c>
      <c r="H146" s="11" t="inlineStr"/>
      <c r="I146" s="11">
        <f>IF(SUM(COUNTIFS('Conciliacion de compuestos'!$D$2:$D$13,"conciliado",'Conciliacion de compuestos'!$E$2:$E$13,"OK",'Conciliacion de compuestos'!$M$2:$M$13,A146),COUNTIFS('Conciliacion de compuestos'!$D$2:$D$13,"conciliado",'Conciliacion de compuestos'!$E$2:$E$13,"OK",'Conciliacion de compuestos'!$N$2:$N$13,A146),COUNTIFS('Conciliacion de compuestos'!$D$2:$D$13,"conciliado",'Conciliacion de compuestos'!$E$2:$E$13,"OK",'Conciliacion de compuestos'!$O$2:$O$13,A146))&gt;0,"conciliado","por revisar")</f>
        <v/>
      </c>
    </row>
    <row r="147">
      <c r="A147" s="11" t="n">
        <v>225</v>
      </c>
      <c r="B147" s="12" t="n">
        <v>46047</v>
      </c>
      <c r="C147" s="11" t="inlineStr">
        <is>
          <t>criollo mojhana sand</t>
        </is>
      </c>
      <c r="D147" s="13" t="n">
        <v>35520</v>
      </c>
      <c r="E147" s="11">
        <f>IF(G147="conciliado","conciliado",I147)</f>
        <v/>
      </c>
      <c r="F147" s="11">
        <f>IF(SUM(COUNTIFS('Conciliacion de compuestos'!$D$2:$D$13,"conciliado",'Conciliacion de compuestos'!$E$2:$E$13,"OK",'Conciliacion de compuestos'!$M$2:$M$13,A147),COUNTIFS('Conciliacion de compuestos'!$D$2:$D$13,"conciliado",'Conciliacion de compuestos'!$E$2:$E$13,"OK",'Conciliacion de compuestos'!$N$2:$N$13,A147),COUNTIFS('Conciliacion de compuestos'!$D$2:$D$13,"conciliado",'Conciliacion de compuestos'!$E$2:$E$13,"OK",'Conciliacion de compuestos'!$O$2:$O$13,A147))&gt;0,IFERROR(TEXTJOIN(CHAR(10),TRUE,FILTER('Conciliacion de compuestos'!$A$2:$A$13,('Conciliacion de compuestos'!$D$2:$D$13="conciliado")*('Conciliacion de compuestos'!$E$2:$E$13="OK")*((('Conciliacion de compuestos'!$M$2:$M$13=A147)+('Conciliacion de compuestos'!$N$2:$N$13=A147)+('Conciliacion de compuestos'!$O$2:$O$13=A147))&gt;0))),""),"")</f>
        <v/>
      </c>
      <c r="G147" s="11">
        <f>IF(I147="conciliado","conciliado","por revisar")</f>
        <v/>
      </c>
      <c r="H147" s="11" t="inlineStr"/>
      <c r="I147" s="11">
        <f>IF(SUM(COUNTIFS('Conciliacion de compuestos'!$D$2:$D$13,"conciliado",'Conciliacion de compuestos'!$E$2:$E$13,"OK",'Conciliacion de compuestos'!$M$2:$M$13,A147),COUNTIFS('Conciliacion de compuestos'!$D$2:$D$13,"conciliado",'Conciliacion de compuestos'!$E$2:$E$13,"OK",'Conciliacion de compuestos'!$N$2:$N$13,A147),COUNTIFS('Conciliacion de compuestos'!$D$2:$D$13,"conciliado",'Conciliacion de compuestos'!$E$2:$E$13,"OK",'Conciliacion de compuestos'!$O$2:$O$13,A147))&gt;0,"conciliado","por revisar")</f>
        <v/>
      </c>
    </row>
    <row r="148">
      <c r="A148" s="11" t="n">
        <v>224</v>
      </c>
      <c r="B148" s="12" t="n">
        <v>46047</v>
      </c>
      <c r="C148" s="11" t="inlineStr">
        <is>
          <t>cordoba diego vargas</t>
        </is>
      </c>
      <c r="D148" s="13" t="n">
        <v>39900</v>
      </c>
      <c r="E148" s="11">
        <f>IF(G148="conciliado","conciliado",I148)</f>
        <v/>
      </c>
      <c r="F148" s="11">
        <f>IF(SUM(COUNTIFS('Conciliacion de compuestos'!$D$2:$D$13,"conciliado",'Conciliacion de compuestos'!$E$2:$E$13,"OK",'Conciliacion de compuestos'!$M$2:$M$13,A148),COUNTIFS('Conciliacion de compuestos'!$D$2:$D$13,"conciliado",'Conciliacion de compuestos'!$E$2:$E$13,"OK",'Conciliacion de compuestos'!$N$2:$N$13,A148),COUNTIFS('Conciliacion de compuestos'!$D$2:$D$13,"conciliado",'Conciliacion de compuestos'!$E$2:$E$13,"OK",'Conciliacion de compuestos'!$O$2:$O$13,A148))&gt;0,IFERROR(TEXTJOIN(CHAR(10),TRUE,FILTER('Conciliacion de compuestos'!$A$2:$A$13,('Conciliacion de compuestos'!$D$2:$D$13="conciliado")*('Conciliacion de compuestos'!$E$2:$E$13="OK")*((('Conciliacion de compuestos'!$M$2:$M$13=A148)+('Conciliacion de compuestos'!$N$2:$N$13=A148)+('Conciliacion de compuestos'!$O$2:$O$13=A148))&gt;0))),""),"")</f>
        <v/>
      </c>
      <c r="G148" s="11">
        <f>IF(I148="conciliado","conciliado","por revisar")</f>
        <v/>
      </c>
      <c r="H148" s="11" t="inlineStr"/>
      <c r="I148" s="11">
        <f>IF(SUM(COUNTIFS('Conciliacion de compuestos'!$D$2:$D$13,"conciliado",'Conciliacion de compuestos'!$E$2:$E$13,"OK",'Conciliacion de compuestos'!$M$2:$M$13,A148),COUNTIFS('Conciliacion de compuestos'!$D$2:$D$13,"conciliado",'Conciliacion de compuestos'!$E$2:$E$13,"OK",'Conciliacion de compuestos'!$N$2:$N$13,A148),COUNTIFS('Conciliacion de compuestos'!$D$2:$D$13,"conciliado",'Conciliacion de compuestos'!$E$2:$E$13,"OK",'Conciliacion de compuestos'!$O$2:$O$13,A148))&gt;0,"conciliado","por revisar")</f>
        <v/>
      </c>
    </row>
    <row r="149">
      <c r="A149" s="11" t="n">
        <v>203</v>
      </c>
      <c r="B149" s="12" t="n">
        <v>46045</v>
      </c>
      <c r="C149" s="11" t="inlineStr">
        <is>
          <t>ciro gonzalez santos</t>
        </is>
      </c>
      <c r="D149" s="13" t="n">
        <v>43500</v>
      </c>
      <c r="E149" s="11">
        <f>IF(G149="conciliado","conciliado",I149)</f>
        <v/>
      </c>
      <c r="F149" s="11">
        <f>IF(SUM(COUNTIFS('Conciliacion de compuestos'!$D$2:$D$13,"conciliado",'Conciliacion de compuestos'!$E$2:$E$13,"OK",'Conciliacion de compuestos'!$M$2:$M$13,A149),COUNTIFS('Conciliacion de compuestos'!$D$2:$D$13,"conciliado",'Conciliacion de compuestos'!$E$2:$E$13,"OK",'Conciliacion de compuestos'!$N$2:$N$13,A149),COUNTIFS('Conciliacion de compuestos'!$D$2:$D$13,"conciliado",'Conciliacion de compuestos'!$E$2:$E$13,"OK",'Conciliacion de compuestos'!$O$2:$O$13,A149))&gt;0,IFERROR(TEXTJOIN(CHAR(10),TRUE,FILTER('Conciliacion de compuestos'!$A$2:$A$13,('Conciliacion de compuestos'!$D$2:$D$13="conciliado")*('Conciliacion de compuestos'!$E$2:$E$13="OK")*((('Conciliacion de compuestos'!$M$2:$M$13=A149)+('Conciliacion de compuestos'!$N$2:$N$13=A149)+('Conciliacion de compuestos'!$O$2:$O$13=A149))&gt;0))),""),"")</f>
        <v/>
      </c>
      <c r="G149" s="11">
        <f>IF(I149="conciliado","conciliado","por revisar")</f>
        <v/>
      </c>
      <c r="H149" s="11" t="inlineStr"/>
      <c r="I149" s="11">
        <f>IF(SUM(COUNTIFS('Conciliacion de compuestos'!$D$2:$D$13,"conciliado",'Conciliacion de compuestos'!$E$2:$E$13,"OK",'Conciliacion de compuestos'!$M$2:$M$13,A149),COUNTIFS('Conciliacion de compuestos'!$D$2:$D$13,"conciliado",'Conciliacion de compuestos'!$E$2:$E$13,"OK",'Conciliacion de compuestos'!$N$2:$N$13,A149),COUNTIFS('Conciliacion de compuestos'!$D$2:$D$13,"conciliado",'Conciliacion de compuestos'!$E$2:$E$13,"OK",'Conciliacion de compuestos'!$O$2:$O$13,A149))&gt;0,"conciliado","por revisar")</f>
        <v/>
      </c>
    </row>
    <row r="150">
      <c r="A150" s="11" t="n">
        <v>201</v>
      </c>
      <c r="B150" s="12" t="n">
        <v>46045</v>
      </c>
      <c r="C150" s="11" t="inlineStr">
        <is>
          <t>anibal jesus zuniga</t>
        </is>
      </c>
      <c r="D150" s="13" t="n">
        <v>45600</v>
      </c>
      <c r="E150" s="11">
        <f>IF(G150="conciliado","conciliado",I150)</f>
        <v/>
      </c>
      <c r="F150" s="11">
        <f>IF(SUM(COUNTIFS('Conciliacion de compuestos'!$D$2:$D$13,"conciliado",'Conciliacion de compuestos'!$E$2:$E$13,"OK",'Conciliacion de compuestos'!$M$2:$M$13,A150),COUNTIFS('Conciliacion de compuestos'!$D$2:$D$13,"conciliado",'Conciliacion de compuestos'!$E$2:$E$13,"OK",'Conciliacion de compuestos'!$N$2:$N$13,A150),COUNTIFS('Conciliacion de compuestos'!$D$2:$D$13,"conciliado",'Conciliacion de compuestos'!$E$2:$E$13,"OK",'Conciliacion de compuestos'!$O$2:$O$13,A150))&gt;0,IFERROR(TEXTJOIN(CHAR(10),TRUE,FILTER('Conciliacion de compuestos'!$A$2:$A$13,('Conciliacion de compuestos'!$D$2:$D$13="conciliado")*('Conciliacion de compuestos'!$E$2:$E$13="OK")*((('Conciliacion de compuestos'!$M$2:$M$13=A150)+('Conciliacion de compuestos'!$N$2:$N$13=A150)+('Conciliacion de compuestos'!$O$2:$O$13=A150))&gt;0))),""),"")</f>
        <v/>
      </c>
      <c r="G150" s="11">
        <f>IF(I150="conciliado","conciliado","por revisar")</f>
        <v/>
      </c>
      <c r="H150" s="11" t="inlineStr"/>
      <c r="I150" s="11">
        <f>IF(SUM(COUNTIFS('Conciliacion de compuestos'!$D$2:$D$13,"conciliado",'Conciliacion de compuestos'!$E$2:$E$13,"OK",'Conciliacion de compuestos'!$M$2:$M$13,A150),COUNTIFS('Conciliacion de compuestos'!$D$2:$D$13,"conciliado",'Conciliacion de compuestos'!$E$2:$E$13,"OK",'Conciliacion de compuestos'!$N$2:$N$13,A150),COUNTIFS('Conciliacion de compuestos'!$D$2:$D$13,"conciliado",'Conciliacion de compuestos'!$E$2:$E$13,"OK",'Conciliacion de compuestos'!$O$2:$O$13,A150))&gt;0,"conciliado","por revisar")</f>
        <v/>
      </c>
    </row>
    <row r="151">
      <c r="A151" s="11" t="n">
        <v>204</v>
      </c>
      <c r="B151" s="12" t="n">
        <v>46045</v>
      </c>
      <c r="C151" s="11" t="inlineStr">
        <is>
          <t>abela ortiz zambrano</t>
        </is>
      </c>
      <c r="D151" s="13" t="n">
        <v>59500</v>
      </c>
      <c r="E151" s="11">
        <f>IF(G151="conciliado","conciliado",I151)</f>
        <v/>
      </c>
      <c r="F151" s="11">
        <f>IF(SUM(COUNTIFS('Conciliacion de compuestos'!$D$2:$D$13,"conciliado",'Conciliacion de compuestos'!$E$2:$E$13,"OK",'Conciliacion de compuestos'!$M$2:$M$13,A151),COUNTIFS('Conciliacion de compuestos'!$D$2:$D$13,"conciliado",'Conciliacion de compuestos'!$E$2:$E$13,"OK",'Conciliacion de compuestos'!$N$2:$N$13,A151),COUNTIFS('Conciliacion de compuestos'!$D$2:$D$13,"conciliado",'Conciliacion de compuestos'!$E$2:$E$13,"OK",'Conciliacion de compuestos'!$O$2:$O$13,A151))&gt;0,IFERROR(TEXTJOIN(CHAR(10),TRUE,FILTER('Conciliacion de compuestos'!$A$2:$A$13,('Conciliacion de compuestos'!$D$2:$D$13="conciliado")*('Conciliacion de compuestos'!$E$2:$E$13="OK")*((('Conciliacion de compuestos'!$M$2:$M$13=A151)+('Conciliacion de compuestos'!$N$2:$N$13=A151)+('Conciliacion de compuestos'!$O$2:$O$13=A151))&gt;0))),""),"")</f>
        <v/>
      </c>
      <c r="G151" s="11">
        <f>IF(I151="conciliado","conciliado","por revisar")</f>
        <v/>
      </c>
      <c r="H151" s="11" t="inlineStr"/>
      <c r="I151" s="11">
        <f>IF(SUM(COUNTIFS('Conciliacion de compuestos'!$D$2:$D$13,"conciliado",'Conciliacion de compuestos'!$E$2:$E$13,"OK",'Conciliacion de compuestos'!$M$2:$M$13,A151),COUNTIFS('Conciliacion de compuestos'!$D$2:$D$13,"conciliado",'Conciliacion de compuestos'!$E$2:$E$13,"OK",'Conciliacion de compuestos'!$N$2:$N$13,A151),COUNTIFS('Conciliacion de compuestos'!$D$2:$D$13,"conciliado",'Conciliacion de compuestos'!$E$2:$E$13,"OK",'Conciliacion de compuestos'!$O$2:$O$13,A151))&gt;0,"conciliado","por revisar")</f>
        <v/>
      </c>
    </row>
    <row r="152">
      <c r="A152" s="11" t="n">
        <v>200</v>
      </c>
      <c r="B152" s="12" t="n">
        <v>46045</v>
      </c>
      <c r="C152" s="11" t="inlineStr">
        <is>
          <t>capera ingri ortega</t>
        </is>
      </c>
      <c r="D152" s="13" t="n">
        <v>31200</v>
      </c>
      <c r="E152" s="11">
        <f>IF(G152="conciliado","conciliado",I152)</f>
        <v/>
      </c>
      <c r="F152" s="11">
        <f>IF(SUM(COUNTIFS('Conciliacion de compuestos'!$D$2:$D$13,"conciliado",'Conciliacion de compuestos'!$E$2:$E$13,"OK",'Conciliacion de compuestos'!$M$2:$M$13,A152),COUNTIFS('Conciliacion de compuestos'!$D$2:$D$13,"conciliado",'Conciliacion de compuestos'!$E$2:$E$13,"OK",'Conciliacion de compuestos'!$N$2:$N$13,A152),COUNTIFS('Conciliacion de compuestos'!$D$2:$D$13,"conciliado",'Conciliacion de compuestos'!$E$2:$E$13,"OK",'Conciliacion de compuestos'!$O$2:$O$13,A152))&gt;0,IFERROR(TEXTJOIN(CHAR(10),TRUE,FILTER('Conciliacion de compuestos'!$A$2:$A$13,('Conciliacion de compuestos'!$D$2:$D$13="conciliado")*('Conciliacion de compuestos'!$E$2:$E$13="OK")*((('Conciliacion de compuestos'!$M$2:$M$13=A152)+('Conciliacion de compuestos'!$N$2:$N$13=A152)+('Conciliacion de compuestos'!$O$2:$O$13=A152))&gt;0))),""),"")</f>
        <v/>
      </c>
      <c r="G152" s="11">
        <f>IF(I152="conciliado","conciliado","por revisar")</f>
        <v/>
      </c>
      <c r="H152" s="11" t="inlineStr"/>
      <c r="I152" s="11">
        <f>IF(SUM(COUNTIFS('Conciliacion de compuestos'!$D$2:$D$13,"conciliado",'Conciliacion de compuestos'!$E$2:$E$13,"OK",'Conciliacion de compuestos'!$M$2:$M$13,A152),COUNTIFS('Conciliacion de compuestos'!$D$2:$D$13,"conciliado",'Conciliacion de compuestos'!$E$2:$E$13,"OK",'Conciliacion de compuestos'!$N$2:$N$13,A152),COUNTIFS('Conciliacion de compuestos'!$D$2:$D$13,"conciliado",'Conciliacion de compuestos'!$E$2:$E$13,"OK",'Conciliacion de compuestos'!$O$2:$O$13,A152))&gt;0,"conciliado","por revisar")</f>
        <v/>
      </c>
    </row>
    <row r="153">
      <c r="A153" s="11" t="n">
        <v>198</v>
      </c>
      <c r="B153" s="12" t="n">
        <v>46045</v>
      </c>
      <c r="C153" s="11" t="inlineStr">
        <is>
          <t>crist mafla palacios</t>
        </is>
      </c>
      <c r="D153" s="13" t="n">
        <v>45400</v>
      </c>
      <c r="E153" s="11">
        <f>IF(G153="conciliado","conciliado",I153)</f>
        <v/>
      </c>
      <c r="F153" s="11">
        <f>IF(SUM(COUNTIFS('Conciliacion de compuestos'!$D$2:$D$13,"conciliado",'Conciliacion de compuestos'!$E$2:$E$13,"OK",'Conciliacion de compuestos'!$M$2:$M$13,A153),COUNTIFS('Conciliacion de compuestos'!$D$2:$D$13,"conciliado",'Conciliacion de compuestos'!$E$2:$E$13,"OK",'Conciliacion de compuestos'!$N$2:$N$13,A153),COUNTIFS('Conciliacion de compuestos'!$D$2:$D$13,"conciliado",'Conciliacion de compuestos'!$E$2:$E$13,"OK",'Conciliacion de compuestos'!$O$2:$O$13,A153))&gt;0,IFERROR(TEXTJOIN(CHAR(10),TRUE,FILTER('Conciliacion de compuestos'!$A$2:$A$13,('Conciliacion de compuestos'!$D$2:$D$13="conciliado")*('Conciliacion de compuestos'!$E$2:$E$13="OK")*((('Conciliacion de compuestos'!$M$2:$M$13=A153)+('Conciliacion de compuestos'!$N$2:$N$13=A153)+('Conciliacion de compuestos'!$O$2:$O$13=A153))&gt;0))),""),"")</f>
        <v/>
      </c>
      <c r="G153" s="11">
        <f>IF(I153="conciliado","conciliado","por revisar")</f>
        <v/>
      </c>
      <c r="H153" s="11" t="inlineStr"/>
      <c r="I153" s="11">
        <f>IF(SUM(COUNTIFS('Conciliacion de compuestos'!$D$2:$D$13,"conciliado",'Conciliacion de compuestos'!$E$2:$E$13,"OK",'Conciliacion de compuestos'!$M$2:$M$13,A153),COUNTIFS('Conciliacion de compuestos'!$D$2:$D$13,"conciliado",'Conciliacion de compuestos'!$E$2:$E$13,"OK",'Conciliacion de compuestos'!$N$2:$N$13,A153),COUNTIFS('Conciliacion de compuestos'!$D$2:$D$13,"conciliado",'Conciliacion de compuestos'!$E$2:$E$13,"OK",'Conciliacion de compuestos'!$O$2:$O$13,A153))&gt;0,"conciliado","por revisar")</f>
        <v/>
      </c>
    </row>
    <row r="154">
      <c r="A154" s="11" t="n">
        <v>206</v>
      </c>
      <c r="B154" s="12" t="n">
        <v>46045</v>
      </c>
      <c r="C154" s="11" t="inlineStr">
        <is>
          <t>eduerdo luis melo</t>
        </is>
      </c>
      <c r="D154" s="13" t="n">
        <v>30900</v>
      </c>
      <c r="E154" s="11">
        <f>IF(G154="conciliado","conciliado",I154)</f>
        <v/>
      </c>
      <c r="F154" s="11">
        <f>IF(SUM(COUNTIFS('Conciliacion de compuestos'!$D$2:$D$13,"conciliado",'Conciliacion de compuestos'!$E$2:$E$13,"OK",'Conciliacion de compuestos'!$M$2:$M$13,A154),COUNTIFS('Conciliacion de compuestos'!$D$2:$D$13,"conciliado",'Conciliacion de compuestos'!$E$2:$E$13,"OK",'Conciliacion de compuestos'!$N$2:$N$13,A154),COUNTIFS('Conciliacion de compuestos'!$D$2:$D$13,"conciliado",'Conciliacion de compuestos'!$E$2:$E$13,"OK",'Conciliacion de compuestos'!$O$2:$O$13,A154))&gt;0,IFERROR(TEXTJOIN(CHAR(10),TRUE,FILTER('Conciliacion de compuestos'!$A$2:$A$13,('Conciliacion de compuestos'!$D$2:$D$13="conciliado")*('Conciliacion de compuestos'!$E$2:$E$13="OK")*((('Conciliacion de compuestos'!$M$2:$M$13=A154)+('Conciliacion de compuestos'!$N$2:$N$13=A154)+('Conciliacion de compuestos'!$O$2:$O$13=A154))&gt;0))),""),"")</f>
        <v/>
      </c>
      <c r="G154" s="11">
        <f>IF(I154="conciliado","conciliado","por revisar")</f>
        <v/>
      </c>
      <c r="H154" s="11" t="inlineStr"/>
      <c r="I154" s="11">
        <f>IF(SUM(COUNTIFS('Conciliacion de compuestos'!$D$2:$D$13,"conciliado",'Conciliacion de compuestos'!$E$2:$E$13,"OK",'Conciliacion de compuestos'!$M$2:$M$13,A154),COUNTIFS('Conciliacion de compuestos'!$D$2:$D$13,"conciliado",'Conciliacion de compuestos'!$E$2:$E$13,"OK",'Conciliacion de compuestos'!$N$2:$N$13,A154),COUNTIFS('Conciliacion de compuestos'!$D$2:$D$13,"conciliado",'Conciliacion de compuestos'!$E$2:$E$13,"OK",'Conciliacion de compuestos'!$O$2:$O$13,A154))&gt;0,"conciliado","por revisar")</f>
        <v/>
      </c>
    </row>
    <row r="155">
      <c r="A155" s="11" t="n">
        <v>202</v>
      </c>
      <c r="B155" s="12" t="n">
        <v>46045</v>
      </c>
      <c r="C155" s="11" t="inlineStr">
        <is>
          <t>bl castano tuberquia</t>
        </is>
      </c>
      <c r="D155" s="13" t="n">
        <v>117000</v>
      </c>
      <c r="E155" s="11">
        <f>IF(G155="conciliado","conciliado",I155)</f>
        <v/>
      </c>
      <c r="F155" s="11">
        <f>IF(SUM(COUNTIFS('Conciliacion de compuestos'!$D$2:$D$13,"conciliado",'Conciliacion de compuestos'!$E$2:$E$13,"OK",'Conciliacion de compuestos'!$M$2:$M$13,A155),COUNTIFS('Conciliacion de compuestos'!$D$2:$D$13,"conciliado",'Conciliacion de compuestos'!$E$2:$E$13,"OK",'Conciliacion de compuestos'!$N$2:$N$13,A155),COUNTIFS('Conciliacion de compuestos'!$D$2:$D$13,"conciliado",'Conciliacion de compuestos'!$E$2:$E$13,"OK",'Conciliacion de compuestos'!$O$2:$O$13,A155))&gt;0,IFERROR(TEXTJOIN(CHAR(10),TRUE,FILTER('Conciliacion de compuestos'!$A$2:$A$13,('Conciliacion de compuestos'!$D$2:$D$13="conciliado")*('Conciliacion de compuestos'!$E$2:$E$13="OK")*((('Conciliacion de compuestos'!$M$2:$M$13=A155)+('Conciliacion de compuestos'!$N$2:$N$13=A155)+('Conciliacion de compuestos'!$O$2:$O$13=A155))&gt;0))),""),"")</f>
        <v/>
      </c>
      <c r="G155" s="11">
        <f>IF(I155="conciliado","conciliado","por revisar")</f>
        <v/>
      </c>
      <c r="H155" s="11" t="inlineStr"/>
      <c r="I155" s="11">
        <f>IF(SUM(COUNTIFS('Conciliacion de compuestos'!$D$2:$D$13,"conciliado",'Conciliacion de compuestos'!$E$2:$E$13,"OK",'Conciliacion de compuestos'!$M$2:$M$13,A155),COUNTIFS('Conciliacion de compuestos'!$D$2:$D$13,"conciliado",'Conciliacion de compuestos'!$E$2:$E$13,"OK",'Conciliacion de compuestos'!$N$2:$N$13,A155),COUNTIFS('Conciliacion de compuestos'!$D$2:$D$13,"conciliado",'Conciliacion de compuestos'!$E$2:$E$13,"OK",'Conciliacion de compuestos'!$O$2:$O$13,A155))&gt;0,"conciliado","por revisar")</f>
        <v/>
      </c>
    </row>
    <row r="156">
      <c r="A156" s="11" t="n">
        <v>215</v>
      </c>
      <c r="B156" s="12" t="n">
        <v>46046</v>
      </c>
      <c r="C156" s="11" t="inlineStr">
        <is>
          <t>benavides lopez sixt</t>
        </is>
      </c>
      <c r="D156" s="13" t="n">
        <v>144100</v>
      </c>
      <c r="E156" s="11">
        <f>IF(G156="conciliado","conciliado",I156)</f>
        <v/>
      </c>
      <c r="F156" s="11">
        <f>IF(SUM(COUNTIFS('Conciliacion de compuestos'!$D$2:$D$13,"conciliado",'Conciliacion de compuestos'!$E$2:$E$13,"OK",'Conciliacion de compuestos'!$M$2:$M$13,A156),COUNTIFS('Conciliacion de compuestos'!$D$2:$D$13,"conciliado",'Conciliacion de compuestos'!$E$2:$E$13,"OK",'Conciliacion de compuestos'!$N$2:$N$13,A156),COUNTIFS('Conciliacion de compuestos'!$D$2:$D$13,"conciliado",'Conciliacion de compuestos'!$E$2:$E$13,"OK",'Conciliacion de compuestos'!$O$2:$O$13,A156))&gt;0,IFERROR(TEXTJOIN(CHAR(10),TRUE,FILTER('Conciliacion de compuestos'!$A$2:$A$13,('Conciliacion de compuestos'!$D$2:$D$13="conciliado")*('Conciliacion de compuestos'!$E$2:$E$13="OK")*((('Conciliacion de compuestos'!$M$2:$M$13=A156)+('Conciliacion de compuestos'!$N$2:$N$13=A156)+('Conciliacion de compuestos'!$O$2:$O$13=A156))&gt;0))),""),"")</f>
        <v/>
      </c>
      <c r="G156" s="11">
        <f>IF(I156="conciliado","conciliado","por revisar")</f>
        <v/>
      </c>
      <c r="H156" s="11" t="inlineStr"/>
      <c r="I156" s="11">
        <f>IF(SUM(COUNTIFS('Conciliacion de compuestos'!$D$2:$D$13,"conciliado",'Conciliacion de compuestos'!$E$2:$E$13,"OK",'Conciliacion de compuestos'!$M$2:$M$13,A156),COUNTIFS('Conciliacion de compuestos'!$D$2:$D$13,"conciliado",'Conciliacion de compuestos'!$E$2:$E$13,"OK",'Conciliacion de compuestos'!$N$2:$N$13,A156),COUNTIFS('Conciliacion de compuestos'!$D$2:$D$13,"conciliado",'Conciliacion de compuestos'!$E$2:$E$13,"OK",'Conciliacion de compuestos'!$O$2:$O$13,A156))&gt;0,"conciliado","por revisar")</f>
        <v/>
      </c>
    </row>
    <row r="157">
      <c r="A157" s="11" t="n">
        <v>214</v>
      </c>
      <c r="B157" s="12" t="n">
        <v>46046</v>
      </c>
      <c r="C157" s="11" t="inlineStr">
        <is>
          <t>acosta fab rodriguez</t>
        </is>
      </c>
      <c r="D157" s="13" t="n">
        <v>31000</v>
      </c>
      <c r="E157" s="11">
        <f>IF(G157="conciliado","conciliado",I157)</f>
        <v/>
      </c>
      <c r="F157" s="11">
        <f>IF(SUM(COUNTIFS('Conciliacion de compuestos'!$D$2:$D$13,"conciliado",'Conciliacion de compuestos'!$E$2:$E$13,"OK",'Conciliacion de compuestos'!$M$2:$M$13,A157),COUNTIFS('Conciliacion de compuestos'!$D$2:$D$13,"conciliado",'Conciliacion de compuestos'!$E$2:$E$13,"OK",'Conciliacion de compuestos'!$N$2:$N$13,A157),COUNTIFS('Conciliacion de compuestos'!$D$2:$D$13,"conciliado",'Conciliacion de compuestos'!$E$2:$E$13,"OK",'Conciliacion de compuestos'!$O$2:$O$13,A157))&gt;0,IFERROR(TEXTJOIN(CHAR(10),TRUE,FILTER('Conciliacion de compuestos'!$A$2:$A$13,('Conciliacion de compuestos'!$D$2:$D$13="conciliado")*('Conciliacion de compuestos'!$E$2:$E$13="OK")*((('Conciliacion de compuestos'!$M$2:$M$13=A157)+('Conciliacion de compuestos'!$N$2:$N$13=A157)+('Conciliacion de compuestos'!$O$2:$O$13=A157))&gt;0))),""),"")</f>
        <v/>
      </c>
      <c r="G157" s="11">
        <f>IF(I157="conciliado","conciliado","por revisar")</f>
        <v/>
      </c>
      <c r="H157" s="11" t="inlineStr"/>
      <c r="I157" s="11">
        <f>IF(SUM(COUNTIFS('Conciliacion de compuestos'!$D$2:$D$13,"conciliado",'Conciliacion de compuestos'!$E$2:$E$13,"OK",'Conciliacion de compuestos'!$M$2:$M$13,A157),COUNTIFS('Conciliacion de compuestos'!$D$2:$D$13,"conciliado",'Conciliacion de compuestos'!$E$2:$E$13,"OK",'Conciliacion de compuestos'!$N$2:$N$13,A157),COUNTIFS('Conciliacion de compuestos'!$D$2:$D$13,"conciliado",'Conciliacion de compuestos'!$E$2:$E$13,"OK",'Conciliacion de compuestos'!$O$2:$O$13,A157))&gt;0,"conciliado","por revisar")</f>
        <v/>
      </c>
    </row>
    <row r="158">
      <c r="A158" s="11" t="n">
        <v>210</v>
      </c>
      <c r="B158" s="12" t="n">
        <v>46046</v>
      </c>
      <c r="C158" s="11" t="inlineStr">
        <is>
          <t>cabrera gutierrez je</t>
        </is>
      </c>
      <c r="D158" s="13" t="n">
        <v>66500</v>
      </c>
      <c r="E158" s="11">
        <f>IF(G158="conciliado","conciliado",I158)</f>
        <v/>
      </c>
      <c r="F158" s="11">
        <f>IF(SUM(COUNTIFS('Conciliacion de compuestos'!$D$2:$D$13,"conciliado",'Conciliacion de compuestos'!$E$2:$E$13,"OK",'Conciliacion de compuestos'!$M$2:$M$13,A158),COUNTIFS('Conciliacion de compuestos'!$D$2:$D$13,"conciliado",'Conciliacion de compuestos'!$E$2:$E$13,"OK",'Conciliacion de compuestos'!$N$2:$N$13,A158),COUNTIFS('Conciliacion de compuestos'!$D$2:$D$13,"conciliado",'Conciliacion de compuestos'!$E$2:$E$13,"OK",'Conciliacion de compuestos'!$O$2:$O$13,A158))&gt;0,IFERROR(TEXTJOIN(CHAR(10),TRUE,FILTER('Conciliacion de compuestos'!$A$2:$A$13,('Conciliacion de compuestos'!$D$2:$D$13="conciliado")*('Conciliacion de compuestos'!$E$2:$E$13="OK")*((('Conciliacion de compuestos'!$M$2:$M$13=A158)+('Conciliacion de compuestos'!$N$2:$N$13=A158)+('Conciliacion de compuestos'!$O$2:$O$13=A158))&gt;0))),""),"")</f>
        <v/>
      </c>
      <c r="G158" s="11">
        <f>IF(I158="conciliado","conciliado","por revisar")</f>
        <v/>
      </c>
      <c r="H158" s="11" t="inlineStr"/>
      <c r="I158" s="11">
        <f>IF(SUM(COUNTIFS('Conciliacion de compuestos'!$D$2:$D$13,"conciliado",'Conciliacion de compuestos'!$E$2:$E$13,"OK",'Conciliacion de compuestos'!$M$2:$M$13,A158),COUNTIFS('Conciliacion de compuestos'!$D$2:$D$13,"conciliado",'Conciliacion de compuestos'!$E$2:$E$13,"OK",'Conciliacion de compuestos'!$N$2:$N$13,A158),COUNTIFS('Conciliacion de compuestos'!$D$2:$D$13,"conciliado",'Conciliacion de compuestos'!$E$2:$E$13,"OK",'Conciliacion de compuestos'!$O$2:$O$13,A158))&gt;0,"conciliado","por revisar")</f>
        <v/>
      </c>
    </row>
    <row r="159">
      <c r="A159" s="11" t="n">
        <v>221</v>
      </c>
      <c r="B159" s="12" t="n">
        <v>46046</v>
      </c>
      <c r="C159" s="11" t="inlineStr">
        <is>
          <t>angulo j sanchez</t>
        </is>
      </c>
      <c r="D159" s="13" t="n">
        <v>35918</v>
      </c>
      <c r="E159" s="11">
        <f>IF(G159="conciliado","conciliado",I159)</f>
        <v/>
      </c>
      <c r="F159" s="11">
        <f>IF(SUM(COUNTIFS('Conciliacion de compuestos'!$D$2:$D$13,"conciliado",'Conciliacion de compuestos'!$E$2:$E$13,"OK",'Conciliacion de compuestos'!$M$2:$M$13,A159),COUNTIFS('Conciliacion de compuestos'!$D$2:$D$13,"conciliado",'Conciliacion de compuestos'!$E$2:$E$13,"OK",'Conciliacion de compuestos'!$N$2:$N$13,A159),COUNTIFS('Conciliacion de compuestos'!$D$2:$D$13,"conciliado",'Conciliacion de compuestos'!$E$2:$E$13,"OK",'Conciliacion de compuestos'!$O$2:$O$13,A159))&gt;0,IFERROR(TEXTJOIN(CHAR(10),TRUE,FILTER('Conciliacion de compuestos'!$A$2:$A$13,('Conciliacion de compuestos'!$D$2:$D$13="conciliado")*('Conciliacion de compuestos'!$E$2:$E$13="OK")*((('Conciliacion de compuestos'!$M$2:$M$13=A159)+('Conciliacion de compuestos'!$N$2:$N$13=A159)+('Conciliacion de compuestos'!$O$2:$O$13=A159))&gt;0))),""),"")</f>
        <v/>
      </c>
      <c r="G159" s="11">
        <f>IF(I159="conciliado","conciliado","por revisar")</f>
        <v/>
      </c>
      <c r="H159" s="11" t="inlineStr"/>
      <c r="I159" s="11">
        <f>IF(SUM(COUNTIFS('Conciliacion de compuestos'!$D$2:$D$13,"conciliado",'Conciliacion de compuestos'!$E$2:$E$13,"OK",'Conciliacion de compuestos'!$M$2:$M$13,A159),COUNTIFS('Conciliacion de compuestos'!$D$2:$D$13,"conciliado",'Conciliacion de compuestos'!$E$2:$E$13,"OK",'Conciliacion de compuestos'!$N$2:$N$13,A159),COUNTIFS('Conciliacion de compuestos'!$D$2:$D$13,"conciliado",'Conciliacion de compuestos'!$E$2:$E$13,"OK",'Conciliacion de compuestos'!$O$2:$O$13,A159))&gt;0,"conciliado","por revisar")</f>
        <v/>
      </c>
    </row>
    <row r="160">
      <c r="A160" s="11" t="n">
        <v>208</v>
      </c>
      <c r="B160" s="12" t="n">
        <v>46046</v>
      </c>
      <c r="C160" s="11" t="inlineStr">
        <is>
          <t>bolanos paladines st</t>
        </is>
      </c>
      <c r="D160" s="13" t="n">
        <v>83100</v>
      </c>
      <c r="E160" s="11">
        <f>IF(G160="conciliado","conciliado",I160)</f>
        <v/>
      </c>
      <c r="F160" s="11">
        <f>IF(SUM(COUNTIFS('Conciliacion de compuestos'!$D$2:$D$13,"conciliado",'Conciliacion de compuestos'!$E$2:$E$13,"OK",'Conciliacion de compuestos'!$M$2:$M$13,A160),COUNTIFS('Conciliacion de compuestos'!$D$2:$D$13,"conciliado",'Conciliacion de compuestos'!$E$2:$E$13,"OK",'Conciliacion de compuestos'!$N$2:$N$13,A160),COUNTIFS('Conciliacion de compuestos'!$D$2:$D$13,"conciliado",'Conciliacion de compuestos'!$E$2:$E$13,"OK",'Conciliacion de compuestos'!$O$2:$O$13,A160))&gt;0,IFERROR(TEXTJOIN(CHAR(10),TRUE,FILTER('Conciliacion de compuestos'!$A$2:$A$13,('Conciliacion de compuestos'!$D$2:$D$13="conciliado")*('Conciliacion de compuestos'!$E$2:$E$13="OK")*((('Conciliacion de compuestos'!$M$2:$M$13=A160)+('Conciliacion de compuestos'!$N$2:$N$13=A160)+('Conciliacion de compuestos'!$O$2:$O$13=A160))&gt;0))),""),"")</f>
        <v/>
      </c>
      <c r="G160" s="11">
        <f>IF(I160="conciliado","conciliado","por revisar")</f>
        <v/>
      </c>
      <c r="H160" s="11" t="inlineStr"/>
      <c r="I160" s="11">
        <f>IF(SUM(COUNTIFS('Conciliacion de compuestos'!$D$2:$D$13,"conciliado",'Conciliacion de compuestos'!$E$2:$E$13,"OK",'Conciliacion de compuestos'!$M$2:$M$13,A160),COUNTIFS('Conciliacion de compuestos'!$D$2:$D$13,"conciliado",'Conciliacion de compuestos'!$E$2:$E$13,"OK",'Conciliacion de compuestos'!$N$2:$N$13,A160),COUNTIFS('Conciliacion de compuestos'!$D$2:$D$13,"conciliado",'Conciliacion de compuestos'!$E$2:$E$13,"OK",'Conciliacion de compuestos'!$O$2:$O$13,A160))&gt;0,"conciliado","por revisar")</f>
        <v/>
      </c>
    </row>
    <row r="161">
      <c r="A161" s="11" t="n">
        <v>216</v>
      </c>
      <c r="B161" s="12" t="n">
        <v>46046</v>
      </c>
      <c r="C161" s="11" t="inlineStr">
        <is>
          <t>claudi murillo parra</t>
        </is>
      </c>
      <c r="D161" s="13" t="n">
        <v>61800</v>
      </c>
      <c r="E161" s="11">
        <f>IF(G161="conciliado","conciliado",I161)</f>
        <v/>
      </c>
      <c r="F161" s="11">
        <f>IF(SUM(COUNTIFS('Conciliacion de compuestos'!$D$2:$D$13,"conciliado",'Conciliacion de compuestos'!$E$2:$E$13,"OK",'Conciliacion de compuestos'!$M$2:$M$13,A161),COUNTIFS('Conciliacion de compuestos'!$D$2:$D$13,"conciliado",'Conciliacion de compuestos'!$E$2:$E$13,"OK",'Conciliacion de compuestos'!$N$2:$N$13,A161),COUNTIFS('Conciliacion de compuestos'!$D$2:$D$13,"conciliado",'Conciliacion de compuestos'!$E$2:$E$13,"OK",'Conciliacion de compuestos'!$O$2:$O$13,A161))&gt;0,IFERROR(TEXTJOIN(CHAR(10),TRUE,FILTER('Conciliacion de compuestos'!$A$2:$A$13,('Conciliacion de compuestos'!$D$2:$D$13="conciliado")*('Conciliacion de compuestos'!$E$2:$E$13="OK")*((('Conciliacion de compuestos'!$M$2:$M$13=A161)+('Conciliacion de compuestos'!$N$2:$N$13=A161)+('Conciliacion de compuestos'!$O$2:$O$13=A161))&gt;0))),""),"")</f>
        <v/>
      </c>
      <c r="G161" s="11">
        <f>IF(I161="conciliado","conciliado","por revisar")</f>
        <v/>
      </c>
      <c r="H161" s="11" t="inlineStr"/>
      <c r="I161" s="11">
        <f>IF(SUM(COUNTIFS('Conciliacion de compuestos'!$D$2:$D$13,"conciliado",'Conciliacion de compuestos'!$E$2:$E$13,"OK",'Conciliacion de compuestos'!$M$2:$M$13,A161),COUNTIFS('Conciliacion de compuestos'!$D$2:$D$13,"conciliado",'Conciliacion de compuestos'!$E$2:$E$13,"OK",'Conciliacion de compuestos'!$N$2:$N$13,A161),COUNTIFS('Conciliacion de compuestos'!$D$2:$D$13,"conciliado",'Conciliacion de compuestos'!$E$2:$E$13,"OK",'Conciliacion de compuestos'!$O$2:$O$13,A161))&gt;0,"conciliado","por revisar")</f>
        <v/>
      </c>
    </row>
    <row r="162">
      <c r="A162" s="11" t="n">
        <v>212</v>
      </c>
      <c r="B162" s="12" t="n">
        <v>46046</v>
      </c>
      <c r="C162" s="11" t="inlineStr">
        <is>
          <t>caicedo car jimenez</t>
        </is>
      </c>
      <c r="D162" s="13" t="n">
        <v>34400</v>
      </c>
      <c r="E162" s="11">
        <f>IF(G162="conciliado","conciliado",I162)</f>
        <v/>
      </c>
      <c r="F162" s="11">
        <f>IF(SUM(COUNTIFS('Conciliacion de compuestos'!$D$2:$D$13,"conciliado",'Conciliacion de compuestos'!$E$2:$E$13,"OK",'Conciliacion de compuestos'!$M$2:$M$13,A162),COUNTIFS('Conciliacion de compuestos'!$D$2:$D$13,"conciliado",'Conciliacion de compuestos'!$E$2:$E$13,"OK",'Conciliacion de compuestos'!$N$2:$N$13,A162),COUNTIFS('Conciliacion de compuestos'!$D$2:$D$13,"conciliado",'Conciliacion de compuestos'!$E$2:$E$13,"OK",'Conciliacion de compuestos'!$O$2:$O$13,A162))&gt;0,IFERROR(TEXTJOIN(CHAR(10),TRUE,FILTER('Conciliacion de compuestos'!$A$2:$A$13,('Conciliacion de compuestos'!$D$2:$D$13="conciliado")*('Conciliacion de compuestos'!$E$2:$E$13="OK")*((('Conciliacion de compuestos'!$M$2:$M$13=A162)+('Conciliacion de compuestos'!$N$2:$N$13=A162)+('Conciliacion de compuestos'!$O$2:$O$13=A162))&gt;0))),""),"")</f>
        <v/>
      </c>
      <c r="G162" s="11">
        <f>IF(I162="conciliado","conciliado","por revisar")</f>
        <v/>
      </c>
      <c r="H162" s="11" t="inlineStr"/>
      <c r="I162" s="11">
        <f>IF(SUM(COUNTIFS('Conciliacion de compuestos'!$D$2:$D$13,"conciliado",'Conciliacion de compuestos'!$E$2:$E$13,"OK",'Conciliacion de compuestos'!$M$2:$M$13,A162),COUNTIFS('Conciliacion de compuestos'!$D$2:$D$13,"conciliado",'Conciliacion de compuestos'!$E$2:$E$13,"OK",'Conciliacion de compuestos'!$N$2:$N$13,A162),COUNTIFS('Conciliacion de compuestos'!$D$2:$D$13,"conciliado",'Conciliacion de compuestos'!$E$2:$E$13,"OK",'Conciliacion de compuestos'!$O$2:$O$13,A162))&gt;0,"conciliado","por revisar")</f>
        <v/>
      </c>
    </row>
    <row r="163">
      <c r="A163" s="11" t="n">
        <v>220</v>
      </c>
      <c r="B163" s="12" t="n">
        <v>46046</v>
      </c>
      <c r="C163" s="11" t="inlineStr">
        <is>
          <t>ca caicedo jimenez</t>
        </is>
      </c>
      <c r="D163" s="13" t="n">
        <v>93648</v>
      </c>
      <c r="E163" s="11">
        <f>IF(G163="conciliado","conciliado",I163)</f>
        <v/>
      </c>
      <c r="F163" s="11">
        <f>IF(SUM(COUNTIFS('Conciliacion de compuestos'!$D$2:$D$13,"conciliado",'Conciliacion de compuestos'!$E$2:$E$13,"OK",'Conciliacion de compuestos'!$M$2:$M$13,A163),COUNTIFS('Conciliacion de compuestos'!$D$2:$D$13,"conciliado",'Conciliacion de compuestos'!$E$2:$E$13,"OK",'Conciliacion de compuestos'!$N$2:$N$13,A163),COUNTIFS('Conciliacion de compuestos'!$D$2:$D$13,"conciliado",'Conciliacion de compuestos'!$E$2:$E$13,"OK",'Conciliacion de compuestos'!$O$2:$O$13,A163))&gt;0,IFERROR(TEXTJOIN(CHAR(10),TRUE,FILTER('Conciliacion de compuestos'!$A$2:$A$13,('Conciliacion de compuestos'!$D$2:$D$13="conciliado")*('Conciliacion de compuestos'!$E$2:$E$13="OK")*((('Conciliacion de compuestos'!$M$2:$M$13=A163)+('Conciliacion de compuestos'!$N$2:$N$13=A163)+('Conciliacion de compuestos'!$O$2:$O$13=A163))&gt;0))),""),"")</f>
        <v/>
      </c>
      <c r="G163" s="11">
        <f>IF(I163="conciliado","conciliado","por revisar")</f>
        <v/>
      </c>
      <c r="H163" s="11" t="inlineStr"/>
      <c r="I163" s="11">
        <f>IF(SUM(COUNTIFS('Conciliacion de compuestos'!$D$2:$D$13,"conciliado",'Conciliacion de compuestos'!$E$2:$E$13,"OK",'Conciliacion de compuestos'!$M$2:$M$13,A163),COUNTIFS('Conciliacion de compuestos'!$D$2:$D$13,"conciliado",'Conciliacion de compuestos'!$E$2:$E$13,"OK",'Conciliacion de compuestos'!$N$2:$N$13,A163),COUNTIFS('Conciliacion de compuestos'!$D$2:$D$13,"conciliado",'Conciliacion de compuestos'!$E$2:$E$13,"OK",'Conciliacion de compuestos'!$O$2:$O$13,A163))&gt;0,"conciliado","por revisar")</f>
        <v/>
      </c>
    </row>
    <row r="164">
      <c r="A164" s="11" t="n">
        <v>218</v>
      </c>
      <c r="B164" s="12" t="n">
        <v>46046</v>
      </c>
      <c r="C164" s="11" t="inlineStr">
        <is>
          <t>angelica lopez melo</t>
        </is>
      </c>
      <c r="D164" s="13" t="n">
        <v>77800</v>
      </c>
      <c r="E164" s="11">
        <f>IF(G164="conciliado","conciliado",I164)</f>
        <v/>
      </c>
      <c r="F164" s="11">
        <f>IF(SUM(COUNTIFS('Conciliacion de compuestos'!$D$2:$D$13,"conciliado",'Conciliacion de compuestos'!$E$2:$E$13,"OK",'Conciliacion de compuestos'!$M$2:$M$13,A164),COUNTIFS('Conciliacion de compuestos'!$D$2:$D$13,"conciliado",'Conciliacion de compuestos'!$E$2:$E$13,"OK",'Conciliacion de compuestos'!$N$2:$N$13,A164),COUNTIFS('Conciliacion de compuestos'!$D$2:$D$13,"conciliado",'Conciliacion de compuestos'!$E$2:$E$13,"OK",'Conciliacion de compuestos'!$O$2:$O$13,A164))&gt;0,IFERROR(TEXTJOIN(CHAR(10),TRUE,FILTER('Conciliacion de compuestos'!$A$2:$A$13,('Conciliacion de compuestos'!$D$2:$D$13="conciliado")*('Conciliacion de compuestos'!$E$2:$E$13="OK")*((('Conciliacion de compuestos'!$M$2:$M$13=A164)+('Conciliacion de compuestos'!$N$2:$N$13=A164)+('Conciliacion de compuestos'!$O$2:$O$13=A164))&gt;0))),""),"")</f>
        <v/>
      </c>
      <c r="G164" s="11">
        <f>IF(I164="conciliado","conciliado","por revisar")</f>
        <v/>
      </c>
      <c r="H164" s="11" t="inlineStr"/>
      <c r="I164" s="11">
        <f>IF(SUM(COUNTIFS('Conciliacion de compuestos'!$D$2:$D$13,"conciliado",'Conciliacion de compuestos'!$E$2:$E$13,"OK",'Conciliacion de compuestos'!$M$2:$M$13,A164),COUNTIFS('Conciliacion de compuestos'!$D$2:$D$13,"conciliado",'Conciliacion de compuestos'!$E$2:$E$13,"OK",'Conciliacion de compuestos'!$N$2:$N$13,A164),COUNTIFS('Conciliacion de compuestos'!$D$2:$D$13,"conciliado",'Conciliacion de compuestos'!$E$2:$E$13,"OK",'Conciliacion de compuestos'!$O$2:$O$13,A164))&gt;0,"conciliado","por revisar")</f>
        <v/>
      </c>
    </row>
    <row r="165">
      <c r="A165" s="11" t="n">
        <v>205</v>
      </c>
      <c r="B165" s="12" t="n">
        <v>46045</v>
      </c>
      <c r="C165" s="11" t="inlineStr">
        <is>
          <t>angulo arteaga lizet</t>
        </is>
      </c>
      <c r="D165" s="13" t="n">
        <v>41400</v>
      </c>
      <c r="E165" s="11">
        <f>IF(G165="conciliado","conciliado",I165)</f>
        <v/>
      </c>
      <c r="F165" s="11">
        <f>IF(SUM(COUNTIFS('Conciliacion de compuestos'!$D$2:$D$13,"conciliado",'Conciliacion de compuestos'!$E$2:$E$13,"OK",'Conciliacion de compuestos'!$M$2:$M$13,A165),COUNTIFS('Conciliacion de compuestos'!$D$2:$D$13,"conciliado",'Conciliacion de compuestos'!$E$2:$E$13,"OK",'Conciliacion de compuestos'!$N$2:$N$13,A165),COUNTIFS('Conciliacion de compuestos'!$D$2:$D$13,"conciliado",'Conciliacion de compuestos'!$E$2:$E$13,"OK",'Conciliacion de compuestos'!$O$2:$O$13,A165))&gt;0,IFERROR(TEXTJOIN(CHAR(10),TRUE,FILTER('Conciliacion de compuestos'!$A$2:$A$13,('Conciliacion de compuestos'!$D$2:$D$13="conciliado")*('Conciliacion de compuestos'!$E$2:$E$13="OK")*((('Conciliacion de compuestos'!$M$2:$M$13=A165)+('Conciliacion de compuestos'!$N$2:$N$13=A165)+('Conciliacion de compuestos'!$O$2:$O$13=A165))&gt;0))),""),"")</f>
        <v/>
      </c>
      <c r="G165" s="11">
        <f>IF(I165="conciliado","conciliado","por revisar")</f>
        <v/>
      </c>
      <c r="H165" s="11" t="inlineStr"/>
      <c r="I165" s="11">
        <f>IF(SUM(COUNTIFS('Conciliacion de compuestos'!$D$2:$D$13,"conciliado",'Conciliacion de compuestos'!$E$2:$E$13,"OK",'Conciliacion de compuestos'!$M$2:$M$13,A165),COUNTIFS('Conciliacion de compuestos'!$D$2:$D$13,"conciliado",'Conciliacion de compuestos'!$E$2:$E$13,"OK",'Conciliacion de compuestos'!$N$2:$N$13,A165),COUNTIFS('Conciliacion de compuestos'!$D$2:$D$13,"conciliado",'Conciliacion de compuestos'!$E$2:$E$13,"OK",'Conciliacion de compuestos'!$O$2:$O$13,A165))&gt;0,"conciliado","por revisar")</f>
        <v/>
      </c>
    </row>
    <row r="166">
      <c r="A166" s="11" t="n">
        <v>197</v>
      </c>
      <c r="B166" s="12" t="n">
        <v>46045</v>
      </c>
      <c r="C166" s="11" t="inlineStr">
        <is>
          <t>cuacialpud hernandez</t>
        </is>
      </c>
      <c r="D166" s="13" t="n">
        <v>144000</v>
      </c>
      <c r="E166" s="11">
        <f>IF(G166="conciliado","conciliado",I166)</f>
        <v/>
      </c>
      <c r="F166" s="11">
        <f>IF(SUM(COUNTIFS('Conciliacion de compuestos'!$D$2:$D$13,"conciliado",'Conciliacion de compuestos'!$E$2:$E$13,"OK",'Conciliacion de compuestos'!$M$2:$M$13,A166),COUNTIFS('Conciliacion de compuestos'!$D$2:$D$13,"conciliado",'Conciliacion de compuestos'!$E$2:$E$13,"OK",'Conciliacion de compuestos'!$N$2:$N$13,A166),COUNTIFS('Conciliacion de compuestos'!$D$2:$D$13,"conciliado",'Conciliacion de compuestos'!$E$2:$E$13,"OK",'Conciliacion de compuestos'!$O$2:$O$13,A166))&gt;0,IFERROR(TEXTJOIN(CHAR(10),TRUE,FILTER('Conciliacion de compuestos'!$A$2:$A$13,('Conciliacion de compuestos'!$D$2:$D$13="conciliado")*('Conciliacion de compuestos'!$E$2:$E$13="OK")*((('Conciliacion de compuestos'!$M$2:$M$13=A166)+('Conciliacion de compuestos'!$N$2:$N$13=A166)+('Conciliacion de compuestos'!$O$2:$O$13=A166))&gt;0))),""),"")</f>
        <v/>
      </c>
      <c r="G166" s="11">
        <f>IF(I166="conciliado","conciliado","por revisar")</f>
        <v/>
      </c>
      <c r="H166" s="11" t="inlineStr"/>
      <c r="I166" s="11">
        <f>IF(SUM(COUNTIFS('Conciliacion de compuestos'!$D$2:$D$13,"conciliado",'Conciliacion de compuestos'!$E$2:$E$13,"OK",'Conciliacion de compuestos'!$M$2:$M$13,A166),COUNTIFS('Conciliacion de compuestos'!$D$2:$D$13,"conciliado",'Conciliacion de compuestos'!$E$2:$E$13,"OK",'Conciliacion de compuestos'!$N$2:$N$13,A166),COUNTIFS('Conciliacion de compuestos'!$D$2:$D$13,"conciliado",'Conciliacion de compuestos'!$E$2:$E$13,"OK",'Conciliacion de compuestos'!$O$2:$O$13,A166))&gt;0,"conciliado","por revisar")</f>
        <v/>
      </c>
    </row>
    <row r="167">
      <c r="A167" s="11" t="n">
        <v>213</v>
      </c>
      <c r="B167" s="12" t="n">
        <v>46046</v>
      </c>
      <c r="C167" s="11" t="inlineStr">
        <is>
          <t>hernandez lema pedro</t>
        </is>
      </c>
      <c r="D167" s="13" t="n">
        <v>79900</v>
      </c>
      <c r="E167" s="11">
        <f>IF(G167="conciliado","conciliado",I167)</f>
        <v/>
      </c>
      <c r="F167" s="11">
        <f>IF(SUM(COUNTIFS('Conciliacion de compuestos'!$D$2:$D$13,"conciliado",'Conciliacion de compuestos'!$E$2:$E$13,"OK",'Conciliacion de compuestos'!$M$2:$M$13,A167),COUNTIFS('Conciliacion de compuestos'!$D$2:$D$13,"conciliado",'Conciliacion de compuestos'!$E$2:$E$13,"OK",'Conciliacion de compuestos'!$N$2:$N$13,A167),COUNTIFS('Conciliacion de compuestos'!$D$2:$D$13,"conciliado",'Conciliacion de compuestos'!$E$2:$E$13,"OK",'Conciliacion de compuestos'!$O$2:$O$13,A167))&gt;0,IFERROR(TEXTJOIN(CHAR(10),TRUE,FILTER('Conciliacion de compuestos'!$A$2:$A$13,('Conciliacion de compuestos'!$D$2:$D$13="conciliado")*('Conciliacion de compuestos'!$E$2:$E$13="OK")*((('Conciliacion de compuestos'!$M$2:$M$13=A167)+('Conciliacion de compuestos'!$N$2:$N$13=A167)+('Conciliacion de compuestos'!$O$2:$O$13=A167))&gt;0))),""),"")</f>
        <v/>
      </c>
      <c r="G167" s="11">
        <f>IF(I167="conciliado","conciliado","por revisar")</f>
        <v/>
      </c>
      <c r="H167" s="11" t="inlineStr"/>
      <c r="I167" s="11">
        <f>IF(SUM(COUNTIFS('Conciliacion de compuestos'!$D$2:$D$13,"conciliado",'Conciliacion de compuestos'!$E$2:$E$13,"OK",'Conciliacion de compuestos'!$M$2:$M$13,A167),COUNTIFS('Conciliacion de compuestos'!$D$2:$D$13,"conciliado",'Conciliacion de compuestos'!$E$2:$E$13,"OK",'Conciliacion de compuestos'!$N$2:$N$13,A167),COUNTIFS('Conciliacion de compuestos'!$D$2:$D$13,"conciliado",'Conciliacion de compuestos'!$E$2:$E$13,"OK",'Conciliacion de compuestos'!$O$2:$O$13,A167))&gt;0,"conciliado","por revisar")</f>
        <v/>
      </c>
    </row>
    <row r="168">
      <c r="A168" s="11" t="n">
        <v>219</v>
      </c>
      <c r="B168" s="12" t="n">
        <v>46046</v>
      </c>
      <c r="C168" s="11" t="inlineStr">
        <is>
          <t>leonc sanchez vargas</t>
        </is>
      </c>
      <c r="D168" s="13" t="n">
        <v>135200</v>
      </c>
      <c r="E168" s="11">
        <f>IF(G168="conciliado","conciliado",I168)</f>
        <v/>
      </c>
      <c r="F168" s="11">
        <f>IF(SUM(COUNTIFS('Conciliacion de compuestos'!$D$2:$D$13,"conciliado",'Conciliacion de compuestos'!$E$2:$E$13,"OK",'Conciliacion de compuestos'!$M$2:$M$13,A168),COUNTIFS('Conciliacion de compuestos'!$D$2:$D$13,"conciliado",'Conciliacion de compuestos'!$E$2:$E$13,"OK",'Conciliacion de compuestos'!$N$2:$N$13,A168),COUNTIFS('Conciliacion de compuestos'!$D$2:$D$13,"conciliado",'Conciliacion de compuestos'!$E$2:$E$13,"OK",'Conciliacion de compuestos'!$O$2:$O$13,A168))&gt;0,IFERROR(TEXTJOIN(CHAR(10),TRUE,FILTER('Conciliacion de compuestos'!$A$2:$A$13,('Conciliacion de compuestos'!$D$2:$D$13="conciliado")*('Conciliacion de compuestos'!$E$2:$E$13="OK")*((('Conciliacion de compuestos'!$M$2:$M$13=A168)+('Conciliacion de compuestos'!$N$2:$N$13=A168)+('Conciliacion de compuestos'!$O$2:$O$13=A168))&gt;0))),""),"")</f>
        <v/>
      </c>
      <c r="G168" s="11">
        <f>IF(I168="conciliado","conciliado","por revisar")</f>
        <v/>
      </c>
      <c r="H168" s="11" t="inlineStr"/>
      <c r="I168" s="11">
        <f>IF(SUM(COUNTIFS('Conciliacion de compuestos'!$D$2:$D$13,"conciliado",'Conciliacion de compuestos'!$E$2:$E$13,"OK",'Conciliacion de compuestos'!$M$2:$M$13,A168),COUNTIFS('Conciliacion de compuestos'!$D$2:$D$13,"conciliado",'Conciliacion de compuestos'!$E$2:$E$13,"OK",'Conciliacion de compuestos'!$N$2:$N$13,A168),COUNTIFS('Conciliacion de compuestos'!$D$2:$D$13,"conciliado",'Conciliacion de compuestos'!$E$2:$E$13,"OK",'Conciliacion de compuestos'!$O$2:$O$13,A168))&gt;0,"conciliado","por revisar")</f>
        <v/>
      </c>
    </row>
    <row r="169">
      <c r="A169" s="11" t="n">
        <v>211</v>
      </c>
      <c r="B169" s="12" t="n">
        <v>46046</v>
      </c>
      <c r="C169" s="11" t="inlineStr">
        <is>
          <t>bastidas bolanos pao</t>
        </is>
      </c>
      <c r="D169" s="13" t="n">
        <v>32700</v>
      </c>
      <c r="E169" s="11">
        <f>IF(G169="conciliado","conciliado",I169)</f>
        <v/>
      </c>
      <c r="F169" s="11">
        <f>IF(SUM(COUNTIFS('Conciliacion de compuestos'!$D$2:$D$13,"conciliado",'Conciliacion de compuestos'!$E$2:$E$13,"OK",'Conciliacion de compuestos'!$M$2:$M$13,A169),COUNTIFS('Conciliacion de compuestos'!$D$2:$D$13,"conciliado",'Conciliacion de compuestos'!$E$2:$E$13,"OK",'Conciliacion de compuestos'!$N$2:$N$13,A169),COUNTIFS('Conciliacion de compuestos'!$D$2:$D$13,"conciliado",'Conciliacion de compuestos'!$E$2:$E$13,"OK",'Conciliacion de compuestos'!$O$2:$O$13,A169))&gt;0,IFERROR(TEXTJOIN(CHAR(10),TRUE,FILTER('Conciliacion de compuestos'!$A$2:$A$13,('Conciliacion de compuestos'!$D$2:$D$13="conciliado")*('Conciliacion de compuestos'!$E$2:$E$13="OK")*((('Conciliacion de compuestos'!$M$2:$M$13=A169)+('Conciliacion de compuestos'!$N$2:$N$13=A169)+('Conciliacion de compuestos'!$O$2:$O$13=A169))&gt;0))),""),"")</f>
        <v/>
      </c>
      <c r="G169" s="11">
        <f>IF(I169="conciliado","conciliado","por revisar")</f>
        <v/>
      </c>
      <c r="H169" s="11" t="inlineStr"/>
      <c r="I169" s="11">
        <f>IF(SUM(COUNTIFS('Conciliacion de compuestos'!$D$2:$D$13,"conciliado",'Conciliacion de compuestos'!$E$2:$E$13,"OK",'Conciliacion de compuestos'!$M$2:$M$13,A169),COUNTIFS('Conciliacion de compuestos'!$D$2:$D$13,"conciliado",'Conciliacion de compuestos'!$E$2:$E$13,"OK",'Conciliacion de compuestos'!$N$2:$N$13,A169),COUNTIFS('Conciliacion de compuestos'!$D$2:$D$13,"conciliado",'Conciliacion de compuestos'!$E$2:$E$13,"OK",'Conciliacion de compuestos'!$O$2:$O$13,A169))&gt;0,"conciliado","por revisar")</f>
        <v/>
      </c>
    </row>
    <row r="170">
      <c r="A170" s="11" t="n">
        <v>207</v>
      </c>
      <c r="B170" s="12" t="n">
        <v>46046</v>
      </c>
      <c r="C170" s="11" t="inlineStr">
        <is>
          <t>cuacialpud hernandez</t>
        </is>
      </c>
      <c r="D170" s="13" t="n">
        <v>160000</v>
      </c>
      <c r="E170" s="11">
        <f>IF(G170="conciliado","conciliado",I170)</f>
        <v/>
      </c>
      <c r="F170" s="11">
        <f>IF(SUM(COUNTIFS('Conciliacion de compuestos'!$D$2:$D$13,"conciliado",'Conciliacion de compuestos'!$E$2:$E$13,"OK",'Conciliacion de compuestos'!$M$2:$M$13,A170),COUNTIFS('Conciliacion de compuestos'!$D$2:$D$13,"conciliado",'Conciliacion de compuestos'!$E$2:$E$13,"OK",'Conciliacion de compuestos'!$N$2:$N$13,A170),COUNTIFS('Conciliacion de compuestos'!$D$2:$D$13,"conciliado",'Conciliacion de compuestos'!$E$2:$E$13,"OK",'Conciliacion de compuestos'!$O$2:$O$13,A170))&gt;0,IFERROR(TEXTJOIN(CHAR(10),TRUE,FILTER('Conciliacion de compuestos'!$A$2:$A$13,('Conciliacion de compuestos'!$D$2:$D$13="conciliado")*('Conciliacion de compuestos'!$E$2:$E$13="OK")*((('Conciliacion de compuestos'!$M$2:$M$13=A170)+('Conciliacion de compuestos'!$N$2:$N$13=A170)+('Conciliacion de compuestos'!$O$2:$O$13=A170))&gt;0))),""),"")</f>
        <v/>
      </c>
      <c r="G170" s="11">
        <f>IF(I170="conciliado","conciliado","por revisar")</f>
        <v/>
      </c>
      <c r="H170" s="11" t="inlineStr"/>
      <c r="I170" s="11">
        <f>IF(SUM(COUNTIFS('Conciliacion de compuestos'!$D$2:$D$13,"conciliado",'Conciliacion de compuestos'!$E$2:$E$13,"OK",'Conciliacion de compuestos'!$M$2:$M$13,A170),COUNTIFS('Conciliacion de compuestos'!$D$2:$D$13,"conciliado",'Conciliacion de compuestos'!$E$2:$E$13,"OK",'Conciliacion de compuestos'!$N$2:$N$13,A170),COUNTIFS('Conciliacion de compuestos'!$D$2:$D$13,"conciliado",'Conciliacion de compuestos'!$E$2:$E$13,"OK",'Conciliacion de compuestos'!$O$2:$O$13,A170))&gt;0,"conciliado","por revisar")</f>
        <v/>
      </c>
    </row>
    <row r="171">
      <c r="A171" s="11" t="n">
        <v>217</v>
      </c>
      <c r="B171" s="12" t="n">
        <v>46046</v>
      </c>
      <c r="C171" s="11" t="inlineStr">
        <is>
          <t>chamorro jaramillo o</t>
        </is>
      </c>
      <c r="D171" s="13" t="n">
        <v>84000</v>
      </c>
      <c r="E171" s="11">
        <f>IF(G171="conciliado","conciliado",I171)</f>
        <v/>
      </c>
      <c r="F171" s="11">
        <f>IF(SUM(COUNTIFS('Conciliacion de compuestos'!$D$2:$D$13,"conciliado",'Conciliacion de compuestos'!$E$2:$E$13,"OK",'Conciliacion de compuestos'!$M$2:$M$13,A171),COUNTIFS('Conciliacion de compuestos'!$D$2:$D$13,"conciliado",'Conciliacion de compuestos'!$E$2:$E$13,"OK",'Conciliacion de compuestos'!$N$2:$N$13,A171),COUNTIFS('Conciliacion de compuestos'!$D$2:$D$13,"conciliado",'Conciliacion de compuestos'!$E$2:$E$13,"OK",'Conciliacion de compuestos'!$O$2:$O$13,A171))&gt;0,IFERROR(TEXTJOIN(CHAR(10),TRUE,FILTER('Conciliacion de compuestos'!$A$2:$A$13,('Conciliacion de compuestos'!$D$2:$D$13="conciliado")*('Conciliacion de compuestos'!$E$2:$E$13="OK")*((('Conciliacion de compuestos'!$M$2:$M$13=A171)+('Conciliacion de compuestos'!$N$2:$N$13=A171)+('Conciliacion de compuestos'!$O$2:$O$13=A171))&gt;0))),""),"")</f>
        <v/>
      </c>
      <c r="G171" s="11">
        <f>IF(I171="conciliado","conciliado","por revisar")</f>
        <v/>
      </c>
      <c r="H171" s="11" t="inlineStr"/>
      <c r="I171" s="11">
        <f>IF(SUM(COUNTIFS('Conciliacion de compuestos'!$D$2:$D$13,"conciliado",'Conciliacion de compuestos'!$E$2:$E$13,"OK",'Conciliacion de compuestos'!$M$2:$M$13,A171),COUNTIFS('Conciliacion de compuestos'!$D$2:$D$13,"conciliado",'Conciliacion de compuestos'!$E$2:$E$13,"OK",'Conciliacion de compuestos'!$N$2:$N$13,A171),COUNTIFS('Conciliacion de compuestos'!$D$2:$D$13,"conciliado",'Conciliacion de compuestos'!$E$2:$E$13,"OK",'Conciliacion de compuestos'!$O$2:$O$13,A171))&gt;0,"conciliado","por revisar")</f>
        <v/>
      </c>
    </row>
    <row r="172">
      <c r="A172" s="11" t="n">
        <v>229</v>
      </c>
      <c r="B172" s="12" t="n">
        <v>46048</v>
      </c>
      <c r="C172" s="11" t="inlineStr">
        <is>
          <t>edgar muepaz usamag</t>
        </is>
      </c>
      <c r="D172" s="13" t="n">
        <v>223420</v>
      </c>
      <c r="E172" s="11">
        <f>IF(G172="conciliado","conciliado",I172)</f>
        <v/>
      </c>
      <c r="F172" s="11">
        <f>IF(SUM(COUNTIFS('Conciliacion de compuestos'!$D$2:$D$13,"conciliado",'Conciliacion de compuestos'!$E$2:$E$13,"OK",'Conciliacion de compuestos'!$M$2:$M$13,A172),COUNTIFS('Conciliacion de compuestos'!$D$2:$D$13,"conciliado",'Conciliacion de compuestos'!$E$2:$E$13,"OK",'Conciliacion de compuestos'!$N$2:$N$13,A172),COUNTIFS('Conciliacion de compuestos'!$D$2:$D$13,"conciliado",'Conciliacion de compuestos'!$E$2:$E$13,"OK",'Conciliacion de compuestos'!$O$2:$O$13,A172))&gt;0,IFERROR(TEXTJOIN(CHAR(10),TRUE,FILTER('Conciliacion de compuestos'!$A$2:$A$13,('Conciliacion de compuestos'!$D$2:$D$13="conciliado")*('Conciliacion de compuestos'!$E$2:$E$13="OK")*((('Conciliacion de compuestos'!$M$2:$M$13=A172)+('Conciliacion de compuestos'!$N$2:$N$13=A172)+('Conciliacion de compuestos'!$O$2:$O$13=A172))&gt;0))),""),"")</f>
        <v/>
      </c>
      <c r="G172" s="11">
        <f>IF(I172="conciliado","conciliado","por revisar")</f>
        <v/>
      </c>
      <c r="H172" s="11" t="inlineStr"/>
      <c r="I172" s="11">
        <f>IF(SUM(COUNTIFS('Conciliacion de compuestos'!$D$2:$D$13,"conciliado",'Conciliacion de compuestos'!$E$2:$E$13,"OK",'Conciliacion de compuestos'!$M$2:$M$13,A172),COUNTIFS('Conciliacion de compuestos'!$D$2:$D$13,"conciliado",'Conciliacion de compuestos'!$E$2:$E$13,"OK",'Conciliacion de compuestos'!$N$2:$N$13,A172),COUNTIFS('Conciliacion de compuestos'!$D$2:$D$13,"conciliado",'Conciliacion de compuestos'!$E$2:$E$13,"OK",'Conciliacion de compuestos'!$O$2:$O$13,A172))&gt;0,"conciliado","por revisar")</f>
        <v/>
      </c>
    </row>
    <row r="173">
      <c r="A173" s="11" t="n">
        <v>236</v>
      </c>
      <c r="B173" s="12" t="n">
        <v>46048</v>
      </c>
      <c r="C173" s="11" t="inlineStr">
        <is>
          <t>alex delgado diaz</t>
        </is>
      </c>
      <c r="D173" s="13" t="n">
        <v>28400</v>
      </c>
      <c r="E173" s="11">
        <f>IF(G173="conciliado","conciliado",I173)</f>
        <v/>
      </c>
      <c r="F173" s="11">
        <f>IF(SUM(COUNTIFS('Conciliacion de compuestos'!$D$2:$D$13,"conciliado",'Conciliacion de compuestos'!$E$2:$E$13,"OK",'Conciliacion de compuestos'!$M$2:$M$13,A173),COUNTIFS('Conciliacion de compuestos'!$D$2:$D$13,"conciliado",'Conciliacion de compuestos'!$E$2:$E$13,"OK",'Conciliacion de compuestos'!$N$2:$N$13,A173),COUNTIFS('Conciliacion de compuestos'!$D$2:$D$13,"conciliado",'Conciliacion de compuestos'!$E$2:$E$13,"OK",'Conciliacion de compuestos'!$O$2:$O$13,A173))&gt;0,IFERROR(TEXTJOIN(CHAR(10),TRUE,FILTER('Conciliacion de compuestos'!$A$2:$A$13,('Conciliacion de compuestos'!$D$2:$D$13="conciliado")*('Conciliacion de compuestos'!$E$2:$E$13="OK")*((('Conciliacion de compuestos'!$M$2:$M$13=A173)+('Conciliacion de compuestos'!$N$2:$N$13=A173)+('Conciliacion de compuestos'!$O$2:$O$13=A173))&gt;0))),""),"")</f>
        <v/>
      </c>
      <c r="G173" s="11">
        <f>IF(I173="conciliado","conciliado","por revisar")</f>
        <v/>
      </c>
      <c r="H173" s="11" t="inlineStr"/>
      <c r="I173" s="11">
        <f>IF(SUM(COUNTIFS('Conciliacion de compuestos'!$D$2:$D$13,"conciliado",'Conciliacion de compuestos'!$E$2:$E$13,"OK",'Conciliacion de compuestos'!$M$2:$M$13,A173),COUNTIFS('Conciliacion de compuestos'!$D$2:$D$13,"conciliado",'Conciliacion de compuestos'!$E$2:$E$13,"OK",'Conciliacion de compuestos'!$N$2:$N$13,A173),COUNTIFS('Conciliacion de compuestos'!$D$2:$D$13,"conciliado",'Conciliacion de compuestos'!$E$2:$E$13,"OK",'Conciliacion de compuestos'!$O$2:$O$13,A173))&gt;0,"conciliado","por revisar")</f>
        <v/>
      </c>
    </row>
    <row r="174">
      <c r="A174" s="11" t="n">
        <v>231</v>
      </c>
      <c r="B174" s="12" t="n">
        <v>46048</v>
      </c>
      <c r="C174" s="11" t="inlineStr">
        <is>
          <t>ciro gonzalez santos</t>
        </is>
      </c>
      <c r="D174" s="13" t="n">
        <v>40463</v>
      </c>
      <c r="E174" s="11">
        <f>IF(G174="conciliado","conciliado",I174)</f>
        <v/>
      </c>
      <c r="F174" s="11">
        <f>IF(SUM(COUNTIFS('Conciliacion de compuestos'!$D$2:$D$13,"conciliado",'Conciliacion de compuestos'!$E$2:$E$13,"OK",'Conciliacion de compuestos'!$M$2:$M$13,A174),COUNTIFS('Conciliacion de compuestos'!$D$2:$D$13,"conciliado",'Conciliacion de compuestos'!$E$2:$E$13,"OK",'Conciliacion de compuestos'!$N$2:$N$13,A174),COUNTIFS('Conciliacion de compuestos'!$D$2:$D$13,"conciliado",'Conciliacion de compuestos'!$E$2:$E$13,"OK",'Conciliacion de compuestos'!$O$2:$O$13,A174))&gt;0,IFERROR(TEXTJOIN(CHAR(10),TRUE,FILTER('Conciliacion de compuestos'!$A$2:$A$13,('Conciliacion de compuestos'!$D$2:$D$13="conciliado")*('Conciliacion de compuestos'!$E$2:$E$13="OK")*((('Conciliacion de compuestos'!$M$2:$M$13=A174)+('Conciliacion de compuestos'!$N$2:$N$13=A174)+('Conciliacion de compuestos'!$O$2:$O$13=A174))&gt;0))),""),"")</f>
        <v/>
      </c>
      <c r="G174" s="11">
        <f>IF(I174="conciliado","conciliado","por revisar")</f>
        <v/>
      </c>
      <c r="H174" s="11" t="inlineStr"/>
      <c r="I174" s="11">
        <f>IF(SUM(COUNTIFS('Conciliacion de compuestos'!$D$2:$D$13,"conciliado",'Conciliacion de compuestos'!$E$2:$E$13,"OK",'Conciliacion de compuestos'!$M$2:$M$13,A174),COUNTIFS('Conciliacion de compuestos'!$D$2:$D$13,"conciliado",'Conciliacion de compuestos'!$E$2:$E$13,"OK",'Conciliacion de compuestos'!$N$2:$N$13,A174),COUNTIFS('Conciliacion de compuestos'!$D$2:$D$13,"conciliado",'Conciliacion de compuestos'!$E$2:$E$13,"OK",'Conciliacion de compuestos'!$O$2:$O$13,A174))&gt;0,"conciliado","por revisar")</f>
        <v/>
      </c>
    </row>
    <row r="175">
      <c r="A175" s="11" t="n">
        <v>237</v>
      </c>
      <c r="B175" s="12" t="n">
        <v>46048</v>
      </c>
      <c r="C175" s="11" t="inlineStr">
        <is>
          <t>lopez reyes yamile</t>
        </is>
      </c>
      <c r="D175" s="13" t="n">
        <v>53300</v>
      </c>
      <c r="E175" s="11">
        <f>IF(G175="conciliado","conciliado",I175)</f>
        <v/>
      </c>
      <c r="F175" s="11">
        <f>IF(SUM(COUNTIFS('Conciliacion de compuestos'!$D$2:$D$13,"conciliado",'Conciliacion de compuestos'!$E$2:$E$13,"OK",'Conciliacion de compuestos'!$M$2:$M$13,A175),COUNTIFS('Conciliacion de compuestos'!$D$2:$D$13,"conciliado",'Conciliacion de compuestos'!$E$2:$E$13,"OK",'Conciliacion de compuestos'!$N$2:$N$13,A175),COUNTIFS('Conciliacion de compuestos'!$D$2:$D$13,"conciliado",'Conciliacion de compuestos'!$E$2:$E$13,"OK",'Conciliacion de compuestos'!$O$2:$O$13,A175))&gt;0,IFERROR(TEXTJOIN(CHAR(10),TRUE,FILTER('Conciliacion de compuestos'!$A$2:$A$13,('Conciliacion de compuestos'!$D$2:$D$13="conciliado")*('Conciliacion de compuestos'!$E$2:$E$13="OK")*((('Conciliacion de compuestos'!$M$2:$M$13=A175)+('Conciliacion de compuestos'!$N$2:$N$13=A175)+('Conciliacion de compuestos'!$O$2:$O$13=A175))&gt;0))),""),"")</f>
        <v/>
      </c>
      <c r="G175" s="11">
        <f>IF(I175="conciliado","conciliado","por revisar")</f>
        <v/>
      </c>
      <c r="H175" s="11" t="inlineStr"/>
      <c r="I175" s="11">
        <f>IF(SUM(COUNTIFS('Conciliacion de compuestos'!$D$2:$D$13,"conciliado",'Conciliacion de compuestos'!$E$2:$E$13,"OK",'Conciliacion de compuestos'!$M$2:$M$13,A175),COUNTIFS('Conciliacion de compuestos'!$D$2:$D$13,"conciliado",'Conciliacion de compuestos'!$E$2:$E$13,"OK",'Conciliacion de compuestos'!$N$2:$N$13,A175),COUNTIFS('Conciliacion de compuestos'!$D$2:$D$13,"conciliado",'Conciliacion de compuestos'!$E$2:$E$13,"OK",'Conciliacion de compuestos'!$O$2:$O$13,A175))&gt;0,"conciliado","por revisar")</f>
        <v/>
      </c>
    </row>
    <row r="176">
      <c r="A176" s="11" t="n">
        <v>235</v>
      </c>
      <c r="B176" s="12" t="n">
        <v>46048</v>
      </c>
      <c r="C176" s="11" t="inlineStr">
        <is>
          <t>leidy molina riascos</t>
        </is>
      </c>
      <c r="D176" s="13" t="n">
        <v>61300</v>
      </c>
      <c r="E176" s="11">
        <f>IF(G176="conciliado","conciliado",I176)</f>
        <v/>
      </c>
      <c r="F176" s="11">
        <f>IF(SUM(COUNTIFS('Conciliacion de compuestos'!$D$2:$D$13,"conciliado",'Conciliacion de compuestos'!$E$2:$E$13,"OK",'Conciliacion de compuestos'!$M$2:$M$13,A176),COUNTIFS('Conciliacion de compuestos'!$D$2:$D$13,"conciliado",'Conciliacion de compuestos'!$E$2:$E$13,"OK",'Conciliacion de compuestos'!$N$2:$N$13,A176),COUNTIFS('Conciliacion de compuestos'!$D$2:$D$13,"conciliado",'Conciliacion de compuestos'!$E$2:$E$13,"OK",'Conciliacion de compuestos'!$O$2:$O$13,A176))&gt;0,IFERROR(TEXTJOIN(CHAR(10),TRUE,FILTER('Conciliacion de compuestos'!$A$2:$A$13,('Conciliacion de compuestos'!$D$2:$D$13="conciliado")*('Conciliacion de compuestos'!$E$2:$E$13="OK")*((('Conciliacion de compuestos'!$M$2:$M$13=A176)+('Conciliacion de compuestos'!$N$2:$N$13=A176)+('Conciliacion de compuestos'!$O$2:$O$13=A176))&gt;0))),""),"")</f>
        <v/>
      </c>
      <c r="G176" s="11">
        <f>IF(I176="conciliado","conciliado","por revisar")</f>
        <v/>
      </c>
      <c r="H176" s="11" t="inlineStr"/>
      <c r="I176" s="11">
        <f>IF(SUM(COUNTIFS('Conciliacion de compuestos'!$D$2:$D$13,"conciliado",'Conciliacion de compuestos'!$E$2:$E$13,"OK",'Conciliacion de compuestos'!$M$2:$M$13,A176),COUNTIFS('Conciliacion de compuestos'!$D$2:$D$13,"conciliado",'Conciliacion de compuestos'!$E$2:$E$13,"OK",'Conciliacion de compuestos'!$N$2:$N$13,A176),COUNTIFS('Conciliacion de compuestos'!$D$2:$D$13,"conciliado",'Conciliacion de compuestos'!$E$2:$E$13,"OK",'Conciliacion de compuestos'!$O$2:$O$13,A176))&gt;0,"conciliado","por revisar")</f>
        <v/>
      </c>
    </row>
    <row r="177">
      <c r="A177" s="11" t="n">
        <v>230</v>
      </c>
      <c r="B177" s="12" t="n">
        <v>46048</v>
      </c>
      <c r="C177" s="11" t="inlineStr">
        <is>
          <t>au hector melo tobar</t>
        </is>
      </c>
      <c r="D177" s="13" t="n">
        <v>40400</v>
      </c>
      <c r="E177" s="11">
        <f>IF(G177="conciliado","conciliado",I177)</f>
        <v/>
      </c>
      <c r="F177" s="11">
        <f>IF(SUM(COUNTIFS('Conciliacion de compuestos'!$D$2:$D$13,"conciliado",'Conciliacion de compuestos'!$E$2:$E$13,"OK",'Conciliacion de compuestos'!$M$2:$M$13,A177),COUNTIFS('Conciliacion de compuestos'!$D$2:$D$13,"conciliado",'Conciliacion de compuestos'!$E$2:$E$13,"OK",'Conciliacion de compuestos'!$N$2:$N$13,A177),COUNTIFS('Conciliacion de compuestos'!$D$2:$D$13,"conciliado",'Conciliacion de compuestos'!$E$2:$E$13,"OK",'Conciliacion de compuestos'!$O$2:$O$13,A177))&gt;0,IFERROR(TEXTJOIN(CHAR(10),TRUE,FILTER('Conciliacion de compuestos'!$A$2:$A$13,('Conciliacion de compuestos'!$D$2:$D$13="conciliado")*('Conciliacion de compuestos'!$E$2:$E$13="OK")*((('Conciliacion de compuestos'!$M$2:$M$13=A177)+('Conciliacion de compuestos'!$N$2:$N$13=A177)+('Conciliacion de compuestos'!$O$2:$O$13=A177))&gt;0))),""),"")</f>
        <v/>
      </c>
      <c r="G177" s="11">
        <f>IF(I177="conciliado","conciliado","por revisar")</f>
        <v/>
      </c>
      <c r="H177" s="11" t="inlineStr"/>
      <c r="I177" s="11">
        <f>IF(SUM(COUNTIFS('Conciliacion de compuestos'!$D$2:$D$13,"conciliado",'Conciliacion de compuestos'!$E$2:$E$13,"OK",'Conciliacion de compuestos'!$M$2:$M$13,A177),COUNTIFS('Conciliacion de compuestos'!$D$2:$D$13,"conciliado",'Conciliacion de compuestos'!$E$2:$E$13,"OK",'Conciliacion de compuestos'!$N$2:$N$13,A177),COUNTIFS('Conciliacion de compuestos'!$D$2:$D$13,"conciliado",'Conciliacion de compuestos'!$E$2:$E$13,"OK",'Conciliacion de compuestos'!$O$2:$O$13,A177))&gt;0,"conciliado","por revisar")</f>
        <v/>
      </c>
    </row>
    <row r="178">
      <c r="A178" s="11" t="n">
        <v>232</v>
      </c>
      <c r="B178" s="12" t="n">
        <v>46048</v>
      </c>
      <c r="C178" s="11" t="inlineStr">
        <is>
          <t>gina m moncayo ponce</t>
        </is>
      </c>
      <c r="D178" s="13" t="n">
        <v>48000</v>
      </c>
      <c r="E178" s="11">
        <f>IF(G178="conciliado","conciliado",I178)</f>
        <v/>
      </c>
      <c r="F178" s="11">
        <f>IF(SUM(COUNTIFS('Conciliacion de compuestos'!$D$2:$D$13,"conciliado",'Conciliacion de compuestos'!$E$2:$E$13,"OK",'Conciliacion de compuestos'!$M$2:$M$13,A178),COUNTIFS('Conciliacion de compuestos'!$D$2:$D$13,"conciliado",'Conciliacion de compuestos'!$E$2:$E$13,"OK",'Conciliacion de compuestos'!$N$2:$N$13,A178),COUNTIFS('Conciliacion de compuestos'!$D$2:$D$13,"conciliado",'Conciliacion de compuestos'!$E$2:$E$13,"OK",'Conciliacion de compuestos'!$O$2:$O$13,A178))&gt;0,IFERROR(TEXTJOIN(CHAR(10),TRUE,FILTER('Conciliacion de compuestos'!$A$2:$A$13,('Conciliacion de compuestos'!$D$2:$D$13="conciliado")*('Conciliacion de compuestos'!$E$2:$E$13="OK")*((('Conciliacion de compuestos'!$M$2:$M$13=A178)+('Conciliacion de compuestos'!$N$2:$N$13=A178)+('Conciliacion de compuestos'!$O$2:$O$13=A178))&gt;0))),""),"")</f>
        <v/>
      </c>
      <c r="G178" s="11">
        <f>IF(I178="conciliado","conciliado","por revisar")</f>
        <v/>
      </c>
      <c r="H178" s="11" t="inlineStr"/>
      <c r="I178" s="11">
        <f>IF(SUM(COUNTIFS('Conciliacion de compuestos'!$D$2:$D$13,"conciliado",'Conciliacion de compuestos'!$E$2:$E$13,"OK",'Conciliacion de compuestos'!$M$2:$M$13,A178),COUNTIFS('Conciliacion de compuestos'!$D$2:$D$13,"conciliado",'Conciliacion de compuestos'!$E$2:$E$13,"OK",'Conciliacion de compuestos'!$N$2:$N$13,A178),COUNTIFS('Conciliacion de compuestos'!$D$2:$D$13,"conciliado",'Conciliacion de compuestos'!$E$2:$E$13,"OK",'Conciliacion de compuestos'!$O$2:$O$13,A178))&gt;0,"conciliado","por revisar")</f>
        <v/>
      </c>
    </row>
    <row r="179">
      <c r="A179" s="11" t="n">
        <v>234</v>
      </c>
      <c r="B179" s="12" t="n">
        <v>46048</v>
      </c>
      <c r="C179" s="11" t="inlineStr">
        <is>
          <t>chavarro lara luisa</t>
        </is>
      </c>
      <c r="D179" s="13" t="n">
        <v>54200</v>
      </c>
      <c r="E179" s="11">
        <f>IF(G179="conciliado","conciliado",I179)</f>
        <v/>
      </c>
      <c r="F179" s="11">
        <f>IF(SUM(COUNTIFS('Conciliacion de compuestos'!$D$2:$D$13,"conciliado",'Conciliacion de compuestos'!$E$2:$E$13,"OK",'Conciliacion de compuestos'!$M$2:$M$13,A179),COUNTIFS('Conciliacion de compuestos'!$D$2:$D$13,"conciliado",'Conciliacion de compuestos'!$E$2:$E$13,"OK",'Conciliacion de compuestos'!$N$2:$N$13,A179),COUNTIFS('Conciliacion de compuestos'!$D$2:$D$13,"conciliado",'Conciliacion de compuestos'!$E$2:$E$13,"OK",'Conciliacion de compuestos'!$O$2:$O$13,A179))&gt;0,IFERROR(TEXTJOIN(CHAR(10),TRUE,FILTER('Conciliacion de compuestos'!$A$2:$A$13,('Conciliacion de compuestos'!$D$2:$D$13="conciliado")*('Conciliacion de compuestos'!$E$2:$E$13="OK")*((('Conciliacion de compuestos'!$M$2:$M$13=A179)+('Conciliacion de compuestos'!$N$2:$N$13=A179)+('Conciliacion de compuestos'!$O$2:$O$13=A179))&gt;0))),""),"")</f>
        <v/>
      </c>
      <c r="G179" s="11">
        <f>IF(I179="conciliado","conciliado","por revisar")</f>
        <v/>
      </c>
      <c r="H179" s="11" t="inlineStr"/>
      <c r="I179" s="11">
        <f>IF(SUM(COUNTIFS('Conciliacion de compuestos'!$D$2:$D$13,"conciliado",'Conciliacion de compuestos'!$E$2:$E$13,"OK",'Conciliacion de compuestos'!$M$2:$M$13,A179),COUNTIFS('Conciliacion de compuestos'!$D$2:$D$13,"conciliado",'Conciliacion de compuestos'!$E$2:$E$13,"OK",'Conciliacion de compuestos'!$N$2:$N$13,A179),COUNTIFS('Conciliacion de compuestos'!$D$2:$D$13,"conciliado",'Conciliacion de compuestos'!$E$2:$E$13,"OK",'Conciliacion de compuestos'!$O$2:$O$13,A179))&gt;0,"conciliado","por revisar")</f>
        <v/>
      </c>
    </row>
    <row r="180">
      <c r="A180" s="11" t="n">
        <v>228</v>
      </c>
      <c r="B180" s="12" t="n">
        <v>46048</v>
      </c>
      <c r="C180" s="11" t="inlineStr">
        <is>
          <t>carlos diaz ed munoz</t>
        </is>
      </c>
      <c r="D180" s="13" t="n">
        <v>29800</v>
      </c>
      <c r="E180" s="11">
        <f>IF(G180="conciliado","conciliado",I180)</f>
        <v/>
      </c>
      <c r="F180" s="11">
        <f>IF(SUM(COUNTIFS('Conciliacion de compuestos'!$D$2:$D$13,"conciliado",'Conciliacion de compuestos'!$E$2:$E$13,"OK",'Conciliacion de compuestos'!$M$2:$M$13,A180),COUNTIFS('Conciliacion de compuestos'!$D$2:$D$13,"conciliado",'Conciliacion de compuestos'!$E$2:$E$13,"OK",'Conciliacion de compuestos'!$N$2:$N$13,A180),COUNTIFS('Conciliacion de compuestos'!$D$2:$D$13,"conciliado",'Conciliacion de compuestos'!$E$2:$E$13,"OK",'Conciliacion de compuestos'!$O$2:$O$13,A180))&gt;0,IFERROR(TEXTJOIN(CHAR(10),TRUE,FILTER('Conciliacion de compuestos'!$A$2:$A$13,('Conciliacion de compuestos'!$D$2:$D$13="conciliado")*('Conciliacion de compuestos'!$E$2:$E$13="OK")*((('Conciliacion de compuestos'!$M$2:$M$13=A180)+('Conciliacion de compuestos'!$N$2:$N$13=A180)+('Conciliacion de compuestos'!$O$2:$O$13=A180))&gt;0))),""),"")</f>
        <v/>
      </c>
      <c r="G180" s="11">
        <f>IF(I180="conciliado","conciliado","por revisar")</f>
        <v/>
      </c>
      <c r="H180" s="11" t="inlineStr"/>
      <c r="I180" s="11">
        <f>IF(SUM(COUNTIFS('Conciliacion de compuestos'!$D$2:$D$13,"conciliado",'Conciliacion de compuestos'!$E$2:$E$13,"OK",'Conciliacion de compuestos'!$M$2:$M$13,A180),COUNTIFS('Conciliacion de compuestos'!$D$2:$D$13,"conciliado",'Conciliacion de compuestos'!$E$2:$E$13,"OK",'Conciliacion de compuestos'!$N$2:$N$13,A180),COUNTIFS('Conciliacion de compuestos'!$D$2:$D$13,"conciliado",'Conciliacion de compuestos'!$E$2:$E$13,"OK",'Conciliacion de compuestos'!$O$2:$O$13,A180))&gt;0,"conciliado","por revisar")</f>
        <v/>
      </c>
    </row>
    <row r="181">
      <c r="A181" s="11" t="n">
        <v>243</v>
      </c>
      <c r="B181" s="12" t="n">
        <v>46049</v>
      </c>
      <c r="C181" s="11" t="inlineStr">
        <is>
          <t>ana maria meza meza</t>
        </is>
      </c>
      <c r="D181" s="13" t="n">
        <v>21200</v>
      </c>
      <c r="E181" s="11">
        <f>IF(G181="conciliado","conciliado",I181)</f>
        <v/>
      </c>
      <c r="F181" s="11">
        <f>IF(SUM(COUNTIFS('Conciliacion de compuestos'!$D$2:$D$13,"conciliado",'Conciliacion de compuestos'!$E$2:$E$13,"OK",'Conciliacion de compuestos'!$M$2:$M$13,A181),COUNTIFS('Conciliacion de compuestos'!$D$2:$D$13,"conciliado",'Conciliacion de compuestos'!$E$2:$E$13,"OK",'Conciliacion de compuestos'!$N$2:$N$13,A181),COUNTIFS('Conciliacion de compuestos'!$D$2:$D$13,"conciliado",'Conciliacion de compuestos'!$E$2:$E$13,"OK",'Conciliacion de compuestos'!$O$2:$O$13,A181))&gt;0,IFERROR(TEXTJOIN(CHAR(10),TRUE,FILTER('Conciliacion de compuestos'!$A$2:$A$13,('Conciliacion de compuestos'!$D$2:$D$13="conciliado")*('Conciliacion de compuestos'!$E$2:$E$13="OK")*((('Conciliacion de compuestos'!$M$2:$M$13=A181)+('Conciliacion de compuestos'!$N$2:$N$13=A181)+('Conciliacion de compuestos'!$O$2:$O$13=A181))&gt;0))),""),"")</f>
        <v/>
      </c>
      <c r="G181" s="11">
        <f>IF(I181="conciliado","conciliado","por revisar")</f>
        <v/>
      </c>
      <c r="H181" s="11" t="inlineStr"/>
      <c r="I181" s="11">
        <f>IF(SUM(COUNTIFS('Conciliacion de compuestos'!$D$2:$D$13,"conciliado",'Conciliacion de compuestos'!$E$2:$E$13,"OK",'Conciliacion de compuestos'!$M$2:$M$13,A181),COUNTIFS('Conciliacion de compuestos'!$D$2:$D$13,"conciliado",'Conciliacion de compuestos'!$E$2:$E$13,"OK",'Conciliacion de compuestos'!$N$2:$N$13,A181),COUNTIFS('Conciliacion de compuestos'!$D$2:$D$13,"conciliado",'Conciliacion de compuestos'!$E$2:$E$13,"OK",'Conciliacion de compuestos'!$O$2:$O$13,A181))&gt;0,"conciliado","por revisar")</f>
        <v/>
      </c>
    </row>
    <row r="182">
      <c r="A182" s="11" t="n">
        <v>240</v>
      </c>
      <c r="B182" s="12" t="n">
        <v>46049</v>
      </c>
      <c r="C182" s="11" t="inlineStr">
        <is>
          <t>chavez esmer urquijo</t>
        </is>
      </c>
      <c r="D182" s="13" t="n">
        <v>614400</v>
      </c>
      <c r="E182" s="11">
        <f>IF(G182="conciliado","conciliado",I182)</f>
        <v/>
      </c>
      <c r="F182" s="11">
        <f>IF(SUM(COUNTIFS('Conciliacion de compuestos'!$D$2:$D$13,"conciliado",'Conciliacion de compuestos'!$E$2:$E$13,"OK",'Conciliacion de compuestos'!$M$2:$M$13,A182),COUNTIFS('Conciliacion de compuestos'!$D$2:$D$13,"conciliado",'Conciliacion de compuestos'!$E$2:$E$13,"OK",'Conciliacion de compuestos'!$N$2:$N$13,A182),COUNTIFS('Conciliacion de compuestos'!$D$2:$D$13,"conciliado",'Conciliacion de compuestos'!$E$2:$E$13,"OK",'Conciliacion de compuestos'!$O$2:$O$13,A182))&gt;0,IFERROR(TEXTJOIN(CHAR(10),TRUE,FILTER('Conciliacion de compuestos'!$A$2:$A$13,('Conciliacion de compuestos'!$D$2:$D$13="conciliado")*('Conciliacion de compuestos'!$E$2:$E$13="OK")*((('Conciliacion de compuestos'!$M$2:$M$13=A182)+('Conciliacion de compuestos'!$N$2:$N$13=A182)+('Conciliacion de compuestos'!$O$2:$O$13=A182))&gt;0))),""),"")</f>
        <v/>
      </c>
      <c r="G182" s="11">
        <f>IF(I182="conciliado","conciliado","por revisar")</f>
        <v/>
      </c>
      <c r="H182" s="11" t="inlineStr"/>
      <c r="I182" s="11">
        <f>IF(SUM(COUNTIFS('Conciliacion de compuestos'!$D$2:$D$13,"conciliado",'Conciliacion de compuestos'!$E$2:$E$13,"OK",'Conciliacion de compuestos'!$M$2:$M$13,A182),COUNTIFS('Conciliacion de compuestos'!$D$2:$D$13,"conciliado",'Conciliacion de compuestos'!$E$2:$E$13,"OK",'Conciliacion de compuestos'!$N$2:$N$13,A182),COUNTIFS('Conciliacion de compuestos'!$D$2:$D$13,"conciliado",'Conciliacion de compuestos'!$E$2:$E$13,"OK",'Conciliacion de compuestos'!$O$2:$O$13,A182))&gt;0,"conciliado","por revisar")</f>
        <v/>
      </c>
    </row>
    <row r="183">
      <c r="A183" s="11" t="n">
        <v>241</v>
      </c>
      <c r="B183" s="12" t="n">
        <v>46049</v>
      </c>
      <c r="C183" s="11" t="inlineStr">
        <is>
          <t>maria prado salazar</t>
        </is>
      </c>
      <c r="D183" s="13" t="n">
        <v>29900</v>
      </c>
      <c r="E183" s="11">
        <f>IF(G183="conciliado","conciliado",I183)</f>
        <v/>
      </c>
      <c r="F183" s="11">
        <f>IF(SUM(COUNTIFS('Conciliacion de compuestos'!$D$2:$D$13,"conciliado",'Conciliacion de compuestos'!$E$2:$E$13,"OK",'Conciliacion de compuestos'!$M$2:$M$13,A183),COUNTIFS('Conciliacion de compuestos'!$D$2:$D$13,"conciliado",'Conciliacion de compuestos'!$E$2:$E$13,"OK",'Conciliacion de compuestos'!$N$2:$N$13,A183),COUNTIFS('Conciliacion de compuestos'!$D$2:$D$13,"conciliado",'Conciliacion de compuestos'!$E$2:$E$13,"OK",'Conciliacion de compuestos'!$O$2:$O$13,A183))&gt;0,IFERROR(TEXTJOIN(CHAR(10),TRUE,FILTER('Conciliacion de compuestos'!$A$2:$A$13,('Conciliacion de compuestos'!$D$2:$D$13="conciliado")*('Conciliacion de compuestos'!$E$2:$E$13="OK")*((('Conciliacion de compuestos'!$M$2:$M$13=A183)+('Conciliacion de compuestos'!$N$2:$N$13=A183)+('Conciliacion de compuestos'!$O$2:$O$13=A183))&gt;0))),""),"")</f>
        <v/>
      </c>
      <c r="G183" s="11">
        <f>IF(I183="conciliado","conciliado","por revisar")</f>
        <v/>
      </c>
      <c r="H183" s="11" t="inlineStr"/>
      <c r="I183" s="11">
        <f>IF(SUM(COUNTIFS('Conciliacion de compuestos'!$D$2:$D$13,"conciliado",'Conciliacion de compuestos'!$E$2:$E$13,"OK",'Conciliacion de compuestos'!$M$2:$M$13,A183),COUNTIFS('Conciliacion de compuestos'!$D$2:$D$13,"conciliado",'Conciliacion de compuestos'!$E$2:$E$13,"OK",'Conciliacion de compuestos'!$N$2:$N$13,A183),COUNTIFS('Conciliacion de compuestos'!$D$2:$D$13,"conciliado",'Conciliacion de compuestos'!$E$2:$E$13,"OK",'Conciliacion de compuestos'!$O$2:$O$13,A183))&gt;0,"conciliado","por revisar")</f>
        <v/>
      </c>
    </row>
    <row r="184">
      <c r="A184" s="11" t="n">
        <v>242</v>
      </c>
      <c r="B184" s="12" t="n">
        <v>46049</v>
      </c>
      <c r="C184" s="11" t="inlineStr">
        <is>
          <t>b cueva pinta wilson</t>
        </is>
      </c>
      <c r="D184" s="13" t="n">
        <v>55000</v>
      </c>
      <c r="E184" s="11">
        <f>IF(G184="conciliado","conciliado",I184)</f>
        <v/>
      </c>
      <c r="F184" s="11">
        <f>IF(SUM(COUNTIFS('Conciliacion de compuestos'!$D$2:$D$13,"conciliado",'Conciliacion de compuestos'!$E$2:$E$13,"OK",'Conciliacion de compuestos'!$M$2:$M$13,A184),COUNTIFS('Conciliacion de compuestos'!$D$2:$D$13,"conciliado",'Conciliacion de compuestos'!$E$2:$E$13,"OK",'Conciliacion de compuestos'!$N$2:$N$13,A184),COUNTIFS('Conciliacion de compuestos'!$D$2:$D$13,"conciliado",'Conciliacion de compuestos'!$E$2:$E$13,"OK",'Conciliacion de compuestos'!$O$2:$O$13,A184))&gt;0,IFERROR(TEXTJOIN(CHAR(10),TRUE,FILTER('Conciliacion de compuestos'!$A$2:$A$13,('Conciliacion de compuestos'!$D$2:$D$13="conciliado")*('Conciliacion de compuestos'!$E$2:$E$13="OK")*((('Conciliacion de compuestos'!$M$2:$M$13=A184)+('Conciliacion de compuestos'!$N$2:$N$13=A184)+('Conciliacion de compuestos'!$O$2:$O$13=A184))&gt;0))),""),"")</f>
        <v/>
      </c>
      <c r="G184" s="11">
        <f>IF(I184="conciliado","conciliado","por revisar")</f>
        <v/>
      </c>
      <c r="H184" s="11" t="inlineStr"/>
      <c r="I184" s="11">
        <f>IF(SUM(COUNTIFS('Conciliacion de compuestos'!$D$2:$D$13,"conciliado",'Conciliacion de compuestos'!$E$2:$E$13,"OK",'Conciliacion de compuestos'!$M$2:$M$13,A184),COUNTIFS('Conciliacion de compuestos'!$D$2:$D$13,"conciliado",'Conciliacion de compuestos'!$E$2:$E$13,"OK",'Conciliacion de compuestos'!$N$2:$N$13,A184),COUNTIFS('Conciliacion de compuestos'!$D$2:$D$13,"conciliado",'Conciliacion de compuestos'!$E$2:$E$13,"OK",'Conciliacion de compuestos'!$O$2:$O$13,A184))&gt;0,"conciliado","por revisar")</f>
        <v/>
      </c>
    </row>
    <row r="185">
      <c r="A185" s="11" t="n">
        <v>253</v>
      </c>
      <c r="B185" s="12" t="n">
        <v>46050</v>
      </c>
      <c r="C185" s="11" t="inlineStr">
        <is>
          <t>ciro gonzalez santos</t>
        </is>
      </c>
      <c r="D185" s="13" t="n">
        <v>48500</v>
      </c>
      <c r="E185" s="11">
        <f>IF(G185="conciliado","conciliado",I185)</f>
        <v/>
      </c>
      <c r="F185" s="11">
        <f>IF(SUM(COUNTIFS('Conciliacion de compuestos'!$D$2:$D$13,"conciliado",'Conciliacion de compuestos'!$E$2:$E$13,"OK",'Conciliacion de compuestos'!$M$2:$M$13,A185),COUNTIFS('Conciliacion de compuestos'!$D$2:$D$13,"conciliado",'Conciliacion de compuestos'!$E$2:$E$13,"OK",'Conciliacion de compuestos'!$N$2:$N$13,A185),COUNTIFS('Conciliacion de compuestos'!$D$2:$D$13,"conciliado",'Conciliacion de compuestos'!$E$2:$E$13,"OK",'Conciliacion de compuestos'!$O$2:$O$13,A185))&gt;0,IFERROR(TEXTJOIN(CHAR(10),TRUE,FILTER('Conciliacion de compuestos'!$A$2:$A$13,('Conciliacion de compuestos'!$D$2:$D$13="conciliado")*('Conciliacion de compuestos'!$E$2:$E$13="OK")*((('Conciliacion de compuestos'!$M$2:$M$13=A185)+('Conciliacion de compuestos'!$N$2:$N$13=A185)+('Conciliacion de compuestos'!$O$2:$O$13=A185))&gt;0))),""),"")</f>
        <v/>
      </c>
      <c r="G185" s="11">
        <f>IF(I185="conciliado","conciliado","por revisar")</f>
        <v/>
      </c>
      <c r="H185" s="11" t="inlineStr"/>
      <c r="I185" s="11">
        <f>IF(SUM(COUNTIFS('Conciliacion de compuestos'!$D$2:$D$13,"conciliado",'Conciliacion de compuestos'!$E$2:$E$13,"OK",'Conciliacion de compuestos'!$M$2:$M$13,A185),COUNTIFS('Conciliacion de compuestos'!$D$2:$D$13,"conciliado",'Conciliacion de compuestos'!$E$2:$E$13,"OK",'Conciliacion de compuestos'!$N$2:$N$13,A185),COUNTIFS('Conciliacion de compuestos'!$D$2:$D$13,"conciliado",'Conciliacion de compuestos'!$E$2:$E$13,"OK",'Conciliacion de compuestos'!$O$2:$O$13,A185))&gt;0,"conciliado","por revisar")</f>
        <v/>
      </c>
    </row>
    <row r="186">
      <c r="A186" s="11" t="n">
        <v>252</v>
      </c>
      <c r="B186" s="12" t="n">
        <v>46050</v>
      </c>
      <c r="C186" s="11" t="inlineStr">
        <is>
          <t>cadena g laos monica</t>
        </is>
      </c>
      <c r="D186" s="13" t="n">
        <v>137900</v>
      </c>
      <c r="E186" s="11">
        <f>IF(G186="conciliado","conciliado",I186)</f>
        <v/>
      </c>
      <c r="F186" s="11">
        <f>IF(SUM(COUNTIFS('Conciliacion de compuestos'!$D$2:$D$13,"conciliado",'Conciliacion de compuestos'!$E$2:$E$13,"OK",'Conciliacion de compuestos'!$M$2:$M$13,A186),COUNTIFS('Conciliacion de compuestos'!$D$2:$D$13,"conciliado",'Conciliacion de compuestos'!$E$2:$E$13,"OK",'Conciliacion de compuestos'!$N$2:$N$13,A186),COUNTIFS('Conciliacion de compuestos'!$D$2:$D$13,"conciliado",'Conciliacion de compuestos'!$E$2:$E$13,"OK",'Conciliacion de compuestos'!$O$2:$O$13,A186))&gt;0,IFERROR(TEXTJOIN(CHAR(10),TRUE,FILTER('Conciliacion de compuestos'!$A$2:$A$13,('Conciliacion de compuestos'!$D$2:$D$13="conciliado")*('Conciliacion de compuestos'!$E$2:$E$13="OK")*((('Conciliacion de compuestos'!$M$2:$M$13=A186)+('Conciliacion de compuestos'!$N$2:$N$13=A186)+('Conciliacion de compuestos'!$O$2:$O$13=A186))&gt;0))),""),"")</f>
        <v/>
      </c>
      <c r="G186" s="11">
        <f>IF(I186="conciliado","conciliado","por revisar")</f>
        <v/>
      </c>
      <c r="H186" s="11" t="inlineStr"/>
      <c r="I186" s="11">
        <f>IF(SUM(COUNTIFS('Conciliacion de compuestos'!$D$2:$D$13,"conciliado",'Conciliacion de compuestos'!$E$2:$E$13,"OK",'Conciliacion de compuestos'!$M$2:$M$13,A186),COUNTIFS('Conciliacion de compuestos'!$D$2:$D$13,"conciliado",'Conciliacion de compuestos'!$E$2:$E$13,"OK",'Conciliacion de compuestos'!$N$2:$N$13,A186),COUNTIFS('Conciliacion de compuestos'!$D$2:$D$13,"conciliado",'Conciliacion de compuestos'!$E$2:$E$13,"OK",'Conciliacion de compuestos'!$O$2:$O$13,A186))&gt;0,"conciliado","por revisar")</f>
        <v/>
      </c>
    </row>
    <row r="187">
      <c r="A187" s="11" t="n">
        <v>258</v>
      </c>
      <c r="B187" s="12" t="n">
        <v>46050</v>
      </c>
      <c r="C187" s="11" t="inlineStr">
        <is>
          <t>grabi madera moscote</t>
        </is>
      </c>
      <c r="D187" s="13" t="n">
        <v>26200</v>
      </c>
      <c r="E187" s="11">
        <f>IF(G187="conciliado","conciliado",I187)</f>
        <v/>
      </c>
      <c r="F187" s="11">
        <f>IF(SUM(COUNTIFS('Conciliacion de compuestos'!$D$2:$D$13,"conciliado",'Conciliacion de compuestos'!$E$2:$E$13,"OK",'Conciliacion de compuestos'!$M$2:$M$13,A187),COUNTIFS('Conciliacion de compuestos'!$D$2:$D$13,"conciliado",'Conciliacion de compuestos'!$E$2:$E$13,"OK",'Conciliacion de compuestos'!$N$2:$N$13,A187),COUNTIFS('Conciliacion de compuestos'!$D$2:$D$13,"conciliado",'Conciliacion de compuestos'!$E$2:$E$13,"OK",'Conciliacion de compuestos'!$O$2:$O$13,A187))&gt;0,IFERROR(TEXTJOIN(CHAR(10),TRUE,FILTER('Conciliacion de compuestos'!$A$2:$A$13,('Conciliacion de compuestos'!$D$2:$D$13="conciliado")*('Conciliacion de compuestos'!$E$2:$E$13="OK")*((('Conciliacion de compuestos'!$M$2:$M$13=A187)+('Conciliacion de compuestos'!$N$2:$N$13=A187)+('Conciliacion de compuestos'!$O$2:$O$13=A187))&gt;0))),""),"")</f>
        <v/>
      </c>
      <c r="G187" s="11">
        <f>IF(I187="conciliado","conciliado","por revisar")</f>
        <v/>
      </c>
      <c r="H187" s="11" t="inlineStr"/>
      <c r="I187" s="11">
        <f>IF(SUM(COUNTIFS('Conciliacion de compuestos'!$D$2:$D$13,"conciliado",'Conciliacion de compuestos'!$E$2:$E$13,"OK",'Conciliacion de compuestos'!$M$2:$M$13,A187),COUNTIFS('Conciliacion de compuestos'!$D$2:$D$13,"conciliado",'Conciliacion de compuestos'!$E$2:$E$13,"OK",'Conciliacion de compuestos'!$N$2:$N$13,A187),COUNTIFS('Conciliacion de compuestos'!$D$2:$D$13,"conciliado",'Conciliacion de compuestos'!$E$2:$E$13,"OK",'Conciliacion de compuestos'!$O$2:$O$13,A187))&gt;0,"conciliado","por revisar")</f>
        <v/>
      </c>
    </row>
    <row r="188">
      <c r="A188" s="11" t="n">
        <v>255</v>
      </c>
      <c r="B188" s="12" t="n">
        <v>46050</v>
      </c>
      <c r="C188" s="11" t="inlineStr">
        <is>
          <t>fernan maria moncayo</t>
        </is>
      </c>
      <c r="D188" s="13" t="n">
        <v>102900</v>
      </c>
      <c r="E188" s="11">
        <f>IF(G188="conciliado","conciliado",I188)</f>
        <v/>
      </c>
      <c r="F188" s="11">
        <f>IF(SUM(COUNTIFS('Conciliacion de compuestos'!$D$2:$D$13,"conciliado",'Conciliacion de compuestos'!$E$2:$E$13,"OK",'Conciliacion de compuestos'!$M$2:$M$13,A188),COUNTIFS('Conciliacion de compuestos'!$D$2:$D$13,"conciliado",'Conciliacion de compuestos'!$E$2:$E$13,"OK",'Conciliacion de compuestos'!$N$2:$N$13,A188),COUNTIFS('Conciliacion de compuestos'!$D$2:$D$13,"conciliado",'Conciliacion de compuestos'!$E$2:$E$13,"OK",'Conciliacion de compuestos'!$O$2:$O$13,A188))&gt;0,IFERROR(TEXTJOIN(CHAR(10),TRUE,FILTER('Conciliacion de compuestos'!$A$2:$A$13,('Conciliacion de compuestos'!$D$2:$D$13="conciliado")*('Conciliacion de compuestos'!$E$2:$E$13="OK")*((('Conciliacion de compuestos'!$M$2:$M$13=A188)+('Conciliacion de compuestos'!$N$2:$N$13=A188)+('Conciliacion de compuestos'!$O$2:$O$13=A188))&gt;0))),""),"")</f>
        <v/>
      </c>
      <c r="G188" s="11">
        <f>IF(I188="conciliado","conciliado","por revisar")</f>
        <v/>
      </c>
      <c r="H188" s="11" t="inlineStr"/>
      <c r="I188" s="11">
        <f>IF(SUM(COUNTIFS('Conciliacion de compuestos'!$D$2:$D$13,"conciliado",'Conciliacion de compuestos'!$E$2:$E$13,"OK",'Conciliacion de compuestos'!$M$2:$M$13,A188),COUNTIFS('Conciliacion de compuestos'!$D$2:$D$13,"conciliado",'Conciliacion de compuestos'!$E$2:$E$13,"OK",'Conciliacion de compuestos'!$N$2:$N$13,A188),COUNTIFS('Conciliacion de compuestos'!$D$2:$D$13,"conciliado",'Conciliacion de compuestos'!$E$2:$E$13,"OK",'Conciliacion de compuestos'!$O$2:$O$13,A188))&gt;0,"conciliado","por revisar")</f>
        <v/>
      </c>
    </row>
    <row r="189">
      <c r="A189" s="11" t="n">
        <v>257</v>
      </c>
      <c r="B189" s="12" t="n">
        <v>46050</v>
      </c>
      <c r="C189" s="11" t="inlineStr">
        <is>
          <t>hernandez jose</t>
        </is>
      </c>
      <c r="D189" s="13" t="n">
        <v>91800</v>
      </c>
      <c r="E189" s="11">
        <f>IF(G189="conciliado","conciliado",I189)</f>
        <v/>
      </c>
      <c r="F189" s="11">
        <f>IF(SUM(COUNTIFS('Conciliacion de compuestos'!$D$2:$D$13,"conciliado",'Conciliacion de compuestos'!$E$2:$E$13,"OK",'Conciliacion de compuestos'!$M$2:$M$13,A189),COUNTIFS('Conciliacion de compuestos'!$D$2:$D$13,"conciliado",'Conciliacion de compuestos'!$E$2:$E$13,"OK",'Conciliacion de compuestos'!$N$2:$N$13,A189),COUNTIFS('Conciliacion de compuestos'!$D$2:$D$13,"conciliado",'Conciliacion de compuestos'!$E$2:$E$13,"OK",'Conciliacion de compuestos'!$O$2:$O$13,A189))&gt;0,IFERROR(TEXTJOIN(CHAR(10),TRUE,FILTER('Conciliacion de compuestos'!$A$2:$A$13,('Conciliacion de compuestos'!$D$2:$D$13="conciliado")*('Conciliacion de compuestos'!$E$2:$E$13="OK")*((('Conciliacion de compuestos'!$M$2:$M$13=A189)+('Conciliacion de compuestos'!$N$2:$N$13=A189)+('Conciliacion de compuestos'!$O$2:$O$13=A189))&gt;0))),""),"")</f>
        <v/>
      </c>
      <c r="G189" s="11">
        <f>IF(I189="conciliado","conciliado","por revisar")</f>
        <v/>
      </c>
      <c r="H189" s="11" t="inlineStr"/>
      <c r="I189" s="11">
        <f>IF(SUM(COUNTIFS('Conciliacion de compuestos'!$D$2:$D$13,"conciliado",'Conciliacion de compuestos'!$E$2:$E$13,"OK",'Conciliacion de compuestos'!$M$2:$M$13,A189),COUNTIFS('Conciliacion de compuestos'!$D$2:$D$13,"conciliado",'Conciliacion de compuestos'!$E$2:$E$13,"OK",'Conciliacion de compuestos'!$N$2:$N$13,A189),COUNTIFS('Conciliacion de compuestos'!$D$2:$D$13,"conciliado",'Conciliacion de compuestos'!$E$2:$E$13,"OK",'Conciliacion de compuestos'!$O$2:$O$13,A189))&gt;0,"conciliado","por revisar")</f>
        <v/>
      </c>
    </row>
    <row r="190">
      <c r="A190" s="11" t="n">
        <v>247</v>
      </c>
      <c r="B190" s="12" t="n">
        <v>46050</v>
      </c>
      <c r="C190" s="11" t="inlineStr">
        <is>
          <t>cagua garcia venanci</t>
        </is>
      </c>
      <c r="D190" s="13" t="n">
        <v>149100</v>
      </c>
      <c r="E190" s="11">
        <f>IF(G190="conciliado","conciliado",I190)</f>
        <v/>
      </c>
      <c r="F190" s="11">
        <f>IF(SUM(COUNTIFS('Conciliacion de compuestos'!$D$2:$D$13,"conciliado",'Conciliacion de compuestos'!$E$2:$E$13,"OK",'Conciliacion de compuestos'!$M$2:$M$13,A190),COUNTIFS('Conciliacion de compuestos'!$D$2:$D$13,"conciliado",'Conciliacion de compuestos'!$E$2:$E$13,"OK",'Conciliacion de compuestos'!$N$2:$N$13,A190),COUNTIFS('Conciliacion de compuestos'!$D$2:$D$13,"conciliado",'Conciliacion de compuestos'!$E$2:$E$13,"OK",'Conciliacion de compuestos'!$O$2:$O$13,A190))&gt;0,IFERROR(TEXTJOIN(CHAR(10),TRUE,FILTER('Conciliacion de compuestos'!$A$2:$A$13,('Conciliacion de compuestos'!$D$2:$D$13="conciliado")*('Conciliacion de compuestos'!$E$2:$E$13="OK")*((('Conciliacion de compuestos'!$M$2:$M$13=A190)+('Conciliacion de compuestos'!$N$2:$N$13=A190)+('Conciliacion de compuestos'!$O$2:$O$13=A190))&gt;0))),""),"")</f>
        <v/>
      </c>
      <c r="G190" s="11">
        <f>IF(I190="conciliado","conciliado","por revisar")</f>
        <v/>
      </c>
      <c r="H190" s="11" t="inlineStr"/>
      <c r="I190" s="11">
        <f>IF(SUM(COUNTIFS('Conciliacion de compuestos'!$D$2:$D$13,"conciliado",'Conciliacion de compuestos'!$E$2:$E$13,"OK",'Conciliacion de compuestos'!$M$2:$M$13,A190),COUNTIFS('Conciliacion de compuestos'!$D$2:$D$13,"conciliado",'Conciliacion de compuestos'!$E$2:$E$13,"OK",'Conciliacion de compuestos'!$N$2:$N$13,A190),COUNTIFS('Conciliacion de compuestos'!$D$2:$D$13,"conciliado",'Conciliacion de compuestos'!$E$2:$E$13,"OK",'Conciliacion de compuestos'!$O$2:$O$13,A190))&gt;0,"conciliado","por revisar")</f>
        <v/>
      </c>
    </row>
    <row r="191">
      <c r="A191" s="11" t="n">
        <v>256</v>
      </c>
      <c r="B191" s="12" t="n">
        <v>46050</v>
      </c>
      <c r="C191" s="11" t="inlineStr">
        <is>
          <t>guasalusan nastacuaz</t>
        </is>
      </c>
      <c r="D191" s="13" t="n">
        <v>229900</v>
      </c>
      <c r="E191" s="11">
        <f>IF(G191="conciliado","conciliado",I191)</f>
        <v/>
      </c>
      <c r="F191" s="11">
        <f>IF(SUM(COUNTIFS('Conciliacion de compuestos'!$D$2:$D$13,"conciliado",'Conciliacion de compuestos'!$E$2:$E$13,"OK",'Conciliacion de compuestos'!$M$2:$M$13,A191),COUNTIFS('Conciliacion de compuestos'!$D$2:$D$13,"conciliado",'Conciliacion de compuestos'!$E$2:$E$13,"OK",'Conciliacion de compuestos'!$N$2:$N$13,A191),COUNTIFS('Conciliacion de compuestos'!$D$2:$D$13,"conciliado",'Conciliacion de compuestos'!$E$2:$E$13,"OK",'Conciliacion de compuestos'!$O$2:$O$13,A191))&gt;0,IFERROR(TEXTJOIN(CHAR(10),TRUE,FILTER('Conciliacion de compuestos'!$A$2:$A$13,('Conciliacion de compuestos'!$D$2:$D$13="conciliado")*('Conciliacion de compuestos'!$E$2:$E$13="OK")*((('Conciliacion de compuestos'!$M$2:$M$13=A191)+('Conciliacion de compuestos'!$N$2:$N$13=A191)+('Conciliacion de compuestos'!$O$2:$O$13=A191))&gt;0))),""),"")</f>
        <v/>
      </c>
      <c r="G191" s="11">
        <f>IF(I191="conciliado","conciliado","por revisar")</f>
        <v/>
      </c>
      <c r="H191" s="11" t="inlineStr"/>
      <c r="I191" s="11">
        <f>IF(SUM(COUNTIFS('Conciliacion de compuestos'!$D$2:$D$13,"conciliado",'Conciliacion de compuestos'!$E$2:$E$13,"OK",'Conciliacion de compuestos'!$M$2:$M$13,A191),COUNTIFS('Conciliacion de compuestos'!$D$2:$D$13,"conciliado",'Conciliacion de compuestos'!$E$2:$E$13,"OK",'Conciliacion de compuestos'!$N$2:$N$13,A191),COUNTIFS('Conciliacion de compuestos'!$D$2:$D$13,"conciliado",'Conciliacion de compuestos'!$E$2:$E$13,"OK",'Conciliacion de compuestos'!$O$2:$O$13,A191))&gt;0,"conciliado","por revisar")</f>
        <v/>
      </c>
    </row>
    <row r="192">
      <c r="A192" s="11" t="n">
        <v>249</v>
      </c>
      <c r="B192" s="12" t="n">
        <v>46050</v>
      </c>
      <c r="C192" s="11" t="inlineStr">
        <is>
          <t>andr bernal quintero</t>
        </is>
      </c>
      <c r="D192" s="13" t="n">
        <v>44050</v>
      </c>
      <c r="E192" s="11">
        <f>IF(G192="conciliado","conciliado",I192)</f>
        <v/>
      </c>
      <c r="F192" s="11">
        <f>IF(SUM(COUNTIFS('Conciliacion de compuestos'!$D$2:$D$13,"conciliado",'Conciliacion de compuestos'!$E$2:$E$13,"OK",'Conciliacion de compuestos'!$M$2:$M$13,A192),COUNTIFS('Conciliacion de compuestos'!$D$2:$D$13,"conciliado",'Conciliacion de compuestos'!$E$2:$E$13,"OK",'Conciliacion de compuestos'!$N$2:$N$13,A192),COUNTIFS('Conciliacion de compuestos'!$D$2:$D$13,"conciliado",'Conciliacion de compuestos'!$E$2:$E$13,"OK",'Conciliacion de compuestos'!$O$2:$O$13,A192))&gt;0,IFERROR(TEXTJOIN(CHAR(10),TRUE,FILTER('Conciliacion de compuestos'!$A$2:$A$13,('Conciliacion de compuestos'!$D$2:$D$13="conciliado")*('Conciliacion de compuestos'!$E$2:$E$13="OK")*((('Conciliacion de compuestos'!$M$2:$M$13=A192)+('Conciliacion de compuestos'!$N$2:$N$13=A192)+('Conciliacion de compuestos'!$O$2:$O$13=A192))&gt;0))),""),"")</f>
        <v/>
      </c>
      <c r="G192" s="11">
        <f>IF(I192="conciliado","conciliado","por revisar")</f>
        <v/>
      </c>
      <c r="H192" s="11" t="inlineStr"/>
      <c r="I192" s="11">
        <f>IF(SUM(COUNTIFS('Conciliacion de compuestos'!$D$2:$D$13,"conciliado",'Conciliacion de compuestos'!$E$2:$E$13,"OK",'Conciliacion de compuestos'!$M$2:$M$13,A192),COUNTIFS('Conciliacion de compuestos'!$D$2:$D$13,"conciliado",'Conciliacion de compuestos'!$E$2:$E$13,"OK",'Conciliacion de compuestos'!$N$2:$N$13,A192),COUNTIFS('Conciliacion de compuestos'!$D$2:$D$13,"conciliado",'Conciliacion de compuestos'!$E$2:$E$13,"OK",'Conciliacion de compuestos'!$O$2:$O$13,A192))&gt;0,"conciliado","por revisar")</f>
        <v/>
      </c>
    </row>
    <row r="193">
      <c r="A193" s="11" t="n">
        <v>251</v>
      </c>
      <c r="B193" s="12" t="n">
        <v>46050</v>
      </c>
      <c r="C193" s="11" t="inlineStr">
        <is>
          <t>blandon ceballos lyn</t>
        </is>
      </c>
      <c r="D193" s="13" t="n">
        <v>17400</v>
      </c>
      <c r="E193" s="11">
        <f>IF(G193="conciliado","conciliado",I193)</f>
        <v/>
      </c>
      <c r="F193" s="11">
        <f>IF(SUM(COUNTIFS('Conciliacion de compuestos'!$D$2:$D$13,"conciliado",'Conciliacion de compuestos'!$E$2:$E$13,"OK",'Conciliacion de compuestos'!$M$2:$M$13,A193),COUNTIFS('Conciliacion de compuestos'!$D$2:$D$13,"conciliado",'Conciliacion de compuestos'!$E$2:$E$13,"OK",'Conciliacion de compuestos'!$N$2:$N$13,A193),COUNTIFS('Conciliacion de compuestos'!$D$2:$D$13,"conciliado",'Conciliacion de compuestos'!$E$2:$E$13,"OK",'Conciliacion de compuestos'!$O$2:$O$13,A193))&gt;0,IFERROR(TEXTJOIN(CHAR(10),TRUE,FILTER('Conciliacion de compuestos'!$A$2:$A$13,('Conciliacion de compuestos'!$D$2:$D$13="conciliado")*('Conciliacion de compuestos'!$E$2:$E$13="OK")*((('Conciliacion de compuestos'!$M$2:$M$13=A193)+('Conciliacion de compuestos'!$N$2:$N$13=A193)+('Conciliacion de compuestos'!$O$2:$O$13=A193))&gt;0))),""),"")</f>
        <v/>
      </c>
      <c r="G193" s="11">
        <f>IF(I193="conciliado","conciliado","por revisar")</f>
        <v/>
      </c>
      <c r="H193" s="11" t="inlineStr"/>
      <c r="I193" s="11">
        <f>IF(SUM(COUNTIFS('Conciliacion de compuestos'!$D$2:$D$13,"conciliado",'Conciliacion de compuestos'!$E$2:$E$13,"OK",'Conciliacion de compuestos'!$M$2:$M$13,A193),COUNTIFS('Conciliacion de compuestos'!$D$2:$D$13,"conciliado",'Conciliacion de compuestos'!$E$2:$E$13,"OK",'Conciliacion de compuestos'!$N$2:$N$13,A193),COUNTIFS('Conciliacion de compuestos'!$D$2:$D$13,"conciliado",'Conciliacion de compuestos'!$E$2:$E$13,"OK",'Conciliacion de compuestos'!$O$2:$O$13,A193))&gt;0,"conciliado","por revisar")</f>
        <v/>
      </c>
    </row>
    <row r="194">
      <c r="A194" s="11" t="n">
        <v>248</v>
      </c>
      <c r="B194" s="12" t="n">
        <v>46050</v>
      </c>
      <c r="C194" s="11" t="inlineStr">
        <is>
          <t>alvarez quintero yis</t>
        </is>
      </c>
      <c r="D194" s="13" t="n">
        <v>28700</v>
      </c>
      <c r="E194" s="11">
        <f>IF(G194="conciliado","conciliado",I194)</f>
        <v/>
      </c>
      <c r="F194" s="11">
        <f>IF(SUM(COUNTIFS('Conciliacion de compuestos'!$D$2:$D$13,"conciliado",'Conciliacion de compuestos'!$E$2:$E$13,"OK",'Conciliacion de compuestos'!$M$2:$M$13,A194),COUNTIFS('Conciliacion de compuestos'!$D$2:$D$13,"conciliado",'Conciliacion de compuestos'!$E$2:$E$13,"OK",'Conciliacion de compuestos'!$N$2:$N$13,A194),COUNTIFS('Conciliacion de compuestos'!$D$2:$D$13,"conciliado",'Conciliacion de compuestos'!$E$2:$E$13,"OK",'Conciliacion de compuestos'!$O$2:$O$13,A194))&gt;0,IFERROR(TEXTJOIN(CHAR(10),TRUE,FILTER('Conciliacion de compuestos'!$A$2:$A$13,('Conciliacion de compuestos'!$D$2:$D$13="conciliado")*('Conciliacion de compuestos'!$E$2:$E$13="OK")*((('Conciliacion de compuestos'!$M$2:$M$13=A194)+('Conciliacion de compuestos'!$N$2:$N$13=A194)+('Conciliacion de compuestos'!$O$2:$O$13=A194))&gt;0))),""),"")</f>
        <v/>
      </c>
      <c r="G194" s="11">
        <f>IF(I194="conciliado","conciliado","por revisar")</f>
        <v/>
      </c>
      <c r="H194" s="11" t="inlineStr"/>
      <c r="I194" s="11">
        <f>IF(SUM(COUNTIFS('Conciliacion de compuestos'!$D$2:$D$13,"conciliado",'Conciliacion de compuestos'!$E$2:$E$13,"OK",'Conciliacion de compuestos'!$M$2:$M$13,A194),COUNTIFS('Conciliacion de compuestos'!$D$2:$D$13,"conciliado",'Conciliacion de compuestos'!$E$2:$E$13,"OK",'Conciliacion de compuestos'!$N$2:$N$13,A194),COUNTIFS('Conciliacion de compuestos'!$D$2:$D$13,"conciliado",'Conciliacion de compuestos'!$E$2:$E$13,"OK",'Conciliacion de compuestos'!$O$2:$O$13,A194))&gt;0,"conciliado","por revisar")</f>
        <v/>
      </c>
    </row>
    <row r="195">
      <c r="A195" s="11" t="n">
        <v>264</v>
      </c>
      <c r="B195" s="12" t="n">
        <v>46051</v>
      </c>
      <c r="C195" s="11" t="inlineStr">
        <is>
          <t>consumidor final</t>
        </is>
      </c>
      <c r="D195" s="13" t="n">
        <v>59300</v>
      </c>
      <c r="E195" s="11">
        <f>IF(G195="conciliado","conciliado",I195)</f>
        <v/>
      </c>
      <c r="F195" s="11">
        <f>IF(SUM(COUNTIFS('Conciliacion de compuestos'!$D$2:$D$13,"conciliado",'Conciliacion de compuestos'!$E$2:$E$13,"OK",'Conciliacion de compuestos'!$M$2:$M$13,A195),COUNTIFS('Conciliacion de compuestos'!$D$2:$D$13,"conciliado",'Conciliacion de compuestos'!$E$2:$E$13,"OK",'Conciliacion de compuestos'!$N$2:$N$13,A195),COUNTIFS('Conciliacion de compuestos'!$D$2:$D$13,"conciliado",'Conciliacion de compuestos'!$E$2:$E$13,"OK",'Conciliacion de compuestos'!$O$2:$O$13,A195))&gt;0,IFERROR(TEXTJOIN(CHAR(10),TRUE,FILTER('Conciliacion de compuestos'!$A$2:$A$13,('Conciliacion de compuestos'!$D$2:$D$13="conciliado")*('Conciliacion de compuestos'!$E$2:$E$13="OK")*((('Conciliacion de compuestos'!$M$2:$M$13=A195)+('Conciliacion de compuestos'!$N$2:$N$13=A195)+('Conciliacion de compuestos'!$O$2:$O$13=A195))&gt;0))),""),"")</f>
        <v/>
      </c>
      <c r="G195" s="11">
        <f>IF(I195="conciliado","conciliado","por revisar")</f>
        <v/>
      </c>
      <c r="H195" s="11" t="inlineStr"/>
      <c r="I195" s="11">
        <f>IF(SUM(COUNTIFS('Conciliacion de compuestos'!$D$2:$D$13,"conciliado",'Conciliacion de compuestos'!$E$2:$E$13,"OK",'Conciliacion de compuestos'!$M$2:$M$13,A195),COUNTIFS('Conciliacion de compuestos'!$D$2:$D$13,"conciliado",'Conciliacion de compuestos'!$E$2:$E$13,"OK",'Conciliacion de compuestos'!$N$2:$N$13,A195),COUNTIFS('Conciliacion de compuestos'!$D$2:$D$13,"conciliado",'Conciliacion de compuestos'!$E$2:$E$13,"OK",'Conciliacion de compuestos'!$O$2:$O$13,A195))&gt;0,"conciliado","por revisar")</f>
        <v/>
      </c>
    </row>
    <row r="196">
      <c r="A196" s="11" t="n">
        <v>262</v>
      </c>
      <c r="B196" s="12" t="n">
        <v>46051</v>
      </c>
      <c r="C196" s="11" t="inlineStr">
        <is>
          <t>chaves imbachi tatia</t>
        </is>
      </c>
      <c r="D196" s="13" t="n">
        <v>134250</v>
      </c>
      <c r="E196" s="11">
        <f>IF(G196="conciliado","conciliado",I196)</f>
        <v/>
      </c>
      <c r="F196" s="11">
        <f>IF(SUM(COUNTIFS('Conciliacion de compuestos'!$D$2:$D$13,"conciliado",'Conciliacion de compuestos'!$E$2:$E$13,"OK",'Conciliacion de compuestos'!$M$2:$M$13,A196),COUNTIFS('Conciliacion de compuestos'!$D$2:$D$13,"conciliado",'Conciliacion de compuestos'!$E$2:$E$13,"OK",'Conciliacion de compuestos'!$N$2:$N$13,A196),COUNTIFS('Conciliacion de compuestos'!$D$2:$D$13,"conciliado",'Conciliacion de compuestos'!$E$2:$E$13,"OK",'Conciliacion de compuestos'!$O$2:$O$13,A196))&gt;0,IFERROR(TEXTJOIN(CHAR(10),TRUE,FILTER('Conciliacion de compuestos'!$A$2:$A$13,('Conciliacion de compuestos'!$D$2:$D$13="conciliado")*('Conciliacion de compuestos'!$E$2:$E$13="OK")*((('Conciliacion de compuestos'!$M$2:$M$13=A196)+('Conciliacion de compuestos'!$N$2:$N$13=A196)+('Conciliacion de compuestos'!$O$2:$O$13=A196))&gt;0))),""),"")</f>
        <v/>
      </c>
      <c r="G196" s="11">
        <f>IF(I196="conciliado","conciliado","por revisar")</f>
        <v/>
      </c>
      <c r="H196" s="11" t="inlineStr"/>
      <c r="I196" s="11">
        <f>IF(SUM(COUNTIFS('Conciliacion de compuestos'!$D$2:$D$13,"conciliado",'Conciliacion de compuestos'!$E$2:$E$13,"OK",'Conciliacion de compuestos'!$M$2:$M$13,A196),COUNTIFS('Conciliacion de compuestos'!$D$2:$D$13,"conciliado",'Conciliacion de compuestos'!$E$2:$E$13,"OK",'Conciliacion de compuestos'!$N$2:$N$13,A196),COUNTIFS('Conciliacion de compuestos'!$D$2:$D$13,"conciliado",'Conciliacion de compuestos'!$E$2:$E$13,"OK",'Conciliacion de compuestos'!$O$2:$O$13,A196))&gt;0,"conciliado","por revisar")</f>
        <v/>
      </c>
    </row>
    <row r="197">
      <c r="A197" s="11" t="n">
        <v>265</v>
      </c>
      <c r="B197" s="12" t="n">
        <v>46051</v>
      </c>
      <c r="C197" s="11" t="inlineStr">
        <is>
          <t>acosta aida j ortega</t>
        </is>
      </c>
      <c r="D197" s="13" t="n">
        <v>68600</v>
      </c>
      <c r="E197" s="11">
        <f>IF(G197="conciliado","conciliado",I197)</f>
        <v/>
      </c>
      <c r="F197" s="11">
        <f>IF(SUM(COUNTIFS('Conciliacion de compuestos'!$D$2:$D$13,"conciliado",'Conciliacion de compuestos'!$E$2:$E$13,"OK",'Conciliacion de compuestos'!$M$2:$M$13,A197),COUNTIFS('Conciliacion de compuestos'!$D$2:$D$13,"conciliado",'Conciliacion de compuestos'!$E$2:$E$13,"OK",'Conciliacion de compuestos'!$N$2:$N$13,A197),COUNTIFS('Conciliacion de compuestos'!$D$2:$D$13,"conciliado",'Conciliacion de compuestos'!$E$2:$E$13,"OK",'Conciliacion de compuestos'!$O$2:$O$13,A197))&gt;0,IFERROR(TEXTJOIN(CHAR(10),TRUE,FILTER('Conciliacion de compuestos'!$A$2:$A$13,('Conciliacion de compuestos'!$D$2:$D$13="conciliado")*('Conciliacion de compuestos'!$E$2:$E$13="OK")*((('Conciliacion de compuestos'!$M$2:$M$13=A197)+('Conciliacion de compuestos'!$N$2:$N$13=A197)+('Conciliacion de compuestos'!$O$2:$O$13=A197))&gt;0))),""),"")</f>
        <v/>
      </c>
      <c r="G197" s="11">
        <f>IF(I197="conciliado","conciliado","por revisar")</f>
        <v/>
      </c>
      <c r="H197" s="11" t="inlineStr"/>
      <c r="I197" s="11">
        <f>IF(SUM(COUNTIFS('Conciliacion de compuestos'!$D$2:$D$13,"conciliado",'Conciliacion de compuestos'!$E$2:$E$13,"OK",'Conciliacion de compuestos'!$M$2:$M$13,A197),COUNTIFS('Conciliacion de compuestos'!$D$2:$D$13,"conciliado",'Conciliacion de compuestos'!$E$2:$E$13,"OK",'Conciliacion de compuestos'!$N$2:$N$13,A197),COUNTIFS('Conciliacion de compuestos'!$D$2:$D$13,"conciliado",'Conciliacion de compuestos'!$E$2:$E$13,"OK",'Conciliacion de compuestos'!$O$2:$O$13,A197))&gt;0,"conciliado","por revisar")</f>
        <v/>
      </c>
    </row>
    <row r="198">
      <c r="A198" s="11" t="n">
        <v>259</v>
      </c>
      <c r="B198" s="12" t="n">
        <v>46051</v>
      </c>
      <c r="C198" s="11" t="inlineStr">
        <is>
          <t>caycedo cortez helid</t>
        </is>
      </c>
      <c r="D198" s="13" t="n">
        <v>28200</v>
      </c>
      <c r="E198" s="11">
        <f>IF(G198="conciliado","conciliado",I198)</f>
        <v/>
      </c>
      <c r="F198" s="11">
        <f>IF(SUM(COUNTIFS('Conciliacion de compuestos'!$D$2:$D$13,"conciliado",'Conciliacion de compuestos'!$E$2:$E$13,"OK",'Conciliacion de compuestos'!$M$2:$M$13,A198),COUNTIFS('Conciliacion de compuestos'!$D$2:$D$13,"conciliado",'Conciliacion de compuestos'!$E$2:$E$13,"OK",'Conciliacion de compuestos'!$N$2:$N$13,A198),COUNTIFS('Conciliacion de compuestos'!$D$2:$D$13,"conciliado",'Conciliacion de compuestos'!$E$2:$E$13,"OK",'Conciliacion de compuestos'!$O$2:$O$13,A198))&gt;0,IFERROR(TEXTJOIN(CHAR(10),TRUE,FILTER('Conciliacion de compuestos'!$A$2:$A$13,('Conciliacion de compuestos'!$D$2:$D$13="conciliado")*('Conciliacion de compuestos'!$E$2:$E$13="OK")*((('Conciliacion de compuestos'!$M$2:$M$13=A198)+('Conciliacion de compuestos'!$N$2:$N$13=A198)+('Conciliacion de compuestos'!$O$2:$O$13=A198))&gt;0))),""),"")</f>
        <v/>
      </c>
      <c r="G198" s="11">
        <f>IF(I198="conciliado","conciliado","por revisar")</f>
        <v/>
      </c>
      <c r="H198" s="11" t="inlineStr"/>
      <c r="I198" s="11">
        <f>IF(SUM(COUNTIFS('Conciliacion de compuestos'!$D$2:$D$13,"conciliado",'Conciliacion de compuestos'!$E$2:$E$13,"OK",'Conciliacion de compuestos'!$M$2:$M$13,A198),COUNTIFS('Conciliacion de compuestos'!$D$2:$D$13,"conciliado",'Conciliacion de compuestos'!$E$2:$E$13,"OK",'Conciliacion de compuestos'!$N$2:$N$13,A198),COUNTIFS('Conciliacion de compuestos'!$D$2:$D$13,"conciliado",'Conciliacion de compuestos'!$E$2:$E$13,"OK",'Conciliacion de compuestos'!$O$2:$O$13,A198))&gt;0,"conciliado","por revisar")</f>
        <v/>
      </c>
    </row>
    <row r="199">
      <c r="A199" s="11" t="n">
        <v>263</v>
      </c>
      <c r="B199" s="12" t="n">
        <v>46051</v>
      </c>
      <c r="C199" s="11" t="inlineStr">
        <is>
          <t>brige diaz hernandez</t>
        </is>
      </c>
      <c r="D199" s="13" t="n">
        <v>97000</v>
      </c>
      <c r="E199" s="11">
        <f>IF(G199="conciliado","conciliado",I199)</f>
        <v/>
      </c>
      <c r="F199" s="11">
        <f>IF(SUM(COUNTIFS('Conciliacion de compuestos'!$D$2:$D$13,"conciliado",'Conciliacion de compuestos'!$E$2:$E$13,"OK",'Conciliacion de compuestos'!$M$2:$M$13,A199),COUNTIFS('Conciliacion de compuestos'!$D$2:$D$13,"conciliado",'Conciliacion de compuestos'!$E$2:$E$13,"OK",'Conciliacion de compuestos'!$N$2:$N$13,A199),COUNTIFS('Conciliacion de compuestos'!$D$2:$D$13,"conciliado",'Conciliacion de compuestos'!$E$2:$E$13,"OK",'Conciliacion de compuestos'!$O$2:$O$13,A199))&gt;0,IFERROR(TEXTJOIN(CHAR(10),TRUE,FILTER('Conciliacion de compuestos'!$A$2:$A$13,('Conciliacion de compuestos'!$D$2:$D$13="conciliado")*('Conciliacion de compuestos'!$E$2:$E$13="OK")*((('Conciliacion de compuestos'!$M$2:$M$13=A199)+('Conciliacion de compuestos'!$N$2:$N$13=A199)+('Conciliacion de compuestos'!$O$2:$O$13=A199))&gt;0))),""),"")</f>
        <v/>
      </c>
      <c r="G199" s="11">
        <f>IF(I199="conciliado","conciliado","por revisar")</f>
        <v/>
      </c>
      <c r="H199" s="11" t="inlineStr"/>
      <c r="I199" s="11">
        <f>IF(SUM(COUNTIFS('Conciliacion de compuestos'!$D$2:$D$13,"conciliado",'Conciliacion de compuestos'!$E$2:$E$13,"OK",'Conciliacion de compuestos'!$M$2:$M$13,A199),COUNTIFS('Conciliacion de compuestos'!$D$2:$D$13,"conciliado",'Conciliacion de compuestos'!$E$2:$E$13,"OK",'Conciliacion de compuestos'!$N$2:$N$13,A199),COUNTIFS('Conciliacion de compuestos'!$D$2:$D$13,"conciliado",'Conciliacion de compuestos'!$E$2:$E$13,"OK",'Conciliacion de compuestos'!$O$2:$O$13,A199))&gt;0,"conciliado","por revisar")</f>
        <v/>
      </c>
    </row>
    <row r="200">
      <c r="A200" s="11" t="n">
        <v>260</v>
      </c>
      <c r="B200" s="12" t="n">
        <v>46051</v>
      </c>
      <c r="C200" s="11" t="inlineStr">
        <is>
          <t>alvarez quintero yis</t>
        </is>
      </c>
      <c r="D200" s="13" t="n">
        <v>74900</v>
      </c>
      <c r="E200" s="11">
        <f>IF(G200="conciliado","conciliado",I200)</f>
        <v/>
      </c>
      <c r="F200" s="11">
        <f>IF(SUM(COUNTIFS('Conciliacion de compuestos'!$D$2:$D$13,"conciliado",'Conciliacion de compuestos'!$E$2:$E$13,"OK",'Conciliacion de compuestos'!$M$2:$M$13,A200),COUNTIFS('Conciliacion de compuestos'!$D$2:$D$13,"conciliado",'Conciliacion de compuestos'!$E$2:$E$13,"OK",'Conciliacion de compuestos'!$N$2:$N$13,A200),COUNTIFS('Conciliacion de compuestos'!$D$2:$D$13,"conciliado",'Conciliacion de compuestos'!$E$2:$E$13,"OK",'Conciliacion de compuestos'!$O$2:$O$13,A200))&gt;0,IFERROR(TEXTJOIN(CHAR(10),TRUE,FILTER('Conciliacion de compuestos'!$A$2:$A$13,('Conciliacion de compuestos'!$D$2:$D$13="conciliado")*('Conciliacion de compuestos'!$E$2:$E$13="OK")*((('Conciliacion de compuestos'!$M$2:$M$13=A200)+('Conciliacion de compuestos'!$N$2:$N$13=A200)+('Conciliacion de compuestos'!$O$2:$O$13=A200))&gt;0))),""),"")</f>
        <v/>
      </c>
      <c r="G200" s="11">
        <f>IF(I200="conciliado","conciliado","por revisar")</f>
        <v/>
      </c>
      <c r="H200" s="11" t="inlineStr"/>
      <c r="I200" s="11">
        <f>IF(SUM(COUNTIFS('Conciliacion de compuestos'!$D$2:$D$13,"conciliado",'Conciliacion de compuestos'!$E$2:$E$13,"OK",'Conciliacion de compuestos'!$M$2:$M$13,A200),COUNTIFS('Conciliacion de compuestos'!$D$2:$D$13,"conciliado",'Conciliacion de compuestos'!$E$2:$E$13,"OK",'Conciliacion de compuestos'!$N$2:$N$13,A200),COUNTIFS('Conciliacion de compuestos'!$D$2:$D$13,"conciliado",'Conciliacion de compuestos'!$E$2:$E$13,"OK",'Conciliacion de compuestos'!$O$2:$O$13,A200))&gt;0,"conciliado","por revisar")</f>
        <v/>
      </c>
    </row>
    <row r="201">
      <c r="A201" s="11" t="n">
        <v>2</v>
      </c>
      <c r="B201" s="12" t="n">
        <v>46024</v>
      </c>
      <c r="C201" s="11" t="inlineStr">
        <is>
          <t>caicedo galindo yani</t>
        </is>
      </c>
      <c r="D201" s="13" t="n">
        <v>80900</v>
      </c>
      <c r="E201" s="11">
        <f>IF(G201="conciliado","conciliado",I201)</f>
        <v/>
      </c>
      <c r="F201" s="11">
        <f>IF(SUM(COUNTIFS('Conciliacion de compuestos'!$D$2:$D$13,"conciliado",'Conciliacion de compuestos'!$E$2:$E$13,"OK",'Conciliacion de compuestos'!$M$2:$M$13,A201),COUNTIFS('Conciliacion de compuestos'!$D$2:$D$13,"conciliado",'Conciliacion de compuestos'!$E$2:$E$13,"OK",'Conciliacion de compuestos'!$N$2:$N$13,A201),COUNTIFS('Conciliacion de compuestos'!$D$2:$D$13,"conciliado",'Conciliacion de compuestos'!$E$2:$E$13,"OK",'Conciliacion de compuestos'!$O$2:$O$13,A201))&gt;0,IFERROR(TEXTJOIN(CHAR(10),TRUE,FILTER('Conciliacion de compuestos'!$A$2:$A$13,('Conciliacion de compuestos'!$D$2:$D$13="conciliado")*('Conciliacion de compuestos'!$E$2:$E$13="OK")*((('Conciliacion de compuestos'!$M$2:$M$13=A201)+('Conciliacion de compuestos'!$N$2:$N$13=A201)+('Conciliacion de compuestos'!$O$2:$O$13=A201))&gt;0))),""),"")</f>
        <v/>
      </c>
      <c r="G201" s="11">
        <f>IF(I201="conciliado","conciliado","por revisar")</f>
        <v/>
      </c>
      <c r="H201" s="11" t="inlineStr"/>
      <c r="I201" s="11">
        <f>IF(SUM(COUNTIFS('Conciliacion de compuestos'!$D$2:$D$13,"conciliado",'Conciliacion de compuestos'!$E$2:$E$13,"OK",'Conciliacion de compuestos'!$M$2:$M$13,A201),COUNTIFS('Conciliacion de compuestos'!$D$2:$D$13,"conciliado",'Conciliacion de compuestos'!$E$2:$E$13,"OK",'Conciliacion de compuestos'!$N$2:$N$13,A201),COUNTIFS('Conciliacion de compuestos'!$D$2:$D$13,"conciliado",'Conciliacion de compuestos'!$E$2:$E$13,"OK",'Conciliacion de compuestos'!$O$2:$O$13,A201))&gt;0,"conciliado","por revisar")</f>
        <v/>
      </c>
    </row>
    <row r="202">
      <c r="A202" s="11" t="n">
        <v>5</v>
      </c>
      <c r="B202" s="12" t="n">
        <v>46024</v>
      </c>
      <c r="C202" s="11" t="inlineStr">
        <is>
          <t>est lily meza rivera</t>
        </is>
      </c>
      <c r="D202" s="13" t="n">
        <v>223200</v>
      </c>
      <c r="E202" s="11">
        <f>IF(G202="conciliado","conciliado",I202)</f>
        <v/>
      </c>
      <c r="F202" s="11">
        <f>IF(SUM(COUNTIFS('Conciliacion de compuestos'!$D$2:$D$13,"conciliado",'Conciliacion de compuestos'!$E$2:$E$13,"OK",'Conciliacion de compuestos'!$M$2:$M$13,A202),COUNTIFS('Conciliacion de compuestos'!$D$2:$D$13,"conciliado",'Conciliacion de compuestos'!$E$2:$E$13,"OK",'Conciliacion de compuestos'!$N$2:$N$13,A202),COUNTIFS('Conciliacion de compuestos'!$D$2:$D$13,"conciliado",'Conciliacion de compuestos'!$E$2:$E$13,"OK",'Conciliacion de compuestos'!$O$2:$O$13,A202))&gt;0,IFERROR(TEXTJOIN(CHAR(10),TRUE,FILTER('Conciliacion de compuestos'!$A$2:$A$13,('Conciliacion de compuestos'!$D$2:$D$13="conciliado")*('Conciliacion de compuestos'!$E$2:$E$13="OK")*((('Conciliacion de compuestos'!$M$2:$M$13=A202)+('Conciliacion de compuestos'!$N$2:$N$13=A202)+('Conciliacion de compuestos'!$O$2:$O$13=A202))&gt;0))),""),"")</f>
        <v/>
      </c>
      <c r="G202" s="11">
        <f>IF(I202="conciliado","conciliado","por revisar")</f>
        <v/>
      </c>
      <c r="H202" s="11" t="inlineStr"/>
      <c r="I202" s="11">
        <f>IF(SUM(COUNTIFS('Conciliacion de compuestos'!$D$2:$D$13,"conciliado",'Conciliacion de compuestos'!$E$2:$E$13,"OK",'Conciliacion de compuestos'!$M$2:$M$13,A202),COUNTIFS('Conciliacion de compuestos'!$D$2:$D$13,"conciliado",'Conciliacion de compuestos'!$E$2:$E$13,"OK",'Conciliacion de compuestos'!$N$2:$N$13,A202),COUNTIFS('Conciliacion de compuestos'!$D$2:$D$13,"conciliado",'Conciliacion de compuestos'!$E$2:$E$13,"OK",'Conciliacion de compuestos'!$O$2:$O$13,A202))&gt;0,"conciliado","por revisar")</f>
        <v/>
      </c>
    </row>
    <row r="203">
      <c r="A203" s="11" t="n">
        <v>6</v>
      </c>
      <c r="B203" s="12" t="n">
        <v>46024</v>
      </c>
      <c r="C203" s="11" t="inlineStr">
        <is>
          <t>consumidor final</t>
        </is>
      </c>
      <c r="D203" s="13" t="n">
        <v>180265</v>
      </c>
      <c r="E203" s="11">
        <f>IF(G203="conciliado","conciliado",I203)</f>
        <v/>
      </c>
      <c r="F203" s="11">
        <f>IF(SUM(COUNTIFS('Conciliacion de compuestos'!$D$2:$D$13,"conciliado",'Conciliacion de compuestos'!$E$2:$E$13,"OK",'Conciliacion de compuestos'!$M$2:$M$13,A203),COUNTIFS('Conciliacion de compuestos'!$D$2:$D$13,"conciliado",'Conciliacion de compuestos'!$E$2:$E$13,"OK",'Conciliacion de compuestos'!$N$2:$N$13,A203),COUNTIFS('Conciliacion de compuestos'!$D$2:$D$13,"conciliado",'Conciliacion de compuestos'!$E$2:$E$13,"OK",'Conciliacion de compuestos'!$O$2:$O$13,A203))&gt;0,IFERROR(TEXTJOIN(CHAR(10),TRUE,FILTER('Conciliacion de compuestos'!$A$2:$A$13,('Conciliacion de compuestos'!$D$2:$D$13="conciliado")*('Conciliacion de compuestos'!$E$2:$E$13="OK")*((('Conciliacion de compuestos'!$M$2:$M$13=A203)+('Conciliacion de compuestos'!$N$2:$N$13=A203)+('Conciliacion de compuestos'!$O$2:$O$13=A203))&gt;0))),""),"")</f>
        <v/>
      </c>
      <c r="G203" s="11">
        <f>IF(I203="conciliado","conciliado","por revisar")</f>
        <v/>
      </c>
      <c r="H203" s="11" t="inlineStr"/>
      <c r="I203" s="11">
        <f>IF(SUM(COUNTIFS('Conciliacion de compuestos'!$D$2:$D$13,"conciliado",'Conciliacion de compuestos'!$E$2:$E$13,"OK",'Conciliacion de compuestos'!$M$2:$M$13,A203),COUNTIFS('Conciliacion de compuestos'!$D$2:$D$13,"conciliado",'Conciliacion de compuestos'!$E$2:$E$13,"OK",'Conciliacion de compuestos'!$N$2:$N$13,A203),COUNTIFS('Conciliacion de compuestos'!$D$2:$D$13,"conciliado",'Conciliacion de compuestos'!$E$2:$E$13,"OK",'Conciliacion de compuestos'!$O$2:$O$13,A203))&gt;0,"conciliado","por revisar")</f>
        <v/>
      </c>
    </row>
    <row r="204">
      <c r="A204" s="11" t="n">
        <v>8</v>
      </c>
      <c r="B204" s="12" t="n">
        <v>46024</v>
      </c>
      <c r="C204" s="11" t="inlineStr">
        <is>
          <t>edinson riasco</t>
        </is>
      </c>
      <c r="D204" s="13" t="n">
        <v>75000</v>
      </c>
      <c r="E204" s="11">
        <f>IF(G204="conciliado","conciliado",I204)</f>
        <v/>
      </c>
      <c r="F204" s="11">
        <f>IF(SUM(COUNTIFS('Conciliacion de compuestos'!$D$2:$D$13,"conciliado",'Conciliacion de compuestos'!$E$2:$E$13,"OK",'Conciliacion de compuestos'!$M$2:$M$13,A204),COUNTIFS('Conciliacion de compuestos'!$D$2:$D$13,"conciliado",'Conciliacion de compuestos'!$E$2:$E$13,"OK",'Conciliacion de compuestos'!$N$2:$N$13,A204),COUNTIFS('Conciliacion de compuestos'!$D$2:$D$13,"conciliado",'Conciliacion de compuestos'!$E$2:$E$13,"OK",'Conciliacion de compuestos'!$O$2:$O$13,A204))&gt;0,IFERROR(TEXTJOIN(CHAR(10),TRUE,FILTER('Conciliacion de compuestos'!$A$2:$A$13,('Conciliacion de compuestos'!$D$2:$D$13="conciliado")*('Conciliacion de compuestos'!$E$2:$E$13="OK")*((('Conciliacion de compuestos'!$M$2:$M$13=A204)+('Conciliacion de compuestos'!$N$2:$N$13=A204)+('Conciliacion de compuestos'!$O$2:$O$13=A204))&gt;0))),""),"")</f>
        <v/>
      </c>
      <c r="G204" s="11">
        <f>IF(I204="conciliado","conciliado","por revisar")</f>
        <v/>
      </c>
      <c r="H204" s="11" t="inlineStr"/>
      <c r="I204" s="11">
        <f>IF(SUM(COUNTIFS('Conciliacion de compuestos'!$D$2:$D$13,"conciliado",'Conciliacion de compuestos'!$E$2:$E$13,"OK",'Conciliacion de compuestos'!$M$2:$M$13,A204),COUNTIFS('Conciliacion de compuestos'!$D$2:$D$13,"conciliado",'Conciliacion de compuestos'!$E$2:$E$13,"OK",'Conciliacion de compuestos'!$N$2:$N$13,A204),COUNTIFS('Conciliacion de compuestos'!$D$2:$D$13,"conciliado",'Conciliacion de compuestos'!$E$2:$E$13,"OK",'Conciliacion de compuestos'!$O$2:$O$13,A204))&gt;0,"conciliado","por revisar")</f>
        <v/>
      </c>
    </row>
    <row r="205">
      <c r="A205" s="11" t="n">
        <v>16</v>
      </c>
      <c r="B205" s="12" t="n">
        <v>46025</v>
      </c>
      <c r="C205" s="11" t="inlineStr">
        <is>
          <t>diana huaca sambony</t>
        </is>
      </c>
      <c r="D205" s="13" t="n">
        <v>28300</v>
      </c>
      <c r="E205" s="11">
        <f>IF(G205="conciliado","conciliado",I205)</f>
        <v/>
      </c>
      <c r="F205" s="11">
        <f>IF(SUM(COUNTIFS('Conciliacion de compuestos'!$D$2:$D$13,"conciliado",'Conciliacion de compuestos'!$E$2:$E$13,"OK",'Conciliacion de compuestos'!$M$2:$M$13,A205),COUNTIFS('Conciliacion de compuestos'!$D$2:$D$13,"conciliado",'Conciliacion de compuestos'!$E$2:$E$13,"OK",'Conciliacion de compuestos'!$N$2:$N$13,A205),COUNTIFS('Conciliacion de compuestos'!$D$2:$D$13,"conciliado",'Conciliacion de compuestos'!$E$2:$E$13,"OK",'Conciliacion de compuestos'!$O$2:$O$13,A205))&gt;0,IFERROR(TEXTJOIN(CHAR(10),TRUE,FILTER('Conciliacion de compuestos'!$A$2:$A$13,('Conciliacion de compuestos'!$D$2:$D$13="conciliado")*('Conciliacion de compuestos'!$E$2:$E$13="OK")*((('Conciliacion de compuestos'!$M$2:$M$13=A205)+('Conciliacion de compuestos'!$N$2:$N$13=A205)+('Conciliacion de compuestos'!$O$2:$O$13=A205))&gt;0))),""),"")</f>
        <v/>
      </c>
      <c r="G205" s="11">
        <f>IF(I205="conciliado","conciliado","por revisar")</f>
        <v/>
      </c>
      <c r="H205" s="11" t="inlineStr"/>
      <c r="I205" s="11">
        <f>IF(SUM(COUNTIFS('Conciliacion de compuestos'!$D$2:$D$13,"conciliado",'Conciliacion de compuestos'!$E$2:$E$13,"OK",'Conciliacion de compuestos'!$M$2:$M$13,A205),COUNTIFS('Conciliacion de compuestos'!$D$2:$D$13,"conciliado",'Conciliacion de compuestos'!$E$2:$E$13,"OK",'Conciliacion de compuestos'!$N$2:$N$13,A205),COUNTIFS('Conciliacion de compuestos'!$D$2:$D$13,"conciliado",'Conciliacion de compuestos'!$E$2:$E$13,"OK",'Conciliacion de compuestos'!$O$2:$O$13,A205))&gt;0,"conciliado","por revisar")</f>
        <v/>
      </c>
    </row>
    <row r="206">
      <c r="A206" s="11" t="n">
        <v>24</v>
      </c>
      <c r="B206" s="12" t="n">
        <v>46025</v>
      </c>
      <c r="C206" s="11" t="inlineStr">
        <is>
          <t>jor vargas vargas</t>
        </is>
      </c>
      <c r="D206" s="13" t="n">
        <v>20000</v>
      </c>
      <c r="E206" s="11">
        <f>IF(G206="conciliado","conciliado",I206)</f>
        <v/>
      </c>
      <c r="F206" s="11">
        <f>IF(SUM(COUNTIFS('Conciliacion de compuestos'!$D$2:$D$13,"conciliado",'Conciliacion de compuestos'!$E$2:$E$13,"OK",'Conciliacion de compuestos'!$M$2:$M$13,A206),COUNTIFS('Conciliacion de compuestos'!$D$2:$D$13,"conciliado",'Conciliacion de compuestos'!$E$2:$E$13,"OK",'Conciliacion de compuestos'!$N$2:$N$13,A206),COUNTIFS('Conciliacion de compuestos'!$D$2:$D$13,"conciliado",'Conciliacion de compuestos'!$E$2:$E$13,"OK",'Conciliacion de compuestos'!$O$2:$O$13,A206))&gt;0,IFERROR(TEXTJOIN(CHAR(10),TRUE,FILTER('Conciliacion de compuestos'!$A$2:$A$13,('Conciliacion de compuestos'!$D$2:$D$13="conciliado")*('Conciliacion de compuestos'!$E$2:$E$13="OK")*((('Conciliacion de compuestos'!$M$2:$M$13=A206)+('Conciliacion de compuestos'!$N$2:$N$13=A206)+('Conciliacion de compuestos'!$O$2:$O$13=A206))&gt;0))),""),"")</f>
        <v/>
      </c>
      <c r="G206" s="11">
        <f>IF(I206="conciliado","conciliado","por revisar")</f>
        <v/>
      </c>
      <c r="H206" s="11" t="inlineStr"/>
      <c r="I206" s="11">
        <f>IF(SUM(COUNTIFS('Conciliacion de compuestos'!$D$2:$D$13,"conciliado",'Conciliacion de compuestos'!$E$2:$E$13,"OK",'Conciliacion de compuestos'!$M$2:$M$13,A206),COUNTIFS('Conciliacion de compuestos'!$D$2:$D$13,"conciliado",'Conciliacion de compuestos'!$E$2:$E$13,"OK",'Conciliacion de compuestos'!$N$2:$N$13,A206),COUNTIFS('Conciliacion de compuestos'!$D$2:$D$13,"conciliado",'Conciliacion de compuestos'!$E$2:$E$13,"OK",'Conciliacion de compuestos'!$O$2:$O$13,A206))&gt;0,"conciliado","por revisar")</f>
        <v/>
      </c>
    </row>
    <row r="207">
      <c r="A207" s="11" t="n">
        <v>26</v>
      </c>
      <c r="B207" s="12" t="n">
        <v>46026</v>
      </c>
      <c r="C207" s="11" t="inlineStr">
        <is>
          <t>e hernandez montilla</t>
        </is>
      </c>
      <c r="D207" s="13" t="n">
        <v>133200</v>
      </c>
      <c r="E207" s="11">
        <f>IF(G207="conciliado","conciliado",I207)</f>
        <v/>
      </c>
      <c r="F207" s="11">
        <f>IF(SUM(COUNTIFS('Conciliacion de compuestos'!$D$2:$D$13,"conciliado",'Conciliacion de compuestos'!$E$2:$E$13,"OK",'Conciliacion de compuestos'!$M$2:$M$13,A207),COUNTIFS('Conciliacion de compuestos'!$D$2:$D$13,"conciliado",'Conciliacion de compuestos'!$E$2:$E$13,"OK",'Conciliacion de compuestos'!$N$2:$N$13,A207),COUNTIFS('Conciliacion de compuestos'!$D$2:$D$13,"conciliado",'Conciliacion de compuestos'!$E$2:$E$13,"OK",'Conciliacion de compuestos'!$O$2:$O$13,A207))&gt;0,IFERROR(TEXTJOIN(CHAR(10),TRUE,FILTER('Conciliacion de compuestos'!$A$2:$A$13,('Conciliacion de compuestos'!$D$2:$D$13="conciliado")*('Conciliacion de compuestos'!$E$2:$E$13="OK")*((('Conciliacion de compuestos'!$M$2:$M$13=A207)+('Conciliacion de compuestos'!$N$2:$N$13=A207)+('Conciliacion de compuestos'!$O$2:$O$13=A207))&gt;0))),""),"")</f>
        <v/>
      </c>
      <c r="G207" s="11">
        <f>IF(I207="conciliado","conciliado","por revisar")</f>
        <v/>
      </c>
      <c r="H207" s="11" t="inlineStr"/>
      <c r="I207" s="11">
        <f>IF(SUM(COUNTIFS('Conciliacion de compuestos'!$D$2:$D$13,"conciliado",'Conciliacion de compuestos'!$E$2:$E$13,"OK",'Conciliacion de compuestos'!$M$2:$M$13,A207),COUNTIFS('Conciliacion de compuestos'!$D$2:$D$13,"conciliado",'Conciliacion de compuestos'!$E$2:$E$13,"OK",'Conciliacion de compuestos'!$N$2:$N$13,A207),COUNTIFS('Conciliacion de compuestos'!$D$2:$D$13,"conciliado",'Conciliacion de compuestos'!$E$2:$E$13,"OK",'Conciliacion de compuestos'!$O$2:$O$13,A207))&gt;0,"conciliado","por revisar")</f>
        <v/>
      </c>
    </row>
    <row r="208">
      <c r="A208" s="11" t="n">
        <v>29</v>
      </c>
      <c r="B208" s="12" t="n">
        <v>46026</v>
      </c>
      <c r="C208" s="11" t="inlineStr">
        <is>
          <t>ele martha rodriguez</t>
        </is>
      </c>
      <c r="D208" s="13" t="n">
        <v>29700</v>
      </c>
      <c r="E208" s="11">
        <f>IF(G208="conciliado","conciliado",I208)</f>
        <v/>
      </c>
      <c r="F208" s="11">
        <f>IF(SUM(COUNTIFS('Conciliacion de compuestos'!$D$2:$D$13,"conciliado",'Conciliacion de compuestos'!$E$2:$E$13,"OK",'Conciliacion de compuestos'!$M$2:$M$13,A208),COUNTIFS('Conciliacion de compuestos'!$D$2:$D$13,"conciliado",'Conciliacion de compuestos'!$E$2:$E$13,"OK",'Conciliacion de compuestos'!$N$2:$N$13,A208),COUNTIFS('Conciliacion de compuestos'!$D$2:$D$13,"conciliado",'Conciliacion de compuestos'!$E$2:$E$13,"OK",'Conciliacion de compuestos'!$O$2:$O$13,A208))&gt;0,IFERROR(TEXTJOIN(CHAR(10),TRUE,FILTER('Conciliacion de compuestos'!$A$2:$A$13,('Conciliacion de compuestos'!$D$2:$D$13="conciliado")*('Conciliacion de compuestos'!$E$2:$E$13="OK")*((('Conciliacion de compuestos'!$M$2:$M$13=A208)+('Conciliacion de compuestos'!$N$2:$N$13=A208)+('Conciliacion de compuestos'!$O$2:$O$13=A208))&gt;0))),""),"")</f>
        <v/>
      </c>
      <c r="G208" s="11">
        <f>IF(I208="conciliado","conciliado","por revisar")</f>
        <v/>
      </c>
      <c r="H208" s="11" t="inlineStr"/>
      <c r="I208" s="11">
        <f>IF(SUM(COUNTIFS('Conciliacion de compuestos'!$D$2:$D$13,"conciliado",'Conciliacion de compuestos'!$E$2:$E$13,"OK",'Conciliacion de compuestos'!$M$2:$M$13,A208),COUNTIFS('Conciliacion de compuestos'!$D$2:$D$13,"conciliado",'Conciliacion de compuestos'!$E$2:$E$13,"OK",'Conciliacion de compuestos'!$N$2:$N$13,A208),COUNTIFS('Conciliacion de compuestos'!$D$2:$D$13,"conciliado",'Conciliacion de compuestos'!$E$2:$E$13,"OK",'Conciliacion de compuestos'!$O$2:$O$13,A208))&gt;0,"conciliado","por revisar")</f>
        <v/>
      </c>
    </row>
    <row r="209">
      <c r="A209" s="11" t="n">
        <v>33</v>
      </c>
      <c r="B209" s="12" t="n">
        <v>46026</v>
      </c>
      <c r="C209" s="11" t="inlineStr">
        <is>
          <t>martinez pedr segura</t>
        </is>
      </c>
      <c r="D209" s="13" t="n">
        <v>36000</v>
      </c>
      <c r="E209" s="11">
        <f>IF(G209="conciliado","conciliado",I209)</f>
        <v/>
      </c>
      <c r="F209" s="11">
        <f>IF(SUM(COUNTIFS('Conciliacion de compuestos'!$D$2:$D$13,"conciliado",'Conciliacion de compuestos'!$E$2:$E$13,"OK",'Conciliacion de compuestos'!$M$2:$M$13,A209),COUNTIFS('Conciliacion de compuestos'!$D$2:$D$13,"conciliado",'Conciliacion de compuestos'!$E$2:$E$13,"OK",'Conciliacion de compuestos'!$N$2:$N$13,A209),COUNTIFS('Conciliacion de compuestos'!$D$2:$D$13,"conciliado",'Conciliacion de compuestos'!$E$2:$E$13,"OK",'Conciliacion de compuestos'!$O$2:$O$13,A209))&gt;0,IFERROR(TEXTJOIN(CHAR(10),TRUE,FILTER('Conciliacion de compuestos'!$A$2:$A$13,('Conciliacion de compuestos'!$D$2:$D$13="conciliado")*('Conciliacion de compuestos'!$E$2:$E$13="OK")*((('Conciliacion de compuestos'!$M$2:$M$13=A209)+('Conciliacion de compuestos'!$N$2:$N$13=A209)+('Conciliacion de compuestos'!$O$2:$O$13=A209))&gt;0))),""),"")</f>
        <v/>
      </c>
      <c r="G209" s="11">
        <f>IF(I209="conciliado","conciliado","por revisar")</f>
        <v/>
      </c>
      <c r="H209" s="11" t="inlineStr"/>
      <c r="I209" s="11">
        <f>IF(SUM(COUNTIFS('Conciliacion de compuestos'!$D$2:$D$13,"conciliado",'Conciliacion de compuestos'!$E$2:$E$13,"OK",'Conciliacion de compuestos'!$M$2:$M$13,A209),COUNTIFS('Conciliacion de compuestos'!$D$2:$D$13,"conciliado",'Conciliacion de compuestos'!$E$2:$E$13,"OK",'Conciliacion de compuestos'!$N$2:$N$13,A209),COUNTIFS('Conciliacion de compuestos'!$D$2:$D$13,"conciliado",'Conciliacion de compuestos'!$E$2:$E$13,"OK",'Conciliacion de compuestos'!$O$2:$O$13,A209))&gt;0,"conciliado","por revisar")</f>
        <v/>
      </c>
    </row>
    <row r="210">
      <c r="A210" s="11" t="n">
        <v>35</v>
      </c>
      <c r="B210" s="12" t="n">
        <v>46026</v>
      </c>
      <c r="C210" s="11" t="inlineStr">
        <is>
          <t>fausto matanbanchoi</t>
        </is>
      </c>
      <c r="D210" s="13" t="n">
        <v>32000</v>
      </c>
      <c r="E210" s="11">
        <f>IF(G210="conciliado","conciliado",I210)</f>
        <v/>
      </c>
      <c r="F210" s="11">
        <f>IF(SUM(COUNTIFS('Conciliacion de compuestos'!$D$2:$D$13,"conciliado",'Conciliacion de compuestos'!$E$2:$E$13,"OK",'Conciliacion de compuestos'!$M$2:$M$13,A210),COUNTIFS('Conciliacion de compuestos'!$D$2:$D$13,"conciliado",'Conciliacion de compuestos'!$E$2:$E$13,"OK",'Conciliacion de compuestos'!$N$2:$N$13,A210),COUNTIFS('Conciliacion de compuestos'!$D$2:$D$13,"conciliado",'Conciliacion de compuestos'!$E$2:$E$13,"OK",'Conciliacion de compuestos'!$O$2:$O$13,A210))&gt;0,IFERROR(TEXTJOIN(CHAR(10),TRUE,FILTER('Conciliacion de compuestos'!$A$2:$A$13,('Conciliacion de compuestos'!$D$2:$D$13="conciliado")*('Conciliacion de compuestos'!$E$2:$E$13="OK")*((('Conciliacion de compuestos'!$M$2:$M$13=A210)+('Conciliacion de compuestos'!$N$2:$N$13=A210)+('Conciliacion de compuestos'!$O$2:$O$13=A210))&gt;0))),""),"")</f>
        <v/>
      </c>
      <c r="G210" s="11">
        <f>IF(I210="conciliado","conciliado","por revisar")</f>
        <v/>
      </c>
      <c r="H210" s="11" t="inlineStr"/>
      <c r="I210" s="11">
        <f>IF(SUM(COUNTIFS('Conciliacion de compuestos'!$D$2:$D$13,"conciliado",'Conciliacion de compuestos'!$E$2:$E$13,"OK",'Conciliacion de compuestos'!$M$2:$M$13,A210),COUNTIFS('Conciliacion de compuestos'!$D$2:$D$13,"conciliado",'Conciliacion de compuestos'!$E$2:$E$13,"OK",'Conciliacion de compuestos'!$N$2:$N$13,A210),COUNTIFS('Conciliacion de compuestos'!$D$2:$D$13,"conciliado",'Conciliacion de compuestos'!$E$2:$E$13,"OK",'Conciliacion de compuestos'!$O$2:$O$13,A210))&gt;0,"conciliado","por revisar")</f>
        <v/>
      </c>
    </row>
    <row r="211">
      <c r="A211" s="11" t="n">
        <v>37</v>
      </c>
      <c r="B211" s="12" t="n">
        <v>46026</v>
      </c>
      <c r="C211" s="11" t="inlineStr">
        <is>
          <t>mauricio mosquera</t>
        </is>
      </c>
      <c r="D211" s="13" t="n">
        <v>89700</v>
      </c>
      <c r="E211" s="11">
        <f>IF(G211="conciliado","conciliado",I211)</f>
        <v/>
      </c>
      <c r="F211" s="11">
        <f>IF(SUM(COUNTIFS('Conciliacion de compuestos'!$D$2:$D$13,"conciliado",'Conciliacion de compuestos'!$E$2:$E$13,"OK",'Conciliacion de compuestos'!$M$2:$M$13,A211),COUNTIFS('Conciliacion de compuestos'!$D$2:$D$13,"conciliado",'Conciliacion de compuestos'!$E$2:$E$13,"OK",'Conciliacion de compuestos'!$N$2:$N$13,A211),COUNTIFS('Conciliacion de compuestos'!$D$2:$D$13,"conciliado",'Conciliacion de compuestos'!$E$2:$E$13,"OK",'Conciliacion de compuestos'!$O$2:$O$13,A211))&gt;0,IFERROR(TEXTJOIN(CHAR(10),TRUE,FILTER('Conciliacion de compuestos'!$A$2:$A$13,('Conciliacion de compuestos'!$D$2:$D$13="conciliado")*('Conciliacion de compuestos'!$E$2:$E$13="OK")*((('Conciliacion de compuestos'!$M$2:$M$13=A211)+('Conciliacion de compuestos'!$N$2:$N$13=A211)+('Conciliacion de compuestos'!$O$2:$O$13=A211))&gt;0))),""),"")</f>
        <v/>
      </c>
      <c r="G211" s="11">
        <f>IF(I211="conciliado","conciliado","por revisar")</f>
        <v/>
      </c>
      <c r="H211" s="11" t="inlineStr"/>
      <c r="I211" s="11">
        <f>IF(SUM(COUNTIFS('Conciliacion de compuestos'!$D$2:$D$13,"conciliado",'Conciliacion de compuestos'!$E$2:$E$13,"OK",'Conciliacion de compuestos'!$M$2:$M$13,A211),COUNTIFS('Conciliacion de compuestos'!$D$2:$D$13,"conciliado",'Conciliacion de compuestos'!$E$2:$E$13,"OK",'Conciliacion de compuestos'!$N$2:$N$13,A211),COUNTIFS('Conciliacion de compuestos'!$D$2:$D$13,"conciliado",'Conciliacion de compuestos'!$E$2:$E$13,"OK",'Conciliacion de compuestos'!$O$2:$O$13,A211))&gt;0,"conciliado","por revisar")</f>
        <v/>
      </c>
    </row>
    <row r="212">
      <c r="A212" s="11" t="n">
        <v>41</v>
      </c>
      <c r="B212" s="12" t="n">
        <v>46027</v>
      </c>
      <c r="C212" s="11" t="inlineStr">
        <is>
          <t>gutierrez juan rojas</t>
        </is>
      </c>
      <c r="D212" s="13" t="n">
        <v>26000</v>
      </c>
      <c r="E212" s="11">
        <f>IF(G212="conciliado","conciliado",I212)</f>
        <v/>
      </c>
      <c r="F212" s="11">
        <f>IF(SUM(COUNTIFS('Conciliacion de compuestos'!$D$2:$D$13,"conciliado",'Conciliacion de compuestos'!$E$2:$E$13,"OK",'Conciliacion de compuestos'!$M$2:$M$13,A212),COUNTIFS('Conciliacion de compuestos'!$D$2:$D$13,"conciliado",'Conciliacion de compuestos'!$E$2:$E$13,"OK",'Conciliacion de compuestos'!$N$2:$N$13,A212),COUNTIFS('Conciliacion de compuestos'!$D$2:$D$13,"conciliado",'Conciliacion de compuestos'!$E$2:$E$13,"OK",'Conciliacion de compuestos'!$O$2:$O$13,A212))&gt;0,IFERROR(TEXTJOIN(CHAR(10),TRUE,FILTER('Conciliacion de compuestos'!$A$2:$A$13,('Conciliacion de compuestos'!$D$2:$D$13="conciliado")*('Conciliacion de compuestos'!$E$2:$E$13="OK")*((('Conciliacion de compuestos'!$M$2:$M$13=A212)+('Conciliacion de compuestos'!$N$2:$N$13=A212)+('Conciliacion de compuestos'!$O$2:$O$13=A212))&gt;0))),""),"")</f>
        <v/>
      </c>
      <c r="G212" s="11">
        <f>IF(I212="conciliado","conciliado","por revisar")</f>
        <v/>
      </c>
      <c r="H212" s="11" t="inlineStr"/>
      <c r="I212" s="11">
        <f>IF(SUM(COUNTIFS('Conciliacion de compuestos'!$D$2:$D$13,"conciliado",'Conciliacion de compuestos'!$E$2:$E$13,"OK",'Conciliacion de compuestos'!$M$2:$M$13,A212),COUNTIFS('Conciliacion de compuestos'!$D$2:$D$13,"conciliado",'Conciliacion de compuestos'!$E$2:$E$13,"OK",'Conciliacion de compuestos'!$N$2:$N$13,A212),COUNTIFS('Conciliacion de compuestos'!$D$2:$D$13,"conciliado",'Conciliacion de compuestos'!$E$2:$E$13,"OK",'Conciliacion de compuestos'!$O$2:$O$13,A212))&gt;0,"conciliado","por revisar")</f>
        <v/>
      </c>
    </row>
    <row r="213">
      <c r="A213" s="11" t="n">
        <v>44</v>
      </c>
      <c r="B213" s="12" t="n">
        <v>46027</v>
      </c>
      <c r="C213" s="11" t="inlineStr">
        <is>
          <t>francisco meza meza</t>
        </is>
      </c>
      <c r="D213" s="13" t="n">
        <v>90500</v>
      </c>
      <c r="E213" s="11">
        <f>IF(G213="conciliado","conciliado",I213)</f>
        <v/>
      </c>
      <c r="F213" s="11">
        <f>IF(SUM(COUNTIFS('Conciliacion de compuestos'!$D$2:$D$13,"conciliado",'Conciliacion de compuestos'!$E$2:$E$13,"OK",'Conciliacion de compuestos'!$M$2:$M$13,A213),COUNTIFS('Conciliacion de compuestos'!$D$2:$D$13,"conciliado",'Conciliacion de compuestos'!$E$2:$E$13,"OK",'Conciliacion de compuestos'!$N$2:$N$13,A213),COUNTIFS('Conciliacion de compuestos'!$D$2:$D$13,"conciliado",'Conciliacion de compuestos'!$E$2:$E$13,"OK",'Conciliacion de compuestos'!$O$2:$O$13,A213))&gt;0,IFERROR(TEXTJOIN(CHAR(10),TRUE,FILTER('Conciliacion de compuestos'!$A$2:$A$13,('Conciliacion de compuestos'!$D$2:$D$13="conciliado")*('Conciliacion de compuestos'!$E$2:$E$13="OK")*((('Conciliacion de compuestos'!$M$2:$M$13=A213)+('Conciliacion de compuestos'!$N$2:$N$13=A213)+('Conciliacion de compuestos'!$O$2:$O$13=A213))&gt;0))),""),"")</f>
        <v/>
      </c>
      <c r="G213" s="11">
        <f>IF(I213="conciliado","conciliado","por revisar")</f>
        <v/>
      </c>
      <c r="H213" s="11" t="inlineStr"/>
      <c r="I213" s="11">
        <f>IF(SUM(COUNTIFS('Conciliacion de compuestos'!$D$2:$D$13,"conciliado",'Conciliacion de compuestos'!$E$2:$E$13,"OK",'Conciliacion de compuestos'!$M$2:$M$13,A213),COUNTIFS('Conciliacion de compuestos'!$D$2:$D$13,"conciliado",'Conciliacion de compuestos'!$E$2:$E$13,"OK",'Conciliacion de compuestos'!$N$2:$N$13,A213),COUNTIFS('Conciliacion de compuestos'!$D$2:$D$13,"conciliado",'Conciliacion de compuestos'!$E$2:$E$13,"OK",'Conciliacion de compuestos'!$O$2:$O$13,A213))&gt;0,"conciliado","por revisar")</f>
        <v/>
      </c>
    </row>
    <row r="214">
      <c r="A214" s="11" t="n">
        <v>48</v>
      </c>
      <c r="B214" s="12" t="n">
        <v>46028</v>
      </c>
      <c r="C214" s="11" t="inlineStr">
        <is>
          <t>dann paladines teran</t>
        </is>
      </c>
      <c r="D214" s="13" t="n">
        <v>95800</v>
      </c>
      <c r="E214" s="11">
        <f>IF(G214="conciliado","conciliado",I214)</f>
        <v/>
      </c>
      <c r="F214" s="11">
        <f>IF(SUM(COUNTIFS('Conciliacion de compuestos'!$D$2:$D$13,"conciliado",'Conciliacion de compuestos'!$E$2:$E$13,"OK",'Conciliacion de compuestos'!$M$2:$M$13,A214),COUNTIFS('Conciliacion de compuestos'!$D$2:$D$13,"conciliado",'Conciliacion de compuestos'!$E$2:$E$13,"OK",'Conciliacion de compuestos'!$N$2:$N$13,A214),COUNTIFS('Conciliacion de compuestos'!$D$2:$D$13,"conciliado",'Conciliacion de compuestos'!$E$2:$E$13,"OK",'Conciliacion de compuestos'!$O$2:$O$13,A214))&gt;0,IFERROR(TEXTJOIN(CHAR(10),TRUE,FILTER('Conciliacion de compuestos'!$A$2:$A$13,('Conciliacion de compuestos'!$D$2:$D$13="conciliado")*('Conciliacion de compuestos'!$E$2:$E$13="OK")*((('Conciliacion de compuestos'!$M$2:$M$13=A214)+('Conciliacion de compuestos'!$N$2:$N$13=A214)+('Conciliacion de compuestos'!$O$2:$O$13=A214))&gt;0))),""),"")</f>
        <v/>
      </c>
      <c r="G214" s="11">
        <f>IF(I214="conciliado","conciliado","por revisar")</f>
        <v/>
      </c>
      <c r="H214" s="11" t="inlineStr"/>
      <c r="I214" s="11">
        <f>IF(SUM(COUNTIFS('Conciliacion de compuestos'!$D$2:$D$13,"conciliado",'Conciliacion de compuestos'!$E$2:$E$13,"OK",'Conciliacion de compuestos'!$M$2:$M$13,A214),COUNTIFS('Conciliacion de compuestos'!$D$2:$D$13,"conciliado",'Conciliacion de compuestos'!$E$2:$E$13,"OK",'Conciliacion de compuestos'!$N$2:$N$13,A214),COUNTIFS('Conciliacion de compuestos'!$D$2:$D$13,"conciliado",'Conciliacion de compuestos'!$E$2:$E$13,"OK",'Conciliacion de compuestos'!$O$2:$O$13,A214))&gt;0,"conciliado","por revisar")</f>
        <v/>
      </c>
    </row>
    <row r="215">
      <c r="A215" s="11" t="n">
        <v>49</v>
      </c>
      <c r="B215" s="12" t="n">
        <v>46028</v>
      </c>
      <c r="C215" s="11" t="inlineStr">
        <is>
          <t>gaviria jenith munoz</t>
        </is>
      </c>
      <c r="D215" s="13" t="n">
        <v>30600</v>
      </c>
      <c r="E215" s="11">
        <f>IF(G215="conciliado","conciliado",I215)</f>
        <v/>
      </c>
      <c r="F215" s="11">
        <f>IF(SUM(COUNTIFS('Conciliacion de compuestos'!$D$2:$D$13,"conciliado",'Conciliacion de compuestos'!$E$2:$E$13,"OK",'Conciliacion de compuestos'!$M$2:$M$13,A215),COUNTIFS('Conciliacion de compuestos'!$D$2:$D$13,"conciliado",'Conciliacion de compuestos'!$E$2:$E$13,"OK",'Conciliacion de compuestos'!$N$2:$N$13,A215),COUNTIFS('Conciliacion de compuestos'!$D$2:$D$13,"conciliado",'Conciliacion de compuestos'!$E$2:$E$13,"OK",'Conciliacion de compuestos'!$O$2:$O$13,A215))&gt;0,IFERROR(TEXTJOIN(CHAR(10),TRUE,FILTER('Conciliacion de compuestos'!$A$2:$A$13,('Conciliacion de compuestos'!$D$2:$D$13="conciliado")*('Conciliacion de compuestos'!$E$2:$E$13="OK")*((('Conciliacion de compuestos'!$M$2:$M$13=A215)+('Conciliacion de compuestos'!$N$2:$N$13=A215)+('Conciliacion de compuestos'!$O$2:$O$13=A215))&gt;0))),""),"")</f>
        <v/>
      </c>
      <c r="G215" s="11">
        <f>IF(I215="conciliado","conciliado","por revisar")</f>
        <v/>
      </c>
      <c r="H215" s="11" t="inlineStr"/>
      <c r="I215" s="11">
        <f>IF(SUM(COUNTIFS('Conciliacion de compuestos'!$D$2:$D$13,"conciliado",'Conciliacion de compuestos'!$E$2:$E$13,"OK",'Conciliacion de compuestos'!$M$2:$M$13,A215),COUNTIFS('Conciliacion de compuestos'!$D$2:$D$13,"conciliado",'Conciliacion de compuestos'!$E$2:$E$13,"OK",'Conciliacion de compuestos'!$N$2:$N$13,A215),COUNTIFS('Conciliacion de compuestos'!$D$2:$D$13,"conciliado",'Conciliacion de compuestos'!$E$2:$E$13,"OK",'Conciliacion de compuestos'!$O$2:$O$13,A215))&gt;0,"conciliado","por revisar")</f>
        <v/>
      </c>
    </row>
    <row r="216">
      <c r="A216" s="11" t="n">
        <v>53</v>
      </c>
      <c r="B216" s="12" t="n">
        <v>46028</v>
      </c>
      <c r="C216" s="11" t="inlineStr">
        <is>
          <t>abella marlen rincon</t>
        </is>
      </c>
      <c r="D216" s="13" t="n">
        <v>32000</v>
      </c>
      <c r="E216" s="11">
        <f>IF(G216="conciliado","conciliado",I216)</f>
        <v/>
      </c>
      <c r="F216" s="11">
        <f>IF(SUM(COUNTIFS('Conciliacion de compuestos'!$D$2:$D$13,"conciliado",'Conciliacion de compuestos'!$E$2:$E$13,"OK",'Conciliacion de compuestos'!$M$2:$M$13,A216),COUNTIFS('Conciliacion de compuestos'!$D$2:$D$13,"conciliado",'Conciliacion de compuestos'!$E$2:$E$13,"OK",'Conciliacion de compuestos'!$N$2:$N$13,A216),COUNTIFS('Conciliacion de compuestos'!$D$2:$D$13,"conciliado",'Conciliacion de compuestos'!$E$2:$E$13,"OK",'Conciliacion de compuestos'!$O$2:$O$13,A216))&gt;0,IFERROR(TEXTJOIN(CHAR(10),TRUE,FILTER('Conciliacion de compuestos'!$A$2:$A$13,('Conciliacion de compuestos'!$D$2:$D$13="conciliado")*('Conciliacion de compuestos'!$E$2:$E$13="OK")*((('Conciliacion de compuestos'!$M$2:$M$13=A216)+('Conciliacion de compuestos'!$N$2:$N$13=A216)+('Conciliacion de compuestos'!$O$2:$O$13=A216))&gt;0))),""),"")</f>
        <v/>
      </c>
      <c r="G216" s="11">
        <f>IF(I216="conciliado","conciliado","por revisar")</f>
        <v/>
      </c>
      <c r="H216" s="11" t="inlineStr"/>
      <c r="I216" s="11">
        <f>IF(SUM(COUNTIFS('Conciliacion de compuestos'!$D$2:$D$13,"conciliado",'Conciliacion de compuestos'!$E$2:$E$13,"OK",'Conciliacion de compuestos'!$M$2:$M$13,A216),COUNTIFS('Conciliacion de compuestos'!$D$2:$D$13,"conciliado",'Conciliacion de compuestos'!$E$2:$E$13,"OK",'Conciliacion de compuestos'!$N$2:$N$13,A216),COUNTIFS('Conciliacion de compuestos'!$D$2:$D$13,"conciliado",'Conciliacion de compuestos'!$E$2:$E$13,"OK",'Conciliacion de compuestos'!$O$2:$O$13,A216))&gt;0,"conciliado","por revisar")</f>
        <v/>
      </c>
    </row>
    <row r="217">
      <c r="A217" s="11" t="n">
        <v>56</v>
      </c>
      <c r="B217" s="12" t="n">
        <v>46028</v>
      </c>
      <c r="C217" s="11" t="inlineStr">
        <is>
          <t>tatiana yepes</t>
        </is>
      </c>
      <c r="D217" s="13" t="n">
        <v>20000</v>
      </c>
      <c r="E217" s="11">
        <f>IF(G217="conciliado","conciliado",I217)</f>
        <v/>
      </c>
      <c r="F217" s="11">
        <f>IF(SUM(COUNTIFS('Conciliacion de compuestos'!$D$2:$D$13,"conciliado",'Conciliacion de compuestos'!$E$2:$E$13,"OK",'Conciliacion de compuestos'!$M$2:$M$13,A217),COUNTIFS('Conciliacion de compuestos'!$D$2:$D$13,"conciliado",'Conciliacion de compuestos'!$E$2:$E$13,"OK",'Conciliacion de compuestos'!$N$2:$N$13,A217),COUNTIFS('Conciliacion de compuestos'!$D$2:$D$13,"conciliado",'Conciliacion de compuestos'!$E$2:$E$13,"OK",'Conciliacion de compuestos'!$O$2:$O$13,A217))&gt;0,IFERROR(TEXTJOIN(CHAR(10),TRUE,FILTER('Conciliacion de compuestos'!$A$2:$A$13,('Conciliacion de compuestos'!$D$2:$D$13="conciliado")*('Conciliacion de compuestos'!$E$2:$E$13="OK")*((('Conciliacion de compuestos'!$M$2:$M$13=A217)+('Conciliacion de compuestos'!$N$2:$N$13=A217)+('Conciliacion de compuestos'!$O$2:$O$13=A217))&gt;0))),""),"")</f>
        <v/>
      </c>
      <c r="G217" s="11">
        <f>IF(I217="conciliado","conciliado","por revisar")</f>
        <v/>
      </c>
      <c r="H217" s="11" t="inlineStr"/>
      <c r="I217" s="11">
        <f>IF(SUM(COUNTIFS('Conciliacion de compuestos'!$D$2:$D$13,"conciliado",'Conciliacion de compuestos'!$E$2:$E$13,"OK",'Conciliacion de compuestos'!$M$2:$M$13,A217),COUNTIFS('Conciliacion de compuestos'!$D$2:$D$13,"conciliado",'Conciliacion de compuestos'!$E$2:$E$13,"OK",'Conciliacion de compuestos'!$N$2:$N$13,A217),COUNTIFS('Conciliacion de compuestos'!$D$2:$D$13,"conciliado",'Conciliacion de compuestos'!$E$2:$E$13,"OK",'Conciliacion de compuestos'!$O$2:$O$13,A217))&gt;0,"conciliado","por revisar")</f>
        <v/>
      </c>
    </row>
    <row r="218">
      <c r="A218" s="11" t="n">
        <v>64</v>
      </c>
      <c r="B218" s="12" t="n">
        <v>46029</v>
      </c>
      <c r="C218" s="11" t="inlineStr">
        <is>
          <t>gutierrez juan rojas</t>
        </is>
      </c>
      <c r="D218" s="13" t="n">
        <v>45800</v>
      </c>
      <c r="E218" s="11">
        <f>IF(G218="conciliado","conciliado",I218)</f>
        <v/>
      </c>
      <c r="F218" s="11">
        <f>IF(SUM(COUNTIFS('Conciliacion de compuestos'!$D$2:$D$13,"conciliado",'Conciliacion de compuestos'!$E$2:$E$13,"OK",'Conciliacion de compuestos'!$M$2:$M$13,A218),COUNTIFS('Conciliacion de compuestos'!$D$2:$D$13,"conciliado",'Conciliacion de compuestos'!$E$2:$E$13,"OK",'Conciliacion de compuestos'!$N$2:$N$13,A218),COUNTIFS('Conciliacion de compuestos'!$D$2:$D$13,"conciliado",'Conciliacion de compuestos'!$E$2:$E$13,"OK",'Conciliacion de compuestos'!$O$2:$O$13,A218))&gt;0,IFERROR(TEXTJOIN(CHAR(10),TRUE,FILTER('Conciliacion de compuestos'!$A$2:$A$13,('Conciliacion de compuestos'!$D$2:$D$13="conciliado")*('Conciliacion de compuestos'!$E$2:$E$13="OK")*((('Conciliacion de compuestos'!$M$2:$M$13=A218)+('Conciliacion de compuestos'!$N$2:$N$13=A218)+('Conciliacion de compuestos'!$O$2:$O$13=A218))&gt;0))),""),"")</f>
        <v/>
      </c>
      <c r="G218" s="11">
        <f>IF(I218="conciliado","conciliado","por revisar")</f>
        <v/>
      </c>
      <c r="H218" s="11" t="inlineStr"/>
      <c r="I218" s="11">
        <f>IF(SUM(COUNTIFS('Conciliacion de compuestos'!$D$2:$D$13,"conciliado",'Conciliacion de compuestos'!$E$2:$E$13,"OK",'Conciliacion de compuestos'!$M$2:$M$13,A218),COUNTIFS('Conciliacion de compuestos'!$D$2:$D$13,"conciliado",'Conciliacion de compuestos'!$E$2:$E$13,"OK",'Conciliacion de compuestos'!$N$2:$N$13,A218),COUNTIFS('Conciliacion de compuestos'!$D$2:$D$13,"conciliado",'Conciliacion de compuestos'!$E$2:$E$13,"OK",'Conciliacion de compuestos'!$O$2:$O$13,A218))&gt;0,"conciliado","por revisar")</f>
        <v/>
      </c>
    </row>
    <row r="219">
      <c r="A219" s="11" t="n">
        <v>66</v>
      </c>
      <c r="B219" s="12" t="n">
        <v>46029</v>
      </c>
      <c r="C219" s="11" t="inlineStr">
        <is>
          <t>ciro gonzalez santos</t>
        </is>
      </c>
      <c r="D219" s="13" t="n">
        <v>33200</v>
      </c>
      <c r="E219" s="11">
        <f>IF(G219="conciliado","conciliado",I219)</f>
        <v/>
      </c>
      <c r="F219" s="11">
        <f>IF(SUM(COUNTIFS('Conciliacion de compuestos'!$D$2:$D$13,"conciliado",'Conciliacion de compuestos'!$E$2:$E$13,"OK",'Conciliacion de compuestos'!$M$2:$M$13,A219),COUNTIFS('Conciliacion de compuestos'!$D$2:$D$13,"conciliado",'Conciliacion de compuestos'!$E$2:$E$13,"OK",'Conciliacion de compuestos'!$N$2:$N$13,A219),COUNTIFS('Conciliacion de compuestos'!$D$2:$D$13,"conciliado",'Conciliacion de compuestos'!$E$2:$E$13,"OK",'Conciliacion de compuestos'!$O$2:$O$13,A219))&gt;0,IFERROR(TEXTJOIN(CHAR(10),TRUE,FILTER('Conciliacion de compuestos'!$A$2:$A$13,('Conciliacion de compuestos'!$D$2:$D$13="conciliado")*('Conciliacion de compuestos'!$E$2:$E$13="OK")*((('Conciliacion de compuestos'!$M$2:$M$13=A219)+('Conciliacion de compuestos'!$N$2:$N$13=A219)+('Conciliacion de compuestos'!$O$2:$O$13=A219))&gt;0))),""),"")</f>
        <v/>
      </c>
      <c r="G219" s="11">
        <f>IF(I219="conciliado","conciliado","por revisar")</f>
        <v/>
      </c>
      <c r="H219" s="11" t="inlineStr"/>
      <c r="I219" s="11">
        <f>IF(SUM(COUNTIFS('Conciliacion de compuestos'!$D$2:$D$13,"conciliado",'Conciliacion de compuestos'!$E$2:$E$13,"OK",'Conciliacion de compuestos'!$M$2:$M$13,A219),COUNTIFS('Conciliacion de compuestos'!$D$2:$D$13,"conciliado",'Conciliacion de compuestos'!$E$2:$E$13,"OK",'Conciliacion de compuestos'!$N$2:$N$13,A219),COUNTIFS('Conciliacion de compuestos'!$D$2:$D$13,"conciliado",'Conciliacion de compuestos'!$E$2:$E$13,"OK",'Conciliacion de compuestos'!$O$2:$O$13,A219))&gt;0,"conciliado","por revisar")</f>
        <v/>
      </c>
    </row>
    <row r="220">
      <c r="A220" s="11" t="n">
        <v>71</v>
      </c>
      <c r="B220" s="12" t="n">
        <v>46030</v>
      </c>
      <c r="C220" s="11" t="inlineStr">
        <is>
          <t>bastidas fa guerrero</t>
        </is>
      </c>
      <c r="D220" s="13" t="n">
        <v>40000</v>
      </c>
      <c r="E220" s="11">
        <f>IF(G220="conciliado","conciliado",I220)</f>
        <v/>
      </c>
      <c r="F220" s="11">
        <f>IF(SUM(COUNTIFS('Conciliacion de compuestos'!$D$2:$D$13,"conciliado",'Conciliacion de compuestos'!$E$2:$E$13,"OK",'Conciliacion de compuestos'!$M$2:$M$13,A220),COUNTIFS('Conciliacion de compuestos'!$D$2:$D$13,"conciliado",'Conciliacion de compuestos'!$E$2:$E$13,"OK",'Conciliacion de compuestos'!$N$2:$N$13,A220),COUNTIFS('Conciliacion de compuestos'!$D$2:$D$13,"conciliado",'Conciliacion de compuestos'!$E$2:$E$13,"OK",'Conciliacion de compuestos'!$O$2:$O$13,A220))&gt;0,IFERROR(TEXTJOIN(CHAR(10),TRUE,FILTER('Conciliacion de compuestos'!$A$2:$A$13,('Conciliacion de compuestos'!$D$2:$D$13="conciliado")*('Conciliacion de compuestos'!$E$2:$E$13="OK")*((('Conciliacion de compuestos'!$M$2:$M$13=A220)+('Conciliacion de compuestos'!$N$2:$N$13=A220)+('Conciliacion de compuestos'!$O$2:$O$13=A220))&gt;0))),""),"")</f>
        <v/>
      </c>
      <c r="G220" s="11">
        <f>IF(I220="conciliado","conciliado","por revisar")</f>
        <v/>
      </c>
      <c r="H220" s="11" t="inlineStr"/>
      <c r="I220" s="11">
        <f>IF(SUM(COUNTIFS('Conciliacion de compuestos'!$D$2:$D$13,"conciliado",'Conciliacion de compuestos'!$E$2:$E$13,"OK",'Conciliacion de compuestos'!$M$2:$M$13,A220),COUNTIFS('Conciliacion de compuestos'!$D$2:$D$13,"conciliado",'Conciliacion de compuestos'!$E$2:$E$13,"OK",'Conciliacion de compuestos'!$N$2:$N$13,A220),COUNTIFS('Conciliacion de compuestos'!$D$2:$D$13,"conciliado",'Conciliacion de compuestos'!$E$2:$E$13,"OK",'Conciliacion de compuestos'!$O$2:$O$13,A220))&gt;0,"conciliado","por revisar")</f>
        <v/>
      </c>
    </row>
    <row r="221">
      <c r="A221" s="11" t="n">
        <v>75</v>
      </c>
      <c r="B221" s="12" t="n">
        <v>46030</v>
      </c>
      <c r="C221" s="11" t="inlineStr">
        <is>
          <t>ciro gonzalez santos</t>
        </is>
      </c>
      <c r="D221" s="13" t="n">
        <v>20000</v>
      </c>
      <c r="E221" s="11">
        <f>IF(G221="conciliado","conciliado",I221)</f>
        <v/>
      </c>
      <c r="F221" s="11">
        <f>IF(SUM(COUNTIFS('Conciliacion de compuestos'!$D$2:$D$13,"conciliado",'Conciliacion de compuestos'!$E$2:$E$13,"OK",'Conciliacion de compuestos'!$M$2:$M$13,A221),COUNTIFS('Conciliacion de compuestos'!$D$2:$D$13,"conciliado",'Conciliacion de compuestos'!$E$2:$E$13,"OK",'Conciliacion de compuestos'!$N$2:$N$13,A221),COUNTIFS('Conciliacion de compuestos'!$D$2:$D$13,"conciliado",'Conciliacion de compuestos'!$E$2:$E$13,"OK",'Conciliacion de compuestos'!$O$2:$O$13,A221))&gt;0,IFERROR(TEXTJOIN(CHAR(10),TRUE,FILTER('Conciliacion de compuestos'!$A$2:$A$13,('Conciliacion de compuestos'!$D$2:$D$13="conciliado")*('Conciliacion de compuestos'!$E$2:$E$13="OK")*((('Conciliacion de compuestos'!$M$2:$M$13=A221)+('Conciliacion de compuestos'!$N$2:$N$13=A221)+('Conciliacion de compuestos'!$O$2:$O$13=A221))&gt;0))),""),"")</f>
        <v/>
      </c>
      <c r="G221" s="11">
        <f>IF(I221="conciliado","conciliado","por revisar")</f>
        <v/>
      </c>
      <c r="H221" s="11" t="inlineStr"/>
      <c r="I221" s="11">
        <f>IF(SUM(COUNTIFS('Conciliacion de compuestos'!$D$2:$D$13,"conciliado",'Conciliacion de compuestos'!$E$2:$E$13,"OK",'Conciliacion de compuestos'!$M$2:$M$13,A221),COUNTIFS('Conciliacion de compuestos'!$D$2:$D$13,"conciliado",'Conciliacion de compuestos'!$E$2:$E$13,"OK",'Conciliacion de compuestos'!$N$2:$N$13,A221),COUNTIFS('Conciliacion de compuestos'!$D$2:$D$13,"conciliado",'Conciliacion de compuestos'!$E$2:$E$13,"OK",'Conciliacion de compuestos'!$O$2:$O$13,A221))&gt;0,"conciliado","por revisar")</f>
        <v/>
      </c>
    </row>
    <row r="222">
      <c r="A222" s="11" t="n">
        <v>76</v>
      </c>
      <c r="B222" s="12" t="n">
        <v>46030</v>
      </c>
      <c r="C222" s="11" t="inlineStr">
        <is>
          <t>angie pinto viveros</t>
        </is>
      </c>
      <c r="D222" s="13" t="n">
        <v>33000</v>
      </c>
      <c r="E222" s="11">
        <f>IF(G222="conciliado","conciliado",I222)</f>
        <v/>
      </c>
      <c r="F222" s="11">
        <f>IF(SUM(COUNTIFS('Conciliacion de compuestos'!$D$2:$D$13,"conciliado",'Conciliacion de compuestos'!$E$2:$E$13,"OK",'Conciliacion de compuestos'!$M$2:$M$13,A222),COUNTIFS('Conciliacion de compuestos'!$D$2:$D$13,"conciliado",'Conciliacion de compuestos'!$E$2:$E$13,"OK",'Conciliacion de compuestos'!$N$2:$N$13,A222),COUNTIFS('Conciliacion de compuestos'!$D$2:$D$13,"conciliado",'Conciliacion de compuestos'!$E$2:$E$13,"OK",'Conciliacion de compuestos'!$O$2:$O$13,A222))&gt;0,IFERROR(TEXTJOIN(CHAR(10),TRUE,FILTER('Conciliacion de compuestos'!$A$2:$A$13,('Conciliacion de compuestos'!$D$2:$D$13="conciliado")*('Conciliacion de compuestos'!$E$2:$E$13="OK")*((('Conciliacion de compuestos'!$M$2:$M$13=A222)+('Conciliacion de compuestos'!$N$2:$N$13=A222)+('Conciliacion de compuestos'!$O$2:$O$13=A222))&gt;0))),""),"")</f>
        <v/>
      </c>
      <c r="G222" s="11">
        <f>IF(I222="conciliado","conciliado","por revisar")</f>
        <v/>
      </c>
      <c r="H222" s="11" t="inlineStr"/>
      <c r="I222" s="11">
        <f>IF(SUM(COUNTIFS('Conciliacion de compuestos'!$D$2:$D$13,"conciliado",'Conciliacion de compuestos'!$E$2:$E$13,"OK",'Conciliacion de compuestos'!$M$2:$M$13,A222),COUNTIFS('Conciliacion de compuestos'!$D$2:$D$13,"conciliado",'Conciliacion de compuestos'!$E$2:$E$13,"OK",'Conciliacion de compuestos'!$N$2:$N$13,A222),COUNTIFS('Conciliacion de compuestos'!$D$2:$D$13,"conciliado",'Conciliacion de compuestos'!$E$2:$E$13,"OK",'Conciliacion de compuestos'!$O$2:$O$13,A222))&gt;0,"conciliado","por revisar")</f>
        <v/>
      </c>
    </row>
    <row r="223">
      <c r="A223" s="11" t="n">
        <v>77</v>
      </c>
      <c r="B223" s="12" t="n">
        <v>46030</v>
      </c>
      <c r="C223" s="11" t="inlineStr">
        <is>
          <t>herma hoyos martinez</t>
        </is>
      </c>
      <c r="D223" s="13" t="n">
        <v>29700</v>
      </c>
      <c r="E223" s="11">
        <f>IF(G223="conciliado","conciliado",I223)</f>
        <v/>
      </c>
      <c r="F223" s="11">
        <f>IF(SUM(COUNTIFS('Conciliacion de compuestos'!$D$2:$D$13,"conciliado",'Conciliacion de compuestos'!$E$2:$E$13,"OK",'Conciliacion de compuestos'!$M$2:$M$13,A223),COUNTIFS('Conciliacion de compuestos'!$D$2:$D$13,"conciliado",'Conciliacion de compuestos'!$E$2:$E$13,"OK",'Conciliacion de compuestos'!$N$2:$N$13,A223),COUNTIFS('Conciliacion de compuestos'!$D$2:$D$13,"conciliado",'Conciliacion de compuestos'!$E$2:$E$13,"OK",'Conciliacion de compuestos'!$O$2:$O$13,A223))&gt;0,IFERROR(TEXTJOIN(CHAR(10),TRUE,FILTER('Conciliacion de compuestos'!$A$2:$A$13,('Conciliacion de compuestos'!$D$2:$D$13="conciliado")*('Conciliacion de compuestos'!$E$2:$E$13="OK")*((('Conciliacion de compuestos'!$M$2:$M$13=A223)+('Conciliacion de compuestos'!$N$2:$N$13=A223)+('Conciliacion de compuestos'!$O$2:$O$13=A223))&gt;0))),""),"")</f>
        <v/>
      </c>
      <c r="G223" s="11">
        <f>IF(I223="conciliado","conciliado","por revisar")</f>
        <v/>
      </c>
      <c r="H223" s="11" t="inlineStr"/>
      <c r="I223" s="11">
        <f>IF(SUM(COUNTIFS('Conciliacion de compuestos'!$D$2:$D$13,"conciliado",'Conciliacion de compuestos'!$E$2:$E$13,"OK",'Conciliacion de compuestos'!$M$2:$M$13,A223),COUNTIFS('Conciliacion de compuestos'!$D$2:$D$13,"conciliado",'Conciliacion de compuestos'!$E$2:$E$13,"OK",'Conciliacion de compuestos'!$N$2:$N$13,A223),COUNTIFS('Conciliacion de compuestos'!$D$2:$D$13,"conciliado",'Conciliacion de compuestos'!$E$2:$E$13,"OK",'Conciliacion de compuestos'!$O$2:$O$13,A223))&gt;0,"conciliado","por revisar")</f>
        <v/>
      </c>
    </row>
    <row r="224">
      <c r="A224" s="11" t="n">
        <v>81</v>
      </c>
      <c r="B224" s="12" t="n">
        <v>46031</v>
      </c>
      <c r="C224" s="11" t="inlineStr">
        <is>
          <t>coral fr hugo rosero</t>
        </is>
      </c>
      <c r="D224" s="13" t="n">
        <v>45800</v>
      </c>
      <c r="E224" s="11">
        <f>IF(G224="conciliado","conciliado",I224)</f>
        <v/>
      </c>
      <c r="F224" s="11">
        <f>IF(SUM(COUNTIFS('Conciliacion de compuestos'!$D$2:$D$13,"conciliado",'Conciliacion de compuestos'!$E$2:$E$13,"OK",'Conciliacion de compuestos'!$M$2:$M$13,A224),COUNTIFS('Conciliacion de compuestos'!$D$2:$D$13,"conciliado",'Conciliacion de compuestos'!$E$2:$E$13,"OK",'Conciliacion de compuestos'!$N$2:$N$13,A224),COUNTIFS('Conciliacion de compuestos'!$D$2:$D$13,"conciliado",'Conciliacion de compuestos'!$E$2:$E$13,"OK",'Conciliacion de compuestos'!$O$2:$O$13,A224))&gt;0,IFERROR(TEXTJOIN(CHAR(10),TRUE,FILTER('Conciliacion de compuestos'!$A$2:$A$13,('Conciliacion de compuestos'!$D$2:$D$13="conciliado")*('Conciliacion de compuestos'!$E$2:$E$13="OK")*((('Conciliacion de compuestos'!$M$2:$M$13=A224)+('Conciliacion de compuestos'!$N$2:$N$13=A224)+('Conciliacion de compuestos'!$O$2:$O$13=A224))&gt;0))),""),"")</f>
        <v/>
      </c>
      <c r="G224" s="11">
        <f>IF(I224="conciliado","conciliado","por revisar")</f>
        <v/>
      </c>
      <c r="H224" s="11" t="inlineStr"/>
      <c r="I224" s="11">
        <f>IF(SUM(COUNTIFS('Conciliacion de compuestos'!$D$2:$D$13,"conciliado",'Conciliacion de compuestos'!$E$2:$E$13,"OK",'Conciliacion de compuestos'!$M$2:$M$13,A224),COUNTIFS('Conciliacion de compuestos'!$D$2:$D$13,"conciliado",'Conciliacion de compuestos'!$E$2:$E$13,"OK",'Conciliacion de compuestos'!$N$2:$N$13,A224),COUNTIFS('Conciliacion de compuestos'!$D$2:$D$13,"conciliado",'Conciliacion de compuestos'!$E$2:$E$13,"OK",'Conciliacion de compuestos'!$O$2:$O$13,A224))&gt;0,"conciliado","por revisar")</f>
        <v/>
      </c>
    </row>
    <row r="225">
      <c r="A225" s="11" t="n">
        <v>84</v>
      </c>
      <c r="B225" s="12" t="n">
        <v>46031</v>
      </c>
      <c r="C225" s="11" t="inlineStr">
        <is>
          <t>martinez munoz willi</t>
        </is>
      </c>
      <c r="D225" s="13" t="n">
        <v>47400</v>
      </c>
      <c r="E225" s="11">
        <f>IF(G225="conciliado","conciliado",I225)</f>
        <v/>
      </c>
      <c r="F225" s="11">
        <f>IF(SUM(COUNTIFS('Conciliacion de compuestos'!$D$2:$D$13,"conciliado",'Conciliacion de compuestos'!$E$2:$E$13,"OK",'Conciliacion de compuestos'!$M$2:$M$13,A225),COUNTIFS('Conciliacion de compuestos'!$D$2:$D$13,"conciliado",'Conciliacion de compuestos'!$E$2:$E$13,"OK",'Conciliacion de compuestos'!$N$2:$N$13,A225),COUNTIFS('Conciliacion de compuestos'!$D$2:$D$13,"conciliado",'Conciliacion de compuestos'!$E$2:$E$13,"OK",'Conciliacion de compuestos'!$O$2:$O$13,A225))&gt;0,IFERROR(TEXTJOIN(CHAR(10),TRUE,FILTER('Conciliacion de compuestos'!$A$2:$A$13,('Conciliacion de compuestos'!$D$2:$D$13="conciliado")*('Conciliacion de compuestos'!$E$2:$E$13="OK")*((('Conciliacion de compuestos'!$M$2:$M$13=A225)+('Conciliacion de compuestos'!$N$2:$N$13=A225)+('Conciliacion de compuestos'!$O$2:$O$13=A225))&gt;0))),""),"")</f>
        <v/>
      </c>
      <c r="G225" s="11">
        <f>IF(I225="conciliado","conciliado","por revisar")</f>
        <v/>
      </c>
      <c r="H225" s="11" t="inlineStr"/>
      <c r="I225" s="11">
        <f>IF(SUM(COUNTIFS('Conciliacion de compuestos'!$D$2:$D$13,"conciliado",'Conciliacion de compuestos'!$E$2:$E$13,"OK",'Conciliacion de compuestos'!$M$2:$M$13,A225),COUNTIFS('Conciliacion de compuestos'!$D$2:$D$13,"conciliado",'Conciliacion de compuestos'!$E$2:$E$13,"OK",'Conciliacion de compuestos'!$N$2:$N$13,A225),COUNTIFS('Conciliacion de compuestos'!$D$2:$D$13,"conciliado",'Conciliacion de compuestos'!$E$2:$E$13,"OK",'Conciliacion de compuestos'!$O$2:$O$13,A225))&gt;0,"conciliado","por revisar")</f>
        <v/>
      </c>
    </row>
    <row r="226">
      <c r="A226" s="11" t="n">
        <v>86</v>
      </c>
      <c r="B226" s="12" t="n">
        <v>46031</v>
      </c>
      <c r="C226" s="11" t="inlineStr">
        <is>
          <t>acosta bermeo doris</t>
        </is>
      </c>
      <c r="D226" s="13" t="n">
        <v>30000</v>
      </c>
      <c r="E226" s="11">
        <f>IF(G226="conciliado","conciliado",I226)</f>
        <v/>
      </c>
      <c r="F226" s="11">
        <f>IF(SUM(COUNTIFS('Conciliacion de compuestos'!$D$2:$D$13,"conciliado",'Conciliacion de compuestos'!$E$2:$E$13,"OK",'Conciliacion de compuestos'!$M$2:$M$13,A226),COUNTIFS('Conciliacion de compuestos'!$D$2:$D$13,"conciliado",'Conciliacion de compuestos'!$E$2:$E$13,"OK",'Conciliacion de compuestos'!$N$2:$N$13,A226),COUNTIFS('Conciliacion de compuestos'!$D$2:$D$13,"conciliado",'Conciliacion de compuestos'!$E$2:$E$13,"OK",'Conciliacion de compuestos'!$O$2:$O$13,A226))&gt;0,IFERROR(TEXTJOIN(CHAR(10),TRUE,FILTER('Conciliacion de compuestos'!$A$2:$A$13,('Conciliacion de compuestos'!$D$2:$D$13="conciliado")*('Conciliacion de compuestos'!$E$2:$E$13="OK")*((('Conciliacion de compuestos'!$M$2:$M$13=A226)+('Conciliacion de compuestos'!$N$2:$N$13=A226)+('Conciliacion de compuestos'!$O$2:$O$13=A226))&gt;0))),""),"")</f>
        <v/>
      </c>
      <c r="G226" s="11">
        <f>IF(I226="conciliado","conciliado","por revisar")</f>
        <v/>
      </c>
      <c r="H226" s="11" t="inlineStr"/>
      <c r="I226" s="11">
        <f>IF(SUM(COUNTIFS('Conciliacion de compuestos'!$D$2:$D$13,"conciliado",'Conciliacion de compuestos'!$E$2:$E$13,"OK",'Conciliacion de compuestos'!$M$2:$M$13,A226),COUNTIFS('Conciliacion de compuestos'!$D$2:$D$13,"conciliado",'Conciliacion de compuestos'!$E$2:$E$13,"OK",'Conciliacion de compuestos'!$N$2:$N$13,A226),COUNTIFS('Conciliacion de compuestos'!$D$2:$D$13,"conciliado",'Conciliacion de compuestos'!$E$2:$E$13,"OK",'Conciliacion de compuestos'!$O$2:$O$13,A226))&gt;0,"conciliado","por revisar")</f>
        <v/>
      </c>
    </row>
    <row r="227">
      <c r="A227" s="11" t="n">
        <v>87</v>
      </c>
      <c r="B227" s="12" t="n">
        <v>46031</v>
      </c>
      <c r="C227" s="11" t="inlineStr">
        <is>
          <t>arenas bray melendez</t>
        </is>
      </c>
      <c r="D227" s="13" t="n">
        <v>30600</v>
      </c>
      <c r="E227" s="11">
        <f>IF(G227="conciliado","conciliado",I227)</f>
        <v/>
      </c>
      <c r="F227" s="11">
        <f>IF(SUM(COUNTIFS('Conciliacion de compuestos'!$D$2:$D$13,"conciliado",'Conciliacion de compuestos'!$E$2:$E$13,"OK",'Conciliacion de compuestos'!$M$2:$M$13,A227),COUNTIFS('Conciliacion de compuestos'!$D$2:$D$13,"conciliado",'Conciliacion de compuestos'!$E$2:$E$13,"OK",'Conciliacion de compuestos'!$N$2:$N$13,A227),COUNTIFS('Conciliacion de compuestos'!$D$2:$D$13,"conciliado",'Conciliacion de compuestos'!$E$2:$E$13,"OK",'Conciliacion de compuestos'!$O$2:$O$13,A227))&gt;0,IFERROR(TEXTJOIN(CHAR(10),TRUE,FILTER('Conciliacion de compuestos'!$A$2:$A$13,('Conciliacion de compuestos'!$D$2:$D$13="conciliado")*('Conciliacion de compuestos'!$E$2:$E$13="OK")*((('Conciliacion de compuestos'!$M$2:$M$13=A227)+('Conciliacion de compuestos'!$N$2:$N$13=A227)+('Conciliacion de compuestos'!$O$2:$O$13=A227))&gt;0))),""),"")</f>
        <v/>
      </c>
      <c r="G227" s="11">
        <f>IF(I227="conciliado","conciliado","por revisar")</f>
        <v/>
      </c>
      <c r="H227" s="11" t="inlineStr"/>
      <c r="I227" s="11">
        <f>IF(SUM(COUNTIFS('Conciliacion de compuestos'!$D$2:$D$13,"conciliado",'Conciliacion de compuestos'!$E$2:$E$13,"OK",'Conciliacion de compuestos'!$M$2:$M$13,A227),COUNTIFS('Conciliacion de compuestos'!$D$2:$D$13,"conciliado",'Conciliacion de compuestos'!$E$2:$E$13,"OK",'Conciliacion de compuestos'!$N$2:$N$13,A227),COUNTIFS('Conciliacion de compuestos'!$D$2:$D$13,"conciliado",'Conciliacion de compuestos'!$E$2:$E$13,"OK",'Conciliacion de compuestos'!$O$2:$O$13,A227))&gt;0,"conciliado","por revisar")</f>
        <v/>
      </c>
    </row>
    <row r="228">
      <c r="A228" s="11" t="n">
        <v>94</v>
      </c>
      <c r="B228" s="12" t="n">
        <v>46032</v>
      </c>
      <c r="C228" s="11" t="inlineStr">
        <is>
          <t>alegria magd narvaez</t>
        </is>
      </c>
      <c r="D228" s="13" t="n">
        <v>82700</v>
      </c>
      <c r="E228" s="11">
        <f>IF(G228="conciliado","conciliado",I228)</f>
        <v/>
      </c>
      <c r="F228" s="11">
        <f>IF(SUM(COUNTIFS('Conciliacion de compuestos'!$D$2:$D$13,"conciliado",'Conciliacion de compuestos'!$E$2:$E$13,"OK",'Conciliacion de compuestos'!$M$2:$M$13,A228),COUNTIFS('Conciliacion de compuestos'!$D$2:$D$13,"conciliado",'Conciliacion de compuestos'!$E$2:$E$13,"OK",'Conciliacion de compuestos'!$N$2:$N$13,A228),COUNTIFS('Conciliacion de compuestos'!$D$2:$D$13,"conciliado",'Conciliacion de compuestos'!$E$2:$E$13,"OK",'Conciliacion de compuestos'!$O$2:$O$13,A228))&gt;0,IFERROR(TEXTJOIN(CHAR(10),TRUE,FILTER('Conciliacion de compuestos'!$A$2:$A$13,('Conciliacion de compuestos'!$D$2:$D$13="conciliado")*('Conciliacion de compuestos'!$E$2:$E$13="OK")*((('Conciliacion de compuestos'!$M$2:$M$13=A228)+('Conciliacion de compuestos'!$N$2:$N$13=A228)+('Conciliacion de compuestos'!$O$2:$O$13=A228))&gt;0))),""),"")</f>
        <v/>
      </c>
      <c r="G228" s="11">
        <f>IF(I228="conciliado","conciliado","por revisar")</f>
        <v/>
      </c>
      <c r="H228" s="11" t="inlineStr"/>
      <c r="I228" s="11">
        <f>IF(SUM(COUNTIFS('Conciliacion de compuestos'!$D$2:$D$13,"conciliado",'Conciliacion de compuestos'!$E$2:$E$13,"OK",'Conciliacion de compuestos'!$M$2:$M$13,A228),COUNTIFS('Conciliacion de compuestos'!$D$2:$D$13,"conciliado",'Conciliacion de compuestos'!$E$2:$E$13,"OK",'Conciliacion de compuestos'!$N$2:$N$13,A228),COUNTIFS('Conciliacion de compuestos'!$D$2:$D$13,"conciliado",'Conciliacion de compuestos'!$E$2:$E$13,"OK",'Conciliacion de compuestos'!$O$2:$O$13,A228))&gt;0,"conciliado","por revisar")</f>
        <v/>
      </c>
    </row>
    <row r="229">
      <c r="A229" s="11" t="n">
        <v>98</v>
      </c>
      <c r="B229" s="12" t="n">
        <v>46032</v>
      </c>
      <c r="C229" s="11" t="inlineStr">
        <is>
          <t>maria moreno ordonez</t>
        </is>
      </c>
      <c r="D229" s="13" t="n">
        <v>90500</v>
      </c>
      <c r="E229" s="11">
        <f>IF(G229="conciliado","conciliado",I229)</f>
        <v/>
      </c>
      <c r="F229" s="11">
        <f>IF(SUM(COUNTIFS('Conciliacion de compuestos'!$D$2:$D$13,"conciliado",'Conciliacion de compuestos'!$E$2:$E$13,"OK",'Conciliacion de compuestos'!$M$2:$M$13,A229),COUNTIFS('Conciliacion de compuestos'!$D$2:$D$13,"conciliado",'Conciliacion de compuestos'!$E$2:$E$13,"OK",'Conciliacion de compuestos'!$N$2:$N$13,A229),COUNTIFS('Conciliacion de compuestos'!$D$2:$D$13,"conciliado",'Conciliacion de compuestos'!$E$2:$E$13,"OK",'Conciliacion de compuestos'!$O$2:$O$13,A229))&gt;0,IFERROR(TEXTJOIN(CHAR(10),TRUE,FILTER('Conciliacion de compuestos'!$A$2:$A$13,('Conciliacion de compuestos'!$D$2:$D$13="conciliado")*('Conciliacion de compuestos'!$E$2:$E$13="OK")*((('Conciliacion de compuestos'!$M$2:$M$13=A229)+('Conciliacion de compuestos'!$N$2:$N$13=A229)+('Conciliacion de compuestos'!$O$2:$O$13=A229))&gt;0))),""),"")</f>
        <v/>
      </c>
      <c r="G229" s="11">
        <f>IF(I229="conciliado","conciliado","por revisar")</f>
        <v/>
      </c>
      <c r="H229" s="11" t="inlineStr"/>
      <c r="I229" s="11">
        <f>IF(SUM(COUNTIFS('Conciliacion de compuestos'!$D$2:$D$13,"conciliado",'Conciliacion de compuestos'!$E$2:$E$13,"OK",'Conciliacion de compuestos'!$M$2:$M$13,A229),COUNTIFS('Conciliacion de compuestos'!$D$2:$D$13,"conciliado",'Conciliacion de compuestos'!$E$2:$E$13,"OK",'Conciliacion de compuestos'!$N$2:$N$13,A229),COUNTIFS('Conciliacion de compuestos'!$D$2:$D$13,"conciliado",'Conciliacion de compuestos'!$E$2:$E$13,"OK",'Conciliacion de compuestos'!$O$2:$O$13,A229))&gt;0,"conciliado","por revisar")</f>
        <v/>
      </c>
    </row>
    <row r="230">
      <c r="A230" s="11" t="n">
        <v>101</v>
      </c>
      <c r="B230" s="12" t="n">
        <v>46032</v>
      </c>
      <c r="C230" s="11" t="inlineStr">
        <is>
          <t>jaramillo julian</t>
        </is>
      </c>
      <c r="D230" s="13" t="n">
        <v>30000</v>
      </c>
      <c r="E230" s="11">
        <f>IF(G230="conciliado","conciliado",I230)</f>
        <v/>
      </c>
      <c r="F230" s="11">
        <f>IF(SUM(COUNTIFS('Conciliacion de compuestos'!$D$2:$D$13,"conciliado",'Conciliacion de compuestos'!$E$2:$E$13,"OK",'Conciliacion de compuestos'!$M$2:$M$13,A230),COUNTIFS('Conciliacion de compuestos'!$D$2:$D$13,"conciliado",'Conciliacion de compuestos'!$E$2:$E$13,"OK",'Conciliacion de compuestos'!$N$2:$N$13,A230),COUNTIFS('Conciliacion de compuestos'!$D$2:$D$13,"conciliado",'Conciliacion de compuestos'!$E$2:$E$13,"OK",'Conciliacion de compuestos'!$O$2:$O$13,A230))&gt;0,IFERROR(TEXTJOIN(CHAR(10),TRUE,FILTER('Conciliacion de compuestos'!$A$2:$A$13,('Conciliacion de compuestos'!$D$2:$D$13="conciliado")*('Conciliacion de compuestos'!$E$2:$E$13="OK")*((('Conciliacion de compuestos'!$M$2:$M$13=A230)+('Conciliacion de compuestos'!$N$2:$N$13=A230)+('Conciliacion de compuestos'!$O$2:$O$13=A230))&gt;0))),""),"")</f>
        <v/>
      </c>
      <c r="G230" s="11">
        <f>IF(I230="conciliado","conciliado","por revisar")</f>
        <v/>
      </c>
      <c r="H230" s="11" t="inlineStr"/>
      <c r="I230" s="11">
        <f>IF(SUM(COUNTIFS('Conciliacion de compuestos'!$D$2:$D$13,"conciliado",'Conciliacion de compuestos'!$E$2:$E$13,"OK",'Conciliacion de compuestos'!$M$2:$M$13,A230),COUNTIFS('Conciliacion de compuestos'!$D$2:$D$13,"conciliado",'Conciliacion de compuestos'!$E$2:$E$13,"OK",'Conciliacion de compuestos'!$N$2:$N$13,A230),COUNTIFS('Conciliacion de compuestos'!$D$2:$D$13,"conciliado",'Conciliacion de compuestos'!$E$2:$E$13,"OK",'Conciliacion de compuestos'!$O$2:$O$13,A230))&gt;0,"conciliado","por revisar")</f>
        <v/>
      </c>
    </row>
    <row r="231">
      <c r="A231" s="11" t="n">
        <v>103</v>
      </c>
      <c r="B231" s="12" t="n">
        <v>46033</v>
      </c>
      <c r="C231" s="11" t="inlineStr">
        <is>
          <t>bastidas bolanos pao</t>
        </is>
      </c>
      <c r="D231" s="13" t="n">
        <v>20300</v>
      </c>
      <c r="E231" s="11">
        <f>IF(G231="conciliado","conciliado",I231)</f>
        <v/>
      </c>
      <c r="F231" s="11">
        <f>IF(SUM(COUNTIFS('Conciliacion de compuestos'!$D$2:$D$13,"conciliado",'Conciliacion de compuestos'!$E$2:$E$13,"OK",'Conciliacion de compuestos'!$M$2:$M$13,A231),COUNTIFS('Conciliacion de compuestos'!$D$2:$D$13,"conciliado",'Conciliacion de compuestos'!$E$2:$E$13,"OK",'Conciliacion de compuestos'!$N$2:$N$13,A231),COUNTIFS('Conciliacion de compuestos'!$D$2:$D$13,"conciliado",'Conciliacion de compuestos'!$E$2:$E$13,"OK",'Conciliacion de compuestos'!$O$2:$O$13,A231))&gt;0,IFERROR(TEXTJOIN(CHAR(10),TRUE,FILTER('Conciliacion de compuestos'!$A$2:$A$13,('Conciliacion de compuestos'!$D$2:$D$13="conciliado")*('Conciliacion de compuestos'!$E$2:$E$13="OK")*((('Conciliacion de compuestos'!$M$2:$M$13=A231)+('Conciliacion de compuestos'!$N$2:$N$13=A231)+('Conciliacion de compuestos'!$O$2:$O$13=A231))&gt;0))),""),"")</f>
        <v/>
      </c>
      <c r="G231" s="11">
        <f>IF(I231="conciliado","conciliado","por revisar")</f>
        <v/>
      </c>
      <c r="H231" s="11" t="inlineStr"/>
      <c r="I231" s="11">
        <f>IF(SUM(COUNTIFS('Conciliacion de compuestos'!$D$2:$D$13,"conciliado",'Conciliacion de compuestos'!$E$2:$E$13,"OK",'Conciliacion de compuestos'!$M$2:$M$13,A231),COUNTIFS('Conciliacion de compuestos'!$D$2:$D$13,"conciliado",'Conciliacion de compuestos'!$E$2:$E$13,"OK",'Conciliacion de compuestos'!$N$2:$N$13,A231),COUNTIFS('Conciliacion de compuestos'!$D$2:$D$13,"conciliado",'Conciliacion de compuestos'!$E$2:$E$13,"OK",'Conciliacion de compuestos'!$O$2:$O$13,A231))&gt;0,"conciliado","por revisar")</f>
        <v/>
      </c>
    </row>
    <row r="232">
      <c r="A232" s="11" t="n">
        <v>107</v>
      </c>
      <c r="B232" s="12" t="n">
        <v>46034</v>
      </c>
      <c r="C232" s="11" t="inlineStr">
        <is>
          <t>hurtado jhon noguera</t>
        </is>
      </c>
      <c r="D232" s="13" t="n">
        <v>28800</v>
      </c>
      <c r="E232" s="11">
        <f>IF(G232="conciliado","conciliado",I232)</f>
        <v/>
      </c>
      <c r="F232" s="11">
        <f>IF(SUM(COUNTIFS('Conciliacion de compuestos'!$D$2:$D$13,"conciliado",'Conciliacion de compuestos'!$E$2:$E$13,"OK",'Conciliacion de compuestos'!$M$2:$M$13,A232),COUNTIFS('Conciliacion de compuestos'!$D$2:$D$13,"conciliado",'Conciliacion de compuestos'!$E$2:$E$13,"OK",'Conciliacion de compuestos'!$N$2:$N$13,A232),COUNTIFS('Conciliacion de compuestos'!$D$2:$D$13,"conciliado",'Conciliacion de compuestos'!$E$2:$E$13,"OK",'Conciliacion de compuestos'!$O$2:$O$13,A232))&gt;0,IFERROR(TEXTJOIN(CHAR(10),TRUE,FILTER('Conciliacion de compuestos'!$A$2:$A$13,('Conciliacion de compuestos'!$D$2:$D$13="conciliado")*('Conciliacion de compuestos'!$E$2:$E$13="OK")*((('Conciliacion de compuestos'!$M$2:$M$13=A232)+('Conciliacion de compuestos'!$N$2:$N$13=A232)+('Conciliacion de compuestos'!$O$2:$O$13=A232))&gt;0))),""),"")</f>
        <v/>
      </c>
      <c r="G232" s="11">
        <f>IF(I232="conciliado","conciliado","por revisar")</f>
        <v/>
      </c>
      <c r="H232" s="11" t="inlineStr"/>
      <c r="I232" s="11">
        <f>IF(SUM(COUNTIFS('Conciliacion de compuestos'!$D$2:$D$13,"conciliado",'Conciliacion de compuestos'!$E$2:$E$13,"OK",'Conciliacion de compuestos'!$M$2:$M$13,A232),COUNTIFS('Conciliacion de compuestos'!$D$2:$D$13,"conciliado",'Conciliacion de compuestos'!$E$2:$E$13,"OK",'Conciliacion de compuestos'!$N$2:$N$13,A232),COUNTIFS('Conciliacion de compuestos'!$D$2:$D$13,"conciliado",'Conciliacion de compuestos'!$E$2:$E$13,"OK",'Conciliacion de compuestos'!$O$2:$O$13,A232))&gt;0,"conciliado","por revisar")</f>
        <v/>
      </c>
    </row>
    <row r="233">
      <c r="A233" s="11" t="n">
        <v>111</v>
      </c>
      <c r="B233" s="12" t="n">
        <v>46034</v>
      </c>
      <c r="C233" s="11" t="inlineStr">
        <is>
          <t>cam ladino montesuma</t>
        </is>
      </c>
      <c r="D233" s="13" t="n">
        <v>80900</v>
      </c>
      <c r="E233" s="11">
        <f>IF(G233="conciliado","conciliado",I233)</f>
        <v/>
      </c>
      <c r="F233" s="11">
        <f>IF(SUM(COUNTIFS('Conciliacion de compuestos'!$D$2:$D$13,"conciliado",'Conciliacion de compuestos'!$E$2:$E$13,"OK",'Conciliacion de compuestos'!$M$2:$M$13,A233),COUNTIFS('Conciliacion de compuestos'!$D$2:$D$13,"conciliado",'Conciliacion de compuestos'!$E$2:$E$13,"OK",'Conciliacion de compuestos'!$N$2:$N$13,A233),COUNTIFS('Conciliacion de compuestos'!$D$2:$D$13,"conciliado",'Conciliacion de compuestos'!$E$2:$E$13,"OK",'Conciliacion de compuestos'!$O$2:$O$13,A233))&gt;0,IFERROR(TEXTJOIN(CHAR(10),TRUE,FILTER('Conciliacion de compuestos'!$A$2:$A$13,('Conciliacion de compuestos'!$D$2:$D$13="conciliado")*('Conciliacion de compuestos'!$E$2:$E$13="OK")*((('Conciliacion de compuestos'!$M$2:$M$13=A233)+('Conciliacion de compuestos'!$N$2:$N$13=A233)+('Conciliacion de compuestos'!$O$2:$O$13=A233))&gt;0))),""),"")</f>
        <v/>
      </c>
      <c r="G233" s="11">
        <f>IF(I233="conciliado","conciliado","por revisar")</f>
        <v/>
      </c>
      <c r="H233" s="11" t="inlineStr"/>
      <c r="I233" s="11">
        <f>IF(SUM(COUNTIFS('Conciliacion de compuestos'!$D$2:$D$13,"conciliado",'Conciliacion de compuestos'!$E$2:$E$13,"OK",'Conciliacion de compuestos'!$M$2:$M$13,A233),COUNTIFS('Conciliacion de compuestos'!$D$2:$D$13,"conciliado",'Conciliacion de compuestos'!$E$2:$E$13,"OK",'Conciliacion de compuestos'!$N$2:$N$13,A233),COUNTIFS('Conciliacion de compuestos'!$D$2:$D$13,"conciliado",'Conciliacion de compuestos'!$E$2:$E$13,"OK",'Conciliacion de compuestos'!$O$2:$O$13,A233))&gt;0,"conciliado","por revisar")</f>
        <v/>
      </c>
    </row>
    <row r="234">
      <c r="A234" s="11" t="n">
        <v>113</v>
      </c>
      <c r="B234" s="12" t="n">
        <v>46034</v>
      </c>
      <c r="C234" s="11" t="inlineStr">
        <is>
          <t>correa narvaes nata</t>
        </is>
      </c>
      <c r="D234" s="13" t="n">
        <v>90900</v>
      </c>
      <c r="E234" s="11">
        <f>IF(G234="conciliado","conciliado",I234)</f>
        <v/>
      </c>
      <c r="F234" s="11">
        <f>IF(SUM(COUNTIFS('Conciliacion de compuestos'!$D$2:$D$13,"conciliado",'Conciliacion de compuestos'!$E$2:$E$13,"OK",'Conciliacion de compuestos'!$M$2:$M$13,A234),COUNTIFS('Conciliacion de compuestos'!$D$2:$D$13,"conciliado",'Conciliacion de compuestos'!$E$2:$E$13,"OK",'Conciliacion de compuestos'!$N$2:$N$13,A234),COUNTIFS('Conciliacion de compuestos'!$D$2:$D$13,"conciliado",'Conciliacion de compuestos'!$E$2:$E$13,"OK",'Conciliacion de compuestos'!$O$2:$O$13,A234))&gt;0,IFERROR(TEXTJOIN(CHAR(10),TRUE,FILTER('Conciliacion de compuestos'!$A$2:$A$13,('Conciliacion de compuestos'!$D$2:$D$13="conciliado")*('Conciliacion de compuestos'!$E$2:$E$13="OK")*((('Conciliacion de compuestos'!$M$2:$M$13=A234)+('Conciliacion de compuestos'!$N$2:$N$13=A234)+('Conciliacion de compuestos'!$O$2:$O$13=A234))&gt;0))),""),"")</f>
        <v/>
      </c>
      <c r="G234" s="11">
        <f>IF(I234="conciliado","conciliado","por revisar")</f>
        <v/>
      </c>
      <c r="H234" s="11" t="inlineStr"/>
      <c r="I234" s="11">
        <f>IF(SUM(COUNTIFS('Conciliacion de compuestos'!$D$2:$D$13,"conciliado",'Conciliacion de compuestos'!$E$2:$E$13,"OK",'Conciliacion de compuestos'!$M$2:$M$13,A234),COUNTIFS('Conciliacion de compuestos'!$D$2:$D$13,"conciliado",'Conciliacion de compuestos'!$E$2:$E$13,"OK",'Conciliacion de compuestos'!$N$2:$N$13,A234),COUNTIFS('Conciliacion de compuestos'!$D$2:$D$13,"conciliado",'Conciliacion de compuestos'!$E$2:$E$13,"OK",'Conciliacion de compuestos'!$O$2:$O$13,A234))&gt;0,"conciliado","por revisar")</f>
        <v/>
      </c>
    </row>
    <row r="235">
      <c r="A235" s="11" t="n">
        <v>114</v>
      </c>
      <c r="B235" s="12" t="n">
        <v>46034</v>
      </c>
      <c r="C235" s="11" t="inlineStr">
        <is>
          <t>meneses yuliana</t>
        </is>
      </c>
      <c r="D235" s="13" t="n">
        <v>20000</v>
      </c>
      <c r="E235" s="11">
        <f>IF(G235="conciliado","conciliado",I235)</f>
        <v/>
      </c>
      <c r="F235" s="11">
        <f>IF(SUM(COUNTIFS('Conciliacion de compuestos'!$D$2:$D$13,"conciliado",'Conciliacion de compuestos'!$E$2:$E$13,"OK",'Conciliacion de compuestos'!$M$2:$M$13,A235),COUNTIFS('Conciliacion de compuestos'!$D$2:$D$13,"conciliado",'Conciliacion de compuestos'!$E$2:$E$13,"OK",'Conciliacion de compuestos'!$N$2:$N$13,A235),COUNTIFS('Conciliacion de compuestos'!$D$2:$D$13,"conciliado",'Conciliacion de compuestos'!$E$2:$E$13,"OK",'Conciliacion de compuestos'!$O$2:$O$13,A235))&gt;0,IFERROR(TEXTJOIN(CHAR(10),TRUE,FILTER('Conciliacion de compuestos'!$A$2:$A$13,('Conciliacion de compuestos'!$D$2:$D$13="conciliado")*('Conciliacion de compuestos'!$E$2:$E$13="OK")*((('Conciliacion de compuestos'!$M$2:$M$13=A235)+('Conciliacion de compuestos'!$N$2:$N$13=A235)+('Conciliacion de compuestos'!$O$2:$O$13=A235))&gt;0))),""),"")</f>
        <v/>
      </c>
      <c r="G235" s="11">
        <f>IF(I235="conciliado","conciliado","por revisar")</f>
        <v/>
      </c>
      <c r="H235" s="11" t="inlineStr"/>
      <c r="I235" s="11">
        <f>IF(SUM(COUNTIFS('Conciliacion de compuestos'!$D$2:$D$13,"conciliado",'Conciliacion de compuestos'!$E$2:$E$13,"OK",'Conciliacion de compuestos'!$M$2:$M$13,A235),COUNTIFS('Conciliacion de compuestos'!$D$2:$D$13,"conciliado",'Conciliacion de compuestos'!$E$2:$E$13,"OK",'Conciliacion de compuestos'!$N$2:$N$13,A235),COUNTIFS('Conciliacion de compuestos'!$D$2:$D$13,"conciliado",'Conciliacion de compuestos'!$E$2:$E$13,"OK",'Conciliacion de compuestos'!$O$2:$O$13,A235))&gt;0,"conciliado","por revisar")</f>
        <v/>
      </c>
    </row>
    <row r="236">
      <c r="A236" s="11" t="n">
        <v>118</v>
      </c>
      <c r="B236" s="12" t="n">
        <v>46035</v>
      </c>
      <c r="C236" s="11" t="inlineStr">
        <is>
          <t>arboleda arias leidy</t>
        </is>
      </c>
      <c r="D236" s="13" t="n">
        <v>74000</v>
      </c>
      <c r="E236" s="11">
        <f>IF(G236="conciliado","conciliado",I236)</f>
        <v/>
      </c>
      <c r="F236" s="11">
        <f>IF(SUM(COUNTIFS('Conciliacion de compuestos'!$D$2:$D$13,"conciliado",'Conciliacion de compuestos'!$E$2:$E$13,"OK",'Conciliacion de compuestos'!$M$2:$M$13,A236),COUNTIFS('Conciliacion de compuestos'!$D$2:$D$13,"conciliado",'Conciliacion de compuestos'!$E$2:$E$13,"OK",'Conciliacion de compuestos'!$N$2:$N$13,A236),COUNTIFS('Conciliacion de compuestos'!$D$2:$D$13,"conciliado",'Conciliacion de compuestos'!$E$2:$E$13,"OK",'Conciliacion de compuestos'!$O$2:$O$13,A236))&gt;0,IFERROR(TEXTJOIN(CHAR(10),TRUE,FILTER('Conciliacion de compuestos'!$A$2:$A$13,('Conciliacion de compuestos'!$D$2:$D$13="conciliado")*('Conciliacion de compuestos'!$E$2:$E$13="OK")*((('Conciliacion de compuestos'!$M$2:$M$13=A236)+('Conciliacion de compuestos'!$N$2:$N$13=A236)+('Conciliacion de compuestos'!$O$2:$O$13=A236))&gt;0))),""),"")</f>
        <v/>
      </c>
      <c r="G236" s="11">
        <f>IF(I236="conciliado","conciliado","por revisar")</f>
        <v/>
      </c>
      <c r="H236" s="11" t="inlineStr"/>
      <c r="I236" s="11">
        <f>IF(SUM(COUNTIFS('Conciliacion de compuestos'!$D$2:$D$13,"conciliado",'Conciliacion de compuestos'!$E$2:$E$13,"OK",'Conciliacion de compuestos'!$M$2:$M$13,A236),COUNTIFS('Conciliacion de compuestos'!$D$2:$D$13,"conciliado",'Conciliacion de compuestos'!$E$2:$E$13,"OK",'Conciliacion de compuestos'!$N$2:$N$13,A236),COUNTIFS('Conciliacion de compuestos'!$D$2:$D$13,"conciliado",'Conciliacion de compuestos'!$E$2:$E$13,"OK",'Conciliacion de compuestos'!$O$2:$O$13,A236))&gt;0,"conciliado","por revisar")</f>
        <v/>
      </c>
    </row>
    <row r="237">
      <c r="A237" s="11" t="n">
        <v>120</v>
      </c>
      <c r="B237" s="12" t="n">
        <v>46035</v>
      </c>
      <c r="C237" s="11" t="inlineStr">
        <is>
          <t>bastidas cordoba yol</t>
        </is>
      </c>
      <c r="D237" s="13" t="n">
        <v>74000</v>
      </c>
      <c r="E237" s="11">
        <f>IF(G237="conciliado","conciliado",I237)</f>
        <v/>
      </c>
      <c r="F237" s="11">
        <f>IF(SUM(COUNTIFS('Conciliacion de compuestos'!$D$2:$D$13,"conciliado",'Conciliacion de compuestos'!$E$2:$E$13,"OK",'Conciliacion de compuestos'!$M$2:$M$13,A237),COUNTIFS('Conciliacion de compuestos'!$D$2:$D$13,"conciliado",'Conciliacion de compuestos'!$E$2:$E$13,"OK",'Conciliacion de compuestos'!$N$2:$N$13,A237),COUNTIFS('Conciliacion de compuestos'!$D$2:$D$13,"conciliado",'Conciliacion de compuestos'!$E$2:$E$13,"OK",'Conciliacion de compuestos'!$O$2:$O$13,A237))&gt;0,IFERROR(TEXTJOIN(CHAR(10),TRUE,FILTER('Conciliacion de compuestos'!$A$2:$A$13,('Conciliacion de compuestos'!$D$2:$D$13="conciliado")*('Conciliacion de compuestos'!$E$2:$E$13="OK")*((('Conciliacion de compuestos'!$M$2:$M$13=A237)+('Conciliacion de compuestos'!$N$2:$N$13=A237)+('Conciliacion de compuestos'!$O$2:$O$13=A237))&gt;0))),""),"")</f>
        <v/>
      </c>
      <c r="G237" s="11">
        <f>IF(I237="conciliado","conciliado","por revisar")</f>
        <v/>
      </c>
      <c r="H237" s="11" t="inlineStr"/>
      <c r="I237" s="11">
        <f>IF(SUM(COUNTIFS('Conciliacion de compuestos'!$D$2:$D$13,"conciliado",'Conciliacion de compuestos'!$E$2:$E$13,"OK",'Conciliacion de compuestos'!$M$2:$M$13,A237),COUNTIFS('Conciliacion de compuestos'!$D$2:$D$13,"conciliado",'Conciliacion de compuestos'!$E$2:$E$13,"OK",'Conciliacion de compuestos'!$N$2:$N$13,A237),COUNTIFS('Conciliacion de compuestos'!$D$2:$D$13,"conciliado",'Conciliacion de compuestos'!$E$2:$E$13,"OK",'Conciliacion de compuestos'!$O$2:$O$13,A237))&gt;0,"conciliado","por revisar")</f>
        <v/>
      </c>
    </row>
    <row r="238">
      <c r="A238" s="11" t="n">
        <v>139</v>
      </c>
      <c r="B238" s="12" t="n">
        <v>46037</v>
      </c>
      <c r="C238" s="11" t="inlineStr">
        <is>
          <t>gallon mari quinones</t>
        </is>
      </c>
      <c r="D238" s="13" t="n">
        <v>102500</v>
      </c>
      <c r="E238" s="11">
        <f>IF(G238="conciliado","conciliado",I238)</f>
        <v/>
      </c>
      <c r="F238" s="11">
        <f>IF(SUM(COUNTIFS('Conciliacion de compuestos'!$D$2:$D$13,"conciliado",'Conciliacion de compuestos'!$E$2:$E$13,"OK",'Conciliacion de compuestos'!$M$2:$M$13,A238),COUNTIFS('Conciliacion de compuestos'!$D$2:$D$13,"conciliado",'Conciliacion de compuestos'!$E$2:$E$13,"OK",'Conciliacion de compuestos'!$N$2:$N$13,A238),COUNTIFS('Conciliacion de compuestos'!$D$2:$D$13,"conciliado",'Conciliacion de compuestos'!$E$2:$E$13,"OK",'Conciliacion de compuestos'!$O$2:$O$13,A238))&gt;0,IFERROR(TEXTJOIN(CHAR(10),TRUE,FILTER('Conciliacion de compuestos'!$A$2:$A$13,('Conciliacion de compuestos'!$D$2:$D$13="conciliado")*('Conciliacion de compuestos'!$E$2:$E$13="OK")*((('Conciliacion de compuestos'!$M$2:$M$13=A238)+('Conciliacion de compuestos'!$N$2:$N$13=A238)+('Conciliacion de compuestos'!$O$2:$O$13=A238))&gt;0))),""),"")</f>
        <v/>
      </c>
      <c r="G238" s="11">
        <f>IF(I238="conciliado","conciliado","por revisar")</f>
        <v/>
      </c>
      <c r="H238" s="11" t="inlineStr"/>
      <c r="I238" s="11">
        <f>IF(SUM(COUNTIFS('Conciliacion de compuestos'!$D$2:$D$13,"conciliado",'Conciliacion de compuestos'!$E$2:$E$13,"OK",'Conciliacion de compuestos'!$M$2:$M$13,A238),COUNTIFS('Conciliacion de compuestos'!$D$2:$D$13,"conciliado",'Conciliacion de compuestos'!$E$2:$E$13,"OK",'Conciliacion de compuestos'!$N$2:$N$13,A238),COUNTIFS('Conciliacion de compuestos'!$D$2:$D$13,"conciliado",'Conciliacion de compuestos'!$E$2:$E$13,"OK",'Conciliacion de compuestos'!$O$2:$O$13,A238))&gt;0,"conciliado","por revisar")</f>
        <v/>
      </c>
    </row>
    <row r="239">
      <c r="A239" s="11" t="n">
        <v>141</v>
      </c>
      <c r="B239" s="12" t="n">
        <v>46037</v>
      </c>
      <c r="C239" s="11" t="inlineStr">
        <is>
          <t>blandon ceballos lyn</t>
        </is>
      </c>
      <c r="D239" s="13" t="n">
        <v>26000</v>
      </c>
      <c r="E239" s="11">
        <f>IF(G239="conciliado","conciliado",I239)</f>
        <v/>
      </c>
      <c r="F239" s="11">
        <f>IF(SUM(COUNTIFS('Conciliacion de compuestos'!$D$2:$D$13,"conciliado",'Conciliacion de compuestos'!$E$2:$E$13,"OK",'Conciliacion de compuestos'!$M$2:$M$13,A239),COUNTIFS('Conciliacion de compuestos'!$D$2:$D$13,"conciliado",'Conciliacion de compuestos'!$E$2:$E$13,"OK",'Conciliacion de compuestos'!$N$2:$N$13,A239),COUNTIFS('Conciliacion de compuestos'!$D$2:$D$13,"conciliado",'Conciliacion de compuestos'!$E$2:$E$13,"OK",'Conciliacion de compuestos'!$O$2:$O$13,A239))&gt;0,IFERROR(TEXTJOIN(CHAR(10),TRUE,FILTER('Conciliacion de compuestos'!$A$2:$A$13,('Conciliacion de compuestos'!$D$2:$D$13="conciliado")*('Conciliacion de compuestos'!$E$2:$E$13="OK")*((('Conciliacion de compuestos'!$M$2:$M$13=A239)+('Conciliacion de compuestos'!$N$2:$N$13=A239)+('Conciliacion de compuestos'!$O$2:$O$13=A239))&gt;0))),""),"")</f>
        <v/>
      </c>
      <c r="G239" s="11">
        <f>IF(I239="conciliado","conciliado","por revisar")</f>
        <v/>
      </c>
      <c r="H239" s="11" t="inlineStr"/>
      <c r="I239" s="11">
        <f>IF(SUM(COUNTIFS('Conciliacion de compuestos'!$D$2:$D$13,"conciliado",'Conciliacion de compuestos'!$E$2:$E$13,"OK",'Conciliacion de compuestos'!$M$2:$M$13,A239),COUNTIFS('Conciliacion de compuestos'!$D$2:$D$13,"conciliado",'Conciliacion de compuestos'!$E$2:$E$13,"OK",'Conciliacion de compuestos'!$N$2:$N$13,A239),COUNTIFS('Conciliacion de compuestos'!$D$2:$D$13,"conciliado",'Conciliacion de compuestos'!$E$2:$E$13,"OK",'Conciliacion de compuestos'!$O$2:$O$13,A239))&gt;0,"conciliado","por revisar")</f>
        <v/>
      </c>
    </row>
    <row r="240">
      <c r="A240" s="11" t="n">
        <v>143</v>
      </c>
      <c r="B240" s="12" t="n">
        <v>46037</v>
      </c>
      <c r="C240" s="11" t="inlineStr">
        <is>
          <t>laverde lise navarro</t>
        </is>
      </c>
      <c r="D240" s="13" t="n">
        <v>52100</v>
      </c>
      <c r="E240" s="11">
        <f>IF(G240="conciliado","conciliado",I240)</f>
        <v/>
      </c>
      <c r="F240" s="11">
        <f>IF(SUM(COUNTIFS('Conciliacion de compuestos'!$D$2:$D$13,"conciliado",'Conciliacion de compuestos'!$E$2:$E$13,"OK",'Conciliacion de compuestos'!$M$2:$M$13,A240),COUNTIFS('Conciliacion de compuestos'!$D$2:$D$13,"conciliado",'Conciliacion de compuestos'!$E$2:$E$13,"OK",'Conciliacion de compuestos'!$N$2:$N$13,A240),COUNTIFS('Conciliacion de compuestos'!$D$2:$D$13,"conciliado",'Conciliacion de compuestos'!$E$2:$E$13,"OK",'Conciliacion de compuestos'!$O$2:$O$13,A240))&gt;0,IFERROR(TEXTJOIN(CHAR(10),TRUE,FILTER('Conciliacion de compuestos'!$A$2:$A$13,('Conciliacion de compuestos'!$D$2:$D$13="conciliado")*('Conciliacion de compuestos'!$E$2:$E$13="OK")*((('Conciliacion de compuestos'!$M$2:$M$13=A240)+('Conciliacion de compuestos'!$N$2:$N$13=A240)+('Conciliacion de compuestos'!$O$2:$O$13=A240))&gt;0))),""),"")</f>
        <v/>
      </c>
      <c r="G240" s="11">
        <f>IF(I240="conciliado","conciliado","por revisar")</f>
        <v/>
      </c>
      <c r="H240" s="11" t="inlineStr"/>
      <c r="I240" s="11">
        <f>IF(SUM(COUNTIFS('Conciliacion de compuestos'!$D$2:$D$13,"conciliado",'Conciliacion de compuestos'!$E$2:$E$13,"OK",'Conciliacion de compuestos'!$M$2:$M$13,A240),COUNTIFS('Conciliacion de compuestos'!$D$2:$D$13,"conciliado",'Conciliacion de compuestos'!$E$2:$E$13,"OK",'Conciliacion de compuestos'!$N$2:$N$13,A240),COUNTIFS('Conciliacion de compuestos'!$D$2:$D$13,"conciliado",'Conciliacion de compuestos'!$E$2:$E$13,"OK",'Conciliacion de compuestos'!$O$2:$O$13,A240))&gt;0,"conciliado","por revisar")</f>
        <v/>
      </c>
    </row>
    <row r="241">
      <c r="A241" s="11" t="n">
        <v>145</v>
      </c>
      <c r="B241" s="12" t="n">
        <v>46038</v>
      </c>
      <c r="C241" s="11" t="inlineStr">
        <is>
          <t>bustos guevara luis</t>
        </is>
      </c>
      <c r="D241" s="13" t="n">
        <v>52100</v>
      </c>
      <c r="E241" s="11">
        <f>IF(G241="conciliado","conciliado",I241)</f>
        <v/>
      </c>
      <c r="F241" s="11">
        <f>IF(SUM(COUNTIFS('Conciliacion de compuestos'!$D$2:$D$13,"conciliado",'Conciliacion de compuestos'!$E$2:$E$13,"OK",'Conciliacion de compuestos'!$M$2:$M$13,A241),COUNTIFS('Conciliacion de compuestos'!$D$2:$D$13,"conciliado",'Conciliacion de compuestos'!$E$2:$E$13,"OK",'Conciliacion de compuestos'!$N$2:$N$13,A241),COUNTIFS('Conciliacion de compuestos'!$D$2:$D$13,"conciliado",'Conciliacion de compuestos'!$E$2:$E$13,"OK",'Conciliacion de compuestos'!$O$2:$O$13,A241))&gt;0,IFERROR(TEXTJOIN(CHAR(10),TRUE,FILTER('Conciliacion de compuestos'!$A$2:$A$13,('Conciliacion de compuestos'!$D$2:$D$13="conciliado")*('Conciliacion de compuestos'!$E$2:$E$13="OK")*((('Conciliacion de compuestos'!$M$2:$M$13=A241)+('Conciliacion de compuestos'!$N$2:$N$13=A241)+('Conciliacion de compuestos'!$O$2:$O$13=A241))&gt;0))),""),"")</f>
        <v/>
      </c>
      <c r="G241" s="11">
        <f>IF(I241="conciliado","conciliado","por revisar")</f>
        <v/>
      </c>
      <c r="H241" s="11" t="inlineStr"/>
      <c r="I241" s="11">
        <f>IF(SUM(COUNTIFS('Conciliacion de compuestos'!$D$2:$D$13,"conciliado",'Conciliacion de compuestos'!$E$2:$E$13,"OK",'Conciliacion de compuestos'!$M$2:$M$13,A241),COUNTIFS('Conciliacion de compuestos'!$D$2:$D$13,"conciliado",'Conciliacion de compuestos'!$E$2:$E$13,"OK",'Conciliacion de compuestos'!$N$2:$N$13,A241),COUNTIFS('Conciliacion de compuestos'!$D$2:$D$13,"conciliado",'Conciliacion de compuestos'!$E$2:$E$13,"OK",'Conciliacion de compuestos'!$O$2:$O$13,A241))&gt;0,"conciliado","por revisar")</f>
        <v/>
      </c>
    </row>
    <row r="242">
      <c r="A242" s="11" t="n">
        <v>151</v>
      </c>
      <c r="B242" s="12" t="n">
        <v>46039</v>
      </c>
      <c r="C242" s="11" t="inlineStr">
        <is>
          <t>bolanos paladines st</t>
        </is>
      </c>
      <c r="D242" s="13" t="n">
        <v>40000</v>
      </c>
      <c r="E242" s="11">
        <f>IF(G242="conciliado","conciliado",I242)</f>
        <v/>
      </c>
      <c r="F242" s="11">
        <f>IF(SUM(COUNTIFS('Conciliacion de compuestos'!$D$2:$D$13,"conciliado",'Conciliacion de compuestos'!$E$2:$E$13,"OK",'Conciliacion de compuestos'!$M$2:$M$13,A242),COUNTIFS('Conciliacion de compuestos'!$D$2:$D$13,"conciliado",'Conciliacion de compuestos'!$E$2:$E$13,"OK",'Conciliacion de compuestos'!$N$2:$N$13,A242),COUNTIFS('Conciliacion de compuestos'!$D$2:$D$13,"conciliado",'Conciliacion de compuestos'!$E$2:$E$13,"OK",'Conciliacion de compuestos'!$O$2:$O$13,A242))&gt;0,IFERROR(TEXTJOIN(CHAR(10),TRUE,FILTER('Conciliacion de compuestos'!$A$2:$A$13,('Conciliacion de compuestos'!$D$2:$D$13="conciliado")*('Conciliacion de compuestos'!$E$2:$E$13="OK")*((('Conciliacion de compuestos'!$M$2:$M$13=A242)+('Conciliacion de compuestos'!$N$2:$N$13=A242)+('Conciliacion de compuestos'!$O$2:$O$13=A242))&gt;0))),""),"")</f>
        <v/>
      </c>
      <c r="G242" s="11">
        <f>IF(I242="conciliado","conciliado","por revisar")</f>
        <v/>
      </c>
      <c r="H242" s="11" t="inlineStr"/>
      <c r="I242" s="11">
        <f>IF(SUM(COUNTIFS('Conciliacion de compuestos'!$D$2:$D$13,"conciliado",'Conciliacion de compuestos'!$E$2:$E$13,"OK",'Conciliacion de compuestos'!$M$2:$M$13,A242),COUNTIFS('Conciliacion de compuestos'!$D$2:$D$13,"conciliado",'Conciliacion de compuestos'!$E$2:$E$13,"OK",'Conciliacion de compuestos'!$N$2:$N$13,A242),COUNTIFS('Conciliacion de compuestos'!$D$2:$D$13,"conciliado",'Conciliacion de compuestos'!$E$2:$E$13,"OK",'Conciliacion de compuestos'!$O$2:$O$13,A242))&gt;0,"conciliado","por revisar")</f>
        <v/>
      </c>
    </row>
    <row r="243">
      <c r="A243" s="11" t="n">
        <v>154</v>
      </c>
      <c r="B243" s="12" t="n">
        <v>46039</v>
      </c>
      <c r="C243" s="11" t="inlineStr">
        <is>
          <t>cordoba diego vargas</t>
        </is>
      </c>
      <c r="D243" s="13" t="n">
        <v>33000</v>
      </c>
      <c r="E243" s="11">
        <f>IF(G243="conciliado","conciliado",I243)</f>
        <v/>
      </c>
      <c r="F243" s="11">
        <f>IF(SUM(COUNTIFS('Conciliacion de compuestos'!$D$2:$D$13,"conciliado",'Conciliacion de compuestos'!$E$2:$E$13,"OK",'Conciliacion de compuestos'!$M$2:$M$13,A243),COUNTIFS('Conciliacion de compuestos'!$D$2:$D$13,"conciliado",'Conciliacion de compuestos'!$E$2:$E$13,"OK",'Conciliacion de compuestos'!$N$2:$N$13,A243),COUNTIFS('Conciliacion de compuestos'!$D$2:$D$13,"conciliado",'Conciliacion de compuestos'!$E$2:$E$13,"OK",'Conciliacion de compuestos'!$O$2:$O$13,A243))&gt;0,IFERROR(TEXTJOIN(CHAR(10),TRUE,FILTER('Conciliacion de compuestos'!$A$2:$A$13,('Conciliacion de compuestos'!$D$2:$D$13="conciliado")*('Conciliacion de compuestos'!$E$2:$E$13="OK")*((('Conciliacion de compuestos'!$M$2:$M$13=A243)+('Conciliacion de compuestos'!$N$2:$N$13=A243)+('Conciliacion de compuestos'!$O$2:$O$13=A243))&gt;0))),""),"")</f>
        <v/>
      </c>
      <c r="G243" s="11">
        <f>IF(I243="conciliado","conciliado","por revisar")</f>
        <v/>
      </c>
      <c r="H243" s="11" t="inlineStr"/>
      <c r="I243" s="11">
        <f>IF(SUM(COUNTIFS('Conciliacion de compuestos'!$D$2:$D$13,"conciliado",'Conciliacion de compuestos'!$E$2:$E$13,"OK",'Conciliacion de compuestos'!$M$2:$M$13,A243),COUNTIFS('Conciliacion de compuestos'!$D$2:$D$13,"conciliado",'Conciliacion de compuestos'!$E$2:$E$13,"OK",'Conciliacion de compuestos'!$N$2:$N$13,A243),COUNTIFS('Conciliacion de compuestos'!$D$2:$D$13,"conciliado",'Conciliacion de compuestos'!$E$2:$E$13,"OK",'Conciliacion de compuestos'!$O$2:$O$13,A243))&gt;0,"conciliado","por revisar")</f>
        <v/>
      </c>
    </row>
    <row r="244">
      <c r="A244" s="11" t="n">
        <v>157</v>
      </c>
      <c r="B244" s="12" t="n">
        <v>46040</v>
      </c>
      <c r="C244" s="11" t="inlineStr">
        <is>
          <t>adne gonzalez moreno</t>
        </is>
      </c>
      <c r="D244" s="13" t="n">
        <v>162800</v>
      </c>
      <c r="E244" s="11">
        <f>IF(G244="conciliado","conciliado",I244)</f>
        <v/>
      </c>
      <c r="F244" s="11">
        <f>IF(SUM(COUNTIFS('Conciliacion de compuestos'!$D$2:$D$13,"conciliado",'Conciliacion de compuestos'!$E$2:$E$13,"OK",'Conciliacion de compuestos'!$M$2:$M$13,A244),COUNTIFS('Conciliacion de compuestos'!$D$2:$D$13,"conciliado",'Conciliacion de compuestos'!$E$2:$E$13,"OK",'Conciliacion de compuestos'!$N$2:$N$13,A244),COUNTIFS('Conciliacion de compuestos'!$D$2:$D$13,"conciliado",'Conciliacion de compuestos'!$E$2:$E$13,"OK",'Conciliacion de compuestos'!$O$2:$O$13,A244))&gt;0,IFERROR(TEXTJOIN(CHAR(10),TRUE,FILTER('Conciliacion de compuestos'!$A$2:$A$13,('Conciliacion de compuestos'!$D$2:$D$13="conciliado")*('Conciliacion de compuestos'!$E$2:$E$13="OK")*((('Conciliacion de compuestos'!$M$2:$M$13=A244)+('Conciliacion de compuestos'!$N$2:$N$13=A244)+('Conciliacion de compuestos'!$O$2:$O$13=A244))&gt;0))),""),"")</f>
        <v/>
      </c>
      <c r="G244" s="11">
        <f>IF(I244="conciliado","conciliado","por revisar")</f>
        <v/>
      </c>
      <c r="H244" s="11" t="inlineStr"/>
      <c r="I244" s="11">
        <f>IF(SUM(COUNTIFS('Conciliacion de compuestos'!$D$2:$D$13,"conciliado",'Conciliacion de compuestos'!$E$2:$E$13,"OK",'Conciliacion de compuestos'!$M$2:$M$13,A244),COUNTIFS('Conciliacion de compuestos'!$D$2:$D$13,"conciliado",'Conciliacion de compuestos'!$E$2:$E$13,"OK",'Conciliacion de compuestos'!$N$2:$N$13,A244),COUNTIFS('Conciliacion de compuestos'!$D$2:$D$13,"conciliado",'Conciliacion de compuestos'!$E$2:$E$13,"OK",'Conciliacion de compuestos'!$O$2:$O$13,A244))&gt;0,"conciliado","por revisar")</f>
        <v/>
      </c>
    </row>
    <row r="245">
      <c r="A245" s="11" t="n">
        <v>158</v>
      </c>
      <c r="B245" s="12" t="n">
        <v>46040</v>
      </c>
      <c r="C245" s="11" t="inlineStr">
        <is>
          <t>angulo francisc mesa</t>
        </is>
      </c>
      <c r="D245" s="13" t="n">
        <v>507000</v>
      </c>
      <c r="E245" s="11">
        <f>IF(G245="conciliado","conciliado",I245)</f>
        <v/>
      </c>
      <c r="F245" s="11">
        <f>IF(SUM(COUNTIFS('Conciliacion de compuestos'!$D$2:$D$13,"conciliado",'Conciliacion de compuestos'!$E$2:$E$13,"OK",'Conciliacion de compuestos'!$M$2:$M$13,A245),COUNTIFS('Conciliacion de compuestos'!$D$2:$D$13,"conciliado",'Conciliacion de compuestos'!$E$2:$E$13,"OK",'Conciliacion de compuestos'!$N$2:$N$13,A245),COUNTIFS('Conciliacion de compuestos'!$D$2:$D$13,"conciliado",'Conciliacion de compuestos'!$E$2:$E$13,"OK",'Conciliacion de compuestos'!$O$2:$O$13,A245))&gt;0,IFERROR(TEXTJOIN(CHAR(10),TRUE,FILTER('Conciliacion de compuestos'!$A$2:$A$13,('Conciliacion de compuestos'!$D$2:$D$13="conciliado")*('Conciliacion de compuestos'!$E$2:$E$13="OK")*((('Conciliacion de compuestos'!$M$2:$M$13=A245)+('Conciliacion de compuestos'!$N$2:$N$13=A245)+('Conciliacion de compuestos'!$O$2:$O$13=A245))&gt;0))),""),"")</f>
        <v/>
      </c>
      <c r="G245" s="11">
        <f>IF(I245="conciliado","conciliado","por revisar")</f>
        <v/>
      </c>
      <c r="H245" s="11" t="inlineStr"/>
      <c r="I245" s="11">
        <f>IF(SUM(COUNTIFS('Conciliacion de compuestos'!$D$2:$D$13,"conciliado",'Conciliacion de compuestos'!$E$2:$E$13,"OK",'Conciliacion de compuestos'!$M$2:$M$13,A245),COUNTIFS('Conciliacion de compuestos'!$D$2:$D$13,"conciliado",'Conciliacion de compuestos'!$E$2:$E$13,"OK",'Conciliacion de compuestos'!$N$2:$N$13,A245),COUNTIFS('Conciliacion de compuestos'!$D$2:$D$13,"conciliado",'Conciliacion de compuestos'!$E$2:$E$13,"OK",'Conciliacion de compuestos'!$O$2:$O$13,A245))&gt;0,"conciliado","por revisar")</f>
        <v/>
      </c>
    </row>
    <row r="246">
      <c r="A246" s="11" t="n">
        <v>161</v>
      </c>
      <c r="B246" s="12" t="n">
        <v>46040</v>
      </c>
      <c r="C246" s="11" t="inlineStr">
        <is>
          <t>dari jose lasso melo</t>
        </is>
      </c>
      <c r="D246" s="13" t="n">
        <v>40000</v>
      </c>
      <c r="E246" s="11">
        <f>IF(G246="conciliado","conciliado",I246)</f>
        <v/>
      </c>
      <c r="F246" s="11">
        <f>IF(SUM(COUNTIFS('Conciliacion de compuestos'!$D$2:$D$13,"conciliado",'Conciliacion de compuestos'!$E$2:$E$13,"OK",'Conciliacion de compuestos'!$M$2:$M$13,A246),COUNTIFS('Conciliacion de compuestos'!$D$2:$D$13,"conciliado",'Conciliacion de compuestos'!$E$2:$E$13,"OK",'Conciliacion de compuestos'!$N$2:$N$13,A246),COUNTIFS('Conciliacion de compuestos'!$D$2:$D$13,"conciliado",'Conciliacion de compuestos'!$E$2:$E$13,"OK",'Conciliacion de compuestos'!$O$2:$O$13,A246))&gt;0,IFERROR(TEXTJOIN(CHAR(10),TRUE,FILTER('Conciliacion de compuestos'!$A$2:$A$13,('Conciliacion de compuestos'!$D$2:$D$13="conciliado")*('Conciliacion de compuestos'!$E$2:$E$13="OK")*((('Conciliacion de compuestos'!$M$2:$M$13=A246)+('Conciliacion de compuestos'!$N$2:$N$13=A246)+('Conciliacion de compuestos'!$O$2:$O$13=A246))&gt;0))),""),"")</f>
        <v/>
      </c>
      <c r="G246" s="11">
        <f>IF(I246="conciliado","conciliado","por revisar")</f>
        <v/>
      </c>
      <c r="H246" s="11" t="inlineStr"/>
      <c r="I246" s="11">
        <f>IF(SUM(COUNTIFS('Conciliacion de compuestos'!$D$2:$D$13,"conciliado",'Conciliacion de compuestos'!$E$2:$E$13,"OK",'Conciliacion de compuestos'!$M$2:$M$13,A246),COUNTIFS('Conciliacion de compuestos'!$D$2:$D$13,"conciliado",'Conciliacion de compuestos'!$E$2:$E$13,"OK",'Conciliacion de compuestos'!$N$2:$N$13,A246),COUNTIFS('Conciliacion de compuestos'!$D$2:$D$13,"conciliado",'Conciliacion de compuestos'!$E$2:$E$13,"OK",'Conciliacion de compuestos'!$O$2:$O$13,A246))&gt;0,"conciliado","por revisar")</f>
        <v/>
      </c>
    </row>
    <row r="247">
      <c r="A247" s="11" t="n">
        <v>163</v>
      </c>
      <c r="B247" s="12" t="n">
        <v>46040</v>
      </c>
      <c r="C247" s="11" t="inlineStr">
        <is>
          <t>duvan palma vallejo</t>
        </is>
      </c>
      <c r="D247" s="13" t="n">
        <v>75000</v>
      </c>
      <c r="E247" s="11">
        <f>IF(G247="conciliado","conciliado",I247)</f>
        <v/>
      </c>
      <c r="F247" s="11">
        <f>IF(SUM(COUNTIFS('Conciliacion de compuestos'!$D$2:$D$13,"conciliado",'Conciliacion de compuestos'!$E$2:$E$13,"OK",'Conciliacion de compuestos'!$M$2:$M$13,A247),COUNTIFS('Conciliacion de compuestos'!$D$2:$D$13,"conciliado",'Conciliacion de compuestos'!$E$2:$E$13,"OK",'Conciliacion de compuestos'!$N$2:$N$13,A247),COUNTIFS('Conciliacion de compuestos'!$D$2:$D$13,"conciliado",'Conciliacion de compuestos'!$E$2:$E$13,"OK",'Conciliacion de compuestos'!$O$2:$O$13,A247))&gt;0,IFERROR(TEXTJOIN(CHAR(10),TRUE,FILTER('Conciliacion de compuestos'!$A$2:$A$13,('Conciliacion de compuestos'!$D$2:$D$13="conciliado")*('Conciliacion de compuestos'!$E$2:$E$13="OK")*((('Conciliacion de compuestos'!$M$2:$M$13=A247)+('Conciliacion de compuestos'!$N$2:$N$13=A247)+('Conciliacion de compuestos'!$O$2:$O$13=A247))&gt;0))),""),"")</f>
        <v/>
      </c>
      <c r="G247" s="11">
        <f>IF(I247="conciliado","conciliado","por revisar")</f>
        <v/>
      </c>
      <c r="H247" s="11" t="inlineStr"/>
      <c r="I247" s="11">
        <f>IF(SUM(COUNTIFS('Conciliacion de compuestos'!$D$2:$D$13,"conciliado",'Conciliacion de compuestos'!$E$2:$E$13,"OK",'Conciliacion de compuestos'!$M$2:$M$13,A247),COUNTIFS('Conciliacion de compuestos'!$D$2:$D$13,"conciliado",'Conciliacion de compuestos'!$E$2:$E$13,"OK",'Conciliacion de compuestos'!$N$2:$N$13,A247),COUNTIFS('Conciliacion de compuestos'!$D$2:$D$13,"conciliado",'Conciliacion de compuestos'!$E$2:$E$13,"OK",'Conciliacion de compuestos'!$O$2:$O$13,A247))&gt;0,"conciliado","por revisar")</f>
        <v/>
      </c>
    </row>
    <row r="248">
      <c r="A248" s="11" t="n">
        <v>167</v>
      </c>
      <c r="B248" s="12" t="n">
        <v>46041</v>
      </c>
      <c r="C248" s="11" t="inlineStr">
        <is>
          <t>cabrera gutierrez je</t>
        </is>
      </c>
      <c r="D248" s="13" t="n">
        <v>47400</v>
      </c>
      <c r="E248" s="11">
        <f>IF(G248="conciliado","conciliado",I248)</f>
        <v/>
      </c>
      <c r="F248" s="11">
        <f>IF(SUM(COUNTIFS('Conciliacion de compuestos'!$D$2:$D$13,"conciliado",'Conciliacion de compuestos'!$E$2:$E$13,"OK",'Conciliacion de compuestos'!$M$2:$M$13,A248),COUNTIFS('Conciliacion de compuestos'!$D$2:$D$13,"conciliado",'Conciliacion de compuestos'!$E$2:$E$13,"OK",'Conciliacion de compuestos'!$N$2:$N$13,A248),COUNTIFS('Conciliacion de compuestos'!$D$2:$D$13,"conciliado",'Conciliacion de compuestos'!$E$2:$E$13,"OK",'Conciliacion de compuestos'!$O$2:$O$13,A248))&gt;0,IFERROR(TEXTJOIN(CHAR(10),TRUE,FILTER('Conciliacion de compuestos'!$A$2:$A$13,('Conciliacion de compuestos'!$D$2:$D$13="conciliado")*('Conciliacion de compuestos'!$E$2:$E$13="OK")*((('Conciliacion de compuestos'!$M$2:$M$13=A248)+('Conciliacion de compuestos'!$N$2:$N$13=A248)+('Conciliacion de compuestos'!$O$2:$O$13=A248))&gt;0))),""),"")</f>
        <v/>
      </c>
      <c r="G248" s="11">
        <f>IF(I248="conciliado","conciliado","por revisar")</f>
        <v/>
      </c>
      <c r="H248" s="11" t="inlineStr"/>
      <c r="I248" s="11">
        <f>IF(SUM(COUNTIFS('Conciliacion de compuestos'!$D$2:$D$13,"conciliado",'Conciliacion de compuestos'!$E$2:$E$13,"OK",'Conciliacion de compuestos'!$M$2:$M$13,A248),COUNTIFS('Conciliacion de compuestos'!$D$2:$D$13,"conciliado",'Conciliacion de compuestos'!$E$2:$E$13,"OK",'Conciliacion de compuestos'!$N$2:$N$13,A248),COUNTIFS('Conciliacion de compuestos'!$D$2:$D$13,"conciliado",'Conciliacion de compuestos'!$E$2:$E$13,"OK",'Conciliacion de compuestos'!$O$2:$O$13,A248))&gt;0,"conciliado","por revisar")</f>
        <v/>
      </c>
    </row>
    <row r="249">
      <c r="A249" s="11" t="n">
        <v>174</v>
      </c>
      <c r="B249" s="12" t="n">
        <v>46041</v>
      </c>
      <c r="C249" s="11" t="inlineStr">
        <is>
          <t>bastidas betin jose</t>
        </is>
      </c>
      <c r="D249" s="13" t="n">
        <v>212800</v>
      </c>
      <c r="E249" s="11">
        <f>IF(G249="conciliado","conciliado",I249)</f>
        <v/>
      </c>
      <c r="F249" s="11">
        <f>IF(SUM(COUNTIFS('Conciliacion de compuestos'!$D$2:$D$13,"conciliado",'Conciliacion de compuestos'!$E$2:$E$13,"OK",'Conciliacion de compuestos'!$M$2:$M$13,A249),COUNTIFS('Conciliacion de compuestos'!$D$2:$D$13,"conciliado",'Conciliacion de compuestos'!$E$2:$E$13,"OK",'Conciliacion de compuestos'!$N$2:$N$13,A249),COUNTIFS('Conciliacion de compuestos'!$D$2:$D$13,"conciliado",'Conciliacion de compuestos'!$E$2:$E$13,"OK",'Conciliacion de compuestos'!$O$2:$O$13,A249))&gt;0,IFERROR(TEXTJOIN(CHAR(10),TRUE,FILTER('Conciliacion de compuestos'!$A$2:$A$13,('Conciliacion de compuestos'!$D$2:$D$13="conciliado")*('Conciliacion de compuestos'!$E$2:$E$13="OK")*((('Conciliacion de compuestos'!$M$2:$M$13=A249)+('Conciliacion de compuestos'!$N$2:$N$13=A249)+('Conciliacion de compuestos'!$O$2:$O$13=A249))&gt;0))),""),"")</f>
        <v/>
      </c>
      <c r="G249" s="11">
        <f>IF(I249="conciliado","conciliado","por revisar")</f>
        <v/>
      </c>
      <c r="H249" s="11" t="inlineStr"/>
      <c r="I249" s="11">
        <f>IF(SUM(COUNTIFS('Conciliacion de compuestos'!$D$2:$D$13,"conciliado",'Conciliacion de compuestos'!$E$2:$E$13,"OK",'Conciliacion de compuestos'!$M$2:$M$13,A249),COUNTIFS('Conciliacion de compuestos'!$D$2:$D$13,"conciliado",'Conciliacion de compuestos'!$E$2:$E$13,"OK",'Conciliacion de compuestos'!$N$2:$N$13,A249),COUNTIFS('Conciliacion de compuestos'!$D$2:$D$13,"conciliado",'Conciliacion de compuestos'!$E$2:$E$13,"OK",'Conciliacion de compuestos'!$O$2:$O$13,A249))&gt;0,"conciliado","por revisar")</f>
        <v/>
      </c>
    </row>
    <row r="250">
      <c r="A250" s="11" t="n">
        <v>175</v>
      </c>
      <c r="B250" s="12" t="n">
        <v>46041</v>
      </c>
      <c r="C250" s="11" t="inlineStr">
        <is>
          <t>he perdomo rodriguez</t>
        </is>
      </c>
      <c r="D250" s="13" t="n">
        <v>36000</v>
      </c>
      <c r="E250" s="11">
        <f>IF(G250="conciliado","conciliado",I250)</f>
        <v/>
      </c>
      <c r="F250" s="11">
        <f>IF(SUM(COUNTIFS('Conciliacion de compuestos'!$D$2:$D$13,"conciliado",'Conciliacion de compuestos'!$E$2:$E$13,"OK",'Conciliacion de compuestos'!$M$2:$M$13,A250),COUNTIFS('Conciliacion de compuestos'!$D$2:$D$13,"conciliado",'Conciliacion de compuestos'!$E$2:$E$13,"OK",'Conciliacion de compuestos'!$N$2:$N$13,A250),COUNTIFS('Conciliacion de compuestos'!$D$2:$D$13,"conciliado",'Conciliacion de compuestos'!$E$2:$E$13,"OK",'Conciliacion de compuestos'!$O$2:$O$13,A250))&gt;0,IFERROR(TEXTJOIN(CHAR(10),TRUE,FILTER('Conciliacion de compuestos'!$A$2:$A$13,('Conciliacion de compuestos'!$D$2:$D$13="conciliado")*('Conciliacion de compuestos'!$E$2:$E$13="OK")*((('Conciliacion de compuestos'!$M$2:$M$13=A250)+('Conciliacion de compuestos'!$N$2:$N$13=A250)+('Conciliacion de compuestos'!$O$2:$O$13=A250))&gt;0))),""),"")</f>
        <v/>
      </c>
      <c r="G250" s="11">
        <f>IF(I250="conciliado","conciliado","por revisar")</f>
        <v/>
      </c>
      <c r="H250" s="11" t="inlineStr"/>
      <c r="I250" s="11">
        <f>IF(SUM(COUNTIFS('Conciliacion de compuestos'!$D$2:$D$13,"conciliado",'Conciliacion de compuestos'!$E$2:$E$13,"OK",'Conciliacion de compuestos'!$M$2:$M$13,A250),COUNTIFS('Conciliacion de compuestos'!$D$2:$D$13,"conciliado",'Conciliacion de compuestos'!$E$2:$E$13,"OK",'Conciliacion de compuestos'!$N$2:$N$13,A250),COUNTIFS('Conciliacion de compuestos'!$D$2:$D$13,"conciliado",'Conciliacion de compuestos'!$E$2:$E$13,"OK",'Conciliacion de compuestos'!$O$2:$O$13,A250))&gt;0,"conciliado","por revisar")</f>
        <v/>
      </c>
    </row>
    <row r="251">
      <c r="A251" s="11" t="n">
        <v>182</v>
      </c>
      <c r="B251" s="12" t="n">
        <v>46043</v>
      </c>
      <c r="C251" s="11" t="inlineStr">
        <is>
          <t>luci martinez rosero</t>
        </is>
      </c>
      <c r="D251" s="13" t="n">
        <v>90900</v>
      </c>
      <c r="E251" s="11">
        <f>IF(G251="conciliado","conciliado",I251)</f>
        <v/>
      </c>
      <c r="F251" s="11">
        <f>IF(SUM(COUNTIFS('Conciliacion de compuestos'!$D$2:$D$13,"conciliado",'Conciliacion de compuestos'!$E$2:$E$13,"OK",'Conciliacion de compuestos'!$M$2:$M$13,A251),COUNTIFS('Conciliacion de compuestos'!$D$2:$D$13,"conciliado",'Conciliacion de compuestos'!$E$2:$E$13,"OK",'Conciliacion de compuestos'!$N$2:$N$13,A251),COUNTIFS('Conciliacion de compuestos'!$D$2:$D$13,"conciliado",'Conciliacion de compuestos'!$E$2:$E$13,"OK",'Conciliacion de compuestos'!$O$2:$O$13,A251))&gt;0,IFERROR(TEXTJOIN(CHAR(10),TRUE,FILTER('Conciliacion de compuestos'!$A$2:$A$13,('Conciliacion de compuestos'!$D$2:$D$13="conciliado")*('Conciliacion de compuestos'!$E$2:$E$13="OK")*((('Conciliacion de compuestos'!$M$2:$M$13=A251)+('Conciliacion de compuestos'!$N$2:$N$13=A251)+('Conciliacion de compuestos'!$O$2:$O$13=A251))&gt;0))),""),"")</f>
        <v/>
      </c>
      <c r="G251" s="11">
        <f>IF(I251="conciliado","conciliado","por revisar")</f>
        <v/>
      </c>
      <c r="H251" s="11" t="inlineStr"/>
      <c r="I251" s="11">
        <f>IF(SUM(COUNTIFS('Conciliacion de compuestos'!$D$2:$D$13,"conciliado",'Conciliacion de compuestos'!$E$2:$E$13,"OK",'Conciliacion de compuestos'!$M$2:$M$13,A251),COUNTIFS('Conciliacion de compuestos'!$D$2:$D$13,"conciliado",'Conciliacion de compuestos'!$E$2:$E$13,"OK",'Conciliacion de compuestos'!$N$2:$N$13,A251),COUNTIFS('Conciliacion de compuestos'!$D$2:$D$13,"conciliado",'Conciliacion de compuestos'!$E$2:$E$13,"OK",'Conciliacion de compuestos'!$O$2:$O$13,A251))&gt;0,"conciliado","por revisar")</f>
        <v/>
      </c>
    </row>
    <row r="252">
      <c r="A252" s="11" t="n">
        <v>187</v>
      </c>
      <c r="B252" s="12" t="n">
        <v>46043</v>
      </c>
      <c r="C252" s="11" t="inlineStr">
        <is>
          <t>dony norve pantoja</t>
        </is>
      </c>
      <c r="D252" s="13" t="n">
        <v>22500</v>
      </c>
      <c r="E252" s="11">
        <f>IF(G252="conciliado","conciliado",I252)</f>
        <v/>
      </c>
      <c r="F252" s="11">
        <f>IF(SUM(COUNTIFS('Conciliacion de compuestos'!$D$2:$D$13,"conciliado",'Conciliacion de compuestos'!$E$2:$E$13,"OK",'Conciliacion de compuestos'!$M$2:$M$13,A252),COUNTIFS('Conciliacion de compuestos'!$D$2:$D$13,"conciliado",'Conciliacion de compuestos'!$E$2:$E$13,"OK",'Conciliacion de compuestos'!$N$2:$N$13,A252),COUNTIFS('Conciliacion de compuestos'!$D$2:$D$13,"conciliado",'Conciliacion de compuestos'!$E$2:$E$13,"OK",'Conciliacion de compuestos'!$O$2:$O$13,A252))&gt;0,IFERROR(TEXTJOIN(CHAR(10),TRUE,FILTER('Conciliacion de compuestos'!$A$2:$A$13,('Conciliacion de compuestos'!$D$2:$D$13="conciliado")*('Conciliacion de compuestos'!$E$2:$E$13="OK")*((('Conciliacion de compuestos'!$M$2:$M$13=A252)+('Conciliacion de compuestos'!$N$2:$N$13=A252)+('Conciliacion de compuestos'!$O$2:$O$13=A252))&gt;0))),""),"")</f>
        <v/>
      </c>
      <c r="G252" s="11">
        <f>IF(I252="conciliado","conciliado","por revisar")</f>
        <v/>
      </c>
      <c r="H252" s="11" t="inlineStr"/>
      <c r="I252" s="11">
        <f>IF(SUM(COUNTIFS('Conciliacion de compuestos'!$D$2:$D$13,"conciliado",'Conciliacion de compuestos'!$E$2:$E$13,"OK",'Conciliacion de compuestos'!$M$2:$M$13,A252),COUNTIFS('Conciliacion de compuestos'!$D$2:$D$13,"conciliado",'Conciliacion de compuestos'!$E$2:$E$13,"OK",'Conciliacion de compuestos'!$N$2:$N$13,A252),COUNTIFS('Conciliacion de compuestos'!$D$2:$D$13,"conciliado",'Conciliacion de compuestos'!$E$2:$E$13,"OK",'Conciliacion de compuestos'!$O$2:$O$13,A252))&gt;0,"conciliado","por revisar")</f>
        <v/>
      </c>
    </row>
    <row r="253">
      <c r="A253" s="11" t="n">
        <v>188</v>
      </c>
      <c r="B253" s="12" t="n">
        <v>46044</v>
      </c>
      <c r="C253" s="11" t="inlineStr">
        <is>
          <t>aportes en linea s</t>
        </is>
      </c>
      <c r="D253" s="13" t="n">
        <v>-2592200</v>
      </c>
      <c r="E253" s="11">
        <f>IF(G253="conciliado","conciliado",I253)</f>
        <v/>
      </c>
      <c r="F253" s="11">
        <f>IF(SUM(COUNTIFS('Conciliacion de compuestos'!$D$2:$D$13,"conciliado",'Conciliacion de compuestos'!$E$2:$E$13,"OK",'Conciliacion de compuestos'!$M$2:$M$13,A253),COUNTIFS('Conciliacion de compuestos'!$D$2:$D$13,"conciliado",'Conciliacion de compuestos'!$E$2:$E$13,"OK",'Conciliacion de compuestos'!$N$2:$N$13,A253),COUNTIFS('Conciliacion de compuestos'!$D$2:$D$13,"conciliado",'Conciliacion de compuestos'!$E$2:$E$13,"OK",'Conciliacion de compuestos'!$O$2:$O$13,A253))&gt;0,IFERROR(TEXTJOIN(CHAR(10),TRUE,FILTER('Conciliacion de compuestos'!$A$2:$A$13,('Conciliacion de compuestos'!$D$2:$D$13="conciliado")*('Conciliacion de compuestos'!$E$2:$E$13="OK")*((('Conciliacion de compuestos'!$M$2:$M$13=A253)+('Conciliacion de compuestos'!$N$2:$N$13=A253)+('Conciliacion de compuestos'!$O$2:$O$13=A253))&gt;0))),""),"")</f>
        <v/>
      </c>
      <c r="G253" s="11">
        <f>IF(I253="conciliado","conciliado","por revisar")</f>
        <v/>
      </c>
      <c r="H253" s="11" t="inlineStr"/>
      <c r="I253" s="11">
        <f>IF(SUM(COUNTIFS('Conciliacion de compuestos'!$D$2:$D$13,"conciliado",'Conciliacion de compuestos'!$E$2:$E$13,"OK",'Conciliacion de compuestos'!$M$2:$M$13,A253),COUNTIFS('Conciliacion de compuestos'!$D$2:$D$13,"conciliado",'Conciliacion de compuestos'!$E$2:$E$13,"OK",'Conciliacion de compuestos'!$N$2:$N$13,A253),COUNTIFS('Conciliacion de compuestos'!$D$2:$D$13,"conciliado",'Conciliacion de compuestos'!$E$2:$E$13,"OK",'Conciliacion de compuestos'!$O$2:$O$13,A253))&gt;0,"conciliado","por revisar")</f>
        <v/>
      </c>
    </row>
    <row r="254">
      <c r="A254" s="11" t="n">
        <v>191</v>
      </c>
      <c r="B254" s="12" t="n">
        <v>46044</v>
      </c>
      <c r="C254" s="11" t="inlineStr">
        <is>
          <t>casanas cazanas jame</t>
        </is>
      </c>
      <c r="D254" s="13" t="n">
        <v>143200</v>
      </c>
      <c r="E254" s="11">
        <f>IF(G254="conciliado","conciliado",I254)</f>
        <v/>
      </c>
      <c r="F254" s="11">
        <f>IF(SUM(COUNTIFS('Conciliacion de compuestos'!$D$2:$D$13,"conciliado",'Conciliacion de compuestos'!$E$2:$E$13,"OK",'Conciliacion de compuestos'!$M$2:$M$13,A254),COUNTIFS('Conciliacion de compuestos'!$D$2:$D$13,"conciliado",'Conciliacion de compuestos'!$E$2:$E$13,"OK",'Conciliacion de compuestos'!$N$2:$N$13,A254),COUNTIFS('Conciliacion de compuestos'!$D$2:$D$13,"conciliado",'Conciliacion de compuestos'!$E$2:$E$13,"OK",'Conciliacion de compuestos'!$O$2:$O$13,A254))&gt;0,IFERROR(TEXTJOIN(CHAR(10),TRUE,FILTER('Conciliacion de compuestos'!$A$2:$A$13,('Conciliacion de compuestos'!$D$2:$D$13="conciliado")*('Conciliacion de compuestos'!$E$2:$E$13="OK")*((('Conciliacion de compuestos'!$M$2:$M$13=A254)+('Conciliacion de compuestos'!$N$2:$N$13=A254)+('Conciliacion de compuestos'!$O$2:$O$13=A254))&gt;0))),""),"")</f>
        <v/>
      </c>
      <c r="G254" s="11">
        <f>IF(I254="conciliado","conciliado","por revisar")</f>
        <v/>
      </c>
      <c r="H254" s="11" t="inlineStr"/>
      <c r="I254" s="11">
        <f>IF(SUM(COUNTIFS('Conciliacion de compuestos'!$D$2:$D$13,"conciliado",'Conciliacion de compuestos'!$E$2:$E$13,"OK",'Conciliacion de compuestos'!$M$2:$M$13,A254),COUNTIFS('Conciliacion de compuestos'!$D$2:$D$13,"conciliado",'Conciliacion de compuestos'!$E$2:$E$13,"OK",'Conciliacion de compuestos'!$N$2:$N$13,A254),COUNTIFS('Conciliacion de compuestos'!$D$2:$D$13,"conciliado",'Conciliacion de compuestos'!$E$2:$E$13,"OK",'Conciliacion de compuestos'!$O$2:$O$13,A254))&gt;0,"conciliado","por revisar")</f>
        <v/>
      </c>
    </row>
    <row r="255">
      <c r="A255" s="11" t="n">
        <v>194</v>
      </c>
      <c r="B255" s="12" t="n">
        <v>46044</v>
      </c>
      <c r="C255" s="11" t="inlineStr">
        <is>
          <t>jos linda palma romo</t>
        </is>
      </c>
      <c r="D255" s="13" t="n">
        <v>20300</v>
      </c>
      <c r="E255" s="11">
        <f>IF(G255="conciliado","conciliado",I255)</f>
        <v/>
      </c>
      <c r="F255" s="11">
        <f>IF(SUM(COUNTIFS('Conciliacion de compuestos'!$D$2:$D$13,"conciliado",'Conciliacion de compuestos'!$E$2:$E$13,"OK",'Conciliacion de compuestos'!$M$2:$M$13,A255),COUNTIFS('Conciliacion de compuestos'!$D$2:$D$13,"conciliado",'Conciliacion de compuestos'!$E$2:$E$13,"OK",'Conciliacion de compuestos'!$N$2:$N$13,A255),COUNTIFS('Conciliacion de compuestos'!$D$2:$D$13,"conciliado",'Conciliacion de compuestos'!$E$2:$E$13,"OK",'Conciliacion de compuestos'!$O$2:$O$13,A255))&gt;0,IFERROR(TEXTJOIN(CHAR(10),TRUE,FILTER('Conciliacion de compuestos'!$A$2:$A$13,('Conciliacion de compuestos'!$D$2:$D$13="conciliado")*('Conciliacion de compuestos'!$E$2:$E$13="OK")*((('Conciliacion de compuestos'!$M$2:$M$13=A255)+('Conciliacion de compuestos'!$N$2:$N$13=A255)+('Conciliacion de compuestos'!$O$2:$O$13=A255))&gt;0))),""),"")</f>
        <v/>
      </c>
      <c r="G255" s="11">
        <f>IF(I255="conciliado","conciliado","por revisar")</f>
        <v/>
      </c>
      <c r="H255" s="11" t="inlineStr"/>
      <c r="I255" s="11">
        <f>IF(SUM(COUNTIFS('Conciliacion de compuestos'!$D$2:$D$13,"conciliado",'Conciliacion de compuestos'!$E$2:$E$13,"OK",'Conciliacion de compuestos'!$M$2:$M$13,A255),COUNTIFS('Conciliacion de compuestos'!$D$2:$D$13,"conciliado",'Conciliacion de compuestos'!$E$2:$E$13,"OK",'Conciliacion de compuestos'!$N$2:$N$13,A255),COUNTIFS('Conciliacion de compuestos'!$D$2:$D$13,"conciliado",'Conciliacion de compuestos'!$E$2:$E$13,"OK",'Conciliacion de compuestos'!$O$2:$O$13,A255))&gt;0,"conciliado","por revisar")</f>
        <v/>
      </c>
    </row>
    <row r="256">
      <c r="A256" s="11" t="n">
        <v>196</v>
      </c>
      <c r="B256" s="12" t="n">
        <v>46044</v>
      </c>
      <c r="C256" s="11" t="inlineStr">
        <is>
          <t>alderete dani obando</t>
        </is>
      </c>
      <c r="D256" s="13" t="n">
        <v>28800</v>
      </c>
      <c r="E256" s="11">
        <f>IF(G256="conciliado","conciliado",I256)</f>
        <v/>
      </c>
      <c r="F256" s="11">
        <f>IF(SUM(COUNTIFS('Conciliacion de compuestos'!$D$2:$D$13,"conciliado",'Conciliacion de compuestos'!$E$2:$E$13,"OK",'Conciliacion de compuestos'!$M$2:$M$13,A256),COUNTIFS('Conciliacion de compuestos'!$D$2:$D$13,"conciliado",'Conciliacion de compuestos'!$E$2:$E$13,"OK",'Conciliacion de compuestos'!$N$2:$N$13,A256),COUNTIFS('Conciliacion de compuestos'!$D$2:$D$13,"conciliado",'Conciliacion de compuestos'!$E$2:$E$13,"OK",'Conciliacion de compuestos'!$O$2:$O$13,A256))&gt;0,IFERROR(TEXTJOIN(CHAR(10),TRUE,FILTER('Conciliacion de compuestos'!$A$2:$A$13,('Conciliacion de compuestos'!$D$2:$D$13="conciliado")*('Conciliacion de compuestos'!$E$2:$E$13="OK")*((('Conciliacion de compuestos'!$M$2:$M$13=A256)+('Conciliacion de compuestos'!$N$2:$N$13=A256)+('Conciliacion de compuestos'!$O$2:$O$13=A256))&gt;0))),""),"")</f>
        <v/>
      </c>
      <c r="G256" s="11">
        <f>IF(I256="conciliado","conciliado","por revisar")</f>
        <v/>
      </c>
      <c r="H256" s="11" t="inlineStr"/>
      <c r="I256" s="11">
        <f>IF(SUM(COUNTIFS('Conciliacion de compuestos'!$D$2:$D$13,"conciliado",'Conciliacion de compuestos'!$E$2:$E$13,"OK",'Conciliacion de compuestos'!$M$2:$M$13,A256),COUNTIFS('Conciliacion de compuestos'!$D$2:$D$13,"conciliado",'Conciliacion de compuestos'!$E$2:$E$13,"OK",'Conciliacion de compuestos'!$N$2:$N$13,A256),COUNTIFS('Conciliacion de compuestos'!$D$2:$D$13,"conciliado",'Conciliacion de compuestos'!$E$2:$E$13,"OK",'Conciliacion de compuestos'!$O$2:$O$13,A256))&gt;0,"conciliado","por revisar")</f>
        <v/>
      </c>
    </row>
    <row r="257">
      <c r="A257" s="11" t="n">
        <v>199</v>
      </c>
      <c r="B257" s="12" t="n">
        <v>46045</v>
      </c>
      <c r="C257" s="11" t="inlineStr">
        <is>
          <t>el marroquin pantoja</t>
        </is>
      </c>
      <c r="D257" s="13" t="n">
        <v>30000</v>
      </c>
      <c r="E257" s="11">
        <f>IF(G257="conciliado","conciliado",I257)</f>
        <v/>
      </c>
      <c r="F257" s="11">
        <f>IF(SUM(COUNTIFS('Conciliacion de compuestos'!$D$2:$D$13,"conciliado",'Conciliacion de compuestos'!$E$2:$E$13,"OK",'Conciliacion de compuestos'!$M$2:$M$13,A257),COUNTIFS('Conciliacion de compuestos'!$D$2:$D$13,"conciliado",'Conciliacion de compuestos'!$E$2:$E$13,"OK",'Conciliacion de compuestos'!$N$2:$N$13,A257),COUNTIFS('Conciliacion de compuestos'!$D$2:$D$13,"conciliado",'Conciliacion de compuestos'!$E$2:$E$13,"OK",'Conciliacion de compuestos'!$O$2:$O$13,A257))&gt;0,IFERROR(TEXTJOIN(CHAR(10),TRUE,FILTER('Conciliacion de compuestos'!$A$2:$A$13,('Conciliacion de compuestos'!$D$2:$D$13="conciliado")*('Conciliacion de compuestos'!$E$2:$E$13="OK")*((('Conciliacion de compuestos'!$M$2:$M$13=A257)+('Conciliacion de compuestos'!$N$2:$N$13=A257)+('Conciliacion de compuestos'!$O$2:$O$13=A257))&gt;0))),""),"")</f>
        <v/>
      </c>
      <c r="G257" s="11">
        <f>IF(I257="conciliado","conciliado","por revisar")</f>
        <v/>
      </c>
      <c r="H257" s="11" t="inlineStr"/>
      <c r="I257" s="11">
        <f>IF(SUM(COUNTIFS('Conciliacion de compuestos'!$D$2:$D$13,"conciliado",'Conciliacion de compuestos'!$E$2:$E$13,"OK",'Conciliacion de compuestos'!$M$2:$M$13,A257),COUNTIFS('Conciliacion de compuestos'!$D$2:$D$13,"conciliado",'Conciliacion de compuestos'!$E$2:$E$13,"OK",'Conciliacion de compuestos'!$N$2:$N$13,A257),COUNTIFS('Conciliacion de compuestos'!$D$2:$D$13,"conciliado",'Conciliacion de compuestos'!$E$2:$E$13,"OK",'Conciliacion de compuestos'!$O$2:$O$13,A257))&gt;0,"conciliado","por revisar")</f>
        <v/>
      </c>
    </row>
    <row r="258">
      <c r="A258" s="11" t="n">
        <v>209</v>
      </c>
      <c r="B258" s="12" t="n">
        <v>46046</v>
      </c>
      <c r="C258" s="11" t="inlineStr">
        <is>
          <t>casanas cazanas jame</t>
        </is>
      </c>
      <c r="D258" s="13" t="n">
        <v>160500</v>
      </c>
      <c r="E258" s="11">
        <f>IF(G258="conciliado","conciliado",I258)</f>
        <v/>
      </c>
      <c r="F258" s="11">
        <f>IF(SUM(COUNTIFS('Conciliacion de compuestos'!$D$2:$D$13,"conciliado",'Conciliacion de compuestos'!$E$2:$E$13,"OK",'Conciliacion de compuestos'!$M$2:$M$13,A258),COUNTIFS('Conciliacion de compuestos'!$D$2:$D$13,"conciliado",'Conciliacion de compuestos'!$E$2:$E$13,"OK",'Conciliacion de compuestos'!$N$2:$N$13,A258),COUNTIFS('Conciliacion de compuestos'!$D$2:$D$13,"conciliado",'Conciliacion de compuestos'!$E$2:$E$13,"OK",'Conciliacion de compuestos'!$O$2:$O$13,A258))&gt;0,IFERROR(TEXTJOIN(CHAR(10),TRUE,FILTER('Conciliacion de compuestos'!$A$2:$A$13,('Conciliacion de compuestos'!$D$2:$D$13="conciliado")*('Conciliacion de compuestos'!$E$2:$E$13="OK")*((('Conciliacion de compuestos'!$M$2:$M$13=A258)+('Conciliacion de compuestos'!$N$2:$N$13=A258)+('Conciliacion de compuestos'!$O$2:$O$13=A258))&gt;0))),""),"")</f>
        <v/>
      </c>
      <c r="G258" s="11">
        <f>IF(I258="conciliado","conciliado","por revisar")</f>
        <v/>
      </c>
      <c r="H258" s="11" t="inlineStr"/>
      <c r="I258" s="11">
        <f>IF(SUM(COUNTIFS('Conciliacion de compuestos'!$D$2:$D$13,"conciliado",'Conciliacion de compuestos'!$E$2:$E$13,"OK",'Conciliacion de compuestos'!$M$2:$M$13,A258),COUNTIFS('Conciliacion de compuestos'!$D$2:$D$13,"conciliado",'Conciliacion de compuestos'!$E$2:$E$13,"OK",'Conciliacion de compuestos'!$N$2:$N$13,A258),COUNTIFS('Conciliacion de compuestos'!$D$2:$D$13,"conciliado",'Conciliacion de compuestos'!$E$2:$E$13,"OK",'Conciliacion de compuestos'!$O$2:$O$13,A258))&gt;0,"conciliado","por revisar")</f>
        <v/>
      </c>
    </row>
    <row r="259">
      <c r="A259" s="11" t="n">
        <v>222</v>
      </c>
      <c r="B259" s="12" t="n">
        <v>46047</v>
      </c>
      <c r="C259" s="11" t="inlineStr">
        <is>
          <t>acosta fab rodriguez</t>
        </is>
      </c>
      <c r="D259" s="13" t="n">
        <v>28300</v>
      </c>
      <c r="E259" s="11">
        <f>IF(G259="conciliado","conciliado",I259)</f>
        <v/>
      </c>
      <c r="F259" s="11">
        <f>IF(SUM(COUNTIFS('Conciliacion de compuestos'!$D$2:$D$13,"conciliado",'Conciliacion de compuestos'!$E$2:$E$13,"OK",'Conciliacion de compuestos'!$M$2:$M$13,A259),COUNTIFS('Conciliacion de compuestos'!$D$2:$D$13,"conciliado",'Conciliacion de compuestos'!$E$2:$E$13,"OK",'Conciliacion de compuestos'!$N$2:$N$13,A259),COUNTIFS('Conciliacion de compuestos'!$D$2:$D$13,"conciliado",'Conciliacion de compuestos'!$E$2:$E$13,"OK",'Conciliacion de compuestos'!$O$2:$O$13,A259))&gt;0,IFERROR(TEXTJOIN(CHAR(10),TRUE,FILTER('Conciliacion de compuestos'!$A$2:$A$13,('Conciliacion de compuestos'!$D$2:$D$13="conciliado")*('Conciliacion de compuestos'!$E$2:$E$13="OK")*((('Conciliacion de compuestos'!$M$2:$M$13=A259)+('Conciliacion de compuestos'!$N$2:$N$13=A259)+('Conciliacion de compuestos'!$O$2:$O$13=A259))&gt;0))),""),"")</f>
        <v/>
      </c>
      <c r="G259" s="11">
        <f>IF(I259="conciliado","conciliado","por revisar")</f>
        <v/>
      </c>
      <c r="H259" s="11" t="inlineStr"/>
      <c r="I259" s="11">
        <f>IF(SUM(COUNTIFS('Conciliacion de compuestos'!$D$2:$D$13,"conciliado",'Conciliacion de compuestos'!$E$2:$E$13,"OK",'Conciliacion de compuestos'!$M$2:$M$13,A259),COUNTIFS('Conciliacion de compuestos'!$D$2:$D$13,"conciliado",'Conciliacion de compuestos'!$E$2:$E$13,"OK",'Conciliacion de compuestos'!$N$2:$N$13,A259),COUNTIFS('Conciliacion de compuestos'!$D$2:$D$13,"conciliado",'Conciliacion de compuestos'!$E$2:$E$13,"OK",'Conciliacion de compuestos'!$O$2:$O$13,A259))&gt;0,"conciliado","por revisar")</f>
        <v/>
      </c>
    </row>
    <row r="260">
      <c r="A260" s="11" t="n">
        <v>227</v>
      </c>
      <c r="B260" s="12" t="n">
        <v>46047</v>
      </c>
      <c r="C260" s="11" t="inlineStr">
        <is>
          <t>angulo jose sanchez</t>
        </is>
      </c>
      <c r="D260" s="13" t="n">
        <v>76100</v>
      </c>
      <c r="E260" s="11">
        <f>IF(G260="conciliado","conciliado",I260)</f>
        <v/>
      </c>
      <c r="F260" s="11">
        <f>IF(SUM(COUNTIFS('Conciliacion de compuestos'!$D$2:$D$13,"conciliado",'Conciliacion de compuestos'!$E$2:$E$13,"OK",'Conciliacion de compuestos'!$M$2:$M$13,A260),COUNTIFS('Conciliacion de compuestos'!$D$2:$D$13,"conciliado",'Conciliacion de compuestos'!$E$2:$E$13,"OK",'Conciliacion de compuestos'!$N$2:$N$13,A260),COUNTIFS('Conciliacion de compuestos'!$D$2:$D$13,"conciliado",'Conciliacion de compuestos'!$E$2:$E$13,"OK",'Conciliacion de compuestos'!$O$2:$O$13,A260))&gt;0,IFERROR(TEXTJOIN(CHAR(10),TRUE,FILTER('Conciliacion de compuestos'!$A$2:$A$13,('Conciliacion de compuestos'!$D$2:$D$13="conciliado")*('Conciliacion de compuestos'!$E$2:$E$13="OK")*((('Conciliacion de compuestos'!$M$2:$M$13=A260)+('Conciliacion de compuestos'!$N$2:$N$13=A260)+('Conciliacion de compuestos'!$O$2:$O$13=A260))&gt;0))),""),"")</f>
        <v/>
      </c>
      <c r="G260" s="11">
        <f>IF(I260="conciliado","conciliado","por revisar")</f>
        <v/>
      </c>
      <c r="H260" s="11" t="inlineStr"/>
      <c r="I260" s="11">
        <f>IF(SUM(COUNTIFS('Conciliacion de compuestos'!$D$2:$D$13,"conciliado",'Conciliacion de compuestos'!$E$2:$E$13,"OK",'Conciliacion de compuestos'!$M$2:$M$13,A260),COUNTIFS('Conciliacion de compuestos'!$D$2:$D$13,"conciliado",'Conciliacion de compuestos'!$E$2:$E$13,"OK",'Conciliacion de compuestos'!$N$2:$N$13,A260),COUNTIFS('Conciliacion de compuestos'!$D$2:$D$13,"conciliado",'Conciliacion de compuestos'!$E$2:$E$13,"OK",'Conciliacion de compuestos'!$O$2:$O$13,A260))&gt;0,"conciliado","por revisar")</f>
        <v/>
      </c>
    </row>
    <row r="261">
      <c r="A261" s="11" t="n">
        <v>233</v>
      </c>
      <c r="B261" s="12" t="n">
        <v>46048</v>
      </c>
      <c r="C261" s="11" t="inlineStr">
        <is>
          <t>criollo mojhana sand</t>
        </is>
      </c>
      <c r="D261" s="13" t="n">
        <v>22500</v>
      </c>
      <c r="E261" s="11">
        <f>IF(G261="conciliado","conciliado",I261)</f>
        <v/>
      </c>
      <c r="F261" s="11">
        <f>IF(SUM(COUNTIFS('Conciliacion de compuestos'!$D$2:$D$13,"conciliado",'Conciliacion de compuestos'!$E$2:$E$13,"OK",'Conciliacion de compuestos'!$M$2:$M$13,A261),COUNTIFS('Conciliacion de compuestos'!$D$2:$D$13,"conciliado",'Conciliacion de compuestos'!$E$2:$E$13,"OK",'Conciliacion de compuestos'!$N$2:$N$13,A261),COUNTIFS('Conciliacion de compuestos'!$D$2:$D$13,"conciliado",'Conciliacion de compuestos'!$E$2:$E$13,"OK",'Conciliacion de compuestos'!$O$2:$O$13,A261))&gt;0,IFERROR(TEXTJOIN(CHAR(10),TRUE,FILTER('Conciliacion de compuestos'!$A$2:$A$13,('Conciliacion de compuestos'!$D$2:$D$13="conciliado")*('Conciliacion de compuestos'!$E$2:$E$13="OK")*((('Conciliacion de compuestos'!$M$2:$M$13=A261)+('Conciliacion de compuestos'!$N$2:$N$13=A261)+('Conciliacion de compuestos'!$O$2:$O$13=A261))&gt;0))),""),"")</f>
        <v/>
      </c>
      <c r="G261" s="11">
        <f>IF(I261="conciliado","conciliado","por revisar")</f>
        <v/>
      </c>
      <c r="H261" s="11" t="inlineStr"/>
      <c r="I261" s="11">
        <f>IF(SUM(COUNTIFS('Conciliacion de compuestos'!$D$2:$D$13,"conciliado",'Conciliacion de compuestos'!$E$2:$E$13,"OK",'Conciliacion de compuestos'!$M$2:$M$13,A261),COUNTIFS('Conciliacion de compuestos'!$D$2:$D$13,"conciliado",'Conciliacion de compuestos'!$E$2:$E$13,"OK",'Conciliacion de compuestos'!$N$2:$N$13,A261),COUNTIFS('Conciliacion de compuestos'!$D$2:$D$13,"conciliado",'Conciliacion de compuestos'!$E$2:$E$13,"OK",'Conciliacion de compuestos'!$O$2:$O$13,A261))&gt;0,"conciliado","por revisar")</f>
        <v/>
      </c>
    </row>
    <row r="262">
      <c r="A262" s="11" t="n">
        <v>238</v>
      </c>
      <c r="B262" s="12" t="n">
        <v>46049</v>
      </c>
      <c r="C262" s="11" t="inlineStr">
        <is>
          <t>claudio eraso munoz</t>
        </is>
      </c>
      <c r="D262" s="13" t="n">
        <v>356400</v>
      </c>
      <c r="E262" s="11">
        <f>IF(G262="conciliado","conciliado",I262)</f>
        <v/>
      </c>
      <c r="F262" s="11">
        <f>IF(SUM(COUNTIFS('Conciliacion de compuestos'!$D$2:$D$13,"conciliado",'Conciliacion de compuestos'!$E$2:$E$13,"OK",'Conciliacion de compuestos'!$M$2:$M$13,A262),COUNTIFS('Conciliacion de compuestos'!$D$2:$D$13,"conciliado",'Conciliacion de compuestos'!$E$2:$E$13,"OK",'Conciliacion de compuestos'!$N$2:$N$13,A262),COUNTIFS('Conciliacion de compuestos'!$D$2:$D$13,"conciliado",'Conciliacion de compuestos'!$E$2:$E$13,"OK",'Conciliacion de compuestos'!$O$2:$O$13,A262))&gt;0,IFERROR(TEXTJOIN(CHAR(10),TRUE,FILTER('Conciliacion de compuestos'!$A$2:$A$13,('Conciliacion de compuestos'!$D$2:$D$13="conciliado")*('Conciliacion de compuestos'!$E$2:$E$13="OK")*((('Conciliacion de compuestos'!$M$2:$M$13=A262)+('Conciliacion de compuestos'!$N$2:$N$13=A262)+('Conciliacion de compuestos'!$O$2:$O$13=A262))&gt;0))),""),"")</f>
        <v/>
      </c>
      <c r="G262" s="11">
        <f>IF(I262="conciliado","conciliado","por revisar")</f>
        <v/>
      </c>
      <c r="H262" s="11" t="inlineStr"/>
      <c r="I262" s="11">
        <f>IF(SUM(COUNTIFS('Conciliacion de compuestos'!$D$2:$D$13,"conciliado",'Conciliacion de compuestos'!$E$2:$E$13,"OK",'Conciliacion de compuestos'!$M$2:$M$13,A262),COUNTIFS('Conciliacion de compuestos'!$D$2:$D$13,"conciliado",'Conciliacion de compuestos'!$E$2:$E$13,"OK",'Conciliacion de compuestos'!$N$2:$N$13,A262),COUNTIFS('Conciliacion de compuestos'!$D$2:$D$13,"conciliado",'Conciliacion de compuestos'!$E$2:$E$13,"OK",'Conciliacion de compuestos'!$O$2:$O$13,A262))&gt;0,"conciliado","por revisar")</f>
        <v/>
      </c>
    </row>
    <row r="263">
      <c r="A263" s="11" t="n">
        <v>244</v>
      </c>
      <c r="B263" s="12" t="n">
        <v>46050</v>
      </c>
      <c r="C263" s="11" t="inlineStr">
        <is>
          <t>carlo guerra sanchez</t>
        </is>
      </c>
      <c r="D263" s="13" t="n">
        <v>-11807785</v>
      </c>
      <c r="E263" s="11">
        <f>IF(G263="conciliado","conciliado",I263)</f>
        <v/>
      </c>
      <c r="F263" s="11">
        <f>IF(SUM(COUNTIFS('Conciliacion de compuestos'!$D$2:$D$13,"conciliado",'Conciliacion de compuestos'!$E$2:$E$13,"OK",'Conciliacion de compuestos'!$M$2:$M$13,A263),COUNTIFS('Conciliacion de compuestos'!$D$2:$D$13,"conciliado",'Conciliacion de compuestos'!$E$2:$E$13,"OK",'Conciliacion de compuestos'!$N$2:$N$13,A263),COUNTIFS('Conciliacion de compuestos'!$D$2:$D$13,"conciliado",'Conciliacion de compuestos'!$E$2:$E$13,"OK",'Conciliacion de compuestos'!$O$2:$O$13,A263))&gt;0,IFERROR(TEXTJOIN(CHAR(10),TRUE,FILTER('Conciliacion de compuestos'!$A$2:$A$13,('Conciliacion de compuestos'!$D$2:$D$13="conciliado")*('Conciliacion de compuestos'!$E$2:$E$13="OK")*((('Conciliacion de compuestos'!$M$2:$M$13=A263)+('Conciliacion de compuestos'!$N$2:$N$13=A263)+('Conciliacion de compuestos'!$O$2:$O$13=A263))&gt;0))),""),"")</f>
        <v/>
      </c>
      <c r="G263" s="11">
        <f>IF(I263="conciliado","conciliado","por revisar")</f>
        <v/>
      </c>
      <c r="H263" s="11" t="inlineStr"/>
      <c r="I263" s="11">
        <f>IF(SUM(COUNTIFS('Conciliacion de compuestos'!$D$2:$D$13,"conciliado",'Conciliacion de compuestos'!$E$2:$E$13,"OK",'Conciliacion de compuestos'!$M$2:$M$13,A263),COUNTIFS('Conciliacion de compuestos'!$D$2:$D$13,"conciliado",'Conciliacion de compuestos'!$E$2:$E$13,"OK",'Conciliacion de compuestos'!$N$2:$N$13,A263),COUNTIFS('Conciliacion de compuestos'!$D$2:$D$13,"conciliado",'Conciliacion de compuestos'!$E$2:$E$13,"OK",'Conciliacion de compuestos'!$O$2:$O$13,A263))&gt;0,"conciliado","por revisar")</f>
        <v/>
      </c>
    </row>
    <row r="264">
      <c r="A264" s="11" t="n">
        <v>245</v>
      </c>
      <c r="B264" s="12" t="n">
        <v>46050</v>
      </c>
      <c r="C264" s="11" t="inlineStr">
        <is>
          <t>cgs distribuciones s</t>
        </is>
      </c>
      <c r="D264" s="13" t="n">
        <v>-2125898</v>
      </c>
      <c r="E264" s="11">
        <f>IF(G264="conciliado","conciliado",I264)</f>
        <v/>
      </c>
      <c r="F264" s="11">
        <f>IF(SUM(COUNTIFS('Conciliacion de compuestos'!$D$2:$D$13,"conciliado",'Conciliacion de compuestos'!$E$2:$E$13,"OK",'Conciliacion de compuestos'!$M$2:$M$13,A264),COUNTIFS('Conciliacion de compuestos'!$D$2:$D$13,"conciliado",'Conciliacion de compuestos'!$E$2:$E$13,"OK",'Conciliacion de compuestos'!$N$2:$N$13,A264),COUNTIFS('Conciliacion de compuestos'!$D$2:$D$13,"conciliado",'Conciliacion de compuestos'!$E$2:$E$13,"OK",'Conciliacion de compuestos'!$O$2:$O$13,A264))&gt;0,IFERROR(TEXTJOIN(CHAR(10),TRUE,FILTER('Conciliacion de compuestos'!$A$2:$A$13,('Conciliacion de compuestos'!$D$2:$D$13="conciliado")*('Conciliacion de compuestos'!$E$2:$E$13="OK")*((('Conciliacion de compuestos'!$M$2:$M$13=A264)+('Conciliacion de compuestos'!$N$2:$N$13=A264)+('Conciliacion de compuestos'!$O$2:$O$13=A264))&gt;0))),""),"")</f>
        <v/>
      </c>
      <c r="G264" s="11">
        <f>IF(I264="conciliado","conciliado","por revisar")</f>
        <v/>
      </c>
      <c r="H264" s="11" t="inlineStr"/>
      <c r="I264" s="11">
        <f>IF(SUM(COUNTIFS('Conciliacion de compuestos'!$D$2:$D$13,"conciliado",'Conciliacion de compuestos'!$E$2:$E$13,"OK",'Conciliacion de compuestos'!$M$2:$M$13,A264),COUNTIFS('Conciliacion de compuestos'!$D$2:$D$13,"conciliado",'Conciliacion de compuestos'!$E$2:$E$13,"OK",'Conciliacion de compuestos'!$N$2:$N$13,A264),COUNTIFS('Conciliacion de compuestos'!$D$2:$D$13,"conciliado",'Conciliacion de compuestos'!$E$2:$E$13,"OK",'Conciliacion de compuestos'!$O$2:$O$13,A264))&gt;0,"conciliado","por revisar")</f>
        <v/>
      </c>
    </row>
    <row r="265">
      <c r="A265" s="11" t="n">
        <v>246</v>
      </c>
      <c r="B265" s="12" t="n">
        <v>46050</v>
      </c>
      <c r="C265" s="11" t="inlineStr">
        <is>
          <t>cuacialpud hernandez</t>
        </is>
      </c>
      <c r="D265" s="13" t="n">
        <v>227500</v>
      </c>
      <c r="E265" s="11">
        <f>IF(G265="conciliado","conciliado",I265)</f>
        <v/>
      </c>
      <c r="F265" s="11">
        <f>IF(SUM(COUNTIFS('Conciliacion de compuestos'!$D$2:$D$13,"conciliado",'Conciliacion de compuestos'!$E$2:$E$13,"OK",'Conciliacion de compuestos'!$M$2:$M$13,A265),COUNTIFS('Conciliacion de compuestos'!$D$2:$D$13,"conciliado",'Conciliacion de compuestos'!$E$2:$E$13,"OK",'Conciliacion de compuestos'!$N$2:$N$13,A265),COUNTIFS('Conciliacion de compuestos'!$D$2:$D$13,"conciliado",'Conciliacion de compuestos'!$E$2:$E$13,"OK",'Conciliacion de compuestos'!$O$2:$O$13,A265))&gt;0,IFERROR(TEXTJOIN(CHAR(10),TRUE,FILTER('Conciliacion de compuestos'!$A$2:$A$13,('Conciliacion de compuestos'!$D$2:$D$13="conciliado")*('Conciliacion de compuestos'!$E$2:$E$13="OK")*((('Conciliacion de compuestos'!$M$2:$M$13=A265)+('Conciliacion de compuestos'!$N$2:$N$13=A265)+('Conciliacion de compuestos'!$O$2:$O$13=A265))&gt;0))),""),"")</f>
        <v/>
      </c>
      <c r="G265" s="11">
        <f>IF(I265="conciliado","conciliado","por revisar")</f>
        <v/>
      </c>
      <c r="H265" s="11" t="inlineStr"/>
      <c r="I265" s="11">
        <f>IF(SUM(COUNTIFS('Conciliacion de compuestos'!$D$2:$D$13,"conciliado",'Conciliacion de compuestos'!$E$2:$E$13,"OK",'Conciliacion de compuestos'!$M$2:$M$13,A265),COUNTIFS('Conciliacion de compuestos'!$D$2:$D$13,"conciliado",'Conciliacion de compuestos'!$E$2:$E$13,"OK",'Conciliacion de compuestos'!$N$2:$N$13,A265),COUNTIFS('Conciliacion de compuestos'!$D$2:$D$13,"conciliado",'Conciliacion de compuestos'!$E$2:$E$13,"OK",'Conciliacion de compuestos'!$O$2:$O$13,A265))&gt;0,"conciliado","por revisar")</f>
        <v/>
      </c>
    </row>
    <row r="266">
      <c r="A266" s="11" t="n">
        <v>250</v>
      </c>
      <c r="B266" s="12" t="n">
        <v>46050</v>
      </c>
      <c r="C266" s="11" t="inlineStr">
        <is>
          <t>bautista castillo ra</t>
        </is>
      </c>
      <c r="D266" s="13" t="n">
        <v>23000</v>
      </c>
      <c r="E266" s="11">
        <f>IF(G266="conciliado","conciliado",I266)</f>
        <v/>
      </c>
      <c r="F266" s="11">
        <f>IF(SUM(COUNTIFS('Conciliacion de compuestos'!$D$2:$D$13,"conciliado",'Conciliacion de compuestos'!$E$2:$E$13,"OK",'Conciliacion de compuestos'!$M$2:$M$13,A266),COUNTIFS('Conciliacion de compuestos'!$D$2:$D$13,"conciliado",'Conciliacion de compuestos'!$E$2:$E$13,"OK",'Conciliacion de compuestos'!$N$2:$N$13,A266),COUNTIFS('Conciliacion de compuestos'!$D$2:$D$13,"conciliado",'Conciliacion de compuestos'!$E$2:$E$13,"OK",'Conciliacion de compuestos'!$O$2:$O$13,A266))&gt;0,IFERROR(TEXTJOIN(CHAR(10),TRUE,FILTER('Conciliacion de compuestos'!$A$2:$A$13,('Conciliacion de compuestos'!$D$2:$D$13="conciliado")*('Conciliacion de compuestos'!$E$2:$E$13="OK")*((('Conciliacion de compuestos'!$M$2:$M$13=A266)+('Conciliacion de compuestos'!$N$2:$N$13=A266)+('Conciliacion de compuestos'!$O$2:$O$13=A266))&gt;0))),""),"")</f>
        <v/>
      </c>
      <c r="G266" s="11">
        <f>IF(I266="conciliado","conciliado","por revisar")</f>
        <v/>
      </c>
      <c r="H266" s="11" t="inlineStr"/>
      <c r="I266" s="11">
        <f>IF(SUM(COUNTIFS('Conciliacion de compuestos'!$D$2:$D$13,"conciliado",'Conciliacion de compuestos'!$E$2:$E$13,"OK",'Conciliacion de compuestos'!$M$2:$M$13,A266),COUNTIFS('Conciliacion de compuestos'!$D$2:$D$13,"conciliado",'Conciliacion de compuestos'!$E$2:$E$13,"OK",'Conciliacion de compuestos'!$N$2:$N$13,A266),COUNTIFS('Conciliacion de compuestos'!$D$2:$D$13,"conciliado",'Conciliacion de compuestos'!$E$2:$E$13,"OK",'Conciliacion de compuestos'!$O$2:$O$13,A266))&gt;0,"conciliado","por revisar")</f>
        <v/>
      </c>
    </row>
    <row r="267">
      <c r="A267" s="11" t="n">
        <v>254</v>
      </c>
      <c r="B267" s="12" t="n">
        <v>46050</v>
      </c>
      <c r="C267" s="11" t="inlineStr">
        <is>
          <t>consumidor final</t>
        </is>
      </c>
      <c r="D267" s="13" t="n">
        <v>197280</v>
      </c>
      <c r="E267" s="11">
        <f>IF(G267="conciliado","conciliado",I267)</f>
        <v/>
      </c>
      <c r="F267" s="11">
        <f>IF(SUM(COUNTIFS('Conciliacion de compuestos'!$D$2:$D$13,"conciliado",'Conciliacion de compuestos'!$E$2:$E$13,"OK",'Conciliacion de compuestos'!$M$2:$M$13,A267),COUNTIFS('Conciliacion de compuestos'!$D$2:$D$13,"conciliado",'Conciliacion de compuestos'!$E$2:$E$13,"OK",'Conciliacion de compuestos'!$N$2:$N$13,A267),COUNTIFS('Conciliacion de compuestos'!$D$2:$D$13,"conciliado",'Conciliacion de compuestos'!$E$2:$E$13,"OK",'Conciliacion de compuestos'!$O$2:$O$13,A267))&gt;0,IFERROR(TEXTJOIN(CHAR(10),TRUE,FILTER('Conciliacion de compuestos'!$A$2:$A$13,('Conciliacion de compuestos'!$D$2:$D$13="conciliado")*('Conciliacion de compuestos'!$E$2:$E$13="OK")*((('Conciliacion de compuestos'!$M$2:$M$13=A267)+('Conciliacion de compuestos'!$N$2:$N$13=A267)+('Conciliacion de compuestos'!$O$2:$O$13=A267))&gt;0))),""),"")</f>
        <v/>
      </c>
      <c r="G267" s="11">
        <f>IF(I267="conciliado","conciliado","por revisar")</f>
        <v/>
      </c>
      <c r="H267" s="11" t="inlineStr"/>
      <c r="I267" s="11">
        <f>IF(SUM(COUNTIFS('Conciliacion de compuestos'!$D$2:$D$13,"conciliado",'Conciliacion de compuestos'!$E$2:$E$13,"OK",'Conciliacion de compuestos'!$M$2:$M$13,A267),COUNTIFS('Conciliacion de compuestos'!$D$2:$D$13,"conciliado",'Conciliacion de compuestos'!$E$2:$E$13,"OK",'Conciliacion de compuestos'!$N$2:$N$13,A267),COUNTIFS('Conciliacion de compuestos'!$D$2:$D$13,"conciliado",'Conciliacion de compuestos'!$E$2:$E$13,"OK",'Conciliacion de compuestos'!$O$2:$O$13,A267))&gt;0,"conciliado","por revisar")</f>
        <v/>
      </c>
    </row>
    <row r="268">
      <c r="A268" s="11" t="n">
        <v>261</v>
      </c>
      <c r="B268" s="12" t="n">
        <v>46051</v>
      </c>
      <c r="C268" s="11" t="inlineStr">
        <is>
          <t>natha palma penafiel</t>
        </is>
      </c>
      <c r="D268" s="13" t="n">
        <v>75000</v>
      </c>
      <c r="E268" s="11">
        <f>IF(G268="conciliado","conciliado",I268)</f>
        <v/>
      </c>
      <c r="F268" s="11">
        <f>IF(SUM(COUNTIFS('Conciliacion de compuestos'!$D$2:$D$13,"conciliado",'Conciliacion de compuestos'!$E$2:$E$13,"OK",'Conciliacion de compuestos'!$M$2:$M$13,A268),COUNTIFS('Conciliacion de compuestos'!$D$2:$D$13,"conciliado",'Conciliacion de compuestos'!$E$2:$E$13,"OK",'Conciliacion de compuestos'!$N$2:$N$13,A268),COUNTIFS('Conciliacion de compuestos'!$D$2:$D$13,"conciliado",'Conciliacion de compuestos'!$E$2:$E$13,"OK",'Conciliacion de compuestos'!$O$2:$O$13,A268))&gt;0,IFERROR(TEXTJOIN(CHAR(10),TRUE,FILTER('Conciliacion de compuestos'!$A$2:$A$13,('Conciliacion de compuestos'!$D$2:$D$13="conciliado")*('Conciliacion de compuestos'!$E$2:$E$13="OK")*((('Conciliacion de compuestos'!$M$2:$M$13=A268)+('Conciliacion de compuestos'!$N$2:$N$13=A268)+('Conciliacion de compuestos'!$O$2:$O$13=A268))&gt;0))),""),"")</f>
        <v/>
      </c>
      <c r="G268" s="11">
        <f>IF(I268="conciliado","conciliado","por revisar")</f>
        <v/>
      </c>
      <c r="H268" s="11" t="inlineStr"/>
      <c r="I268" s="11">
        <f>IF(SUM(COUNTIFS('Conciliacion de compuestos'!$D$2:$D$13,"conciliado",'Conciliacion de compuestos'!$E$2:$E$13,"OK",'Conciliacion de compuestos'!$M$2:$M$13,A268),COUNTIFS('Conciliacion de compuestos'!$D$2:$D$13,"conciliado",'Conciliacion de compuestos'!$E$2:$E$13,"OK",'Conciliacion de compuestos'!$N$2:$N$13,A268),COUNTIFS('Conciliacion de compuestos'!$D$2:$D$13,"conciliado",'Conciliacion de compuestos'!$E$2:$E$13,"OK",'Conciliacion de compuestos'!$O$2:$O$13,A268))&gt;0,"conciliado","por revisar")</f>
        <v/>
      </c>
    </row>
    <row r="269">
      <c r="A269" s="11" t="n">
        <v>266</v>
      </c>
      <c r="B269" s="12" t="n">
        <v>46052</v>
      </c>
      <c r="C269" s="11" t="inlineStr">
        <is>
          <t>a altipal s s</t>
        </is>
      </c>
      <c r="D269" s="13" t="n">
        <v>-6009576</v>
      </c>
      <c r="E269" s="11">
        <f>IF(G269="conciliado","conciliado",I269)</f>
        <v/>
      </c>
      <c r="F269" s="11">
        <f>IF(SUM(COUNTIFS('Conciliacion de compuestos'!$D$2:$D$13,"conciliado",'Conciliacion de compuestos'!$E$2:$E$13,"OK",'Conciliacion de compuestos'!$M$2:$M$13,A269),COUNTIFS('Conciliacion de compuestos'!$D$2:$D$13,"conciliado",'Conciliacion de compuestos'!$E$2:$E$13,"OK",'Conciliacion de compuestos'!$N$2:$N$13,A269),COUNTIFS('Conciliacion de compuestos'!$D$2:$D$13,"conciliado",'Conciliacion de compuestos'!$E$2:$E$13,"OK",'Conciliacion de compuestos'!$O$2:$O$13,A269))&gt;0,IFERROR(TEXTJOIN(CHAR(10),TRUE,FILTER('Conciliacion de compuestos'!$A$2:$A$13,('Conciliacion de compuestos'!$D$2:$D$13="conciliado")*('Conciliacion de compuestos'!$E$2:$E$13="OK")*((('Conciliacion de compuestos'!$M$2:$M$13=A269)+('Conciliacion de compuestos'!$N$2:$N$13=A269)+('Conciliacion de compuestos'!$O$2:$O$13=A269))&gt;0))),""),"")</f>
        <v/>
      </c>
      <c r="G269" s="11">
        <f>IF(I269="conciliado","conciliado","por revisar")</f>
        <v/>
      </c>
      <c r="H269" s="11" t="inlineStr"/>
      <c r="I269" s="11">
        <f>IF(SUM(COUNTIFS('Conciliacion de compuestos'!$D$2:$D$13,"conciliado",'Conciliacion de compuestos'!$E$2:$E$13,"OK",'Conciliacion de compuestos'!$M$2:$M$13,A269),COUNTIFS('Conciliacion de compuestos'!$D$2:$D$13,"conciliado",'Conciliacion de compuestos'!$E$2:$E$13,"OK",'Conciliacion de compuestos'!$N$2:$N$13,A269),COUNTIFS('Conciliacion de compuestos'!$D$2:$D$13,"conciliado",'Conciliacion de compuestos'!$E$2:$E$13,"OK",'Conciliacion de compuestos'!$O$2:$O$13,A269))&gt;0,"conciliado","por revisar")</f>
        <v/>
      </c>
    </row>
    <row r="270">
      <c r="A270" s="11" t="n">
        <v>267</v>
      </c>
      <c r="B270" s="12" t="n">
        <v>46052</v>
      </c>
      <c r="C270" s="11" t="inlineStr">
        <is>
          <t>cabrera gutierrez je</t>
        </is>
      </c>
      <c r="D270" s="13" t="n">
        <v>149598</v>
      </c>
      <c r="E270" s="11">
        <f>IF(G270="conciliado","conciliado",I270)</f>
        <v/>
      </c>
      <c r="F270" s="11">
        <f>IF(SUM(COUNTIFS('Conciliacion de compuestos'!$D$2:$D$13,"conciliado",'Conciliacion de compuestos'!$E$2:$E$13,"OK",'Conciliacion de compuestos'!$M$2:$M$13,A270),COUNTIFS('Conciliacion de compuestos'!$D$2:$D$13,"conciliado",'Conciliacion de compuestos'!$E$2:$E$13,"OK",'Conciliacion de compuestos'!$N$2:$N$13,A270),COUNTIFS('Conciliacion de compuestos'!$D$2:$D$13,"conciliado",'Conciliacion de compuestos'!$E$2:$E$13,"OK",'Conciliacion de compuestos'!$O$2:$O$13,A270))&gt;0,IFERROR(TEXTJOIN(CHAR(10),TRUE,FILTER('Conciliacion de compuestos'!$A$2:$A$13,('Conciliacion de compuestos'!$D$2:$D$13="conciliado")*('Conciliacion de compuestos'!$E$2:$E$13="OK")*((('Conciliacion de compuestos'!$M$2:$M$13=A270)+('Conciliacion de compuestos'!$N$2:$N$13=A270)+('Conciliacion de compuestos'!$O$2:$O$13=A270))&gt;0))),""),"")</f>
        <v/>
      </c>
      <c r="G270" s="11">
        <f>IF(I270="conciliado","conciliado","por revisar")</f>
        <v/>
      </c>
      <c r="H270" s="11" t="inlineStr"/>
      <c r="I270" s="11">
        <f>IF(SUM(COUNTIFS('Conciliacion de compuestos'!$D$2:$D$13,"conciliado",'Conciliacion de compuestos'!$E$2:$E$13,"OK",'Conciliacion de compuestos'!$M$2:$M$13,A270),COUNTIFS('Conciliacion de compuestos'!$D$2:$D$13,"conciliado",'Conciliacion de compuestos'!$E$2:$E$13,"OK",'Conciliacion de compuestos'!$N$2:$N$13,A270),COUNTIFS('Conciliacion de compuestos'!$D$2:$D$13,"conciliado",'Conciliacion de compuestos'!$E$2:$E$13,"OK",'Conciliacion de compuestos'!$O$2:$O$13,A270))&gt;0,"conciliado","por revisar")</f>
        <v/>
      </c>
    </row>
    <row r="271">
      <c r="A271" s="11" t="n">
        <v>268</v>
      </c>
      <c r="B271" s="12" t="n">
        <v>46052</v>
      </c>
      <c r="C271" s="11" t="inlineStr">
        <is>
          <t>arboleda burbano oma</t>
        </is>
      </c>
      <c r="D271" s="13" t="n">
        <v>40640</v>
      </c>
      <c r="E271" s="11">
        <f>IF(G271="conciliado","conciliado",I271)</f>
        <v/>
      </c>
      <c r="F271" s="11">
        <f>IF(SUM(COUNTIFS('Conciliacion de compuestos'!$D$2:$D$13,"conciliado",'Conciliacion de compuestos'!$E$2:$E$13,"OK",'Conciliacion de compuestos'!$M$2:$M$13,A271),COUNTIFS('Conciliacion de compuestos'!$D$2:$D$13,"conciliado",'Conciliacion de compuestos'!$E$2:$E$13,"OK",'Conciliacion de compuestos'!$N$2:$N$13,A271),COUNTIFS('Conciliacion de compuestos'!$D$2:$D$13,"conciliado",'Conciliacion de compuestos'!$E$2:$E$13,"OK",'Conciliacion de compuestos'!$O$2:$O$13,A271))&gt;0,IFERROR(TEXTJOIN(CHAR(10),TRUE,FILTER('Conciliacion de compuestos'!$A$2:$A$13,('Conciliacion de compuestos'!$D$2:$D$13="conciliado")*('Conciliacion de compuestos'!$E$2:$E$13="OK")*((('Conciliacion de compuestos'!$M$2:$M$13=A271)+('Conciliacion de compuestos'!$N$2:$N$13=A271)+('Conciliacion de compuestos'!$O$2:$O$13=A271))&gt;0))),""),"")</f>
        <v/>
      </c>
      <c r="G271" s="11">
        <f>IF(I271="conciliado","conciliado","por revisar")</f>
        <v/>
      </c>
      <c r="H271" s="11" t="inlineStr"/>
      <c r="I271" s="11">
        <f>IF(SUM(COUNTIFS('Conciliacion de compuestos'!$D$2:$D$13,"conciliado",'Conciliacion de compuestos'!$E$2:$E$13,"OK",'Conciliacion de compuestos'!$M$2:$M$13,A271),COUNTIFS('Conciliacion de compuestos'!$D$2:$D$13,"conciliado",'Conciliacion de compuestos'!$E$2:$E$13,"OK",'Conciliacion de compuestos'!$N$2:$N$13,A271),COUNTIFS('Conciliacion de compuestos'!$D$2:$D$13,"conciliado",'Conciliacion de compuestos'!$E$2:$E$13,"OK",'Conciliacion de compuestos'!$O$2:$O$13,A271))&gt;0,"conciliado","por revisar")</f>
        <v/>
      </c>
    </row>
    <row r="272">
      <c r="A272" s="11" t="n">
        <v>269</v>
      </c>
      <c r="B272" s="12" t="n">
        <v>46052</v>
      </c>
      <c r="C272" s="11" t="inlineStr">
        <is>
          <t>d luis ruiz tarapuez</t>
        </is>
      </c>
      <c r="D272" s="13" t="n">
        <v>79000</v>
      </c>
      <c r="E272" s="11">
        <f>IF(G272="conciliado","conciliado",I272)</f>
        <v/>
      </c>
      <c r="F272" s="11">
        <f>IF(SUM(COUNTIFS('Conciliacion de compuestos'!$D$2:$D$13,"conciliado",'Conciliacion de compuestos'!$E$2:$E$13,"OK",'Conciliacion de compuestos'!$M$2:$M$13,A272),COUNTIFS('Conciliacion de compuestos'!$D$2:$D$13,"conciliado",'Conciliacion de compuestos'!$E$2:$E$13,"OK",'Conciliacion de compuestos'!$N$2:$N$13,A272),COUNTIFS('Conciliacion de compuestos'!$D$2:$D$13,"conciliado",'Conciliacion de compuestos'!$E$2:$E$13,"OK",'Conciliacion de compuestos'!$O$2:$O$13,A272))&gt;0,IFERROR(TEXTJOIN(CHAR(10),TRUE,FILTER('Conciliacion de compuestos'!$A$2:$A$13,('Conciliacion de compuestos'!$D$2:$D$13="conciliado")*('Conciliacion de compuestos'!$E$2:$E$13="OK")*((('Conciliacion de compuestos'!$M$2:$M$13=A272)+('Conciliacion de compuestos'!$N$2:$N$13=A272)+('Conciliacion de compuestos'!$O$2:$O$13=A272))&gt;0))),""),"")</f>
        <v/>
      </c>
      <c r="G272" s="11">
        <f>IF(I272="conciliado","conciliado","por revisar")</f>
        <v/>
      </c>
      <c r="H272" s="11" t="inlineStr"/>
      <c r="I272" s="11">
        <f>IF(SUM(COUNTIFS('Conciliacion de compuestos'!$D$2:$D$13,"conciliado",'Conciliacion de compuestos'!$E$2:$E$13,"OK",'Conciliacion de compuestos'!$M$2:$M$13,A272),COUNTIFS('Conciliacion de compuestos'!$D$2:$D$13,"conciliado",'Conciliacion de compuestos'!$E$2:$E$13,"OK",'Conciliacion de compuestos'!$N$2:$N$13,A272),COUNTIFS('Conciliacion de compuestos'!$D$2:$D$13,"conciliado",'Conciliacion de compuestos'!$E$2:$E$13,"OK",'Conciliacion de compuestos'!$O$2:$O$13,A272))&gt;0,"conciliado","por revisar")</f>
        <v/>
      </c>
    </row>
    <row r="273">
      <c r="A273" s="11" t="n">
        <v>270</v>
      </c>
      <c r="B273" s="12" t="n">
        <v>46052</v>
      </c>
      <c r="C273" s="11" t="inlineStr">
        <is>
          <t>guzman hortua victor</t>
        </is>
      </c>
      <c r="D273" s="13" t="n">
        <v>121700</v>
      </c>
      <c r="E273" s="11">
        <f>IF(G273="conciliado","conciliado",I273)</f>
        <v/>
      </c>
      <c r="F273" s="11">
        <f>IF(SUM(COUNTIFS('Conciliacion de compuestos'!$D$2:$D$13,"conciliado",'Conciliacion de compuestos'!$E$2:$E$13,"OK",'Conciliacion de compuestos'!$M$2:$M$13,A273),COUNTIFS('Conciliacion de compuestos'!$D$2:$D$13,"conciliado",'Conciliacion de compuestos'!$E$2:$E$13,"OK",'Conciliacion de compuestos'!$N$2:$N$13,A273),COUNTIFS('Conciliacion de compuestos'!$D$2:$D$13,"conciliado",'Conciliacion de compuestos'!$E$2:$E$13,"OK",'Conciliacion de compuestos'!$O$2:$O$13,A273))&gt;0,IFERROR(TEXTJOIN(CHAR(10),TRUE,FILTER('Conciliacion de compuestos'!$A$2:$A$13,('Conciliacion de compuestos'!$D$2:$D$13="conciliado")*('Conciliacion de compuestos'!$E$2:$E$13="OK")*((('Conciliacion de compuestos'!$M$2:$M$13=A273)+('Conciliacion de compuestos'!$N$2:$N$13=A273)+('Conciliacion de compuestos'!$O$2:$O$13=A273))&gt;0))),""),"")</f>
        <v/>
      </c>
      <c r="G273" s="11">
        <f>IF(I273="conciliado","conciliado","por revisar")</f>
        <v/>
      </c>
      <c r="H273" s="11" t="inlineStr"/>
      <c r="I273" s="11">
        <f>IF(SUM(COUNTIFS('Conciliacion de compuestos'!$D$2:$D$13,"conciliado",'Conciliacion de compuestos'!$E$2:$E$13,"OK",'Conciliacion de compuestos'!$M$2:$M$13,A273),COUNTIFS('Conciliacion de compuestos'!$D$2:$D$13,"conciliado",'Conciliacion de compuestos'!$E$2:$E$13,"OK",'Conciliacion de compuestos'!$N$2:$N$13,A273),COUNTIFS('Conciliacion de compuestos'!$D$2:$D$13,"conciliado",'Conciliacion de compuestos'!$E$2:$E$13,"OK",'Conciliacion de compuestos'!$O$2:$O$13,A273))&gt;0,"conciliado","por revisar")</f>
        <v/>
      </c>
    </row>
    <row r="274">
      <c r="A274" s="11" t="n">
        <v>271</v>
      </c>
      <c r="B274" s="12" t="n">
        <v>46052</v>
      </c>
      <c r="C274" s="11" t="inlineStr">
        <is>
          <t>dony norve pantoja</t>
        </is>
      </c>
      <c r="D274" s="13" t="n">
        <v>23000</v>
      </c>
      <c r="E274" s="11">
        <f>IF(G274="conciliado","conciliado",I274)</f>
        <v/>
      </c>
      <c r="F274" s="11">
        <f>IF(SUM(COUNTIFS('Conciliacion de compuestos'!$D$2:$D$13,"conciliado",'Conciliacion de compuestos'!$E$2:$E$13,"OK",'Conciliacion de compuestos'!$M$2:$M$13,A274),COUNTIFS('Conciliacion de compuestos'!$D$2:$D$13,"conciliado",'Conciliacion de compuestos'!$E$2:$E$13,"OK",'Conciliacion de compuestos'!$N$2:$N$13,A274),COUNTIFS('Conciliacion de compuestos'!$D$2:$D$13,"conciliado",'Conciliacion de compuestos'!$E$2:$E$13,"OK",'Conciliacion de compuestos'!$O$2:$O$13,A274))&gt;0,IFERROR(TEXTJOIN(CHAR(10),TRUE,FILTER('Conciliacion de compuestos'!$A$2:$A$13,('Conciliacion de compuestos'!$D$2:$D$13="conciliado")*('Conciliacion de compuestos'!$E$2:$E$13="OK")*((('Conciliacion de compuestos'!$M$2:$M$13=A274)+('Conciliacion de compuestos'!$N$2:$N$13=A274)+('Conciliacion de compuestos'!$O$2:$O$13=A274))&gt;0))),""),"")</f>
        <v/>
      </c>
      <c r="G274" s="11">
        <f>IF(I274="conciliado","conciliado","por revisar")</f>
        <v/>
      </c>
      <c r="H274" s="11" t="inlineStr"/>
      <c r="I274" s="11">
        <f>IF(SUM(COUNTIFS('Conciliacion de compuestos'!$D$2:$D$13,"conciliado",'Conciliacion de compuestos'!$E$2:$E$13,"OK",'Conciliacion de compuestos'!$M$2:$M$13,A274),COUNTIFS('Conciliacion de compuestos'!$D$2:$D$13,"conciliado",'Conciliacion de compuestos'!$E$2:$E$13,"OK",'Conciliacion de compuestos'!$N$2:$N$13,A274),COUNTIFS('Conciliacion de compuestos'!$D$2:$D$13,"conciliado",'Conciliacion de compuestos'!$E$2:$E$13,"OK",'Conciliacion de compuestos'!$O$2:$O$13,A274))&gt;0,"conciliado","por revisar")</f>
        <v/>
      </c>
    </row>
    <row r="275">
      <c r="A275" s="11" t="n">
        <v>272</v>
      </c>
      <c r="B275" s="12" t="n">
        <v>46053</v>
      </c>
      <c r="C275" s="11" t="inlineStr">
        <is>
          <t>agrario banco col de</t>
        </is>
      </c>
      <c r="D275" s="13" t="n">
        <v>-1190512</v>
      </c>
      <c r="E275" s="11">
        <f>IF(G275="conciliado","conciliado",I275)</f>
        <v/>
      </c>
      <c r="F275" s="11">
        <f>IF(SUM(COUNTIFS('Conciliacion de compuestos'!$D$2:$D$13,"conciliado",'Conciliacion de compuestos'!$E$2:$E$13,"OK",'Conciliacion de compuestos'!$M$2:$M$13,A275),COUNTIFS('Conciliacion de compuestos'!$D$2:$D$13,"conciliado",'Conciliacion de compuestos'!$E$2:$E$13,"OK",'Conciliacion de compuestos'!$N$2:$N$13,A275),COUNTIFS('Conciliacion de compuestos'!$D$2:$D$13,"conciliado",'Conciliacion de compuestos'!$E$2:$E$13,"OK",'Conciliacion de compuestos'!$O$2:$O$13,A275))&gt;0,IFERROR(TEXTJOIN(CHAR(10),TRUE,FILTER('Conciliacion de compuestos'!$A$2:$A$13,('Conciliacion de compuestos'!$D$2:$D$13="conciliado")*('Conciliacion de compuestos'!$E$2:$E$13="OK")*((('Conciliacion de compuestos'!$M$2:$M$13=A275)+('Conciliacion de compuestos'!$N$2:$N$13=A275)+('Conciliacion de compuestos'!$O$2:$O$13=A275))&gt;0))),""),"")</f>
        <v/>
      </c>
      <c r="G275" s="11">
        <f>IF(I275="conciliado","conciliado","por revisar")</f>
        <v/>
      </c>
      <c r="H275" s="11" t="inlineStr"/>
      <c r="I275" s="11">
        <f>IF(SUM(COUNTIFS('Conciliacion de compuestos'!$D$2:$D$13,"conciliado",'Conciliacion de compuestos'!$E$2:$E$13,"OK",'Conciliacion de compuestos'!$M$2:$M$13,A275),COUNTIFS('Conciliacion de compuestos'!$D$2:$D$13,"conciliado",'Conciliacion de compuestos'!$E$2:$E$13,"OK",'Conciliacion de compuestos'!$N$2:$N$13,A275),COUNTIFS('Conciliacion de compuestos'!$D$2:$D$13,"conciliado",'Conciliacion de compuestos'!$E$2:$E$13,"OK",'Conciliacion de compuestos'!$O$2:$O$13,A275))&gt;0,"conciliado","por revisar")</f>
        <v/>
      </c>
    </row>
    <row r="276">
      <c r="A276" s="11" t="n">
        <v>273</v>
      </c>
      <c r="B276" s="12" t="n">
        <v>46053</v>
      </c>
      <c r="C276" s="11" t="inlineStr">
        <is>
          <t>agrario banco col de</t>
        </is>
      </c>
      <c r="D276" s="13" t="n">
        <v>22</v>
      </c>
      <c r="E276" s="11">
        <f>IF(G276="conciliado","conciliado",I276)</f>
        <v/>
      </c>
      <c r="F276" s="11">
        <f>IF(SUM(COUNTIFS('Conciliacion de compuestos'!$D$2:$D$13,"conciliado",'Conciliacion de compuestos'!$E$2:$E$13,"OK",'Conciliacion de compuestos'!$M$2:$M$13,A276),COUNTIFS('Conciliacion de compuestos'!$D$2:$D$13,"conciliado",'Conciliacion de compuestos'!$E$2:$E$13,"OK",'Conciliacion de compuestos'!$N$2:$N$13,A276),COUNTIFS('Conciliacion de compuestos'!$D$2:$D$13,"conciliado",'Conciliacion de compuestos'!$E$2:$E$13,"OK",'Conciliacion de compuestos'!$O$2:$O$13,A276))&gt;0,IFERROR(TEXTJOIN(CHAR(10),TRUE,FILTER('Conciliacion de compuestos'!$A$2:$A$13,('Conciliacion de compuestos'!$D$2:$D$13="conciliado")*('Conciliacion de compuestos'!$E$2:$E$13="OK")*((('Conciliacion de compuestos'!$M$2:$M$13=A276)+('Conciliacion de compuestos'!$N$2:$N$13=A276)+('Conciliacion de compuestos'!$O$2:$O$13=A276))&gt;0))),""),"")</f>
        <v/>
      </c>
      <c r="G276" s="11">
        <f>IF(I276="conciliado","conciliado","por revisar")</f>
        <v/>
      </c>
      <c r="H276" s="11" t="inlineStr"/>
      <c r="I276" s="11">
        <f>IF(SUM(COUNTIFS('Conciliacion de compuestos'!$D$2:$D$13,"conciliado",'Conciliacion de compuestos'!$E$2:$E$13,"OK",'Conciliacion de compuestos'!$M$2:$M$13,A276),COUNTIFS('Conciliacion de compuestos'!$D$2:$D$13,"conciliado",'Conciliacion de compuestos'!$E$2:$E$13,"OK",'Conciliacion de compuestos'!$N$2:$N$13,A276),COUNTIFS('Conciliacion de compuestos'!$D$2:$D$13,"conciliado",'Conciliacion de compuestos'!$E$2:$E$13,"OK",'Conciliacion de compuestos'!$O$2:$O$13,A276))&gt;0,"conciliado","por revisar")</f>
        <v/>
      </c>
    </row>
    <row r="277">
      <c r="A277" s="11" t="n">
        <v>274</v>
      </c>
      <c r="B277" s="12" t="n">
        <v>46053</v>
      </c>
      <c r="C277" s="11" t="inlineStr">
        <is>
          <t>caycedo cortez helid</t>
        </is>
      </c>
      <c r="D277" s="13" t="n">
        <v>360800</v>
      </c>
      <c r="E277" s="11">
        <f>IF(G277="conciliado","conciliado",I277)</f>
        <v/>
      </c>
      <c r="F277" s="11">
        <f>IF(SUM(COUNTIFS('Conciliacion de compuestos'!$D$2:$D$13,"conciliado",'Conciliacion de compuestos'!$E$2:$E$13,"OK",'Conciliacion de compuestos'!$M$2:$M$13,A277),COUNTIFS('Conciliacion de compuestos'!$D$2:$D$13,"conciliado",'Conciliacion de compuestos'!$E$2:$E$13,"OK",'Conciliacion de compuestos'!$N$2:$N$13,A277),COUNTIFS('Conciliacion de compuestos'!$D$2:$D$13,"conciliado",'Conciliacion de compuestos'!$E$2:$E$13,"OK",'Conciliacion de compuestos'!$O$2:$O$13,A277))&gt;0,IFERROR(TEXTJOIN(CHAR(10),TRUE,FILTER('Conciliacion de compuestos'!$A$2:$A$13,('Conciliacion de compuestos'!$D$2:$D$13="conciliado")*('Conciliacion de compuestos'!$E$2:$E$13="OK")*((('Conciliacion de compuestos'!$M$2:$M$13=A277)+('Conciliacion de compuestos'!$N$2:$N$13=A277)+('Conciliacion de compuestos'!$O$2:$O$13=A277))&gt;0))),""),"")</f>
        <v/>
      </c>
      <c r="G277" s="11">
        <f>IF(I277="conciliado","conciliado","por revisar")</f>
        <v/>
      </c>
      <c r="H277" s="11" t="inlineStr"/>
      <c r="I277" s="11">
        <f>IF(SUM(COUNTIFS('Conciliacion de compuestos'!$D$2:$D$13,"conciliado",'Conciliacion de compuestos'!$E$2:$E$13,"OK",'Conciliacion de compuestos'!$M$2:$M$13,A277),COUNTIFS('Conciliacion de compuestos'!$D$2:$D$13,"conciliado",'Conciliacion de compuestos'!$E$2:$E$13,"OK",'Conciliacion de compuestos'!$N$2:$N$13,A277),COUNTIFS('Conciliacion de compuestos'!$D$2:$D$13,"conciliado",'Conciliacion de compuestos'!$E$2:$E$13,"OK",'Conciliacion de compuestos'!$O$2:$O$13,A277))&gt;0,"conciliado","por revisar")</f>
        <v/>
      </c>
    </row>
    <row r="278">
      <c r="A278" s="11" t="n">
        <v>275</v>
      </c>
      <c r="B278" s="12" t="n">
        <v>46053</v>
      </c>
      <c r="C278" s="11" t="inlineStr">
        <is>
          <t>carretero diaz oscar</t>
        </is>
      </c>
      <c r="D278" s="13" t="n">
        <v>356400</v>
      </c>
      <c r="E278" s="11">
        <f>IF(G278="conciliado","conciliado",I278)</f>
        <v/>
      </c>
      <c r="F278" s="11">
        <f>IF(SUM(COUNTIFS('Conciliacion de compuestos'!$D$2:$D$13,"conciliado",'Conciliacion de compuestos'!$E$2:$E$13,"OK",'Conciliacion de compuestos'!$M$2:$M$13,A278),COUNTIFS('Conciliacion de compuestos'!$D$2:$D$13,"conciliado",'Conciliacion de compuestos'!$E$2:$E$13,"OK",'Conciliacion de compuestos'!$N$2:$N$13,A278),COUNTIFS('Conciliacion de compuestos'!$D$2:$D$13,"conciliado",'Conciliacion de compuestos'!$E$2:$E$13,"OK",'Conciliacion de compuestos'!$O$2:$O$13,A278))&gt;0,IFERROR(TEXTJOIN(CHAR(10),TRUE,FILTER('Conciliacion de compuestos'!$A$2:$A$13,('Conciliacion de compuestos'!$D$2:$D$13="conciliado")*('Conciliacion de compuestos'!$E$2:$E$13="OK")*((('Conciliacion de compuestos'!$M$2:$M$13=A278)+('Conciliacion de compuestos'!$N$2:$N$13=A278)+('Conciliacion de compuestos'!$O$2:$O$13=A278))&gt;0))),""),"")</f>
        <v/>
      </c>
      <c r="G278" s="11">
        <f>IF(I278="conciliado","conciliado","por revisar")</f>
        <v/>
      </c>
      <c r="H278" s="11" t="inlineStr"/>
      <c r="I278" s="11">
        <f>IF(SUM(COUNTIFS('Conciliacion de compuestos'!$D$2:$D$13,"conciliado",'Conciliacion de compuestos'!$E$2:$E$13,"OK",'Conciliacion de compuestos'!$M$2:$M$13,A278),COUNTIFS('Conciliacion de compuestos'!$D$2:$D$13,"conciliado",'Conciliacion de compuestos'!$E$2:$E$13,"OK",'Conciliacion de compuestos'!$N$2:$N$13,A278),COUNTIFS('Conciliacion de compuestos'!$D$2:$D$13,"conciliado",'Conciliacion de compuestos'!$E$2:$E$13,"OK",'Conciliacion de compuestos'!$O$2:$O$13,A278))&gt;0,"conciliado","por revisar")</f>
        <v/>
      </c>
    </row>
    <row r="279">
      <c r="A279" s="11" t="n">
        <v>276</v>
      </c>
      <c r="B279" s="12" t="n">
        <v>46053</v>
      </c>
      <c r="C279" s="11" t="inlineStr">
        <is>
          <t>cruzate diana zuleta</t>
        </is>
      </c>
      <c r="D279" s="13" t="n">
        <v>37600</v>
      </c>
      <c r="E279" s="11">
        <f>IF(G279="conciliado","conciliado",I279)</f>
        <v/>
      </c>
      <c r="F279" s="11">
        <f>IF(SUM(COUNTIFS('Conciliacion de compuestos'!$D$2:$D$13,"conciliado",'Conciliacion de compuestos'!$E$2:$E$13,"OK",'Conciliacion de compuestos'!$M$2:$M$13,A279),COUNTIFS('Conciliacion de compuestos'!$D$2:$D$13,"conciliado",'Conciliacion de compuestos'!$E$2:$E$13,"OK",'Conciliacion de compuestos'!$N$2:$N$13,A279),COUNTIFS('Conciliacion de compuestos'!$D$2:$D$13,"conciliado",'Conciliacion de compuestos'!$E$2:$E$13,"OK",'Conciliacion de compuestos'!$O$2:$O$13,A279))&gt;0,IFERROR(TEXTJOIN(CHAR(10),TRUE,FILTER('Conciliacion de compuestos'!$A$2:$A$13,('Conciliacion de compuestos'!$D$2:$D$13="conciliado")*('Conciliacion de compuestos'!$E$2:$E$13="OK")*((('Conciliacion de compuestos'!$M$2:$M$13=A279)+('Conciliacion de compuestos'!$N$2:$N$13=A279)+('Conciliacion de compuestos'!$O$2:$O$13=A279))&gt;0))),""),"")</f>
        <v/>
      </c>
      <c r="G279" s="11">
        <f>IF(I279="conciliado","conciliado","por revisar")</f>
        <v/>
      </c>
      <c r="H279" s="11" t="inlineStr"/>
      <c r="I279" s="11">
        <f>IF(SUM(COUNTIFS('Conciliacion de compuestos'!$D$2:$D$13,"conciliado",'Conciliacion de compuestos'!$E$2:$E$13,"OK",'Conciliacion de compuestos'!$M$2:$M$13,A279),COUNTIFS('Conciliacion de compuestos'!$D$2:$D$13,"conciliado",'Conciliacion de compuestos'!$E$2:$E$13,"OK",'Conciliacion de compuestos'!$N$2:$N$13,A279),COUNTIFS('Conciliacion de compuestos'!$D$2:$D$13,"conciliado",'Conciliacion de compuestos'!$E$2:$E$13,"OK",'Conciliacion de compuestos'!$O$2:$O$13,A279))&gt;0,"conciliado","por revisar")</f>
        <v/>
      </c>
    </row>
    <row r="280">
      <c r="A280" s="11" t="n">
        <v>277</v>
      </c>
      <c r="B280" s="12" t="n">
        <v>46053</v>
      </c>
      <c r="C280" s="11" t="inlineStr">
        <is>
          <t>caicedo car jimenez</t>
        </is>
      </c>
      <c r="D280" s="13" t="n">
        <v>264360</v>
      </c>
      <c r="E280" s="11">
        <f>IF(G280="conciliado","conciliado",I280)</f>
        <v/>
      </c>
      <c r="F280" s="11">
        <f>IF(SUM(COUNTIFS('Conciliacion de compuestos'!$D$2:$D$13,"conciliado",'Conciliacion de compuestos'!$E$2:$E$13,"OK",'Conciliacion de compuestos'!$M$2:$M$13,A280),COUNTIFS('Conciliacion de compuestos'!$D$2:$D$13,"conciliado",'Conciliacion de compuestos'!$E$2:$E$13,"OK",'Conciliacion de compuestos'!$N$2:$N$13,A280),COUNTIFS('Conciliacion de compuestos'!$D$2:$D$13,"conciliado",'Conciliacion de compuestos'!$E$2:$E$13,"OK",'Conciliacion de compuestos'!$O$2:$O$13,A280))&gt;0,IFERROR(TEXTJOIN(CHAR(10),TRUE,FILTER('Conciliacion de compuestos'!$A$2:$A$13,('Conciliacion de compuestos'!$D$2:$D$13="conciliado")*('Conciliacion de compuestos'!$E$2:$E$13="OK")*((('Conciliacion de compuestos'!$M$2:$M$13=A280)+('Conciliacion de compuestos'!$N$2:$N$13=A280)+('Conciliacion de compuestos'!$O$2:$O$13=A280))&gt;0))),""),"")</f>
        <v/>
      </c>
      <c r="G280" s="11">
        <f>IF(I280="conciliado","conciliado","por revisar")</f>
        <v/>
      </c>
      <c r="H280" s="11" t="inlineStr"/>
      <c r="I280" s="11">
        <f>IF(SUM(COUNTIFS('Conciliacion de compuestos'!$D$2:$D$13,"conciliado",'Conciliacion de compuestos'!$E$2:$E$13,"OK",'Conciliacion de compuestos'!$M$2:$M$13,A280),COUNTIFS('Conciliacion de compuestos'!$D$2:$D$13,"conciliado",'Conciliacion de compuestos'!$E$2:$E$13,"OK",'Conciliacion de compuestos'!$N$2:$N$13,A280),COUNTIFS('Conciliacion de compuestos'!$D$2:$D$13,"conciliado",'Conciliacion de compuestos'!$E$2:$E$13,"OK",'Conciliacion de compuestos'!$O$2:$O$13,A280))&gt;0,"conciliado","por revisar")</f>
        <v/>
      </c>
    </row>
    <row r="281">
      <c r="A281" s="11" t="n">
        <v>278</v>
      </c>
      <c r="B281" s="12" t="n">
        <v>46053</v>
      </c>
      <c r="C281" s="11" t="inlineStr">
        <is>
          <t>alba arango meza pat</t>
        </is>
      </c>
      <c r="D281" s="13" t="n">
        <v>34900</v>
      </c>
      <c r="E281" s="11">
        <f>IF(G281="conciliado","conciliado",I281)</f>
        <v/>
      </c>
      <c r="F281" s="11">
        <f>IF(SUM(COUNTIFS('Conciliacion de compuestos'!$D$2:$D$13,"conciliado",'Conciliacion de compuestos'!$E$2:$E$13,"OK",'Conciliacion de compuestos'!$M$2:$M$13,A281),COUNTIFS('Conciliacion de compuestos'!$D$2:$D$13,"conciliado",'Conciliacion de compuestos'!$E$2:$E$13,"OK",'Conciliacion de compuestos'!$N$2:$N$13,A281),COUNTIFS('Conciliacion de compuestos'!$D$2:$D$13,"conciliado",'Conciliacion de compuestos'!$E$2:$E$13,"OK",'Conciliacion de compuestos'!$O$2:$O$13,A281))&gt;0,IFERROR(TEXTJOIN(CHAR(10),TRUE,FILTER('Conciliacion de compuestos'!$A$2:$A$13,('Conciliacion de compuestos'!$D$2:$D$13="conciliado")*('Conciliacion de compuestos'!$E$2:$E$13="OK")*((('Conciliacion de compuestos'!$M$2:$M$13=A281)+('Conciliacion de compuestos'!$N$2:$N$13=A281)+('Conciliacion de compuestos'!$O$2:$O$13=A281))&gt;0))),""),"")</f>
        <v/>
      </c>
      <c r="G281" s="11">
        <f>IF(I281="conciliado","conciliado","por revisar")</f>
        <v/>
      </c>
      <c r="H281" s="11" t="inlineStr"/>
      <c r="I281" s="11">
        <f>IF(SUM(COUNTIFS('Conciliacion de compuestos'!$D$2:$D$13,"conciliado",'Conciliacion de compuestos'!$E$2:$E$13,"OK",'Conciliacion de compuestos'!$M$2:$M$13,A281),COUNTIFS('Conciliacion de compuestos'!$D$2:$D$13,"conciliado",'Conciliacion de compuestos'!$E$2:$E$13,"OK",'Conciliacion de compuestos'!$N$2:$N$13,A281),COUNTIFS('Conciliacion de compuestos'!$D$2:$D$13,"conciliado",'Conciliacion de compuestos'!$E$2:$E$13,"OK",'Conciliacion de compuestos'!$O$2:$O$13,A281))&gt;0,"conciliado","por revisar")</f>
        <v/>
      </c>
    </row>
    <row r="282">
      <c r="A282" s="11" t="n">
        <v>279</v>
      </c>
      <c r="B282" s="12" t="n">
        <v>46053</v>
      </c>
      <c r="C282" s="11" t="inlineStr">
        <is>
          <t>grisales melo zulma</t>
        </is>
      </c>
      <c r="D282" s="13" t="n">
        <v>27806</v>
      </c>
      <c r="E282" s="11">
        <f>IF(G282="conciliado","conciliado",I282)</f>
        <v/>
      </c>
      <c r="F282" s="11">
        <f>IF(SUM(COUNTIFS('Conciliacion de compuestos'!$D$2:$D$13,"conciliado",'Conciliacion de compuestos'!$E$2:$E$13,"OK",'Conciliacion de compuestos'!$M$2:$M$13,A282),COUNTIFS('Conciliacion de compuestos'!$D$2:$D$13,"conciliado",'Conciliacion de compuestos'!$E$2:$E$13,"OK",'Conciliacion de compuestos'!$N$2:$N$13,A282),COUNTIFS('Conciliacion de compuestos'!$D$2:$D$13,"conciliado",'Conciliacion de compuestos'!$E$2:$E$13,"OK",'Conciliacion de compuestos'!$O$2:$O$13,A282))&gt;0,IFERROR(TEXTJOIN(CHAR(10),TRUE,FILTER('Conciliacion de compuestos'!$A$2:$A$13,('Conciliacion de compuestos'!$D$2:$D$13="conciliado")*('Conciliacion de compuestos'!$E$2:$E$13="OK")*((('Conciliacion de compuestos'!$M$2:$M$13=A282)+('Conciliacion de compuestos'!$N$2:$N$13=A282)+('Conciliacion de compuestos'!$O$2:$O$13=A282))&gt;0))),""),"")</f>
        <v/>
      </c>
      <c r="G282" s="11">
        <f>IF(I282="conciliado","conciliado","por revisar")</f>
        <v/>
      </c>
      <c r="H282" s="11" t="inlineStr"/>
      <c r="I282" s="11">
        <f>IF(SUM(COUNTIFS('Conciliacion de compuestos'!$D$2:$D$13,"conciliado",'Conciliacion de compuestos'!$E$2:$E$13,"OK",'Conciliacion de compuestos'!$M$2:$M$13,A282),COUNTIFS('Conciliacion de compuestos'!$D$2:$D$13,"conciliado",'Conciliacion de compuestos'!$E$2:$E$13,"OK",'Conciliacion de compuestos'!$N$2:$N$13,A282),COUNTIFS('Conciliacion de compuestos'!$D$2:$D$13,"conciliado",'Conciliacion de compuestos'!$E$2:$E$13,"OK",'Conciliacion de compuestos'!$O$2:$O$13,A282))&gt;0,"conciliado","por revisar")</f>
        <v/>
      </c>
    </row>
    <row r="283">
      <c r="A283" s="11" t="n">
        <v>280</v>
      </c>
      <c r="B283" s="12" t="n">
        <v>46053</v>
      </c>
      <c r="C283" s="11" t="inlineStr">
        <is>
          <t>abela ortiz zambrano</t>
        </is>
      </c>
      <c r="D283" s="13" t="n">
        <v>138600</v>
      </c>
      <c r="E283" s="11">
        <f>IF(G283="conciliado","conciliado",I283)</f>
        <v/>
      </c>
      <c r="F283" s="11">
        <f>IF(SUM(COUNTIFS('Conciliacion de compuestos'!$D$2:$D$13,"conciliado",'Conciliacion de compuestos'!$E$2:$E$13,"OK",'Conciliacion de compuestos'!$M$2:$M$13,A283),COUNTIFS('Conciliacion de compuestos'!$D$2:$D$13,"conciliado",'Conciliacion de compuestos'!$E$2:$E$13,"OK",'Conciliacion de compuestos'!$N$2:$N$13,A283),COUNTIFS('Conciliacion de compuestos'!$D$2:$D$13,"conciliado",'Conciliacion de compuestos'!$E$2:$E$13,"OK",'Conciliacion de compuestos'!$O$2:$O$13,A283))&gt;0,IFERROR(TEXTJOIN(CHAR(10),TRUE,FILTER('Conciliacion de compuestos'!$A$2:$A$13,('Conciliacion de compuestos'!$D$2:$D$13="conciliado")*('Conciliacion de compuestos'!$E$2:$E$13="OK")*((('Conciliacion de compuestos'!$M$2:$M$13=A283)+('Conciliacion de compuestos'!$N$2:$N$13=A283)+('Conciliacion de compuestos'!$O$2:$O$13=A283))&gt;0))),""),"")</f>
        <v/>
      </c>
      <c r="G283" s="11">
        <f>IF(I283="conciliado","conciliado","por revisar")</f>
        <v/>
      </c>
      <c r="H283" s="11" t="inlineStr"/>
      <c r="I283" s="11">
        <f>IF(SUM(COUNTIFS('Conciliacion de compuestos'!$D$2:$D$13,"conciliado",'Conciliacion de compuestos'!$E$2:$E$13,"OK",'Conciliacion de compuestos'!$M$2:$M$13,A283),COUNTIFS('Conciliacion de compuestos'!$D$2:$D$13,"conciliado",'Conciliacion de compuestos'!$E$2:$E$13,"OK",'Conciliacion de compuestos'!$N$2:$N$13,A283),COUNTIFS('Conciliacion de compuestos'!$D$2:$D$13,"conciliado",'Conciliacion de compuestos'!$E$2:$E$13,"OK",'Conciliacion de compuestos'!$O$2:$O$13,A283))&gt;0,"conciliado","por revisar")</f>
        <v/>
      </c>
    </row>
    <row r="284">
      <c r="A284" s="11" t="n">
        <v>281</v>
      </c>
      <c r="B284" s="12" t="n">
        <v>46053</v>
      </c>
      <c r="C284" s="11" t="inlineStr">
        <is>
          <t>cuaran cuaran pablo</t>
        </is>
      </c>
      <c r="D284" s="13" t="n">
        <v>113200</v>
      </c>
      <c r="E284" s="11">
        <f>IF(G284="conciliado","conciliado",I284)</f>
        <v/>
      </c>
      <c r="F284" s="11">
        <f>IF(SUM(COUNTIFS('Conciliacion de compuestos'!$D$2:$D$13,"conciliado",'Conciliacion de compuestos'!$E$2:$E$13,"OK",'Conciliacion de compuestos'!$M$2:$M$13,A284),COUNTIFS('Conciliacion de compuestos'!$D$2:$D$13,"conciliado",'Conciliacion de compuestos'!$E$2:$E$13,"OK",'Conciliacion de compuestos'!$N$2:$N$13,A284),COUNTIFS('Conciliacion de compuestos'!$D$2:$D$13,"conciliado",'Conciliacion de compuestos'!$E$2:$E$13,"OK",'Conciliacion de compuestos'!$O$2:$O$13,A284))&gt;0,IFERROR(TEXTJOIN(CHAR(10),TRUE,FILTER('Conciliacion de compuestos'!$A$2:$A$13,('Conciliacion de compuestos'!$D$2:$D$13="conciliado")*('Conciliacion de compuestos'!$E$2:$E$13="OK")*((('Conciliacion de compuestos'!$M$2:$M$13=A284)+('Conciliacion de compuestos'!$N$2:$N$13=A284)+('Conciliacion de compuestos'!$O$2:$O$13=A284))&gt;0))),""),"")</f>
        <v/>
      </c>
      <c r="G284" s="11">
        <f>IF(I284="conciliado","conciliado","por revisar")</f>
        <v/>
      </c>
      <c r="H284" s="11" t="inlineStr"/>
      <c r="I284" s="11">
        <f>IF(SUM(COUNTIFS('Conciliacion de compuestos'!$D$2:$D$13,"conciliado",'Conciliacion de compuestos'!$E$2:$E$13,"OK",'Conciliacion de compuestos'!$M$2:$M$13,A284),COUNTIFS('Conciliacion de compuestos'!$D$2:$D$13,"conciliado",'Conciliacion de compuestos'!$E$2:$E$13,"OK",'Conciliacion de compuestos'!$N$2:$N$13,A284),COUNTIFS('Conciliacion de compuestos'!$D$2:$D$13,"conciliado",'Conciliacion de compuestos'!$E$2:$E$13,"OK",'Conciliacion de compuestos'!$O$2:$O$13,A284))&gt;0,"conciliado","por revisar")</f>
        <v/>
      </c>
    </row>
  </sheetData>
  <autoFilter ref="A3:H284"/>
  <mergeCells count="4">
    <mergeCell ref="G2:H2"/>
    <mergeCell ref="E2:F2"/>
    <mergeCell ref="A2:D2"/>
    <mergeCell ref="A1:H1"/>
  </mergeCells>
  <conditionalFormatting sqref="A4:F284">
    <cfRule type="expression" priority="1" dxfId="0">
      <formula>$E4="conciliado"</formula>
    </cfRule>
    <cfRule type="expression" priority="2" dxfId="1">
      <formula>$E4="por revisar"</formula>
    </cfRule>
  </conditionalFormatting>
  <conditionalFormatting sqref="A4:H284">
    <cfRule type="expression" priority="3" dxfId="0">
      <formula>$G4="conciliado"</formula>
    </cfRule>
  </conditionalFormatting>
  <conditionalFormatting sqref="G4:H284">
    <cfRule type="expression" priority="4" dxfId="1">
      <formula>$G4="por revisar"</formula>
    </cfRule>
  </conditionalFormatting>
  <dataValidations count="1">
    <dataValidation sqref="G4:G284" showDropDown="0" showInputMessage="0" showErrorMessage="0" allowBlank="1" errorTitle="Estado inválido" error="Seleccioná conciliado o por revisar." promptTitle="Estado manual" prompt="Usá conciliado solo cuando completes la revisión manual." type="list">
      <formula1>"por revisar,conciliado"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  <col width="24" customWidth="1" min="5" max="5"/>
    <col width="42" customWidth="1" min="6" max="6"/>
    <col width="32" customWidth="1" min="7" max="7"/>
    <col hidden="1" width="14" customWidth="1" min="8" max="8"/>
    <col hidden="1" width="14" customWidth="1" min="9" max="9"/>
    <col hidden="1" width="12" customWidth="1" min="10" max="10"/>
    <col hidden="1" width="12" customWidth="1" min="11" max="11"/>
    <col hidden="1" width="12" customWidth="1" min="12" max="12"/>
    <col hidden="1" width="12" customWidth="1" min="13" max="13"/>
    <col hidden="1" width="12" customWidth="1" min="14" max="14"/>
    <col hidden="1" width="12" customWidth="1" min="15" max="15"/>
  </cols>
  <sheetData>
    <row r="1">
      <c r="A1" s="8" t="inlineStr">
        <is>
          <t>Movimientos banco</t>
        </is>
      </c>
      <c r="B1" s="8" t="inlineStr">
        <is>
          <t>Movimientos libro_aux</t>
        </is>
      </c>
      <c r="C1" s="8" t="inlineStr">
        <is>
          <t>Diferencia</t>
        </is>
      </c>
      <c r="D1" s="8" t="inlineStr">
        <is>
          <t>Estado</t>
        </is>
      </c>
      <c r="E1" s="8" t="inlineStr">
        <is>
          <t>Validacion</t>
        </is>
      </c>
      <c r="F1" s="8" t="inlineStr">
        <is>
          <t>Descripcion</t>
        </is>
      </c>
      <c r="G1" s="8" t="inlineStr">
        <is>
          <t>Observacion</t>
        </is>
      </c>
      <c r="H1" s="8" t="inlineStr">
        <is>
          <t>ids banco</t>
        </is>
      </c>
      <c r="I1" s="8" t="inlineStr">
        <is>
          <t>ids libro_aux</t>
        </is>
      </c>
      <c r="J1" s="8" t="inlineStr">
        <is>
          <t>id banco 1</t>
        </is>
      </c>
      <c r="K1" s="8" t="inlineStr">
        <is>
          <t>id banco 2</t>
        </is>
      </c>
      <c r="L1" s="8" t="inlineStr">
        <is>
          <t>id banco 3</t>
        </is>
      </c>
      <c r="M1" s="8" t="inlineStr">
        <is>
          <t>id libro_aux 1</t>
        </is>
      </c>
      <c r="N1" s="8" t="inlineStr">
        <is>
          <t>id libro_aux 2</t>
        </is>
      </c>
      <c r="O1" s="8" t="inlineStr">
        <is>
          <t>id libro_aux 3</t>
        </is>
      </c>
    </row>
    <row r="2">
      <c r="A2" s="11" t="inlineStr">
        <is>
          <t>145 | 2026-01-05 | 21,300 | depositos electronicos masterca transaccion
150 | 2026-01-05 | 24,800 | depositos electronicos masterca transaccion</t>
        </is>
      </c>
      <c r="B2" s="11" t="inlineStr">
        <is>
          <t>38 | 2026-01-05 | 46,100 | cardona ospina victo</t>
        </is>
      </c>
      <c r="C2" s="13" t="n">
        <v>0</v>
      </c>
      <c r="D2" s="11" t="inlineStr">
        <is>
          <t>por revisar</t>
        </is>
      </c>
      <c r="E2" s="11">
        <f>IF(D2&lt;&gt;"conciliado","Pendiente",IF(C2&lt;&gt;0,"ERROR: diferencia distinta de cero",IF(OR(AND(J2&lt;&gt;"",SUM(COUNTIFS($D$2:$D$13,"conciliado",$J$2:$J$13,J2),COUNTIFS($D$2:$D$13,"conciliado",$K$2:$K$13,J2),COUNTIFS($D$2:$D$13,"conciliado",$L$2:$L$13,J2))&gt;1),AND(K2&lt;&gt;"",SUM(COUNTIFS($D$2:$D$13,"conciliado",$J$2:$J$13,K2),COUNTIFS($D$2:$D$13,"conciliado",$K$2:$K$13,K2),COUNTIFS($D$2:$D$13,"conciliado",$L$2:$L$13,K2))&gt;1),AND(L2&lt;&gt;"",SUM(COUNTIFS($D$2:$D$13,"conciliado",$J$2:$J$13,L2),COUNTIFS($D$2:$D$13,"conciliado",$K$2:$K$13,L2),COUNTIFS($D$2:$D$13,"conciliado",$L$2:$L$13,L2))&gt;1)),"ERROR: banco ya usado en otro compuesto conciliado",IF(OR(AND(M2&lt;&gt;"",SUM(COUNTIFS($D$2:$D$13,"conciliado",$M$2:$M$13,M2),COUNTIFS($D$2:$D$13,"conciliado",$N$2:$N$13,M2),COUNTIFS($D$2:$D$13,"conciliado",$O$2:$O$13,M2))&gt;1),AND(N2&lt;&gt;"",SUM(COUNTIFS($D$2:$D$13,"conciliado",$M$2:$M$13,N2),COUNTIFS($D$2:$D$13,"conciliado",$N$2:$N$13,N2),COUNTIFS($D$2:$D$13,"conciliado",$O$2:$O$13,N2))&gt;1),AND(O2&lt;&gt;"",SUM(COUNTIFS($D$2:$D$13,"conciliado",$M$2:$M$13,O2),COUNTIFS($D$2:$D$13,"conciliado",$N$2:$N$13,O2),COUNTIFS($D$2:$D$13,"conciliado",$O$2:$O$13,O2))&gt;1)),"ERROR: libro_aux ya usado en otro compuesto conciliado","OK"))))</f>
        <v/>
      </c>
      <c r="F2" s="11" t="inlineStr">
        <is>
          <t>Posible compuesto detectado por suma exacta en la misma fecha. Revisar antes de conciliar.</t>
        </is>
      </c>
      <c r="G2" s="11" t="inlineStr"/>
      <c r="H2" s="11" t="inlineStr">
        <is>
          <t>145, 150</t>
        </is>
      </c>
      <c r="I2" s="11" t="inlineStr">
        <is>
          <t>38</t>
        </is>
      </c>
      <c r="J2" s="11" t="n">
        <v>145</v>
      </c>
      <c r="K2" s="11" t="n">
        <v>150</v>
      </c>
      <c r="L2" s="11" t="inlineStr"/>
      <c r="M2" s="11" t="n">
        <v>38</v>
      </c>
      <c r="N2" s="11" t="inlineStr"/>
      <c r="O2" s="11" t="inlineStr"/>
    </row>
    <row r="3">
      <c r="A3" s="11" t="inlineStr">
        <is>
          <t>380 | 2026-01-05 | 21,400 | depositos electronicos masterca transaccion
385 | 2026-01-05 | 20,000 | depositos electronicos masterca transaccion
415 | 2026-01-05 | 22,200 | depositos electronicos masterca transaccion</t>
        </is>
      </c>
      <c r="B3" s="11" t="inlineStr">
        <is>
          <t>46 | 2026-01-05 | 63,600 | guzman rob turcan</t>
        </is>
      </c>
      <c r="C3" s="13" t="n">
        <v>0</v>
      </c>
      <c r="D3" s="11" t="inlineStr">
        <is>
          <t>por revisar</t>
        </is>
      </c>
      <c r="E3" s="11">
        <f>IF(D3&lt;&gt;"conciliado","Pendiente",IF(C3&lt;&gt;0,"ERROR: diferencia distinta de cero",IF(OR(AND(J3&lt;&gt;"",SUM(COUNTIFS($D$2:$D$13,"conciliado",$J$2:$J$13,J3),COUNTIFS($D$2:$D$13,"conciliado",$K$2:$K$13,J3),COUNTIFS($D$2:$D$13,"conciliado",$L$2:$L$13,J3))&gt;1),AND(K3&lt;&gt;"",SUM(COUNTIFS($D$2:$D$13,"conciliado",$J$2:$J$13,K3),COUNTIFS($D$2:$D$13,"conciliado",$K$2:$K$13,K3),COUNTIFS($D$2:$D$13,"conciliado",$L$2:$L$13,K3))&gt;1),AND(L3&lt;&gt;"",SUM(COUNTIFS($D$2:$D$13,"conciliado",$J$2:$J$13,L3),COUNTIFS($D$2:$D$13,"conciliado",$K$2:$K$13,L3),COUNTIFS($D$2:$D$13,"conciliado",$L$2:$L$13,L3))&gt;1)),"ERROR: banco ya usado en otro compuesto conciliado",IF(OR(AND(M3&lt;&gt;"",SUM(COUNTIFS($D$2:$D$13,"conciliado",$M$2:$M$13,M3),COUNTIFS($D$2:$D$13,"conciliado",$N$2:$N$13,M3),COUNTIFS($D$2:$D$13,"conciliado",$O$2:$O$13,M3))&gt;1),AND(N3&lt;&gt;"",SUM(COUNTIFS($D$2:$D$13,"conciliado",$M$2:$M$13,N3),COUNTIFS($D$2:$D$13,"conciliado",$N$2:$N$13,N3),COUNTIFS($D$2:$D$13,"conciliado",$O$2:$O$13,N3))&gt;1),AND(O3&lt;&gt;"",SUM(COUNTIFS($D$2:$D$13,"conciliado",$M$2:$M$13,O3),COUNTIFS($D$2:$D$13,"conciliado",$N$2:$N$13,O3),COUNTIFS($D$2:$D$13,"conciliado",$O$2:$O$13,O3))&gt;1)),"ERROR: libro_aux ya usado en otro compuesto conciliado","OK"))))</f>
        <v/>
      </c>
      <c r="F3" s="11" t="inlineStr">
        <is>
          <t>Posible compuesto detectado por suma exacta en la misma fecha. Revisar antes de conciliar.</t>
        </is>
      </c>
      <c r="G3" s="11" t="inlineStr"/>
      <c r="H3" s="11" t="inlineStr">
        <is>
          <t>380, 385, 415</t>
        </is>
      </c>
      <c r="I3" s="11" t="inlineStr">
        <is>
          <t>46</t>
        </is>
      </c>
      <c r="J3" s="11" t="n">
        <v>380</v>
      </c>
      <c r="K3" s="11" t="n">
        <v>385</v>
      </c>
      <c r="L3" s="11" t="n">
        <v>415</v>
      </c>
      <c r="M3" s="11" t="n">
        <v>46</v>
      </c>
      <c r="N3" s="11" t="inlineStr"/>
      <c r="O3" s="11" t="inlineStr"/>
    </row>
    <row r="4">
      <c r="A4" s="11" t="inlineStr">
        <is>
          <t>145 | 2026-01-05 | 21,300 | depositos electronicos masterca transaccion
175 | 2026-01-05 | 45,500 | depositos electronicos masterca transaccion
375 | 2026-01-05 | 23,700 | depositos electronicos masterca transaccion</t>
        </is>
      </c>
      <c r="B4" s="11" t="inlineStr">
        <is>
          <t>44 | 2026-01-05 | 90,500 | francisco meza meza</t>
        </is>
      </c>
      <c r="C4" s="13" t="n">
        <v>0</v>
      </c>
      <c r="D4" s="11" t="inlineStr">
        <is>
          <t>por revisar</t>
        </is>
      </c>
      <c r="E4" s="11">
        <f>IF(D4&lt;&gt;"conciliado","Pendiente",IF(C4&lt;&gt;0,"ERROR: diferencia distinta de cero",IF(OR(AND(J4&lt;&gt;"",SUM(COUNTIFS($D$2:$D$13,"conciliado",$J$2:$J$13,J4),COUNTIFS($D$2:$D$13,"conciliado",$K$2:$K$13,J4),COUNTIFS($D$2:$D$13,"conciliado",$L$2:$L$13,J4))&gt;1),AND(K4&lt;&gt;"",SUM(COUNTIFS($D$2:$D$13,"conciliado",$J$2:$J$13,K4),COUNTIFS($D$2:$D$13,"conciliado",$K$2:$K$13,K4),COUNTIFS($D$2:$D$13,"conciliado",$L$2:$L$13,K4))&gt;1),AND(L4&lt;&gt;"",SUM(COUNTIFS($D$2:$D$13,"conciliado",$J$2:$J$13,L4),COUNTIFS($D$2:$D$13,"conciliado",$K$2:$K$13,L4),COUNTIFS($D$2:$D$13,"conciliado",$L$2:$L$13,L4))&gt;1)),"ERROR: banco ya usado en otro compuesto conciliado",IF(OR(AND(M4&lt;&gt;"",SUM(COUNTIFS($D$2:$D$13,"conciliado",$M$2:$M$13,M4),COUNTIFS($D$2:$D$13,"conciliado",$N$2:$N$13,M4),COUNTIFS($D$2:$D$13,"conciliado",$O$2:$O$13,M4))&gt;1),AND(N4&lt;&gt;"",SUM(COUNTIFS($D$2:$D$13,"conciliado",$M$2:$M$13,N4),COUNTIFS($D$2:$D$13,"conciliado",$N$2:$N$13,N4),COUNTIFS($D$2:$D$13,"conciliado",$O$2:$O$13,N4))&gt;1),AND(O4&lt;&gt;"",SUM(COUNTIFS($D$2:$D$13,"conciliado",$M$2:$M$13,O4),COUNTIFS($D$2:$D$13,"conciliado",$N$2:$N$13,O4),COUNTIFS($D$2:$D$13,"conciliado",$O$2:$O$13,O4))&gt;1)),"ERROR: libro_aux ya usado en otro compuesto conciliado","OK"))))</f>
        <v/>
      </c>
      <c r="F4" s="11" t="inlineStr">
        <is>
          <t>Posible compuesto detectado por suma exacta en la misma fecha. Revisar antes de conciliar.</t>
        </is>
      </c>
      <c r="G4" s="11" t="inlineStr"/>
      <c r="H4" s="11" t="inlineStr">
        <is>
          <t>145, 175, 375</t>
        </is>
      </c>
      <c r="I4" s="11" t="inlineStr">
        <is>
          <t>44</t>
        </is>
      </c>
      <c r="J4" s="11" t="n">
        <v>145</v>
      </c>
      <c r="K4" s="11" t="n">
        <v>175</v>
      </c>
      <c r="L4" s="11" t="n">
        <v>375</v>
      </c>
      <c r="M4" s="11" t="n">
        <v>44</v>
      </c>
      <c r="N4" s="11" t="inlineStr"/>
      <c r="O4" s="11" t="inlineStr"/>
    </row>
    <row r="5">
      <c r="A5" s="11" t="inlineStr">
        <is>
          <t>680 | 2026-01-13 | 23,100 | consignacion credibanco d e
770 | 2026-01-13 | 30,000 | consignacion credibanco d e
790 | 2026-01-13 | 20,300 | consignacion credibanco d e</t>
        </is>
      </c>
      <c r="B5" s="11" t="inlineStr">
        <is>
          <t>125 | 2026-01-13 | 73,400 | al daira lopez trejo</t>
        </is>
      </c>
      <c r="C5" s="13" t="n">
        <v>0</v>
      </c>
      <c r="D5" s="11" t="inlineStr">
        <is>
          <t>por revisar</t>
        </is>
      </c>
      <c r="E5" s="11">
        <f>IF(D5&lt;&gt;"conciliado","Pendiente",IF(C5&lt;&gt;0,"ERROR: diferencia distinta de cero",IF(OR(AND(J5&lt;&gt;"",SUM(COUNTIFS($D$2:$D$13,"conciliado",$J$2:$J$13,J5),COUNTIFS($D$2:$D$13,"conciliado",$K$2:$K$13,J5),COUNTIFS($D$2:$D$13,"conciliado",$L$2:$L$13,J5))&gt;1),AND(K5&lt;&gt;"",SUM(COUNTIFS($D$2:$D$13,"conciliado",$J$2:$J$13,K5),COUNTIFS($D$2:$D$13,"conciliado",$K$2:$K$13,K5),COUNTIFS($D$2:$D$13,"conciliado",$L$2:$L$13,K5))&gt;1),AND(L5&lt;&gt;"",SUM(COUNTIFS($D$2:$D$13,"conciliado",$J$2:$J$13,L5),COUNTIFS($D$2:$D$13,"conciliado",$K$2:$K$13,L5),COUNTIFS($D$2:$D$13,"conciliado",$L$2:$L$13,L5))&gt;1)),"ERROR: banco ya usado en otro compuesto conciliado",IF(OR(AND(M5&lt;&gt;"",SUM(COUNTIFS($D$2:$D$13,"conciliado",$M$2:$M$13,M5),COUNTIFS($D$2:$D$13,"conciliado",$N$2:$N$13,M5),COUNTIFS($D$2:$D$13,"conciliado",$O$2:$O$13,M5))&gt;1),AND(N5&lt;&gt;"",SUM(COUNTIFS($D$2:$D$13,"conciliado",$M$2:$M$13,N5),COUNTIFS($D$2:$D$13,"conciliado",$N$2:$N$13,N5),COUNTIFS($D$2:$D$13,"conciliado",$O$2:$O$13,N5))&gt;1),AND(O5&lt;&gt;"",SUM(COUNTIFS($D$2:$D$13,"conciliado",$M$2:$M$13,O5),COUNTIFS($D$2:$D$13,"conciliado",$N$2:$N$13,O5),COUNTIFS($D$2:$D$13,"conciliado",$O$2:$O$13,O5))&gt;1)),"ERROR: libro_aux ya usado en otro compuesto conciliado","OK"))))</f>
        <v/>
      </c>
      <c r="F5" s="11" t="inlineStr">
        <is>
          <t>Posible compuesto detectado por suma exacta en la misma fecha. Revisar antes de conciliar.</t>
        </is>
      </c>
      <c r="G5" s="11" t="inlineStr"/>
      <c r="H5" s="11" t="inlineStr">
        <is>
          <t>680, 770, 790</t>
        </is>
      </c>
      <c r="I5" s="11" t="inlineStr">
        <is>
          <t>125</t>
        </is>
      </c>
      <c r="J5" s="11" t="n">
        <v>680</v>
      </c>
      <c r="K5" s="11" t="n">
        <v>770</v>
      </c>
      <c r="L5" s="11" t="n">
        <v>790</v>
      </c>
      <c r="M5" s="11" t="n">
        <v>125</v>
      </c>
      <c r="N5" s="11" t="inlineStr"/>
      <c r="O5" s="11" t="inlineStr"/>
    </row>
    <row r="6">
      <c r="A6" s="11" t="inlineStr">
        <is>
          <t>675 | 2026-01-13 | 16,800 | consignacion credibanco d e
680 | 2026-01-13 | 23,100 | consignacion credibanco d e
780 | 2026-01-13 | 47,200 | consignacion credibanco d e</t>
        </is>
      </c>
      <c r="B6" s="11" t="inlineStr">
        <is>
          <t>126 | 2026-01-13 | 87,100 | alexa garcia varela</t>
        </is>
      </c>
      <c r="C6" s="13" t="n">
        <v>0</v>
      </c>
      <c r="D6" s="11" t="inlineStr">
        <is>
          <t>por revisar</t>
        </is>
      </c>
      <c r="E6" s="11">
        <f>IF(D6&lt;&gt;"conciliado","Pendiente",IF(C6&lt;&gt;0,"ERROR: diferencia distinta de cero",IF(OR(AND(J6&lt;&gt;"",SUM(COUNTIFS($D$2:$D$13,"conciliado",$J$2:$J$13,J6),COUNTIFS($D$2:$D$13,"conciliado",$K$2:$K$13,J6),COUNTIFS($D$2:$D$13,"conciliado",$L$2:$L$13,J6))&gt;1),AND(K6&lt;&gt;"",SUM(COUNTIFS($D$2:$D$13,"conciliado",$J$2:$J$13,K6),COUNTIFS($D$2:$D$13,"conciliado",$K$2:$K$13,K6),COUNTIFS($D$2:$D$13,"conciliado",$L$2:$L$13,K6))&gt;1),AND(L6&lt;&gt;"",SUM(COUNTIFS($D$2:$D$13,"conciliado",$J$2:$J$13,L6),COUNTIFS($D$2:$D$13,"conciliado",$K$2:$K$13,L6),COUNTIFS($D$2:$D$13,"conciliado",$L$2:$L$13,L6))&gt;1)),"ERROR: banco ya usado en otro compuesto conciliado",IF(OR(AND(M6&lt;&gt;"",SUM(COUNTIFS($D$2:$D$13,"conciliado",$M$2:$M$13,M6),COUNTIFS($D$2:$D$13,"conciliado",$N$2:$N$13,M6),COUNTIFS($D$2:$D$13,"conciliado",$O$2:$O$13,M6))&gt;1),AND(N6&lt;&gt;"",SUM(COUNTIFS($D$2:$D$13,"conciliado",$M$2:$M$13,N6),COUNTIFS($D$2:$D$13,"conciliado",$N$2:$N$13,N6),COUNTIFS($D$2:$D$13,"conciliado",$O$2:$O$13,N6))&gt;1),AND(O6&lt;&gt;"",SUM(COUNTIFS($D$2:$D$13,"conciliado",$M$2:$M$13,O6),COUNTIFS($D$2:$D$13,"conciliado",$N$2:$N$13,O6),COUNTIFS($D$2:$D$13,"conciliado",$O$2:$O$13,O6))&gt;1)),"ERROR: libro_aux ya usado en otro compuesto conciliado","OK"))))</f>
        <v/>
      </c>
      <c r="F6" s="11" t="inlineStr">
        <is>
          <t>Posible compuesto detectado por suma exacta en la misma fecha. Revisar antes de conciliar.</t>
        </is>
      </c>
      <c r="G6" s="11" t="inlineStr"/>
      <c r="H6" s="11" t="inlineStr">
        <is>
          <t>675, 680, 780</t>
        </is>
      </c>
      <c r="I6" s="11" t="inlineStr">
        <is>
          <t>126</t>
        </is>
      </c>
      <c r="J6" s="11" t="n">
        <v>675</v>
      </c>
      <c r="K6" s="11" t="n">
        <v>680</v>
      </c>
      <c r="L6" s="11" t="n">
        <v>780</v>
      </c>
      <c r="M6" s="11" t="n">
        <v>126</v>
      </c>
      <c r="N6" s="11" t="inlineStr"/>
      <c r="O6" s="11" t="inlineStr"/>
    </row>
    <row r="7">
      <c r="A7" s="11" t="inlineStr">
        <is>
          <t>660 | 2026-01-13 | 28,800 | consignacion credibanco d e
785 | 2026-01-13 | 37,500 | consignacion credibanco d e</t>
        </is>
      </c>
      <c r="B7" s="11" t="inlineStr">
        <is>
          <t>119 | 2026-01-13 | 66,300 | buelvas diaz jose mi</t>
        </is>
      </c>
      <c r="C7" s="13" t="n">
        <v>0</v>
      </c>
      <c r="D7" s="11" t="inlineStr">
        <is>
          <t>por revisar</t>
        </is>
      </c>
      <c r="E7" s="11">
        <f>IF(D7&lt;&gt;"conciliado","Pendiente",IF(C7&lt;&gt;0,"ERROR: diferencia distinta de cero",IF(OR(AND(J7&lt;&gt;"",SUM(COUNTIFS($D$2:$D$13,"conciliado",$J$2:$J$13,J7),COUNTIFS($D$2:$D$13,"conciliado",$K$2:$K$13,J7),COUNTIFS($D$2:$D$13,"conciliado",$L$2:$L$13,J7))&gt;1),AND(K7&lt;&gt;"",SUM(COUNTIFS($D$2:$D$13,"conciliado",$J$2:$J$13,K7),COUNTIFS($D$2:$D$13,"conciliado",$K$2:$K$13,K7),COUNTIFS($D$2:$D$13,"conciliado",$L$2:$L$13,K7))&gt;1),AND(L7&lt;&gt;"",SUM(COUNTIFS($D$2:$D$13,"conciliado",$J$2:$J$13,L7),COUNTIFS($D$2:$D$13,"conciliado",$K$2:$K$13,L7),COUNTIFS($D$2:$D$13,"conciliado",$L$2:$L$13,L7))&gt;1)),"ERROR: banco ya usado en otro compuesto conciliado",IF(OR(AND(M7&lt;&gt;"",SUM(COUNTIFS($D$2:$D$13,"conciliado",$M$2:$M$13,M7),COUNTIFS($D$2:$D$13,"conciliado",$N$2:$N$13,M7),COUNTIFS($D$2:$D$13,"conciliado",$O$2:$O$13,M7))&gt;1),AND(N7&lt;&gt;"",SUM(COUNTIFS($D$2:$D$13,"conciliado",$M$2:$M$13,N7),COUNTIFS($D$2:$D$13,"conciliado",$N$2:$N$13,N7),COUNTIFS($D$2:$D$13,"conciliado",$O$2:$O$13,N7))&gt;1),AND(O7&lt;&gt;"",SUM(COUNTIFS($D$2:$D$13,"conciliado",$M$2:$M$13,O7),COUNTIFS($D$2:$D$13,"conciliado",$N$2:$N$13,O7),COUNTIFS($D$2:$D$13,"conciliado",$O$2:$O$13,O7))&gt;1)),"ERROR: libro_aux ya usado en otro compuesto conciliado","OK"))))</f>
        <v/>
      </c>
      <c r="F7" s="11" t="inlineStr">
        <is>
          <t>Posible compuesto detectado por suma exacta en la misma fecha. Revisar antes de conciliar.</t>
        </is>
      </c>
      <c r="G7" s="11" t="inlineStr"/>
      <c r="H7" s="11" t="inlineStr">
        <is>
          <t>660, 785</t>
        </is>
      </c>
      <c r="I7" s="11" t="inlineStr">
        <is>
          <t>119</t>
        </is>
      </c>
      <c r="J7" s="11" t="n">
        <v>660</v>
      </c>
      <c r="K7" s="11" t="n">
        <v>785</v>
      </c>
      <c r="L7" s="11" t="inlineStr"/>
      <c r="M7" s="11" t="n">
        <v>119</v>
      </c>
      <c r="N7" s="11" t="inlineStr"/>
      <c r="O7" s="11" t="inlineStr"/>
    </row>
    <row r="8">
      <c r="A8" s="11" t="inlineStr">
        <is>
          <t>900 | 2026-01-15 | 20,000 | consignacion credibanco d e
915 | 2026-01-15 | 46,900 | consignacion credibanco d e
945 | 2026-01-15 | 74,500 | depositos electronicos masterca transaccion</t>
        </is>
      </c>
      <c r="B8" s="11" t="inlineStr">
        <is>
          <t>142 | 2026-01-15 | 141,400 | benavides lopez sixt</t>
        </is>
      </c>
      <c r="C8" s="13" t="n">
        <v>0</v>
      </c>
      <c r="D8" s="11" t="inlineStr">
        <is>
          <t>por revisar</t>
        </is>
      </c>
      <c r="E8" s="11">
        <f>IF(D8&lt;&gt;"conciliado","Pendiente",IF(C8&lt;&gt;0,"ERROR: diferencia distinta de cero",IF(OR(AND(J8&lt;&gt;"",SUM(COUNTIFS($D$2:$D$13,"conciliado",$J$2:$J$13,J8),COUNTIFS($D$2:$D$13,"conciliado",$K$2:$K$13,J8),COUNTIFS($D$2:$D$13,"conciliado",$L$2:$L$13,J8))&gt;1),AND(K8&lt;&gt;"",SUM(COUNTIFS($D$2:$D$13,"conciliado",$J$2:$J$13,K8),COUNTIFS($D$2:$D$13,"conciliado",$K$2:$K$13,K8),COUNTIFS($D$2:$D$13,"conciliado",$L$2:$L$13,K8))&gt;1),AND(L8&lt;&gt;"",SUM(COUNTIFS($D$2:$D$13,"conciliado",$J$2:$J$13,L8),COUNTIFS($D$2:$D$13,"conciliado",$K$2:$K$13,L8),COUNTIFS($D$2:$D$13,"conciliado",$L$2:$L$13,L8))&gt;1)),"ERROR: banco ya usado en otro compuesto conciliado",IF(OR(AND(M8&lt;&gt;"",SUM(COUNTIFS($D$2:$D$13,"conciliado",$M$2:$M$13,M8),COUNTIFS($D$2:$D$13,"conciliado",$N$2:$N$13,M8),COUNTIFS($D$2:$D$13,"conciliado",$O$2:$O$13,M8))&gt;1),AND(N8&lt;&gt;"",SUM(COUNTIFS($D$2:$D$13,"conciliado",$M$2:$M$13,N8),COUNTIFS($D$2:$D$13,"conciliado",$N$2:$N$13,N8),COUNTIFS($D$2:$D$13,"conciliado",$O$2:$O$13,N8))&gt;1),AND(O8&lt;&gt;"",SUM(COUNTIFS($D$2:$D$13,"conciliado",$M$2:$M$13,O8),COUNTIFS($D$2:$D$13,"conciliado",$N$2:$N$13,O8),COUNTIFS($D$2:$D$13,"conciliado",$O$2:$O$13,O8))&gt;1)),"ERROR: libro_aux ya usado en otro compuesto conciliado","OK"))))</f>
        <v/>
      </c>
      <c r="F8" s="11" t="inlineStr">
        <is>
          <t>Posible compuesto detectado por suma exacta en la misma fecha. Revisar antes de conciliar.</t>
        </is>
      </c>
      <c r="G8" s="11" t="inlineStr"/>
      <c r="H8" s="11" t="inlineStr">
        <is>
          <t>900, 915, 945</t>
        </is>
      </c>
      <c r="I8" s="11" t="inlineStr">
        <is>
          <t>142</t>
        </is>
      </c>
      <c r="J8" s="11" t="n">
        <v>900</v>
      </c>
      <c r="K8" s="11" t="n">
        <v>915</v>
      </c>
      <c r="L8" s="11" t="n">
        <v>945</v>
      </c>
      <c r="M8" s="11" t="n">
        <v>142</v>
      </c>
      <c r="N8" s="11" t="inlineStr"/>
      <c r="O8" s="11" t="inlineStr"/>
    </row>
    <row r="9">
      <c r="A9" s="11" t="inlineStr">
        <is>
          <t>1045 | 2026-01-19 | 22,400 | consignacion credibanco d e
1085 | 2026-01-19 | 25,000 | depositos electronicos masterca transaccion</t>
        </is>
      </c>
      <c r="B9" s="11" t="inlineStr">
        <is>
          <t>167 | 2026-01-19 | 47,400 | cabrera gutierrez je</t>
        </is>
      </c>
      <c r="C9" s="13" t="n">
        <v>0</v>
      </c>
      <c r="D9" s="11" t="inlineStr">
        <is>
          <t>por revisar</t>
        </is>
      </c>
      <c r="E9" s="11">
        <f>IF(D9&lt;&gt;"conciliado","Pendiente",IF(C9&lt;&gt;0,"ERROR: diferencia distinta de cero",IF(OR(AND(J9&lt;&gt;"",SUM(COUNTIFS($D$2:$D$13,"conciliado",$J$2:$J$13,J9),COUNTIFS($D$2:$D$13,"conciliado",$K$2:$K$13,J9),COUNTIFS($D$2:$D$13,"conciliado",$L$2:$L$13,J9))&gt;1),AND(K9&lt;&gt;"",SUM(COUNTIFS($D$2:$D$13,"conciliado",$J$2:$J$13,K9),COUNTIFS($D$2:$D$13,"conciliado",$K$2:$K$13,K9),COUNTIFS($D$2:$D$13,"conciliado",$L$2:$L$13,K9))&gt;1),AND(L9&lt;&gt;"",SUM(COUNTIFS($D$2:$D$13,"conciliado",$J$2:$J$13,L9),COUNTIFS($D$2:$D$13,"conciliado",$K$2:$K$13,L9),COUNTIFS($D$2:$D$13,"conciliado",$L$2:$L$13,L9))&gt;1)),"ERROR: banco ya usado en otro compuesto conciliado",IF(OR(AND(M9&lt;&gt;"",SUM(COUNTIFS($D$2:$D$13,"conciliado",$M$2:$M$13,M9),COUNTIFS($D$2:$D$13,"conciliado",$N$2:$N$13,M9),COUNTIFS($D$2:$D$13,"conciliado",$O$2:$O$13,M9))&gt;1),AND(N9&lt;&gt;"",SUM(COUNTIFS($D$2:$D$13,"conciliado",$M$2:$M$13,N9),COUNTIFS($D$2:$D$13,"conciliado",$N$2:$N$13,N9),COUNTIFS($D$2:$D$13,"conciliado",$O$2:$O$13,N9))&gt;1),AND(O9&lt;&gt;"",SUM(COUNTIFS($D$2:$D$13,"conciliado",$M$2:$M$13,O9),COUNTIFS($D$2:$D$13,"conciliado",$N$2:$N$13,O9),COUNTIFS($D$2:$D$13,"conciliado",$O$2:$O$13,O9))&gt;1)),"ERROR: libro_aux ya usado en otro compuesto conciliado","OK"))))</f>
        <v/>
      </c>
      <c r="F9" s="11" t="inlineStr">
        <is>
          <t>Posible compuesto detectado por suma exacta en la misma fecha. Revisar antes de conciliar.</t>
        </is>
      </c>
      <c r="G9" s="11" t="inlineStr"/>
      <c r="H9" s="11" t="inlineStr">
        <is>
          <t>1045, 1085</t>
        </is>
      </c>
      <c r="I9" s="11" t="inlineStr">
        <is>
          <t>167</t>
        </is>
      </c>
      <c r="J9" s="11" t="n">
        <v>1045</v>
      </c>
      <c r="K9" s="11" t="n">
        <v>1085</v>
      </c>
      <c r="L9" s="11" t="inlineStr"/>
      <c r="M9" s="11" t="n">
        <v>167</v>
      </c>
      <c r="N9" s="11" t="inlineStr"/>
      <c r="O9" s="11" t="inlineStr"/>
    </row>
    <row r="10">
      <c r="A10" s="11" t="inlineStr">
        <is>
          <t>435 | 2026-01-06 | 128,500 | consignacion credibanco d e</t>
        </is>
      </c>
      <c r="B10" s="11" t="inlineStr">
        <is>
          <t>55 | 2026-01-06 | 96,500 | lenin sousa tribaldo
53 | 2026-01-06 | 32,000 | abella marlen rincon</t>
        </is>
      </c>
      <c r="C10" s="13" t="n">
        <v>0</v>
      </c>
      <c r="D10" s="11" t="inlineStr">
        <is>
          <t>por revisar</t>
        </is>
      </c>
      <c r="E10" s="11">
        <f>IF(D10&lt;&gt;"conciliado","Pendiente",IF(C10&lt;&gt;0,"ERROR: diferencia distinta de cero",IF(OR(AND(J10&lt;&gt;"",SUM(COUNTIFS($D$2:$D$13,"conciliado",$J$2:$J$13,J10),COUNTIFS($D$2:$D$13,"conciliado",$K$2:$K$13,J10),COUNTIFS($D$2:$D$13,"conciliado",$L$2:$L$13,J10))&gt;1),AND(K10&lt;&gt;"",SUM(COUNTIFS($D$2:$D$13,"conciliado",$J$2:$J$13,K10),COUNTIFS($D$2:$D$13,"conciliado",$K$2:$K$13,K10),COUNTIFS($D$2:$D$13,"conciliado",$L$2:$L$13,K10))&gt;1),AND(L10&lt;&gt;"",SUM(COUNTIFS($D$2:$D$13,"conciliado",$J$2:$J$13,L10),COUNTIFS($D$2:$D$13,"conciliado",$K$2:$K$13,L10),COUNTIFS($D$2:$D$13,"conciliado",$L$2:$L$13,L10))&gt;1)),"ERROR: banco ya usado en otro compuesto conciliado",IF(OR(AND(M10&lt;&gt;"",SUM(COUNTIFS($D$2:$D$13,"conciliado",$M$2:$M$13,M10),COUNTIFS($D$2:$D$13,"conciliado",$N$2:$N$13,M10),COUNTIFS($D$2:$D$13,"conciliado",$O$2:$O$13,M10))&gt;1),AND(N10&lt;&gt;"",SUM(COUNTIFS($D$2:$D$13,"conciliado",$M$2:$M$13,N10),COUNTIFS($D$2:$D$13,"conciliado",$N$2:$N$13,N10),COUNTIFS($D$2:$D$13,"conciliado",$O$2:$O$13,N10))&gt;1),AND(O10&lt;&gt;"",SUM(COUNTIFS($D$2:$D$13,"conciliado",$M$2:$M$13,O10),COUNTIFS($D$2:$D$13,"conciliado",$N$2:$N$13,O10),COUNTIFS($D$2:$D$13,"conciliado",$O$2:$O$13,O10))&gt;1)),"ERROR: libro_aux ya usado en otro compuesto conciliado","OK"))))</f>
        <v/>
      </c>
      <c r="F10" s="11" t="inlineStr">
        <is>
          <t>Posible compuesto detectado por suma exacta en la misma fecha. Revisar antes de conciliar.</t>
        </is>
      </c>
      <c r="G10" s="11" t="inlineStr"/>
      <c r="H10" s="11" t="inlineStr">
        <is>
          <t>435</t>
        </is>
      </c>
      <c r="I10" s="11" t="inlineStr">
        <is>
          <t>55, 53</t>
        </is>
      </c>
      <c r="J10" s="11" t="n">
        <v>435</v>
      </c>
      <c r="K10" s="11" t="inlineStr"/>
      <c r="L10" s="11" t="inlineStr"/>
      <c r="M10" s="11" t="n">
        <v>55</v>
      </c>
      <c r="N10" s="11" t="n">
        <v>53</v>
      </c>
      <c r="O10" s="11" t="inlineStr"/>
    </row>
    <row r="11">
      <c r="A11" s="11" t="inlineStr">
        <is>
          <t>1357 | 2026-01-26 | 83,100 | consignacion credibanco d e</t>
        </is>
      </c>
      <c r="B11" s="11" t="inlineStr">
        <is>
          <t>237 | 2026-01-26 | 53,300 | lopez reyes yamile
228 | 2026-01-26 | 29,800 | carlos diaz ed munoz</t>
        </is>
      </c>
      <c r="C11" s="13" t="n">
        <v>0</v>
      </c>
      <c r="D11" s="11" t="inlineStr">
        <is>
          <t>por revisar</t>
        </is>
      </c>
      <c r="E11" s="11">
        <f>IF(D11&lt;&gt;"conciliado","Pendiente",IF(C11&lt;&gt;0,"ERROR: diferencia distinta de cero",IF(OR(AND(J11&lt;&gt;"",SUM(COUNTIFS($D$2:$D$13,"conciliado",$J$2:$J$13,J11),COUNTIFS($D$2:$D$13,"conciliado",$K$2:$K$13,J11),COUNTIFS($D$2:$D$13,"conciliado",$L$2:$L$13,J11))&gt;1),AND(K11&lt;&gt;"",SUM(COUNTIFS($D$2:$D$13,"conciliado",$J$2:$J$13,K11),COUNTIFS($D$2:$D$13,"conciliado",$K$2:$K$13,K11),COUNTIFS($D$2:$D$13,"conciliado",$L$2:$L$13,K11))&gt;1),AND(L11&lt;&gt;"",SUM(COUNTIFS($D$2:$D$13,"conciliado",$J$2:$J$13,L11),COUNTIFS($D$2:$D$13,"conciliado",$K$2:$K$13,L11),COUNTIFS($D$2:$D$13,"conciliado",$L$2:$L$13,L11))&gt;1)),"ERROR: banco ya usado en otro compuesto conciliado",IF(OR(AND(M11&lt;&gt;"",SUM(COUNTIFS($D$2:$D$13,"conciliado",$M$2:$M$13,M11),COUNTIFS($D$2:$D$13,"conciliado",$N$2:$N$13,M11),COUNTIFS($D$2:$D$13,"conciliado",$O$2:$O$13,M11))&gt;1),AND(N11&lt;&gt;"",SUM(COUNTIFS($D$2:$D$13,"conciliado",$M$2:$M$13,N11),COUNTIFS($D$2:$D$13,"conciliado",$N$2:$N$13,N11),COUNTIFS($D$2:$D$13,"conciliado",$O$2:$O$13,N11))&gt;1),AND(O11&lt;&gt;"",SUM(COUNTIFS($D$2:$D$13,"conciliado",$M$2:$M$13,O11),COUNTIFS($D$2:$D$13,"conciliado",$N$2:$N$13,O11),COUNTIFS($D$2:$D$13,"conciliado",$O$2:$O$13,O11))&gt;1)),"ERROR: libro_aux ya usado en otro compuesto conciliado","OK"))))</f>
        <v/>
      </c>
      <c r="F11" s="11" t="inlineStr">
        <is>
          <t>Posible compuesto detectado por suma exacta en la misma fecha. Revisar antes de conciliar.</t>
        </is>
      </c>
      <c r="G11" s="11" t="inlineStr"/>
      <c r="H11" s="11" t="inlineStr">
        <is>
          <t>1357</t>
        </is>
      </c>
      <c r="I11" s="11" t="inlineStr">
        <is>
          <t>237, 228</t>
        </is>
      </c>
      <c r="J11" s="11" t="n">
        <v>1357</v>
      </c>
      <c r="K11" s="11" t="inlineStr"/>
      <c r="L11" s="11" t="inlineStr"/>
      <c r="M11" s="11" t="n">
        <v>237</v>
      </c>
      <c r="N11" s="11" t="n">
        <v>228</v>
      </c>
      <c r="O11" s="11" t="inlineStr"/>
    </row>
    <row r="12">
      <c r="A12" s="11" t="inlineStr">
        <is>
          <t>1377 | 2026-01-26 | 77,800 | consignacion credibanco d e</t>
        </is>
      </c>
      <c r="B12" s="11" t="inlineStr">
        <is>
          <t>232 | 2026-01-26 | 48,000 | gina m moncayo ponce
228 | 2026-01-26 | 29,800 | carlos diaz ed munoz</t>
        </is>
      </c>
      <c r="C12" s="13" t="n">
        <v>0</v>
      </c>
      <c r="D12" s="11" t="inlineStr">
        <is>
          <t>por revisar</t>
        </is>
      </c>
      <c r="E12" s="11">
        <f>IF(D12&lt;&gt;"conciliado","Pendiente",IF(C12&lt;&gt;0,"ERROR: diferencia distinta de cero",IF(OR(AND(J12&lt;&gt;"",SUM(COUNTIFS($D$2:$D$13,"conciliado",$J$2:$J$13,J12),COUNTIFS($D$2:$D$13,"conciliado",$K$2:$K$13,J12),COUNTIFS($D$2:$D$13,"conciliado",$L$2:$L$13,J12))&gt;1),AND(K12&lt;&gt;"",SUM(COUNTIFS($D$2:$D$13,"conciliado",$J$2:$J$13,K12),COUNTIFS($D$2:$D$13,"conciliado",$K$2:$K$13,K12),COUNTIFS($D$2:$D$13,"conciliado",$L$2:$L$13,K12))&gt;1),AND(L12&lt;&gt;"",SUM(COUNTIFS($D$2:$D$13,"conciliado",$J$2:$J$13,L12),COUNTIFS($D$2:$D$13,"conciliado",$K$2:$K$13,L12),COUNTIFS($D$2:$D$13,"conciliado",$L$2:$L$13,L12))&gt;1)),"ERROR: banco ya usado en otro compuesto conciliado",IF(OR(AND(M12&lt;&gt;"",SUM(COUNTIFS($D$2:$D$13,"conciliado",$M$2:$M$13,M12),COUNTIFS($D$2:$D$13,"conciliado",$N$2:$N$13,M12),COUNTIFS($D$2:$D$13,"conciliado",$O$2:$O$13,M12))&gt;1),AND(N12&lt;&gt;"",SUM(COUNTIFS($D$2:$D$13,"conciliado",$M$2:$M$13,N12),COUNTIFS($D$2:$D$13,"conciliado",$N$2:$N$13,N12),COUNTIFS($D$2:$D$13,"conciliado",$O$2:$O$13,N12))&gt;1),AND(O12&lt;&gt;"",SUM(COUNTIFS($D$2:$D$13,"conciliado",$M$2:$M$13,O12),COUNTIFS($D$2:$D$13,"conciliado",$N$2:$N$13,O12),COUNTIFS($D$2:$D$13,"conciliado",$O$2:$O$13,O12))&gt;1)),"ERROR: libro_aux ya usado en otro compuesto conciliado","OK"))))</f>
        <v/>
      </c>
      <c r="F12" s="11" t="inlineStr">
        <is>
          <t>Posible compuesto detectado por suma exacta en la misma fecha. Revisar antes de conciliar.</t>
        </is>
      </c>
      <c r="G12" s="11" t="inlineStr"/>
      <c r="H12" s="11" t="inlineStr">
        <is>
          <t>1377</t>
        </is>
      </c>
      <c r="I12" s="11" t="inlineStr">
        <is>
          <t>232, 228</t>
        </is>
      </c>
      <c r="J12" s="11" t="n">
        <v>1377</v>
      </c>
      <c r="K12" s="11" t="inlineStr"/>
      <c r="L12" s="11" t="inlineStr"/>
      <c r="M12" s="11" t="n">
        <v>232</v>
      </c>
      <c r="N12" s="11" t="n">
        <v>228</v>
      </c>
      <c r="O12" s="11" t="inlineStr"/>
    </row>
    <row r="13">
      <c r="A13" s="11" t="inlineStr">
        <is>
          <t>1427 | 2026-01-26 | 84,000 | depositos electronicos masterca transaccion</t>
        </is>
      </c>
      <c r="B13" s="11" t="inlineStr">
        <is>
          <t>234 | 2026-01-26 | 54,200 | chavarro lara luisa
228 | 2026-01-26 | 29,800 | carlos diaz ed munoz</t>
        </is>
      </c>
      <c r="C13" s="13" t="n">
        <v>0</v>
      </c>
      <c r="D13" s="11" t="inlineStr">
        <is>
          <t>por revisar</t>
        </is>
      </c>
      <c r="E13" s="11">
        <f>IF(D13&lt;&gt;"conciliado","Pendiente",IF(C13&lt;&gt;0,"ERROR: diferencia distinta de cero",IF(OR(AND(J13&lt;&gt;"",SUM(COUNTIFS($D$2:$D$13,"conciliado",$J$2:$J$13,J13),COUNTIFS($D$2:$D$13,"conciliado",$K$2:$K$13,J13),COUNTIFS($D$2:$D$13,"conciliado",$L$2:$L$13,J13))&gt;1),AND(K13&lt;&gt;"",SUM(COUNTIFS($D$2:$D$13,"conciliado",$J$2:$J$13,K13),COUNTIFS($D$2:$D$13,"conciliado",$K$2:$K$13,K13),COUNTIFS($D$2:$D$13,"conciliado",$L$2:$L$13,K13))&gt;1),AND(L13&lt;&gt;"",SUM(COUNTIFS($D$2:$D$13,"conciliado",$J$2:$J$13,L13),COUNTIFS($D$2:$D$13,"conciliado",$K$2:$K$13,L13),COUNTIFS($D$2:$D$13,"conciliado",$L$2:$L$13,L13))&gt;1)),"ERROR: banco ya usado en otro compuesto conciliado",IF(OR(AND(M13&lt;&gt;"",SUM(COUNTIFS($D$2:$D$13,"conciliado",$M$2:$M$13,M13),COUNTIFS($D$2:$D$13,"conciliado",$N$2:$N$13,M13),COUNTIFS($D$2:$D$13,"conciliado",$O$2:$O$13,M13))&gt;1),AND(N13&lt;&gt;"",SUM(COUNTIFS($D$2:$D$13,"conciliado",$M$2:$M$13,N13),COUNTIFS($D$2:$D$13,"conciliado",$N$2:$N$13,N13),COUNTIFS($D$2:$D$13,"conciliado",$O$2:$O$13,N13))&gt;1),AND(O13&lt;&gt;"",SUM(COUNTIFS($D$2:$D$13,"conciliado",$M$2:$M$13,O13),COUNTIFS($D$2:$D$13,"conciliado",$N$2:$N$13,O13),COUNTIFS($D$2:$D$13,"conciliado",$O$2:$O$13,O13))&gt;1)),"ERROR: libro_aux ya usado en otro compuesto conciliado","OK"))))</f>
        <v/>
      </c>
      <c r="F13" s="11" t="inlineStr">
        <is>
          <t>Posible compuesto detectado por suma exacta en la misma fecha. Revisar antes de conciliar.</t>
        </is>
      </c>
      <c r="G13" s="11" t="inlineStr"/>
      <c r="H13" s="11" t="inlineStr">
        <is>
          <t>1427</t>
        </is>
      </c>
      <c r="I13" s="11" t="inlineStr">
        <is>
          <t>234, 228</t>
        </is>
      </c>
      <c r="J13" s="11" t="n">
        <v>1427</v>
      </c>
      <c r="K13" s="11" t="inlineStr"/>
      <c r="L13" s="11" t="inlineStr"/>
      <c r="M13" s="11" t="n">
        <v>234</v>
      </c>
      <c r="N13" s="11" t="n">
        <v>228</v>
      </c>
      <c r="O13" s="11" t="inlineStr"/>
    </row>
  </sheetData>
  <autoFilter ref="A1:O13"/>
  <conditionalFormatting sqref="A2:G13">
    <cfRule type="expression" priority="1" dxfId="2">
      <formula>LEFT($E2,5)="ERROR"</formula>
    </cfRule>
    <cfRule type="expression" priority="2" dxfId="0">
      <formula>AND($D2="conciliado",$E2="OK")</formula>
    </cfRule>
    <cfRule type="expression" priority="3" dxfId="1">
      <formula>$D2="por revisar"</formula>
    </cfRule>
  </conditionalFormatting>
  <conditionalFormatting sqref="E2:E13">
    <cfRule type="expression" priority="4" dxfId="3">
      <formula>$E2="Pendiente"</formula>
    </cfRule>
  </conditionalFormatting>
  <dataValidations count="1">
    <dataValidation sqref="D2:D13" showDropDown="0" showInputMessage="0" showErrorMessage="0" allowBlank="0" errorTitle="Estado inválido" error="Seleccioná conciliado o por revisar." promptTitle="Estado" prompt="Marcá conciliado solo si el compuesto fue revisado." type="list">
      <formula1>"por revisar,conciliado"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4" customWidth="1" min="4" max="4"/>
    <col width="36" customWidth="1" min="5" max="5"/>
  </cols>
  <sheetData>
    <row r="1">
      <c r="A1" s="3" t="inlineStr">
        <is>
          <t>Extractos bancarios</t>
        </is>
      </c>
      <c r="B1" s="14" t="n"/>
      <c r="C1" s="14" t="n"/>
      <c r="D1" s="14" t="n"/>
      <c r="E1" s="14" t="n"/>
    </row>
    <row r="2">
      <c r="A2" s="8" t="inlineStr">
        <is>
          <t>ID</t>
        </is>
      </c>
      <c r="B2" s="9" t="inlineStr">
        <is>
          <t>Fecha</t>
        </is>
      </c>
      <c r="C2" s="8" t="inlineStr">
        <is>
          <t>Nombre</t>
        </is>
      </c>
      <c r="D2" s="10" t="inlineStr">
        <is>
          <t>Valor</t>
        </is>
      </c>
      <c r="E2" s="8" t="inlineStr">
        <is>
          <t>Estado</t>
        </is>
      </c>
    </row>
    <row r="3">
      <c r="A3" s="11" t="n">
        <v>5</v>
      </c>
      <c r="B3" s="12" t="n">
        <v>46027</v>
      </c>
      <c r="C3" s="11" t="inlineStr">
        <is>
          <t>consignacion credibanco d e</t>
        </is>
      </c>
      <c r="D3" s="13" t="n">
        <v>152200</v>
      </c>
      <c r="E3" s="11">
        <f>IF(SUM(COUNTIFS('Conciliacion de compuestos'!$D$2:$D$13,"conciliado",'Conciliacion de compuestos'!$E$2:$E$13,"OK",'Conciliacion de compuestos'!$J$2:$J$13,A3),COUNTIFS('Conciliacion de compuestos'!$D$2:$D$13,"conciliado",'Conciliacion de compuestos'!$E$2:$E$13,"OK",'Conciliacion de compuestos'!$K$2:$K$13,A3),COUNTIFS('Conciliacion de compuestos'!$D$2:$D$13,"conciliado",'Conciliacion de compuestos'!$E$2:$E$13,"OK",'Conciliacion de compuestos'!$L$2:$L$13,A3))&gt;0,"conciliado en compuesto confirmado","disponible")</f>
        <v/>
      </c>
    </row>
    <row r="4">
      <c r="A4" s="11" t="n">
        <v>10</v>
      </c>
      <c r="B4" s="12" t="n">
        <v>46027</v>
      </c>
      <c r="C4" s="11" t="inlineStr">
        <is>
          <t>consignacion credibanco d e</t>
        </is>
      </c>
      <c r="D4" s="13" t="n">
        <v>29400</v>
      </c>
      <c r="E4" s="11">
        <f>IF(SUM(COUNTIFS('Conciliacion de compuestos'!$D$2:$D$13,"conciliado",'Conciliacion de compuestos'!$E$2:$E$13,"OK",'Conciliacion de compuestos'!$J$2:$J$13,A4),COUNTIFS('Conciliacion de compuestos'!$D$2:$D$13,"conciliado",'Conciliacion de compuestos'!$E$2:$E$13,"OK",'Conciliacion de compuestos'!$K$2:$K$13,A4),COUNTIFS('Conciliacion de compuestos'!$D$2:$D$13,"conciliado",'Conciliacion de compuestos'!$E$2:$E$13,"OK",'Conciliacion de compuestos'!$L$2:$L$13,A4))&gt;0,"conciliado en compuesto confirmado","disponible")</f>
        <v/>
      </c>
    </row>
    <row r="5">
      <c r="A5" s="11" t="n">
        <v>15</v>
      </c>
      <c r="B5" s="12" t="n">
        <v>46027</v>
      </c>
      <c r="C5" s="11" t="inlineStr">
        <is>
          <t>consignacion credibanco d e</t>
        </is>
      </c>
      <c r="D5" s="13" t="n">
        <v>88500</v>
      </c>
      <c r="E5" s="11">
        <f>IF(SUM(COUNTIFS('Conciliacion de compuestos'!$D$2:$D$13,"conciliado",'Conciliacion de compuestos'!$E$2:$E$13,"OK",'Conciliacion de compuestos'!$J$2:$J$13,A5),COUNTIFS('Conciliacion de compuestos'!$D$2:$D$13,"conciliado",'Conciliacion de compuestos'!$E$2:$E$13,"OK",'Conciliacion de compuestos'!$K$2:$K$13,A5),COUNTIFS('Conciliacion de compuestos'!$D$2:$D$13,"conciliado",'Conciliacion de compuestos'!$E$2:$E$13,"OK",'Conciliacion de compuestos'!$L$2:$L$13,A5))&gt;0,"conciliado en compuesto confirmado","disponible")</f>
        <v/>
      </c>
    </row>
    <row r="6">
      <c r="A6" s="11" t="n">
        <v>20</v>
      </c>
      <c r="B6" s="12" t="n">
        <v>46027</v>
      </c>
      <c r="C6" s="11" t="inlineStr">
        <is>
          <t>consignacion credibanco d e</t>
        </is>
      </c>
      <c r="D6" s="13" t="n">
        <v>47400</v>
      </c>
      <c r="E6" s="11">
        <f>IF(SUM(COUNTIFS('Conciliacion de compuestos'!$D$2:$D$13,"conciliado",'Conciliacion de compuestos'!$E$2:$E$13,"OK",'Conciliacion de compuestos'!$J$2:$J$13,A6),COUNTIFS('Conciliacion de compuestos'!$D$2:$D$13,"conciliado",'Conciliacion de compuestos'!$E$2:$E$13,"OK",'Conciliacion de compuestos'!$K$2:$K$13,A6),COUNTIFS('Conciliacion de compuestos'!$D$2:$D$13,"conciliado",'Conciliacion de compuestos'!$E$2:$E$13,"OK",'Conciliacion de compuestos'!$L$2:$L$13,A6))&gt;0,"conciliado en compuesto confirmado","disponible")</f>
        <v/>
      </c>
    </row>
    <row r="7">
      <c r="A7" s="11" t="n">
        <v>25</v>
      </c>
      <c r="B7" s="12" t="n">
        <v>46027</v>
      </c>
      <c r="C7" s="11" t="inlineStr">
        <is>
          <t>consignacion credibanco d e</t>
        </is>
      </c>
      <c r="D7" s="13" t="n">
        <v>56795</v>
      </c>
      <c r="E7" s="11">
        <f>IF(SUM(COUNTIFS('Conciliacion de compuestos'!$D$2:$D$13,"conciliado",'Conciliacion de compuestos'!$E$2:$E$13,"OK",'Conciliacion de compuestos'!$J$2:$J$13,A7),COUNTIFS('Conciliacion de compuestos'!$D$2:$D$13,"conciliado",'Conciliacion de compuestos'!$E$2:$E$13,"OK",'Conciliacion de compuestos'!$K$2:$K$13,A7),COUNTIFS('Conciliacion de compuestos'!$D$2:$D$13,"conciliado",'Conciliacion de compuestos'!$E$2:$E$13,"OK",'Conciliacion de compuestos'!$L$2:$L$13,A7))&gt;0,"conciliado en compuesto confirmado","disponible")</f>
        <v/>
      </c>
    </row>
    <row r="8">
      <c r="A8" s="11" t="n">
        <v>30</v>
      </c>
      <c r="B8" s="12" t="n">
        <v>46027</v>
      </c>
      <c r="C8" s="11" t="inlineStr">
        <is>
          <t>consignacion credibanco d e</t>
        </is>
      </c>
      <c r="D8" s="13" t="n">
        <v>224300</v>
      </c>
      <c r="E8" s="11">
        <f>IF(SUM(COUNTIFS('Conciliacion de compuestos'!$D$2:$D$13,"conciliado",'Conciliacion de compuestos'!$E$2:$E$13,"OK",'Conciliacion de compuestos'!$J$2:$J$13,A8),COUNTIFS('Conciliacion de compuestos'!$D$2:$D$13,"conciliado",'Conciliacion de compuestos'!$E$2:$E$13,"OK",'Conciliacion de compuestos'!$K$2:$K$13,A8),COUNTIFS('Conciliacion de compuestos'!$D$2:$D$13,"conciliado",'Conciliacion de compuestos'!$E$2:$E$13,"OK",'Conciliacion de compuestos'!$L$2:$L$13,A8))&gt;0,"conciliado en compuesto confirmado","disponible")</f>
        <v/>
      </c>
    </row>
    <row r="9">
      <c r="A9" s="11" t="n">
        <v>35</v>
      </c>
      <c r="B9" s="12" t="n">
        <v>46027</v>
      </c>
      <c r="C9" s="11" t="inlineStr">
        <is>
          <t>consignacion credibanco d e</t>
        </is>
      </c>
      <c r="D9" s="13" t="n">
        <v>56000</v>
      </c>
      <c r="E9" s="11">
        <f>IF(SUM(COUNTIFS('Conciliacion de compuestos'!$D$2:$D$13,"conciliado",'Conciliacion de compuestos'!$E$2:$E$13,"OK",'Conciliacion de compuestos'!$J$2:$J$13,A9),COUNTIFS('Conciliacion de compuestos'!$D$2:$D$13,"conciliado",'Conciliacion de compuestos'!$E$2:$E$13,"OK",'Conciliacion de compuestos'!$K$2:$K$13,A9),COUNTIFS('Conciliacion de compuestos'!$D$2:$D$13,"conciliado",'Conciliacion de compuestos'!$E$2:$E$13,"OK",'Conciliacion de compuestos'!$L$2:$L$13,A9))&gt;0,"conciliado en compuesto confirmado","disponible")</f>
        <v/>
      </c>
    </row>
    <row r="10">
      <c r="A10" s="11" t="n">
        <v>40</v>
      </c>
      <c r="B10" s="12" t="n">
        <v>46027</v>
      </c>
      <c r="C10" s="11" t="inlineStr">
        <is>
          <t>consignacion credibanco d e</t>
        </is>
      </c>
      <c r="D10" s="13" t="n">
        <v>37700</v>
      </c>
      <c r="E10" s="11">
        <f>IF(SUM(COUNTIFS('Conciliacion de compuestos'!$D$2:$D$13,"conciliado",'Conciliacion de compuestos'!$E$2:$E$13,"OK",'Conciliacion de compuestos'!$J$2:$J$13,A10),COUNTIFS('Conciliacion de compuestos'!$D$2:$D$13,"conciliado",'Conciliacion de compuestos'!$E$2:$E$13,"OK",'Conciliacion de compuestos'!$K$2:$K$13,A10),COUNTIFS('Conciliacion de compuestos'!$D$2:$D$13,"conciliado",'Conciliacion de compuestos'!$E$2:$E$13,"OK",'Conciliacion de compuestos'!$L$2:$L$13,A10))&gt;0,"conciliado en compuesto confirmado","disponible")</f>
        <v/>
      </c>
    </row>
    <row r="11">
      <c r="A11" s="11" t="n">
        <v>45</v>
      </c>
      <c r="B11" s="12" t="n">
        <v>46027</v>
      </c>
      <c r="C11" s="11" t="inlineStr">
        <is>
          <t>consignacion credibanco d e</t>
        </is>
      </c>
      <c r="D11" s="13" t="n">
        <v>133800</v>
      </c>
      <c r="E11" s="11">
        <f>IF(SUM(COUNTIFS('Conciliacion de compuestos'!$D$2:$D$13,"conciliado",'Conciliacion de compuestos'!$E$2:$E$13,"OK",'Conciliacion de compuestos'!$J$2:$J$13,A11),COUNTIFS('Conciliacion de compuestos'!$D$2:$D$13,"conciliado",'Conciliacion de compuestos'!$E$2:$E$13,"OK",'Conciliacion de compuestos'!$K$2:$K$13,A11),COUNTIFS('Conciliacion de compuestos'!$D$2:$D$13,"conciliado",'Conciliacion de compuestos'!$E$2:$E$13,"OK",'Conciliacion de compuestos'!$L$2:$L$13,A11))&gt;0,"conciliado en compuesto confirmado","disponible")</f>
        <v/>
      </c>
    </row>
    <row r="12">
      <c r="A12" s="11" t="n">
        <v>50</v>
      </c>
      <c r="B12" s="12" t="n">
        <v>46027</v>
      </c>
      <c r="C12" s="11" t="inlineStr">
        <is>
          <t>consignacion credibanco d e</t>
        </is>
      </c>
      <c r="D12" s="13" t="n">
        <v>50000</v>
      </c>
      <c r="E12" s="11">
        <f>IF(SUM(COUNTIFS('Conciliacion de compuestos'!$D$2:$D$13,"conciliado",'Conciliacion de compuestos'!$E$2:$E$13,"OK",'Conciliacion de compuestos'!$J$2:$J$13,A12),COUNTIFS('Conciliacion de compuestos'!$D$2:$D$13,"conciliado",'Conciliacion de compuestos'!$E$2:$E$13,"OK",'Conciliacion de compuestos'!$K$2:$K$13,A12),COUNTIFS('Conciliacion de compuestos'!$D$2:$D$13,"conciliado",'Conciliacion de compuestos'!$E$2:$E$13,"OK",'Conciliacion de compuestos'!$L$2:$L$13,A12))&gt;0,"conciliado en compuesto confirmado","disponible")</f>
        <v/>
      </c>
    </row>
    <row r="13">
      <c r="A13" s="11" t="n">
        <v>55</v>
      </c>
      <c r="B13" s="12" t="n">
        <v>46027</v>
      </c>
      <c r="C13" s="11" t="inlineStr">
        <is>
          <t>consignacion credibanco d e</t>
        </is>
      </c>
      <c r="D13" s="13" t="n">
        <v>51000</v>
      </c>
      <c r="E13" s="11">
        <f>IF(SUM(COUNTIFS('Conciliacion de compuestos'!$D$2:$D$13,"conciliado",'Conciliacion de compuestos'!$E$2:$E$13,"OK",'Conciliacion de compuestos'!$J$2:$J$13,A13),COUNTIFS('Conciliacion de compuestos'!$D$2:$D$13,"conciliado",'Conciliacion de compuestos'!$E$2:$E$13,"OK",'Conciliacion de compuestos'!$K$2:$K$13,A13),COUNTIFS('Conciliacion de compuestos'!$D$2:$D$13,"conciliado",'Conciliacion de compuestos'!$E$2:$E$13,"OK",'Conciliacion de compuestos'!$L$2:$L$13,A13))&gt;0,"conciliado en compuesto confirmado","disponible")</f>
        <v/>
      </c>
    </row>
    <row r="14">
      <c r="A14" s="11" t="n">
        <v>60</v>
      </c>
      <c r="B14" s="12" t="n">
        <v>46027</v>
      </c>
      <c r="C14" s="11" t="inlineStr">
        <is>
          <t>consignacion credibanco d e</t>
        </is>
      </c>
      <c r="D14" s="13" t="n">
        <v>44500</v>
      </c>
      <c r="E14" s="11">
        <f>IF(SUM(COUNTIFS('Conciliacion de compuestos'!$D$2:$D$13,"conciliado",'Conciliacion de compuestos'!$E$2:$E$13,"OK",'Conciliacion de compuestos'!$J$2:$J$13,A14),COUNTIFS('Conciliacion de compuestos'!$D$2:$D$13,"conciliado",'Conciliacion de compuestos'!$E$2:$E$13,"OK",'Conciliacion de compuestos'!$K$2:$K$13,A14),COUNTIFS('Conciliacion de compuestos'!$D$2:$D$13,"conciliado",'Conciliacion de compuestos'!$E$2:$E$13,"OK",'Conciliacion de compuestos'!$L$2:$L$13,A14))&gt;0,"conciliado en compuesto confirmado","disponible")</f>
        <v/>
      </c>
    </row>
    <row r="15">
      <c r="A15" s="11" t="n">
        <v>65</v>
      </c>
      <c r="B15" s="12" t="n">
        <v>46027</v>
      </c>
      <c r="C15" s="11" t="inlineStr">
        <is>
          <t>consignacion credibanco d e</t>
        </is>
      </c>
      <c r="D15" s="13" t="n">
        <v>233000</v>
      </c>
      <c r="E15" s="11">
        <f>IF(SUM(COUNTIFS('Conciliacion de compuestos'!$D$2:$D$13,"conciliado",'Conciliacion de compuestos'!$E$2:$E$13,"OK",'Conciliacion de compuestos'!$J$2:$J$13,A15),COUNTIFS('Conciliacion de compuestos'!$D$2:$D$13,"conciliado",'Conciliacion de compuestos'!$E$2:$E$13,"OK",'Conciliacion de compuestos'!$K$2:$K$13,A15),COUNTIFS('Conciliacion de compuestos'!$D$2:$D$13,"conciliado",'Conciliacion de compuestos'!$E$2:$E$13,"OK",'Conciliacion de compuestos'!$L$2:$L$13,A15))&gt;0,"conciliado en compuesto confirmado","disponible")</f>
        <v/>
      </c>
    </row>
    <row r="16">
      <c r="A16" s="11" t="n">
        <v>70</v>
      </c>
      <c r="B16" s="12" t="n">
        <v>46027</v>
      </c>
      <c r="C16" s="11" t="inlineStr">
        <is>
          <t>consignacion credibanco d e</t>
        </is>
      </c>
      <c r="D16" s="13" t="n">
        <v>279300</v>
      </c>
      <c r="E16" s="11">
        <f>IF(SUM(COUNTIFS('Conciliacion de compuestos'!$D$2:$D$13,"conciliado",'Conciliacion de compuestos'!$E$2:$E$13,"OK",'Conciliacion de compuestos'!$J$2:$J$13,A16),COUNTIFS('Conciliacion de compuestos'!$D$2:$D$13,"conciliado",'Conciliacion de compuestos'!$E$2:$E$13,"OK",'Conciliacion de compuestos'!$K$2:$K$13,A16),COUNTIFS('Conciliacion de compuestos'!$D$2:$D$13,"conciliado",'Conciliacion de compuestos'!$E$2:$E$13,"OK",'Conciliacion de compuestos'!$L$2:$L$13,A16))&gt;0,"conciliado en compuesto confirmado","disponible")</f>
        <v/>
      </c>
    </row>
    <row r="17">
      <c r="A17" s="11" t="n">
        <v>75</v>
      </c>
      <c r="B17" s="12" t="n">
        <v>46027</v>
      </c>
      <c r="C17" s="11" t="inlineStr">
        <is>
          <t>consignacion credibanco d e</t>
        </is>
      </c>
      <c r="D17" s="13" t="n">
        <v>119800</v>
      </c>
      <c r="E17" s="11">
        <f>IF(SUM(COUNTIFS('Conciliacion de compuestos'!$D$2:$D$13,"conciliado",'Conciliacion de compuestos'!$E$2:$E$13,"OK",'Conciliacion de compuestos'!$J$2:$J$13,A17),COUNTIFS('Conciliacion de compuestos'!$D$2:$D$13,"conciliado",'Conciliacion de compuestos'!$E$2:$E$13,"OK",'Conciliacion de compuestos'!$K$2:$K$13,A17),COUNTIFS('Conciliacion de compuestos'!$D$2:$D$13,"conciliado",'Conciliacion de compuestos'!$E$2:$E$13,"OK",'Conciliacion de compuestos'!$L$2:$L$13,A17))&gt;0,"conciliado en compuesto confirmado","disponible")</f>
        <v/>
      </c>
    </row>
    <row r="18">
      <c r="A18" s="11" t="n">
        <v>80</v>
      </c>
      <c r="B18" s="12" t="n">
        <v>46027</v>
      </c>
      <c r="C18" s="11" t="inlineStr">
        <is>
          <t>consignacion credibanco d e</t>
        </is>
      </c>
      <c r="D18" s="13" t="n">
        <v>50800</v>
      </c>
      <c r="E18" s="11">
        <f>IF(SUM(COUNTIFS('Conciliacion de compuestos'!$D$2:$D$13,"conciliado",'Conciliacion de compuestos'!$E$2:$E$13,"OK",'Conciliacion de compuestos'!$J$2:$J$13,A18),COUNTIFS('Conciliacion de compuestos'!$D$2:$D$13,"conciliado",'Conciliacion de compuestos'!$E$2:$E$13,"OK",'Conciliacion de compuestos'!$K$2:$K$13,A18),COUNTIFS('Conciliacion de compuestos'!$D$2:$D$13,"conciliado",'Conciliacion de compuestos'!$E$2:$E$13,"OK",'Conciliacion de compuestos'!$L$2:$L$13,A18))&gt;0,"conciliado en compuesto confirmado","disponible")</f>
        <v/>
      </c>
    </row>
    <row r="19">
      <c r="A19" s="11" t="n">
        <v>85</v>
      </c>
      <c r="B19" s="12" t="n">
        <v>46027</v>
      </c>
      <c r="C19" s="11" t="inlineStr">
        <is>
          <t>consignacion credibanco d e</t>
        </is>
      </c>
      <c r="D19" s="13" t="n">
        <v>213600</v>
      </c>
      <c r="E19" s="11">
        <f>IF(SUM(COUNTIFS('Conciliacion de compuestos'!$D$2:$D$13,"conciliado",'Conciliacion de compuestos'!$E$2:$E$13,"OK",'Conciliacion de compuestos'!$J$2:$J$13,A19),COUNTIFS('Conciliacion de compuestos'!$D$2:$D$13,"conciliado",'Conciliacion de compuestos'!$E$2:$E$13,"OK",'Conciliacion de compuestos'!$K$2:$K$13,A19),COUNTIFS('Conciliacion de compuestos'!$D$2:$D$13,"conciliado",'Conciliacion de compuestos'!$E$2:$E$13,"OK",'Conciliacion de compuestos'!$L$2:$L$13,A19))&gt;0,"conciliado en compuesto confirmado","disponible")</f>
        <v/>
      </c>
    </row>
    <row r="20">
      <c r="A20" s="11" t="n">
        <v>90</v>
      </c>
      <c r="B20" s="12" t="n">
        <v>46027</v>
      </c>
      <c r="C20" s="11" t="inlineStr">
        <is>
          <t>consignacion credibanco d e</t>
        </is>
      </c>
      <c r="D20" s="13" t="n">
        <v>49100</v>
      </c>
      <c r="E20" s="11">
        <f>IF(SUM(COUNTIFS('Conciliacion de compuestos'!$D$2:$D$13,"conciliado",'Conciliacion de compuestos'!$E$2:$E$13,"OK",'Conciliacion de compuestos'!$J$2:$J$13,A20),COUNTIFS('Conciliacion de compuestos'!$D$2:$D$13,"conciliado",'Conciliacion de compuestos'!$E$2:$E$13,"OK",'Conciliacion de compuestos'!$K$2:$K$13,A20),COUNTIFS('Conciliacion de compuestos'!$D$2:$D$13,"conciliado",'Conciliacion de compuestos'!$E$2:$E$13,"OK",'Conciliacion de compuestos'!$L$2:$L$13,A20))&gt;0,"conciliado en compuesto confirmado","disponible")</f>
        <v/>
      </c>
    </row>
    <row r="21">
      <c r="A21" s="11" t="n">
        <v>95</v>
      </c>
      <c r="B21" s="12" t="n">
        <v>46027</v>
      </c>
      <c r="C21" s="11" t="inlineStr">
        <is>
          <t>consignacion credibanco d e</t>
        </is>
      </c>
      <c r="D21" s="13" t="n">
        <v>128000</v>
      </c>
      <c r="E21" s="11">
        <f>IF(SUM(COUNTIFS('Conciliacion de compuestos'!$D$2:$D$13,"conciliado",'Conciliacion de compuestos'!$E$2:$E$13,"OK",'Conciliacion de compuestos'!$J$2:$J$13,A21),COUNTIFS('Conciliacion de compuestos'!$D$2:$D$13,"conciliado",'Conciliacion de compuestos'!$E$2:$E$13,"OK",'Conciliacion de compuestos'!$K$2:$K$13,A21),COUNTIFS('Conciliacion de compuestos'!$D$2:$D$13,"conciliado",'Conciliacion de compuestos'!$E$2:$E$13,"OK",'Conciliacion de compuestos'!$L$2:$L$13,A21))&gt;0,"conciliado en compuesto confirmado","disponible")</f>
        <v/>
      </c>
    </row>
    <row r="22">
      <c r="A22" s="11" t="n">
        <v>100</v>
      </c>
      <c r="B22" s="12" t="n">
        <v>46027</v>
      </c>
      <c r="C22" s="11" t="inlineStr">
        <is>
          <t>consignacion credibanco d e</t>
        </is>
      </c>
      <c r="D22" s="13" t="n">
        <v>33700</v>
      </c>
      <c r="E22" s="11">
        <f>IF(SUM(COUNTIFS('Conciliacion de compuestos'!$D$2:$D$13,"conciliado",'Conciliacion de compuestos'!$E$2:$E$13,"OK",'Conciliacion de compuestos'!$J$2:$J$13,A22),COUNTIFS('Conciliacion de compuestos'!$D$2:$D$13,"conciliado",'Conciliacion de compuestos'!$E$2:$E$13,"OK",'Conciliacion de compuestos'!$K$2:$K$13,A22),COUNTIFS('Conciliacion de compuestos'!$D$2:$D$13,"conciliado",'Conciliacion de compuestos'!$E$2:$E$13,"OK",'Conciliacion de compuestos'!$L$2:$L$13,A22))&gt;0,"conciliado en compuesto confirmado","disponible")</f>
        <v/>
      </c>
    </row>
    <row r="23">
      <c r="A23" s="11" t="n">
        <v>105</v>
      </c>
      <c r="B23" s="12" t="n">
        <v>46027</v>
      </c>
      <c r="C23" s="11" t="inlineStr">
        <is>
          <t>consignacion credibanco d e</t>
        </is>
      </c>
      <c r="D23" s="13" t="n">
        <v>20200</v>
      </c>
      <c r="E23" s="11">
        <f>IF(SUM(COUNTIFS('Conciliacion de compuestos'!$D$2:$D$13,"conciliado",'Conciliacion de compuestos'!$E$2:$E$13,"OK",'Conciliacion de compuestos'!$J$2:$J$13,A23),COUNTIFS('Conciliacion de compuestos'!$D$2:$D$13,"conciliado",'Conciliacion de compuestos'!$E$2:$E$13,"OK",'Conciliacion de compuestos'!$K$2:$K$13,A23),COUNTIFS('Conciliacion de compuestos'!$D$2:$D$13,"conciliado",'Conciliacion de compuestos'!$E$2:$E$13,"OK",'Conciliacion de compuestos'!$L$2:$L$13,A23))&gt;0,"conciliado en compuesto confirmado","disponible")</f>
        <v/>
      </c>
    </row>
    <row r="24">
      <c r="A24" s="11" t="n">
        <v>110</v>
      </c>
      <c r="B24" s="12" t="n">
        <v>46027</v>
      </c>
      <c r="C24" s="11" t="inlineStr">
        <is>
          <t>consignacion credibanco d e</t>
        </is>
      </c>
      <c r="D24" s="13" t="n">
        <v>64200</v>
      </c>
      <c r="E24" s="11">
        <f>IF(SUM(COUNTIFS('Conciliacion de compuestos'!$D$2:$D$13,"conciliado",'Conciliacion de compuestos'!$E$2:$E$13,"OK",'Conciliacion de compuestos'!$J$2:$J$13,A24),COUNTIFS('Conciliacion de compuestos'!$D$2:$D$13,"conciliado",'Conciliacion de compuestos'!$E$2:$E$13,"OK",'Conciliacion de compuestos'!$K$2:$K$13,A24),COUNTIFS('Conciliacion de compuestos'!$D$2:$D$13,"conciliado",'Conciliacion de compuestos'!$E$2:$E$13,"OK",'Conciliacion de compuestos'!$L$2:$L$13,A24))&gt;0,"conciliado en compuesto confirmado","disponible")</f>
        <v/>
      </c>
    </row>
    <row r="25">
      <c r="A25" s="11" t="n">
        <v>115</v>
      </c>
      <c r="B25" s="12" t="n">
        <v>46027</v>
      </c>
      <c r="C25" s="11" t="inlineStr">
        <is>
          <t>consignacion credibanco d e</t>
        </is>
      </c>
      <c r="D25" s="13" t="n">
        <v>57000</v>
      </c>
      <c r="E25" s="11">
        <f>IF(SUM(COUNTIFS('Conciliacion de compuestos'!$D$2:$D$13,"conciliado",'Conciliacion de compuestos'!$E$2:$E$13,"OK",'Conciliacion de compuestos'!$J$2:$J$13,A25),COUNTIFS('Conciliacion de compuestos'!$D$2:$D$13,"conciliado",'Conciliacion de compuestos'!$E$2:$E$13,"OK",'Conciliacion de compuestos'!$K$2:$K$13,A25),COUNTIFS('Conciliacion de compuestos'!$D$2:$D$13,"conciliado",'Conciliacion de compuestos'!$E$2:$E$13,"OK",'Conciliacion de compuestos'!$L$2:$L$13,A25))&gt;0,"conciliado en compuesto confirmado","disponible")</f>
        <v/>
      </c>
    </row>
    <row r="26">
      <c r="A26" s="11" t="n">
        <v>120</v>
      </c>
      <c r="B26" s="12" t="n">
        <v>46027</v>
      </c>
      <c r="C26" s="11" t="inlineStr">
        <is>
          <t>consignacion credibanco d e</t>
        </is>
      </c>
      <c r="D26" s="13" t="n">
        <v>22400</v>
      </c>
      <c r="E26" s="11">
        <f>IF(SUM(COUNTIFS('Conciliacion de compuestos'!$D$2:$D$13,"conciliado",'Conciliacion de compuestos'!$E$2:$E$13,"OK",'Conciliacion de compuestos'!$J$2:$J$13,A26),COUNTIFS('Conciliacion de compuestos'!$D$2:$D$13,"conciliado",'Conciliacion de compuestos'!$E$2:$E$13,"OK",'Conciliacion de compuestos'!$K$2:$K$13,A26),COUNTIFS('Conciliacion de compuestos'!$D$2:$D$13,"conciliado",'Conciliacion de compuestos'!$E$2:$E$13,"OK",'Conciliacion de compuestos'!$L$2:$L$13,A26))&gt;0,"conciliado en compuesto confirmado","disponible")</f>
        <v/>
      </c>
    </row>
    <row r="27">
      <c r="A27" s="11" t="n">
        <v>125</v>
      </c>
      <c r="B27" s="12" t="n">
        <v>46027</v>
      </c>
      <c r="C27" s="11" t="inlineStr">
        <is>
          <t>consignacion credibanco d e</t>
        </is>
      </c>
      <c r="D27" s="13" t="n">
        <v>262500</v>
      </c>
      <c r="E27" s="11">
        <f>IF(SUM(COUNTIFS('Conciliacion de compuestos'!$D$2:$D$13,"conciliado",'Conciliacion de compuestos'!$E$2:$E$13,"OK",'Conciliacion de compuestos'!$J$2:$J$13,A27),COUNTIFS('Conciliacion de compuestos'!$D$2:$D$13,"conciliado",'Conciliacion de compuestos'!$E$2:$E$13,"OK",'Conciliacion de compuestos'!$K$2:$K$13,A27),COUNTIFS('Conciliacion de compuestos'!$D$2:$D$13,"conciliado",'Conciliacion de compuestos'!$E$2:$E$13,"OK",'Conciliacion de compuestos'!$L$2:$L$13,A27))&gt;0,"conciliado en compuesto confirmado","disponible")</f>
        <v/>
      </c>
    </row>
    <row r="28">
      <c r="A28" s="11" t="n">
        <v>130</v>
      </c>
      <c r="B28" s="12" t="n">
        <v>46027</v>
      </c>
      <c r="C28" s="11" t="inlineStr">
        <is>
          <t>depositos electronicos masterca transaccion</t>
        </is>
      </c>
      <c r="D28" s="13" t="n">
        <v>50200</v>
      </c>
      <c r="E28" s="11">
        <f>IF(SUM(COUNTIFS('Conciliacion de compuestos'!$D$2:$D$13,"conciliado",'Conciliacion de compuestos'!$E$2:$E$13,"OK",'Conciliacion de compuestos'!$J$2:$J$13,A28),COUNTIFS('Conciliacion de compuestos'!$D$2:$D$13,"conciliado",'Conciliacion de compuestos'!$E$2:$E$13,"OK",'Conciliacion de compuestos'!$K$2:$K$13,A28),COUNTIFS('Conciliacion de compuestos'!$D$2:$D$13,"conciliado",'Conciliacion de compuestos'!$E$2:$E$13,"OK",'Conciliacion de compuestos'!$L$2:$L$13,A28))&gt;0,"conciliado en compuesto confirmado","disponible")</f>
        <v/>
      </c>
    </row>
    <row r="29">
      <c r="A29" s="11" t="n">
        <v>135</v>
      </c>
      <c r="B29" s="12" t="n">
        <v>46027</v>
      </c>
      <c r="C29" s="11" t="inlineStr">
        <is>
          <t>depositos electronicos masterca transaccion</t>
        </is>
      </c>
      <c r="D29" s="13" t="n">
        <v>120100</v>
      </c>
      <c r="E29" s="11">
        <f>IF(SUM(COUNTIFS('Conciliacion de compuestos'!$D$2:$D$13,"conciliado",'Conciliacion de compuestos'!$E$2:$E$13,"OK",'Conciliacion de compuestos'!$J$2:$J$13,A29),COUNTIFS('Conciliacion de compuestos'!$D$2:$D$13,"conciliado",'Conciliacion de compuestos'!$E$2:$E$13,"OK",'Conciliacion de compuestos'!$K$2:$K$13,A29),COUNTIFS('Conciliacion de compuestos'!$D$2:$D$13,"conciliado",'Conciliacion de compuestos'!$E$2:$E$13,"OK",'Conciliacion de compuestos'!$L$2:$L$13,A29))&gt;0,"conciliado en compuesto confirmado","disponible")</f>
        <v/>
      </c>
    </row>
    <row r="30">
      <c r="A30" s="11" t="n">
        <v>140</v>
      </c>
      <c r="B30" s="12" t="n">
        <v>46027</v>
      </c>
      <c r="C30" s="11" t="inlineStr">
        <is>
          <t>depositos electronicos masterca transaccion</t>
        </is>
      </c>
      <c r="D30" s="13" t="n">
        <v>32800</v>
      </c>
      <c r="E30" s="11">
        <f>IF(SUM(COUNTIFS('Conciliacion de compuestos'!$D$2:$D$13,"conciliado",'Conciliacion de compuestos'!$E$2:$E$13,"OK",'Conciliacion de compuestos'!$J$2:$J$13,A30),COUNTIFS('Conciliacion de compuestos'!$D$2:$D$13,"conciliado",'Conciliacion de compuestos'!$E$2:$E$13,"OK",'Conciliacion de compuestos'!$K$2:$K$13,A30),COUNTIFS('Conciliacion de compuestos'!$D$2:$D$13,"conciliado",'Conciliacion de compuestos'!$E$2:$E$13,"OK",'Conciliacion de compuestos'!$L$2:$L$13,A30))&gt;0,"conciliado en compuesto confirmado","disponible")</f>
        <v/>
      </c>
    </row>
    <row r="31">
      <c r="A31" s="11" t="n">
        <v>145</v>
      </c>
      <c r="B31" s="12" t="n">
        <v>46027</v>
      </c>
      <c r="C31" s="11" t="inlineStr">
        <is>
          <t>depositos electronicos masterca transaccion</t>
        </is>
      </c>
      <c r="D31" s="13" t="n">
        <v>21300</v>
      </c>
      <c r="E31" s="11">
        <f>IF(SUM(COUNTIFS('Conciliacion de compuestos'!$D$2:$D$13,"conciliado",'Conciliacion de compuestos'!$E$2:$E$13,"OK",'Conciliacion de compuestos'!$J$2:$J$13,A31),COUNTIFS('Conciliacion de compuestos'!$D$2:$D$13,"conciliado",'Conciliacion de compuestos'!$E$2:$E$13,"OK",'Conciliacion de compuestos'!$K$2:$K$13,A31),COUNTIFS('Conciliacion de compuestos'!$D$2:$D$13,"conciliado",'Conciliacion de compuestos'!$E$2:$E$13,"OK",'Conciliacion de compuestos'!$L$2:$L$13,A31))&gt;0,"conciliado en compuesto confirmado","disponible")</f>
        <v/>
      </c>
    </row>
    <row r="32">
      <c r="A32" s="11" t="n">
        <v>150</v>
      </c>
      <c r="B32" s="12" t="n">
        <v>46027</v>
      </c>
      <c r="C32" s="11" t="inlineStr">
        <is>
          <t>depositos electronicos masterca transaccion</t>
        </is>
      </c>
      <c r="D32" s="13" t="n">
        <v>24800</v>
      </c>
      <c r="E32" s="11">
        <f>IF(SUM(COUNTIFS('Conciliacion de compuestos'!$D$2:$D$13,"conciliado",'Conciliacion de compuestos'!$E$2:$E$13,"OK",'Conciliacion de compuestos'!$J$2:$J$13,A32),COUNTIFS('Conciliacion de compuestos'!$D$2:$D$13,"conciliado",'Conciliacion de compuestos'!$E$2:$E$13,"OK",'Conciliacion de compuestos'!$K$2:$K$13,A32),COUNTIFS('Conciliacion de compuestos'!$D$2:$D$13,"conciliado",'Conciliacion de compuestos'!$E$2:$E$13,"OK",'Conciliacion de compuestos'!$L$2:$L$13,A32))&gt;0,"conciliado en compuesto confirmado","disponible")</f>
        <v/>
      </c>
    </row>
    <row r="33">
      <c r="A33" s="11" t="n">
        <v>155</v>
      </c>
      <c r="B33" s="12" t="n">
        <v>46027</v>
      </c>
      <c r="C33" s="11" t="inlineStr">
        <is>
          <t>depositos electronicos masterca transaccion</t>
        </is>
      </c>
      <c r="D33" s="13" t="n">
        <v>458400</v>
      </c>
      <c r="E33" s="11">
        <f>IF(SUM(COUNTIFS('Conciliacion de compuestos'!$D$2:$D$13,"conciliado",'Conciliacion de compuestos'!$E$2:$E$13,"OK",'Conciliacion de compuestos'!$J$2:$J$13,A33),COUNTIFS('Conciliacion de compuestos'!$D$2:$D$13,"conciliado",'Conciliacion de compuestos'!$E$2:$E$13,"OK",'Conciliacion de compuestos'!$K$2:$K$13,A33),COUNTIFS('Conciliacion de compuestos'!$D$2:$D$13,"conciliado",'Conciliacion de compuestos'!$E$2:$E$13,"OK",'Conciliacion de compuestos'!$L$2:$L$13,A33))&gt;0,"conciliado en compuesto confirmado","disponible")</f>
        <v/>
      </c>
    </row>
    <row r="34">
      <c r="A34" s="11" t="n">
        <v>160</v>
      </c>
      <c r="B34" s="12" t="n">
        <v>46027</v>
      </c>
      <c r="C34" s="11" t="inlineStr">
        <is>
          <t>depositos electronicos masterca transaccion</t>
        </is>
      </c>
      <c r="D34" s="13" t="n">
        <v>81500</v>
      </c>
      <c r="E34" s="11">
        <f>IF(SUM(COUNTIFS('Conciliacion de compuestos'!$D$2:$D$13,"conciliado",'Conciliacion de compuestos'!$E$2:$E$13,"OK",'Conciliacion de compuestos'!$J$2:$J$13,A34),COUNTIFS('Conciliacion de compuestos'!$D$2:$D$13,"conciliado",'Conciliacion de compuestos'!$E$2:$E$13,"OK",'Conciliacion de compuestos'!$K$2:$K$13,A34),COUNTIFS('Conciliacion de compuestos'!$D$2:$D$13,"conciliado",'Conciliacion de compuestos'!$E$2:$E$13,"OK",'Conciliacion de compuestos'!$L$2:$L$13,A34))&gt;0,"conciliado en compuesto confirmado","disponible")</f>
        <v/>
      </c>
    </row>
    <row r="35">
      <c r="A35" s="11" t="n">
        <v>165</v>
      </c>
      <c r="B35" s="12" t="n">
        <v>46027</v>
      </c>
      <c r="C35" s="11" t="inlineStr">
        <is>
          <t>depositos electronicos masterca transaccion</t>
        </is>
      </c>
      <c r="D35" s="13" t="n">
        <v>161000</v>
      </c>
      <c r="E35" s="11">
        <f>IF(SUM(COUNTIFS('Conciliacion de compuestos'!$D$2:$D$13,"conciliado",'Conciliacion de compuestos'!$E$2:$E$13,"OK",'Conciliacion de compuestos'!$J$2:$J$13,A35),COUNTIFS('Conciliacion de compuestos'!$D$2:$D$13,"conciliado",'Conciliacion de compuestos'!$E$2:$E$13,"OK",'Conciliacion de compuestos'!$K$2:$K$13,A35),COUNTIFS('Conciliacion de compuestos'!$D$2:$D$13,"conciliado",'Conciliacion de compuestos'!$E$2:$E$13,"OK",'Conciliacion de compuestos'!$L$2:$L$13,A35))&gt;0,"conciliado en compuesto confirmado","disponible")</f>
        <v/>
      </c>
    </row>
    <row r="36">
      <c r="A36" s="11" t="n">
        <v>170</v>
      </c>
      <c r="B36" s="12" t="n">
        <v>46027</v>
      </c>
      <c r="C36" s="11" t="inlineStr">
        <is>
          <t>depositos electronicos masterca transaccion</t>
        </is>
      </c>
      <c r="D36" s="13" t="n">
        <v>26400</v>
      </c>
      <c r="E36" s="11">
        <f>IF(SUM(COUNTIFS('Conciliacion de compuestos'!$D$2:$D$13,"conciliado",'Conciliacion de compuestos'!$E$2:$E$13,"OK",'Conciliacion de compuestos'!$J$2:$J$13,A36),COUNTIFS('Conciliacion de compuestos'!$D$2:$D$13,"conciliado",'Conciliacion de compuestos'!$E$2:$E$13,"OK",'Conciliacion de compuestos'!$K$2:$K$13,A36),COUNTIFS('Conciliacion de compuestos'!$D$2:$D$13,"conciliado",'Conciliacion de compuestos'!$E$2:$E$13,"OK",'Conciliacion de compuestos'!$L$2:$L$13,A36))&gt;0,"conciliado en compuesto confirmado","disponible")</f>
        <v/>
      </c>
    </row>
    <row r="37">
      <c r="A37" s="11" t="n">
        <v>175</v>
      </c>
      <c r="B37" s="12" t="n">
        <v>46027</v>
      </c>
      <c r="C37" s="11" t="inlineStr">
        <is>
          <t>depositos electronicos masterca transaccion</t>
        </is>
      </c>
      <c r="D37" s="13" t="n">
        <v>45500</v>
      </c>
      <c r="E37" s="11">
        <f>IF(SUM(COUNTIFS('Conciliacion de compuestos'!$D$2:$D$13,"conciliado",'Conciliacion de compuestos'!$E$2:$E$13,"OK",'Conciliacion de compuestos'!$J$2:$J$13,A37),COUNTIFS('Conciliacion de compuestos'!$D$2:$D$13,"conciliado",'Conciliacion de compuestos'!$E$2:$E$13,"OK",'Conciliacion de compuestos'!$K$2:$K$13,A37),COUNTIFS('Conciliacion de compuestos'!$D$2:$D$13,"conciliado",'Conciliacion de compuestos'!$E$2:$E$13,"OK",'Conciliacion de compuestos'!$L$2:$L$13,A37))&gt;0,"conciliado en compuesto confirmado","disponible")</f>
        <v/>
      </c>
    </row>
    <row r="38">
      <c r="A38" s="11" t="n">
        <v>180</v>
      </c>
      <c r="B38" s="12" t="n">
        <v>46027</v>
      </c>
      <c r="C38" s="11" t="inlineStr">
        <is>
          <t>depositos electronicos masterca transaccion</t>
        </is>
      </c>
      <c r="D38" s="13" t="n">
        <v>113400</v>
      </c>
      <c r="E38" s="11">
        <f>IF(SUM(COUNTIFS('Conciliacion de compuestos'!$D$2:$D$13,"conciliado",'Conciliacion de compuestos'!$E$2:$E$13,"OK",'Conciliacion de compuestos'!$J$2:$J$13,A38),COUNTIFS('Conciliacion de compuestos'!$D$2:$D$13,"conciliado",'Conciliacion de compuestos'!$E$2:$E$13,"OK",'Conciliacion de compuestos'!$K$2:$K$13,A38),COUNTIFS('Conciliacion de compuestos'!$D$2:$D$13,"conciliado",'Conciliacion de compuestos'!$E$2:$E$13,"OK",'Conciliacion de compuestos'!$L$2:$L$13,A38))&gt;0,"conciliado en compuesto confirmado","disponible")</f>
        <v/>
      </c>
    </row>
    <row r="39">
      <c r="A39" s="11" t="n">
        <v>185</v>
      </c>
      <c r="B39" s="12" t="n">
        <v>46027</v>
      </c>
      <c r="C39" s="11" t="inlineStr">
        <is>
          <t>depositos electronicos masterca transaccion</t>
        </is>
      </c>
      <c r="D39" s="13" t="n">
        <v>500000</v>
      </c>
      <c r="E39" s="11">
        <f>IF(SUM(COUNTIFS('Conciliacion de compuestos'!$D$2:$D$13,"conciliado",'Conciliacion de compuestos'!$E$2:$E$13,"OK",'Conciliacion de compuestos'!$J$2:$J$13,A39),COUNTIFS('Conciliacion de compuestos'!$D$2:$D$13,"conciliado",'Conciliacion de compuestos'!$E$2:$E$13,"OK",'Conciliacion de compuestos'!$K$2:$K$13,A39),COUNTIFS('Conciliacion de compuestos'!$D$2:$D$13,"conciliado",'Conciliacion de compuestos'!$E$2:$E$13,"OK",'Conciliacion de compuestos'!$L$2:$L$13,A39))&gt;0,"conciliado en compuesto confirmado","disponible")</f>
        <v/>
      </c>
    </row>
    <row r="40">
      <c r="A40" s="11" t="n">
        <v>190</v>
      </c>
      <c r="B40" s="12" t="n">
        <v>46027</v>
      </c>
      <c r="C40" s="11" t="inlineStr">
        <is>
          <t>depositos electronicos masterca transaccion</t>
        </is>
      </c>
      <c r="D40" s="13" t="n">
        <v>150000</v>
      </c>
      <c r="E40" s="11">
        <f>IF(SUM(COUNTIFS('Conciliacion de compuestos'!$D$2:$D$13,"conciliado",'Conciliacion de compuestos'!$E$2:$E$13,"OK",'Conciliacion de compuestos'!$J$2:$J$13,A40),COUNTIFS('Conciliacion de compuestos'!$D$2:$D$13,"conciliado",'Conciliacion de compuestos'!$E$2:$E$13,"OK",'Conciliacion de compuestos'!$K$2:$K$13,A40),COUNTIFS('Conciliacion de compuestos'!$D$2:$D$13,"conciliado",'Conciliacion de compuestos'!$E$2:$E$13,"OK",'Conciliacion de compuestos'!$L$2:$L$13,A40))&gt;0,"conciliado en compuesto confirmado","disponible")</f>
        <v/>
      </c>
    </row>
    <row r="41">
      <c r="A41" s="11" t="n">
        <v>195</v>
      </c>
      <c r="B41" s="12" t="n">
        <v>46027</v>
      </c>
      <c r="C41" s="11" t="inlineStr">
        <is>
          <t>depositos electronicos masterca transaccion</t>
        </is>
      </c>
      <c r="D41" s="13" t="n">
        <v>35700</v>
      </c>
      <c r="E41" s="11">
        <f>IF(SUM(COUNTIFS('Conciliacion de compuestos'!$D$2:$D$13,"conciliado",'Conciliacion de compuestos'!$E$2:$E$13,"OK",'Conciliacion de compuestos'!$J$2:$J$13,A41),COUNTIFS('Conciliacion de compuestos'!$D$2:$D$13,"conciliado",'Conciliacion de compuestos'!$E$2:$E$13,"OK",'Conciliacion de compuestos'!$K$2:$K$13,A41),COUNTIFS('Conciliacion de compuestos'!$D$2:$D$13,"conciliado",'Conciliacion de compuestos'!$E$2:$E$13,"OK",'Conciliacion de compuestos'!$L$2:$L$13,A41))&gt;0,"conciliado en compuesto confirmado","disponible")</f>
        <v/>
      </c>
    </row>
    <row r="42">
      <c r="A42" s="11" t="n">
        <v>200</v>
      </c>
      <c r="B42" s="12" t="n">
        <v>46027</v>
      </c>
      <c r="C42" s="11" t="inlineStr">
        <is>
          <t>depositos electronicos masterca transaccion</t>
        </is>
      </c>
      <c r="D42" s="13" t="n">
        <v>26300</v>
      </c>
      <c r="E42" s="11">
        <f>IF(SUM(COUNTIFS('Conciliacion de compuestos'!$D$2:$D$13,"conciliado",'Conciliacion de compuestos'!$E$2:$E$13,"OK",'Conciliacion de compuestos'!$J$2:$J$13,A42),COUNTIFS('Conciliacion de compuestos'!$D$2:$D$13,"conciliado",'Conciliacion de compuestos'!$E$2:$E$13,"OK",'Conciliacion de compuestos'!$K$2:$K$13,A42),COUNTIFS('Conciliacion de compuestos'!$D$2:$D$13,"conciliado",'Conciliacion de compuestos'!$E$2:$E$13,"OK",'Conciliacion de compuestos'!$L$2:$L$13,A42))&gt;0,"conciliado en compuesto confirmado","disponible")</f>
        <v/>
      </c>
    </row>
    <row r="43">
      <c r="A43" s="11" t="n">
        <v>205</v>
      </c>
      <c r="B43" s="12" t="n">
        <v>46027</v>
      </c>
      <c r="C43" s="11" t="inlineStr">
        <is>
          <t>depositos electronicos masterca transaccion</t>
        </is>
      </c>
      <c r="D43" s="13" t="n">
        <v>32500</v>
      </c>
      <c r="E43" s="11">
        <f>IF(SUM(COUNTIFS('Conciliacion de compuestos'!$D$2:$D$13,"conciliado",'Conciliacion de compuestos'!$E$2:$E$13,"OK",'Conciliacion de compuestos'!$J$2:$J$13,A43),COUNTIFS('Conciliacion de compuestos'!$D$2:$D$13,"conciliado",'Conciliacion de compuestos'!$E$2:$E$13,"OK",'Conciliacion de compuestos'!$K$2:$K$13,A43),COUNTIFS('Conciliacion de compuestos'!$D$2:$D$13,"conciliado",'Conciliacion de compuestos'!$E$2:$E$13,"OK",'Conciliacion de compuestos'!$L$2:$L$13,A43))&gt;0,"conciliado en compuesto confirmado","disponible")</f>
        <v/>
      </c>
    </row>
    <row r="44">
      <c r="A44" s="11" t="n">
        <v>210</v>
      </c>
      <c r="B44" s="12" t="n">
        <v>46027</v>
      </c>
      <c r="C44" s="11" t="inlineStr">
        <is>
          <t>depositos electronicos masterca transaccion</t>
        </is>
      </c>
      <c r="D44" s="13" t="n">
        <v>184000</v>
      </c>
      <c r="E44" s="11">
        <f>IF(SUM(COUNTIFS('Conciliacion de compuestos'!$D$2:$D$13,"conciliado",'Conciliacion de compuestos'!$E$2:$E$13,"OK",'Conciliacion de compuestos'!$J$2:$J$13,A44),COUNTIFS('Conciliacion de compuestos'!$D$2:$D$13,"conciliado",'Conciliacion de compuestos'!$E$2:$E$13,"OK",'Conciliacion de compuestos'!$K$2:$K$13,A44),COUNTIFS('Conciliacion de compuestos'!$D$2:$D$13,"conciliado",'Conciliacion de compuestos'!$E$2:$E$13,"OK",'Conciliacion de compuestos'!$L$2:$L$13,A44))&gt;0,"conciliado en compuesto confirmado","disponible")</f>
        <v/>
      </c>
    </row>
    <row r="45">
      <c r="A45" s="11" t="n">
        <v>215</v>
      </c>
      <c r="B45" s="12" t="n">
        <v>46027</v>
      </c>
      <c r="C45" s="11" t="inlineStr">
        <is>
          <t>depositos electronicos masterca transaccion</t>
        </is>
      </c>
      <c r="D45" s="13" t="n">
        <v>133500</v>
      </c>
      <c r="E45" s="11">
        <f>IF(SUM(COUNTIFS('Conciliacion de compuestos'!$D$2:$D$13,"conciliado",'Conciliacion de compuestos'!$E$2:$E$13,"OK",'Conciliacion de compuestos'!$J$2:$J$13,A45),COUNTIFS('Conciliacion de compuestos'!$D$2:$D$13,"conciliado",'Conciliacion de compuestos'!$E$2:$E$13,"OK",'Conciliacion de compuestos'!$K$2:$K$13,A45),COUNTIFS('Conciliacion de compuestos'!$D$2:$D$13,"conciliado",'Conciliacion de compuestos'!$E$2:$E$13,"OK",'Conciliacion de compuestos'!$L$2:$L$13,A45))&gt;0,"conciliado en compuesto confirmado","disponible")</f>
        <v/>
      </c>
    </row>
    <row r="46">
      <c r="A46" s="11" t="n">
        <v>220</v>
      </c>
      <c r="B46" s="12" t="n">
        <v>46027</v>
      </c>
      <c r="C46" s="11" t="inlineStr">
        <is>
          <t>consignacion credibanco d e</t>
        </is>
      </c>
      <c r="D46" s="13" t="n">
        <v>69200</v>
      </c>
      <c r="E46" s="11">
        <f>IF(SUM(COUNTIFS('Conciliacion de compuestos'!$D$2:$D$13,"conciliado",'Conciliacion de compuestos'!$E$2:$E$13,"OK",'Conciliacion de compuestos'!$J$2:$J$13,A46),COUNTIFS('Conciliacion de compuestos'!$D$2:$D$13,"conciliado",'Conciliacion de compuestos'!$E$2:$E$13,"OK",'Conciliacion de compuestos'!$K$2:$K$13,A46),COUNTIFS('Conciliacion de compuestos'!$D$2:$D$13,"conciliado",'Conciliacion de compuestos'!$E$2:$E$13,"OK",'Conciliacion de compuestos'!$L$2:$L$13,A46))&gt;0,"conciliado en compuesto confirmado","disponible")</f>
        <v/>
      </c>
    </row>
    <row r="47">
      <c r="A47" s="11" t="n">
        <v>225</v>
      </c>
      <c r="B47" s="12" t="n">
        <v>46027</v>
      </c>
      <c r="C47" s="11" t="inlineStr">
        <is>
          <t>consignacion credibanco d e</t>
        </is>
      </c>
      <c r="D47" s="13" t="n">
        <v>85500</v>
      </c>
      <c r="E47" s="11">
        <f>IF(SUM(COUNTIFS('Conciliacion de compuestos'!$D$2:$D$13,"conciliado",'Conciliacion de compuestos'!$E$2:$E$13,"OK",'Conciliacion de compuestos'!$J$2:$J$13,A47),COUNTIFS('Conciliacion de compuestos'!$D$2:$D$13,"conciliado",'Conciliacion de compuestos'!$E$2:$E$13,"OK",'Conciliacion de compuestos'!$K$2:$K$13,A47),COUNTIFS('Conciliacion de compuestos'!$D$2:$D$13,"conciliado",'Conciliacion de compuestos'!$E$2:$E$13,"OK",'Conciliacion de compuestos'!$L$2:$L$13,A47))&gt;0,"conciliado en compuesto confirmado","disponible")</f>
        <v/>
      </c>
    </row>
    <row r="48">
      <c r="A48" s="11" t="n">
        <v>230</v>
      </c>
      <c r="B48" s="12" t="n">
        <v>46027</v>
      </c>
      <c r="C48" s="11" t="inlineStr">
        <is>
          <t>consignacion credibanco d e</t>
        </is>
      </c>
      <c r="D48" s="13" t="n">
        <v>60000</v>
      </c>
      <c r="E48" s="11">
        <f>IF(SUM(COUNTIFS('Conciliacion de compuestos'!$D$2:$D$13,"conciliado",'Conciliacion de compuestos'!$E$2:$E$13,"OK",'Conciliacion de compuestos'!$J$2:$J$13,A48),COUNTIFS('Conciliacion de compuestos'!$D$2:$D$13,"conciliado",'Conciliacion de compuestos'!$E$2:$E$13,"OK",'Conciliacion de compuestos'!$K$2:$K$13,A48),COUNTIFS('Conciliacion de compuestos'!$D$2:$D$13,"conciliado",'Conciliacion de compuestos'!$E$2:$E$13,"OK",'Conciliacion de compuestos'!$L$2:$L$13,A48))&gt;0,"conciliado en compuesto confirmado","disponible")</f>
        <v/>
      </c>
    </row>
    <row r="49">
      <c r="A49" s="11" t="n">
        <v>235</v>
      </c>
      <c r="B49" s="12" t="n">
        <v>46027</v>
      </c>
      <c r="C49" s="11" t="inlineStr">
        <is>
          <t>consignacion credibanco d e</t>
        </is>
      </c>
      <c r="D49" s="13" t="n">
        <v>29700</v>
      </c>
      <c r="E49" s="11">
        <f>IF(SUM(COUNTIFS('Conciliacion de compuestos'!$D$2:$D$13,"conciliado",'Conciliacion de compuestos'!$E$2:$E$13,"OK",'Conciliacion de compuestos'!$J$2:$J$13,A49),COUNTIFS('Conciliacion de compuestos'!$D$2:$D$13,"conciliado",'Conciliacion de compuestos'!$E$2:$E$13,"OK",'Conciliacion de compuestos'!$K$2:$K$13,A49),COUNTIFS('Conciliacion de compuestos'!$D$2:$D$13,"conciliado",'Conciliacion de compuestos'!$E$2:$E$13,"OK",'Conciliacion de compuestos'!$L$2:$L$13,A49))&gt;0,"conciliado en compuesto confirmado","disponible")</f>
        <v/>
      </c>
    </row>
    <row r="50">
      <c r="A50" s="11" t="n">
        <v>240</v>
      </c>
      <c r="B50" s="12" t="n">
        <v>46027</v>
      </c>
      <c r="C50" s="11" t="inlineStr">
        <is>
          <t>consignacion credibanco d e</t>
        </is>
      </c>
      <c r="D50" s="13" t="n">
        <v>226100</v>
      </c>
      <c r="E50" s="11">
        <f>IF(SUM(COUNTIFS('Conciliacion de compuestos'!$D$2:$D$13,"conciliado",'Conciliacion de compuestos'!$E$2:$E$13,"OK",'Conciliacion de compuestos'!$J$2:$J$13,A50),COUNTIFS('Conciliacion de compuestos'!$D$2:$D$13,"conciliado",'Conciliacion de compuestos'!$E$2:$E$13,"OK",'Conciliacion de compuestos'!$K$2:$K$13,A50),COUNTIFS('Conciliacion de compuestos'!$D$2:$D$13,"conciliado",'Conciliacion de compuestos'!$E$2:$E$13,"OK",'Conciliacion de compuestos'!$L$2:$L$13,A50))&gt;0,"conciliado en compuesto confirmado","disponible")</f>
        <v/>
      </c>
    </row>
    <row r="51">
      <c r="A51" s="11" t="n">
        <v>245</v>
      </c>
      <c r="B51" s="12" t="n">
        <v>46027</v>
      </c>
      <c r="C51" s="11" t="inlineStr">
        <is>
          <t>consignacion credibanco d e</t>
        </is>
      </c>
      <c r="D51" s="13" t="n">
        <v>84100</v>
      </c>
      <c r="E51" s="11">
        <f>IF(SUM(COUNTIFS('Conciliacion de compuestos'!$D$2:$D$13,"conciliado",'Conciliacion de compuestos'!$E$2:$E$13,"OK",'Conciliacion de compuestos'!$J$2:$J$13,A51),COUNTIFS('Conciliacion de compuestos'!$D$2:$D$13,"conciliado",'Conciliacion de compuestos'!$E$2:$E$13,"OK",'Conciliacion de compuestos'!$K$2:$K$13,A51),COUNTIFS('Conciliacion de compuestos'!$D$2:$D$13,"conciliado",'Conciliacion de compuestos'!$E$2:$E$13,"OK",'Conciliacion de compuestos'!$L$2:$L$13,A51))&gt;0,"conciliado en compuesto confirmado","disponible")</f>
        <v/>
      </c>
    </row>
    <row r="52">
      <c r="A52" s="11" t="n">
        <v>250</v>
      </c>
      <c r="B52" s="12" t="n">
        <v>46027</v>
      </c>
      <c r="C52" s="11" t="inlineStr">
        <is>
          <t>consignacion credibanco d e</t>
        </is>
      </c>
      <c r="D52" s="13" t="n">
        <v>29700</v>
      </c>
      <c r="E52" s="11">
        <f>IF(SUM(COUNTIFS('Conciliacion de compuestos'!$D$2:$D$13,"conciliado",'Conciliacion de compuestos'!$E$2:$E$13,"OK",'Conciliacion de compuestos'!$J$2:$J$13,A52),COUNTIFS('Conciliacion de compuestos'!$D$2:$D$13,"conciliado",'Conciliacion de compuestos'!$E$2:$E$13,"OK",'Conciliacion de compuestos'!$K$2:$K$13,A52),COUNTIFS('Conciliacion de compuestos'!$D$2:$D$13,"conciliado",'Conciliacion de compuestos'!$E$2:$E$13,"OK",'Conciliacion de compuestos'!$L$2:$L$13,A52))&gt;0,"conciliado en compuesto confirmado","disponible")</f>
        <v/>
      </c>
    </row>
    <row r="53">
      <c r="A53" s="11" t="n">
        <v>255</v>
      </c>
      <c r="B53" s="12" t="n">
        <v>46027</v>
      </c>
      <c r="C53" s="11" t="inlineStr">
        <is>
          <t>consignacion credibanco d e</t>
        </is>
      </c>
      <c r="D53" s="13" t="n">
        <v>42300</v>
      </c>
      <c r="E53" s="11">
        <f>IF(SUM(COUNTIFS('Conciliacion de compuestos'!$D$2:$D$13,"conciliado",'Conciliacion de compuestos'!$E$2:$E$13,"OK",'Conciliacion de compuestos'!$J$2:$J$13,A53),COUNTIFS('Conciliacion de compuestos'!$D$2:$D$13,"conciliado",'Conciliacion de compuestos'!$E$2:$E$13,"OK",'Conciliacion de compuestos'!$K$2:$K$13,A53),COUNTIFS('Conciliacion de compuestos'!$D$2:$D$13,"conciliado",'Conciliacion de compuestos'!$E$2:$E$13,"OK",'Conciliacion de compuestos'!$L$2:$L$13,A53))&gt;0,"conciliado en compuesto confirmado","disponible")</f>
        <v/>
      </c>
    </row>
    <row r="54">
      <c r="A54" s="11" t="n">
        <v>260</v>
      </c>
      <c r="B54" s="12" t="n">
        <v>46027</v>
      </c>
      <c r="C54" s="11" t="inlineStr">
        <is>
          <t>consignacion credibanco d e</t>
        </is>
      </c>
      <c r="D54" s="13" t="n">
        <v>34235</v>
      </c>
      <c r="E54" s="11">
        <f>IF(SUM(COUNTIFS('Conciliacion de compuestos'!$D$2:$D$13,"conciliado",'Conciliacion de compuestos'!$E$2:$E$13,"OK",'Conciliacion de compuestos'!$J$2:$J$13,A54),COUNTIFS('Conciliacion de compuestos'!$D$2:$D$13,"conciliado",'Conciliacion de compuestos'!$E$2:$E$13,"OK",'Conciliacion de compuestos'!$K$2:$K$13,A54),COUNTIFS('Conciliacion de compuestos'!$D$2:$D$13,"conciliado",'Conciliacion de compuestos'!$E$2:$E$13,"OK",'Conciliacion de compuestos'!$L$2:$L$13,A54))&gt;0,"conciliado en compuesto confirmado","disponible")</f>
        <v/>
      </c>
    </row>
    <row r="55">
      <c r="A55" s="11" t="n">
        <v>265</v>
      </c>
      <c r="B55" s="12" t="n">
        <v>46027</v>
      </c>
      <c r="C55" s="11" t="inlineStr">
        <is>
          <t>consignacion credibanco d e</t>
        </is>
      </c>
      <c r="D55" s="13" t="n">
        <v>124430</v>
      </c>
      <c r="E55" s="11">
        <f>IF(SUM(COUNTIFS('Conciliacion de compuestos'!$D$2:$D$13,"conciliado",'Conciliacion de compuestos'!$E$2:$E$13,"OK",'Conciliacion de compuestos'!$J$2:$J$13,A55),COUNTIFS('Conciliacion de compuestos'!$D$2:$D$13,"conciliado",'Conciliacion de compuestos'!$E$2:$E$13,"OK",'Conciliacion de compuestos'!$K$2:$K$13,A55),COUNTIFS('Conciliacion de compuestos'!$D$2:$D$13,"conciliado",'Conciliacion de compuestos'!$E$2:$E$13,"OK",'Conciliacion de compuestos'!$L$2:$L$13,A55))&gt;0,"conciliado en compuesto confirmado","disponible")</f>
        <v/>
      </c>
    </row>
    <row r="56">
      <c r="A56" s="11" t="n">
        <v>270</v>
      </c>
      <c r="B56" s="12" t="n">
        <v>46027</v>
      </c>
      <c r="C56" s="11" t="inlineStr">
        <is>
          <t>consignacion credibanco d e</t>
        </is>
      </c>
      <c r="D56" s="13" t="n">
        <v>21600</v>
      </c>
      <c r="E56" s="11">
        <f>IF(SUM(COUNTIFS('Conciliacion de compuestos'!$D$2:$D$13,"conciliado",'Conciliacion de compuestos'!$E$2:$E$13,"OK",'Conciliacion de compuestos'!$J$2:$J$13,A56),COUNTIFS('Conciliacion de compuestos'!$D$2:$D$13,"conciliado",'Conciliacion de compuestos'!$E$2:$E$13,"OK",'Conciliacion de compuestos'!$K$2:$K$13,A56),COUNTIFS('Conciliacion de compuestos'!$D$2:$D$13,"conciliado",'Conciliacion de compuestos'!$E$2:$E$13,"OK",'Conciliacion de compuestos'!$L$2:$L$13,A56))&gt;0,"conciliado en compuesto confirmado","disponible")</f>
        <v/>
      </c>
    </row>
    <row r="57">
      <c r="A57" s="11" t="n">
        <v>275</v>
      </c>
      <c r="B57" s="12" t="n">
        <v>46027</v>
      </c>
      <c r="C57" s="11" t="inlineStr">
        <is>
          <t>consignacion credibanco d e</t>
        </is>
      </c>
      <c r="D57" s="13" t="n">
        <v>88000</v>
      </c>
      <c r="E57" s="11">
        <f>IF(SUM(COUNTIFS('Conciliacion de compuestos'!$D$2:$D$13,"conciliado",'Conciliacion de compuestos'!$E$2:$E$13,"OK",'Conciliacion de compuestos'!$J$2:$J$13,A57),COUNTIFS('Conciliacion de compuestos'!$D$2:$D$13,"conciliado",'Conciliacion de compuestos'!$E$2:$E$13,"OK",'Conciliacion de compuestos'!$K$2:$K$13,A57),COUNTIFS('Conciliacion de compuestos'!$D$2:$D$13,"conciliado",'Conciliacion de compuestos'!$E$2:$E$13,"OK",'Conciliacion de compuestos'!$L$2:$L$13,A57))&gt;0,"conciliado en compuesto confirmado","disponible")</f>
        <v/>
      </c>
    </row>
    <row r="58">
      <c r="A58" s="11" t="n">
        <v>280</v>
      </c>
      <c r="B58" s="12" t="n">
        <v>46027</v>
      </c>
      <c r="C58" s="11" t="inlineStr">
        <is>
          <t>consignacion credibanco d e</t>
        </is>
      </c>
      <c r="D58" s="13" t="n">
        <v>43200</v>
      </c>
      <c r="E58" s="11">
        <f>IF(SUM(COUNTIFS('Conciliacion de compuestos'!$D$2:$D$13,"conciliado",'Conciliacion de compuestos'!$E$2:$E$13,"OK",'Conciliacion de compuestos'!$J$2:$J$13,A58),COUNTIFS('Conciliacion de compuestos'!$D$2:$D$13,"conciliado",'Conciliacion de compuestos'!$E$2:$E$13,"OK",'Conciliacion de compuestos'!$K$2:$K$13,A58),COUNTIFS('Conciliacion de compuestos'!$D$2:$D$13,"conciliado",'Conciliacion de compuestos'!$E$2:$E$13,"OK",'Conciliacion de compuestos'!$L$2:$L$13,A58))&gt;0,"conciliado en compuesto confirmado","disponible")</f>
        <v/>
      </c>
    </row>
    <row r="59">
      <c r="A59" s="11" t="n">
        <v>285</v>
      </c>
      <c r="B59" s="12" t="n">
        <v>46027</v>
      </c>
      <c r="C59" s="11" t="inlineStr">
        <is>
          <t>consignacion credibanco d e</t>
        </is>
      </c>
      <c r="D59" s="13" t="n">
        <v>156300</v>
      </c>
      <c r="E59" s="11">
        <f>IF(SUM(COUNTIFS('Conciliacion de compuestos'!$D$2:$D$13,"conciliado",'Conciliacion de compuestos'!$E$2:$E$13,"OK",'Conciliacion de compuestos'!$J$2:$J$13,A59),COUNTIFS('Conciliacion de compuestos'!$D$2:$D$13,"conciliado",'Conciliacion de compuestos'!$E$2:$E$13,"OK",'Conciliacion de compuestos'!$K$2:$K$13,A59),COUNTIFS('Conciliacion de compuestos'!$D$2:$D$13,"conciliado",'Conciliacion de compuestos'!$E$2:$E$13,"OK",'Conciliacion de compuestos'!$L$2:$L$13,A59))&gt;0,"conciliado en compuesto confirmado","disponible")</f>
        <v/>
      </c>
    </row>
    <row r="60">
      <c r="A60" s="11" t="n">
        <v>290</v>
      </c>
      <c r="B60" s="12" t="n">
        <v>46027</v>
      </c>
      <c r="C60" s="11" t="inlineStr">
        <is>
          <t>consignacion credibanco d e</t>
        </is>
      </c>
      <c r="D60" s="13" t="n">
        <v>22300</v>
      </c>
      <c r="E60" s="11">
        <f>IF(SUM(COUNTIFS('Conciliacion de compuestos'!$D$2:$D$13,"conciliado",'Conciliacion de compuestos'!$E$2:$E$13,"OK",'Conciliacion de compuestos'!$J$2:$J$13,A60),COUNTIFS('Conciliacion de compuestos'!$D$2:$D$13,"conciliado",'Conciliacion de compuestos'!$E$2:$E$13,"OK",'Conciliacion de compuestos'!$K$2:$K$13,A60),COUNTIFS('Conciliacion de compuestos'!$D$2:$D$13,"conciliado",'Conciliacion de compuestos'!$E$2:$E$13,"OK",'Conciliacion de compuestos'!$L$2:$L$13,A60))&gt;0,"conciliado en compuesto confirmado","disponible")</f>
        <v/>
      </c>
    </row>
    <row r="61">
      <c r="A61" s="11" t="n">
        <v>295</v>
      </c>
      <c r="B61" s="12" t="n">
        <v>46027</v>
      </c>
      <c r="C61" s="11" t="inlineStr">
        <is>
          <t>consignacion credibanco d e</t>
        </is>
      </c>
      <c r="D61" s="13" t="n">
        <v>200900</v>
      </c>
      <c r="E61" s="11">
        <f>IF(SUM(COUNTIFS('Conciliacion de compuestos'!$D$2:$D$13,"conciliado",'Conciliacion de compuestos'!$E$2:$E$13,"OK",'Conciliacion de compuestos'!$J$2:$J$13,A61),COUNTIFS('Conciliacion de compuestos'!$D$2:$D$13,"conciliado",'Conciliacion de compuestos'!$E$2:$E$13,"OK",'Conciliacion de compuestos'!$K$2:$K$13,A61),COUNTIFS('Conciliacion de compuestos'!$D$2:$D$13,"conciliado",'Conciliacion de compuestos'!$E$2:$E$13,"OK",'Conciliacion de compuestos'!$L$2:$L$13,A61))&gt;0,"conciliado en compuesto confirmado","disponible")</f>
        <v/>
      </c>
    </row>
    <row r="62">
      <c r="A62" s="11" t="n">
        <v>300</v>
      </c>
      <c r="B62" s="12" t="n">
        <v>46027</v>
      </c>
      <c r="C62" s="11" t="inlineStr">
        <is>
          <t>consignacion credibanco d e</t>
        </is>
      </c>
      <c r="D62" s="13" t="n">
        <v>34000</v>
      </c>
      <c r="E62" s="11">
        <f>IF(SUM(COUNTIFS('Conciliacion de compuestos'!$D$2:$D$13,"conciliado",'Conciliacion de compuestos'!$E$2:$E$13,"OK",'Conciliacion de compuestos'!$J$2:$J$13,A62),COUNTIFS('Conciliacion de compuestos'!$D$2:$D$13,"conciliado",'Conciliacion de compuestos'!$E$2:$E$13,"OK",'Conciliacion de compuestos'!$K$2:$K$13,A62),COUNTIFS('Conciliacion de compuestos'!$D$2:$D$13,"conciliado",'Conciliacion de compuestos'!$E$2:$E$13,"OK",'Conciliacion de compuestos'!$L$2:$L$13,A62))&gt;0,"conciliado en compuesto confirmado","disponible")</f>
        <v/>
      </c>
    </row>
    <row r="63">
      <c r="A63" s="11" t="n">
        <v>305</v>
      </c>
      <c r="B63" s="12" t="n">
        <v>46027</v>
      </c>
      <c r="C63" s="11" t="inlineStr">
        <is>
          <t>consignacion credibanco d e</t>
        </is>
      </c>
      <c r="D63" s="13" t="n">
        <v>21800</v>
      </c>
      <c r="E63" s="11">
        <f>IF(SUM(COUNTIFS('Conciliacion de compuestos'!$D$2:$D$13,"conciliado",'Conciliacion de compuestos'!$E$2:$E$13,"OK",'Conciliacion de compuestos'!$J$2:$J$13,A63),COUNTIFS('Conciliacion de compuestos'!$D$2:$D$13,"conciliado",'Conciliacion de compuestos'!$E$2:$E$13,"OK",'Conciliacion de compuestos'!$K$2:$K$13,A63),COUNTIFS('Conciliacion de compuestos'!$D$2:$D$13,"conciliado",'Conciliacion de compuestos'!$E$2:$E$13,"OK",'Conciliacion de compuestos'!$L$2:$L$13,A63))&gt;0,"conciliado en compuesto confirmado","disponible")</f>
        <v/>
      </c>
    </row>
    <row r="64">
      <c r="A64" s="11" t="n">
        <v>310</v>
      </c>
      <c r="B64" s="12" t="n">
        <v>46027</v>
      </c>
      <c r="C64" s="11" t="inlineStr">
        <is>
          <t>consignacion credibanco d e</t>
        </is>
      </c>
      <c r="D64" s="13" t="n">
        <v>28300</v>
      </c>
      <c r="E64" s="11">
        <f>IF(SUM(COUNTIFS('Conciliacion de compuestos'!$D$2:$D$13,"conciliado",'Conciliacion de compuestos'!$E$2:$E$13,"OK",'Conciliacion de compuestos'!$J$2:$J$13,A64),COUNTIFS('Conciliacion de compuestos'!$D$2:$D$13,"conciliado",'Conciliacion de compuestos'!$E$2:$E$13,"OK",'Conciliacion de compuestos'!$K$2:$K$13,A64),COUNTIFS('Conciliacion de compuestos'!$D$2:$D$13,"conciliado",'Conciliacion de compuestos'!$E$2:$E$13,"OK",'Conciliacion de compuestos'!$L$2:$L$13,A64))&gt;0,"conciliado en compuesto confirmado","disponible")</f>
        <v/>
      </c>
    </row>
    <row r="65">
      <c r="A65" s="11" t="n">
        <v>315</v>
      </c>
      <c r="B65" s="12" t="n">
        <v>46027</v>
      </c>
      <c r="C65" s="11" t="inlineStr">
        <is>
          <t>consignacion credibanco d e</t>
        </is>
      </c>
      <c r="D65" s="13" t="n">
        <v>122600</v>
      </c>
      <c r="E65" s="11">
        <f>IF(SUM(COUNTIFS('Conciliacion de compuestos'!$D$2:$D$13,"conciliado",'Conciliacion de compuestos'!$E$2:$E$13,"OK",'Conciliacion de compuestos'!$J$2:$J$13,A65),COUNTIFS('Conciliacion de compuestos'!$D$2:$D$13,"conciliado",'Conciliacion de compuestos'!$E$2:$E$13,"OK",'Conciliacion de compuestos'!$K$2:$K$13,A65),COUNTIFS('Conciliacion de compuestos'!$D$2:$D$13,"conciliado",'Conciliacion de compuestos'!$E$2:$E$13,"OK",'Conciliacion de compuestos'!$L$2:$L$13,A65))&gt;0,"conciliado en compuesto confirmado","disponible")</f>
        <v/>
      </c>
    </row>
    <row r="66">
      <c r="A66" s="11" t="n">
        <v>320</v>
      </c>
      <c r="B66" s="12" t="n">
        <v>46027</v>
      </c>
      <c r="C66" s="11" t="inlineStr">
        <is>
          <t>consignacion credibanco d e</t>
        </is>
      </c>
      <c r="D66" s="13" t="n">
        <v>28683</v>
      </c>
      <c r="E66" s="11">
        <f>IF(SUM(COUNTIFS('Conciliacion de compuestos'!$D$2:$D$13,"conciliado",'Conciliacion de compuestos'!$E$2:$E$13,"OK",'Conciliacion de compuestos'!$J$2:$J$13,A66),COUNTIFS('Conciliacion de compuestos'!$D$2:$D$13,"conciliado",'Conciliacion de compuestos'!$E$2:$E$13,"OK",'Conciliacion de compuestos'!$K$2:$K$13,A66),COUNTIFS('Conciliacion de compuestos'!$D$2:$D$13,"conciliado",'Conciliacion de compuestos'!$E$2:$E$13,"OK",'Conciliacion de compuestos'!$L$2:$L$13,A66))&gt;0,"conciliado en compuesto confirmado","disponible")</f>
        <v/>
      </c>
    </row>
    <row r="67">
      <c r="A67" s="11" t="n">
        <v>325</v>
      </c>
      <c r="B67" s="12" t="n">
        <v>46027</v>
      </c>
      <c r="C67" s="11" t="inlineStr">
        <is>
          <t>consignacion credibanco d e</t>
        </is>
      </c>
      <c r="D67" s="13" t="n">
        <v>267200</v>
      </c>
      <c r="E67" s="11">
        <f>IF(SUM(COUNTIFS('Conciliacion de compuestos'!$D$2:$D$13,"conciliado",'Conciliacion de compuestos'!$E$2:$E$13,"OK",'Conciliacion de compuestos'!$J$2:$J$13,A67),COUNTIFS('Conciliacion de compuestos'!$D$2:$D$13,"conciliado",'Conciliacion de compuestos'!$E$2:$E$13,"OK",'Conciliacion de compuestos'!$K$2:$K$13,A67),COUNTIFS('Conciliacion de compuestos'!$D$2:$D$13,"conciliado",'Conciliacion de compuestos'!$E$2:$E$13,"OK",'Conciliacion de compuestos'!$L$2:$L$13,A67))&gt;0,"conciliado en compuesto confirmado","disponible")</f>
        <v/>
      </c>
    </row>
    <row r="68">
      <c r="A68" s="11" t="n">
        <v>330</v>
      </c>
      <c r="B68" s="12" t="n">
        <v>46027</v>
      </c>
      <c r="C68" s="11" t="inlineStr">
        <is>
          <t>consignacion credibanco d e</t>
        </is>
      </c>
      <c r="D68" s="13" t="n">
        <v>20500</v>
      </c>
      <c r="E68" s="11">
        <f>IF(SUM(COUNTIFS('Conciliacion de compuestos'!$D$2:$D$13,"conciliado",'Conciliacion de compuestos'!$E$2:$E$13,"OK",'Conciliacion de compuestos'!$J$2:$J$13,A68),COUNTIFS('Conciliacion de compuestos'!$D$2:$D$13,"conciliado",'Conciliacion de compuestos'!$E$2:$E$13,"OK",'Conciliacion de compuestos'!$K$2:$K$13,A68),COUNTIFS('Conciliacion de compuestos'!$D$2:$D$13,"conciliado",'Conciliacion de compuestos'!$E$2:$E$13,"OK",'Conciliacion de compuestos'!$L$2:$L$13,A68))&gt;0,"conciliado en compuesto confirmado","disponible")</f>
        <v/>
      </c>
    </row>
    <row r="69">
      <c r="A69" s="11" t="n">
        <v>335</v>
      </c>
      <c r="B69" s="12" t="n">
        <v>46027</v>
      </c>
      <c r="C69" s="11" t="inlineStr">
        <is>
          <t>consignacion credibanco d e</t>
        </is>
      </c>
      <c r="D69" s="13" t="n">
        <v>63100</v>
      </c>
      <c r="E69" s="11">
        <f>IF(SUM(COUNTIFS('Conciliacion de compuestos'!$D$2:$D$13,"conciliado",'Conciliacion de compuestos'!$E$2:$E$13,"OK",'Conciliacion de compuestos'!$J$2:$J$13,A69),COUNTIFS('Conciliacion de compuestos'!$D$2:$D$13,"conciliado",'Conciliacion de compuestos'!$E$2:$E$13,"OK",'Conciliacion de compuestos'!$K$2:$K$13,A69),COUNTIFS('Conciliacion de compuestos'!$D$2:$D$13,"conciliado",'Conciliacion de compuestos'!$E$2:$E$13,"OK",'Conciliacion de compuestos'!$L$2:$L$13,A69))&gt;0,"conciliado en compuesto confirmado","disponible")</f>
        <v/>
      </c>
    </row>
    <row r="70">
      <c r="A70" s="11" t="n">
        <v>340</v>
      </c>
      <c r="B70" s="12" t="n">
        <v>46027</v>
      </c>
      <c r="C70" s="11" t="inlineStr">
        <is>
          <t>depositos electronicos masterca transaccion</t>
        </is>
      </c>
      <c r="D70" s="13" t="n">
        <v>79955</v>
      </c>
      <c r="E70" s="11">
        <f>IF(SUM(COUNTIFS('Conciliacion de compuestos'!$D$2:$D$13,"conciliado",'Conciliacion de compuestos'!$E$2:$E$13,"OK",'Conciliacion de compuestos'!$J$2:$J$13,A70),COUNTIFS('Conciliacion de compuestos'!$D$2:$D$13,"conciliado",'Conciliacion de compuestos'!$E$2:$E$13,"OK",'Conciliacion de compuestos'!$K$2:$K$13,A70),COUNTIFS('Conciliacion de compuestos'!$D$2:$D$13,"conciliado",'Conciliacion de compuestos'!$E$2:$E$13,"OK",'Conciliacion de compuestos'!$L$2:$L$13,A70))&gt;0,"conciliado en compuesto confirmado","disponible")</f>
        <v/>
      </c>
    </row>
    <row r="71">
      <c r="A71" s="11" t="n">
        <v>345</v>
      </c>
      <c r="B71" s="12" t="n">
        <v>46027</v>
      </c>
      <c r="C71" s="11" t="inlineStr">
        <is>
          <t>depositos electronicos masterca transaccion</t>
        </is>
      </c>
      <c r="D71" s="13" t="n">
        <v>80900</v>
      </c>
      <c r="E71" s="11">
        <f>IF(SUM(COUNTIFS('Conciliacion de compuestos'!$D$2:$D$13,"conciliado",'Conciliacion de compuestos'!$E$2:$E$13,"OK",'Conciliacion de compuestos'!$J$2:$J$13,A71),COUNTIFS('Conciliacion de compuestos'!$D$2:$D$13,"conciliado",'Conciliacion de compuestos'!$E$2:$E$13,"OK",'Conciliacion de compuestos'!$K$2:$K$13,A71),COUNTIFS('Conciliacion de compuestos'!$D$2:$D$13,"conciliado",'Conciliacion de compuestos'!$E$2:$E$13,"OK",'Conciliacion de compuestos'!$L$2:$L$13,A71))&gt;0,"conciliado en compuesto confirmado","disponible")</f>
        <v/>
      </c>
    </row>
    <row r="72">
      <c r="A72" s="11" t="n">
        <v>350</v>
      </c>
      <c r="B72" s="12" t="n">
        <v>46027</v>
      </c>
      <c r="C72" s="11" t="inlineStr">
        <is>
          <t>depositos electronicos masterca transaccion</t>
        </is>
      </c>
      <c r="D72" s="13" t="n">
        <v>685700</v>
      </c>
      <c r="E72" s="11">
        <f>IF(SUM(COUNTIFS('Conciliacion de compuestos'!$D$2:$D$13,"conciliado",'Conciliacion de compuestos'!$E$2:$E$13,"OK",'Conciliacion de compuestos'!$J$2:$J$13,A72),COUNTIFS('Conciliacion de compuestos'!$D$2:$D$13,"conciliado",'Conciliacion de compuestos'!$E$2:$E$13,"OK",'Conciliacion de compuestos'!$K$2:$K$13,A72),COUNTIFS('Conciliacion de compuestos'!$D$2:$D$13,"conciliado",'Conciliacion de compuestos'!$E$2:$E$13,"OK",'Conciliacion de compuestos'!$L$2:$L$13,A72))&gt;0,"conciliado en compuesto confirmado","disponible")</f>
        <v/>
      </c>
    </row>
    <row r="73">
      <c r="A73" s="11" t="n">
        <v>355</v>
      </c>
      <c r="B73" s="12" t="n">
        <v>46027</v>
      </c>
      <c r="C73" s="11" t="inlineStr">
        <is>
          <t>depositos electronicos masterca transaccion</t>
        </is>
      </c>
      <c r="D73" s="13" t="n">
        <v>33300</v>
      </c>
      <c r="E73" s="11">
        <f>IF(SUM(COUNTIFS('Conciliacion de compuestos'!$D$2:$D$13,"conciliado",'Conciliacion de compuestos'!$E$2:$E$13,"OK",'Conciliacion de compuestos'!$J$2:$J$13,A73),COUNTIFS('Conciliacion de compuestos'!$D$2:$D$13,"conciliado",'Conciliacion de compuestos'!$E$2:$E$13,"OK",'Conciliacion de compuestos'!$K$2:$K$13,A73),COUNTIFS('Conciliacion de compuestos'!$D$2:$D$13,"conciliado",'Conciliacion de compuestos'!$E$2:$E$13,"OK",'Conciliacion de compuestos'!$L$2:$L$13,A73))&gt;0,"conciliado en compuesto confirmado","disponible")</f>
        <v/>
      </c>
    </row>
    <row r="74">
      <c r="A74" s="11" t="n">
        <v>360</v>
      </c>
      <c r="B74" s="12" t="n">
        <v>46027</v>
      </c>
      <c r="C74" s="11" t="inlineStr">
        <is>
          <t>depositos electronicos masterca transaccion</t>
        </is>
      </c>
      <c r="D74" s="13" t="n">
        <v>75000</v>
      </c>
      <c r="E74" s="11">
        <f>IF(SUM(COUNTIFS('Conciliacion de compuestos'!$D$2:$D$13,"conciliado",'Conciliacion de compuestos'!$E$2:$E$13,"OK",'Conciliacion de compuestos'!$J$2:$J$13,A74),COUNTIFS('Conciliacion de compuestos'!$D$2:$D$13,"conciliado",'Conciliacion de compuestos'!$E$2:$E$13,"OK",'Conciliacion de compuestos'!$K$2:$K$13,A74),COUNTIFS('Conciliacion de compuestos'!$D$2:$D$13,"conciliado",'Conciliacion de compuestos'!$E$2:$E$13,"OK",'Conciliacion de compuestos'!$L$2:$L$13,A74))&gt;0,"conciliado en compuesto confirmado","disponible")</f>
        <v/>
      </c>
    </row>
    <row r="75">
      <c r="A75" s="11" t="n">
        <v>365</v>
      </c>
      <c r="B75" s="12" t="n">
        <v>46027</v>
      </c>
      <c r="C75" s="11" t="inlineStr">
        <is>
          <t>depositos electronicos masterca transaccion</t>
        </is>
      </c>
      <c r="D75" s="13" t="n">
        <v>59800</v>
      </c>
      <c r="E75" s="11">
        <f>IF(SUM(COUNTIFS('Conciliacion de compuestos'!$D$2:$D$13,"conciliado",'Conciliacion de compuestos'!$E$2:$E$13,"OK",'Conciliacion de compuestos'!$J$2:$J$13,A75),COUNTIFS('Conciliacion de compuestos'!$D$2:$D$13,"conciliado",'Conciliacion de compuestos'!$E$2:$E$13,"OK",'Conciliacion de compuestos'!$K$2:$K$13,A75),COUNTIFS('Conciliacion de compuestos'!$D$2:$D$13,"conciliado",'Conciliacion de compuestos'!$E$2:$E$13,"OK",'Conciliacion de compuestos'!$L$2:$L$13,A75))&gt;0,"conciliado en compuesto confirmado","disponible")</f>
        <v/>
      </c>
    </row>
    <row r="76">
      <c r="A76" s="11" t="n">
        <v>370</v>
      </c>
      <c r="B76" s="12" t="n">
        <v>46027</v>
      </c>
      <c r="C76" s="11" t="inlineStr">
        <is>
          <t>depositos electronicos masterca transaccion</t>
        </is>
      </c>
      <c r="D76" s="13" t="n">
        <v>49900</v>
      </c>
      <c r="E76" s="11">
        <f>IF(SUM(COUNTIFS('Conciliacion de compuestos'!$D$2:$D$13,"conciliado",'Conciliacion de compuestos'!$E$2:$E$13,"OK",'Conciliacion de compuestos'!$J$2:$J$13,A76),COUNTIFS('Conciliacion de compuestos'!$D$2:$D$13,"conciliado",'Conciliacion de compuestos'!$E$2:$E$13,"OK",'Conciliacion de compuestos'!$K$2:$K$13,A76),COUNTIFS('Conciliacion de compuestos'!$D$2:$D$13,"conciliado",'Conciliacion de compuestos'!$E$2:$E$13,"OK",'Conciliacion de compuestos'!$L$2:$L$13,A76))&gt;0,"conciliado en compuesto confirmado","disponible")</f>
        <v/>
      </c>
    </row>
    <row r="77">
      <c r="A77" s="11" t="n">
        <v>375</v>
      </c>
      <c r="B77" s="12" t="n">
        <v>46027</v>
      </c>
      <c r="C77" s="11" t="inlineStr">
        <is>
          <t>depositos electronicos masterca transaccion</t>
        </is>
      </c>
      <c r="D77" s="13" t="n">
        <v>23700</v>
      </c>
      <c r="E77" s="11">
        <f>IF(SUM(COUNTIFS('Conciliacion de compuestos'!$D$2:$D$13,"conciliado",'Conciliacion de compuestos'!$E$2:$E$13,"OK",'Conciliacion de compuestos'!$J$2:$J$13,A77),COUNTIFS('Conciliacion de compuestos'!$D$2:$D$13,"conciliado",'Conciliacion de compuestos'!$E$2:$E$13,"OK",'Conciliacion de compuestos'!$K$2:$K$13,A77),COUNTIFS('Conciliacion de compuestos'!$D$2:$D$13,"conciliado",'Conciliacion de compuestos'!$E$2:$E$13,"OK",'Conciliacion de compuestos'!$L$2:$L$13,A77))&gt;0,"conciliado en compuesto confirmado","disponible")</f>
        <v/>
      </c>
    </row>
    <row r="78">
      <c r="A78" s="11" t="n">
        <v>380</v>
      </c>
      <c r="B78" s="12" t="n">
        <v>46027</v>
      </c>
      <c r="C78" s="11" t="inlineStr">
        <is>
          <t>depositos electronicos masterca transaccion</t>
        </is>
      </c>
      <c r="D78" s="13" t="n">
        <v>21400</v>
      </c>
      <c r="E78" s="11">
        <f>IF(SUM(COUNTIFS('Conciliacion de compuestos'!$D$2:$D$13,"conciliado",'Conciliacion de compuestos'!$E$2:$E$13,"OK",'Conciliacion de compuestos'!$J$2:$J$13,A78),COUNTIFS('Conciliacion de compuestos'!$D$2:$D$13,"conciliado",'Conciliacion de compuestos'!$E$2:$E$13,"OK",'Conciliacion de compuestos'!$K$2:$K$13,A78),COUNTIFS('Conciliacion de compuestos'!$D$2:$D$13,"conciliado",'Conciliacion de compuestos'!$E$2:$E$13,"OK",'Conciliacion de compuestos'!$L$2:$L$13,A78))&gt;0,"conciliado en compuesto confirmado","disponible")</f>
        <v/>
      </c>
    </row>
    <row r="79">
      <c r="A79" s="11" t="n">
        <v>385</v>
      </c>
      <c r="B79" s="12" t="n">
        <v>46027</v>
      </c>
      <c r="C79" s="11" t="inlineStr">
        <is>
          <t>depositos electronicos masterca transaccion</t>
        </is>
      </c>
      <c r="D79" s="13" t="n">
        <v>20000</v>
      </c>
      <c r="E79" s="11">
        <f>IF(SUM(COUNTIFS('Conciliacion de compuestos'!$D$2:$D$13,"conciliado",'Conciliacion de compuestos'!$E$2:$E$13,"OK",'Conciliacion de compuestos'!$J$2:$J$13,A79),COUNTIFS('Conciliacion de compuestos'!$D$2:$D$13,"conciliado",'Conciliacion de compuestos'!$E$2:$E$13,"OK",'Conciliacion de compuestos'!$K$2:$K$13,A79),COUNTIFS('Conciliacion de compuestos'!$D$2:$D$13,"conciliado",'Conciliacion de compuestos'!$E$2:$E$13,"OK",'Conciliacion de compuestos'!$L$2:$L$13,A79))&gt;0,"conciliado en compuesto confirmado","disponible")</f>
        <v/>
      </c>
    </row>
    <row r="80">
      <c r="A80" s="11" t="n">
        <v>390</v>
      </c>
      <c r="B80" s="12" t="n">
        <v>46027</v>
      </c>
      <c r="C80" s="11" t="inlineStr">
        <is>
          <t>depositos electronicos masterca transaccion</t>
        </is>
      </c>
      <c r="D80" s="13" t="n">
        <v>53200</v>
      </c>
      <c r="E80" s="11">
        <f>IF(SUM(COUNTIFS('Conciliacion de compuestos'!$D$2:$D$13,"conciliado",'Conciliacion de compuestos'!$E$2:$E$13,"OK",'Conciliacion de compuestos'!$J$2:$J$13,A80),COUNTIFS('Conciliacion de compuestos'!$D$2:$D$13,"conciliado",'Conciliacion de compuestos'!$E$2:$E$13,"OK",'Conciliacion de compuestos'!$K$2:$K$13,A80),COUNTIFS('Conciliacion de compuestos'!$D$2:$D$13,"conciliado",'Conciliacion de compuestos'!$E$2:$E$13,"OK",'Conciliacion de compuestos'!$L$2:$L$13,A80))&gt;0,"conciliado en compuesto confirmado","disponible")</f>
        <v/>
      </c>
    </row>
    <row r="81">
      <c r="A81" s="11" t="n">
        <v>395</v>
      </c>
      <c r="B81" s="12" t="n">
        <v>46027</v>
      </c>
      <c r="C81" s="11" t="inlineStr">
        <is>
          <t>depositos electronicos masterca transaccion</t>
        </is>
      </c>
      <c r="D81" s="13" t="n">
        <v>164300</v>
      </c>
      <c r="E81" s="11">
        <f>IF(SUM(COUNTIFS('Conciliacion de compuestos'!$D$2:$D$13,"conciliado",'Conciliacion de compuestos'!$E$2:$E$13,"OK",'Conciliacion de compuestos'!$J$2:$J$13,A81),COUNTIFS('Conciliacion de compuestos'!$D$2:$D$13,"conciliado",'Conciliacion de compuestos'!$E$2:$E$13,"OK",'Conciliacion de compuestos'!$K$2:$K$13,A81),COUNTIFS('Conciliacion de compuestos'!$D$2:$D$13,"conciliado",'Conciliacion de compuestos'!$E$2:$E$13,"OK",'Conciliacion de compuestos'!$L$2:$L$13,A81))&gt;0,"conciliado en compuesto confirmado","disponible")</f>
        <v/>
      </c>
    </row>
    <row r="82">
      <c r="A82" s="11" t="n">
        <v>400</v>
      </c>
      <c r="B82" s="12" t="n">
        <v>46027</v>
      </c>
      <c r="C82" s="11" t="inlineStr">
        <is>
          <t>depositos electronicos masterca transaccion</t>
        </is>
      </c>
      <c r="D82" s="13" t="n">
        <v>36000</v>
      </c>
      <c r="E82" s="11">
        <f>IF(SUM(COUNTIFS('Conciliacion de compuestos'!$D$2:$D$13,"conciliado",'Conciliacion de compuestos'!$E$2:$E$13,"OK",'Conciliacion de compuestos'!$J$2:$J$13,A82),COUNTIFS('Conciliacion de compuestos'!$D$2:$D$13,"conciliado",'Conciliacion de compuestos'!$E$2:$E$13,"OK",'Conciliacion de compuestos'!$K$2:$K$13,A82),COUNTIFS('Conciliacion de compuestos'!$D$2:$D$13,"conciliado",'Conciliacion de compuestos'!$E$2:$E$13,"OK",'Conciliacion de compuestos'!$L$2:$L$13,A82))&gt;0,"conciliado en compuesto confirmado","disponible")</f>
        <v/>
      </c>
    </row>
    <row r="83">
      <c r="A83" s="11" t="n">
        <v>405</v>
      </c>
      <c r="B83" s="12" t="n">
        <v>46027</v>
      </c>
      <c r="C83" s="11" t="inlineStr">
        <is>
          <t>depositos electronicos masterca transaccion</t>
        </is>
      </c>
      <c r="D83" s="13" t="n">
        <v>359500</v>
      </c>
      <c r="E83" s="11">
        <f>IF(SUM(COUNTIFS('Conciliacion de compuestos'!$D$2:$D$13,"conciliado",'Conciliacion de compuestos'!$E$2:$E$13,"OK",'Conciliacion de compuestos'!$J$2:$J$13,A83),COUNTIFS('Conciliacion de compuestos'!$D$2:$D$13,"conciliado",'Conciliacion de compuestos'!$E$2:$E$13,"OK",'Conciliacion de compuestos'!$K$2:$K$13,A83),COUNTIFS('Conciliacion de compuestos'!$D$2:$D$13,"conciliado",'Conciliacion de compuestos'!$E$2:$E$13,"OK",'Conciliacion de compuestos'!$L$2:$L$13,A83))&gt;0,"conciliado en compuesto confirmado","disponible")</f>
        <v/>
      </c>
    </row>
    <row r="84">
      <c r="A84" s="11" t="n">
        <v>410</v>
      </c>
      <c r="B84" s="12" t="n">
        <v>46027</v>
      </c>
      <c r="C84" s="11" t="inlineStr">
        <is>
          <t>depositos electronicos masterca transaccion</t>
        </is>
      </c>
      <c r="D84" s="13" t="n">
        <v>32000</v>
      </c>
      <c r="E84" s="11">
        <f>IF(SUM(COUNTIFS('Conciliacion de compuestos'!$D$2:$D$13,"conciliado",'Conciliacion de compuestos'!$E$2:$E$13,"OK",'Conciliacion de compuestos'!$J$2:$J$13,A84),COUNTIFS('Conciliacion de compuestos'!$D$2:$D$13,"conciliado",'Conciliacion de compuestos'!$E$2:$E$13,"OK",'Conciliacion de compuestos'!$K$2:$K$13,A84),COUNTIFS('Conciliacion de compuestos'!$D$2:$D$13,"conciliado",'Conciliacion de compuestos'!$E$2:$E$13,"OK",'Conciliacion de compuestos'!$L$2:$L$13,A84))&gt;0,"conciliado en compuesto confirmado","disponible")</f>
        <v/>
      </c>
    </row>
    <row r="85">
      <c r="A85" s="11" t="n">
        <v>415</v>
      </c>
      <c r="B85" s="12" t="n">
        <v>46027</v>
      </c>
      <c r="C85" s="11" t="inlineStr">
        <is>
          <t>depositos electronicos masterca transaccion</t>
        </is>
      </c>
      <c r="D85" s="13" t="n">
        <v>22200</v>
      </c>
      <c r="E85" s="11">
        <f>IF(SUM(COUNTIFS('Conciliacion de compuestos'!$D$2:$D$13,"conciliado",'Conciliacion de compuestos'!$E$2:$E$13,"OK",'Conciliacion de compuestos'!$J$2:$J$13,A85),COUNTIFS('Conciliacion de compuestos'!$D$2:$D$13,"conciliado",'Conciliacion de compuestos'!$E$2:$E$13,"OK",'Conciliacion de compuestos'!$K$2:$K$13,A85),COUNTIFS('Conciliacion de compuestos'!$D$2:$D$13,"conciliado",'Conciliacion de compuestos'!$E$2:$E$13,"OK",'Conciliacion de compuestos'!$L$2:$L$13,A85))&gt;0,"conciliado en compuesto confirmado","disponible")</f>
        <v/>
      </c>
    </row>
    <row r="86">
      <c r="A86" s="11" t="n">
        <v>420</v>
      </c>
      <c r="B86" s="12" t="n">
        <v>46027</v>
      </c>
      <c r="C86" s="11" t="inlineStr">
        <is>
          <t>depositos electronicos masterca transaccion</t>
        </is>
      </c>
      <c r="D86" s="13" t="n">
        <v>81000</v>
      </c>
      <c r="E86" s="11">
        <f>IF(SUM(COUNTIFS('Conciliacion de compuestos'!$D$2:$D$13,"conciliado",'Conciliacion de compuestos'!$E$2:$E$13,"OK",'Conciliacion de compuestos'!$J$2:$J$13,A86),COUNTIFS('Conciliacion de compuestos'!$D$2:$D$13,"conciliado",'Conciliacion de compuestos'!$E$2:$E$13,"OK",'Conciliacion de compuestos'!$K$2:$K$13,A86),COUNTIFS('Conciliacion de compuestos'!$D$2:$D$13,"conciliado",'Conciliacion de compuestos'!$E$2:$E$13,"OK",'Conciliacion de compuestos'!$L$2:$L$13,A86))&gt;0,"conciliado en compuesto confirmado","disponible")</f>
        <v/>
      </c>
    </row>
    <row r="87">
      <c r="A87" s="11" t="n">
        <v>425</v>
      </c>
      <c r="B87" s="12" t="n">
        <v>46027</v>
      </c>
      <c r="C87" s="11" t="inlineStr">
        <is>
          <t>depositos electronicos masterca transaccion</t>
        </is>
      </c>
      <c r="D87" s="13" t="n">
        <v>52200</v>
      </c>
      <c r="E87" s="11">
        <f>IF(SUM(COUNTIFS('Conciliacion de compuestos'!$D$2:$D$13,"conciliado",'Conciliacion de compuestos'!$E$2:$E$13,"OK",'Conciliacion de compuestos'!$J$2:$J$13,A87),COUNTIFS('Conciliacion de compuestos'!$D$2:$D$13,"conciliado",'Conciliacion de compuestos'!$E$2:$E$13,"OK",'Conciliacion de compuestos'!$K$2:$K$13,A87),COUNTIFS('Conciliacion de compuestos'!$D$2:$D$13,"conciliado",'Conciliacion de compuestos'!$E$2:$E$13,"OK",'Conciliacion de compuestos'!$L$2:$L$13,A87))&gt;0,"conciliado en compuesto confirmado","disponible")</f>
        <v/>
      </c>
    </row>
    <row r="88">
      <c r="A88" s="11" t="n">
        <v>430</v>
      </c>
      <c r="B88" s="12" t="n">
        <v>46028</v>
      </c>
      <c r="C88" s="11" t="inlineStr">
        <is>
          <t>consignacion credibanco d e</t>
        </is>
      </c>
      <c r="D88" s="13" t="n">
        <v>46100</v>
      </c>
      <c r="E88" s="11">
        <f>IF(SUM(COUNTIFS('Conciliacion de compuestos'!$D$2:$D$13,"conciliado",'Conciliacion de compuestos'!$E$2:$E$13,"OK",'Conciliacion de compuestos'!$J$2:$J$13,A88),COUNTIFS('Conciliacion de compuestos'!$D$2:$D$13,"conciliado",'Conciliacion de compuestos'!$E$2:$E$13,"OK",'Conciliacion de compuestos'!$K$2:$K$13,A88),COUNTIFS('Conciliacion de compuestos'!$D$2:$D$13,"conciliado",'Conciliacion de compuestos'!$E$2:$E$13,"OK",'Conciliacion de compuestos'!$L$2:$L$13,A88))&gt;0,"conciliado en compuesto confirmado","disponible")</f>
        <v/>
      </c>
    </row>
    <row r="89">
      <c r="A89" s="11" t="n">
        <v>435</v>
      </c>
      <c r="B89" s="12" t="n">
        <v>46028</v>
      </c>
      <c r="C89" s="11" t="inlineStr">
        <is>
          <t>consignacion credibanco d e</t>
        </is>
      </c>
      <c r="D89" s="13" t="n">
        <v>128500</v>
      </c>
      <c r="E89" s="11">
        <f>IF(SUM(COUNTIFS('Conciliacion de compuestos'!$D$2:$D$13,"conciliado",'Conciliacion de compuestos'!$E$2:$E$13,"OK",'Conciliacion de compuestos'!$J$2:$J$13,A89),COUNTIFS('Conciliacion de compuestos'!$D$2:$D$13,"conciliado",'Conciliacion de compuestos'!$E$2:$E$13,"OK",'Conciliacion de compuestos'!$K$2:$K$13,A89),COUNTIFS('Conciliacion de compuestos'!$D$2:$D$13,"conciliado",'Conciliacion de compuestos'!$E$2:$E$13,"OK",'Conciliacion de compuestos'!$L$2:$L$13,A89))&gt;0,"conciliado en compuesto confirmado","disponible")</f>
        <v/>
      </c>
    </row>
    <row r="90">
      <c r="A90" s="11" t="n">
        <v>440</v>
      </c>
      <c r="B90" s="12" t="n">
        <v>46028</v>
      </c>
      <c r="C90" s="11" t="inlineStr">
        <is>
          <t>consignacion credibanco d e</t>
        </is>
      </c>
      <c r="D90" s="13" t="n">
        <v>512225</v>
      </c>
      <c r="E90" s="11">
        <f>IF(SUM(COUNTIFS('Conciliacion de compuestos'!$D$2:$D$13,"conciliado",'Conciliacion de compuestos'!$E$2:$E$13,"OK",'Conciliacion de compuestos'!$J$2:$J$13,A90),COUNTIFS('Conciliacion de compuestos'!$D$2:$D$13,"conciliado",'Conciliacion de compuestos'!$E$2:$E$13,"OK",'Conciliacion de compuestos'!$K$2:$K$13,A90),COUNTIFS('Conciliacion de compuestos'!$D$2:$D$13,"conciliado",'Conciliacion de compuestos'!$E$2:$E$13,"OK",'Conciliacion de compuestos'!$L$2:$L$13,A90))&gt;0,"conciliado en compuesto confirmado","disponible")</f>
        <v/>
      </c>
    </row>
    <row r="91">
      <c r="A91" s="11" t="n">
        <v>445</v>
      </c>
      <c r="B91" s="12" t="n">
        <v>46028</v>
      </c>
      <c r="C91" s="11" t="inlineStr">
        <is>
          <t>consignacion credibanco d e</t>
        </is>
      </c>
      <c r="D91" s="13" t="n">
        <v>27195</v>
      </c>
      <c r="E91" s="11">
        <f>IF(SUM(COUNTIFS('Conciliacion de compuestos'!$D$2:$D$13,"conciliado",'Conciliacion de compuestos'!$E$2:$E$13,"OK",'Conciliacion de compuestos'!$J$2:$J$13,A91),COUNTIFS('Conciliacion de compuestos'!$D$2:$D$13,"conciliado",'Conciliacion de compuestos'!$E$2:$E$13,"OK",'Conciliacion de compuestos'!$K$2:$K$13,A91),COUNTIFS('Conciliacion de compuestos'!$D$2:$D$13,"conciliado",'Conciliacion de compuestos'!$E$2:$E$13,"OK",'Conciliacion de compuestos'!$L$2:$L$13,A91))&gt;0,"conciliado en compuesto confirmado","disponible")</f>
        <v/>
      </c>
    </row>
    <row r="92">
      <c r="A92" s="11" t="n">
        <v>450</v>
      </c>
      <c r="B92" s="12" t="n">
        <v>46028</v>
      </c>
      <c r="C92" s="11" t="inlineStr">
        <is>
          <t>consignacion credibanco d e</t>
        </is>
      </c>
      <c r="D92" s="13" t="n">
        <v>26000</v>
      </c>
      <c r="E92" s="11">
        <f>IF(SUM(COUNTIFS('Conciliacion de compuestos'!$D$2:$D$13,"conciliado",'Conciliacion de compuestos'!$E$2:$E$13,"OK",'Conciliacion de compuestos'!$J$2:$J$13,A92),COUNTIFS('Conciliacion de compuestos'!$D$2:$D$13,"conciliado",'Conciliacion de compuestos'!$E$2:$E$13,"OK",'Conciliacion de compuestos'!$K$2:$K$13,A92),COUNTIFS('Conciliacion de compuestos'!$D$2:$D$13,"conciliado",'Conciliacion de compuestos'!$E$2:$E$13,"OK",'Conciliacion de compuestos'!$L$2:$L$13,A92))&gt;0,"conciliado en compuesto confirmado","disponible")</f>
        <v/>
      </c>
    </row>
    <row r="93">
      <c r="A93" s="11" t="n">
        <v>455</v>
      </c>
      <c r="B93" s="12" t="n">
        <v>46028</v>
      </c>
      <c r="C93" s="11" t="inlineStr">
        <is>
          <t>depositos electronicos masterca transaccion</t>
        </is>
      </c>
      <c r="D93" s="13" t="n">
        <v>38615</v>
      </c>
      <c r="E93" s="11">
        <f>IF(SUM(COUNTIFS('Conciliacion de compuestos'!$D$2:$D$13,"conciliado",'Conciliacion de compuestos'!$E$2:$E$13,"OK",'Conciliacion de compuestos'!$J$2:$J$13,A93),COUNTIFS('Conciliacion de compuestos'!$D$2:$D$13,"conciliado",'Conciliacion de compuestos'!$E$2:$E$13,"OK",'Conciliacion de compuestos'!$K$2:$K$13,A93),COUNTIFS('Conciliacion de compuestos'!$D$2:$D$13,"conciliado",'Conciliacion de compuestos'!$E$2:$E$13,"OK",'Conciliacion de compuestos'!$L$2:$L$13,A93))&gt;0,"conciliado en compuesto confirmado","disponible")</f>
        <v/>
      </c>
    </row>
    <row r="94">
      <c r="A94" s="11" t="n">
        <v>460</v>
      </c>
      <c r="B94" s="12" t="n">
        <v>46028</v>
      </c>
      <c r="C94" s="11" t="inlineStr">
        <is>
          <t>depositos electronicos masterca transaccion</t>
        </is>
      </c>
      <c r="D94" s="13" t="n">
        <v>63600</v>
      </c>
      <c r="E94" s="11">
        <f>IF(SUM(COUNTIFS('Conciliacion de compuestos'!$D$2:$D$13,"conciliado",'Conciliacion de compuestos'!$E$2:$E$13,"OK",'Conciliacion de compuestos'!$J$2:$J$13,A94),COUNTIFS('Conciliacion de compuestos'!$D$2:$D$13,"conciliado",'Conciliacion de compuestos'!$E$2:$E$13,"OK",'Conciliacion de compuestos'!$K$2:$K$13,A94),COUNTIFS('Conciliacion de compuestos'!$D$2:$D$13,"conciliado",'Conciliacion de compuestos'!$E$2:$E$13,"OK",'Conciliacion de compuestos'!$L$2:$L$13,A94))&gt;0,"conciliado en compuesto confirmado","disponible")</f>
        <v/>
      </c>
    </row>
    <row r="95">
      <c r="A95" s="11" t="n">
        <v>465</v>
      </c>
      <c r="B95" s="12" t="n">
        <v>46028</v>
      </c>
      <c r="C95" s="11" t="inlineStr">
        <is>
          <t>depositos electronicos masterca transaccion</t>
        </is>
      </c>
      <c r="D95" s="13" t="n">
        <v>90500</v>
      </c>
      <c r="E95" s="11">
        <f>IF(SUM(COUNTIFS('Conciliacion de compuestos'!$D$2:$D$13,"conciliado",'Conciliacion de compuestos'!$E$2:$E$13,"OK",'Conciliacion de compuestos'!$J$2:$J$13,A95),COUNTIFS('Conciliacion de compuestos'!$D$2:$D$13,"conciliado",'Conciliacion de compuestos'!$E$2:$E$13,"OK",'Conciliacion de compuestos'!$K$2:$K$13,A95),COUNTIFS('Conciliacion de compuestos'!$D$2:$D$13,"conciliado",'Conciliacion de compuestos'!$E$2:$E$13,"OK",'Conciliacion de compuestos'!$L$2:$L$13,A95))&gt;0,"conciliado en compuesto confirmado","disponible")</f>
        <v/>
      </c>
    </row>
    <row r="96">
      <c r="A96" s="11" t="n">
        <v>470</v>
      </c>
      <c r="B96" s="12" t="n">
        <v>46028</v>
      </c>
      <c r="C96" s="11" t="inlineStr">
        <is>
          <t>depositos electronicos masterca transaccion</t>
        </is>
      </c>
      <c r="D96" s="13" t="n">
        <v>1265266</v>
      </c>
      <c r="E96" s="11">
        <f>IF(SUM(COUNTIFS('Conciliacion de compuestos'!$D$2:$D$13,"conciliado",'Conciliacion de compuestos'!$E$2:$E$13,"OK",'Conciliacion de compuestos'!$J$2:$J$13,A96),COUNTIFS('Conciliacion de compuestos'!$D$2:$D$13,"conciliado",'Conciliacion de compuestos'!$E$2:$E$13,"OK",'Conciliacion de compuestos'!$K$2:$K$13,A96),COUNTIFS('Conciliacion de compuestos'!$D$2:$D$13,"conciliado",'Conciliacion de compuestos'!$E$2:$E$13,"OK",'Conciliacion de compuestos'!$L$2:$L$13,A96))&gt;0,"conciliado en compuesto confirmado","disponible")</f>
        <v/>
      </c>
    </row>
    <row r="97">
      <c r="A97" s="11" t="n">
        <v>475</v>
      </c>
      <c r="B97" s="12" t="n">
        <v>46029</v>
      </c>
      <c r="C97" s="11" t="inlineStr">
        <is>
          <t>consignacion credibanco d e</t>
        </is>
      </c>
      <c r="D97" s="13" t="n">
        <v>20000</v>
      </c>
      <c r="E97" s="11">
        <f>IF(SUM(COUNTIFS('Conciliacion de compuestos'!$D$2:$D$13,"conciliado",'Conciliacion de compuestos'!$E$2:$E$13,"OK",'Conciliacion de compuestos'!$J$2:$J$13,A97),COUNTIFS('Conciliacion de compuestos'!$D$2:$D$13,"conciliado",'Conciliacion de compuestos'!$E$2:$E$13,"OK",'Conciliacion de compuestos'!$K$2:$K$13,A97),COUNTIFS('Conciliacion de compuestos'!$D$2:$D$13,"conciliado",'Conciliacion de compuestos'!$E$2:$E$13,"OK",'Conciliacion de compuestos'!$L$2:$L$13,A97))&gt;0,"conciliado en compuesto confirmado","disponible")</f>
        <v/>
      </c>
    </row>
    <row r="98">
      <c r="A98" s="11" t="n">
        <v>480</v>
      </c>
      <c r="B98" s="12" t="n">
        <v>46029</v>
      </c>
      <c r="C98" s="11" t="inlineStr">
        <is>
          <t>consignacion credibanco d e</t>
        </is>
      </c>
      <c r="D98" s="13" t="n">
        <v>405600</v>
      </c>
      <c r="E98" s="11">
        <f>IF(SUM(COUNTIFS('Conciliacion de compuestos'!$D$2:$D$13,"conciliado",'Conciliacion de compuestos'!$E$2:$E$13,"OK",'Conciliacion de compuestos'!$J$2:$J$13,A98),COUNTIFS('Conciliacion de compuestos'!$D$2:$D$13,"conciliado",'Conciliacion de compuestos'!$E$2:$E$13,"OK",'Conciliacion de compuestos'!$K$2:$K$13,A98),COUNTIFS('Conciliacion de compuestos'!$D$2:$D$13,"conciliado",'Conciliacion de compuestos'!$E$2:$E$13,"OK",'Conciliacion de compuestos'!$L$2:$L$13,A98))&gt;0,"conciliado en compuesto confirmado","disponible")</f>
        <v/>
      </c>
    </row>
    <row r="99">
      <c r="A99" s="11" t="n">
        <v>485</v>
      </c>
      <c r="B99" s="12" t="n">
        <v>46029</v>
      </c>
      <c r="C99" s="11" t="inlineStr">
        <is>
          <t>consignacion credibanco d e</t>
        </is>
      </c>
      <c r="D99" s="13" t="n">
        <v>30600</v>
      </c>
      <c r="E99" s="11">
        <f>IF(SUM(COUNTIFS('Conciliacion de compuestos'!$D$2:$D$13,"conciliado",'Conciliacion de compuestos'!$E$2:$E$13,"OK",'Conciliacion de compuestos'!$J$2:$J$13,A99),COUNTIFS('Conciliacion de compuestos'!$D$2:$D$13,"conciliado",'Conciliacion de compuestos'!$E$2:$E$13,"OK",'Conciliacion de compuestos'!$K$2:$K$13,A99),COUNTIFS('Conciliacion de compuestos'!$D$2:$D$13,"conciliado",'Conciliacion de compuestos'!$E$2:$E$13,"OK",'Conciliacion de compuestos'!$L$2:$L$13,A99))&gt;0,"conciliado en compuesto confirmado","disponible")</f>
        <v/>
      </c>
    </row>
    <row r="100">
      <c r="A100" s="11" t="n">
        <v>490</v>
      </c>
      <c r="B100" s="12" t="n">
        <v>46029</v>
      </c>
      <c r="C100" s="11" t="inlineStr">
        <is>
          <t>consignacion credibanco d e</t>
        </is>
      </c>
      <c r="D100" s="13" t="n">
        <v>65200</v>
      </c>
      <c r="E100" s="11">
        <f>IF(SUM(COUNTIFS('Conciliacion de compuestos'!$D$2:$D$13,"conciliado",'Conciliacion de compuestos'!$E$2:$E$13,"OK",'Conciliacion de compuestos'!$J$2:$J$13,A100),COUNTIFS('Conciliacion de compuestos'!$D$2:$D$13,"conciliado",'Conciliacion de compuestos'!$E$2:$E$13,"OK",'Conciliacion de compuestos'!$K$2:$K$13,A100),COUNTIFS('Conciliacion de compuestos'!$D$2:$D$13,"conciliado",'Conciliacion de compuestos'!$E$2:$E$13,"OK",'Conciliacion de compuestos'!$L$2:$L$13,A100))&gt;0,"conciliado en compuesto confirmado","disponible")</f>
        <v/>
      </c>
    </row>
    <row r="101">
      <c r="A101" s="11" t="n">
        <v>495</v>
      </c>
      <c r="B101" s="12" t="n">
        <v>46029</v>
      </c>
      <c r="C101" s="11" t="inlineStr">
        <is>
          <t>consignacion credibanco d e</t>
        </is>
      </c>
      <c r="D101" s="13" t="n">
        <v>30600</v>
      </c>
      <c r="E101" s="11">
        <f>IF(SUM(COUNTIFS('Conciliacion de compuestos'!$D$2:$D$13,"conciliado",'Conciliacion de compuestos'!$E$2:$E$13,"OK",'Conciliacion de compuestos'!$J$2:$J$13,A101),COUNTIFS('Conciliacion de compuestos'!$D$2:$D$13,"conciliado",'Conciliacion de compuestos'!$E$2:$E$13,"OK",'Conciliacion de compuestos'!$K$2:$K$13,A101),COUNTIFS('Conciliacion de compuestos'!$D$2:$D$13,"conciliado",'Conciliacion de compuestos'!$E$2:$E$13,"OK",'Conciliacion de compuestos'!$L$2:$L$13,A101))&gt;0,"conciliado en compuesto confirmado","disponible")</f>
        <v/>
      </c>
    </row>
    <row r="102">
      <c r="A102" s="11" t="n">
        <v>500</v>
      </c>
      <c r="B102" s="12" t="n">
        <v>46029</v>
      </c>
      <c r="C102" s="11" t="inlineStr">
        <is>
          <t>consignacion credibanco d e</t>
        </is>
      </c>
      <c r="D102" s="13" t="n">
        <v>23000</v>
      </c>
      <c r="E102" s="11">
        <f>IF(SUM(COUNTIFS('Conciliacion de compuestos'!$D$2:$D$13,"conciliado",'Conciliacion de compuestos'!$E$2:$E$13,"OK",'Conciliacion de compuestos'!$J$2:$J$13,A102),COUNTIFS('Conciliacion de compuestos'!$D$2:$D$13,"conciliado",'Conciliacion de compuestos'!$E$2:$E$13,"OK",'Conciliacion de compuestos'!$K$2:$K$13,A102),COUNTIFS('Conciliacion de compuestos'!$D$2:$D$13,"conciliado",'Conciliacion de compuestos'!$E$2:$E$13,"OK",'Conciliacion de compuestos'!$L$2:$L$13,A102))&gt;0,"conciliado en compuesto confirmado","disponible")</f>
        <v/>
      </c>
    </row>
    <row r="103">
      <c r="A103" s="11" t="n">
        <v>505</v>
      </c>
      <c r="B103" s="12" t="n">
        <v>46029</v>
      </c>
      <c r="C103" s="11" t="inlineStr">
        <is>
          <t>consignacion credibanco d e</t>
        </is>
      </c>
      <c r="D103" s="13" t="n">
        <v>9000</v>
      </c>
      <c r="E103" s="11">
        <f>IF(SUM(COUNTIFS('Conciliacion de compuestos'!$D$2:$D$13,"conciliado",'Conciliacion de compuestos'!$E$2:$E$13,"OK",'Conciliacion de compuestos'!$J$2:$J$13,A103),COUNTIFS('Conciliacion de compuestos'!$D$2:$D$13,"conciliado",'Conciliacion de compuestos'!$E$2:$E$13,"OK",'Conciliacion de compuestos'!$K$2:$K$13,A103),COUNTIFS('Conciliacion de compuestos'!$D$2:$D$13,"conciliado",'Conciliacion de compuestos'!$E$2:$E$13,"OK",'Conciliacion de compuestos'!$L$2:$L$13,A103))&gt;0,"conciliado en compuesto confirmado","disponible")</f>
        <v/>
      </c>
    </row>
    <row r="104">
      <c r="A104" s="11" t="n">
        <v>510</v>
      </c>
      <c r="B104" s="12" t="n">
        <v>46029</v>
      </c>
      <c r="C104" s="11" t="inlineStr">
        <is>
          <t>consignacion credibanco d e</t>
        </is>
      </c>
      <c r="D104" s="13" t="n">
        <v>26600</v>
      </c>
      <c r="E104" s="11">
        <f>IF(SUM(COUNTIFS('Conciliacion de compuestos'!$D$2:$D$13,"conciliado",'Conciliacion de compuestos'!$E$2:$E$13,"OK",'Conciliacion de compuestos'!$J$2:$J$13,A104),COUNTIFS('Conciliacion de compuestos'!$D$2:$D$13,"conciliado",'Conciliacion de compuestos'!$E$2:$E$13,"OK",'Conciliacion de compuestos'!$K$2:$K$13,A104),COUNTIFS('Conciliacion de compuestos'!$D$2:$D$13,"conciliado",'Conciliacion de compuestos'!$E$2:$E$13,"OK",'Conciliacion de compuestos'!$L$2:$L$13,A104))&gt;0,"conciliado en compuesto confirmado","disponible")</f>
        <v/>
      </c>
    </row>
    <row r="105">
      <c r="A105" s="11" t="n">
        <v>515</v>
      </c>
      <c r="B105" s="12" t="n">
        <v>46029</v>
      </c>
      <c r="C105" s="11" t="inlineStr">
        <is>
          <t>consignacion credibanco d e</t>
        </is>
      </c>
      <c r="D105" s="13" t="n">
        <v>162550</v>
      </c>
      <c r="E105" s="11">
        <f>IF(SUM(COUNTIFS('Conciliacion de compuestos'!$D$2:$D$13,"conciliado",'Conciliacion de compuestos'!$E$2:$E$13,"OK",'Conciliacion de compuestos'!$J$2:$J$13,A105),COUNTIFS('Conciliacion de compuestos'!$D$2:$D$13,"conciliado",'Conciliacion de compuestos'!$E$2:$E$13,"OK",'Conciliacion de compuestos'!$K$2:$K$13,A105),COUNTIFS('Conciliacion de compuestos'!$D$2:$D$13,"conciliado",'Conciliacion de compuestos'!$E$2:$E$13,"OK",'Conciliacion de compuestos'!$L$2:$L$13,A105))&gt;0,"conciliado en compuesto confirmado","disponible")</f>
        <v/>
      </c>
    </row>
    <row r="106">
      <c r="A106" s="11" t="n">
        <v>520</v>
      </c>
      <c r="B106" s="12" t="n">
        <v>46029</v>
      </c>
      <c r="C106" s="11" t="inlineStr">
        <is>
          <t>consignacion credibanco d e</t>
        </is>
      </c>
      <c r="D106" s="13" t="n">
        <v>55100</v>
      </c>
      <c r="E106" s="11">
        <f>IF(SUM(COUNTIFS('Conciliacion de compuestos'!$D$2:$D$13,"conciliado",'Conciliacion de compuestos'!$E$2:$E$13,"OK",'Conciliacion de compuestos'!$J$2:$J$13,A106),COUNTIFS('Conciliacion de compuestos'!$D$2:$D$13,"conciliado",'Conciliacion de compuestos'!$E$2:$E$13,"OK",'Conciliacion de compuestos'!$K$2:$K$13,A106),COUNTIFS('Conciliacion de compuestos'!$D$2:$D$13,"conciliado",'Conciliacion de compuestos'!$E$2:$E$13,"OK",'Conciliacion de compuestos'!$L$2:$L$13,A106))&gt;0,"conciliado en compuesto confirmado","disponible")</f>
        <v/>
      </c>
    </row>
    <row r="107">
      <c r="A107" s="11" t="n">
        <v>525</v>
      </c>
      <c r="B107" s="12" t="n">
        <v>46029</v>
      </c>
      <c r="C107" s="11" t="inlineStr">
        <is>
          <t>consignacion credibanco d e</t>
        </is>
      </c>
      <c r="D107" s="13" t="n">
        <v>474500</v>
      </c>
      <c r="E107" s="11">
        <f>IF(SUM(COUNTIFS('Conciliacion de compuestos'!$D$2:$D$13,"conciliado",'Conciliacion de compuestos'!$E$2:$E$13,"OK",'Conciliacion de compuestos'!$J$2:$J$13,A107),COUNTIFS('Conciliacion de compuestos'!$D$2:$D$13,"conciliado",'Conciliacion de compuestos'!$E$2:$E$13,"OK",'Conciliacion de compuestos'!$K$2:$K$13,A107),COUNTIFS('Conciliacion de compuestos'!$D$2:$D$13,"conciliado",'Conciliacion de compuestos'!$E$2:$E$13,"OK",'Conciliacion de compuestos'!$L$2:$L$13,A107))&gt;0,"conciliado en compuesto confirmado","disponible")</f>
        <v/>
      </c>
    </row>
    <row r="108">
      <c r="A108" s="11" t="n">
        <v>530</v>
      </c>
      <c r="B108" s="12" t="n">
        <v>46029</v>
      </c>
      <c r="C108" s="11" t="inlineStr">
        <is>
          <t>depositos electronicos masterca transaccion</t>
        </is>
      </c>
      <c r="D108" s="13" t="n">
        <v>108200</v>
      </c>
      <c r="E108" s="11">
        <f>IF(SUM(COUNTIFS('Conciliacion de compuestos'!$D$2:$D$13,"conciliado",'Conciliacion de compuestos'!$E$2:$E$13,"OK",'Conciliacion de compuestos'!$J$2:$J$13,A108),COUNTIFS('Conciliacion de compuestos'!$D$2:$D$13,"conciliado",'Conciliacion de compuestos'!$E$2:$E$13,"OK",'Conciliacion de compuestos'!$K$2:$K$13,A108),COUNTIFS('Conciliacion de compuestos'!$D$2:$D$13,"conciliado",'Conciliacion de compuestos'!$E$2:$E$13,"OK",'Conciliacion de compuestos'!$L$2:$L$13,A108))&gt;0,"conciliado en compuesto confirmado","disponible")</f>
        <v/>
      </c>
    </row>
    <row r="109">
      <c r="A109" s="11" t="n">
        <v>535</v>
      </c>
      <c r="B109" s="12" t="n">
        <v>46029</v>
      </c>
      <c r="C109" s="11" t="inlineStr">
        <is>
          <t>depositos electronicos masterca transaccion</t>
        </is>
      </c>
      <c r="D109" s="13" t="n">
        <v>96500</v>
      </c>
      <c r="E109" s="11">
        <f>IF(SUM(COUNTIFS('Conciliacion de compuestos'!$D$2:$D$13,"conciliado",'Conciliacion de compuestos'!$E$2:$E$13,"OK",'Conciliacion de compuestos'!$J$2:$J$13,A109),COUNTIFS('Conciliacion de compuestos'!$D$2:$D$13,"conciliado",'Conciliacion de compuestos'!$E$2:$E$13,"OK",'Conciliacion de compuestos'!$K$2:$K$13,A109),COUNTIFS('Conciliacion de compuestos'!$D$2:$D$13,"conciliado",'Conciliacion de compuestos'!$E$2:$E$13,"OK",'Conciliacion de compuestos'!$L$2:$L$13,A109))&gt;0,"conciliado en compuesto confirmado","disponible")</f>
        <v/>
      </c>
    </row>
    <row r="110">
      <c r="A110" s="11" t="n">
        <v>545</v>
      </c>
      <c r="B110" s="12" t="n">
        <v>46030</v>
      </c>
      <c r="C110" s="11" t="inlineStr">
        <is>
          <t>consignacion credibanco d e</t>
        </is>
      </c>
      <c r="D110" s="13" t="n">
        <v>110300</v>
      </c>
      <c r="E110" s="11">
        <f>IF(SUM(COUNTIFS('Conciliacion de compuestos'!$D$2:$D$13,"conciliado",'Conciliacion de compuestos'!$E$2:$E$13,"OK",'Conciliacion de compuestos'!$J$2:$J$13,A110),COUNTIFS('Conciliacion de compuestos'!$D$2:$D$13,"conciliado",'Conciliacion de compuestos'!$E$2:$E$13,"OK",'Conciliacion de compuestos'!$K$2:$K$13,A110),COUNTIFS('Conciliacion de compuestos'!$D$2:$D$13,"conciliado",'Conciliacion de compuestos'!$E$2:$E$13,"OK",'Conciliacion de compuestos'!$L$2:$L$13,A110))&gt;0,"conciliado en compuesto confirmado","disponible")</f>
        <v/>
      </c>
    </row>
    <row r="111">
      <c r="A111" s="11" t="n">
        <v>550</v>
      </c>
      <c r="B111" s="12" t="n">
        <v>46030</v>
      </c>
      <c r="C111" s="11" t="inlineStr">
        <is>
          <t>consignacion credibanco d e</t>
        </is>
      </c>
      <c r="D111" s="13" t="n">
        <v>28000</v>
      </c>
      <c r="E111" s="11">
        <f>IF(SUM(COUNTIFS('Conciliacion de compuestos'!$D$2:$D$13,"conciliado",'Conciliacion de compuestos'!$E$2:$E$13,"OK",'Conciliacion de compuestos'!$J$2:$J$13,A111),COUNTIFS('Conciliacion de compuestos'!$D$2:$D$13,"conciliado",'Conciliacion de compuestos'!$E$2:$E$13,"OK",'Conciliacion de compuestos'!$K$2:$K$13,A111),COUNTIFS('Conciliacion de compuestos'!$D$2:$D$13,"conciliado",'Conciliacion de compuestos'!$E$2:$E$13,"OK",'Conciliacion de compuestos'!$L$2:$L$13,A111))&gt;0,"conciliado en compuesto confirmado","disponible")</f>
        <v/>
      </c>
    </row>
    <row r="112">
      <c r="A112" s="11" t="n">
        <v>555</v>
      </c>
      <c r="B112" s="12" t="n">
        <v>46030</v>
      </c>
      <c r="C112" s="11" t="inlineStr">
        <is>
          <t>consignacion credibanco d e</t>
        </is>
      </c>
      <c r="D112" s="13" t="n">
        <v>52600</v>
      </c>
      <c r="E112" s="11">
        <f>IF(SUM(COUNTIFS('Conciliacion de compuestos'!$D$2:$D$13,"conciliado",'Conciliacion de compuestos'!$E$2:$E$13,"OK",'Conciliacion de compuestos'!$J$2:$J$13,A112),COUNTIFS('Conciliacion de compuestos'!$D$2:$D$13,"conciliado",'Conciliacion de compuestos'!$E$2:$E$13,"OK",'Conciliacion de compuestos'!$K$2:$K$13,A112),COUNTIFS('Conciliacion de compuestos'!$D$2:$D$13,"conciliado",'Conciliacion de compuestos'!$E$2:$E$13,"OK",'Conciliacion de compuestos'!$L$2:$L$13,A112))&gt;0,"conciliado en compuesto confirmado","disponible")</f>
        <v/>
      </c>
    </row>
    <row r="113">
      <c r="A113" s="11" t="n">
        <v>560</v>
      </c>
      <c r="B113" s="12" t="n">
        <v>46030</v>
      </c>
      <c r="C113" s="11" t="inlineStr">
        <is>
          <t>consignacion credibanco d e</t>
        </is>
      </c>
      <c r="D113" s="13" t="n">
        <v>55800</v>
      </c>
      <c r="E113" s="11">
        <f>IF(SUM(COUNTIFS('Conciliacion de compuestos'!$D$2:$D$13,"conciliado",'Conciliacion de compuestos'!$E$2:$E$13,"OK",'Conciliacion de compuestos'!$J$2:$J$13,A113),COUNTIFS('Conciliacion de compuestos'!$D$2:$D$13,"conciliado",'Conciliacion de compuestos'!$E$2:$E$13,"OK",'Conciliacion de compuestos'!$K$2:$K$13,A113),COUNTIFS('Conciliacion de compuestos'!$D$2:$D$13,"conciliado",'Conciliacion de compuestos'!$E$2:$E$13,"OK",'Conciliacion de compuestos'!$L$2:$L$13,A113))&gt;0,"conciliado en compuesto confirmado","disponible")</f>
        <v/>
      </c>
    </row>
    <row r="114">
      <c r="A114" s="11" t="n">
        <v>565</v>
      </c>
      <c r="B114" s="12" t="n">
        <v>46030</v>
      </c>
      <c r="C114" s="11" t="inlineStr">
        <is>
          <t>consignacion credibanco d e</t>
        </is>
      </c>
      <c r="D114" s="13" t="n">
        <v>45800</v>
      </c>
      <c r="E114" s="11">
        <f>IF(SUM(COUNTIFS('Conciliacion de compuestos'!$D$2:$D$13,"conciliado",'Conciliacion de compuestos'!$E$2:$E$13,"OK",'Conciliacion de compuestos'!$J$2:$J$13,A114),COUNTIFS('Conciliacion de compuestos'!$D$2:$D$13,"conciliado",'Conciliacion de compuestos'!$E$2:$E$13,"OK",'Conciliacion de compuestos'!$K$2:$K$13,A114),COUNTIFS('Conciliacion de compuestos'!$D$2:$D$13,"conciliado",'Conciliacion de compuestos'!$E$2:$E$13,"OK",'Conciliacion de compuestos'!$L$2:$L$13,A114))&gt;0,"conciliado en compuesto confirmado","disponible")</f>
        <v/>
      </c>
    </row>
    <row r="115">
      <c r="A115" s="11" t="n">
        <v>570</v>
      </c>
      <c r="B115" s="12" t="n">
        <v>46030</v>
      </c>
      <c r="C115" s="11" t="inlineStr">
        <is>
          <t>consignacion credibanco d e</t>
        </is>
      </c>
      <c r="D115" s="13" t="n">
        <v>429310</v>
      </c>
      <c r="E115" s="11">
        <f>IF(SUM(COUNTIFS('Conciliacion de compuestos'!$D$2:$D$13,"conciliado",'Conciliacion de compuestos'!$E$2:$E$13,"OK",'Conciliacion de compuestos'!$J$2:$J$13,A115),COUNTIFS('Conciliacion de compuestos'!$D$2:$D$13,"conciliado",'Conciliacion de compuestos'!$E$2:$E$13,"OK",'Conciliacion de compuestos'!$K$2:$K$13,A115),COUNTIFS('Conciliacion de compuestos'!$D$2:$D$13,"conciliado",'Conciliacion de compuestos'!$E$2:$E$13,"OK",'Conciliacion de compuestos'!$L$2:$L$13,A115))&gt;0,"conciliado en compuesto confirmado","disponible")</f>
        <v/>
      </c>
    </row>
    <row r="116">
      <c r="A116" s="11" t="n">
        <v>575</v>
      </c>
      <c r="B116" s="12" t="n">
        <v>46030</v>
      </c>
      <c r="C116" s="11" t="inlineStr">
        <is>
          <t>depositos electronicos masterca transaccion</t>
        </is>
      </c>
      <c r="D116" s="13" t="n">
        <v>80500</v>
      </c>
      <c r="E116" s="11">
        <f>IF(SUM(COUNTIFS('Conciliacion de compuestos'!$D$2:$D$13,"conciliado",'Conciliacion de compuestos'!$E$2:$E$13,"OK",'Conciliacion de compuestos'!$J$2:$J$13,A116),COUNTIFS('Conciliacion de compuestos'!$D$2:$D$13,"conciliado",'Conciliacion de compuestos'!$E$2:$E$13,"OK",'Conciliacion de compuestos'!$K$2:$K$13,A116),COUNTIFS('Conciliacion de compuestos'!$D$2:$D$13,"conciliado",'Conciliacion de compuestos'!$E$2:$E$13,"OK",'Conciliacion de compuestos'!$L$2:$L$13,A116))&gt;0,"conciliado en compuesto confirmado","disponible")</f>
        <v/>
      </c>
    </row>
    <row r="117">
      <c r="A117" s="11" t="n">
        <v>580</v>
      </c>
      <c r="B117" s="12" t="n">
        <v>46030</v>
      </c>
      <c r="C117" s="11" t="inlineStr">
        <is>
          <t>depositos electronicos masterca transaccion</t>
        </is>
      </c>
      <c r="D117" s="13" t="n">
        <v>52800</v>
      </c>
      <c r="E117" s="11">
        <f>IF(SUM(COUNTIFS('Conciliacion de compuestos'!$D$2:$D$13,"conciliado",'Conciliacion de compuestos'!$E$2:$E$13,"OK",'Conciliacion de compuestos'!$J$2:$J$13,A117),COUNTIFS('Conciliacion de compuestos'!$D$2:$D$13,"conciliado",'Conciliacion de compuestos'!$E$2:$E$13,"OK",'Conciliacion de compuestos'!$K$2:$K$13,A117),COUNTIFS('Conciliacion de compuestos'!$D$2:$D$13,"conciliado",'Conciliacion de compuestos'!$E$2:$E$13,"OK",'Conciliacion de compuestos'!$L$2:$L$13,A117))&gt;0,"conciliado en compuesto confirmado","disponible")</f>
        <v/>
      </c>
    </row>
    <row r="118">
      <c r="A118" s="11" t="n">
        <v>585</v>
      </c>
      <c r="B118" s="12" t="n">
        <v>46030</v>
      </c>
      <c r="C118" s="11" t="inlineStr">
        <is>
          <t>depositos electronicos masterca transaccion</t>
        </is>
      </c>
      <c r="D118" s="13" t="n">
        <v>120400</v>
      </c>
      <c r="E118" s="11">
        <f>IF(SUM(COUNTIFS('Conciliacion de compuestos'!$D$2:$D$13,"conciliado",'Conciliacion de compuestos'!$E$2:$E$13,"OK",'Conciliacion de compuestos'!$J$2:$J$13,A118),COUNTIFS('Conciliacion de compuestos'!$D$2:$D$13,"conciliado",'Conciliacion de compuestos'!$E$2:$E$13,"OK",'Conciliacion de compuestos'!$K$2:$K$13,A118),COUNTIFS('Conciliacion de compuestos'!$D$2:$D$13,"conciliado",'Conciliacion de compuestos'!$E$2:$E$13,"OK",'Conciliacion de compuestos'!$L$2:$L$13,A118))&gt;0,"conciliado en compuesto confirmado","disponible")</f>
        <v/>
      </c>
    </row>
    <row r="119">
      <c r="A119" s="11" t="n">
        <v>590</v>
      </c>
      <c r="B119" s="12" t="n">
        <v>46031</v>
      </c>
      <c r="C119" s="11" t="inlineStr">
        <is>
          <t>consignacion credibanco d e</t>
        </is>
      </c>
      <c r="D119" s="13" t="n">
        <v>29700</v>
      </c>
      <c r="E119" s="11">
        <f>IF(SUM(COUNTIFS('Conciliacion de compuestos'!$D$2:$D$13,"conciliado",'Conciliacion de compuestos'!$E$2:$E$13,"OK",'Conciliacion de compuestos'!$J$2:$J$13,A119),COUNTIFS('Conciliacion de compuestos'!$D$2:$D$13,"conciliado",'Conciliacion de compuestos'!$E$2:$E$13,"OK",'Conciliacion de compuestos'!$K$2:$K$13,A119),COUNTIFS('Conciliacion de compuestos'!$D$2:$D$13,"conciliado",'Conciliacion de compuestos'!$E$2:$E$13,"OK",'Conciliacion de compuestos'!$L$2:$L$13,A119))&gt;0,"conciliado en compuesto confirmado","disponible")</f>
        <v/>
      </c>
    </row>
    <row r="120">
      <c r="A120" s="11" t="n">
        <v>595</v>
      </c>
      <c r="B120" s="12" t="n">
        <v>46031</v>
      </c>
      <c r="C120" s="11" t="inlineStr">
        <is>
          <t>consignacion credibanco d e</t>
        </is>
      </c>
      <c r="D120" s="13" t="n">
        <v>20000</v>
      </c>
      <c r="E120" s="11">
        <f>IF(SUM(COUNTIFS('Conciliacion de compuestos'!$D$2:$D$13,"conciliado",'Conciliacion de compuestos'!$E$2:$E$13,"OK",'Conciliacion de compuestos'!$J$2:$J$13,A120),COUNTIFS('Conciliacion de compuestos'!$D$2:$D$13,"conciliado",'Conciliacion de compuestos'!$E$2:$E$13,"OK",'Conciliacion de compuestos'!$K$2:$K$13,A120),COUNTIFS('Conciliacion de compuestos'!$D$2:$D$13,"conciliado",'Conciliacion de compuestos'!$E$2:$E$13,"OK",'Conciliacion de compuestos'!$L$2:$L$13,A120))&gt;0,"conciliado en compuesto confirmado","disponible")</f>
        <v/>
      </c>
    </row>
    <row r="121">
      <c r="A121" s="11" t="n">
        <v>600</v>
      </c>
      <c r="B121" s="12" t="n">
        <v>46031</v>
      </c>
      <c r="C121" s="11" t="inlineStr">
        <is>
          <t>consignacion credibanco d e</t>
        </is>
      </c>
      <c r="D121" s="13" t="n">
        <v>38900</v>
      </c>
      <c r="E121" s="11">
        <f>IF(SUM(COUNTIFS('Conciliacion de compuestos'!$D$2:$D$13,"conciliado",'Conciliacion de compuestos'!$E$2:$E$13,"OK",'Conciliacion de compuestos'!$J$2:$J$13,A121),COUNTIFS('Conciliacion de compuestos'!$D$2:$D$13,"conciliado",'Conciliacion de compuestos'!$E$2:$E$13,"OK",'Conciliacion de compuestos'!$K$2:$K$13,A121),COUNTIFS('Conciliacion de compuestos'!$D$2:$D$13,"conciliado",'Conciliacion de compuestos'!$E$2:$E$13,"OK",'Conciliacion de compuestos'!$L$2:$L$13,A121))&gt;0,"conciliado en compuesto confirmado","disponible")</f>
        <v/>
      </c>
    </row>
    <row r="122">
      <c r="A122" s="11" t="n">
        <v>605</v>
      </c>
      <c r="B122" s="12" t="n">
        <v>46031</v>
      </c>
      <c r="C122" s="11" t="inlineStr">
        <is>
          <t>consignacion credibanco d e</t>
        </is>
      </c>
      <c r="D122" s="13" t="n">
        <v>33200</v>
      </c>
      <c r="E122" s="11">
        <f>IF(SUM(COUNTIFS('Conciliacion de compuestos'!$D$2:$D$13,"conciliado",'Conciliacion de compuestos'!$E$2:$E$13,"OK",'Conciliacion de compuestos'!$J$2:$J$13,A122),COUNTIFS('Conciliacion de compuestos'!$D$2:$D$13,"conciliado",'Conciliacion de compuestos'!$E$2:$E$13,"OK",'Conciliacion de compuestos'!$K$2:$K$13,A122),COUNTIFS('Conciliacion de compuestos'!$D$2:$D$13,"conciliado",'Conciliacion de compuestos'!$E$2:$E$13,"OK",'Conciliacion de compuestos'!$L$2:$L$13,A122))&gt;0,"conciliado en compuesto confirmado","disponible")</f>
        <v/>
      </c>
    </row>
    <row r="123">
      <c r="A123" s="11" t="n">
        <v>610</v>
      </c>
      <c r="B123" s="12" t="n">
        <v>46031</v>
      </c>
      <c r="C123" s="11" t="inlineStr">
        <is>
          <t>consignacion credibanco d e</t>
        </is>
      </c>
      <c r="D123" s="13" t="n">
        <v>46400</v>
      </c>
      <c r="E123" s="11">
        <f>IF(SUM(COUNTIFS('Conciliacion de compuestos'!$D$2:$D$13,"conciliado",'Conciliacion de compuestos'!$E$2:$E$13,"OK",'Conciliacion de compuestos'!$J$2:$J$13,A123),COUNTIFS('Conciliacion de compuestos'!$D$2:$D$13,"conciliado",'Conciliacion de compuestos'!$E$2:$E$13,"OK",'Conciliacion de compuestos'!$K$2:$K$13,A123),COUNTIFS('Conciliacion de compuestos'!$D$2:$D$13,"conciliado",'Conciliacion de compuestos'!$E$2:$E$13,"OK",'Conciliacion de compuestos'!$L$2:$L$13,A123))&gt;0,"conciliado en compuesto confirmado","disponible")</f>
        <v/>
      </c>
    </row>
    <row r="124">
      <c r="A124" s="11" t="n">
        <v>615</v>
      </c>
      <c r="B124" s="12" t="n">
        <v>46031</v>
      </c>
      <c r="C124" s="11" t="inlineStr">
        <is>
          <t>consignacion credibanco d e</t>
        </is>
      </c>
      <c r="D124" s="13" t="n">
        <v>63200</v>
      </c>
      <c r="E124" s="11">
        <f>IF(SUM(COUNTIFS('Conciliacion de compuestos'!$D$2:$D$13,"conciliado",'Conciliacion de compuestos'!$E$2:$E$13,"OK",'Conciliacion de compuestos'!$J$2:$J$13,A124),COUNTIFS('Conciliacion de compuestos'!$D$2:$D$13,"conciliado",'Conciliacion de compuestos'!$E$2:$E$13,"OK",'Conciliacion de compuestos'!$K$2:$K$13,A124),COUNTIFS('Conciliacion de compuestos'!$D$2:$D$13,"conciliado",'Conciliacion de compuestos'!$E$2:$E$13,"OK",'Conciliacion de compuestos'!$L$2:$L$13,A124))&gt;0,"conciliado en compuesto confirmado","disponible")</f>
        <v/>
      </c>
    </row>
    <row r="125">
      <c r="A125" s="11" t="n">
        <v>620</v>
      </c>
      <c r="B125" s="12" t="n">
        <v>46031</v>
      </c>
      <c r="C125" s="11" t="inlineStr">
        <is>
          <t>consignacion credibanco d e</t>
        </is>
      </c>
      <c r="D125" s="13" t="n">
        <v>40000</v>
      </c>
      <c r="E125" s="11">
        <f>IF(SUM(COUNTIFS('Conciliacion de compuestos'!$D$2:$D$13,"conciliado",'Conciliacion de compuestos'!$E$2:$E$13,"OK",'Conciliacion de compuestos'!$J$2:$J$13,A125),COUNTIFS('Conciliacion de compuestos'!$D$2:$D$13,"conciliado",'Conciliacion de compuestos'!$E$2:$E$13,"OK",'Conciliacion de compuestos'!$K$2:$K$13,A125),COUNTIFS('Conciliacion de compuestos'!$D$2:$D$13,"conciliado",'Conciliacion de compuestos'!$E$2:$E$13,"OK",'Conciliacion de compuestos'!$L$2:$L$13,A125))&gt;0,"conciliado en compuesto confirmado","disponible")</f>
        <v/>
      </c>
    </row>
    <row r="126">
      <c r="A126" s="11" t="n">
        <v>625</v>
      </c>
      <c r="B126" s="12" t="n">
        <v>46031</v>
      </c>
      <c r="C126" s="11" t="inlineStr">
        <is>
          <t>consignacion credibanco d e</t>
        </is>
      </c>
      <c r="D126" s="13" t="n">
        <v>31070</v>
      </c>
      <c r="E126" s="11">
        <f>IF(SUM(COUNTIFS('Conciliacion de compuestos'!$D$2:$D$13,"conciliado",'Conciliacion de compuestos'!$E$2:$E$13,"OK",'Conciliacion de compuestos'!$J$2:$J$13,A126),COUNTIFS('Conciliacion de compuestos'!$D$2:$D$13,"conciliado",'Conciliacion de compuestos'!$E$2:$E$13,"OK",'Conciliacion de compuestos'!$K$2:$K$13,A126),COUNTIFS('Conciliacion de compuestos'!$D$2:$D$13,"conciliado",'Conciliacion de compuestos'!$E$2:$E$13,"OK",'Conciliacion de compuestos'!$L$2:$L$13,A126))&gt;0,"conciliado en compuesto confirmado","disponible")</f>
        <v/>
      </c>
    </row>
    <row r="127">
      <c r="A127" s="11" t="n">
        <v>630</v>
      </c>
      <c r="B127" s="12" t="n">
        <v>46031</v>
      </c>
      <c r="C127" s="11" t="inlineStr">
        <is>
          <t>consignacion credibanco d e</t>
        </is>
      </c>
      <c r="D127" s="13" t="n">
        <v>33000</v>
      </c>
      <c r="E127" s="11">
        <f>IF(SUM(COUNTIFS('Conciliacion de compuestos'!$D$2:$D$13,"conciliado",'Conciliacion de compuestos'!$E$2:$E$13,"OK",'Conciliacion de compuestos'!$J$2:$J$13,A127),COUNTIFS('Conciliacion de compuestos'!$D$2:$D$13,"conciliado",'Conciliacion de compuestos'!$E$2:$E$13,"OK",'Conciliacion de compuestos'!$K$2:$K$13,A127),COUNTIFS('Conciliacion de compuestos'!$D$2:$D$13,"conciliado",'Conciliacion de compuestos'!$E$2:$E$13,"OK",'Conciliacion de compuestos'!$L$2:$L$13,A127))&gt;0,"conciliado en compuesto confirmado","disponible")</f>
        <v/>
      </c>
    </row>
    <row r="128">
      <c r="A128" s="11" t="n">
        <v>635</v>
      </c>
      <c r="B128" s="12" t="n">
        <v>46031</v>
      </c>
      <c r="C128" s="11" t="inlineStr">
        <is>
          <t>consignacion credibanco d e</t>
        </is>
      </c>
      <c r="D128" s="13" t="n">
        <v>32300</v>
      </c>
      <c r="E128" s="11">
        <f>IF(SUM(COUNTIFS('Conciliacion de compuestos'!$D$2:$D$13,"conciliado",'Conciliacion de compuestos'!$E$2:$E$13,"OK",'Conciliacion de compuestos'!$J$2:$J$13,A128),COUNTIFS('Conciliacion de compuestos'!$D$2:$D$13,"conciliado",'Conciliacion de compuestos'!$E$2:$E$13,"OK",'Conciliacion de compuestos'!$K$2:$K$13,A128),COUNTIFS('Conciliacion de compuestos'!$D$2:$D$13,"conciliado",'Conciliacion de compuestos'!$E$2:$E$13,"OK",'Conciliacion de compuestos'!$L$2:$L$13,A128))&gt;0,"conciliado en compuesto confirmado","disponible")</f>
        <v/>
      </c>
    </row>
    <row r="129">
      <c r="A129" s="11" t="n">
        <v>640</v>
      </c>
      <c r="B129" s="12" t="n">
        <v>46031</v>
      </c>
      <c r="C129" s="11" t="inlineStr">
        <is>
          <t>depositos electronicos masterca transaccion</t>
        </is>
      </c>
      <c r="D129" s="13" t="n">
        <v>97875</v>
      </c>
      <c r="E129" s="11">
        <f>IF(SUM(COUNTIFS('Conciliacion de compuestos'!$D$2:$D$13,"conciliado",'Conciliacion de compuestos'!$E$2:$E$13,"OK",'Conciliacion de compuestos'!$J$2:$J$13,A129),COUNTIFS('Conciliacion de compuestos'!$D$2:$D$13,"conciliado",'Conciliacion de compuestos'!$E$2:$E$13,"OK",'Conciliacion de compuestos'!$K$2:$K$13,A129),COUNTIFS('Conciliacion de compuestos'!$D$2:$D$13,"conciliado",'Conciliacion de compuestos'!$E$2:$E$13,"OK",'Conciliacion de compuestos'!$L$2:$L$13,A129))&gt;0,"conciliado en compuesto confirmado","disponible")</f>
        <v/>
      </c>
    </row>
    <row r="130">
      <c r="A130" s="11" t="n">
        <v>645</v>
      </c>
      <c r="B130" s="12" t="n">
        <v>46031</v>
      </c>
      <c r="C130" s="11" t="inlineStr">
        <is>
          <t>depositos electronicos masterca transaccion</t>
        </is>
      </c>
      <c r="D130" s="13" t="n">
        <v>64000</v>
      </c>
      <c r="E130" s="11">
        <f>IF(SUM(COUNTIFS('Conciliacion de compuestos'!$D$2:$D$13,"conciliado",'Conciliacion de compuestos'!$E$2:$E$13,"OK",'Conciliacion de compuestos'!$J$2:$J$13,A130),COUNTIFS('Conciliacion de compuestos'!$D$2:$D$13,"conciliado",'Conciliacion de compuestos'!$E$2:$E$13,"OK",'Conciliacion de compuestos'!$K$2:$K$13,A130),COUNTIFS('Conciliacion de compuestos'!$D$2:$D$13,"conciliado",'Conciliacion de compuestos'!$E$2:$E$13,"OK",'Conciliacion de compuestos'!$L$2:$L$13,A130))&gt;0,"conciliado en compuesto confirmado","disponible")</f>
        <v/>
      </c>
    </row>
    <row r="131">
      <c r="A131" s="11" t="n">
        <v>650</v>
      </c>
      <c r="B131" s="12" t="n">
        <v>46031</v>
      </c>
      <c r="C131" s="11" t="inlineStr">
        <is>
          <t>depositos electronicos masterca transaccion</t>
        </is>
      </c>
      <c r="D131" s="13" t="n">
        <v>61220</v>
      </c>
      <c r="E131" s="11">
        <f>IF(SUM(COUNTIFS('Conciliacion de compuestos'!$D$2:$D$13,"conciliado",'Conciliacion de compuestos'!$E$2:$E$13,"OK",'Conciliacion de compuestos'!$J$2:$J$13,A131),COUNTIFS('Conciliacion de compuestos'!$D$2:$D$13,"conciliado",'Conciliacion de compuestos'!$E$2:$E$13,"OK",'Conciliacion de compuestos'!$K$2:$K$13,A131),COUNTIFS('Conciliacion de compuestos'!$D$2:$D$13,"conciliado",'Conciliacion de compuestos'!$E$2:$E$13,"OK",'Conciliacion de compuestos'!$L$2:$L$13,A131))&gt;0,"conciliado en compuesto confirmado","disponible")</f>
        <v/>
      </c>
    </row>
    <row r="132">
      <c r="A132" s="11" t="n">
        <v>655</v>
      </c>
      <c r="B132" s="12" t="n">
        <v>46035</v>
      </c>
      <c r="C132" s="11" t="inlineStr">
        <is>
          <t>consignacion credibanco d e</t>
        </is>
      </c>
      <c r="D132" s="13" t="n">
        <v>103900</v>
      </c>
      <c r="E132" s="11">
        <f>IF(SUM(COUNTIFS('Conciliacion de compuestos'!$D$2:$D$13,"conciliado",'Conciliacion de compuestos'!$E$2:$E$13,"OK",'Conciliacion de compuestos'!$J$2:$J$13,A132),COUNTIFS('Conciliacion de compuestos'!$D$2:$D$13,"conciliado",'Conciliacion de compuestos'!$E$2:$E$13,"OK",'Conciliacion de compuestos'!$K$2:$K$13,A132),COUNTIFS('Conciliacion de compuestos'!$D$2:$D$13,"conciliado",'Conciliacion de compuestos'!$E$2:$E$13,"OK",'Conciliacion de compuestos'!$L$2:$L$13,A132))&gt;0,"conciliado en compuesto confirmado","disponible")</f>
        <v/>
      </c>
    </row>
    <row r="133">
      <c r="A133" s="11" t="n">
        <v>660</v>
      </c>
      <c r="B133" s="12" t="n">
        <v>46035</v>
      </c>
      <c r="C133" s="11" t="inlineStr">
        <is>
          <t>consignacion credibanco d e</t>
        </is>
      </c>
      <c r="D133" s="13" t="n">
        <v>28800</v>
      </c>
      <c r="E133" s="11">
        <f>IF(SUM(COUNTIFS('Conciliacion de compuestos'!$D$2:$D$13,"conciliado",'Conciliacion de compuestos'!$E$2:$E$13,"OK",'Conciliacion de compuestos'!$J$2:$J$13,A133),COUNTIFS('Conciliacion de compuestos'!$D$2:$D$13,"conciliado",'Conciliacion de compuestos'!$E$2:$E$13,"OK",'Conciliacion de compuestos'!$K$2:$K$13,A133),COUNTIFS('Conciliacion de compuestos'!$D$2:$D$13,"conciliado",'Conciliacion de compuestos'!$E$2:$E$13,"OK",'Conciliacion de compuestos'!$L$2:$L$13,A133))&gt;0,"conciliado en compuesto confirmado","disponible")</f>
        <v/>
      </c>
    </row>
    <row r="134">
      <c r="A134" s="11" t="n">
        <v>665</v>
      </c>
      <c r="B134" s="12" t="n">
        <v>46035</v>
      </c>
      <c r="C134" s="11" t="inlineStr">
        <is>
          <t>consignacion credibanco d e</t>
        </is>
      </c>
      <c r="D134" s="13" t="n">
        <v>40700</v>
      </c>
      <c r="E134" s="11">
        <f>IF(SUM(COUNTIFS('Conciliacion de compuestos'!$D$2:$D$13,"conciliado",'Conciliacion de compuestos'!$E$2:$E$13,"OK",'Conciliacion de compuestos'!$J$2:$J$13,A134),COUNTIFS('Conciliacion de compuestos'!$D$2:$D$13,"conciliado",'Conciliacion de compuestos'!$E$2:$E$13,"OK",'Conciliacion de compuestos'!$K$2:$K$13,A134),COUNTIFS('Conciliacion de compuestos'!$D$2:$D$13,"conciliado",'Conciliacion de compuestos'!$E$2:$E$13,"OK",'Conciliacion de compuestos'!$L$2:$L$13,A134))&gt;0,"conciliado en compuesto confirmado","disponible")</f>
        <v/>
      </c>
    </row>
    <row r="135">
      <c r="A135" s="11" t="n">
        <v>675</v>
      </c>
      <c r="B135" s="12" t="n">
        <v>46035</v>
      </c>
      <c r="C135" s="11" t="inlineStr">
        <is>
          <t>consignacion credibanco d e</t>
        </is>
      </c>
      <c r="D135" s="13" t="n">
        <v>16800</v>
      </c>
      <c r="E135" s="11">
        <f>IF(SUM(COUNTIFS('Conciliacion de compuestos'!$D$2:$D$13,"conciliado",'Conciliacion de compuestos'!$E$2:$E$13,"OK",'Conciliacion de compuestos'!$J$2:$J$13,A135),COUNTIFS('Conciliacion de compuestos'!$D$2:$D$13,"conciliado",'Conciliacion de compuestos'!$E$2:$E$13,"OK",'Conciliacion de compuestos'!$K$2:$K$13,A135),COUNTIFS('Conciliacion de compuestos'!$D$2:$D$13,"conciliado",'Conciliacion de compuestos'!$E$2:$E$13,"OK",'Conciliacion de compuestos'!$L$2:$L$13,A135))&gt;0,"conciliado en compuesto confirmado","disponible")</f>
        <v/>
      </c>
    </row>
    <row r="136">
      <c r="A136" s="11" t="n">
        <v>680</v>
      </c>
      <c r="B136" s="12" t="n">
        <v>46035</v>
      </c>
      <c r="C136" s="11" t="inlineStr">
        <is>
          <t>consignacion credibanco d e</t>
        </is>
      </c>
      <c r="D136" s="13" t="n">
        <v>23100</v>
      </c>
      <c r="E136" s="11">
        <f>IF(SUM(COUNTIFS('Conciliacion de compuestos'!$D$2:$D$13,"conciliado",'Conciliacion de compuestos'!$E$2:$E$13,"OK",'Conciliacion de compuestos'!$J$2:$J$13,A136),COUNTIFS('Conciliacion de compuestos'!$D$2:$D$13,"conciliado",'Conciliacion de compuestos'!$E$2:$E$13,"OK",'Conciliacion de compuestos'!$K$2:$K$13,A136),COUNTIFS('Conciliacion de compuestos'!$D$2:$D$13,"conciliado",'Conciliacion de compuestos'!$E$2:$E$13,"OK",'Conciliacion de compuestos'!$L$2:$L$13,A136))&gt;0,"conciliado en compuesto confirmado","disponible")</f>
        <v/>
      </c>
    </row>
    <row r="137">
      <c r="A137" s="11" t="n">
        <v>685</v>
      </c>
      <c r="B137" s="12" t="n">
        <v>46035</v>
      </c>
      <c r="C137" s="11" t="inlineStr">
        <is>
          <t>consignacion credibanco d e</t>
        </is>
      </c>
      <c r="D137" s="13" t="n">
        <v>24245</v>
      </c>
      <c r="E137" s="11">
        <f>IF(SUM(COUNTIFS('Conciliacion de compuestos'!$D$2:$D$13,"conciliado",'Conciliacion de compuestos'!$E$2:$E$13,"OK",'Conciliacion de compuestos'!$J$2:$J$13,A137),COUNTIFS('Conciliacion de compuestos'!$D$2:$D$13,"conciliado",'Conciliacion de compuestos'!$E$2:$E$13,"OK",'Conciliacion de compuestos'!$K$2:$K$13,A137),COUNTIFS('Conciliacion de compuestos'!$D$2:$D$13,"conciliado",'Conciliacion de compuestos'!$E$2:$E$13,"OK",'Conciliacion de compuestos'!$L$2:$L$13,A137))&gt;0,"conciliado en compuesto confirmado","disponible")</f>
        <v/>
      </c>
    </row>
    <row r="138">
      <c r="A138" s="11" t="n">
        <v>690</v>
      </c>
      <c r="B138" s="12" t="n">
        <v>46035</v>
      </c>
      <c r="C138" s="11" t="inlineStr">
        <is>
          <t>consignacion credibanco d e</t>
        </is>
      </c>
      <c r="D138" s="13" t="n">
        <v>90900</v>
      </c>
      <c r="E138" s="11">
        <f>IF(SUM(COUNTIFS('Conciliacion de compuestos'!$D$2:$D$13,"conciliado",'Conciliacion de compuestos'!$E$2:$E$13,"OK",'Conciliacion de compuestos'!$J$2:$J$13,A138),COUNTIFS('Conciliacion de compuestos'!$D$2:$D$13,"conciliado",'Conciliacion de compuestos'!$E$2:$E$13,"OK",'Conciliacion de compuestos'!$K$2:$K$13,A138),COUNTIFS('Conciliacion de compuestos'!$D$2:$D$13,"conciliado",'Conciliacion de compuestos'!$E$2:$E$13,"OK",'Conciliacion de compuestos'!$L$2:$L$13,A138))&gt;0,"conciliado en compuesto confirmado","disponible")</f>
        <v/>
      </c>
    </row>
    <row r="139">
      <c r="A139" s="11" t="n">
        <v>695</v>
      </c>
      <c r="B139" s="12" t="n">
        <v>46035</v>
      </c>
      <c r="C139" s="11" t="inlineStr">
        <is>
          <t>consignacion credibanco d e</t>
        </is>
      </c>
      <c r="D139" s="13" t="n">
        <v>81400</v>
      </c>
      <c r="E139" s="11">
        <f>IF(SUM(COUNTIFS('Conciliacion de compuestos'!$D$2:$D$13,"conciliado",'Conciliacion de compuestos'!$E$2:$E$13,"OK",'Conciliacion de compuestos'!$J$2:$J$13,A139),COUNTIFS('Conciliacion de compuestos'!$D$2:$D$13,"conciliado",'Conciliacion de compuestos'!$E$2:$E$13,"OK",'Conciliacion de compuestos'!$K$2:$K$13,A139),COUNTIFS('Conciliacion de compuestos'!$D$2:$D$13,"conciliado",'Conciliacion de compuestos'!$E$2:$E$13,"OK",'Conciliacion de compuestos'!$L$2:$L$13,A139))&gt;0,"conciliado en compuesto confirmado","disponible")</f>
        <v/>
      </c>
    </row>
    <row r="140">
      <c r="A140" s="11" t="n">
        <v>700</v>
      </c>
      <c r="B140" s="12" t="n">
        <v>46035</v>
      </c>
      <c r="C140" s="11" t="inlineStr">
        <is>
          <t>consignacion credibanco d e</t>
        </is>
      </c>
      <c r="D140" s="13" t="n">
        <v>35656</v>
      </c>
      <c r="E140" s="11">
        <f>IF(SUM(COUNTIFS('Conciliacion de compuestos'!$D$2:$D$13,"conciliado",'Conciliacion de compuestos'!$E$2:$E$13,"OK",'Conciliacion de compuestos'!$J$2:$J$13,A140),COUNTIFS('Conciliacion de compuestos'!$D$2:$D$13,"conciliado",'Conciliacion de compuestos'!$E$2:$E$13,"OK",'Conciliacion de compuestos'!$K$2:$K$13,A140),COUNTIFS('Conciliacion de compuestos'!$D$2:$D$13,"conciliado",'Conciliacion de compuestos'!$E$2:$E$13,"OK",'Conciliacion de compuestos'!$L$2:$L$13,A140))&gt;0,"conciliado en compuesto confirmado","disponible")</f>
        <v/>
      </c>
    </row>
    <row r="141">
      <c r="A141" s="11" t="n">
        <v>705</v>
      </c>
      <c r="B141" s="12" t="n">
        <v>46035</v>
      </c>
      <c r="C141" s="11" t="inlineStr">
        <is>
          <t>consignacion credibanco d e</t>
        </is>
      </c>
      <c r="D141" s="13" t="n">
        <v>725600</v>
      </c>
      <c r="E141" s="11">
        <f>IF(SUM(COUNTIFS('Conciliacion de compuestos'!$D$2:$D$13,"conciliado",'Conciliacion de compuestos'!$E$2:$E$13,"OK",'Conciliacion de compuestos'!$J$2:$J$13,A141),COUNTIFS('Conciliacion de compuestos'!$D$2:$D$13,"conciliado",'Conciliacion de compuestos'!$E$2:$E$13,"OK",'Conciliacion de compuestos'!$K$2:$K$13,A141),COUNTIFS('Conciliacion de compuestos'!$D$2:$D$13,"conciliado",'Conciliacion de compuestos'!$E$2:$E$13,"OK",'Conciliacion de compuestos'!$L$2:$L$13,A141))&gt;0,"conciliado en compuesto confirmado","disponible")</f>
        <v/>
      </c>
    </row>
    <row r="142">
      <c r="A142" s="11" t="n">
        <v>710</v>
      </c>
      <c r="B142" s="12" t="n">
        <v>46035</v>
      </c>
      <c r="C142" s="11" t="inlineStr">
        <is>
          <t>consignacion credibanco d e</t>
        </is>
      </c>
      <c r="D142" s="13" t="n">
        <v>45800</v>
      </c>
      <c r="E142" s="11">
        <f>IF(SUM(COUNTIFS('Conciliacion de compuestos'!$D$2:$D$13,"conciliado",'Conciliacion de compuestos'!$E$2:$E$13,"OK",'Conciliacion de compuestos'!$J$2:$J$13,A142),COUNTIFS('Conciliacion de compuestos'!$D$2:$D$13,"conciliado",'Conciliacion de compuestos'!$E$2:$E$13,"OK",'Conciliacion de compuestos'!$K$2:$K$13,A142),COUNTIFS('Conciliacion de compuestos'!$D$2:$D$13,"conciliado",'Conciliacion de compuestos'!$E$2:$E$13,"OK",'Conciliacion de compuestos'!$L$2:$L$13,A142))&gt;0,"conciliado en compuesto confirmado","disponible")</f>
        <v/>
      </c>
    </row>
    <row r="143">
      <c r="A143" s="11" t="n">
        <v>715</v>
      </c>
      <c r="B143" s="12" t="n">
        <v>46035</v>
      </c>
      <c r="C143" s="11" t="inlineStr">
        <is>
          <t>consignacion credibanco d e</t>
        </is>
      </c>
      <c r="D143" s="13" t="n">
        <v>30600</v>
      </c>
      <c r="E143" s="11">
        <f>IF(SUM(COUNTIFS('Conciliacion de compuestos'!$D$2:$D$13,"conciliado",'Conciliacion de compuestos'!$E$2:$E$13,"OK",'Conciliacion de compuestos'!$J$2:$J$13,A143),COUNTIFS('Conciliacion de compuestos'!$D$2:$D$13,"conciliado",'Conciliacion de compuestos'!$E$2:$E$13,"OK",'Conciliacion de compuestos'!$K$2:$K$13,A143),COUNTIFS('Conciliacion de compuestos'!$D$2:$D$13,"conciliado",'Conciliacion de compuestos'!$E$2:$E$13,"OK",'Conciliacion de compuestos'!$L$2:$L$13,A143))&gt;0,"conciliado en compuesto confirmado","disponible")</f>
        <v/>
      </c>
    </row>
    <row r="144">
      <c r="A144" s="11" t="n">
        <v>720</v>
      </c>
      <c r="B144" s="12" t="n">
        <v>46035</v>
      </c>
      <c r="C144" s="11" t="inlineStr">
        <is>
          <t>consignacion credibanco d e</t>
        </is>
      </c>
      <c r="D144" s="13" t="n">
        <v>124100</v>
      </c>
      <c r="E144" s="11">
        <f>IF(SUM(COUNTIFS('Conciliacion de compuestos'!$D$2:$D$13,"conciliado",'Conciliacion de compuestos'!$E$2:$E$13,"OK",'Conciliacion de compuestos'!$J$2:$J$13,A144),COUNTIFS('Conciliacion de compuestos'!$D$2:$D$13,"conciliado",'Conciliacion de compuestos'!$E$2:$E$13,"OK",'Conciliacion de compuestos'!$K$2:$K$13,A144),COUNTIFS('Conciliacion de compuestos'!$D$2:$D$13,"conciliado",'Conciliacion de compuestos'!$E$2:$E$13,"OK",'Conciliacion de compuestos'!$L$2:$L$13,A144))&gt;0,"conciliado en compuesto confirmado","disponible")</f>
        <v/>
      </c>
    </row>
    <row r="145">
      <c r="A145" s="11" t="n">
        <v>725</v>
      </c>
      <c r="B145" s="12" t="n">
        <v>46035</v>
      </c>
      <c r="C145" s="11" t="inlineStr">
        <is>
          <t>consignacion credibanco d e</t>
        </is>
      </c>
      <c r="D145" s="13" t="n">
        <v>44400</v>
      </c>
      <c r="E145" s="11">
        <f>IF(SUM(COUNTIFS('Conciliacion de compuestos'!$D$2:$D$13,"conciliado",'Conciliacion de compuestos'!$E$2:$E$13,"OK",'Conciliacion de compuestos'!$J$2:$J$13,A145),COUNTIFS('Conciliacion de compuestos'!$D$2:$D$13,"conciliado",'Conciliacion de compuestos'!$E$2:$E$13,"OK",'Conciliacion de compuestos'!$K$2:$K$13,A145),COUNTIFS('Conciliacion de compuestos'!$D$2:$D$13,"conciliado",'Conciliacion de compuestos'!$E$2:$E$13,"OK",'Conciliacion de compuestos'!$L$2:$L$13,A145))&gt;0,"conciliado en compuesto confirmado","disponible")</f>
        <v/>
      </c>
    </row>
    <row r="146">
      <c r="A146" s="11" t="n">
        <v>730</v>
      </c>
      <c r="B146" s="12" t="n">
        <v>46035</v>
      </c>
      <c r="C146" s="11" t="inlineStr">
        <is>
          <t>consignacion credibanco d e</t>
        </is>
      </c>
      <c r="D146" s="13" t="n">
        <v>47400</v>
      </c>
      <c r="E146" s="11">
        <f>IF(SUM(COUNTIFS('Conciliacion de compuestos'!$D$2:$D$13,"conciliado",'Conciliacion de compuestos'!$E$2:$E$13,"OK",'Conciliacion de compuestos'!$J$2:$J$13,A146),COUNTIFS('Conciliacion de compuestos'!$D$2:$D$13,"conciliado",'Conciliacion de compuestos'!$E$2:$E$13,"OK",'Conciliacion de compuestos'!$K$2:$K$13,A146),COUNTIFS('Conciliacion de compuestos'!$D$2:$D$13,"conciliado",'Conciliacion de compuestos'!$E$2:$E$13,"OK",'Conciliacion de compuestos'!$L$2:$L$13,A146))&gt;0,"conciliado en compuesto confirmado","disponible")</f>
        <v/>
      </c>
    </row>
    <row r="147">
      <c r="A147" s="11" t="n">
        <v>735</v>
      </c>
      <c r="B147" s="12" t="n">
        <v>46035</v>
      </c>
      <c r="C147" s="11" t="inlineStr">
        <is>
          <t>consignacion credibanco d e</t>
        </is>
      </c>
      <c r="D147" s="13" t="n">
        <v>100200</v>
      </c>
      <c r="E147" s="11">
        <f>IF(SUM(COUNTIFS('Conciliacion de compuestos'!$D$2:$D$13,"conciliado",'Conciliacion de compuestos'!$E$2:$E$13,"OK",'Conciliacion de compuestos'!$J$2:$J$13,A147),COUNTIFS('Conciliacion de compuestos'!$D$2:$D$13,"conciliado",'Conciliacion de compuestos'!$E$2:$E$13,"OK",'Conciliacion de compuestos'!$K$2:$K$13,A147),COUNTIFS('Conciliacion de compuestos'!$D$2:$D$13,"conciliado",'Conciliacion de compuestos'!$E$2:$E$13,"OK",'Conciliacion de compuestos'!$L$2:$L$13,A147))&gt;0,"conciliado en compuesto confirmado","disponible")</f>
        <v/>
      </c>
    </row>
    <row r="148">
      <c r="A148" s="11" t="n">
        <v>740</v>
      </c>
      <c r="B148" s="12" t="n">
        <v>46035</v>
      </c>
      <c r="C148" s="11" t="inlineStr">
        <is>
          <t>consignacion credibanco d e</t>
        </is>
      </c>
      <c r="D148" s="13" t="n">
        <v>222700</v>
      </c>
      <c r="E148" s="11">
        <f>IF(SUM(COUNTIFS('Conciliacion de compuestos'!$D$2:$D$13,"conciliado",'Conciliacion de compuestos'!$E$2:$E$13,"OK",'Conciliacion de compuestos'!$J$2:$J$13,A148),COUNTIFS('Conciliacion de compuestos'!$D$2:$D$13,"conciliado",'Conciliacion de compuestos'!$E$2:$E$13,"OK",'Conciliacion de compuestos'!$K$2:$K$13,A148),COUNTIFS('Conciliacion de compuestos'!$D$2:$D$13,"conciliado",'Conciliacion de compuestos'!$E$2:$E$13,"OK",'Conciliacion de compuestos'!$L$2:$L$13,A148))&gt;0,"conciliado en compuesto confirmado","disponible")</f>
        <v/>
      </c>
    </row>
    <row r="149">
      <c r="A149" s="11" t="n">
        <v>745</v>
      </c>
      <c r="B149" s="12" t="n">
        <v>46035</v>
      </c>
      <c r="C149" s="11" t="inlineStr">
        <is>
          <t>consignacion credibanco d e</t>
        </is>
      </c>
      <c r="D149" s="13" t="n">
        <v>83200</v>
      </c>
      <c r="E149" s="11">
        <f>IF(SUM(COUNTIFS('Conciliacion de compuestos'!$D$2:$D$13,"conciliado",'Conciliacion de compuestos'!$E$2:$E$13,"OK",'Conciliacion de compuestos'!$J$2:$J$13,A149),COUNTIFS('Conciliacion de compuestos'!$D$2:$D$13,"conciliado",'Conciliacion de compuestos'!$E$2:$E$13,"OK",'Conciliacion de compuestos'!$K$2:$K$13,A149),COUNTIFS('Conciliacion de compuestos'!$D$2:$D$13,"conciliado",'Conciliacion de compuestos'!$E$2:$E$13,"OK",'Conciliacion de compuestos'!$L$2:$L$13,A149))&gt;0,"conciliado en compuesto confirmado","disponible")</f>
        <v/>
      </c>
    </row>
    <row r="150">
      <c r="A150" s="11" t="n">
        <v>750</v>
      </c>
      <c r="B150" s="12" t="n">
        <v>46035</v>
      </c>
      <c r="C150" s="11" t="inlineStr">
        <is>
          <t>consignacion credibanco d e</t>
        </is>
      </c>
      <c r="D150" s="13" t="n">
        <v>103100</v>
      </c>
      <c r="E150" s="11">
        <f>IF(SUM(COUNTIFS('Conciliacion de compuestos'!$D$2:$D$13,"conciliado",'Conciliacion de compuestos'!$E$2:$E$13,"OK",'Conciliacion de compuestos'!$J$2:$J$13,A150),COUNTIFS('Conciliacion de compuestos'!$D$2:$D$13,"conciliado",'Conciliacion de compuestos'!$E$2:$E$13,"OK",'Conciliacion de compuestos'!$K$2:$K$13,A150),COUNTIFS('Conciliacion de compuestos'!$D$2:$D$13,"conciliado",'Conciliacion de compuestos'!$E$2:$E$13,"OK",'Conciliacion de compuestos'!$L$2:$L$13,A150))&gt;0,"conciliado en compuesto confirmado","disponible")</f>
        <v/>
      </c>
    </row>
    <row r="151">
      <c r="A151" s="11" t="n">
        <v>755</v>
      </c>
      <c r="B151" s="12" t="n">
        <v>46035</v>
      </c>
      <c r="C151" s="11" t="inlineStr">
        <is>
          <t>consignacion credibanco d e</t>
        </is>
      </c>
      <c r="D151" s="13" t="n">
        <v>475100</v>
      </c>
      <c r="E151" s="11">
        <f>IF(SUM(COUNTIFS('Conciliacion de compuestos'!$D$2:$D$13,"conciliado",'Conciliacion de compuestos'!$E$2:$E$13,"OK",'Conciliacion de compuestos'!$J$2:$J$13,A151),COUNTIFS('Conciliacion de compuestos'!$D$2:$D$13,"conciliado",'Conciliacion de compuestos'!$E$2:$E$13,"OK",'Conciliacion de compuestos'!$K$2:$K$13,A151),COUNTIFS('Conciliacion de compuestos'!$D$2:$D$13,"conciliado",'Conciliacion de compuestos'!$E$2:$E$13,"OK",'Conciliacion de compuestos'!$L$2:$L$13,A151))&gt;0,"conciliado en compuesto confirmado","disponible")</f>
        <v/>
      </c>
    </row>
    <row r="152">
      <c r="A152" s="11" t="n">
        <v>760</v>
      </c>
      <c r="B152" s="12" t="n">
        <v>46035</v>
      </c>
      <c r="C152" s="11" t="inlineStr">
        <is>
          <t>consignacion credibanco d e</t>
        </is>
      </c>
      <c r="D152" s="13" t="n">
        <v>32400</v>
      </c>
      <c r="E152" s="11">
        <f>IF(SUM(COUNTIFS('Conciliacion de compuestos'!$D$2:$D$13,"conciliado",'Conciliacion de compuestos'!$E$2:$E$13,"OK",'Conciliacion de compuestos'!$J$2:$J$13,A152),COUNTIFS('Conciliacion de compuestos'!$D$2:$D$13,"conciliado",'Conciliacion de compuestos'!$E$2:$E$13,"OK",'Conciliacion de compuestos'!$K$2:$K$13,A152),COUNTIFS('Conciliacion de compuestos'!$D$2:$D$13,"conciliado",'Conciliacion de compuestos'!$E$2:$E$13,"OK",'Conciliacion de compuestos'!$L$2:$L$13,A152))&gt;0,"conciliado en compuesto confirmado","disponible")</f>
        <v/>
      </c>
    </row>
    <row r="153">
      <c r="A153" s="11" t="n">
        <v>765</v>
      </c>
      <c r="B153" s="12" t="n">
        <v>46035</v>
      </c>
      <c r="C153" s="11" t="inlineStr">
        <is>
          <t>consignacion credibanco d e</t>
        </is>
      </c>
      <c r="D153" s="13" t="n">
        <v>50200</v>
      </c>
      <c r="E153" s="11">
        <f>IF(SUM(COUNTIFS('Conciliacion de compuestos'!$D$2:$D$13,"conciliado",'Conciliacion de compuestos'!$E$2:$E$13,"OK",'Conciliacion de compuestos'!$J$2:$J$13,A153),COUNTIFS('Conciliacion de compuestos'!$D$2:$D$13,"conciliado",'Conciliacion de compuestos'!$E$2:$E$13,"OK",'Conciliacion de compuestos'!$K$2:$K$13,A153),COUNTIFS('Conciliacion de compuestos'!$D$2:$D$13,"conciliado",'Conciliacion de compuestos'!$E$2:$E$13,"OK",'Conciliacion de compuestos'!$L$2:$L$13,A153))&gt;0,"conciliado en compuesto confirmado","disponible")</f>
        <v/>
      </c>
    </row>
    <row r="154">
      <c r="A154" s="11" t="n">
        <v>770</v>
      </c>
      <c r="B154" s="12" t="n">
        <v>46035</v>
      </c>
      <c r="C154" s="11" t="inlineStr">
        <is>
          <t>consignacion credibanco d e</t>
        </is>
      </c>
      <c r="D154" s="13" t="n">
        <v>30000</v>
      </c>
      <c r="E154" s="11">
        <f>IF(SUM(COUNTIFS('Conciliacion de compuestos'!$D$2:$D$13,"conciliado",'Conciliacion de compuestos'!$E$2:$E$13,"OK",'Conciliacion de compuestos'!$J$2:$J$13,A154),COUNTIFS('Conciliacion de compuestos'!$D$2:$D$13,"conciliado",'Conciliacion de compuestos'!$E$2:$E$13,"OK",'Conciliacion de compuestos'!$K$2:$K$13,A154),COUNTIFS('Conciliacion de compuestos'!$D$2:$D$13,"conciliado",'Conciliacion de compuestos'!$E$2:$E$13,"OK",'Conciliacion de compuestos'!$L$2:$L$13,A154))&gt;0,"conciliado en compuesto confirmado","disponible")</f>
        <v/>
      </c>
    </row>
    <row r="155">
      <c r="A155" s="11" t="n">
        <v>775</v>
      </c>
      <c r="B155" s="12" t="n">
        <v>46035</v>
      </c>
      <c r="C155" s="11" t="inlineStr">
        <is>
          <t>consignacion credibanco d e</t>
        </is>
      </c>
      <c r="D155" s="13" t="n">
        <v>45200</v>
      </c>
      <c r="E155" s="11">
        <f>IF(SUM(COUNTIFS('Conciliacion de compuestos'!$D$2:$D$13,"conciliado",'Conciliacion de compuestos'!$E$2:$E$13,"OK",'Conciliacion de compuestos'!$J$2:$J$13,A155),COUNTIFS('Conciliacion de compuestos'!$D$2:$D$13,"conciliado",'Conciliacion de compuestos'!$E$2:$E$13,"OK",'Conciliacion de compuestos'!$K$2:$K$13,A155),COUNTIFS('Conciliacion de compuestos'!$D$2:$D$13,"conciliado",'Conciliacion de compuestos'!$E$2:$E$13,"OK",'Conciliacion de compuestos'!$L$2:$L$13,A155))&gt;0,"conciliado en compuesto confirmado","disponible")</f>
        <v/>
      </c>
    </row>
    <row r="156">
      <c r="A156" s="11" t="n">
        <v>780</v>
      </c>
      <c r="B156" s="12" t="n">
        <v>46035</v>
      </c>
      <c r="C156" s="11" t="inlineStr">
        <is>
          <t>consignacion credibanco d e</t>
        </is>
      </c>
      <c r="D156" s="13" t="n">
        <v>47200</v>
      </c>
      <c r="E156" s="11">
        <f>IF(SUM(COUNTIFS('Conciliacion de compuestos'!$D$2:$D$13,"conciliado",'Conciliacion de compuestos'!$E$2:$E$13,"OK",'Conciliacion de compuestos'!$J$2:$J$13,A156),COUNTIFS('Conciliacion de compuestos'!$D$2:$D$13,"conciliado",'Conciliacion de compuestos'!$E$2:$E$13,"OK",'Conciliacion de compuestos'!$K$2:$K$13,A156),COUNTIFS('Conciliacion de compuestos'!$D$2:$D$13,"conciliado",'Conciliacion de compuestos'!$E$2:$E$13,"OK",'Conciliacion de compuestos'!$L$2:$L$13,A156))&gt;0,"conciliado en compuesto confirmado","disponible")</f>
        <v/>
      </c>
    </row>
    <row r="157">
      <c r="A157" s="11" t="n">
        <v>785</v>
      </c>
      <c r="B157" s="12" t="n">
        <v>46035</v>
      </c>
      <c r="C157" s="11" t="inlineStr">
        <is>
          <t>consignacion credibanco d e</t>
        </is>
      </c>
      <c r="D157" s="13" t="n">
        <v>37500</v>
      </c>
      <c r="E157" s="11">
        <f>IF(SUM(COUNTIFS('Conciliacion de compuestos'!$D$2:$D$13,"conciliado",'Conciliacion de compuestos'!$E$2:$E$13,"OK",'Conciliacion de compuestos'!$J$2:$J$13,A157),COUNTIFS('Conciliacion de compuestos'!$D$2:$D$13,"conciliado",'Conciliacion de compuestos'!$E$2:$E$13,"OK",'Conciliacion de compuestos'!$K$2:$K$13,A157),COUNTIFS('Conciliacion de compuestos'!$D$2:$D$13,"conciliado",'Conciliacion de compuestos'!$E$2:$E$13,"OK",'Conciliacion de compuestos'!$L$2:$L$13,A157))&gt;0,"conciliado en compuesto confirmado","disponible")</f>
        <v/>
      </c>
    </row>
    <row r="158">
      <c r="A158" s="11" t="n">
        <v>790</v>
      </c>
      <c r="B158" s="12" t="n">
        <v>46035</v>
      </c>
      <c r="C158" s="11" t="inlineStr">
        <is>
          <t>consignacion credibanco d e</t>
        </is>
      </c>
      <c r="D158" s="13" t="n">
        <v>20300</v>
      </c>
      <c r="E158" s="11">
        <f>IF(SUM(COUNTIFS('Conciliacion de compuestos'!$D$2:$D$13,"conciliado",'Conciliacion de compuestos'!$E$2:$E$13,"OK",'Conciliacion de compuestos'!$J$2:$J$13,A158),COUNTIFS('Conciliacion de compuestos'!$D$2:$D$13,"conciliado",'Conciliacion de compuestos'!$E$2:$E$13,"OK",'Conciliacion de compuestos'!$K$2:$K$13,A158),COUNTIFS('Conciliacion de compuestos'!$D$2:$D$13,"conciliado",'Conciliacion de compuestos'!$E$2:$E$13,"OK",'Conciliacion de compuestos'!$L$2:$L$13,A158))&gt;0,"conciliado en compuesto confirmado","disponible")</f>
        <v/>
      </c>
    </row>
    <row r="159">
      <c r="A159" s="11" t="n">
        <v>795</v>
      </c>
      <c r="B159" s="12" t="n">
        <v>46035</v>
      </c>
      <c r="C159" s="11" t="inlineStr">
        <is>
          <t>depositos electronicos masterca transaccion</t>
        </is>
      </c>
      <c r="D159" s="13" t="n">
        <v>27900</v>
      </c>
      <c r="E159" s="11">
        <f>IF(SUM(COUNTIFS('Conciliacion de compuestos'!$D$2:$D$13,"conciliado",'Conciliacion de compuestos'!$E$2:$E$13,"OK",'Conciliacion de compuestos'!$J$2:$J$13,A159),COUNTIFS('Conciliacion de compuestos'!$D$2:$D$13,"conciliado",'Conciliacion de compuestos'!$E$2:$E$13,"OK",'Conciliacion de compuestos'!$K$2:$K$13,A159),COUNTIFS('Conciliacion de compuestos'!$D$2:$D$13,"conciliado",'Conciliacion de compuestos'!$E$2:$E$13,"OK",'Conciliacion de compuestos'!$L$2:$L$13,A159))&gt;0,"conciliado en compuesto confirmado","disponible")</f>
        <v/>
      </c>
    </row>
    <row r="160">
      <c r="A160" s="11" t="n">
        <v>800</v>
      </c>
      <c r="B160" s="12" t="n">
        <v>46035</v>
      </c>
      <c r="C160" s="11" t="inlineStr">
        <is>
          <t>depositos electronicos masterca transaccion</t>
        </is>
      </c>
      <c r="D160" s="13" t="n">
        <v>30000</v>
      </c>
      <c r="E160" s="11">
        <f>IF(SUM(COUNTIFS('Conciliacion de compuestos'!$D$2:$D$13,"conciliado",'Conciliacion de compuestos'!$E$2:$E$13,"OK",'Conciliacion de compuestos'!$J$2:$J$13,A160),COUNTIFS('Conciliacion de compuestos'!$D$2:$D$13,"conciliado",'Conciliacion de compuestos'!$E$2:$E$13,"OK",'Conciliacion de compuestos'!$K$2:$K$13,A160),COUNTIFS('Conciliacion de compuestos'!$D$2:$D$13,"conciliado",'Conciliacion de compuestos'!$E$2:$E$13,"OK",'Conciliacion de compuestos'!$L$2:$L$13,A160))&gt;0,"conciliado en compuesto confirmado","disponible")</f>
        <v/>
      </c>
    </row>
    <row r="161">
      <c r="A161" s="11" t="n">
        <v>805</v>
      </c>
      <c r="B161" s="12" t="n">
        <v>46035</v>
      </c>
      <c r="C161" s="11" t="inlineStr">
        <is>
          <t>depositos electronicos masterca transaccion</t>
        </is>
      </c>
      <c r="D161" s="13" t="n">
        <v>141450</v>
      </c>
      <c r="E161" s="11">
        <f>IF(SUM(COUNTIFS('Conciliacion de compuestos'!$D$2:$D$13,"conciliado",'Conciliacion de compuestos'!$E$2:$E$13,"OK",'Conciliacion de compuestos'!$J$2:$J$13,A161),COUNTIFS('Conciliacion de compuestos'!$D$2:$D$13,"conciliado",'Conciliacion de compuestos'!$E$2:$E$13,"OK",'Conciliacion de compuestos'!$K$2:$K$13,A161),COUNTIFS('Conciliacion de compuestos'!$D$2:$D$13,"conciliado",'Conciliacion de compuestos'!$E$2:$E$13,"OK",'Conciliacion de compuestos'!$L$2:$L$13,A161))&gt;0,"conciliado en compuesto confirmado","disponible")</f>
        <v/>
      </c>
    </row>
    <row r="162">
      <c r="A162" s="11" t="n">
        <v>810</v>
      </c>
      <c r="B162" s="12" t="n">
        <v>46035</v>
      </c>
      <c r="C162" s="11" t="inlineStr">
        <is>
          <t>depositos electronicos masterca transaccion</t>
        </is>
      </c>
      <c r="D162" s="13" t="n">
        <v>90500</v>
      </c>
      <c r="E162" s="11">
        <f>IF(SUM(COUNTIFS('Conciliacion de compuestos'!$D$2:$D$13,"conciliado",'Conciliacion de compuestos'!$E$2:$E$13,"OK",'Conciliacion de compuestos'!$J$2:$J$13,A162),COUNTIFS('Conciliacion de compuestos'!$D$2:$D$13,"conciliado",'Conciliacion de compuestos'!$E$2:$E$13,"OK",'Conciliacion de compuestos'!$K$2:$K$13,A162),COUNTIFS('Conciliacion de compuestos'!$D$2:$D$13,"conciliado",'Conciliacion de compuestos'!$E$2:$E$13,"OK",'Conciliacion de compuestos'!$L$2:$L$13,A162))&gt;0,"conciliado en compuesto confirmado","disponible")</f>
        <v/>
      </c>
    </row>
    <row r="163">
      <c r="A163" s="11" t="n">
        <v>815</v>
      </c>
      <c r="B163" s="12" t="n">
        <v>46035</v>
      </c>
      <c r="C163" s="11" t="inlineStr">
        <is>
          <t>depositos electronicos masterca transaccion</t>
        </is>
      </c>
      <c r="D163" s="13" t="n">
        <v>92200</v>
      </c>
      <c r="E163" s="11">
        <f>IF(SUM(COUNTIFS('Conciliacion de compuestos'!$D$2:$D$13,"conciliado",'Conciliacion de compuestos'!$E$2:$E$13,"OK",'Conciliacion de compuestos'!$J$2:$J$13,A163),COUNTIFS('Conciliacion de compuestos'!$D$2:$D$13,"conciliado",'Conciliacion de compuestos'!$E$2:$E$13,"OK",'Conciliacion de compuestos'!$K$2:$K$13,A163),COUNTIFS('Conciliacion de compuestos'!$D$2:$D$13,"conciliado",'Conciliacion de compuestos'!$E$2:$E$13,"OK",'Conciliacion de compuestos'!$L$2:$L$13,A163))&gt;0,"conciliado en compuesto confirmado","disponible")</f>
        <v/>
      </c>
    </row>
    <row r="164">
      <c r="A164" s="11" t="n">
        <v>820</v>
      </c>
      <c r="B164" s="12" t="n">
        <v>46035</v>
      </c>
      <c r="C164" s="11" t="inlineStr">
        <is>
          <t>depositos electronicos masterca transaccion</t>
        </is>
      </c>
      <c r="D164" s="13" t="n">
        <v>109700</v>
      </c>
      <c r="E164" s="11">
        <f>IF(SUM(COUNTIFS('Conciliacion de compuestos'!$D$2:$D$13,"conciliado",'Conciliacion de compuestos'!$E$2:$E$13,"OK",'Conciliacion de compuestos'!$J$2:$J$13,A164),COUNTIFS('Conciliacion de compuestos'!$D$2:$D$13,"conciliado",'Conciliacion de compuestos'!$E$2:$E$13,"OK",'Conciliacion de compuestos'!$K$2:$K$13,A164),COUNTIFS('Conciliacion de compuestos'!$D$2:$D$13,"conciliado",'Conciliacion de compuestos'!$E$2:$E$13,"OK",'Conciliacion de compuestos'!$L$2:$L$13,A164))&gt;0,"conciliado en compuesto confirmado","disponible")</f>
        <v/>
      </c>
    </row>
    <row r="165">
      <c r="A165" s="11" t="n">
        <v>825</v>
      </c>
      <c r="B165" s="12" t="n">
        <v>46035</v>
      </c>
      <c r="C165" s="11" t="inlineStr">
        <is>
          <t>depositos electronicos masterca transaccion</t>
        </is>
      </c>
      <c r="D165" s="13" t="n">
        <v>91500</v>
      </c>
      <c r="E165" s="11">
        <f>IF(SUM(COUNTIFS('Conciliacion de compuestos'!$D$2:$D$13,"conciliado",'Conciliacion de compuestos'!$E$2:$E$13,"OK",'Conciliacion de compuestos'!$J$2:$J$13,A165),COUNTIFS('Conciliacion de compuestos'!$D$2:$D$13,"conciliado",'Conciliacion de compuestos'!$E$2:$E$13,"OK",'Conciliacion de compuestos'!$K$2:$K$13,A165),COUNTIFS('Conciliacion de compuestos'!$D$2:$D$13,"conciliado",'Conciliacion de compuestos'!$E$2:$E$13,"OK",'Conciliacion de compuestos'!$L$2:$L$13,A165))&gt;0,"conciliado en compuesto confirmado","disponible")</f>
        <v/>
      </c>
    </row>
    <row r="166">
      <c r="A166" s="11" t="n">
        <v>830</v>
      </c>
      <c r="B166" s="12" t="n">
        <v>46035</v>
      </c>
      <c r="C166" s="11" t="inlineStr">
        <is>
          <t>depositos electronicos masterca transaccion</t>
        </is>
      </c>
      <c r="D166" s="13" t="n">
        <v>80900</v>
      </c>
      <c r="E166" s="11">
        <f>IF(SUM(COUNTIFS('Conciliacion de compuestos'!$D$2:$D$13,"conciliado",'Conciliacion de compuestos'!$E$2:$E$13,"OK",'Conciliacion de compuestos'!$J$2:$J$13,A166),COUNTIFS('Conciliacion de compuestos'!$D$2:$D$13,"conciliado",'Conciliacion de compuestos'!$E$2:$E$13,"OK",'Conciliacion de compuestos'!$K$2:$K$13,A166),COUNTIFS('Conciliacion de compuestos'!$D$2:$D$13,"conciliado",'Conciliacion de compuestos'!$E$2:$E$13,"OK",'Conciliacion de compuestos'!$L$2:$L$13,A166))&gt;0,"conciliado en compuesto confirmado","disponible")</f>
        <v/>
      </c>
    </row>
    <row r="167">
      <c r="A167" s="11" t="n">
        <v>840</v>
      </c>
      <c r="B167" s="12" t="n">
        <v>46036</v>
      </c>
      <c r="C167" s="11" t="inlineStr">
        <is>
          <t>consignacion credibanco d e</t>
        </is>
      </c>
      <c r="D167" s="13" t="n">
        <v>110724</v>
      </c>
      <c r="E167" s="11">
        <f>IF(SUM(COUNTIFS('Conciliacion de compuestos'!$D$2:$D$13,"conciliado",'Conciliacion de compuestos'!$E$2:$E$13,"OK",'Conciliacion de compuestos'!$J$2:$J$13,A167),COUNTIFS('Conciliacion de compuestos'!$D$2:$D$13,"conciliado",'Conciliacion de compuestos'!$E$2:$E$13,"OK",'Conciliacion de compuestos'!$K$2:$K$13,A167),COUNTIFS('Conciliacion de compuestos'!$D$2:$D$13,"conciliado",'Conciliacion de compuestos'!$E$2:$E$13,"OK",'Conciliacion de compuestos'!$L$2:$L$13,A167))&gt;0,"conciliado en compuesto confirmado","disponible")</f>
        <v/>
      </c>
    </row>
    <row r="168">
      <c r="A168" s="11" t="n">
        <v>845</v>
      </c>
      <c r="B168" s="12" t="n">
        <v>46036</v>
      </c>
      <c r="C168" s="11" t="inlineStr">
        <is>
          <t>consignacion credibanco d e</t>
        </is>
      </c>
      <c r="D168" s="13" t="n">
        <v>74000</v>
      </c>
      <c r="E168" s="11">
        <f>IF(SUM(COUNTIFS('Conciliacion de compuestos'!$D$2:$D$13,"conciliado",'Conciliacion de compuestos'!$E$2:$E$13,"OK",'Conciliacion de compuestos'!$J$2:$J$13,A168),COUNTIFS('Conciliacion de compuestos'!$D$2:$D$13,"conciliado",'Conciliacion de compuestos'!$E$2:$E$13,"OK",'Conciliacion de compuestos'!$K$2:$K$13,A168),COUNTIFS('Conciliacion de compuestos'!$D$2:$D$13,"conciliado",'Conciliacion de compuestos'!$E$2:$E$13,"OK",'Conciliacion de compuestos'!$L$2:$L$13,A168))&gt;0,"conciliado en compuesto confirmado","disponible")</f>
        <v/>
      </c>
    </row>
    <row r="169">
      <c r="A169" s="11" t="n">
        <v>850</v>
      </c>
      <c r="B169" s="12" t="n">
        <v>46036</v>
      </c>
      <c r="C169" s="11" t="inlineStr">
        <is>
          <t>consignacion credibanco d e</t>
        </is>
      </c>
      <c r="D169" s="13" t="n">
        <v>29100</v>
      </c>
      <c r="E169" s="11">
        <f>IF(SUM(COUNTIFS('Conciliacion de compuestos'!$D$2:$D$13,"conciliado",'Conciliacion de compuestos'!$E$2:$E$13,"OK",'Conciliacion de compuestos'!$J$2:$J$13,A169),COUNTIFS('Conciliacion de compuestos'!$D$2:$D$13,"conciliado",'Conciliacion de compuestos'!$E$2:$E$13,"OK",'Conciliacion de compuestos'!$K$2:$K$13,A169),COUNTIFS('Conciliacion de compuestos'!$D$2:$D$13,"conciliado",'Conciliacion de compuestos'!$E$2:$E$13,"OK",'Conciliacion de compuestos'!$L$2:$L$13,A169))&gt;0,"conciliado en compuesto confirmado","disponible")</f>
        <v/>
      </c>
    </row>
    <row r="170">
      <c r="A170" s="11" t="n">
        <v>855</v>
      </c>
      <c r="B170" s="12" t="n">
        <v>46036</v>
      </c>
      <c r="C170" s="11" t="inlineStr">
        <is>
          <t>consignacion credibanco d e</t>
        </is>
      </c>
      <c r="D170" s="13" t="n">
        <v>74000</v>
      </c>
      <c r="E170" s="11">
        <f>IF(SUM(COUNTIFS('Conciliacion de compuestos'!$D$2:$D$13,"conciliado",'Conciliacion de compuestos'!$E$2:$E$13,"OK",'Conciliacion de compuestos'!$J$2:$J$13,A170),COUNTIFS('Conciliacion de compuestos'!$D$2:$D$13,"conciliado",'Conciliacion de compuestos'!$E$2:$E$13,"OK",'Conciliacion de compuestos'!$K$2:$K$13,A170),COUNTIFS('Conciliacion de compuestos'!$D$2:$D$13,"conciliado",'Conciliacion de compuestos'!$E$2:$E$13,"OK",'Conciliacion de compuestos'!$L$2:$L$13,A170))&gt;0,"conciliado en compuesto confirmado","disponible")</f>
        <v/>
      </c>
    </row>
    <row r="171">
      <c r="A171" s="11" t="n">
        <v>860</v>
      </c>
      <c r="B171" s="12" t="n">
        <v>46036</v>
      </c>
      <c r="C171" s="11" t="inlineStr">
        <is>
          <t>consignacion credibanco d e</t>
        </is>
      </c>
      <c r="D171" s="13" t="n">
        <v>73400</v>
      </c>
      <c r="E171" s="11">
        <f>IF(SUM(COUNTIFS('Conciliacion de compuestos'!$D$2:$D$13,"conciliado",'Conciliacion de compuestos'!$E$2:$E$13,"OK",'Conciliacion de compuestos'!$J$2:$J$13,A171),COUNTIFS('Conciliacion de compuestos'!$D$2:$D$13,"conciliado",'Conciliacion de compuestos'!$E$2:$E$13,"OK",'Conciliacion de compuestos'!$K$2:$K$13,A171),COUNTIFS('Conciliacion de compuestos'!$D$2:$D$13,"conciliado",'Conciliacion de compuestos'!$E$2:$E$13,"OK",'Conciliacion de compuestos'!$L$2:$L$13,A171))&gt;0,"conciliado en compuesto confirmado","disponible")</f>
        <v/>
      </c>
    </row>
    <row r="172">
      <c r="A172" s="11" t="n">
        <v>865</v>
      </c>
      <c r="B172" s="12" t="n">
        <v>46036</v>
      </c>
      <c r="C172" s="11" t="inlineStr">
        <is>
          <t>consignacion credibanco d e</t>
        </is>
      </c>
      <c r="D172" s="13" t="n">
        <v>81200</v>
      </c>
      <c r="E172" s="11">
        <f>IF(SUM(COUNTIFS('Conciliacion de compuestos'!$D$2:$D$13,"conciliado",'Conciliacion de compuestos'!$E$2:$E$13,"OK",'Conciliacion de compuestos'!$J$2:$J$13,A172),COUNTIFS('Conciliacion de compuestos'!$D$2:$D$13,"conciliado",'Conciliacion de compuestos'!$E$2:$E$13,"OK",'Conciliacion de compuestos'!$K$2:$K$13,A172),COUNTIFS('Conciliacion de compuestos'!$D$2:$D$13,"conciliado",'Conciliacion de compuestos'!$E$2:$E$13,"OK",'Conciliacion de compuestos'!$L$2:$L$13,A172))&gt;0,"conciliado en compuesto confirmado","disponible")</f>
        <v/>
      </c>
    </row>
    <row r="173">
      <c r="A173" s="11" t="n">
        <v>870</v>
      </c>
      <c r="B173" s="12" t="n">
        <v>46036</v>
      </c>
      <c r="C173" s="11" t="inlineStr">
        <is>
          <t>consignacion credibanco d e</t>
        </is>
      </c>
      <c r="D173" s="13" t="n">
        <v>24100</v>
      </c>
      <c r="E173" s="11">
        <f>IF(SUM(COUNTIFS('Conciliacion de compuestos'!$D$2:$D$13,"conciliado",'Conciliacion de compuestos'!$E$2:$E$13,"OK",'Conciliacion de compuestos'!$J$2:$J$13,A173),COUNTIFS('Conciliacion de compuestos'!$D$2:$D$13,"conciliado",'Conciliacion de compuestos'!$E$2:$E$13,"OK",'Conciliacion de compuestos'!$K$2:$K$13,A173),COUNTIFS('Conciliacion de compuestos'!$D$2:$D$13,"conciliado",'Conciliacion de compuestos'!$E$2:$E$13,"OK",'Conciliacion de compuestos'!$L$2:$L$13,A173))&gt;0,"conciliado en compuesto confirmado","disponible")</f>
        <v/>
      </c>
    </row>
    <row r="174">
      <c r="A174" s="11" t="n">
        <v>875</v>
      </c>
      <c r="B174" s="12" t="n">
        <v>46036</v>
      </c>
      <c r="C174" s="11" t="inlineStr">
        <is>
          <t>depositos electronicos masterca transaccion</t>
        </is>
      </c>
      <c r="D174" s="13" t="n">
        <v>87100</v>
      </c>
      <c r="E174" s="11">
        <f>IF(SUM(COUNTIFS('Conciliacion de compuestos'!$D$2:$D$13,"conciliado",'Conciliacion de compuestos'!$E$2:$E$13,"OK",'Conciliacion de compuestos'!$J$2:$J$13,A174),COUNTIFS('Conciliacion de compuestos'!$D$2:$D$13,"conciliado",'Conciliacion de compuestos'!$E$2:$E$13,"OK",'Conciliacion de compuestos'!$K$2:$K$13,A174),COUNTIFS('Conciliacion de compuestos'!$D$2:$D$13,"conciliado",'Conciliacion de compuestos'!$E$2:$E$13,"OK",'Conciliacion de compuestos'!$L$2:$L$13,A174))&gt;0,"conciliado en compuesto confirmado","disponible")</f>
        <v/>
      </c>
    </row>
    <row r="175">
      <c r="A175" s="11" t="n">
        <v>880</v>
      </c>
      <c r="B175" s="12" t="n">
        <v>46036</v>
      </c>
      <c r="C175" s="11" t="inlineStr">
        <is>
          <t>depositos electronicos masterca transaccion</t>
        </is>
      </c>
      <c r="D175" s="13" t="n">
        <v>38600</v>
      </c>
      <c r="E175" s="11">
        <f>IF(SUM(COUNTIFS('Conciliacion de compuestos'!$D$2:$D$13,"conciliado",'Conciliacion de compuestos'!$E$2:$E$13,"OK",'Conciliacion de compuestos'!$J$2:$J$13,A175),COUNTIFS('Conciliacion de compuestos'!$D$2:$D$13,"conciliado",'Conciliacion de compuestos'!$E$2:$E$13,"OK",'Conciliacion de compuestos'!$K$2:$K$13,A175),COUNTIFS('Conciliacion de compuestos'!$D$2:$D$13,"conciliado",'Conciliacion de compuestos'!$E$2:$E$13,"OK",'Conciliacion de compuestos'!$L$2:$L$13,A175))&gt;0,"conciliado en compuesto confirmado","disponible")</f>
        <v/>
      </c>
    </row>
    <row r="176">
      <c r="A176" s="11" t="n">
        <v>885</v>
      </c>
      <c r="B176" s="12" t="n">
        <v>46036</v>
      </c>
      <c r="C176" s="11" t="inlineStr">
        <is>
          <t>depositos electronicos masterca transaccion</t>
        </is>
      </c>
      <c r="D176" s="13" t="n">
        <v>66300</v>
      </c>
      <c r="E176" s="11">
        <f>IF(SUM(COUNTIFS('Conciliacion de compuestos'!$D$2:$D$13,"conciliado",'Conciliacion de compuestos'!$E$2:$E$13,"OK",'Conciliacion de compuestos'!$J$2:$J$13,A176),COUNTIFS('Conciliacion de compuestos'!$D$2:$D$13,"conciliado",'Conciliacion de compuestos'!$E$2:$E$13,"OK",'Conciliacion de compuestos'!$K$2:$K$13,A176),COUNTIFS('Conciliacion de compuestos'!$D$2:$D$13,"conciliado",'Conciliacion de compuestos'!$E$2:$E$13,"OK",'Conciliacion de compuestos'!$L$2:$L$13,A176))&gt;0,"conciliado en compuesto confirmado","disponible")</f>
        <v/>
      </c>
    </row>
    <row r="177">
      <c r="A177" s="11" t="n">
        <v>890</v>
      </c>
      <c r="B177" s="12" t="n">
        <v>46036</v>
      </c>
      <c r="C177" s="11" t="inlineStr">
        <is>
          <t>depositos electronicos masterca transaccion</t>
        </is>
      </c>
      <c r="D177" s="13" t="n">
        <v>42100</v>
      </c>
      <c r="E177" s="11">
        <f>IF(SUM(COUNTIFS('Conciliacion de compuestos'!$D$2:$D$13,"conciliado",'Conciliacion de compuestos'!$E$2:$E$13,"OK",'Conciliacion de compuestos'!$J$2:$J$13,A177),COUNTIFS('Conciliacion de compuestos'!$D$2:$D$13,"conciliado",'Conciliacion de compuestos'!$E$2:$E$13,"OK",'Conciliacion de compuestos'!$K$2:$K$13,A177),COUNTIFS('Conciliacion de compuestos'!$D$2:$D$13,"conciliado",'Conciliacion de compuestos'!$E$2:$E$13,"OK",'Conciliacion de compuestos'!$L$2:$L$13,A177))&gt;0,"conciliado en compuesto confirmado","disponible")</f>
        <v/>
      </c>
    </row>
    <row r="178">
      <c r="A178" s="11" t="n">
        <v>895</v>
      </c>
      <c r="B178" s="12" t="n">
        <v>46037</v>
      </c>
      <c r="C178" s="11" t="inlineStr">
        <is>
          <t>consignacion credibanco d e</t>
        </is>
      </c>
      <c r="D178" s="13" t="n">
        <v>67000</v>
      </c>
      <c r="E178" s="11">
        <f>IF(SUM(COUNTIFS('Conciliacion de compuestos'!$D$2:$D$13,"conciliado",'Conciliacion de compuestos'!$E$2:$E$13,"OK",'Conciliacion de compuestos'!$J$2:$J$13,A178),COUNTIFS('Conciliacion de compuestos'!$D$2:$D$13,"conciliado",'Conciliacion de compuestos'!$E$2:$E$13,"OK",'Conciliacion de compuestos'!$K$2:$K$13,A178),COUNTIFS('Conciliacion de compuestos'!$D$2:$D$13,"conciliado",'Conciliacion de compuestos'!$E$2:$E$13,"OK",'Conciliacion de compuestos'!$L$2:$L$13,A178))&gt;0,"conciliado en compuesto confirmado","disponible")</f>
        <v/>
      </c>
    </row>
    <row r="179">
      <c r="A179" s="11" t="n">
        <v>900</v>
      </c>
      <c r="B179" s="12" t="n">
        <v>46037</v>
      </c>
      <c r="C179" s="11" t="inlineStr">
        <is>
          <t>consignacion credibanco d e</t>
        </is>
      </c>
      <c r="D179" s="13" t="n">
        <v>20000</v>
      </c>
      <c r="E179" s="11">
        <f>IF(SUM(COUNTIFS('Conciliacion de compuestos'!$D$2:$D$13,"conciliado",'Conciliacion de compuestos'!$E$2:$E$13,"OK",'Conciliacion de compuestos'!$J$2:$J$13,A179),COUNTIFS('Conciliacion de compuestos'!$D$2:$D$13,"conciliado",'Conciliacion de compuestos'!$E$2:$E$13,"OK",'Conciliacion de compuestos'!$K$2:$K$13,A179),COUNTIFS('Conciliacion de compuestos'!$D$2:$D$13,"conciliado",'Conciliacion de compuestos'!$E$2:$E$13,"OK",'Conciliacion de compuestos'!$L$2:$L$13,A179))&gt;0,"conciliado en compuesto confirmado","disponible")</f>
        <v/>
      </c>
    </row>
    <row r="180">
      <c r="A180" s="11" t="n">
        <v>905</v>
      </c>
      <c r="B180" s="12" t="n">
        <v>46037</v>
      </c>
      <c r="C180" s="11" t="inlineStr">
        <is>
          <t>consignacion credibanco d e</t>
        </is>
      </c>
      <c r="D180" s="13" t="n">
        <v>54600</v>
      </c>
      <c r="E180" s="11">
        <f>IF(SUM(COUNTIFS('Conciliacion de compuestos'!$D$2:$D$13,"conciliado",'Conciliacion de compuestos'!$E$2:$E$13,"OK",'Conciliacion de compuestos'!$J$2:$J$13,A180),COUNTIFS('Conciliacion de compuestos'!$D$2:$D$13,"conciliado",'Conciliacion de compuestos'!$E$2:$E$13,"OK",'Conciliacion de compuestos'!$K$2:$K$13,A180),COUNTIFS('Conciliacion de compuestos'!$D$2:$D$13,"conciliado",'Conciliacion de compuestos'!$E$2:$E$13,"OK",'Conciliacion de compuestos'!$L$2:$L$13,A180))&gt;0,"conciliado en compuesto confirmado","disponible")</f>
        <v/>
      </c>
    </row>
    <row r="181">
      <c r="A181" s="11" t="n">
        <v>910</v>
      </c>
      <c r="B181" s="12" t="n">
        <v>46037</v>
      </c>
      <c r="C181" s="11" t="inlineStr">
        <is>
          <t>consignacion credibanco d e</t>
        </is>
      </c>
      <c r="D181" s="13" t="n">
        <v>239700</v>
      </c>
      <c r="E181" s="11">
        <f>IF(SUM(COUNTIFS('Conciliacion de compuestos'!$D$2:$D$13,"conciliado",'Conciliacion de compuestos'!$E$2:$E$13,"OK",'Conciliacion de compuestos'!$J$2:$J$13,A181),COUNTIFS('Conciliacion de compuestos'!$D$2:$D$13,"conciliado",'Conciliacion de compuestos'!$E$2:$E$13,"OK",'Conciliacion de compuestos'!$K$2:$K$13,A181),COUNTIFS('Conciliacion de compuestos'!$D$2:$D$13,"conciliado",'Conciliacion de compuestos'!$E$2:$E$13,"OK",'Conciliacion de compuestos'!$L$2:$L$13,A181))&gt;0,"conciliado en compuesto confirmado","disponible")</f>
        <v/>
      </c>
    </row>
    <row r="182">
      <c r="A182" s="11" t="n">
        <v>915</v>
      </c>
      <c r="B182" s="12" t="n">
        <v>46037</v>
      </c>
      <c r="C182" s="11" t="inlineStr">
        <is>
          <t>consignacion credibanco d e</t>
        </is>
      </c>
      <c r="D182" s="13" t="n">
        <v>46900</v>
      </c>
      <c r="E182" s="11">
        <f>IF(SUM(COUNTIFS('Conciliacion de compuestos'!$D$2:$D$13,"conciliado",'Conciliacion de compuestos'!$E$2:$E$13,"OK",'Conciliacion de compuestos'!$J$2:$J$13,A182),COUNTIFS('Conciliacion de compuestos'!$D$2:$D$13,"conciliado",'Conciliacion de compuestos'!$E$2:$E$13,"OK",'Conciliacion de compuestos'!$K$2:$K$13,A182),COUNTIFS('Conciliacion de compuestos'!$D$2:$D$13,"conciliado",'Conciliacion de compuestos'!$E$2:$E$13,"OK",'Conciliacion de compuestos'!$L$2:$L$13,A182))&gt;0,"conciliado en compuesto confirmado","disponible")</f>
        <v/>
      </c>
    </row>
    <row r="183">
      <c r="A183" s="11" t="n">
        <v>920</v>
      </c>
      <c r="B183" s="12" t="n">
        <v>46037</v>
      </c>
      <c r="C183" s="11" t="inlineStr">
        <is>
          <t>consignacion credibanco d e</t>
        </is>
      </c>
      <c r="D183" s="13" t="n">
        <v>180920</v>
      </c>
      <c r="E183" s="11">
        <f>IF(SUM(COUNTIFS('Conciliacion de compuestos'!$D$2:$D$13,"conciliado",'Conciliacion de compuestos'!$E$2:$E$13,"OK",'Conciliacion de compuestos'!$J$2:$J$13,A183),COUNTIFS('Conciliacion de compuestos'!$D$2:$D$13,"conciliado",'Conciliacion de compuestos'!$E$2:$E$13,"OK",'Conciliacion de compuestos'!$K$2:$K$13,A183),COUNTIFS('Conciliacion de compuestos'!$D$2:$D$13,"conciliado",'Conciliacion de compuestos'!$E$2:$E$13,"OK",'Conciliacion de compuestos'!$L$2:$L$13,A183))&gt;0,"conciliado en compuesto confirmado","disponible")</f>
        <v/>
      </c>
    </row>
    <row r="184">
      <c r="A184" s="11" t="n">
        <v>925</v>
      </c>
      <c r="B184" s="12" t="n">
        <v>46037</v>
      </c>
      <c r="C184" s="11" t="inlineStr">
        <is>
          <t>consignacion credibanco d e</t>
        </is>
      </c>
      <c r="D184" s="13" t="n">
        <v>51300</v>
      </c>
      <c r="E184" s="11">
        <f>IF(SUM(COUNTIFS('Conciliacion de compuestos'!$D$2:$D$13,"conciliado",'Conciliacion de compuestos'!$E$2:$E$13,"OK",'Conciliacion de compuestos'!$J$2:$J$13,A184),COUNTIFS('Conciliacion de compuestos'!$D$2:$D$13,"conciliado",'Conciliacion de compuestos'!$E$2:$E$13,"OK",'Conciliacion de compuestos'!$K$2:$K$13,A184),COUNTIFS('Conciliacion de compuestos'!$D$2:$D$13,"conciliado",'Conciliacion de compuestos'!$E$2:$E$13,"OK",'Conciliacion de compuestos'!$L$2:$L$13,A184))&gt;0,"conciliado en compuesto confirmado","disponible")</f>
        <v/>
      </c>
    </row>
    <row r="185">
      <c r="A185" s="11" t="n">
        <v>930</v>
      </c>
      <c r="B185" s="12" t="n">
        <v>46037</v>
      </c>
      <c r="C185" s="11" t="inlineStr">
        <is>
          <t>consignacion credibanco d e</t>
        </is>
      </c>
      <c r="D185" s="13" t="n">
        <v>106733</v>
      </c>
      <c r="E185" s="11">
        <f>IF(SUM(COUNTIFS('Conciliacion de compuestos'!$D$2:$D$13,"conciliado",'Conciliacion de compuestos'!$E$2:$E$13,"OK",'Conciliacion de compuestos'!$J$2:$J$13,A185),COUNTIFS('Conciliacion de compuestos'!$D$2:$D$13,"conciliado",'Conciliacion de compuestos'!$E$2:$E$13,"OK",'Conciliacion de compuestos'!$K$2:$K$13,A185),COUNTIFS('Conciliacion de compuestos'!$D$2:$D$13,"conciliado",'Conciliacion de compuestos'!$E$2:$E$13,"OK",'Conciliacion de compuestos'!$L$2:$L$13,A185))&gt;0,"conciliado en compuesto confirmado","disponible")</f>
        <v/>
      </c>
    </row>
    <row r="186">
      <c r="A186" s="11" t="n">
        <v>935</v>
      </c>
      <c r="B186" s="12" t="n">
        <v>46037</v>
      </c>
      <c r="C186" s="11" t="inlineStr">
        <is>
          <t>depositos electronicos masterca transaccion</t>
        </is>
      </c>
      <c r="D186" s="13" t="n">
        <v>79100</v>
      </c>
      <c r="E186" s="11">
        <f>IF(SUM(COUNTIFS('Conciliacion de compuestos'!$D$2:$D$13,"conciliado",'Conciliacion de compuestos'!$E$2:$E$13,"OK",'Conciliacion de compuestos'!$J$2:$J$13,A186),COUNTIFS('Conciliacion de compuestos'!$D$2:$D$13,"conciliado",'Conciliacion de compuestos'!$E$2:$E$13,"OK",'Conciliacion de compuestos'!$K$2:$K$13,A186),COUNTIFS('Conciliacion de compuestos'!$D$2:$D$13,"conciliado",'Conciliacion de compuestos'!$E$2:$E$13,"OK",'Conciliacion de compuestos'!$L$2:$L$13,A186))&gt;0,"conciliado en compuesto confirmado","disponible")</f>
        <v/>
      </c>
    </row>
    <row r="187">
      <c r="A187" s="11" t="n">
        <v>940</v>
      </c>
      <c r="B187" s="12" t="n">
        <v>46037</v>
      </c>
      <c r="C187" s="11" t="inlineStr">
        <is>
          <t>depositos electronicos masterca transaccion</t>
        </is>
      </c>
      <c r="D187" s="13" t="n">
        <v>104000</v>
      </c>
      <c r="E187" s="11">
        <f>IF(SUM(COUNTIFS('Conciliacion de compuestos'!$D$2:$D$13,"conciliado",'Conciliacion de compuestos'!$E$2:$E$13,"OK",'Conciliacion de compuestos'!$J$2:$J$13,A187),COUNTIFS('Conciliacion de compuestos'!$D$2:$D$13,"conciliado",'Conciliacion de compuestos'!$E$2:$E$13,"OK",'Conciliacion de compuestos'!$K$2:$K$13,A187),COUNTIFS('Conciliacion de compuestos'!$D$2:$D$13,"conciliado",'Conciliacion de compuestos'!$E$2:$E$13,"OK",'Conciliacion de compuestos'!$L$2:$L$13,A187))&gt;0,"conciliado en compuesto confirmado","disponible")</f>
        <v/>
      </c>
    </row>
    <row r="188">
      <c r="A188" s="11" t="n">
        <v>945</v>
      </c>
      <c r="B188" s="12" t="n">
        <v>46037</v>
      </c>
      <c r="C188" s="11" t="inlineStr">
        <is>
          <t>depositos electronicos masterca transaccion</t>
        </is>
      </c>
      <c r="D188" s="13" t="n">
        <v>74500</v>
      </c>
      <c r="E188" s="11">
        <f>IF(SUM(COUNTIFS('Conciliacion de compuestos'!$D$2:$D$13,"conciliado",'Conciliacion de compuestos'!$E$2:$E$13,"OK",'Conciliacion de compuestos'!$J$2:$J$13,A188),COUNTIFS('Conciliacion de compuestos'!$D$2:$D$13,"conciliado",'Conciliacion de compuestos'!$E$2:$E$13,"OK",'Conciliacion de compuestos'!$K$2:$K$13,A188),COUNTIFS('Conciliacion de compuestos'!$D$2:$D$13,"conciliado",'Conciliacion de compuestos'!$E$2:$E$13,"OK",'Conciliacion de compuestos'!$L$2:$L$13,A188))&gt;0,"conciliado en compuesto confirmado","disponible")</f>
        <v/>
      </c>
    </row>
    <row r="189">
      <c r="A189" s="11" t="n">
        <v>950</v>
      </c>
      <c r="B189" s="12" t="n">
        <v>46038</v>
      </c>
      <c r="C189" s="11" t="inlineStr">
        <is>
          <t>depositos electronicos masterca transaccion</t>
        </is>
      </c>
      <c r="D189" s="13" t="n">
        <v>139800</v>
      </c>
      <c r="E189" s="11">
        <f>IF(SUM(COUNTIFS('Conciliacion de compuestos'!$D$2:$D$13,"conciliado",'Conciliacion de compuestos'!$E$2:$E$13,"OK",'Conciliacion de compuestos'!$J$2:$J$13,A189),COUNTIFS('Conciliacion de compuestos'!$D$2:$D$13,"conciliado",'Conciliacion de compuestos'!$E$2:$E$13,"OK",'Conciliacion de compuestos'!$K$2:$K$13,A189),COUNTIFS('Conciliacion de compuestos'!$D$2:$D$13,"conciliado",'Conciliacion de compuestos'!$E$2:$E$13,"OK",'Conciliacion de compuestos'!$L$2:$L$13,A189))&gt;0,"conciliado en compuesto confirmado","disponible")</f>
        <v/>
      </c>
    </row>
    <row r="190">
      <c r="A190" s="11" t="n">
        <v>955</v>
      </c>
      <c r="B190" s="12" t="n">
        <v>46038</v>
      </c>
      <c r="C190" s="11" t="inlineStr">
        <is>
          <t>depositos electronicos masterca transaccion</t>
        </is>
      </c>
      <c r="D190" s="13" t="n">
        <v>40500</v>
      </c>
      <c r="E190" s="11">
        <f>IF(SUM(COUNTIFS('Conciliacion de compuestos'!$D$2:$D$13,"conciliado",'Conciliacion de compuestos'!$E$2:$E$13,"OK",'Conciliacion de compuestos'!$J$2:$J$13,A190),COUNTIFS('Conciliacion de compuestos'!$D$2:$D$13,"conciliado",'Conciliacion de compuestos'!$E$2:$E$13,"OK",'Conciliacion de compuestos'!$K$2:$K$13,A190),COUNTIFS('Conciliacion de compuestos'!$D$2:$D$13,"conciliado",'Conciliacion de compuestos'!$E$2:$E$13,"OK",'Conciliacion de compuestos'!$L$2:$L$13,A190))&gt;0,"conciliado en compuesto confirmado","disponible")</f>
        <v/>
      </c>
    </row>
    <row r="191">
      <c r="A191" s="11" t="n">
        <v>960</v>
      </c>
      <c r="B191" s="12" t="n">
        <v>46038</v>
      </c>
      <c r="C191" s="11" t="inlineStr">
        <is>
          <t>depositos electronicos masterca transaccion</t>
        </is>
      </c>
      <c r="D191" s="13" t="n">
        <v>62000</v>
      </c>
      <c r="E191" s="11">
        <f>IF(SUM(COUNTIFS('Conciliacion de compuestos'!$D$2:$D$13,"conciliado",'Conciliacion de compuestos'!$E$2:$E$13,"OK",'Conciliacion de compuestos'!$J$2:$J$13,A191),COUNTIFS('Conciliacion de compuestos'!$D$2:$D$13,"conciliado",'Conciliacion de compuestos'!$E$2:$E$13,"OK",'Conciliacion de compuestos'!$K$2:$K$13,A191),COUNTIFS('Conciliacion de compuestos'!$D$2:$D$13,"conciliado",'Conciliacion de compuestos'!$E$2:$E$13,"OK",'Conciliacion de compuestos'!$L$2:$L$13,A191))&gt;0,"conciliado en compuesto confirmado","disponible")</f>
        <v/>
      </c>
    </row>
    <row r="192">
      <c r="A192" s="11" t="n">
        <v>965</v>
      </c>
      <c r="B192" s="12" t="n">
        <v>46038</v>
      </c>
      <c r="C192" s="11" t="inlineStr">
        <is>
          <t>depositos electronicos masterca transaccion</t>
        </is>
      </c>
      <c r="D192" s="13" t="n">
        <v>26000</v>
      </c>
      <c r="E192" s="11">
        <f>IF(SUM(COUNTIFS('Conciliacion de compuestos'!$D$2:$D$13,"conciliado",'Conciliacion de compuestos'!$E$2:$E$13,"OK",'Conciliacion de compuestos'!$J$2:$J$13,A192),COUNTIFS('Conciliacion de compuestos'!$D$2:$D$13,"conciliado",'Conciliacion de compuestos'!$E$2:$E$13,"OK",'Conciliacion de compuestos'!$K$2:$K$13,A192),COUNTIFS('Conciliacion de compuestos'!$D$2:$D$13,"conciliado",'Conciliacion de compuestos'!$E$2:$E$13,"OK",'Conciliacion de compuestos'!$L$2:$L$13,A192))&gt;0,"conciliado en compuesto confirmado","disponible")</f>
        <v/>
      </c>
    </row>
    <row r="193">
      <c r="A193" s="11" t="n">
        <v>970</v>
      </c>
      <c r="B193" s="12" t="n">
        <v>46041</v>
      </c>
      <c r="C193" s="11" t="inlineStr">
        <is>
          <t>consignacion credibanco d e</t>
        </is>
      </c>
      <c r="D193" s="13" t="n">
        <v>141400</v>
      </c>
      <c r="E193" s="11">
        <f>IF(SUM(COUNTIFS('Conciliacion de compuestos'!$D$2:$D$13,"conciliado",'Conciliacion de compuestos'!$E$2:$E$13,"OK",'Conciliacion de compuestos'!$J$2:$J$13,A193),COUNTIFS('Conciliacion de compuestos'!$D$2:$D$13,"conciliado",'Conciliacion de compuestos'!$E$2:$E$13,"OK",'Conciliacion de compuestos'!$K$2:$K$13,A193),COUNTIFS('Conciliacion de compuestos'!$D$2:$D$13,"conciliado",'Conciliacion de compuestos'!$E$2:$E$13,"OK",'Conciliacion de compuestos'!$L$2:$L$13,A193))&gt;0,"conciliado en compuesto confirmado","disponible")</f>
        <v/>
      </c>
    </row>
    <row r="194">
      <c r="A194" s="11" t="n">
        <v>975</v>
      </c>
      <c r="B194" s="12" t="n">
        <v>46041</v>
      </c>
      <c r="C194" s="11" t="inlineStr">
        <is>
          <t>consignacion credibanco d e</t>
        </is>
      </c>
      <c r="D194" s="13" t="n">
        <v>109600</v>
      </c>
      <c r="E194" s="11">
        <f>IF(SUM(COUNTIFS('Conciliacion de compuestos'!$D$2:$D$13,"conciliado",'Conciliacion de compuestos'!$E$2:$E$13,"OK",'Conciliacion de compuestos'!$J$2:$J$13,A194),COUNTIFS('Conciliacion de compuestos'!$D$2:$D$13,"conciliado",'Conciliacion de compuestos'!$E$2:$E$13,"OK",'Conciliacion de compuestos'!$K$2:$K$13,A194),COUNTIFS('Conciliacion de compuestos'!$D$2:$D$13,"conciliado",'Conciliacion de compuestos'!$E$2:$E$13,"OK",'Conciliacion de compuestos'!$L$2:$L$13,A194))&gt;0,"conciliado en compuesto confirmado","disponible")</f>
        <v/>
      </c>
    </row>
    <row r="195">
      <c r="A195" s="11" t="n">
        <v>980</v>
      </c>
      <c r="B195" s="12" t="n">
        <v>46041</v>
      </c>
      <c r="C195" s="11" t="inlineStr">
        <is>
          <t>consignacion credibanco d e</t>
        </is>
      </c>
      <c r="D195" s="13" t="n">
        <v>52100</v>
      </c>
      <c r="E195" s="11">
        <f>IF(SUM(COUNTIFS('Conciliacion de compuestos'!$D$2:$D$13,"conciliado",'Conciliacion de compuestos'!$E$2:$E$13,"OK",'Conciliacion de compuestos'!$J$2:$J$13,A195),COUNTIFS('Conciliacion de compuestos'!$D$2:$D$13,"conciliado",'Conciliacion de compuestos'!$E$2:$E$13,"OK",'Conciliacion de compuestos'!$K$2:$K$13,A195),COUNTIFS('Conciliacion de compuestos'!$D$2:$D$13,"conciliado",'Conciliacion de compuestos'!$E$2:$E$13,"OK",'Conciliacion de compuestos'!$L$2:$L$13,A195))&gt;0,"conciliado en compuesto confirmado","disponible")</f>
        <v/>
      </c>
    </row>
    <row r="196">
      <c r="A196" s="11" t="n">
        <v>985</v>
      </c>
      <c r="B196" s="12" t="n">
        <v>46041</v>
      </c>
      <c r="C196" s="11" t="inlineStr">
        <is>
          <t>consignacion credibanco d e</t>
        </is>
      </c>
      <c r="D196" s="13" t="n">
        <v>75000</v>
      </c>
      <c r="E196" s="11">
        <f>IF(SUM(COUNTIFS('Conciliacion de compuestos'!$D$2:$D$13,"conciliado",'Conciliacion de compuestos'!$E$2:$E$13,"OK",'Conciliacion de compuestos'!$J$2:$J$13,A196),COUNTIFS('Conciliacion de compuestos'!$D$2:$D$13,"conciliado",'Conciliacion de compuestos'!$E$2:$E$13,"OK",'Conciliacion de compuestos'!$K$2:$K$13,A196),COUNTIFS('Conciliacion de compuestos'!$D$2:$D$13,"conciliado",'Conciliacion de compuestos'!$E$2:$E$13,"OK",'Conciliacion de compuestos'!$L$2:$L$13,A196))&gt;0,"conciliado en compuesto confirmado","disponible")</f>
        <v/>
      </c>
    </row>
    <row r="197">
      <c r="A197" s="11" t="n">
        <v>990</v>
      </c>
      <c r="B197" s="12" t="n">
        <v>46041</v>
      </c>
      <c r="C197" s="11" t="inlineStr">
        <is>
          <t>consignacion credibanco d e</t>
        </is>
      </c>
      <c r="D197" s="13" t="n">
        <v>244000</v>
      </c>
      <c r="E197" s="11">
        <f>IF(SUM(COUNTIFS('Conciliacion de compuestos'!$D$2:$D$13,"conciliado",'Conciliacion de compuestos'!$E$2:$E$13,"OK",'Conciliacion de compuestos'!$J$2:$J$13,A197),COUNTIFS('Conciliacion de compuestos'!$D$2:$D$13,"conciliado",'Conciliacion de compuestos'!$E$2:$E$13,"OK",'Conciliacion de compuestos'!$K$2:$K$13,A197),COUNTIFS('Conciliacion de compuestos'!$D$2:$D$13,"conciliado",'Conciliacion de compuestos'!$E$2:$E$13,"OK",'Conciliacion de compuestos'!$L$2:$L$13,A197))&gt;0,"conciliado en compuesto confirmado","disponible")</f>
        <v/>
      </c>
    </row>
    <row r="198">
      <c r="A198" s="11" t="n">
        <v>995</v>
      </c>
      <c r="B198" s="12" t="n">
        <v>46041</v>
      </c>
      <c r="C198" s="11" t="inlineStr">
        <is>
          <t>consignacion credibanco d e</t>
        </is>
      </c>
      <c r="D198" s="13" t="n">
        <v>48700</v>
      </c>
      <c r="E198" s="11">
        <f>IF(SUM(COUNTIFS('Conciliacion de compuestos'!$D$2:$D$13,"conciliado",'Conciliacion de compuestos'!$E$2:$E$13,"OK",'Conciliacion de compuestos'!$J$2:$J$13,A198),COUNTIFS('Conciliacion de compuestos'!$D$2:$D$13,"conciliado",'Conciliacion de compuestos'!$E$2:$E$13,"OK",'Conciliacion de compuestos'!$K$2:$K$13,A198),COUNTIFS('Conciliacion de compuestos'!$D$2:$D$13,"conciliado",'Conciliacion de compuestos'!$E$2:$E$13,"OK",'Conciliacion de compuestos'!$L$2:$L$13,A198))&gt;0,"conciliado en compuesto confirmado","disponible")</f>
        <v/>
      </c>
    </row>
    <row r="199">
      <c r="A199" s="11" t="n">
        <v>1000</v>
      </c>
      <c r="B199" s="12" t="n">
        <v>46041</v>
      </c>
      <c r="C199" s="11" t="inlineStr">
        <is>
          <t>consignacion credibanco d e</t>
        </is>
      </c>
      <c r="D199" s="13" t="n">
        <v>92800</v>
      </c>
      <c r="E199" s="11">
        <f>IF(SUM(COUNTIFS('Conciliacion de compuestos'!$D$2:$D$13,"conciliado",'Conciliacion de compuestos'!$E$2:$E$13,"OK",'Conciliacion de compuestos'!$J$2:$J$13,A199),COUNTIFS('Conciliacion de compuestos'!$D$2:$D$13,"conciliado",'Conciliacion de compuestos'!$E$2:$E$13,"OK",'Conciliacion de compuestos'!$K$2:$K$13,A199),COUNTIFS('Conciliacion de compuestos'!$D$2:$D$13,"conciliado",'Conciliacion de compuestos'!$E$2:$E$13,"OK",'Conciliacion de compuestos'!$L$2:$L$13,A199))&gt;0,"conciliado en compuesto confirmado","disponible")</f>
        <v/>
      </c>
    </row>
    <row r="200">
      <c r="A200" s="11" t="n">
        <v>1005</v>
      </c>
      <c r="B200" s="12" t="n">
        <v>46041</v>
      </c>
      <c r="C200" s="11" t="inlineStr">
        <is>
          <t>consignacion credibanco d e</t>
        </is>
      </c>
      <c r="D200" s="13" t="n">
        <v>70000</v>
      </c>
      <c r="E200" s="11">
        <f>IF(SUM(COUNTIFS('Conciliacion de compuestos'!$D$2:$D$13,"conciliado",'Conciliacion de compuestos'!$E$2:$E$13,"OK",'Conciliacion de compuestos'!$J$2:$J$13,A200),COUNTIFS('Conciliacion de compuestos'!$D$2:$D$13,"conciliado",'Conciliacion de compuestos'!$E$2:$E$13,"OK",'Conciliacion de compuestos'!$K$2:$K$13,A200),COUNTIFS('Conciliacion de compuestos'!$D$2:$D$13,"conciliado",'Conciliacion de compuestos'!$E$2:$E$13,"OK",'Conciliacion de compuestos'!$L$2:$L$13,A200))&gt;0,"conciliado en compuesto confirmado","disponible")</f>
        <v/>
      </c>
    </row>
    <row r="201">
      <c r="A201" s="11" t="n">
        <v>1010</v>
      </c>
      <c r="B201" s="12" t="n">
        <v>46041</v>
      </c>
      <c r="C201" s="11" t="inlineStr">
        <is>
          <t>consignacion credibanco d e</t>
        </is>
      </c>
      <c r="D201" s="13" t="n">
        <v>56608</v>
      </c>
      <c r="E201" s="11">
        <f>IF(SUM(COUNTIFS('Conciliacion de compuestos'!$D$2:$D$13,"conciliado",'Conciliacion de compuestos'!$E$2:$E$13,"OK",'Conciliacion de compuestos'!$J$2:$J$13,A201),COUNTIFS('Conciliacion de compuestos'!$D$2:$D$13,"conciliado",'Conciliacion de compuestos'!$E$2:$E$13,"OK",'Conciliacion de compuestos'!$K$2:$K$13,A201),COUNTIFS('Conciliacion de compuestos'!$D$2:$D$13,"conciliado",'Conciliacion de compuestos'!$E$2:$E$13,"OK",'Conciliacion de compuestos'!$L$2:$L$13,A201))&gt;0,"conciliado en compuesto confirmado","disponible")</f>
        <v/>
      </c>
    </row>
    <row r="202">
      <c r="A202" s="11" t="n">
        <v>1015</v>
      </c>
      <c r="B202" s="12" t="n">
        <v>46041</v>
      </c>
      <c r="C202" s="11" t="inlineStr">
        <is>
          <t>consignacion credibanco d e</t>
        </is>
      </c>
      <c r="D202" s="13" t="n">
        <v>181600</v>
      </c>
      <c r="E202" s="11">
        <f>IF(SUM(COUNTIFS('Conciliacion de compuestos'!$D$2:$D$13,"conciliado",'Conciliacion de compuestos'!$E$2:$E$13,"OK",'Conciliacion de compuestos'!$J$2:$J$13,A202),COUNTIFS('Conciliacion de compuestos'!$D$2:$D$13,"conciliado",'Conciliacion de compuestos'!$E$2:$E$13,"OK",'Conciliacion de compuestos'!$K$2:$K$13,A202),COUNTIFS('Conciliacion de compuestos'!$D$2:$D$13,"conciliado",'Conciliacion de compuestos'!$E$2:$E$13,"OK",'Conciliacion de compuestos'!$L$2:$L$13,A202))&gt;0,"conciliado en compuesto confirmado","disponible")</f>
        <v/>
      </c>
    </row>
    <row r="203">
      <c r="A203" s="11" t="n">
        <v>1020</v>
      </c>
      <c r="B203" s="12" t="n">
        <v>46041</v>
      </c>
      <c r="C203" s="11" t="inlineStr">
        <is>
          <t>consignacion credibanco d e</t>
        </is>
      </c>
      <c r="D203" s="13" t="n">
        <v>325400</v>
      </c>
      <c r="E203" s="11">
        <f>IF(SUM(COUNTIFS('Conciliacion de compuestos'!$D$2:$D$13,"conciliado",'Conciliacion de compuestos'!$E$2:$E$13,"OK",'Conciliacion de compuestos'!$J$2:$J$13,A203),COUNTIFS('Conciliacion de compuestos'!$D$2:$D$13,"conciliado",'Conciliacion de compuestos'!$E$2:$E$13,"OK",'Conciliacion de compuestos'!$K$2:$K$13,A203),COUNTIFS('Conciliacion de compuestos'!$D$2:$D$13,"conciliado",'Conciliacion de compuestos'!$E$2:$E$13,"OK",'Conciliacion de compuestos'!$L$2:$L$13,A203))&gt;0,"conciliado en compuesto confirmado","disponible")</f>
        <v/>
      </c>
    </row>
    <row r="204">
      <c r="A204" s="11" t="n">
        <v>1025</v>
      </c>
      <c r="B204" s="12" t="n">
        <v>46041</v>
      </c>
      <c r="C204" s="11" t="inlineStr">
        <is>
          <t>consignacion credibanco d e</t>
        </is>
      </c>
      <c r="D204" s="13" t="n">
        <v>40000</v>
      </c>
      <c r="E204" s="11">
        <f>IF(SUM(COUNTIFS('Conciliacion de compuestos'!$D$2:$D$13,"conciliado",'Conciliacion de compuestos'!$E$2:$E$13,"OK",'Conciliacion de compuestos'!$J$2:$J$13,A204),COUNTIFS('Conciliacion de compuestos'!$D$2:$D$13,"conciliado",'Conciliacion de compuestos'!$E$2:$E$13,"OK",'Conciliacion de compuestos'!$K$2:$K$13,A204),COUNTIFS('Conciliacion de compuestos'!$D$2:$D$13,"conciliado",'Conciliacion de compuestos'!$E$2:$E$13,"OK",'Conciliacion de compuestos'!$L$2:$L$13,A204))&gt;0,"conciliado en compuesto confirmado","disponible")</f>
        <v/>
      </c>
    </row>
    <row r="205">
      <c r="A205" s="11" t="n">
        <v>1030</v>
      </c>
      <c r="B205" s="12" t="n">
        <v>46041</v>
      </c>
      <c r="C205" s="11" t="inlineStr">
        <is>
          <t>consignacion credibanco d e</t>
        </is>
      </c>
      <c r="D205" s="13" t="n">
        <v>119200</v>
      </c>
      <c r="E205" s="11">
        <f>IF(SUM(COUNTIFS('Conciliacion de compuestos'!$D$2:$D$13,"conciliado",'Conciliacion de compuestos'!$E$2:$E$13,"OK",'Conciliacion de compuestos'!$J$2:$J$13,A205),COUNTIFS('Conciliacion de compuestos'!$D$2:$D$13,"conciliado",'Conciliacion de compuestos'!$E$2:$E$13,"OK",'Conciliacion de compuestos'!$K$2:$K$13,A205),COUNTIFS('Conciliacion de compuestos'!$D$2:$D$13,"conciliado",'Conciliacion de compuestos'!$E$2:$E$13,"OK",'Conciliacion de compuestos'!$L$2:$L$13,A205))&gt;0,"conciliado en compuesto confirmado","disponible")</f>
        <v/>
      </c>
    </row>
    <row r="206">
      <c r="A206" s="11" t="n">
        <v>1035</v>
      </c>
      <c r="B206" s="12" t="n">
        <v>46041</v>
      </c>
      <c r="C206" s="11" t="inlineStr">
        <is>
          <t>consignacion credibanco d e</t>
        </is>
      </c>
      <c r="D206" s="13" t="n">
        <v>52100</v>
      </c>
      <c r="E206" s="11">
        <f>IF(SUM(COUNTIFS('Conciliacion de compuestos'!$D$2:$D$13,"conciliado",'Conciliacion de compuestos'!$E$2:$E$13,"OK",'Conciliacion de compuestos'!$J$2:$J$13,A206),COUNTIFS('Conciliacion de compuestos'!$D$2:$D$13,"conciliado",'Conciliacion de compuestos'!$E$2:$E$13,"OK",'Conciliacion de compuestos'!$K$2:$K$13,A206),COUNTIFS('Conciliacion de compuestos'!$D$2:$D$13,"conciliado",'Conciliacion de compuestos'!$E$2:$E$13,"OK",'Conciliacion de compuestos'!$L$2:$L$13,A206))&gt;0,"conciliado en compuesto confirmado","disponible")</f>
        <v/>
      </c>
    </row>
    <row r="207">
      <c r="A207" s="11" t="n">
        <v>1040</v>
      </c>
      <c r="B207" s="12" t="n">
        <v>46041</v>
      </c>
      <c r="C207" s="11" t="inlineStr">
        <is>
          <t>consignacion credibanco d e</t>
        </is>
      </c>
      <c r="D207" s="13" t="n">
        <v>37700</v>
      </c>
      <c r="E207" s="11">
        <f>IF(SUM(COUNTIFS('Conciliacion de compuestos'!$D$2:$D$13,"conciliado",'Conciliacion de compuestos'!$E$2:$E$13,"OK",'Conciliacion de compuestos'!$J$2:$J$13,A207),COUNTIFS('Conciliacion de compuestos'!$D$2:$D$13,"conciliado",'Conciliacion de compuestos'!$E$2:$E$13,"OK",'Conciliacion de compuestos'!$K$2:$K$13,A207),COUNTIFS('Conciliacion de compuestos'!$D$2:$D$13,"conciliado",'Conciliacion de compuestos'!$E$2:$E$13,"OK",'Conciliacion de compuestos'!$L$2:$L$13,A207))&gt;0,"conciliado en compuesto confirmado","disponible")</f>
        <v/>
      </c>
    </row>
    <row r="208">
      <c r="A208" s="11" t="n">
        <v>1045</v>
      </c>
      <c r="B208" s="12" t="n">
        <v>46041</v>
      </c>
      <c r="C208" s="11" t="inlineStr">
        <is>
          <t>consignacion credibanco d e</t>
        </is>
      </c>
      <c r="D208" s="13" t="n">
        <v>22400</v>
      </c>
      <c r="E208" s="11">
        <f>IF(SUM(COUNTIFS('Conciliacion de compuestos'!$D$2:$D$13,"conciliado",'Conciliacion de compuestos'!$E$2:$E$13,"OK",'Conciliacion de compuestos'!$J$2:$J$13,A208),COUNTIFS('Conciliacion de compuestos'!$D$2:$D$13,"conciliado",'Conciliacion de compuestos'!$E$2:$E$13,"OK",'Conciliacion de compuestos'!$K$2:$K$13,A208),COUNTIFS('Conciliacion de compuestos'!$D$2:$D$13,"conciliado",'Conciliacion de compuestos'!$E$2:$E$13,"OK",'Conciliacion de compuestos'!$L$2:$L$13,A208))&gt;0,"conciliado en compuesto confirmado","disponible")</f>
        <v/>
      </c>
    </row>
    <row r="209">
      <c r="A209" s="11" t="n">
        <v>1050</v>
      </c>
      <c r="B209" s="12" t="n">
        <v>46041</v>
      </c>
      <c r="C209" s="11" t="inlineStr">
        <is>
          <t>consignacion credibanco d e</t>
        </is>
      </c>
      <c r="D209" s="13" t="n">
        <v>42900</v>
      </c>
      <c r="E209" s="11">
        <f>IF(SUM(COUNTIFS('Conciliacion de compuestos'!$D$2:$D$13,"conciliado",'Conciliacion de compuestos'!$E$2:$E$13,"OK",'Conciliacion de compuestos'!$J$2:$J$13,A209),COUNTIFS('Conciliacion de compuestos'!$D$2:$D$13,"conciliado",'Conciliacion de compuestos'!$E$2:$E$13,"OK",'Conciliacion de compuestos'!$K$2:$K$13,A209),COUNTIFS('Conciliacion de compuestos'!$D$2:$D$13,"conciliado",'Conciliacion de compuestos'!$E$2:$E$13,"OK",'Conciliacion de compuestos'!$L$2:$L$13,A209))&gt;0,"conciliado en compuesto confirmado","disponible")</f>
        <v/>
      </c>
    </row>
    <row r="210">
      <c r="A210" s="11" t="n">
        <v>1055</v>
      </c>
      <c r="B210" s="12" t="n">
        <v>46041</v>
      </c>
      <c r="C210" s="11" t="inlineStr">
        <is>
          <t>consignacion credibanco d e</t>
        </is>
      </c>
      <c r="D210" s="13" t="n">
        <v>40000</v>
      </c>
      <c r="E210" s="11">
        <f>IF(SUM(COUNTIFS('Conciliacion de compuestos'!$D$2:$D$13,"conciliado",'Conciliacion de compuestos'!$E$2:$E$13,"OK",'Conciliacion de compuestos'!$J$2:$J$13,A210),COUNTIFS('Conciliacion de compuestos'!$D$2:$D$13,"conciliado",'Conciliacion de compuestos'!$E$2:$E$13,"OK",'Conciliacion de compuestos'!$K$2:$K$13,A210),COUNTIFS('Conciliacion de compuestos'!$D$2:$D$13,"conciliado",'Conciliacion de compuestos'!$E$2:$E$13,"OK",'Conciliacion de compuestos'!$L$2:$L$13,A210))&gt;0,"conciliado en compuesto confirmado","disponible")</f>
        <v/>
      </c>
    </row>
    <row r="211">
      <c r="A211" s="11" t="n">
        <v>1060</v>
      </c>
      <c r="B211" s="12" t="n">
        <v>46041</v>
      </c>
      <c r="C211" s="11" t="inlineStr">
        <is>
          <t>consignacion credibanco d e</t>
        </is>
      </c>
      <c r="D211" s="13" t="n">
        <v>26500</v>
      </c>
      <c r="E211" s="11">
        <f>IF(SUM(COUNTIFS('Conciliacion de compuestos'!$D$2:$D$13,"conciliado",'Conciliacion de compuestos'!$E$2:$E$13,"OK",'Conciliacion de compuestos'!$J$2:$J$13,A211),COUNTIFS('Conciliacion de compuestos'!$D$2:$D$13,"conciliado",'Conciliacion de compuestos'!$E$2:$E$13,"OK",'Conciliacion de compuestos'!$K$2:$K$13,A211),COUNTIFS('Conciliacion de compuestos'!$D$2:$D$13,"conciliado",'Conciliacion de compuestos'!$E$2:$E$13,"OK",'Conciliacion de compuestos'!$L$2:$L$13,A211))&gt;0,"conciliado en compuesto confirmado","disponible")</f>
        <v/>
      </c>
    </row>
    <row r="212">
      <c r="A212" s="11" t="n">
        <v>1065</v>
      </c>
      <c r="B212" s="12" t="n">
        <v>46041</v>
      </c>
      <c r="C212" s="11" t="inlineStr">
        <is>
          <t>consignacion credibanco d e</t>
        </is>
      </c>
      <c r="D212" s="13" t="n">
        <v>33000</v>
      </c>
      <c r="E212" s="11">
        <f>IF(SUM(COUNTIFS('Conciliacion de compuestos'!$D$2:$D$13,"conciliado",'Conciliacion de compuestos'!$E$2:$E$13,"OK",'Conciliacion de compuestos'!$J$2:$J$13,A212),COUNTIFS('Conciliacion de compuestos'!$D$2:$D$13,"conciliado",'Conciliacion de compuestos'!$E$2:$E$13,"OK",'Conciliacion de compuestos'!$K$2:$K$13,A212),COUNTIFS('Conciliacion de compuestos'!$D$2:$D$13,"conciliado",'Conciliacion de compuestos'!$E$2:$E$13,"OK",'Conciliacion de compuestos'!$L$2:$L$13,A212))&gt;0,"conciliado en compuesto confirmado","disponible")</f>
        <v/>
      </c>
    </row>
    <row r="213">
      <c r="A213" s="11" t="n">
        <v>1070</v>
      </c>
      <c r="B213" s="12" t="n">
        <v>46041</v>
      </c>
      <c r="C213" s="11" t="inlineStr">
        <is>
          <t>depositos electronicos masterca transaccion</t>
        </is>
      </c>
      <c r="D213" s="13" t="n">
        <v>99200</v>
      </c>
      <c r="E213" s="11">
        <f>IF(SUM(COUNTIFS('Conciliacion de compuestos'!$D$2:$D$13,"conciliado",'Conciliacion de compuestos'!$E$2:$E$13,"OK",'Conciliacion de compuestos'!$J$2:$J$13,A213),COUNTIFS('Conciliacion de compuestos'!$D$2:$D$13,"conciliado",'Conciliacion de compuestos'!$E$2:$E$13,"OK",'Conciliacion de compuestos'!$K$2:$K$13,A213),COUNTIFS('Conciliacion de compuestos'!$D$2:$D$13,"conciliado",'Conciliacion de compuestos'!$E$2:$E$13,"OK",'Conciliacion de compuestos'!$L$2:$L$13,A213))&gt;0,"conciliado en compuesto confirmado","disponible")</f>
        <v/>
      </c>
    </row>
    <row r="214">
      <c r="A214" s="11" t="n">
        <v>1075</v>
      </c>
      <c r="B214" s="12" t="n">
        <v>46041</v>
      </c>
      <c r="C214" s="11" t="inlineStr">
        <is>
          <t>depositos electronicos masterca transaccion</t>
        </is>
      </c>
      <c r="D214" s="13" t="n">
        <v>101600</v>
      </c>
      <c r="E214" s="11">
        <f>IF(SUM(COUNTIFS('Conciliacion de compuestos'!$D$2:$D$13,"conciliado",'Conciliacion de compuestos'!$E$2:$E$13,"OK",'Conciliacion de compuestos'!$J$2:$J$13,A214),COUNTIFS('Conciliacion de compuestos'!$D$2:$D$13,"conciliado",'Conciliacion de compuestos'!$E$2:$E$13,"OK",'Conciliacion de compuestos'!$K$2:$K$13,A214),COUNTIFS('Conciliacion de compuestos'!$D$2:$D$13,"conciliado",'Conciliacion de compuestos'!$E$2:$E$13,"OK",'Conciliacion de compuestos'!$L$2:$L$13,A214))&gt;0,"conciliado en compuesto confirmado","disponible")</f>
        <v/>
      </c>
    </row>
    <row r="215">
      <c r="A215" s="11" t="n">
        <v>1080</v>
      </c>
      <c r="B215" s="12" t="n">
        <v>46041</v>
      </c>
      <c r="C215" s="11" t="inlineStr">
        <is>
          <t>depositos electronicos masterca transaccion</t>
        </is>
      </c>
      <c r="D215" s="13" t="n">
        <v>150800</v>
      </c>
      <c r="E215" s="11">
        <f>IF(SUM(COUNTIFS('Conciliacion de compuestos'!$D$2:$D$13,"conciliado",'Conciliacion de compuestos'!$E$2:$E$13,"OK",'Conciliacion de compuestos'!$J$2:$J$13,A215),COUNTIFS('Conciliacion de compuestos'!$D$2:$D$13,"conciliado",'Conciliacion de compuestos'!$E$2:$E$13,"OK",'Conciliacion de compuestos'!$K$2:$K$13,A215),COUNTIFS('Conciliacion de compuestos'!$D$2:$D$13,"conciliado",'Conciliacion de compuestos'!$E$2:$E$13,"OK",'Conciliacion de compuestos'!$L$2:$L$13,A215))&gt;0,"conciliado en compuesto confirmado","disponible")</f>
        <v/>
      </c>
    </row>
    <row r="216">
      <c r="A216" s="11" t="n">
        <v>1085</v>
      </c>
      <c r="B216" s="12" t="n">
        <v>46041</v>
      </c>
      <c r="C216" s="11" t="inlineStr">
        <is>
          <t>depositos electronicos masterca transaccion</t>
        </is>
      </c>
      <c r="D216" s="13" t="n">
        <v>25000</v>
      </c>
      <c r="E216" s="11">
        <f>IF(SUM(COUNTIFS('Conciliacion de compuestos'!$D$2:$D$13,"conciliado",'Conciliacion de compuestos'!$E$2:$E$13,"OK",'Conciliacion de compuestos'!$J$2:$J$13,A216),COUNTIFS('Conciliacion de compuestos'!$D$2:$D$13,"conciliado",'Conciliacion de compuestos'!$E$2:$E$13,"OK",'Conciliacion de compuestos'!$K$2:$K$13,A216),COUNTIFS('Conciliacion de compuestos'!$D$2:$D$13,"conciliado",'Conciliacion de compuestos'!$E$2:$E$13,"OK",'Conciliacion de compuestos'!$L$2:$L$13,A216))&gt;0,"conciliado en compuesto confirmado","disponible")</f>
        <v/>
      </c>
    </row>
    <row r="217">
      <c r="A217" s="11" t="n">
        <v>1090</v>
      </c>
      <c r="B217" s="12" t="n">
        <v>46041</v>
      </c>
      <c r="C217" s="11" t="inlineStr">
        <is>
          <t>depositos electronicos masterca transaccion</t>
        </is>
      </c>
      <c r="D217" s="13" t="n">
        <v>204800</v>
      </c>
      <c r="E217" s="11">
        <f>IF(SUM(COUNTIFS('Conciliacion de compuestos'!$D$2:$D$13,"conciliado",'Conciliacion de compuestos'!$E$2:$E$13,"OK",'Conciliacion de compuestos'!$J$2:$J$13,A217),COUNTIFS('Conciliacion de compuestos'!$D$2:$D$13,"conciliado",'Conciliacion de compuestos'!$E$2:$E$13,"OK",'Conciliacion de compuestos'!$K$2:$K$13,A217),COUNTIFS('Conciliacion de compuestos'!$D$2:$D$13,"conciliado",'Conciliacion de compuestos'!$E$2:$E$13,"OK",'Conciliacion de compuestos'!$L$2:$L$13,A217))&gt;0,"conciliado en compuesto confirmado","disponible")</f>
        <v/>
      </c>
    </row>
    <row r="218">
      <c r="A218" s="11" t="n">
        <v>1095</v>
      </c>
      <c r="B218" s="12" t="n">
        <v>46042</v>
      </c>
      <c r="C218" s="11" t="inlineStr">
        <is>
          <t>depositos electronicos masterca transaccion</t>
        </is>
      </c>
      <c r="D218" s="13" t="n">
        <v>26800</v>
      </c>
      <c r="E218" s="11">
        <f>IF(SUM(COUNTIFS('Conciliacion de compuestos'!$D$2:$D$13,"conciliado",'Conciliacion de compuestos'!$E$2:$E$13,"OK",'Conciliacion de compuestos'!$J$2:$J$13,A218),COUNTIFS('Conciliacion de compuestos'!$D$2:$D$13,"conciliado",'Conciliacion de compuestos'!$E$2:$E$13,"OK",'Conciliacion de compuestos'!$K$2:$K$13,A218),COUNTIFS('Conciliacion de compuestos'!$D$2:$D$13,"conciliado",'Conciliacion de compuestos'!$E$2:$E$13,"OK",'Conciliacion de compuestos'!$L$2:$L$13,A218))&gt;0,"conciliado en compuesto confirmado","disponible")</f>
        <v/>
      </c>
    </row>
    <row r="219">
      <c r="A219" s="11" t="n">
        <v>1100</v>
      </c>
      <c r="B219" s="12" t="n">
        <v>46042</v>
      </c>
      <c r="C219" s="11" t="inlineStr">
        <is>
          <t>consignacion credibanco d e</t>
        </is>
      </c>
      <c r="D219" s="13" t="n">
        <v>21100</v>
      </c>
      <c r="E219" s="11">
        <f>IF(SUM(COUNTIFS('Conciliacion de compuestos'!$D$2:$D$13,"conciliado",'Conciliacion de compuestos'!$E$2:$E$13,"OK",'Conciliacion de compuestos'!$J$2:$J$13,A219),COUNTIFS('Conciliacion de compuestos'!$D$2:$D$13,"conciliado",'Conciliacion de compuestos'!$E$2:$E$13,"OK",'Conciliacion de compuestos'!$K$2:$K$13,A219),COUNTIFS('Conciliacion de compuestos'!$D$2:$D$13,"conciliado",'Conciliacion de compuestos'!$E$2:$E$13,"OK",'Conciliacion de compuestos'!$L$2:$L$13,A219))&gt;0,"conciliado en compuesto confirmado","disponible")</f>
        <v/>
      </c>
    </row>
    <row r="220">
      <c r="A220" s="11" t="n">
        <v>1105</v>
      </c>
      <c r="B220" s="12" t="n">
        <v>46042</v>
      </c>
      <c r="C220" s="11" t="inlineStr">
        <is>
          <t>consignacion credibanco d e</t>
        </is>
      </c>
      <c r="D220" s="13" t="n">
        <v>149800</v>
      </c>
      <c r="E220" s="11">
        <f>IF(SUM(COUNTIFS('Conciliacion de compuestos'!$D$2:$D$13,"conciliado",'Conciliacion de compuestos'!$E$2:$E$13,"OK",'Conciliacion de compuestos'!$J$2:$J$13,A220),COUNTIFS('Conciliacion de compuestos'!$D$2:$D$13,"conciliado",'Conciliacion de compuestos'!$E$2:$E$13,"OK",'Conciliacion de compuestos'!$K$2:$K$13,A220),COUNTIFS('Conciliacion de compuestos'!$D$2:$D$13,"conciliado",'Conciliacion de compuestos'!$E$2:$E$13,"OK",'Conciliacion de compuestos'!$L$2:$L$13,A220))&gt;0,"conciliado en compuesto confirmado","disponible")</f>
        <v/>
      </c>
    </row>
    <row r="221">
      <c r="A221" s="11" t="n">
        <v>1110</v>
      </c>
      <c r="B221" s="12" t="n">
        <v>46042</v>
      </c>
      <c r="C221" s="11" t="inlineStr">
        <is>
          <t>consignacion credibanco d e</t>
        </is>
      </c>
      <c r="D221" s="13" t="n">
        <v>47400</v>
      </c>
      <c r="E221" s="11">
        <f>IF(SUM(COUNTIFS('Conciliacion de compuestos'!$D$2:$D$13,"conciliado",'Conciliacion de compuestos'!$E$2:$E$13,"OK",'Conciliacion de compuestos'!$J$2:$J$13,A221),COUNTIFS('Conciliacion de compuestos'!$D$2:$D$13,"conciliado",'Conciliacion de compuestos'!$E$2:$E$13,"OK",'Conciliacion de compuestos'!$K$2:$K$13,A221),COUNTIFS('Conciliacion de compuestos'!$D$2:$D$13,"conciliado",'Conciliacion de compuestos'!$E$2:$E$13,"OK",'Conciliacion de compuestos'!$L$2:$L$13,A221))&gt;0,"conciliado en compuesto confirmado","disponible")</f>
        <v/>
      </c>
    </row>
    <row r="222">
      <c r="A222" s="11" t="n">
        <v>1115</v>
      </c>
      <c r="B222" s="12" t="n">
        <v>46042</v>
      </c>
      <c r="C222" s="11" t="inlineStr">
        <is>
          <t>consignacion credibanco d e</t>
        </is>
      </c>
      <c r="D222" s="13" t="n">
        <v>84700</v>
      </c>
      <c r="E222" s="11">
        <f>IF(SUM(COUNTIFS('Conciliacion de compuestos'!$D$2:$D$13,"conciliado",'Conciliacion de compuestos'!$E$2:$E$13,"OK",'Conciliacion de compuestos'!$J$2:$J$13,A222),COUNTIFS('Conciliacion de compuestos'!$D$2:$D$13,"conciliado",'Conciliacion de compuestos'!$E$2:$E$13,"OK",'Conciliacion de compuestos'!$K$2:$K$13,A222),COUNTIFS('Conciliacion de compuestos'!$D$2:$D$13,"conciliado",'Conciliacion de compuestos'!$E$2:$E$13,"OK",'Conciliacion de compuestos'!$L$2:$L$13,A222))&gt;0,"conciliado en compuesto confirmado","disponible")</f>
        <v/>
      </c>
    </row>
    <row r="223">
      <c r="A223" s="11" t="n">
        <v>1120</v>
      </c>
      <c r="B223" s="12" t="n">
        <v>46042</v>
      </c>
      <c r="C223" s="11" t="inlineStr">
        <is>
          <t>consignacion credibanco d e</t>
        </is>
      </c>
      <c r="D223" s="13" t="n">
        <v>166800</v>
      </c>
      <c r="E223" s="11">
        <f>IF(SUM(COUNTIFS('Conciliacion de compuestos'!$D$2:$D$13,"conciliado",'Conciliacion de compuestos'!$E$2:$E$13,"OK",'Conciliacion de compuestos'!$J$2:$J$13,A223),COUNTIFS('Conciliacion de compuestos'!$D$2:$D$13,"conciliado",'Conciliacion de compuestos'!$E$2:$E$13,"OK",'Conciliacion de compuestos'!$K$2:$K$13,A223),COUNTIFS('Conciliacion de compuestos'!$D$2:$D$13,"conciliado",'Conciliacion de compuestos'!$E$2:$E$13,"OK",'Conciliacion de compuestos'!$L$2:$L$13,A223))&gt;0,"conciliado en compuesto confirmado","disponible")</f>
        <v/>
      </c>
    </row>
    <row r="224">
      <c r="A224" s="11" t="n">
        <v>1125</v>
      </c>
      <c r="B224" s="12" t="n">
        <v>46042</v>
      </c>
      <c r="C224" s="11" t="inlineStr">
        <is>
          <t>consignacion credibanco d e</t>
        </is>
      </c>
      <c r="D224" s="13" t="n">
        <v>46000</v>
      </c>
      <c r="E224" s="11">
        <f>IF(SUM(COUNTIFS('Conciliacion de compuestos'!$D$2:$D$13,"conciliado",'Conciliacion de compuestos'!$E$2:$E$13,"OK",'Conciliacion de compuestos'!$J$2:$J$13,A224),COUNTIFS('Conciliacion de compuestos'!$D$2:$D$13,"conciliado",'Conciliacion de compuestos'!$E$2:$E$13,"OK",'Conciliacion de compuestos'!$K$2:$K$13,A224),COUNTIFS('Conciliacion de compuestos'!$D$2:$D$13,"conciliado",'Conciliacion de compuestos'!$E$2:$E$13,"OK",'Conciliacion de compuestos'!$L$2:$L$13,A224))&gt;0,"conciliado en compuesto confirmado","disponible")</f>
        <v/>
      </c>
    </row>
    <row r="225">
      <c r="A225" s="11" t="n">
        <v>1130</v>
      </c>
      <c r="B225" s="12" t="n">
        <v>46042</v>
      </c>
      <c r="C225" s="11" t="inlineStr">
        <is>
          <t>consignacion credibanco d e</t>
        </is>
      </c>
      <c r="D225" s="13" t="n">
        <v>216000</v>
      </c>
      <c r="E225" s="11">
        <f>IF(SUM(COUNTIFS('Conciliacion de compuestos'!$D$2:$D$13,"conciliado",'Conciliacion de compuestos'!$E$2:$E$13,"OK",'Conciliacion de compuestos'!$J$2:$J$13,A225),COUNTIFS('Conciliacion de compuestos'!$D$2:$D$13,"conciliado",'Conciliacion de compuestos'!$E$2:$E$13,"OK",'Conciliacion de compuestos'!$K$2:$K$13,A225),COUNTIFS('Conciliacion de compuestos'!$D$2:$D$13,"conciliado",'Conciliacion de compuestos'!$E$2:$E$13,"OK",'Conciliacion de compuestos'!$L$2:$L$13,A225))&gt;0,"conciliado en compuesto confirmado","disponible")</f>
        <v/>
      </c>
    </row>
    <row r="226">
      <c r="A226" s="11" t="n">
        <v>1135</v>
      </c>
      <c r="B226" s="12" t="n">
        <v>46042</v>
      </c>
      <c r="C226" s="11" t="inlineStr">
        <is>
          <t>consignacion credibanco d e</t>
        </is>
      </c>
      <c r="D226" s="13" t="n">
        <v>260900</v>
      </c>
      <c r="E226" s="11">
        <f>IF(SUM(COUNTIFS('Conciliacion de compuestos'!$D$2:$D$13,"conciliado",'Conciliacion de compuestos'!$E$2:$E$13,"OK",'Conciliacion de compuestos'!$J$2:$J$13,A226),COUNTIFS('Conciliacion de compuestos'!$D$2:$D$13,"conciliado",'Conciliacion de compuestos'!$E$2:$E$13,"OK",'Conciliacion de compuestos'!$K$2:$K$13,A226),COUNTIFS('Conciliacion de compuestos'!$D$2:$D$13,"conciliado",'Conciliacion de compuestos'!$E$2:$E$13,"OK",'Conciliacion de compuestos'!$L$2:$L$13,A226))&gt;0,"conciliado en compuesto confirmado","disponible")</f>
        <v/>
      </c>
    </row>
    <row r="227">
      <c r="A227" s="11" t="n">
        <v>1140</v>
      </c>
      <c r="B227" s="12" t="n">
        <v>46042</v>
      </c>
      <c r="C227" s="11" t="inlineStr">
        <is>
          <t>consignacion credibanco d e</t>
        </is>
      </c>
      <c r="D227" s="13" t="n">
        <v>36000</v>
      </c>
      <c r="E227" s="11">
        <f>IF(SUM(COUNTIFS('Conciliacion de compuestos'!$D$2:$D$13,"conciliado",'Conciliacion de compuestos'!$E$2:$E$13,"OK",'Conciliacion de compuestos'!$J$2:$J$13,A227),COUNTIFS('Conciliacion de compuestos'!$D$2:$D$13,"conciliado",'Conciliacion de compuestos'!$E$2:$E$13,"OK",'Conciliacion de compuestos'!$K$2:$K$13,A227),COUNTIFS('Conciliacion de compuestos'!$D$2:$D$13,"conciliado",'Conciliacion de compuestos'!$E$2:$E$13,"OK",'Conciliacion de compuestos'!$L$2:$L$13,A227))&gt;0,"conciliado en compuesto confirmado","disponible")</f>
        <v/>
      </c>
    </row>
    <row r="228">
      <c r="A228" s="11" t="n">
        <v>1145</v>
      </c>
      <c r="B228" s="12" t="n">
        <v>46042</v>
      </c>
      <c r="C228" s="11" t="inlineStr">
        <is>
          <t>consignacion credibanco d e</t>
        </is>
      </c>
      <c r="D228" s="13" t="n">
        <v>106000</v>
      </c>
      <c r="E228" s="11">
        <f>IF(SUM(COUNTIFS('Conciliacion de compuestos'!$D$2:$D$13,"conciliado",'Conciliacion de compuestos'!$E$2:$E$13,"OK",'Conciliacion de compuestos'!$J$2:$J$13,A228),COUNTIFS('Conciliacion de compuestos'!$D$2:$D$13,"conciliado",'Conciliacion de compuestos'!$E$2:$E$13,"OK",'Conciliacion de compuestos'!$K$2:$K$13,A228),COUNTIFS('Conciliacion de compuestos'!$D$2:$D$13,"conciliado",'Conciliacion de compuestos'!$E$2:$E$13,"OK",'Conciliacion de compuestos'!$L$2:$L$13,A228))&gt;0,"conciliado en compuesto confirmado","disponible")</f>
        <v/>
      </c>
    </row>
    <row r="229">
      <c r="A229" s="11" t="n">
        <v>1150</v>
      </c>
      <c r="B229" s="12" t="n">
        <v>46042</v>
      </c>
      <c r="C229" s="11" t="inlineStr">
        <is>
          <t>consignacion credibanco d e</t>
        </is>
      </c>
      <c r="D229" s="13" t="n">
        <v>101800</v>
      </c>
      <c r="E229" s="11">
        <f>IF(SUM(COUNTIFS('Conciliacion de compuestos'!$D$2:$D$13,"conciliado",'Conciliacion de compuestos'!$E$2:$E$13,"OK",'Conciliacion de compuestos'!$J$2:$J$13,A229),COUNTIFS('Conciliacion de compuestos'!$D$2:$D$13,"conciliado",'Conciliacion de compuestos'!$E$2:$E$13,"OK",'Conciliacion de compuestos'!$K$2:$K$13,A229),COUNTIFS('Conciliacion de compuestos'!$D$2:$D$13,"conciliado",'Conciliacion de compuestos'!$E$2:$E$13,"OK",'Conciliacion de compuestos'!$L$2:$L$13,A229))&gt;0,"conciliado en compuesto confirmado","disponible")</f>
        <v/>
      </c>
    </row>
    <row r="230">
      <c r="A230" s="11" t="n">
        <v>1155</v>
      </c>
      <c r="B230" s="12" t="n">
        <v>46042</v>
      </c>
      <c r="C230" s="11" t="inlineStr">
        <is>
          <t>consignacion credibanco d e</t>
        </is>
      </c>
      <c r="D230" s="13" t="n">
        <v>39400</v>
      </c>
      <c r="E230" s="11">
        <f>IF(SUM(COUNTIFS('Conciliacion de compuestos'!$D$2:$D$13,"conciliado",'Conciliacion de compuestos'!$E$2:$E$13,"OK",'Conciliacion de compuestos'!$J$2:$J$13,A230),COUNTIFS('Conciliacion de compuestos'!$D$2:$D$13,"conciliado",'Conciliacion de compuestos'!$E$2:$E$13,"OK",'Conciliacion de compuestos'!$K$2:$K$13,A230),COUNTIFS('Conciliacion de compuestos'!$D$2:$D$13,"conciliado",'Conciliacion de compuestos'!$E$2:$E$13,"OK",'Conciliacion de compuestos'!$L$2:$L$13,A230))&gt;0,"conciliado en compuesto confirmado","disponible")</f>
        <v/>
      </c>
    </row>
    <row r="231">
      <c r="A231" s="11" t="n">
        <v>1160</v>
      </c>
      <c r="B231" s="12" t="n">
        <v>46042</v>
      </c>
      <c r="C231" s="11" t="inlineStr">
        <is>
          <t>consignacion credibanco d e</t>
        </is>
      </c>
      <c r="D231" s="13" t="n">
        <v>49700</v>
      </c>
      <c r="E231" s="11">
        <f>IF(SUM(COUNTIFS('Conciliacion de compuestos'!$D$2:$D$13,"conciliado",'Conciliacion de compuestos'!$E$2:$E$13,"OK",'Conciliacion de compuestos'!$J$2:$J$13,A231),COUNTIFS('Conciliacion de compuestos'!$D$2:$D$13,"conciliado",'Conciliacion de compuestos'!$E$2:$E$13,"OK",'Conciliacion de compuestos'!$K$2:$K$13,A231),COUNTIFS('Conciliacion de compuestos'!$D$2:$D$13,"conciliado",'Conciliacion de compuestos'!$E$2:$E$13,"OK",'Conciliacion de compuestos'!$L$2:$L$13,A231))&gt;0,"conciliado en compuesto confirmado","disponible")</f>
        <v/>
      </c>
    </row>
    <row r="232">
      <c r="A232" s="11" t="n">
        <v>1167</v>
      </c>
      <c r="B232" s="12" t="n">
        <v>46043</v>
      </c>
      <c r="C232" s="11" t="inlineStr">
        <is>
          <t>consignacion credibanco d e</t>
        </is>
      </c>
      <c r="D232" s="13" t="n">
        <v>33800</v>
      </c>
      <c r="E232" s="11">
        <f>IF(SUM(COUNTIFS('Conciliacion de compuestos'!$D$2:$D$13,"conciliado",'Conciliacion de compuestos'!$E$2:$E$13,"OK",'Conciliacion de compuestos'!$J$2:$J$13,A232),COUNTIFS('Conciliacion de compuestos'!$D$2:$D$13,"conciliado",'Conciliacion de compuestos'!$E$2:$E$13,"OK",'Conciliacion de compuestos'!$K$2:$K$13,A232),COUNTIFS('Conciliacion de compuestos'!$D$2:$D$13,"conciliado",'Conciliacion de compuestos'!$E$2:$E$13,"OK",'Conciliacion de compuestos'!$L$2:$L$13,A232))&gt;0,"conciliado en compuesto confirmado","disponible")</f>
        <v/>
      </c>
    </row>
    <row r="233">
      <c r="A233" s="11" t="n">
        <v>1172</v>
      </c>
      <c r="B233" s="12" t="n">
        <v>46043</v>
      </c>
      <c r="C233" s="11" t="inlineStr">
        <is>
          <t>consignacion credibanco d e</t>
        </is>
      </c>
      <c r="D233" s="13" t="n">
        <v>24800</v>
      </c>
      <c r="E233" s="11">
        <f>IF(SUM(COUNTIFS('Conciliacion de compuestos'!$D$2:$D$13,"conciliado",'Conciliacion de compuestos'!$E$2:$E$13,"OK",'Conciliacion de compuestos'!$J$2:$J$13,A233),COUNTIFS('Conciliacion de compuestos'!$D$2:$D$13,"conciliado",'Conciliacion de compuestos'!$E$2:$E$13,"OK",'Conciliacion de compuestos'!$K$2:$K$13,A233),COUNTIFS('Conciliacion de compuestos'!$D$2:$D$13,"conciliado",'Conciliacion de compuestos'!$E$2:$E$13,"OK",'Conciliacion de compuestos'!$L$2:$L$13,A233))&gt;0,"conciliado en compuesto confirmado","disponible")</f>
        <v/>
      </c>
    </row>
    <row r="234">
      <c r="A234" s="11" t="n">
        <v>1177</v>
      </c>
      <c r="B234" s="12" t="n">
        <v>46043</v>
      </c>
      <c r="C234" s="11" t="inlineStr">
        <is>
          <t>consignacion credibanco d e</t>
        </is>
      </c>
      <c r="D234" s="13" t="n">
        <v>54700</v>
      </c>
      <c r="E234" s="11">
        <f>IF(SUM(COUNTIFS('Conciliacion de compuestos'!$D$2:$D$13,"conciliado",'Conciliacion de compuestos'!$E$2:$E$13,"OK",'Conciliacion de compuestos'!$J$2:$J$13,A234),COUNTIFS('Conciliacion de compuestos'!$D$2:$D$13,"conciliado",'Conciliacion de compuestos'!$E$2:$E$13,"OK",'Conciliacion de compuestos'!$K$2:$K$13,A234),COUNTIFS('Conciliacion de compuestos'!$D$2:$D$13,"conciliado",'Conciliacion de compuestos'!$E$2:$E$13,"OK",'Conciliacion de compuestos'!$L$2:$L$13,A234))&gt;0,"conciliado en compuesto confirmado","disponible")</f>
        <v/>
      </c>
    </row>
    <row r="235">
      <c r="A235" s="11" t="n">
        <v>1182</v>
      </c>
      <c r="B235" s="12" t="n">
        <v>46043</v>
      </c>
      <c r="C235" s="11" t="inlineStr">
        <is>
          <t>consignacion credibanco d e</t>
        </is>
      </c>
      <c r="D235" s="13" t="n">
        <v>394000</v>
      </c>
      <c r="E235" s="11">
        <f>IF(SUM(COUNTIFS('Conciliacion de compuestos'!$D$2:$D$13,"conciliado",'Conciliacion de compuestos'!$E$2:$E$13,"OK",'Conciliacion de compuestos'!$J$2:$J$13,A235),COUNTIFS('Conciliacion de compuestos'!$D$2:$D$13,"conciliado",'Conciliacion de compuestos'!$E$2:$E$13,"OK",'Conciliacion de compuestos'!$K$2:$K$13,A235),COUNTIFS('Conciliacion de compuestos'!$D$2:$D$13,"conciliado",'Conciliacion de compuestos'!$E$2:$E$13,"OK",'Conciliacion de compuestos'!$L$2:$L$13,A235))&gt;0,"conciliado en compuesto confirmado","disponible")</f>
        <v/>
      </c>
    </row>
    <row r="236">
      <c r="A236" s="11" t="n">
        <v>1187</v>
      </c>
      <c r="B236" s="12" t="n">
        <v>46043</v>
      </c>
      <c r="C236" s="11" t="inlineStr">
        <is>
          <t>consignacion credibanco d e</t>
        </is>
      </c>
      <c r="D236" s="13" t="n">
        <v>78800</v>
      </c>
      <c r="E236" s="11">
        <f>IF(SUM(COUNTIFS('Conciliacion de compuestos'!$D$2:$D$13,"conciliado",'Conciliacion de compuestos'!$E$2:$E$13,"OK",'Conciliacion de compuestos'!$J$2:$J$13,A236),COUNTIFS('Conciliacion de compuestos'!$D$2:$D$13,"conciliado",'Conciliacion de compuestos'!$E$2:$E$13,"OK",'Conciliacion de compuestos'!$K$2:$K$13,A236),COUNTIFS('Conciliacion de compuestos'!$D$2:$D$13,"conciliado",'Conciliacion de compuestos'!$E$2:$E$13,"OK",'Conciliacion de compuestos'!$L$2:$L$13,A236))&gt;0,"conciliado en compuesto confirmado","disponible")</f>
        <v/>
      </c>
    </row>
    <row r="237">
      <c r="A237" s="11" t="n">
        <v>1192</v>
      </c>
      <c r="B237" s="12" t="n">
        <v>46044</v>
      </c>
      <c r="C237" s="11" t="inlineStr">
        <is>
          <t>consignacion credibanco d e</t>
        </is>
      </c>
      <c r="D237" s="13" t="n">
        <v>22500</v>
      </c>
      <c r="E237" s="11">
        <f>IF(SUM(COUNTIFS('Conciliacion de compuestos'!$D$2:$D$13,"conciliado",'Conciliacion de compuestos'!$E$2:$E$13,"OK",'Conciliacion de compuestos'!$J$2:$J$13,A237),COUNTIFS('Conciliacion de compuestos'!$D$2:$D$13,"conciliado",'Conciliacion de compuestos'!$E$2:$E$13,"OK",'Conciliacion de compuestos'!$K$2:$K$13,A237),COUNTIFS('Conciliacion de compuestos'!$D$2:$D$13,"conciliado",'Conciliacion de compuestos'!$E$2:$E$13,"OK",'Conciliacion de compuestos'!$L$2:$L$13,A237))&gt;0,"conciliado en compuesto confirmado","disponible")</f>
        <v/>
      </c>
    </row>
    <row r="238">
      <c r="A238" s="11" t="n">
        <v>1197</v>
      </c>
      <c r="B238" s="12" t="n">
        <v>46044</v>
      </c>
      <c r="C238" s="11" t="inlineStr">
        <is>
          <t>consignacion credibanco d e</t>
        </is>
      </c>
      <c r="D238" s="13" t="n">
        <v>80600</v>
      </c>
      <c r="E238" s="11">
        <f>IF(SUM(COUNTIFS('Conciliacion de compuestos'!$D$2:$D$13,"conciliado",'Conciliacion de compuestos'!$E$2:$E$13,"OK",'Conciliacion de compuestos'!$J$2:$J$13,A238),COUNTIFS('Conciliacion de compuestos'!$D$2:$D$13,"conciliado",'Conciliacion de compuestos'!$E$2:$E$13,"OK",'Conciliacion de compuestos'!$K$2:$K$13,A238),COUNTIFS('Conciliacion de compuestos'!$D$2:$D$13,"conciliado",'Conciliacion de compuestos'!$E$2:$E$13,"OK",'Conciliacion de compuestos'!$L$2:$L$13,A238))&gt;0,"conciliado en compuesto confirmado","disponible")</f>
        <v/>
      </c>
    </row>
    <row r="239">
      <c r="A239" s="11" t="n">
        <v>1202</v>
      </c>
      <c r="B239" s="12" t="n">
        <v>46044</v>
      </c>
      <c r="C239" s="11" t="inlineStr">
        <is>
          <t>consignacion credibanco d e</t>
        </is>
      </c>
      <c r="D239" s="13" t="n">
        <v>38500</v>
      </c>
      <c r="E239" s="11">
        <f>IF(SUM(COUNTIFS('Conciliacion de compuestos'!$D$2:$D$13,"conciliado",'Conciliacion de compuestos'!$E$2:$E$13,"OK",'Conciliacion de compuestos'!$J$2:$J$13,A239),COUNTIFS('Conciliacion de compuestos'!$D$2:$D$13,"conciliado",'Conciliacion de compuestos'!$E$2:$E$13,"OK",'Conciliacion de compuestos'!$K$2:$K$13,A239),COUNTIFS('Conciliacion de compuestos'!$D$2:$D$13,"conciliado",'Conciliacion de compuestos'!$E$2:$E$13,"OK",'Conciliacion de compuestos'!$L$2:$L$13,A239))&gt;0,"conciliado en compuesto confirmado","disponible")</f>
        <v/>
      </c>
    </row>
    <row r="240">
      <c r="A240" s="11" t="n">
        <v>1207</v>
      </c>
      <c r="B240" s="12" t="n">
        <v>46044</v>
      </c>
      <c r="C240" s="11" t="inlineStr">
        <is>
          <t>consignacion credibanco d e</t>
        </is>
      </c>
      <c r="D240" s="13" t="n">
        <v>90900</v>
      </c>
      <c r="E240" s="11">
        <f>IF(SUM(COUNTIFS('Conciliacion de compuestos'!$D$2:$D$13,"conciliado",'Conciliacion de compuestos'!$E$2:$E$13,"OK",'Conciliacion de compuestos'!$J$2:$J$13,A240),COUNTIFS('Conciliacion de compuestos'!$D$2:$D$13,"conciliado",'Conciliacion de compuestos'!$E$2:$E$13,"OK",'Conciliacion de compuestos'!$K$2:$K$13,A240),COUNTIFS('Conciliacion de compuestos'!$D$2:$D$13,"conciliado",'Conciliacion de compuestos'!$E$2:$E$13,"OK",'Conciliacion de compuestos'!$L$2:$L$13,A240))&gt;0,"conciliado en compuesto confirmado","disponible")</f>
        <v/>
      </c>
    </row>
    <row r="241">
      <c r="A241" s="11" t="n">
        <v>1212</v>
      </c>
      <c r="B241" s="12" t="n">
        <v>46044</v>
      </c>
      <c r="C241" s="11" t="inlineStr">
        <is>
          <t>consignacion credibanco d e</t>
        </is>
      </c>
      <c r="D241" s="13" t="n">
        <v>58800</v>
      </c>
      <c r="E241" s="11">
        <f>IF(SUM(COUNTIFS('Conciliacion de compuestos'!$D$2:$D$13,"conciliado",'Conciliacion de compuestos'!$E$2:$E$13,"OK",'Conciliacion de compuestos'!$J$2:$J$13,A241),COUNTIFS('Conciliacion de compuestos'!$D$2:$D$13,"conciliado",'Conciliacion de compuestos'!$E$2:$E$13,"OK",'Conciliacion de compuestos'!$K$2:$K$13,A241),COUNTIFS('Conciliacion de compuestos'!$D$2:$D$13,"conciliado",'Conciliacion de compuestos'!$E$2:$E$13,"OK",'Conciliacion de compuestos'!$L$2:$L$13,A241))&gt;0,"conciliado en compuesto confirmado","disponible")</f>
        <v/>
      </c>
    </row>
    <row r="242">
      <c r="A242" s="11" t="n">
        <v>1217</v>
      </c>
      <c r="B242" s="12" t="n">
        <v>46044</v>
      </c>
      <c r="C242" s="11" t="inlineStr">
        <is>
          <t>depositos electronicos masterca transaccion</t>
        </is>
      </c>
      <c r="D242" s="13" t="n">
        <v>117600</v>
      </c>
      <c r="E242" s="11">
        <f>IF(SUM(COUNTIFS('Conciliacion de compuestos'!$D$2:$D$13,"conciliado",'Conciliacion de compuestos'!$E$2:$E$13,"OK",'Conciliacion de compuestos'!$J$2:$J$13,A242),COUNTIFS('Conciliacion de compuestos'!$D$2:$D$13,"conciliado",'Conciliacion de compuestos'!$E$2:$E$13,"OK",'Conciliacion de compuestos'!$K$2:$K$13,A242),COUNTIFS('Conciliacion de compuestos'!$D$2:$D$13,"conciliado",'Conciliacion de compuestos'!$E$2:$E$13,"OK",'Conciliacion de compuestos'!$L$2:$L$13,A242))&gt;0,"conciliado en compuesto confirmado","disponible")</f>
        <v/>
      </c>
    </row>
    <row r="243">
      <c r="A243" s="11" t="n">
        <v>1222</v>
      </c>
      <c r="B243" s="12" t="n">
        <v>46045</v>
      </c>
      <c r="C243" s="11" t="inlineStr">
        <is>
          <t>consignacion credibanco d e</t>
        </is>
      </c>
      <c r="D243" s="13" t="n">
        <v>40900</v>
      </c>
      <c r="E243" s="11">
        <f>IF(SUM(COUNTIFS('Conciliacion de compuestos'!$D$2:$D$13,"conciliado",'Conciliacion de compuestos'!$E$2:$E$13,"OK",'Conciliacion de compuestos'!$J$2:$J$13,A243),COUNTIFS('Conciliacion de compuestos'!$D$2:$D$13,"conciliado",'Conciliacion de compuestos'!$E$2:$E$13,"OK",'Conciliacion de compuestos'!$K$2:$K$13,A243),COUNTIFS('Conciliacion de compuestos'!$D$2:$D$13,"conciliado",'Conciliacion de compuestos'!$E$2:$E$13,"OK",'Conciliacion de compuestos'!$L$2:$L$13,A243))&gt;0,"conciliado en compuesto confirmado","disponible")</f>
        <v/>
      </c>
    </row>
    <row r="244">
      <c r="A244" s="11" t="n">
        <v>1227</v>
      </c>
      <c r="B244" s="12" t="n">
        <v>46045</v>
      </c>
      <c r="C244" s="11" t="inlineStr">
        <is>
          <t>consignacion credibanco d e</t>
        </is>
      </c>
      <c r="D244" s="13" t="n">
        <v>53600</v>
      </c>
      <c r="E244" s="11">
        <f>IF(SUM(COUNTIFS('Conciliacion de compuestos'!$D$2:$D$13,"conciliado",'Conciliacion de compuestos'!$E$2:$E$13,"OK",'Conciliacion de compuestos'!$J$2:$J$13,A244),COUNTIFS('Conciliacion de compuestos'!$D$2:$D$13,"conciliado",'Conciliacion de compuestos'!$E$2:$E$13,"OK",'Conciliacion de compuestos'!$K$2:$K$13,A244),COUNTIFS('Conciliacion de compuestos'!$D$2:$D$13,"conciliado",'Conciliacion de compuestos'!$E$2:$E$13,"OK",'Conciliacion de compuestos'!$L$2:$L$13,A244))&gt;0,"conciliado en compuesto confirmado","disponible")</f>
        <v/>
      </c>
    </row>
    <row r="245">
      <c r="A245" s="11" t="n">
        <v>1232</v>
      </c>
      <c r="B245" s="12" t="n">
        <v>46045</v>
      </c>
      <c r="C245" s="11" t="inlineStr">
        <is>
          <t>consignacion credibanco d e</t>
        </is>
      </c>
      <c r="D245" s="13" t="n">
        <v>19000</v>
      </c>
      <c r="E245" s="11">
        <f>IF(SUM(COUNTIFS('Conciliacion de compuestos'!$D$2:$D$13,"conciliado",'Conciliacion de compuestos'!$E$2:$E$13,"OK",'Conciliacion de compuestos'!$J$2:$J$13,A245),COUNTIFS('Conciliacion de compuestos'!$D$2:$D$13,"conciliado",'Conciliacion de compuestos'!$E$2:$E$13,"OK",'Conciliacion de compuestos'!$K$2:$K$13,A245),COUNTIFS('Conciliacion de compuestos'!$D$2:$D$13,"conciliado",'Conciliacion de compuestos'!$E$2:$E$13,"OK",'Conciliacion de compuestos'!$L$2:$L$13,A245))&gt;0,"conciliado en compuesto confirmado","disponible")</f>
        <v/>
      </c>
    </row>
    <row r="246">
      <c r="A246" s="11" t="n">
        <v>1237</v>
      </c>
      <c r="B246" s="12" t="n">
        <v>46045</v>
      </c>
      <c r="C246" s="11" t="inlineStr">
        <is>
          <t>consignacion credibanco d e</t>
        </is>
      </c>
      <c r="D246" s="13" t="n">
        <v>28800</v>
      </c>
      <c r="E246" s="11">
        <f>IF(SUM(COUNTIFS('Conciliacion de compuestos'!$D$2:$D$13,"conciliado",'Conciliacion de compuestos'!$E$2:$E$13,"OK",'Conciliacion de compuestos'!$J$2:$J$13,A246),COUNTIFS('Conciliacion de compuestos'!$D$2:$D$13,"conciliado",'Conciliacion de compuestos'!$E$2:$E$13,"OK",'Conciliacion de compuestos'!$K$2:$K$13,A246),COUNTIFS('Conciliacion de compuestos'!$D$2:$D$13,"conciliado",'Conciliacion de compuestos'!$E$2:$E$13,"OK",'Conciliacion de compuestos'!$L$2:$L$13,A246))&gt;0,"conciliado en compuesto confirmado","disponible")</f>
        <v/>
      </c>
    </row>
    <row r="247">
      <c r="A247" s="11" t="n">
        <v>1242</v>
      </c>
      <c r="B247" s="12" t="n">
        <v>46045</v>
      </c>
      <c r="C247" s="11" t="inlineStr">
        <is>
          <t>depositos electronicos masterca transaccion</t>
        </is>
      </c>
      <c r="D247" s="13" t="n">
        <v>20300</v>
      </c>
      <c r="E247" s="11">
        <f>IF(SUM(COUNTIFS('Conciliacion de compuestos'!$D$2:$D$13,"conciliado",'Conciliacion de compuestos'!$E$2:$E$13,"OK",'Conciliacion de compuestos'!$J$2:$J$13,A247),COUNTIFS('Conciliacion de compuestos'!$D$2:$D$13,"conciliado",'Conciliacion de compuestos'!$E$2:$E$13,"OK",'Conciliacion de compuestos'!$K$2:$K$13,A247),COUNTIFS('Conciliacion de compuestos'!$D$2:$D$13,"conciliado",'Conciliacion de compuestos'!$E$2:$E$13,"OK",'Conciliacion de compuestos'!$L$2:$L$13,A247))&gt;0,"conciliado en compuesto confirmado","disponible")</f>
        <v/>
      </c>
    </row>
    <row r="248">
      <c r="A248" s="11" t="n">
        <v>1247</v>
      </c>
      <c r="B248" s="12" t="n">
        <v>46045</v>
      </c>
      <c r="C248" s="11" t="inlineStr">
        <is>
          <t>depositos electronicos masterca transaccion</t>
        </is>
      </c>
      <c r="D248" s="13" t="n">
        <v>70500</v>
      </c>
      <c r="E248" s="11">
        <f>IF(SUM(COUNTIFS('Conciliacion de compuestos'!$D$2:$D$13,"conciliado",'Conciliacion de compuestos'!$E$2:$E$13,"OK",'Conciliacion de compuestos'!$J$2:$J$13,A248),COUNTIFS('Conciliacion de compuestos'!$D$2:$D$13,"conciliado",'Conciliacion de compuestos'!$E$2:$E$13,"OK",'Conciliacion de compuestos'!$K$2:$K$13,A248),COUNTIFS('Conciliacion de compuestos'!$D$2:$D$13,"conciliado",'Conciliacion de compuestos'!$E$2:$E$13,"OK",'Conciliacion de compuestos'!$L$2:$L$13,A248))&gt;0,"conciliado en compuesto confirmado","disponible")</f>
        <v/>
      </c>
    </row>
    <row r="249">
      <c r="A249" s="11" t="n">
        <v>1252</v>
      </c>
      <c r="B249" s="12" t="n">
        <v>46045</v>
      </c>
      <c r="C249" s="11" t="inlineStr">
        <is>
          <t>depositos electronicos masterca transaccion</t>
        </is>
      </c>
      <c r="D249" s="13" t="n">
        <v>72700</v>
      </c>
      <c r="E249" s="11">
        <f>IF(SUM(COUNTIFS('Conciliacion de compuestos'!$D$2:$D$13,"conciliado",'Conciliacion de compuestos'!$E$2:$E$13,"OK",'Conciliacion de compuestos'!$J$2:$J$13,A249),COUNTIFS('Conciliacion de compuestos'!$D$2:$D$13,"conciliado",'Conciliacion de compuestos'!$E$2:$E$13,"OK",'Conciliacion de compuestos'!$K$2:$K$13,A249),COUNTIFS('Conciliacion de compuestos'!$D$2:$D$13,"conciliado",'Conciliacion de compuestos'!$E$2:$E$13,"OK",'Conciliacion de compuestos'!$L$2:$L$13,A249))&gt;0,"conciliado en compuesto confirmado","disponible")</f>
        <v/>
      </c>
    </row>
    <row r="250">
      <c r="A250" s="11" t="n">
        <v>1257</v>
      </c>
      <c r="B250" s="12" t="n">
        <v>46045</v>
      </c>
      <c r="C250" s="11" t="inlineStr">
        <is>
          <t>depositos electronicos masterca transaccion</t>
        </is>
      </c>
      <c r="D250" s="13" t="n">
        <v>36700</v>
      </c>
      <c r="E250" s="11">
        <f>IF(SUM(COUNTIFS('Conciliacion de compuestos'!$D$2:$D$13,"conciliado",'Conciliacion de compuestos'!$E$2:$E$13,"OK",'Conciliacion de compuestos'!$J$2:$J$13,A250),COUNTIFS('Conciliacion de compuestos'!$D$2:$D$13,"conciliado",'Conciliacion de compuestos'!$E$2:$E$13,"OK",'Conciliacion de compuestos'!$K$2:$K$13,A250),COUNTIFS('Conciliacion de compuestos'!$D$2:$D$13,"conciliado",'Conciliacion de compuestos'!$E$2:$E$13,"OK",'Conciliacion de compuestos'!$L$2:$L$13,A250))&gt;0,"conciliado en compuesto confirmado","disponible")</f>
        <v/>
      </c>
    </row>
    <row r="251">
      <c r="A251" s="11" t="n">
        <v>1262</v>
      </c>
      <c r="B251" s="12" t="n">
        <v>46045</v>
      </c>
      <c r="C251" s="11" t="inlineStr">
        <is>
          <t>depositos electronicos masterca transaccion</t>
        </is>
      </c>
      <c r="D251" s="13" t="n">
        <v>58100</v>
      </c>
      <c r="E251" s="11">
        <f>IF(SUM(COUNTIFS('Conciliacion de compuestos'!$D$2:$D$13,"conciliado",'Conciliacion de compuestos'!$E$2:$E$13,"OK",'Conciliacion de compuestos'!$J$2:$J$13,A251),COUNTIFS('Conciliacion de compuestos'!$D$2:$D$13,"conciliado",'Conciliacion de compuestos'!$E$2:$E$13,"OK",'Conciliacion de compuestos'!$K$2:$K$13,A251),COUNTIFS('Conciliacion de compuestos'!$D$2:$D$13,"conciliado",'Conciliacion de compuestos'!$E$2:$E$13,"OK",'Conciliacion de compuestos'!$L$2:$L$13,A251))&gt;0,"conciliado en compuesto confirmado","disponible")</f>
        <v/>
      </c>
    </row>
    <row r="252">
      <c r="A252" s="11" t="n">
        <v>1267</v>
      </c>
      <c r="B252" s="12" t="n">
        <v>46048</v>
      </c>
      <c r="C252" s="11" t="inlineStr">
        <is>
          <t>consignacion credibanco d e</t>
        </is>
      </c>
      <c r="D252" s="13" t="n">
        <v>104100</v>
      </c>
      <c r="E252" s="11">
        <f>IF(SUM(COUNTIFS('Conciliacion de compuestos'!$D$2:$D$13,"conciliado",'Conciliacion de compuestos'!$E$2:$E$13,"OK",'Conciliacion de compuestos'!$J$2:$J$13,A252),COUNTIFS('Conciliacion de compuestos'!$D$2:$D$13,"conciliado",'Conciliacion de compuestos'!$E$2:$E$13,"OK",'Conciliacion de compuestos'!$K$2:$K$13,A252),COUNTIFS('Conciliacion de compuestos'!$D$2:$D$13,"conciliado",'Conciliacion de compuestos'!$E$2:$E$13,"OK",'Conciliacion de compuestos'!$L$2:$L$13,A252))&gt;0,"conciliado en compuesto confirmado","disponible")</f>
        <v/>
      </c>
    </row>
    <row r="253">
      <c r="A253" s="11" t="n">
        <v>1272</v>
      </c>
      <c r="B253" s="12" t="n">
        <v>46048</v>
      </c>
      <c r="C253" s="11" t="inlineStr">
        <is>
          <t>consignacion credibanco d e</t>
        </is>
      </c>
      <c r="D253" s="13" t="n">
        <v>68960</v>
      </c>
      <c r="E253" s="11">
        <f>IF(SUM(COUNTIFS('Conciliacion de compuestos'!$D$2:$D$13,"conciliado",'Conciliacion de compuestos'!$E$2:$E$13,"OK",'Conciliacion de compuestos'!$J$2:$J$13,A253),COUNTIFS('Conciliacion de compuestos'!$D$2:$D$13,"conciliado",'Conciliacion de compuestos'!$E$2:$E$13,"OK",'Conciliacion de compuestos'!$K$2:$K$13,A253),COUNTIFS('Conciliacion de compuestos'!$D$2:$D$13,"conciliado",'Conciliacion de compuestos'!$E$2:$E$13,"OK",'Conciliacion de compuestos'!$L$2:$L$13,A253))&gt;0,"conciliado en compuesto confirmado","disponible")</f>
        <v/>
      </c>
    </row>
    <row r="254">
      <c r="A254" s="11" t="n">
        <v>1277</v>
      </c>
      <c r="B254" s="12" t="n">
        <v>46048</v>
      </c>
      <c r="C254" s="11" t="inlineStr">
        <is>
          <t>consignacion credibanco d e</t>
        </is>
      </c>
      <c r="D254" s="13" t="n">
        <v>28300</v>
      </c>
      <c r="E254" s="11">
        <f>IF(SUM(COUNTIFS('Conciliacion de compuestos'!$D$2:$D$13,"conciliado",'Conciliacion de compuestos'!$E$2:$E$13,"OK",'Conciliacion de compuestos'!$J$2:$J$13,A254),COUNTIFS('Conciliacion de compuestos'!$D$2:$D$13,"conciliado",'Conciliacion de compuestos'!$E$2:$E$13,"OK",'Conciliacion de compuestos'!$K$2:$K$13,A254),COUNTIFS('Conciliacion de compuestos'!$D$2:$D$13,"conciliado",'Conciliacion de compuestos'!$E$2:$E$13,"OK",'Conciliacion de compuestos'!$L$2:$L$13,A254))&gt;0,"conciliado en compuesto confirmado","disponible")</f>
        <v/>
      </c>
    </row>
    <row r="255">
      <c r="A255" s="11" t="n">
        <v>1282</v>
      </c>
      <c r="B255" s="12" t="n">
        <v>46048</v>
      </c>
      <c r="C255" s="11" t="inlineStr">
        <is>
          <t>consignacion credibanco d e</t>
        </is>
      </c>
      <c r="D255" s="13" t="n">
        <v>35520</v>
      </c>
      <c r="E255" s="11">
        <f>IF(SUM(COUNTIFS('Conciliacion de compuestos'!$D$2:$D$13,"conciliado",'Conciliacion de compuestos'!$E$2:$E$13,"OK",'Conciliacion de compuestos'!$J$2:$J$13,A255),COUNTIFS('Conciliacion de compuestos'!$D$2:$D$13,"conciliado",'Conciliacion de compuestos'!$E$2:$E$13,"OK",'Conciliacion de compuestos'!$K$2:$K$13,A255),COUNTIFS('Conciliacion de compuestos'!$D$2:$D$13,"conciliado",'Conciliacion de compuestos'!$E$2:$E$13,"OK",'Conciliacion de compuestos'!$L$2:$L$13,A255))&gt;0,"conciliado en compuesto confirmado","disponible")</f>
        <v/>
      </c>
    </row>
    <row r="256">
      <c r="A256" s="11" t="n">
        <v>1287</v>
      </c>
      <c r="B256" s="12" t="n">
        <v>46048</v>
      </c>
      <c r="C256" s="11" t="inlineStr">
        <is>
          <t>consignacion credibanco d e</t>
        </is>
      </c>
      <c r="D256" s="13" t="n">
        <v>48100</v>
      </c>
      <c r="E256" s="11">
        <f>IF(SUM(COUNTIFS('Conciliacion de compuestos'!$D$2:$D$13,"conciliado",'Conciliacion de compuestos'!$E$2:$E$13,"OK",'Conciliacion de compuestos'!$J$2:$J$13,A256),COUNTIFS('Conciliacion de compuestos'!$D$2:$D$13,"conciliado",'Conciliacion de compuestos'!$E$2:$E$13,"OK",'Conciliacion de compuestos'!$K$2:$K$13,A256),COUNTIFS('Conciliacion de compuestos'!$D$2:$D$13,"conciliado",'Conciliacion de compuestos'!$E$2:$E$13,"OK",'Conciliacion de compuestos'!$L$2:$L$13,A256))&gt;0,"conciliado en compuesto confirmado","disponible")</f>
        <v/>
      </c>
    </row>
    <row r="257">
      <c r="A257" s="11" t="n">
        <v>1292</v>
      </c>
      <c r="B257" s="12" t="n">
        <v>46048</v>
      </c>
      <c r="C257" s="11" t="inlineStr">
        <is>
          <t>consignacion credibanco d e</t>
        </is>
      </c>
      <c r="D257" s="13" t="n">
        <v>28000</v>
      </c>
      <c r="E257" s="11">
        <f>IF(SUM(COUNTIFS('Conciliacion de compuestos'!$D$2:$D$13,"conciliado",'Conciliacion de compuestos'!$E$2:$E$13,"OK",'Conciliacion de compuestos'!$J$2:$J$13,A257),COUNTIFS('Conciliacion de compuestos'!$D$2:$D$13,"conciliado",'Conciliacion de compuestos'!$E$2:$E$13,"OK",'Conciliacion de compuestos'!$K$2:$K$13,A257),COUNTIFS('Conciliacion de compuestos'!$D$2:$D$13,"conciliado",'Conciliacion de compuestos'!$E$2:$E$13,"OK",'Conciliacion de compuestos'!$L$2:$L$13,A257))&gt;0,"conciliado en compuesto confirmado","disponible")</f>
        <v/>
      </c>
    </row>
    <row r="258">
      <c r="A258" s="11" t="n">
        <v>1297</v>
      </c>
      <c r="B258" s="12" t="n">
        <v>46048</v>
      </c>
      <c r="C258" s="11" t="inlineStr">
        <is>
          <t>consignacion credibanco d e</t>
        </is>
      </c>
      <c r="D258" s="13" t="n">
        <v>39900</v>
      </c>
      <c r="E258" s="11">
        <f>IF(SUM(COUNTIFS('Conciliacion de compuestos'!$D$2:$D$13,"conciliado",'Conciliacion de compuestos'!$E$2:$E$13,"OK",'Conciliacion de compuestos'!$J$2:$J$13,A258),COUNTIFS('Conciliacion de compuestos'!$D$2:$D$13,"conciliado",'Conciliacion de compuestos'!$E$2:$E$13,"OK",'Conciliacion de compuestos'!$K$2:$K$13,A258),COUNTIFS('Conciliacion de compuestos'!$D$2:$D$13,"conciliado",'Conciliacion de compuestos'!$E$2:$E$13,"OK",'Conciliacion de compuestos'!$L$2:$L$13,A258))&gt;0,"conciliado en compuesto confirmado","disponible")</f>
        <v/>
      </c>
    </row>
    <row r="259">
      <c r="A259" s="11" t="n">
        <v>1302</v>
      </c>
      <c r="B259" s="12" t="n">
        <v>46048</v>
      </c>
      <c r="C259" s="11" t="inlineStr">
        <is>
          <t>consignacion credibanco d e</t>
        </is>
      </c>
      <c r="D259" s="13" t="n">
        <v>43500</v>
      </c>
      <c r="E259" s="11">
        <f>IF(SUM(COUNTIFS('Conciliacion de compuestos'!$D$2:$D$13,"conciliado",'Conciliacion de compuestos'!$E$2:$E$13,"OK",'Conciliacion de compuestos'!$J$2:$J$13,A259),COUNTIFS('Conciliacion de compuestos'!$D$2:$D$13,"conciliado",'Conciliacion de compuestos'!$E$2:$E$13,"OK",'Conciliacion de compuestos'!$K$2:$K$13,A259),COUNTIFS('Conciliacion de compuestos'!$D$2:$D$13,"conciliado",'Conciliacion de compuestos'!$E$2:$E$13,"OK",'Conciliacion de compuestos'!$L$2:$L$13,A259))&gt;0,"conciliado en compuesto confirmado","disponible")</f>
        <v/>
      </c>
    </row>
    <row r="260">
      <c r="A260" s="11" t="n">
        <v>1307</v>
      </c>
      <c r="B260" s="12" t="n">
        <v>46048</v>
      </c>
      <c r="C260" s="11" t="inlineStr">
        <is>
          <t>consignacion credibanco d e</t>
        </is>
      </c>
      <c r="D260" s="13" t="n">
        <v>45600</v>
      </c>
      <c r="E260" s="11">
        <f>IF(SUM(COUNTIFS('Conciliacion de compuestos'!$D$2:$D$13,"conciliado",'Conciliacion de compuestos'!$E$2:$E$13,"OK",'Conciliacion de compuestos'!$J$2:$J$13,A260),COUNTIFS('Conciliacion de compuestos'!$D$2:$D$13,"conciliado",'Conciliacion de compuestos'!$E$2:$E$13,"OK",'Conciliacion de compuestos'!$K$2:$K$13,A260),COUNTIFS('Conciliacion de compuestos'!$D$2:$D$13,"conciliado",'Conciliacion de compuestos'!$E$2:$E$13,"OK",'Conciliacion de compuestos'!$L$2:$L$13,A260))&gt;0,"conciliado en compuesto confirmado","disponible")</f>
        <v/>
      </c>
    </row>
    <row r="261">
      <c r="A261" s="11" t="n">
        <v>1312</v>
      </c>
      <c r="B261" s="12" t="n">
        <v>46048</v>
      </c>
      <c r="C261" s="11" t="inlineStr">
        <is>
          <t>consignacion credibanco d e</t>
        </is>
      </c>
      <c r="D261" s="13" t="n">
        <v>59500</v>
      </c>
      <c r="E261" s="11">
        <f>IF(SUM(COUNTIFS('Conciliacion de compuestos'!$D$2:$D$13,"conciliado",'Conciliacion de compuestos'!$E$2:$E$13,"OK",'Conciliacion de compuestos'!$J$2:$J$13,A261),COUNTIFS('Conciliacion de compuestos'!$D$2:$D$13,"conciliado",'Conciliacion de compuestos'!$E$2:$E$13,"OK",'Conciliacion de compuestos'!$K$2:$K$13,A261),COUNTIFS('Conciliacion de compuestos'!$D$2:$D$13,"conciliado",'Conciliacion de compuestos'!$E$2:$E$13,"OK",'Conciliacion de compuestos'!$L$2:$L$13,A261))&gt;0,"conciliado en compuesto confirmado","disponible")</f>
        <v/>
      </c>
    </row>
    <row r="262">
      <c r="A262" s="11" t="n">
        <v>1317</v>
      </c>
      <c r="B262" s="12" t="n">
        <v>46048</v>
      </c>
      <c r="C262" s="11" t="inlineStr">
        <is>
          <t>consignacion credibanco d e</t>
        </is>
      </c>
      <c r="D262" s="13" t="n">
        <v>31200</v>
      </c>
      <c r="E262" s="11">
        <f>IF(SUM(COUNTIFS('Conciliacion de compuestos'!$D$2:$D$13,"conciliado",'Conciliacion de compuestos'!$E$2:$E$13,"OK",'Conciliacion de compuestos'!$J$2:$J$13,A262),COUNTIFS('Conciliacion de compuestos'!$D$2:$D$13,"conciliado",'Conciliacion de compuestos'!$E$2:$E$13,"OK",'Conciliacion de compuestos'!$K$2:$K$13,A262),COUNTIFS('Conciliacion de compuestos'!$D$2:$D$13,"conciliado",'Conciliacion de compuestos'!$E$2:$E$13,"OK",'Conciliacion de compuestos'!$L$2:$L$13,A262))&gt;0,"conciliado en compuesto confirmado","disponible")</f>
        <v/>
      </c>
    </row>
    <row r="263">
      <c r="A263" s="11" t="n">
        <v>1322</v>
      </c>
      <c r="B263" s="12" t="n">
        <v>46048</v>
      </c>
      <c r="C263" s="11" t="inlineStr">
        <is>
          <t>consignacion credibanco d e</t>
        </is>
      </c>
      <c r="D263" s="13" t="n">
        <v>45400</v>
      </c>
      <c r="E263" s="11">
        <f>IF(SUM(COUNTIFS('Conciliacion de compuestos'!$D$2:$D$13,"conciliado",'Conciliacion de compuestos'!$E$2:$E$13,"OK",'Conciliacion de compuestos'!$J$2:$J$13,A263),COUNTIFS('Conciliacion de compuestos'!$D$2:$D$13,"conciliado",'Conciliacion de compuestos'!$E$2:$E$13,"OK",'Conciliacion de compuestos'!$K$2:$K$13,A263),COUNTIFS('Conciliacion de compuestos'!$D$2:$D$13,"conciliado",'Conciliacion de compuestos'!$E$2:$E$13,"OK",'Conciliacion de compuestos'!$L$2:$L$13,A263))&gt;0,"conciliado en compuesto confirmado","disponible")</f>
        <v/>
      </c>
    </row>
    <row r="264">
      <c r="A264" s="11" t="n">
        <v>1327</v>
      </c>
      <c r="B264" s="12" t="n">
        <v>46048</v>
      </c>
      <c r="C264" s="11" t="inlineStr">
        <is>
          <t>consignacion credibanco d e</t>
        </is>
      </c>
      <c r="D264" s="13" t="n">
        <v>30900</v>
      </c>
      <c r="E264" s="11">
        <f>IF(SUM(COUNTIFS('Conciliacion de compuestos'!$D$2:$D$13,"conciliado",'Conciliacion de compuestos'!$E$2:$E$13,"OK",'Conciliacion de compuestos'!$J$2:$J$13,A264),COUNTIFS('Conciliacion de compuestos'!$D$2:$D$13,"conciliado",'Conciliacion de compuestos'!$E$2:$E$13,"OK",'Conciliacion de compuestos'!$K$2:$K$13,A264),COUNTIFS('Conciliacion de compuestos'!$D$2:$D$13,"conciliado",'Conciliacion de compuestos'!$E$2:$E$13,"OK",'Conciliacion de compuestos'!$L$2:$L$13,A264))&gt;0,"conciliado en compuesto confirmado","disponible")</f>
        <v/>
      </c>
    </row>
    <row r="265">
      <c r="A265" s="11" t="n">
        <v>1332</v>
      </c>
      <c r="B265" s="12" t="n">
        <v>46048</v>
      </c>
      <c r="C265" s="11" t="inlineStr">
        <is>
          <t>consignacion credibanco d e</t>
        </is>
      </c>
      <c r="D265" s="13" t="n">
        <v>117000</v>
      </c>
      <c r="E265" s="11">
        <f>IF(SUM(COUNTIFS('Conciliacion de compuestos'!$D$2:$D$13,"conciliado",'Conciliacion de compuestos'!$E$2:$E$13,"OK",'Conciliacion de compuestos'!$J$2:$J$13,A265),COUNTIFS('Conciliacion de compuestos'!$D$2:$D$13,"conciliado",'Conciliacion de compuestos'!$E$2:$E$13,"OK",'Conciliacion de compuestos'!$K$2:$K$13,A265),COUNTIFS('Conciliacion de compuestos'!$D$2:$D$13,"conciliado",'Conciliacion de compuestos'!$E$2:$E$13,"OK",'Conciliacion de compuestos'!$L$2:$L$13,A265))&gt;0,"conciliado en compuesto confirmado","disponible")</f>
        <v/>
      </c>
    </row>
    <row r="266">
      <c r="A266" s="11" t="n">
        <v>1337</v>
      </c>
      <c r="B266" s="12" t="n">
        <v>46048</v>
      </c>
      <c r="C266" s="11" t="inlineStr">
        <is>
          <t>consignacion credibanco d e</t>
        </is>
      </c>
      <c r="D266" s="13" t="n">
        <v>144100</v>
      </c>
      <c r="E266" s="11">
        <f>IF(SUM(COUNTIFS('Conciliacion de compuestos'!$D$2:$D$13,"conciliado",'Conciliacion de compuestos'!$E$2:$E$13,"OK",'Conciliacion de compuestos'!$J$2:$J$13,A266),COUNTIFS('Conciliacion de compuestos'!$D$2:$D$13,"conciliado",'Conciliacion de compuestos'!$E$2:$E$13,"OK",'Conciliacion de compuestos'!$K$2:$K$13,A266),COUNTIFS('Conciliacion de compuestos'!$D$2:$D$13,"conciliado",'Conciliacion de compuestos'!$E$2:$E$13,"OK",'Conciliacion de compuestos'!$L$2:$L$13,A266))&gt;0,"conciliado en compuesto confirmado","disponible")</f>
        <v/>
      </c>
    </row>
    <row r="267">
      <c r="A267" s="11" t="n">
        <v>1342</v>
      </c>
      <c r="B267" s="12" t="n">
        <v>46048</v>
      </c>
      <c r="C267" s="11" t="inlineStr">
        <is>
          <t>consignacion credibanco d e</t>
        </is>
      </c>
      <c r="D267" s="13" t="n">
        <v>31000</v>
      </c>
      <c r="E267" s="11">
        <f>IF(SUM(COUNTIFS('Conciliacion de compuestos'!$D$2:$D$13,"conciliado",'Conciliacion de compuestos'!$E$2:$E$13,"OK",'Conciliacion de compuestos'!$J$2:$J$13,A267),COUNTIFS('Conciliacion de compuestos'!$D$2:$D$13,"conciliado",'Conciliacion de compuestos'!$E$2:$E$13,"OK",'Conciliacion de compuestos'!$K$2:$K$13,A267),COUNTIFS('Conciliacion de compuestos'!$D$2:$D$13,"conciliado",'Conciliacion de compuestos'!$E$2:$E$13,"OK",'Conciliacion de compuestos'!$L$2:$L$13,A267))&gt;0,"conciliado en compuesto confirmado","disponible")</f>
        <v/>
      </c>
    </row>
    <row r="268">
      <c r="A268" s="11" t="n">
        <v>1347</v>
      </c>
      <c r="B268" s="12" t="n">
        <v>46048</v>
      </c>
      <c r="C268" s="11" t="inlineStr">
        <is>
          <t>consignacion credibanco d e</t>
        </is>
      </c>
      <c r="D268" s="13" t="n">
        <v>66500</v>
      </c>
      <c r="E268" s="11">
        <f>IF(SUM(COUNTIFS('Conciliacion de compuestos'!$D$2:$D$13,"conciliado",'Conciliacion de compuestos'!$E$2:$E$13,"OK",'Conciliacion de compuestos'!$J$2:$J$13,A268),COUNTIFS('Conciliacion de compuestos'!$D$2:$D$13,"conciliado",'Conciliacion de compuestos'!$E$2:$E$13,"OK",'Conciliacion de compuestos'!$K$2:$K$13,A268),COUNTIFS('Conciliacion de compuestos'!$D$2:$D$13,"conciliado",'Conciliacion de compuestos'!$E$2:$E$13,"OK",'Conciliacion de compuestos'!$L$2:$L$13,A268))&gt;0,"conciliado en compuesto confirmado","disponible")</f>
        <v/>
      </c>
    </row>
    <row r="269">
      <c r="A269" s="11" t="n">
        <v>1352</v>
      </c>
      <c r="B269" s="12" t="n">
        <v>46048</v>
      </c>
      <c r="C269" s="11" t="inlineStr">
        <is>
          <t>consignacion credibanco d e</t>
        </is>
      </c>
      <c r="D269" s="13" t="n">
        <v>35918</v>
      </c>
      <c r="E269" s="11">
        <f>IF(SUM(COUNTIFS('Conciliacion de compuestos'!$D$2:$D$13,"conciliado",'Conciliacion de compuestos'!$E$2:$E$13,"OK",'Conciliacion de compuestos'!$J$2:$J$13,A269),COUNTIFS('Conciliacion de compuestos'!$D$2:$D$13,"conciliado",'Conciliacion de compuestos'!$E$2:$E$13,"OK",'Conciliacion de compuestos'!$K$2:$K$13,A269),COUNTIFS('Conciliacion de compuestos'!$D$2:$D$13,"conciliado",'Conciliacion de compuestos'!$E$2:$E$13,"OK",'Conciliacion de compuestos'!$L$2:$L$13,A269))&gt;0,"conciliado en compuesto confirmado","disponible")</f>
        <v/>
      </c>
    </row>
    <row r="270">
      <c r="A270" s="11" t="n">
        <v>1357</v>
      </c>
      <c r="B270" s="12" t="n">
        <v>46048</v>
      </c>
      <c r="C270" s="11" t="inlineStr">
        <is>
          <t>consignacion credibanco d e</t>
        </is>
      </c>
      <c r="D270" s="13" t="n">
        <v>83100</v>
      </c>
      <c r="E270" s="11">
        <f>IF(SUM(COUNTIFS('Conciliacion de compuestos'!$D$2:$D$13,"conciliado",'Conciliacion de compuestos'!$E$2:$E$13,"OK",'Conciliacion de compuestos'!$J$2:$J$13,A270),COUNTIFS('Conciliacion de compuestos'!$D$2:$D$13,"conciliado",'Conciliacion de compuestos'!$E$2:$E$13,"OK",'Conciliacion de compuestos'!$K$2:$K$13,A270),COUNTIFS('Conciliacion de compuestos'!$D$2:$D$13,"conciliado",'Conciliacion de compuestos'!$E$2:$E$13,"OK",'Conciliacion de compuestos'!$L$2:$L$13,A270))&gt;0,"conciliado en compuesto confirmado","disponible")</f>
        <v/>
      </c>
    </row>
    <row r="271">
      <c r="A271" s="11" t="n">
        <v>1362</v>
      </c>
      <c r="B271" s="12" t="n">
        <v>46048</v>
      </c>
      <c r="C271" s="11" t="inlineStr">
        <is>
          <t>consignacion credibanco d e</t>
        </is>
      </c>
      <c r="D271" s="13" t="n">
        <v>61800</v>
      </c>
      <c r="E271" s="11">
        <f>IF(SUM(COUNTIFS('Conciliacion de compuestos'!$D$2:$D$13,"conciliado",'Conciliacion de compuestos'!$E$2:$E$13,"OK",'Conciliacion de compuestos'!$J$2:$J$13,A271),COUNTIFS('Conciliacion de compuestos'!$D$2:$D$13,"conciliado",'Conciliacion de compuestos'!$E$2:$E$13,"OK",'Conciliacion de compuestos'!$K$2:$K$13,A271),COUNTIFS('Conciliacion de compuestos'!$D$2:$D$13,"conciliado",'Conciliacion de compuestos'!$E$2:$E$13,"OK",'Conciliacion de compuestos'!$L$2:$L$13,A271))&gt;0,"conciliado en compuesto confirmado","disponible")</f>
        <v/>
      </c>
    </row>
    <row r="272">
      <c r="A272" s="11" t="n">
        <v>1367</v>
      </c>
      <c r="B272" s="12" t="n">
        <v>46048</v>
      </c>
      <c r="C272" s="11" t="inlineStr">
        <is>
          <t>consignacion credibanco d e</t>
        </is>
      </c>
      <c r="D272" s="13" t="n">
        <v>34400</v>
      </c>
      <c r="E272" s="11">
        <f>IF(SUM(COUNTIFS('Conciliacion de compuestos'!$D$2:$D$13,"conciliado",'Conciliacion de compuestos'!$E$2:$E$13,"OK",'Conciliacion de compuestos'!$J$2:$J$13,A272),COUNTIFS('Conciliacion de compuestos'!$D$2:$D$13,"conciliado",'Conciliacion de compuestos'!$E$2:$E$13,"OK",'Conciliacion de compuestos'!$K$2:$K$13,A272),COUNTIFS('Conciliacion de compuestos'!$D$2:$D$13,"conciliado",'Conciliacion de compuestos'!$E$2:$E$13,"OK",'Conciliacion de compuestos'!$L$2:$L$13,A272))&gt;0,"conciliado en compuesto confirmado","disponible")</f>
        <v/>
      </c>
    </row>
    <row r="273">
      <c r="A273" s="11" t="n">
        <v>1372</v>
      </c>
      <c r="B273" s="12" t="n">
        <v>46048</v>
      </c>
      <c r="C273" s="11" t="inlineStr">
        <is>
          <t>consignacion credibanco d e</t>
        </is>
      </c>
      <c r="D273" s="13" t="n">
        <v>93648</v>
      </c>
      <c r="E273" s="11">
        <f>IF(SUM(COUNTIFS('Conciliacion de compuestos'!$D$2:$D$13,"conciliado",'Conciliacion de compuestos'!$E$2:$E$13,"OK",'Conciliacion de compuestos'!$J$2:$J$13,A273),COUNTIFS('Conciliacion de compuestos'!$D$2:$D$13,"conciliado",'Conciliacion de compuestos'!$E$2:$E$13,"OK",'Conciliacion de compuestos'!$K$2:$K$13,A273),COUNTIFS('Conciliacion de compuestos'!$D$2:$D$13,"conciliado",'Conciliacion de compuestos'!$E$2:$E$13,"OK",'Conciliacion de compuestos'!$L$2:$L$13,A273))&gt;0,"conciliado en compuesto confirmado","disponible")</f>
        <v/>
      </c>
    </row>
    <row r="274">
      <c r="A274" s="11" t="n">
        <v>1377</v>
      </c>
      <c r="B274" s="12" t="n">
        <v>46048</v>
      </c>
      <c r="C274" s="11" t="inlineStr">
        <is>
          <t>consignacion credibanco d e</t>
        </is>
      </c>
      <c r="D274" s="13" t="n">
        <v>77800</v>
      </c>
      <c r="E274" s="11">
        <f>IF(SUM(COUNTIFS('Conciliacion de compuestos'!$D$2:$D$13,"conciliado",'Conciliacion de compuestos'!$E$2:$E$13,"OK",'Conciliacion de compuestos'!$J$2:$J$13,A274),COUNTIFS('Conciliacion de compuestos'!$D$2:$D$13,"conciliado",'Conciliacion de compuestos'!$E$2:$E$13,"OK",'Conciliacion de compuestos'!$K$2:$K$13,A274),COUNTIFS('Conciliacion de compuestos'!$D$2:$D$13,"conciliado",'Conciliacion de compuestos'!$E$2:$E$13,"OK",'Conciliacion de compuestos'!$L$2:$L$13,A274))&gt;0,"conciliado en compuesto confirmado","disponible")</f>
        <v/>
      </c>
    </row>
    <row r="275">
      <c r="A275" s="11" t="n">
        <v>1382</v>
      </c>
      <c r="B275" s="12" t="n">
        <v>46048</v>
      </c>
      <c r="C275" s="11" t="inlineStr">
        <is>
          <t>consignacion credibanco d e</t>
        </is>
      </c>
      <c r="D275" s="13" t="n">
        <v>131000</v>
      </c>
      <c r="E275" s="11">
        <f>IF(SUM(COUNTIFS('Conciliacion de compuestos'!$D$2:$D$13,"conciliado",'Conciliacion de compuestos'!$E$2:$E$13,"OK",'Conciliacion de compuestos'!$J$2:$J$13,A275),COUNTIFS('Conciliacion de compuestos'!$D$2:$D$13,"conciliado",'Conciliacion de compuestos'!$E$2:$E$13,"OK",'Conciliacion de compuestos'!$K$2:$K$13,A275),COUNTIFS('Conciliacion de compuestos'!$D$2:$D$13,"conciliado",'Conciliacion de compuestos'!$E$2:$E$13,"OK",'Conciliacion de compuestos'!$L$2:$L$13,A275))&gt;0,"conciliado en compuesto confirmado","disponible")</f>
        <v/>
      </c>
    </row>
    <row r="276">
      <c r="A276" s="11" t="n">
        <v>1387</v>
      </c>
      <c r="B276" s="12" t="n">
        <v>46048</v>
      </c>
      <c r="C276" s="11" t="inlineStr">
        <is>
          <t>consignacion credibanco d e</t>
        </is>
      </c>
      <c r="D276" s="13" t="n">
        <v>29500</v>
      </c>
      <c r="E276" s="11">
        <f>IF(SUM(COUNTIFS('Conciliacion de compuestos'!$D$2:$D$13,"conciliado",'Conciliacion de compuestos'!$E$2:$E$13,"OK",'Conciliacion de compuestos'!$J$2:$J$13,A276),COUNTIFS('Conciliacion de compuestos'!$D$2:$D$13,"conciliado",'Conciliacion de compuestos'!$E$2:$E$13,"OK",'Conciliacion de compuestos'!$K$2:$K$13,A276),COUNTIFS('Conciliacion de compuestos'!$D$2:$D$13,"conciliado",'Conciliacion de compuestos'!$E$2:$E$13,"OK",'Conciliacion de compuestos'!$L$2:$L$13,A276))&gt;0,"conciliado en compuesto confirmado","disponible")</f>
        <v/>
      </c>
    </row>
    <row r="277">
      <c r="A277" s="11" t="n">
        <v>1392</v>
      </c>
      <c r="B277" s="12" t="n">
        <v>46048</v>
      </c>
      <c r="C277" s="11" t="inlineStr">
        <is>
          <t>depositos electronicos masterca transaccion</t>
        </is>
      </c>
      <c r="D277" s="13" t="n">
        <v>41400</v>
      </c>
      <c r="E277" s="11">
        <f>IF(SUM(COUNTIFS('Conciliacion de compuestos'!$D$2:$D$13,"conciliado",'Conciliacion de compuestos'!$E$2:$E$13,"OK",'Conciliacion de compuestos'!$J$2:$J$13,A277),COUNTIFS('Conciliacion de compuestos'!$D$2:$D$13,"conciliado",'Conciliacion de compuestos'!$E$2:$E$13,"OK",'Conciliacion de compuestos'!$K$2:$K$13,A277),COUNTIFS('Conciliacion de compuestos'!$D$2:$D$13,"conciliado",'Conciliacion de compuestos'!$E$2:$E$13,"OK",'Conciliacion de compuestos'!$L$2:$L$13,A277))&gt;0,"conciliado en compuesto confirmado","disponible")</f>
        <v/>
      </c>
    </row>
    <row r="278">
      <c r="A278" s="11" t="n">
        <v>1397</v>
      </c>
      <c r="B278" s="12" t="n">
        <v>46048</v>
      </c>
      <c r="C278" s="11" t="inlineStr">
        <is>
          <t>depositos electronicos masterca transaccion</t>
        </is>
      </c>
      <c r="D278" s="13" t="n">
        <v>30000</v>
      </c>
      <c r="E278" s="11">
        <f>IF(SUM(COUNTIFS('Conciliacion de compuestos'!$D$2:$D$13,"conciliado",'Conciliacion de compuestos'!$E$2:$E$13,"OK",'Conciliacion de compuestos'!$J$2:$J$13,A278),COUNTIFS('Conciliacion de compuestos'!$D$2:$D$13,"conciliado",'Conciliacion de compuestos'!$E$2:$E$13,"OK",'Conciliacion de compuestos'!$K$2:$K$13,A278),COUNTIFS('Conciliacion de compuestos'!$D$2:$D$13,"conciliado",'Conciliacion de compuestos'!$E$2:$E$13,"OK",'Conciliacion de compuestos'!$L$2:$L$13,A278))&gt;0,"conciliado en compuesto confirmado","disponible")</f>
        <v/>
      </c>
    </row>
    <row r="279">
      <c r="A279" s="11" t="n">
        <v>1402</v>
      </c>
      <c r="B279" s="12" t="n">
        <v>46048</v>
      </c>
      <c r="C279" s="11" t="inlineStr">
        <is>
          <t>depositos electronicos masterca transaccion</t>
        </is>
      </c>
      <c r="D279" s="13" t="n">
        <v>144000</v>
      </c>
      <c r="E279" s="11">
        <f>IF(SUM(COUNTIFS('Conciliacion de compuestos'!$D$2:$D$13,"conciliado",'Conciliacion de compuestos'!$E$2:$E$13,"OK",'Conciliacion de compuestos'!$J$2:$J$13,A279),COUNTIFS('Conciliacion de compuestos'!$D$2:$D$13,"conciliado",'Conciliacion de compuestos'!$E$2:$E$13,"OK",'Conciliacion de compuestos'!$K$2:$K$13,A279),COUNTIFS('Conciliacion de compuestos'!$D$2:$D$13,"conciliado",'Conciliacion de compuestos'!$E$2:$E$13,"OK",'Conciliacion de compuestos'!$L$2:$L$13,A279))&gt;0,"conciliado en compuesto confirmado","disponible")</f>
        <v/>
      </c>
    </row>
    <row r="280">
      <c r="A280" s="11" t="n">
        <v>1407</v>
      </c>
      <c r="B280" s="12" t="n">
        <v>46048</v>
      </c>
      <c r="C280" s="11" t="inlineStr">
        <is>
          <t>depositos electronicos masterca transaccion</t>
        </is>
      </c>
      <c r="D280" s="13" t="n">
        <v>79900</v>
      </c>
      <c r="E280" s="11">
        <f>IF(SUM(COUNTIFS('Conciliacion de compuestos'!$D$2:$D$13,"conciliado",'Conciliacion de compuestos'!$E$2:$E$13,"OK",'Conciliacion de compuestos'!$J$2:$J$13,A280),COUNTIFS('Conciliacion de compuestos'!$D$2:$D$13,"conciliado",'Conciliacion de compuestos'!$E$2:$E$13,"OK",'Conciliacion de compuestos'!$K$2:$K$13,A280),COUNTIFS('Conciliacion de compuestos'!$D$2:$D$13,"conciliado",'Conciliacion de compuestos'!$E$2:$E$13,"OK",'Conciliacion de compuestos'!$L$2:$L$13,A280))&gt;0,"conciliado en compuesto confirmado","disponible")</f>
        <v/>
      </c>
    </row>
    <row r="281">
      <c r="A281" s="11" t="n">
        <v>1412</v>
      </c>
      <c r="B281" s="12" t="n">
        <v>46048</v>
      </c>
      <c r="C281" s="11" t="inlineStr">
        <is>
          <t>depositos electronicos masterca transaccion</t>
        </is>
      </c>
      <c r="D281" s="13" t="n">
        <v>135200</v>
      </c>
      <c r="E281" s="11">
        <f>IF(SUM(COUNTIFS('Conciliacion de compuestos'!$D$2:$D$13,"conciliado",'Conciliacion de compuestos'!$E$2:$E$13,"OK",'Conciliacion de compuestos'!$J$2:$J$13,A281),COUNTIFS('Conciliacion de compuestos'!$D$2:$D$13,"conciliado",'Conciliacion de compuestos'!$E$2:$E$13,"OK",'Conciliacion de compuestos'!$K$2:$K$13,A281),COUNTIFS('Conciliacion de compuestos'!$D$2:$D$13,"conciliado",'Conciliacion de compuestos'!$E$2:$E$13,"OK",'Conciliacion de compuestos'!$L$2:$L$13,A281))&gt;0,"conciliado en compuesto confirmado","disponible")</f>
        <v/>
      </c>
    </row>
    <row r="282">
      <c r="A282" s="11" t="n">
        <v>1417</v>
      </c>
      <c r="B282" s="12" t="n">
        <v>46048</v>
      </c>
      <c r="C282" s="11" t="inlineStr">
        <is>
          <t>depositos electronicos masterca transaccion</t>
        </is>
      </c>
      <c r="D282" s="13" t="n">
        <v>32700</v>
      </c>
      <c r="E282" s="11">
        <f>IF(SUM(COUNTIFS('Conciliacion de compuestos'!$D$2:$D$13,"conciliado",'Conciliacion de compuestos'!$E$2:$E$13,"OK",'Conciliacion de compuestos'!$J$2:$J$13,A282),COUNTIFS('Conciliacion de compuestos'!$D$2:$D$13,"conciliado",'Conciliacion de compuestos'!$E$2:$E$13,"OK",'Conciliacion de compuestos'!$K$2:$K$13,A282),COUNTIFS('Conciliacion de compuestos'!$D$2:$D$13,"conciliado",'Conciliacion de compuestos'!$E$2:$E$13,"OK",'Conciliacion de compuestos'!$L$2:$L$13,A282))&gt;0,"conciliado en compuesto confirmado","disponible")</f>
        <v/>
      </c>
    </row>
    <row r="283">
      <c r="A283" s="11" t="n">
        <v>1422</v>
      </c>
      <c r="B283" s="12" t="n">
        <v>46048</v>
      </c>
      <c r="C283" s="11" t="inlineStr">
        <is>
          <t>depositos electronicos masterca transaccion</t>
        </is>
      </c>
      <c r="D283" s="13" t="n">
        <v>160000</v>
      </c>
      <c r="E283" s="11">
        <f>IF(SUM(COUNTIFS('Conciliacion de compuestos'!$D$2:$D$13,"conciliado",'Conciliacion de compuestos'!$E$2:$E$13,"OK",'Conciliacion de compuestos'!$J$2:$J$13,A283),COUNTIFS('Conciliacion de compuestos'!$D$2:$D$13,"conciliado",'Conciliacion de compuestos'!$E$2:$E$13,"OK",'Conciliacion de compuestos'!$K$2:$K$13,A283),COUNTIFS('Conciliacion de compuestos'!$D$2:$D$13,"conciliado",'Conciliacion de compuestos'!$E$2:$E$13,"OK",'Conciliacion de compuestos'!$L$2:$L$13,A283))&gt;0,"conciliado en compuesto confirmado","disponible")</f>
        <v/>
      </c>
    </row>
    <row r="284">
      <c r="A284" s="11" t="n">
        <v>1427</v>
      </c>
      <c r="B284" s="12" t="n">
        <v>46048</v>
      </c>
      <c r="C284" s="11" t="inlineStr">
        <is>
          <t>depositos electronicos masterca transaccion</t>
        </is>
      </c>
      <c r="D284" s="13" t="n">
        <v>84000</v>
      </c>
      <c r="E284" s="11">
        <f>IF(SUM(COUNTIFS('Conciliacion de compuestos'!$D$2:$D$13,"conciliado",'Conciliacion de compuestos'!$E$2:$E$13,"OK",'Conciliacion de compuestos'!$J$2:$J$13,A284),COUNTIFS('Conciliacion de compuestos'!$D$2:$D$13,"conciliado",'Conciliacion de compuestos'!$E$2:$E$13,"OK",'Conciliacion de compuestos'!$K$2:$K$13,A284),COUNTIFS('Conciliacion de compuestos'!$D$2:$D$13,"conciliado",'Conciliacion de compuestos'!$E$2:$E$13,"OK",'Conciliacion de compuestos'!$L$2:$L$13,A284))&gt;0,"conciliado en compuesto confirmado","disponible")</f>
        <v/>
      </c>
    </row>
    <row r="285">
      <c r="A285" s="11" t="n">
        <v>1432</v>
      </c>
      <c r="B285" s="12" t="n">
        <v>46049</v>
      </c>
      <c r="C285" s="11" t="inlineStr">
        <is>
          <t>consignacion credibanco d e</t>
        </is>
      </c>
      <c r="D285" s="13" t="n">
        <v>223420</v>
      </c>
      <c r="E285" s="11">
        <f>IF(SUM(COUNTIFS('Conciliacion de compuestos'!$D$2:$D$13,"conciliado",'Conciliacion de compuestos'!$E$2:$E$13,"OK",'Conciliacion de compuestos'!$J$2:$J$13,A285),COUNTIFS('Conciliacion de compuestos'!$D$2:$D$13,"conciliado",'Conciliacion de compuestos'!$E$2:$E$13,"OK",'Conciliacion de compuestos'!$K$2:$K$13,A285),COUNTIFS('Conciliacion de compuestos'!$D$2:$D$13,"conciliado",'Conciliacion de compuestos'!$E$2:$E$13,"OK",'Conciliacion de compuestos'!$L$2:$L$13,A285))&gt;0,"conciliado en compuesto confirmado","disponible")</f>
        <v/>
      </c>
    </row>
    <row r="286">
      <c r="A286" s="11" t="n">
        <v>1437</v>
      </c>
      <c r="B286" s="12" t="n">
        <v>46049</v>
      </c>
      <c r="C286" s="11" t="inlineStr">
        <is>
          <t>consignacion credibanco d e</t>
        </is>
      </c>
      <c r="D286" s="13" t="n">
        <v>28400</v>
      </c>
      <c r="E286" s="11">
        <f>IF(SUM(COUNTIFS('Conciliacion de compuestos'!$D$2:$D$13,"conciliado",'Conciliacion de compuestos'!$E$2:$E$13,"OK",'Conciliacion de compuestos'!$J$2:$J$13,A286),COUNTIFS('Conciliacion de compuestos'!$D$2:$D$13,"conciliado",'Conciliacion de compuestos'!$E$2:$E$13,"OK",'Conciliacion de compuestos'!$K$2:$K$13,A286),COUNTIFS('Conciliacion de compuestos'!$D$2:$D$13,"conciliado",'Conciliacion de compuestos'!$E$2:$E$13,"OK",'Conciliacion de compuestos'!$L$2:$L$13,A286))&gt;0,"conciliado en compuesto confirmado","disponible")</f>
        <v/>
      </c>
    </row>
    <row r="287">
      <c r="A287" s="11" t="n">
        <v>1442</v>
      </c>
      <c r="B287" s="12" t="n">
        <v>46049</v>
      </c>
      <c r="C287" s="11" t="inlineStr">
        <is>
          <t>consignacion credibanco d e</t>
        </is>
      </c>
      <c r="D287" s="13" t="n">
        <v>40463</v>
      </c>
      <c r="E287" s="11">
        <f>IF(SUM(COUNTIFS('Conciliacion de compuestos'!$D$2:$D$13,"conciliado",'Conciliacion de compuestos'!$E$2:$E$13,"OK",'Conciliacion de compuestos'!$J$2:$J$13,A287),COUNTIFS('Conciliacion de compuestos'!$D$2:$D$13,"conciliado",'Conciliacion de compuestos'!$E$2:$E$13,"OK",'Conciliacion de compuestos'!$K$2:$K$13,A287),COUNTIFS('Conciliacion de compuestos'!$D$2:$D$13,"conciliado",'Conciliacion de compuestos'!$E$2:$E$13,"OK",'Conciliacion de compuestos'!$L$2:$L$13,A287))&gt;0,"conciliado en compuesto confirmado","disponible")</f>
        <v/>
      </c>
    </row>
    <row r="288">
      <c r="A288" s="11" t="n">
        <v>1447</v>
      </c>
      <c r="B288" s="12" t="n">
        <v>46049</v>
      </c>
      <c r="C288" s="11" t="inlineStr">
        <is>
          <t>consignacion credibanco d e</t>
        </is>
      </c>
      <c r="D288" s="13" t="n">
        <v>53300</v>
      </c>
      <c r="E288" s="11">
        <f>IF(SUM(COUNTIFS('Conciliacion de compuestos'!$D$2:$D$13,"conciliado",'Conciliacion de compuestos'!$E$2:$E$13,"OK",'Conciliacion de compuestos'!$J$2:$J$13,A288),COUNTIFS('Conciliacion de compuestos'!$D$2:$D$13,"conciliado",'Conciliacion de compuestos'!$E$2:$E$13,"OK",'Conciliacion de compuestos'!$K$2:$K$13,A288),COUNTIFS('Conciliacion de compuestos'!$D$2:$D$13,"conciliado",'Conciliacion de compuestos'!$E$2:$E$13,"OK",'Conciliacion de compuestos'!$L$2:$L$13,A288))&gt;0,"conciliado en compuesto confirmado","disponible")</f>
        <v/>
      </c>
    </row>
    <row r="289">
      <c r="A289" s="11" t="n">
        <v>1452</v>
      </c>
      <c r="B289" s="12" t="n">
        <v>46049</v>
      </c>
      <c r="C289" s="11" t="inlineStr">
        <is>
          <t>consignacion credibanco d e</t>
        </is>
      </c>
      <c r="D289" s="13" t="n">
        <v>22500</v>
      </c>
      <c r="E289" s="11">
        <f>IF(SUM(COUNTIFS('Conciliacion de compuestos'!$D$2:$D$13,"conciliado",'Conciliacion de compuestos'!$E$2:$E$13,"OK",'Conciliacion de compuestos'!$J$2:$J$13,A289),COUNTIFS('Conciliacion de compuestos'!$D$2:$D$13,"conciliado",'Conciliacion de compuestos'!$E$2:$E$13,"OK",'Conciliacion de compuestos'!$K$2:$K$13,A289),COUNTIFS('Conciliacion de compuestos'!$D$2:$D$13,"conciliado",'Conciliacion de compuestos'!$E$2:$E$13,"OK",'Conciliacion de compuestos'!$L$2:$L$13,A289))&gt;0,"conciliado en compuesto confirmado","disponible")</f>
        <v/>
      </c>
    </row>
    <row r="290">
      <c r="A290" s="11" t="n">
        <v>1457</v>
      </c>
      <c r="B290" s="12" t="n">
        <v>46049</v>
      </c>
      <c r="C290" s="11" t="inlineStr">
        <is>
          <t>consignacion credibanco d e</t>
        </is>
      </c>
      <c r="D290" s="13" t="n">
        <v>61300</v>
      </c>
      <c r="E290" s="11">
        <f>IF(SUM(COUNTIFS('Conciliacion de compuestos'!$D$2:$D$13,"conciliado",'Conciliacion de compuestos'!$E$2:$E$13,"OK",'Conciliacion de compuestos'!$J$2:$J$13,A290),COUNTIFS('Conciliacion de compuestos'!$D$2:$D$13,"conciliado",'Conciliacion de compuestos'!$E$2:$E$13,"OK",'Conciliacion de compuestos'!$K$2:$K$13,A290),COUNTIFS('Conciliacion de compuestos'!$D$2:$D$13,"conciliado",'Conciliacion de compuestos'!$E$2:$E$13,"OK",'Conciliacion de compuestos'!$L$2:$L$13,A290))&gt;0,"conciliado en compuesto confirmado","disponible")</f>
        <v/>
      </c>
    </row>
    <row r="291">
      <c r="A291" s="11" t="n">
        <v>1462</v>
      </c>
      <c r="B291" s="12" t="n">
        <v>46049</v>
      </c>
      <c r="C291" s="11" t="inlineStr">
        <is>
          <t>consignacion credibanco d e</t>
        </is>
      </c>
      <c r="D291" s="13" t="n">
        <v>40400</v>
      </c>
      <c r="E291" s="11">
        <f>IF(SUM(COUNTIFS('Conciliacion de compuestos'!$D$2:$D$13,"conciliado",'Conciliacion de compuestos'!$E$2:$E$13,"OK",'Conciliacion de compuestos'!$J$2:$J$13,A291),COUNTIFS('Conciliacion de compuestos'!$D$2:$D$13,"conciliado",'Conciliacion de compuestos'!$E$2:$E$13,"OK",'Conciliacion de compuestos'!$K$2:$K$13,A291),COUNTIFS('Conciliacion de compuestos'!$D$2:$D$13,"conciliado",'Conciliacion de compuestos'!$E$2:$E$13,"OK",'Conciliacion de compuestos'!$L$2:$L$13,A291))&gt;0,"conciliado en compuesto confirmado","disponible")</f>
        <v/>
      </c>
    </row>
    <row r="292">
      <c r="A292" s="11" t="n">
        <v>1467</v>
      </c>
      <c r="B292" s="12" t="n">
        <v>46049</v>
      </c>
      <c r="C292" s="11" t="inlineStr">
        <is>
          <t>consignacion credibanco d e</t>
        </is>
      </c>
      <c r="D292" s="13" t="n">
        <v>48000</v>
      </c>
      <c r="E292" s="11">
        <f>IF(SUM(COUNTIFS('Conciliacion de compuestos'!$D$2:$D$13,"conciliado",'Conciliacion de compuestos'!$E$2:$E$13,"OK",'Conciliacion de compuestos'!$J$2:$J$13,A292),COUNTIFS('Conciliacion de compuestos'!$D$2:$D$13,"conciliado",'Conciliacion de compuestos'!$E$2:$E$13,"OK",'Conciliacion de compuestos'!$K$2:$K$13,A292),COUNTIFS('Conciliacion de compuestos'!$D$2:$D$13,"conciliado",'Conciliacion de compuestos'!$E$2:$E$13,"OK",'Conciliacion de compuestos'!$L$2:$L$13,A292))&gt;0,"conciliado en compuesto confirmado","disponible")</f>
        <v/>
      </c>
    </row>
    <row r="293">
      <c r="A293" s="11" t="n">
        <v>1472</v>
      </c>
      <c r="B293" s="12" t="n">
        <v>46049</v>
      </c>
      <c r="C293" s="11" t="inlineStr">
        <is>
          <t>consignacion credibanco d e</t>
        </is>
      </c>
      <c r="D293" s="13" t="n">
        <v>54200</v>
      </c>
      <c r="E293" s="11">
        <f>IF(SUM(COUNTIFS('Conciliacion de compuestos'!$D$2:$D$13,"conciliado",'Conciliacion de compuestos'!$E$2:$E$13,"OK",'Conciliacion de compuestos'!$J$2:$J$13,A293),COUNTIFS('Conciliacion de compuestos'!$D$2:$D$13,"conciliado",'Conciliacion de compuestos'!$E$2:$E$13,"OK",'Conciliacion de compuestos'!$K$2:$K$13,A293),COUNTIFS('Conciliacion de compuestos'!$D$2:$D$13,"conciliado",'Conciliacion de compuestos'!$E$2:$E$13,"OK",'Conciliacion de compuestos'!$L$2:$L$13,A293))&gt;0,"conciliado en compuesto confirmado","disponible")</f>
        <v/>
      </c>
    </row>
    <row r="294">
      <c r="A294" s="11" t="n">
        <v>1477</v>
      </c>
      <c r="B294" s="12" t="n">
        <v>46049</v>
      </c>
      <c r="C294" s="11" t="inlineStr">
        <is>
          <t>depositos electronicos masterca transaccion</t>
        </is>
      </c>
      <c r="D294" s="13" t="n">
        <v>29800</v>
      </c>
      <c r="E294" s="11">
        <f>IF(SUM(COUNTIFS('Conciliacion de compuestos'!$D$2:$D$13,"conciliado",'Conciliacion de compuestos'!$E$2:$E$13,"OK",'Conciliacion de compuestos'!$J$2:$J$13,A294),COUNTIFS('Conciliacion de compuestos'!$D$2:$D$13,"conciliado",'Conciliacion de compuestos'!$E$2:$E$13,"OK",'Conciliacion de compuestos'!$K$2:$K$13,A294),COUNTIFS('Conciliacion de compuestos'!$D$2:$D$13,"conciliado",'Conciliacion de compuestos'!$E$2:$E$13,"OK",'Conciliacion de compuestos'!$L$2:$L$13,A294))&gt;0,"conciliado en compuesto confirmado","disponible")</f>
        <v/>
      </c>
    </row>
    <row r="295">
      <c r="A295" s="11" t="n">
        <v>1482</v>
      </c>
      <c r="B295" s="12" t="n">
        <v>46050</v>
      </c>
      <c r="C295" s="11" t="inlineStr">
        <is>
          <t>consignacion credibanco d e</t>
        </is>
      </c>
      <c r="D295" s="13" t="n">
        <v>21200</v>
      </c>
      <c r="E295" s="11">
        <f>IF(SUM(COUNTIFS('Conciliacion de compuestos'!$D$2:$D$13,"conciliado",'Conciliacion de compuestos'!$E$2:$E$13,"OK",'Conciliacion de compuestos'!$J$2:$J$13,A295),COUNTIFS('Conciliacion de compuestos'!$D$2:$D$13,"conciliado",'Conciliacion de compuestos'!$E$2:$E$13,"OK",'Conciliacion de compuestos'!$K$2:$K$13,A295),COUNTIFS('Conciliacion de compuestos'!$D$2:$D$13,"conciliado",'Conciliacion de compuestos'!$E$2:$E$13,"OK",'Conciliacion de compuestos'!$L$2:$L$13,A295))&gt;0,"conciliado en compuesto confirmado","disponible")</f>
        <v/>
      </c>
    </row>
    <row r="296">
      <c r="A296" s="11" t="n">
        <v>1487</v>
      </c>
      <c r="B296" s="12" t="n">
        <v>46050</v>
      </c>
      <c r="C296" s="11" t="inlineStr">
        <is>
          <t>consignacion credibanco d e</t>
        </is>
      </c>
      <c r="D296" s="13" t="n">
        <v>614400</v>
      </c>
      <c r="E296" s="11">
        <f>IF(SUM(COUNTIFS('Conciliacion de compuestos'!$D$2:$D$13,"conciliado",'Conciliacion de compuestos'!$E$2:$E$13,"OK",'Conciliacion de compuestos'!$J$2:$J$13,A296),COUNTIFS('Conciliacion de compuestos'!$D$2:$D$13,"conciliado",'Conciliacion de compuestos'!$E$2:$E$13,"OK",'Conciliacion de compuestos'!$K$2:$K$13,A296),COUNTIFS('Conciliacion de compuestos'!$D$2:$D$13,"conciliado",'Conciliacion de compuestos'!$E$2:$E$13,"OK",'Conciliacion de compuestos'!$L$2:$L$13,A296))&gt;0,"conciliado en compuesto confirmado","disponible")</f>
        <v/>
      </c>
    </row>
    <row r="297">
      <c r="A297" s="11" t="n">
        <v>1492</v>
      </c>
      <c r="B297" s="12" t="n">
        <v>46050</v>
      </c>
      <c r="C297" s="11" t="inlineStr">
        <is>
          <t>consignacion credibanco d e</t>
        </is>
      </c>
      <c r="D297" s="13" t="n">
        <v>29900</v>
      </c>
      <c r="E297" s="11">
        <f>IF(SUM(COUNTIFS('Conciliacion de compuestos'!$D$2:$D$13,"conciliado",'Conciliacion de compuestos'!$E$2:$E$13,"OK",'Conciliacion de compuestos'!$J$2:$J$13,A297),COUNTIFS('Conciliacion de compuestos'!$D$2:$D$13,"conciliado",'Conciliacion de compuestos'!$E$2:$E$13,"OK",'Conciliacion de compuestos'!$K$2:$K$13,A297),COUNTIFS('Conciliacion de compuestos'!$D$2:$D$13,"conciliado",'Conciliacion de compuestos'!$E$2:$E$13,"OK",'Conciliacion de compuestos'!$L$2:$L$13,A297))&gt;0,"conciliado en compuesto confirmado","disponible")</f>
        <v/>
      </c>
    </row>
    <row r="298">
      <c r="A298" s="11" t="n">
        <v>1497</v>
      </c>
      <c r="B298" s="12" t="n">
        <v>46050</v>
      </c>
      <c r="C298" s="11" t="inlineStr">
        <is>
          <t>consignacion credibanco d e</t>
        </is>
      </c>
      <c r="D298" s="13" t="n">
        <v>55000</v>
      </c>
      <c r="E298" s="11">
        <f>IF(SUM(COUNTIFS('Conciliacion de compuestos'!$D$2:$D$13,"conciliado",'Conciliacion de compuestos'!$E$2:$E$13,"OK",'Conciliacion de compuestos'!$J$2:$J$13,A298),COUNTIFS('Conciliacion de compuestos'!$D$2:$D$13,"conciliado",'Conciliacion de compuestos'!$E$2:$E$13,"OK",'Conciliacion de compuestos'!$K$2:$K$13,A298),COUNTIFS('Conciliacion de compuestos'!$D$2:$D$13,"conciliado",'Conciliacion de compuestos'!$E$2:$E$13,"OK",'Conciliacion de compuestos'!$L$2:$L$13,A298))&gt;0,"conciliado en compuesto confirmado","disponible")</f>
        <v/>
      </c>
    </row>
    <row r="299">
      <c r="A299" s="11" t="n">
        <v>1502</v>
      </c>
      <c r="B299" s="12" t="n">
        <v>46050</v>
      </c>
      <c r="C299" s="11" t="inlineStr">
        <is>
          <t>consignacion credibanco d e</t>
        </is>
      </c>
      <c r="D299" s="13" t="n">
        <v>356400</v>
      </c>
      <c r="E299" s="11">
        <f>IF(SUM(COUNTIFS('Conciliacion de compuestos'!$D$2:$D$13,"conciliado",'Conciliacion de compuestos'!$E$2:$E$13,"OK",'Conciliacion de compuestos'!$J$2:$J$13,A299),COUNTIFS('Conciliacion de compuestos'!$D$2:$D$13,"conciliado",'Conciliacion de compuestos'!$E$2:$E$13,"OK",'Conciliacion de compuestos'!$K$2:$K$13,A299),COUNTIFS('Conciliacion de compuestos'!$D$2:$D$13,"conciliado",'Conciliacion de compuestos'!$E$2:$E$13,"OK",'Conciliacion de compuestos'!$L$2:$L$13,A299))&gt;0,"conciliado en compuesto confirmado","disponible")</f>
        <v/>
      </c>
    </row>
    <row r="300">
      <c r="A300" s="11" t="n">
        <v>1507</v>
      </c>
      <c r="B300" s="12" t="n">
        <v>46050</v>
      </c>
      <c r="C300" s="11" t="inlineStr">
        <is>
          <t>consignacion credibanco d e</t>
        </is>
      </c>
      <c r="D300" s="13" t="n">
        <v>60000</v>
      </c>
      <c r="E300" s="11">
        <f>IF(SUM(COUNTIFS('Conciliacion de compuestos'!$D$2:$D$13,"conciliado",'Conciliacion de compuestos'!$E$2:$E$13,"OK",'Conciliacion de compuestos'!$J$2:$J$13,A300),COUNTIFS('Conciliacion de compuestos'!$D$2:$D$13,"conciliado",'Conciliacion de compuestos'!$E$2:$E$13,"OK",'Conciliacion de compuestos'!$K$2:$K$13,A300),COUNTIFS('Conciliacion de compuestos'!$D$2:$D$13,"conciliado",'Conciliacion de compuestos'!$E$2:$E$13,"OK",'Conciliacion de compuestos'!$L$2:$L$13,A300))&gt;0,"conciliado en compuesto confirmado","disponible")</f>
        <v/>
      </c>
    </row>
    <row r="301">
      <c r="A301" s="11" t="n">
        <v>1516</v>
      </c>
      <c r="B301" s="12" t="n">
        <v>46051</v>
      </c>
      <c r="C301" s="11" t="inlineStr">
        <is>
          <t>consignacion credibanco d e</t>
        </is>
      </c>
      <c r="D301" s="13" t="n">
        <v>48500</v>
      </c>
      <c r="E301" s="11">
        <f>IF(SUM(COUNTIFS('Conciliacion de compuestos'!$D$2:$D$13,"conciliado",'Conciliacion de compuestos'!$E$2:$E$13,"OK",'Conciliacion de compuestos'!$J$2:$J$13,A301),COUNTIFS('Conciliacion de compuestos'!$D$2:$D$13,"conciliado",'Conciliacion de compuestos'!$E$2:$E$13,"OK",'Conciliacion de compuestos'!$K$2:$K$13,A301),COUNTIFS('Conciliacion de compuestos'!$D$2:$D$13,"conciliado",'Conciliacion de compuestos'!$E$2:$E$13,"OK",'Conciliacion de compuestos'!$L$2:$L$13,A301))&gt;0,"conciliado en compuesto confirmado","disponible")</f>
        <v/>
      </c>
    </row>
    <row r="302">
      <c r="A302" s="11" t="n">
        <v>1521</v>
      </c>
      <c r="B302" s="12" t="n">
        <v>46051</v>
      </c>
      <c r="C302" s="11" t="inlineStr">
        <is>
          <t>consignacion credibanco d e</t>
        </is>
      </c>
      <c r="D302" s="13" t="n">
        <v>33900</v>
      </c>
      <c r="E302" s="11">
        <f>IF(SUM(COUNTIFS('Conciliacion de compuestos'!$D$2:$D$13,"conciliado",'Conciliacion de compuestos'!$E$2:$E$13,"OK",'Conciliacion de compuestos'!$J$2:$J$13,A302),COUNTIFS('Conciliacion de compuestos'!$D$2:$D$13,"conciliado",'Conciliacion de compuestos'!$E$2:$E$13,"OK",'Conciliacion de compuestos'!$K$2:$K$13,A302),COUNTIFS('Conciliacion de compuestos'!$D$2:$D$13,"conciliado",'Conciliacion de compuestos'!$E$2:$E$13,"OK",'Conciliacion de compuestos'!$L$2:$L$13,A302))&gt;0,"conciliado en compuesto confirmado","disponible")</f>
        <v/>
      </c>
    </row>
    <row r="303">
      <c r="A303" s="11" t="n">
        <v>1526</v>
      </c>
      <c r="B303" s="12" t="n">
        <v>46051</v>
      </c>
      <c r="C303" s="11" t="inlineStr">
        <is>
          <t>consignacion credibanco d e</t>
        </is>
      </c>
      <c r="D303" s="13" t="n">
        <v>88080</v>
      </c>
      <c r="E303" s="11">
        <f>IF(SUM(COUNTIFS('Conciliacion de compuestos'!$D$2:$D$13,"conciliado",'Conciliacion de compuestos'!$E$2:$E$13,"OK",'Conciliacion de compuestos'!$J$2:$J$13,A303),COUNTIFS('Conciliacion de compuestos'!$D$2:$D$13,"conciliado",'Conciliacion de compuestos'!$E$2:$E$13,"OK",'Conciliacion de compuestos'!$K$2:$K$13,A303),COUNTIFS('Conciliacion de compuestos'!$D$2:$D$13,"conciliado",'Conciliacion de compuestos'!$E$2:$E$13,"OK",'Conciliacion de compuestos'!$L$2:$L$13,A303))&gt;0,"conciliado en compuesto confirmado","disponible")</f>
        <v/>
      </c>
    </row>
    <row r="304">
      <c r="A304" s="11" t="n">
        <v>1531</v>
      </c>
      <c r="B304" s="12" t="n">
        <v>46051</v>
      </c>
      <c r="C304" s="11" t="inlineStr">
        <is>
          <t>consignacion credibanco d e</t>
        </is>
      </c>
      <c r="D304" s="13" t="n">
        <v>137900</v>
      </c>
      <c r="E304" s="11">
        <f>IF(SUM(COUNTIFS('Conciliacion de compuestos'!$D$2:$D$13,"conciliado",'Conciliacion de compuestos'!$E$2:$E$13,"OK",'Conciliacion de compuestos'!$J$2:$J$13,A304),COUNTIFS('Conciliacion de compuestos'!$D$2:$D$13,"conciliado",'Conciliacion de compuestos'!$E$2:$E$13,"OK",'Conciliacion de compuestos'!$K$2:$K$13,A304),COUNTIFS('Conciliacion de compuestos'!$D$2:$D$13,"conciliado",'Conciliacion de compuestos'!$E$2:$E$13,"OK",'Conciliacion de compuestos'!$L$2:$L$13,A304))&gt;0,"conciliado en compuesto confirmado","disponible")</f>
        <v/>
      </c>
    </row>
    <row r="305">
      <c r="A305" s="11" t="n">
        <v>1536</v>
      </c>
      <c r="B305" s="12" t="n">
        <v>46051</v>
      </c>
      <c r="C305" s="11" t="inlineStr">
        <is>
          <t>consignacion credibanco d e</t>
        </is>
      </c>
      <c r="D305" s="13" t="n">
        <v>52200</v>
      </c>
      <c r="E305" s="11">
        <f>IF(SUM(COUNTIFS('Conciliacion de compuestos'!$D$2:$D$13,"conciliado",'Conciliacion de compuestos'!$E$2:$E$13,"OK",'Conciliacion de compuestos'!$J$2:$J$13,A305),COUNTIFS('Conciliacion de compuestos'!$D$2:$D$13,"conciliado",'Conciliacion de compuestos'!$E$2:$E$13,"OK",'Conciliacion de compuestos'!$K$2:$K$13,A305),COUNTIFS('Conciliacion de compuestos'!$D$2:$D$13,"conciliado",'Conciliacion de compuestos'!$E$2:$E$13,"OK",'Conciliacion de compuestos'!$L$2:$L$13,A305))&gt;0,"conciliado en compuesto confirmado","disponible")</f>
        <v/>
      </c>
    </row>
    <row r="306">
      <c r="A306" s="11" t="n">
        <v>1541</v>
      </c>
      <c r="B306" s="12" t="n">
        <v>46051</v>
      </c>
      <c r="C306" s="11" t="inlineStr">
        <is>
          <t>consignacion credibanco d e</t>
        </is>
      </c>
      <c r="D306" s="13" t="n">
        <v>26200</v>
      </c>
      <c r="E306" s="11">
        <f>IF(SUM(COUNTIFS('Conciliacion de compuestos'!$D$2:$D$13,"conciliado",'Conciliacion de compuestos'!$E$2:$E$13,"OK",'Conciliacion de compuestos'!$J$2:$J$13,A306),COUNTIFS('Conciliacion de compuestos'!$D$2:$D$13,"conciliado",'Conciliacion de compuestos'!$E$2:$E$13,"OK",'Conciliacion de compuestos'!$K$2:$K$13,A306),COUNTIFS('Conciliacion de compuestos'!$D$2:$D$13,"conciliado",'Conciliacion de compuestos'!$E$2:$E$13,"OK",'Conciliacion de compuestos'!$L$2:$L$13,A306))&gt;0,"conciliado en compuesto confirmado","disponible")</f>
        <v/>
      </c>
    </row>
    <row r="307">
      <c r="A307" s="11" t="n">
        <v>1546</v>
      </c>
      <c r="B307" s="12" t="n">
        <v>46051</v>
      </c>
      <c r="C307" s="11" t="inlineStr">
        <is>
          <t>consignacion credibanco d e</t>
        </is>
      </c>
      <c r="D307" s="13" t="n">
        <v>102900</v>
      </c>
      <c r="E307" s="11">
        <f>IF(SUM(COUNTIFS('Conciliacion de compuestos'!$D$2:$D$13,"conciliado",'Conciliacion de compuestos'!$E$2:$E$13,"OK",'Conciliacion de compuestos'!$J$2:$J$13,A307),COUNTIFS('Conciliacion de compuestos'!$D$2:$D$13,"conciliado",'Conciliacion de compuestos'!$E$2:$E$13,"OK",'Conciliacion de compuestos'!$K$2:$K$13,A307),COUNTIFS('Conciliacion de compuestos'!$D$2:$D$13,"conciliado",'Conciliacion de compuestos'!$E$2:$E$13,"OK",'Conciliacion de compuestos'!$L$2:$L$13,A307))&gt;0,"conciliado en compuesto confirmado","disponible")</f>
        <v/>
      </c>
    </row>
    <row r="308">
      <c r="A308" s="11" t="n">
        <v>1551</v>
      </c>
      <c r="B308" s="12" t="n">
        <v>46051</v>
      </c>
      <c r="C308" s="11" t="inlineStr">
        <is>
          <t>consignacion credibanco d e</t>
        </is>
      </c>
      <c r="D308" s="13" t="n">
        <v>91800</v>
      </c>
      <c r="E308" s="11">
        <f>IF(SUM(COUNTIFS('Conciliacion de compuestos'!$D$2:$D$13,"conciliado",'Conciliacion de compuestos'!$E$2:$E$13,"OK",'Conciliacion de compuestos'!$J$2:$J$13,A308),COUNTIFS('Conciliacion de compuestos'!$D$2:$D$13,"conciliado",'Conciliacion de compuestos'!$E$2:$E$13,"OK",'Conciliacion de compuestos'!$K$2:$K$13,A308),COUNTIFS('Conciliacion de compuestos'!$D$2:$D$13,"conciliado",'Conciliacion de compuestos'!$E$2:$E$13,"OK",'Conciliacion de compuestos'!$L$2:$L$13,A308))&gt;0,"conciliado en compuesto confirmado","disponible")</f>
        <v/>
      </c>
    </row>
    <row r="309">
      <c r="A309" s="11" t="n">
        <v>1556</v>
      </c>
      <c r="B309" s="12" t="n">
        <v>46051</v>
      </c>
      <c r="C309" s="11" t="inlineStr">
        <is>
          <t>depositos electronicos masterca transaccion</t>
        </is>
      </c>
      <c r="D309" s="13" t="n">
        <v>23100</v>
      </c>
      <c r="E309" s="11">
        <f>IF(SUM(COUNTIFS('Conciliacion de compuestos'!$D$2:$D$13,"conciliado",'Conciliacion de compuestos'!$E$2:$E$13,"OK",'Conciliacion de compuestos'!$J$2:$J$13,A309),COUNTIFS('Conciliacion de compuestos'!$D$2:$D$13,"conciliado",'Conciliacion de compuestos'!$E$2:$E$13,"OK",'Conciliacion de compuestos'!$K$2:$K$13,A309),COUNTIFS('Conciliacion de compuestos'!$D$2:$D$13,"conciliado",'Conciliacion de compuestos'!$E$2:$E$13,"OK",'Conciliacion de compuestos'!$L$2:$L$13,A309))&gt;0,"conciliado en compuesto confirmado","disponible")</f>
        <v/>
      </c>
    </row>
    <row r="310">
      <c r="A310" s="11" t="n">
        <v>1561</v>
      </c>
      <c r="B310" s="12" t="n">
        <v>46051</v>
      </c>
      <c r="C310" s="11" t="inlineStr">
        <is>
          <t>depositos electronicos masterca transaccion</t>
        </is>
      </c>
      <c r="D310" s="13" t="n">
        <v>149100</v>
      </c>
      <c r="E310" s="11">
        <f>IF(SUM(COUNTIFS('Conciliacion de compuestos'!$D$2:$D$13,"conciliado",'Conciliacion de compuestos'!$E$2:$E$13,"OK",'Conciliacion de compuestos'!$J$2:$J$13,A310),COUNTIFS('Conciliacion de compuestos'!$D$2:$D$13,"conciliado",'Conciliacion de compuestos'!$E$2:$E$13,"OK",'Conciliacion de compuestos'!$K$2:$K$13,A310),COUNTIFS('Conciliacion de compuestos'!$D$2:$D$13,"conciliado",'Conciliacion de compuestos'!$E$2:$E$13,"OK",'Conciliacion de compuestos'!$L$2:$L$13,A310))&gt;0,"conciliado en compuesto confirmado","disponible")</f>
        <v/>
      </c>
    </row>
    <row r="311">
      <c r="A311" s="11" t="n">
        <v>1566</v>
      </c>
      <c r="B311" s="12" t="n">
        <v>46051</v>
      </c>
      <c r="C311" s="11" t="inlineStr">
        <is>
          <t>depositos electronicos masterca transaccion</t>
        </is>
      </c>
      <c r="D311" s="13" t="n">
        <v>229900</v>
      </c>
      <c r="E311" s="11">
        <f>IF(SUM(COUNTIFS('Conciliacion de compuestos'!$D$2:$D$13,"conciliado",'Conciliacion de compuestos'!$E$2:$E$13,"OK",'Conciliacion de compuestos'!$J$2:$J$13,A311),COUNTIFS('Conciliacion de compuestos'!$D$2:$D$13,"conciliado",'Conciliacion de compuestos'!$E$2:$E$13,"OK",'Conciliacion de compuestos'!$K$2:$K$13,A311),COUNTIFS('Conciliacion de compuestos'!$D$2:$D$13,"conciliado",'Conciliacion de compuestos'!$E$2:$E$13,"OK",'Conciliacion de compuestos'!$L$2:$L$13,A311))&gt;0,"conciliado en compuesto confirmado","disponible")</f>
        <v/>
      </c>
    </row>
    <row r="312">
      <c r="A312" s="11" t="n">
        <v>1571</v>
      </c>
      <c r="B312" s="12" t="n">
        <v>46051</v>
      </c>
      <c r="C312" s="11" t="inlineStr">
        <is>
          <t>depositos electronicos masterca transaccion</t>
        </is>
      </c>
      <c r="D312" s="13" t="n">
        <v>44050</v>
      </c>
      <c r="E312" s="11">
        <f>IF(SUM(COUNTIFS('Conciliacion de compuestos'!$D$2:$D$13,"conciliado",'Conciliacion de compuestos'!$E$2:$E$13,"OK",'Conciliacion de compuestos'!$J$2:$J$13,A312),COUNTIFS('Conciliacion de compuestos'!$D$2:$D$13,"conciliado",'Conciliacion de compuestos'!$E$2:$E$13,"OK",'Conciliacion de compuestos'!$K$2:$K$13,A312),COUNTIFS('Conciliacion de compuestos'!$D$2:$D$13,"conciliado",'Conciliacion de compuestos'!$E$2:$E$13,"OK",'Conciliacion de compuestos'!$L$2:$L$13,A312))&gt;0,"conciliado en compuesto confirmado","disponible")</f>
        <v/>
      </c>
    </row>
    <row r="313">
      <c r="A313" s="11" t="n">
        <v>1576</v>
      </c>
      <c r="B313" s="12" t="n">
        <v>46051</v>
      </c>
      <c r="C313" s="11" t="inlineStr">
        <is>
          <t>depositos electronicos masterca transaccion</t>
        </is>
      </c>
      <c r="D313" s="13" t="n">
        <v>17400</v>
      </c>
      <c r="E313" s="11">
        <f>IF(SUM(COUNTIFS('Conciliacion de compuestos'!$D$2:$D$13,"conciliado",'Conciliacion de compuestos'!$E$2:$E$13,"OK",'Conciliacion de compuestos'!$J$2:$J$13,A313),COUNTIFS('Conciliacion de compuestos'!$D$2:$D$13,"conciliado",'Conciliacion de compuestos'!$E$2:$E$13,"OK",'Conciliacion de compuestos'!$K$2:$K$13,A313),COUNTIFS('Conciliacion de compuestos'!$D$2:$D$13,"conciliado",'Conciliacion de compuestos'!$E$2:$E$13,"OK",'Conciliacion de compuestos'!$L$2:$L$13,A313))&gt;0,"conciliado en compuesto confirmado","disponible")</f>
        <v/>
      </c>
    </row>
    <row r="314">
      <c r="A314" s="11" t="n">
        <v>1581</v>
      </c>
      <c r="B314" s="12" t="n">
        <v>46051</v>
      </c>
      <c r="C314" s="11" t="inlineStr">
        <is>
          <t>depositos electronicos masterca transaccion</t>
        </is>
      </c>
      <c r="D314" s="13" t="n">
        <v>77500</v>
      </c>
      <c r="E314" s="11">
        <f>IF(SUM(COUNTIFS('Conciliacion de compuestos'!$D$2:$D$13,"conciliado",'Conciliacion de compuestos'!$E$2:$E$13,"OK",'Conciliacion de compuestos'!$J$2:$J$13,A314),COUNTIFS('Conciliacion de compuestos'!$D$2:$D$13,"conciliado",'Conciliacion de compuestos'!$E$2:$E$13,"OK",'Conciliacion de compuestos'!$K$2:$K$13,A314),COUNTIFS('Conciliacion de compuestos'!$D$2:$D$13,"conciliado",'Conciliacion de compuestos'!$E$2:$E$13,"OK",'Conciliacion de compuestos'!$L$2:$L$13,A314))&gt;0,"conciliado en compuesto confirmado","disponible")</f>
        <v/>
      </c>
    </row>
    <row r="315">
      <c r="A315" s="11" t="n">
        <v>1586</v>
      </c>
      <c r="B315" s="12" t="n">
        <v>46051</v>
      </c>
      <c r="C315" s="11" t="inlineStr">
        <is>
          <t>depositos electronicos masterca transaccion</t>
        </is>
      </c>
      <c r="D315" s="13" t="n">
        <v>150000</v>
      </c>
      <c r="E315" s="11">
        <f>IF(SUM(COUNTIFS('Conciliacion de compuestos'!$D$2:$D$13,"conciliado",'Conciliacion de compuestos'!$E$2:$E$13,"OK",'Conciliacion de compuestos'!$J$2:$J$13,A315),COUNTIFS('Conciliacion de compuestos'!$D$2:$D$13,"conciliado",'Conciliacion de compuestos'!$E$2:$E$13,"OK",'Conciliacion de compuestos'!$K$2:$K$13,A315),COUNTIFS('Conciliacion de compuestos'!$D$2:$D$13,"conciliado",'Conciliacion de compuestos'!$E$2:$E$13,"OK",'Conciliacion de compuestos'!$L$2:$L$13,A315))&gt;0,"conciliado en compuesto confirmado","disponible")</f>
        <v/>
      </c>
    </row>
    <row r="316">
      <c r="A316" s="11" t="n">
        <v>1591</v>
      </c>
      <c r="B316" s="12" t="n">
        <v>46051</v>
      </c>
      <c r="C316" s="11" t="inlineStr">
        <is>
          <t>depositos electronicos masterca transaccion</t>
        </is>
      </c>
      <c r="D316" s="13" t="n">
        <v>28700</v>
      </c>
      <c r="E316" s="11">
        <f>IF(SUM(COUNTIFS('Conciliacion de compuestos'!$D$2:$D$13,"conciliado",'Conciliacion de compuestos'!$E$2:$E$13,"OK",'Conciliacion de compuestos'!$J$2:$J$13,A316),COUNTIFS('Conciliacion de compuestos'!$D$2:$D$13,"conciliado",'Conciliacion de compuestos'!$E$2:$E$13,"OK",'Conciliacion de compuestos'!$K$2:$K$13,A316),COUNTIFS('Conciliacion de compuestos'!$D$2:$D$13,"conciliado",'Conciliacion de compuestos'!$E$2:$E$13,"OK",'Conciliacion de compuestos'!$L$2:$L$13,A316))&gt;0,"conciliado en compuesto confirmado","disponible")</f>
        <v/>
      </c>
    </row>
    <row r="317">
      <c r="A317" s="11" t="n">
        <v>1596</v>
      </c>
      <c r="B317" s="12" t="n">
        <v>46051</v>
      </c>
      <c r="C317" s="11" t="inlineStr">
        <is>
          <t>depositos electronicos masterca transaccion</t>
        </is>
      </c>
      <c r="D317" s="13" t="n">
        <v>23000</v>
      </c>
      <c r="E317" s="11">
        <f>IF(SUM(COUNTIFS('Conciliacion de compuestos'!$D$2:$D$13,"conciliado",'Conciliacion de compuestos'!$E$2:$E$13,"OK",'Conciliacion de compuestos'!$J$2:$J$13,A317),COUNTIFS('Conciliacion de compuestos'!$D$2:$D$13,"conciliado",'Conciliacion de compuestos'!$E$2:$E$13,"OK",'Conciliacion de compuestos'!$K$2:$K$13,A317),COUNTIFS('Conciliacion de compuestos'!$D$2:$D$13,"conciliado",'Conciliacion de compuestos'!$E$2:$E$13,"OK",'Conciliacion de compuestos'!$L$2:$L$13,A317))&gt;0,"conciliado en compuesto confirmado","disponible")</f>
        <v/>
      </c>
    </row>
    <row r="318">
      <c r="A318" s="11" t="n">
        <v>1601</v>
      </c>
      <c r="B318" s="12" t="n">
        <v>46052</v>
      </c>
      <c r="C318" s="11" t="inlineStr">
        <is>
          <t>consignacion credibanco d e</t>
        </is>
      </c>
      <c r="D318" s="13" t="n">
        <v>59300</v>
      </c>
      <c r="E318" s="11">
        <f>IF(SUM(COUNTIFS('Conciliacion de compuestos'!$D$2:$D$13,"conciliado",'Conciliacion de compuestos'!$E$2:$E$13,"OK",'Conciliacion de compuestos'!$J$2:$J$13,A318),COUNTIFS('Conciliacion de compuestos'!$D$2:$D$13,"conciliado",'Conciliacion de compuestos'!$E$2:$E$13,"OK",'Conciliacion de compuestos'!$K$2:$K$13,A318),COUNTIFS('Conciliacion de compuestos'!$D$2:$D$13,"conciliado",'Conciliacion de compuestos'!$E$2:$E$13,"OK",'Conciliacion de compuestos'!$L$2:$L$13,A318))&gt;0,"conciliado en compuesto confirmado","disponible")</f>
        <v/>
      </c>
    </row>
    <row r="319">
      <c r="A319" s="11" t="n">
        <v>1606</v>
      </c>
      <c r="B319" s="12" t="n">
        <v>46052</v>
      </c>
      <c r="C319" s="11" t="inlineStr">
        <is>
          <t>consignacion credibanco d e</t>
        </is>
      </c>
      <c r="D319" s="13" t="n">
        <v>134250</v>
      </c>
      <c r="E319" s="11">
        <f>IF(SUM(COUNTIFS('Conciliacion de compuestos'!$D$2:$D$13,"conciliado",'Conciliacion de compuestos'!$E$2:$E$13,"OK",'Conciliacion de compuestos'!$J$2:$J$13,A319),COUNTIFS('Conciliacion de compuestos'!$D$2:$D$13,"conciliado",'Conciliacion de compuestos'!$E$2:$E$13,"OK",'Conciliacion de compuestos'!$K$2:$K$13,A319),COUNTIFS('Conciliacion de compuestos'!$D$2:$D$13,"conciliado",'Conciliacion de compuestos'!$E$2:$E$13,"OK",'Conciliacion de compuestos'!$L$2:$L$13,A319))&gt;0,"conciliado en compuesto confirmado","disponible")</f>
        <v/>
      </c>
    </row>
    <row r="320">
      <c r="A320" s="11" t="n">
        <v>1611</v>
      </c>
      <c r="B320" s="12" t="n">
        <v>46052</v>
      </c>
      <c r="C320" s="11" t="inlineStr">
        <is>
          <t>consignacion credibanco d e</t>
        </is>
      </c>
      <c r="D320" s="13" t="n">
        <v>68600</v>
      </c>
      <c r="E320" s="11">
        <f>IF(SUM(COUNTIFS('Conciliacion de compuestos'!$D$2:$D$13,"conciliado",'Conciliacion de compuestos'!$E$2:$E$13,"OK",'Conciliacion de compuestos'!$J$2:$J$13,A320),COUNTIFS('Conciliacion de compuestos'!$D$2:$D$13,"conciliado",'Conciliacion de compuestos'!$E$2:$E$13,"OK",'Conciliacion de compuestos'!$K$2:$K$13,A320),COUNTIFS('Conciliacion de compuestos'!$D$2:$D$13,"conciliado",'Conciliacion de compuestos'!$E$2:$E$13,"OK",'Conciliacion de compuestos'!$L$2:$L$13,A320))&gt;0,"conciliado en compuesto confirmado","disponible")</f>
        <v/>
      </c>
    </row>
    <row r="321">
      <c r="A321" s="11" t="n">
        <v>1616</v>
      </c>
      <c r="B321" s="12" t="n">
        <v>46052</v>
      </c>
      <c r="C321" s="11" t="inlineStr">
        <is>
          <t>consignacion credibanco d e</t>
        </is>
      </c>
      <c r="D321" s="13" t="n">
        <v>28200</v>
      </c>
      <c r="E321" s="11">
        <f>IF(SUM(COUNTIFS('Conciliacion de compuestos'!$D$2:$D$13,"conciliado",'Conciliacion de compuestos'!$E$2:$E$13,"OK",'Conciliacion de compuestos'!$J$2:$J$13,A321),COUNTIFS('Conciliacion de compuestos'!$D$2:$D$13,"conciliado",'Conciliacion de compuestos'!$E$2:$E$13,"OK",'Conciliacion de compuestos'!$K$2:$K$13,A321),COUNTIFS('Conciliacion de compuestos'!$D$2:$D$13,"conciliado",'Conciliacion de compuestos'!$E$2:$E$13,"OK",'Conciliacion de compuestos'!$L$2:$L$13,A321))&gt;0,"conciliado en compuesto confirmado","disponible")</f>
        <v/>
      </c>
    </row>
    <row r="322">
      <c r="A322" s="11" t="n">
        <v>1621</v>
      </c>
      <c r="B322" s="12" t="n">
        <v>46052</v>
      </c>
      <c r="C322" s="11" t="inlineStr">
        <is>
          <t>consignacion credibanco d e</t>
        </is>
      </c>
      <c r="D322" s="13" t="n">
        <v>75000</v>
      </c>
      <c r="E322" s="11">
        <f>IF(SUM(COUNTIFS('Conciliacion de compuestos'!$D$2:$D$13,"conciliado",'Conciliacion de compuestos'!$E$2:$E$13,"OK",'Conciliacion de compuestos'!$J$2:$J$13,A322),COUNTIFS('Conciliacion de compuestos'!$D$2:$D$13,"conciliado",'Conciliacion de compuestos'!$E$2:$E$13,"OK",'Conciliacion de compuestos'!$K$2:$K$13,A322),COUNTIFS('Conciliacion de compuestos'!$D$2:$D$13,"conciliado",'Conciliacion de compuestos'!$E$2:$E$13,"OK",'Conciliacion de compuestos'!$L$2:$L$13,A322))&gt;0,"conciliado en compuesto confirmado","disponible")</f>
        <v/>
      </c>
    </row>
    <row r="323">
      <c r="A323" s="11" t="n">
        <v>1626</v>
      </c>
      <c r="B323" s="12" t="n">
        <v>46052</v>
      </c>
      <c r="C323" s="11" t="inlineStr">
        <is>
          <t>consignacion credibanco d e</t>
        </is>
      </c>
      <c r="D323" s="13" t="n">
        <v>97000</v>
      </c>
      <c r="E323" s="11">
        <f>IF(SUM(COUNTIFS('Conciliacion de compuestos'!$D$2:$D$13,"conciliado",'Conciliacion de compuestos'!$E$2:$E$13,"OK",'Conciliacion de compuestos'!$J$2:$J$13,A323),COUNTIFS('Conciliacion de compuestos'!$D$2:$D$13,"conciliado",'Conciliacion de compuestos'!$E$2:$E$13,"OK",'Conciliacion de compuestos'!$K$2:$K$13,A323),COUNTIFS('Conciliacion de compuestos'!$D$2:$D$13,"conciliado",'Conciliacion de compuestos'!$E$2:$E$13,"OK",'Conciliacion de compuestos'!$L$2:$L$13,A323))&gt;0,"conciliado en compuesto confirmado","disponible")</f>
        <v/>
      </c>
    </row>
    <row r="324">
      <c r="A324" s="11" t="n">
        <v>1631</v>
      </c>
      <c r="B324" s="12" t="n">
        <v>46052</v>
      </c>
      <c r="C324" s="11" t="inlineStr">
        <is>
          <t>depositos electronicos masterca transaccion</t>
        </is>
      </c>
      <c r="D324" s="13" t="n">
        <v>74900</v>
      </c>
      <c r="E324" s="11">
        <f>IF(SUM(COUNTIFS('Conciliacion de compuestos'!$D$2:$D$13,"conciliado",'Conciliacion de compuestos'!$E$2:$E$13,"OK",'Conciliacion de compuestos'!$J$2:$J$13,A324),COUNTIFS('Conciliacion de compuestos'!$D$2:$D$13,"conciliado",'Conciliacion de compuestos'!$E$2:$E$13,"OK",'Conciliacion de compuestos'!$K$2:$K$13,A324),COUNTIFS('Conciliacion de compuestos'!$D$2:$D$13,"conciliado",'Conciliacion de compuestos'!$E$2:$E$13,"OK",'Conciliacion de compuestos'!$L$2:$L$13,A324))&gt;0,"conciliado en compuesto confirmado","disponible")</f>
        <v/>
      </c>
    </row>
  </sheetData>
  <autoFilter ref="A2:E324"/>
  <mergeCells count="1">
    <mergeCell ref="A1:E1"/>
  </mergeCells>
  <conditionalFormatting sqref="A3:E324">
    <cfRule type="expression" priority="1" dxfId="1">
      <formula>$E3="disponible"</formula>
    </cfRule>
    <cfRule type="expression" priority="2" dxfId="0">
      <formula>OR($E3="conciliado manualmente",$E3="conciliado en compuesto confirmado")</formula>
    </cfRule>
  </conditionalFormatting>
  <dataValidations count="1">
    <dataValidation sqref="E3:E324" showDropDown="0" showInputMessage="0" showErrorMessage="0" allowBlank="1" errorTitle="Estado inválido" error="Seleccioná un estado válido." promptTitle="Estado banco" prompt="Usá conciliado manualmente cuando cierres el registro." type="list">
      <formula1>"disponible,conciliado manualmente,conciliado en compuesto confirmado"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55" customWidth="1" min="4" max="4"/>
  </cols>
  <sheetData>
    <row r="1">
      <c r="A1" s="8" t="inlineStr">
        <is>
          <t>Concepto</t>
        </is>
      </c>
      <c r="B1" s="8" t="inlineStr">
        <is>
          <t>Cantidad movimientos</t>
        </is>
      </c>
      <c r="C1" s="8" t="inlineStr">
        <is>
          <t>Valor total</t>
        </is>
      </c>
      <c r="D1" s="8" t="inlineStr">
        <is>
          <t>Descripcion</t>
        </is>
      </c>
    </row>
    <row r="2">
      <c r="A2" s="11" t="inlineStr">
        <is>
          <t>a financiero gravamen movimiento</t>
        </is>
      </c>
      <c r="B2" s="11" t="n">
        <v>656</v>
      </c>
      <c r="C2" s="13" t="n">
        <v>-124267</v>
      </c>
      <c r="D2" s="11" t="inlineStr">
        <is>
          <t>Concepto bancario informativo. No se concilia contra libro auxiliar.</t>
        </is>
      </c>
    </row>
    <row r="3">
      <c r="A3" s="11" t="inlineStr">
        <is>
          <t>cobro comision depositos electronicos</t>
        </is>
      </c>
      <c r="B3" s="11" t="n">
        <v>227</v>
      </c>
      <c r="C3" s="13" t="n">
        <v>-407080</v>
      </c>
      <c r="D3" s="11" t="inlineStr">
        <is>
          <t>Concepto bancario informativo. No se concilia contra libro auxiliar.</t>
        </is>
      </c>
    </row>
    <row r="4">
      <c r="A4" s="11" t="inlineStr">
        <is>
          <t>comision depositos electronicos mastercard</t>
        </is>
      </c>
      <c r="B4" s="11" t="n">
        <v>98</v>
      </c>
      <c r="C4" s="13" t="n">
        <v>-205921</v>
      </c>
      <c r="D4" s="11" t="inlineStr">
        <is>
          <t>Concepto bancario informativo. No se concilia contra libro auxiliar.</t>
        </is>
      </c>
    </row>
    <row r="5">
      <c r="A5" s="11" t="inlineStr">
        <is>
          <t>compra internet nd por pse</t>
        </is>
      </c>
      <c r="B5" s="11" t="n">
        <v>1</v>
      </c>
      <c r="C5" s="13" t="n">
        <v>-2592200</v>
      </c>
      <c r="D5" s="11" t="inlineStr">
        <is>
          <t>Concepto bancario informativo. No se concilia contra libro auxiliar.</t>
        </is>
      </c>
    </row>
    <row r="6">
      <c r="A6" s="11" t="inlineStr">
        <is>
          <t>consignacion credibanco d e</t>
        </is>
      </c>
      <c r="B6" s="11" t="n">
        <v>227</v>
      </c>
      <c r="C6" s="13" t="n">
        <v>19982438</v>
      </c>
      <c r="D6" s="11" t="inlineStr">
        <is>
          <t>Concepto bancario informativo. No se concilia contra libro auxiliar.</t>
        </is>
      </c>
    </row>
    <row r="7">
      <c r="A7" s="11" t="inlineStr">
        <is>
          <t>credibanco d e retefuente voucher y</t>
        </is>
      </c>
      <c r="B7" s="11" t="n">
        <v>227</v>
      </c>
      <c r="C7" s="13" t="n">
        <v>-299776</v>
      </c>
      <c r="D7" s="11" t="inlineStr">
        <is>
          <t>Concepto bancario informativo. No se concilia contra libro auxiliar.</t>
        </is>
      </c>
    </row>
    <row r="8">
      <c r="A8" s="11" t="inlineStr">
        <is>
          <t>depositos electronicos masterca transaccion</t>
        </is>
      </c>
      <c r="B8" s="11" t="n">
        <v>98</v>
      </c>
      <c r="C8" s="13" t="n">
        <v>10229831</v>
      </c>
      <c r="D8" s="11" t="inlineStr">
        <is>
          <t>Concepto bancario informativo. No se concilia contra libro auxiliar.</t>
        </is>
      </c>
    </row>
    <row r="9">
      <c r="A9" s="11" t="inlineStr">
        <is>
          <t>depositos electronicos mastercar retefuente</t>
        </is>
      </c>
      <c r="B9" s="11" t="n">
        <v>98</v>
      </c>
      <c r="C9" s="13" t="n">
        <v>-153468</v>
      </c>
      <c r="D9" s="11" t="inlineStr">
        <is>
          <t>Concepto bancario informativo. No se concilia contra libro auxiliar.</t>
        </is>
      </c>
    </row>
    <row r="10">
      <c r="A10" s="11" t="inlineStr">
        <is>
          <t>entre inte internet terceros transferencias</t>
        </is>
      </c>
      <c r="B10" s="11" t="n">
        <v>5</v>
      </c>
      <c r="C10" s="13" t="n">
        <v>-27408272</v>
      </c>
      <c r="D10" s="11" t="inlineStr">
        <is>
          <t>Concepto bancario informativo. No se concilia contra libro auxiliar.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45" customWidth="1" min="3" max="3"/>
    <col width="16" customWidth="1" min="4" max="4"/>
    <col width="12" customWidth="1" min="5" max="5"/>
    <col width="13" customWidth="1" min="6" max="6"/>
    <col width="13" customWidth="1" min="7" max="7"/>
  </cols>
  <sheetData>
    <row r="1">
      <c r="A1" s="8" t="inlineStr">
        <is>
          <t>id</t>
        </is>
      </c>
      <c r="B1" s="8" t="inlineStr">
        <is>
          <t>fecha</t>
        </is>
      </c>
      <c r="C1" s="8" t="inlineStr">
        <is>
          <t>descripcion</t>
        </is>
      </c>
      <c r="D1" s="8" t="inlineStr">
        <is>
          <t>oficina</t>
        </is>
      </c>
      <c r="E1" s="8" t="inlineStr">
        <is>
          <t>no_dcto</t>
        </is>
      </c>
      <c r="F1" s="8" t="inlineStr">
        <is>
          <t>valor</t>
        </is>
      </c>
      <c r="G1" s="8" t="inlineStr">
        <is>
          <t>saldo</t>
        </is>
      </c>
    </row>
    <row r="2">
      <c r="A2" s="11" t="n">
        <v>1</v>
      </c>
      <c r="B2" s="12" t="n">
        <v>46024</v>
      </c>
      <c r="C2" s="11" t="inlineStr">
        <is>
          <t>INTERNET TRANSFERENCIAS ENTRE TERCEROS INTE</t>
        </is>
      </c>
      <c r="D2" s="11" t="inlineStr">
        <is>
          <t>INTERNET BANCA</t>
        </is>
      </c>
      <c r="E2" s="11" t="inlineStr">
        <is>
          <t>00000000</t>
        </is>
      </c>
      <c r="F2" s="13" t="n">
        <v>-4152508</v>
      </c>
      <c r="G2" s="11" t="n">
        <v>7416422.37</v>
      </c>
    </row>
    <row r="3">
      <c r="A3" s="11" t="n">
        <v>2</v>
      </c>
      <c r="B3" s="12" t="n">
        <v>46024</v>
      </c>
      <c r="C3" s="11" t="inlineStr">
        <is>
          <t>GRAVAMEN A MOVIMIENTO FINANCIERO</t>
        </is>
      </c>
      <c r="D3" s="11" t="inlineStr">
        <is>
          <t>INTERNET BANCA</t>
        </is>
      </c>
      <c r="E3" s="11" t="inlineStr">
        <is>
          <t>00000000</t>
        </is>
      </c>
      <c r="F3" s="13" t="n">
        <v>-16610</v>
      </c>
      <c r="G3" s="11" t="n">
        <v>7399812.37</v>
      </c>
    </row>
    <row r="4">
      <c r="A4" s="11" t="n">
        <v>3</v>
      </c>
      <c r="B4" s="12" t="n">
        <v>46024</v>
      </c>
      <c r="C4" s="11" t="inlineStr">
        <is>
          <t>INTERNET TRANSFERENCIAS ENTRE TERCEROS INTE</t>
        </is>
      </c>
      <c r="D4" s="11" t="inlineStr">
        <is>
          <t>INTERNET BANCA</t>
        </is>
      </c>
      <c r="E4" s="11" t="inlineStr">
        <is>
          <t>00000000</t>
        </is>
      </c>
      <c r="F4" s="13" t="n">
        <v>-3312505</v>
      </c>
      <c r="G4" s="11" t="n">
        <v>4087307.37</v>
      </c>
    </row>
    <row r="5">
      <c r="A5" s="11" t="n">
        <v>4</v>
      </c>
      <c r="B5" s="12" t="n">
        <v>46024</v>
      </c>
      <c r="C5" s="11" t="inlineStr">
        <is>
          <t>GRAVAMEN A MOVIMIENTO FINANCIERO</t>
        </is>
      </c>
      <c r="D5" s="11" t="inlineStr">
        <is>
          <t>INTERNET BANCA</t>
        </is>
      </c>
      <c r="E5" s="11" t="inlineStr">
        <is>
          <t>00000000</t>
        </is>
      </c>
      <c r="F5" s="13" t="n">
        <v>-13250</v>
      </c>
      <c r="G5" s="11" t="n">
        <v>4074057.37</v>
      </c>
    </row>
    <row r="6">
      <c r="A6" s="11" t="n">
        <v>5</v>
      </c>
      <c r="B6" s="12" t="n">
        <v>46027</v>
      </c>
      <c r="C6" s="11" t="inlineStr">
        <is>
          <t>CONSIGNACION CREDIBANCO D E</t>
        </is>
      </c>
      <c r="D6" s="11" t="inlineStr">
        <is>
          <t>ORITO</t>
        </is>
      </c>
      <c r="E6" s="11" t="inlineStr">
        <is>
          <t>00000000</t>
        </is>
      </c>
      <c r="F6" s="13" t="n">
        <v>152200</v>
      </c>
      <c r="G6" s="11" t="n">
        <v>4226257.37</v>
      </c>
    </row>
    <row r="7">
      <c r="A7" s="11" t="n">
        <v>6</v>
      </c>
      <c r="B7" s="12" t="n">
        <v>46027</v>
      </c>
      <c r="C7" s="11" t="inlineStr">
        <is>
          <t>COBRO COMISION DEPOSITOS ELECTRONICOS</t>
        </is>
      </c>
      <c r="D7" s="11" t="inlineStr">
        <is>
          <t>ORITO</t>
        </is>
      </c>
      <c r="E7" s="11" t="inlineStr">
        <is>
          <t>00000000</t>
        </is>
      </c>
      <c r="F7" s="13" t="n">
        <v>-1233</v>
      </c>
      <c r="G7" s="11" t="n">
        <v>4225024.37</v>
      </c>
    </row>
    <row r="8">
      <c r="A8" s="11" t="n">
        <v>7</v>
      </c>
      <c r="B8" s="12" t="n">
        <v>46027</v>
      </c>
      <c r="C8" s="11" t="inlineStr">
        <is>
          <t>GRAVAMEN A MOVIMIENTO FINANCIERO</t>
        </is>
      </c>
      <c r="D8" s="11" t="inlineStr">
        <is>
          <t>ORITO</t>
        </is>
      </c>
      <c r="E8" s="11" t="inlineStr">
        <is>
          <t>00000000</t>
        </is>
      </c>
      <c r="F8" s="13" t="n">
        <v>-5</v>
      </c>
      <c r="G8" s="11" t="n">
        <v>4225019.37</v>
      </c>
    </row>
    <row r="9">
      <c r="A9" s="11" t="n">
        <v>8</v>
      </c>
      <c r="B9" s="12" t="n">
        <v>46027</v>
      </c>
      <c r="C9" s="11" t="inlineStr">
        <is>
          <t>RETEFUENTE D E Y VOUCHER CREDIBANCO</t>
        </is>
      </c>
      <c r="D9" s="11" t="inlineStr">
        <is>
          <t>ORITO</t>
        </is>
      </c>
      <c r="E9" s="11" t="inlineStr">
        <is>
          <t>00000000</t>
        </is>
      </c>
      <c r="F9" s="13" t="n">
        <v>-2283</v>
      </c>
      <c r="G9" s="11" t="n">
        <v>4222736.37</v>
      </c>
    </row>
    <row r="10">
      <c r="A10" s="11" t="n">
        <v>9</v>
      </c>
      <c r="B10" s="12" t="n">
        <v>46027</v>
      </c>
      <c r="C10" s="11" t="inlineStr">
        <is>
          <t>GRAVAMEN A MOVIMIENTO FINANCIERO</t>
        </is>
      </c>
      <c r="D10" s="11" t="inlineStr">
        <is>
          <t>ORITO</t>
        </is>
      </c>
      <c r="E10" s="11" t="inlineStr">
        <is>
          <t>00000000</t>
        </is>
      </c>
      <c r="F10" s="13" t="n">
        <v>-9</v>
      </c>
      <c r="G10" s="11" t="n">
        <v>4222727.37</v>
      </c>
    </row>
    <row r="11">
      <c r="A11" s="11" t="n">
        <v>10</v>
      </c>
      <c r="B11" s="12" t="n">
        <v>46027</v>
      </c>
      <c r="C11" s="11" t="inlineStr">
        <is>
          <t>CONSIGNACION CREDIBANCO D E</t>
        </is>
      </c>
      <c r="D11" s="11" t="inlineStr">
        <is>
          <t>ORITO</t>
        </is>
      </c>
      <c r="E11" s="11" t="inlineStr">
        <is>
          <t>00000000</t>
        </is>
      </c>
      <c r="F11" s="13" t="n">
        <v>29400</v>
      </c>
      <c r="G11" s="11" t="n">
        <v>4252127.37</v>
      </c>
    </row>
    <row r="12">
      <c r="A12" s="11" t="n">
        <v>11</v>
      </c>
      <c r="B12" s="12" t="n">
        <v>46027</v>
      </c>
      <c r="C12" s="11" t="inlineStr">
        <is>
          <t>COBRO COMISION DEPOSITOS ELECTRONICOS</t>
        </is>
      </c>
      <c r="D12" s="11" t="inlineStr">
        <is>
          <t>ORITO</t>
        </is>
      </c>
      <c r="E12" s="11" t="inlineStr">
        <is>
          <t>00000000</t>
        </is>
      </c>
      <c r="F12" s="13" t="n">
        <v>-635</v>
      </c>
      <c r="G12" s="11" t="n">
        <v>4251492.37</v>
      </c>
    </row>
    <row r="13">
      <c r="A13" s="11" t="n">
        <v>12</v>
      </c>
      <c r="B13" s="12" t="n">
        <v>46027</v>
      </c>
      <c r="C13" s="11" t="inlineStr">
        <is>
          <t>GRAVAMEN A MOVIMIENTO FINANCIERO</t>
        </is>
      </c>
      <c r="D13" s="11" t="inlineStr">
        <is>
          <t>ORITO</t>
        </is>
      </c>
      <c r="E13" s="11" t="inlineStr">
        <is>
          <t>00000000</t>
        </is>
      </c>
      <c r="F13" s="13" t="n">
        <v>-3</v>
      </c>
      <c r="G13" s="11" t="n">
        <v>4251489.37</v>
      </c>
    </row>
    <row r="14">
      <c r="A14" s="11" t="n">
        <v>13</v>
      </c>
      <c r="B14" s="12" t="n">
        <v>46027</v>
      </c>
      <c r="C14" s="11" t="inlineStr">
        <is>
          <t>RETEFUENTE D E Y VOUCHER CREDIBANCO</t>
        </is>
      </c>
      <c r="D14" s="11" t="inlineStr">
        <is>
          <t>ORITO</t>
        </is>
      </c>
      <c r="E14" s="11" t="inlineStr">
        <is>
          <t>00000000</t>
        </is>
      </c>
      <c r="F14" s="13" t="n">
        <v>-441</v>
      </c>
      <c r="G14" s="11" t="n">
        <v>4251048.37</v>
      </c>
    </row>
    <row r="15">
      <c r="A15" s="11" t="n">
        <v>14</v>
      </c>
      <c r="B15" s="12" t="n">
        <v>46027</v>
      </c>
      <c r="C15" s="11" t="inlineStr">
        <is>
          <t>GRAVAMEN A MOVIMIENTO FINANCIERO</t>
        </is>
      </c>
      <c r="D15" s="11" t="inlineStr">
        <is>
          <t>ORITO</t>
        </is>
      </c>
      <c r="E15" s="11" t="inlineStr">
        <is>
          <t>00000000</t>
        </is>
      </c>
      <c r="F15" s="13" t="n">
        <v>-2</v>
      </c>
      <c r="G15" s="11" t="n">
        <v>4251046.37</v>
      </c>
    </row>
    <row r="16">
      <c r="A16" s="11" t="n">
        <v>15</v>
      </c>
      <c r="B16" s="12" t="n">
        <v>46027</v>
      </c>
      <c r="C16" s="11" t="inlineStr">
        <is>
          <t>CONSIGNACION CREDIBANCO D E</t>
        </is>
      </c>
      <c r="D16" s="11" t="inlineStr">
        <is>
          <t>ORITO</t>
        </is>
      </c>
      <c r="E16" s="11" t="inlineStr">
        <is>
          <t>00000000</t>
        </is>
      </c>
      <c r="F16" s="13" t="n">
        <v>88500</v>
      </c>
      <c r="G16" s="11" t="n">
        <v>4339546.37</v>
      </c>
    </row>
    <row r="17">
      <c r="A17" s="11" t="n">
        <v>16</v>
      </c>
      <c r="B17" s="12" t="n">
        <v>46027</v>
      </c>
      <c r="C17" s="11" t="inlineStr">
        <is>
          <t>COBRO COMISION DEPOSITOS ELECTRONICOS</t>
        </is>
      </c>
      <c r="D17" s="11" t="inlineStr">
        <is>
          <t>ORITO</t>
        </is>
      </c>
      <c r="E17" s="11" t="inlineStr">
        <is>
          <t>00000000</t>
        </is>
      </c>
      <c r="F17" s="13" t="n">
        <v>-1912</v>
      </c>
      <c r="G17" s="11" t="n">
        <v>4337634.37</v>
      </c>
    </row>
    <row r="18">
      <c r="A18" s="11" t="n">
        <v>17</v>
      </c>
      <c r="B18" s="12" t="n">
        <v>46027</v>
      </c>
      <c r="C18" s="11" t="inlineStr">
        <is>
          <t>GRAVAMEN A MOVIMIENTO FINANCIERO</t>
        </is>
      </c>
      <c r="D18" s="11" t="inlineStr">
        <is>
          <t>ORITO</t>
        </is>
      </c>
      <c r="E18" s="11" t="inlineStr">
        <is>
          <t>00000000</t>
        </is>
      </c>
      <c r="F18" s="13" t="n">
        <v>-8</v>
      </c>
      <c r="G18" s="11" t="n">
        <v>4337626.37</v>
      </c>
    </row>
    <row r="19">
      <c r="A19" s="11" t="n">
        <v>18</v>
      </c>
      <c r="B19" s="12" t="n">
        <v>46027</v>
      </c>
      <c r="C19" s="11" t="inlineStr">
        <is>
          <t>RETEFUENTE D E Y VOUCHER CREDIBANCO</t>
        </is>
      </c>
      <c r="D19" s="11" t="inlineStr">
        <is>
          <t>ORITO</t>
        </is>
      </c>
      <c r="E19" s="11" t="inlineStr">
        <is>
          <t>00000000</t>
        </is>
      </c>
      <c r="F19" s="13" t="n">
        <v>-1328</v>
      </c>
      <c r="G19" s="11" t="n">
        <v>4336298.37</v>
      </c>
    </row>
    <row r="20">
      <c r="A20" s="11" t="n">
        <v>19</v>
      </c>
      <c r="B20" s="12" t="n">
        <v>46027</v>
      </c>
      <c r="C20" s="11" t="inlineStr">
        <is>
          <t>GRAVAMEN A MOVIMIENTO FINANCIERO</t>
        </is>
      </c>
      <c r="D20" s="11" t="inlineStr">
        <is>
          <t>ORITO</t>
        </is>
      </c>
      <c r="E20" s="11" t="inlineStr">
        <is>
          <t>00000000</t>
        </is>
      </c>
      <c r="F20" s="13" t="n">
        <v>-5</v>
      </c>
      <c r="G20" s="11" t="n">
        <v>4336293.37</v>
      </c>
    </row>
    <row r="21">
      <c r="A21" s="11" t="n">
        <v>20</v>
      </c>
      <c r="B21" s="12" t="n">
        <v>46027</v>
      </c>
      <c r="C21" s="11" t="inlineStr">
        <is>
          <t>CONSIGNACION CREDIBANCO D E</t>
        </is>
      </c>
      <c r="D21" s="11" t="inlineStr">
        <is>
          <t>ORITO</t>
        </is>
      </c>
      <c r="E21" s="11" t="inlineStr">
        <is>
          <t>00000000</t>
        </is>
      </c>
      <c r="F21" s="13" t="n">
        <v>47400</v>
      </c>
      <c r="G21" s="11" t="n">
        <v>4383693.37</v>
      </c>
    </row>
    <row r="22">
      <c r="A22" s="11" t="n">
        <v>21</v>
      </c>
      <c r="B22" s="12" t="n">
        <v>46027</v>
      </c>
      <c r="C22" s="11" t="inlineStr">
        <is>
          <t>COBRO COMISION DEPOSITOS ELECTRONICOS</t>
        </is>
      </c>
      <c r="D22" s="11" t="inlineStr">
        <is>
          <t>ORITO</t>
        </is>
      </c>
      <c r="E22" s="11" t="inlineStr">
        <is>
          <t>00000000</t>
        </is>
      </c>
      <c r="F22" s="13" t="n">
        <v>-1024</v>
      </c>
      <c r="G22" s="11" t="n">
        <v>4382669.37</v>
      </c>
    </row>
    <row r="23">
      <c r="A23" s="11" t="n">
        <v>22</v>
      </c>
      <c r="B23" s="12" t="n">
        <v>46027</v>
      </c>
      <c r="C23" s="11" t="inlineStr">
        <is>
          <t>GRAVAMEN A MOVIMIENTO FINANCIERO</t>
        </is>
      </c>
      <c r="D23" s="11" t="inlineStr">
        <is>
          <t>ORITO</t>
        </is>
      </c>
      <c r="E23" s="11" t="inlineStr">
        <is>
          <t>00000000</t>
        </is>
      </c>
      <c r="F23" s="13" t="n">
        <v>-4</v>
      </c>
      <c r="G23" s="11" t="n">
        <v>4382665.37</v>
      </c>
    </row>
    <row r="24">
      <c r="A24" s="11" t="n">
        <v>23</v>
      </c>
      <c r="B24" s="12" t="n">
        <v>46027</v>
      </c>
      <c r="C24" s="11" t="inlineStr">
        <is>
          <t>RETEFUENTE D E Y VOUCHER CREDIBANCO</t>
        </is>
      </c>
      <c r="D24" s="11" t="inlineStr">
        <is>
          <t>ORITO</t>
        </is>
      </c>
      <c r="E24" s="11" t="inlineStr">
        <is>
          <t>00000000</t>
        </is>
      </c>
      <c r="F24" s="13" t="n">
        <v>-711</v>
      </c>
      <c r="G24" s="11" t="n">
        <v>4381954.37</v>
      </c>
    </row>
    <row r="25">
      <c r="A25" s="11" t="n">
        <v>24</v>
      </c>
      <c r="B25" s="12" t="n">
        <v>46027</v>
      </c>
      <c r="C25" s="11" t="inlineStr">
        <is>
          <t>GRAVAMEN A MOVIMIENTO FINANCIERO</t>
        </is>
      </c>
      <c r="D25" s="11" t="inlineStr">
        <is>
          <t>ORITO</t>
        </is>
      </c>
      <c r="E25" s="11" t="inlineStr">
        <is>
          <t>00000000</t>
        </is>
      </c>
      <c r="F25" s="13" t="n">
        <v>-3</v>
      </c>
      <c r="G25" s="11" t="n">
        <v>4381951.37</v>
      </c>
    </row>
    <row r="26">
      <c r="A26" s="11" t="n">
        <v>25</v>
      </c>
      <c r="B26" s="12" t="n">
        <v>46027</v>
      </c>
      <c r="C26" s="11" t="inlineStr">
        <is>
          <t>CONSIGNACION CREDIBANCO D E</t>
        </is>
      </c>
      <c r="D26" s="11" t="inlineStr">
        <is>
          <t>ORITO</t>
        </is>
      </c>
      <c r="E26" s="11" t="inlineStr">
        <is>
          <t>00000000</t>
        </is>
      </c>
      <c r="F26" s="13" t="n">
        <v>56795</v>
      </c>
      <c r="G26" s="11" t="n">
        <v>4438746.37</v>
      </c>
    </row>
    <row r="27">
      <c r="A27" s="11" t="n">
        <v>26</v>
      </c>
      <c r="B27" s="12" t="n">
        <v>46027</v>
      </c>
      <c r="C27" s="11" t="inlineStr">
        <is>
          <t>COBRO COMISION DEPOSITOS ELECTRONICOS</t>
        </is>
      </c>
      <c r="D27" s="11" t="inlineStr">
        <is>
          <t>ORITO</t>
        </is>
      </c>
      <c r="E27" s="11" t="inlineStr">
        <is>
          <t>00000000</t>
        </is>
      </c>
      <c r="F27" s="13" t="n">
        <v>-1227</v>
      </c>
      <c r="G27" s="11" t="n">
        <v>4437519.37</v>
      </c>
    </row>
    <row r="28">
      <c r="A28" s="11" t="n">
        <v>27</v>
      </c>
      <c r="B28" s="12" t="n">
        <v>46027</v>
      </c>
      <c r="C28" s="11" t="inlineStr">
        <is>
          <t>GRAVAMEN A MOVIMIENTO FINANCIERO</t>
        </is>
      </c>
      <c r="D28" s="11" t="inlineStr">
        <is>
          <t>ORITO</t>
        </is>
      </c>
      <c r="E28" s="11" t="inlineStr">
        <is>
          <t>00000000</t>
        </is>
      </c>
      <c r="F28" s="13" t="n">
        <v>-5</v>
      </c>
      <c r="G28" s="11" t="n">
        <v>4437514.37</v>
      </c>
    </row>
    <row r="29">
      <c r="A29" s="11" t="n">
        <v>28</v>
      </c>
      <c r="B29" s="12" t="n">
        <v>46027</v>
      </c>
      <c r="C29" s="11" t="inlineStr">
        <is>
          <t>RETEFUENTE D E Y VOUCHER CREDIBANCO</t>
        </is>
      </c>
      <c r="D29" s="11" t="inlineStr">
        <is>
          <t>ORITO</t>
        </is>
      </c>
      <c r="E29" s="11" t="inlineStr">
        <is>
          <t>00000000</t>
        </is>
      </c>
      <c r="F29" s="13" t="n">
        <v>-852</v>
      </c>
      <c r="G29" s="11" t="n">
        <v>4436662.37</v>
      </c>
    </row>
    <row r="30">
      <c r="A30" s="11" t="n">
        <v>29</v>
      </c>
      <c r="B30" s="12" t="n">
        <v>46027</v>
      </c>
      <c r="C30" s="11" t="inlineStr">
        <is>
          <t>GRAVAMEN A MOVIMIENTO FINANCIERO</t>
        </is>
      </c>
      <c r="D30" s="11" t="inlineStr">
        <is>
          <t>ORITO</t>
        </is>
      </c>
      <c r="E30" s="11" t="inlineStr">
        <is>
          <t>00000000</t>
        </is>
      </c>
      <c r="F30" s="13" t="n">
        <v>-3</v>
      </c>
      <c r="G30" s="11" t="n">
        <v>4436659.37</v>
      </c>
    </row>
    <row r="31">
      <c r="A31" s="11" t="n">
        <v>30</v>
      </c>
      <c r="B31" s="12" t="n">
        <v>46027</v>
      </c>
      <c r="C31" s="11" t="inlineStr">
        <is>
          <t>CONSIGNACION CREDIBANCO D E</t>
        </is>
      </c>
      <c r="D31" s="11" t="inlineStr">
        <is>
          <t>ORITO</t>
        </is>
      </c>
      <c r="E31" s="11" t="inlineStr">
        <is>
          <t>00000000</t>
        </is>
      </c>
      <c r="F31" s="13" t="n">
        <v>224300</v>
      </c>
      <c r="G31" s="11" t="n">
        <v>4660959.37</v>
      </c>
    </row>
    <row r="32">
      <c r="A32" s="11" t="n">
        <v>31</v>
      </c>
      <c r="B32" s="12" t="n">
        <v>46027</v>
      </c>
      <c r="C32" s="11" t="inlineStr">
        <is>
          <t>COBRO COMISION DEPOSITOS ELECTRONICOS</t>
        </is>
      </c>
      <c r="D32" s="11" t="inlineStr">
        <is>
          <t>ORITO</t>
        </is>
      </c>
      <c r="E32" s="11" t="inlineStr">
        <is>
          <t>00000000</t>
        </is>
      </c>
      <c r="F32" s="13" t="n">
        <v>-4845</v>
      </c>
      <c r="G32" s="11" t="n">
        <v>4656114.37</v>
      </c>
    </row>
    <row r="33">
      <c r="A33" s="11" t="n">
        <v>32</v>
      </c>
      <c r="B33" s="12" t="n">
        <v>46027</v>
      </c>
      <c r="C33" s="11" t="inlineStr">
        <is>
          <t>GRAVAMEN A MOVIMIENTO FINANCIERO</t>
        </is>
      </c>
      <c r="D33" s="11" t="inlineStr">
        <is>
          <t>ORITO</t>
        </is>
      </c>
      <c r="E33" s="11" t="inlineStr">
        <is>
          <t>00000000</t>
        </is>
      </c>
      <c r="F33" s="13" t="n">
        <v>-19</v>
      </c>
      <c r="G33" s="11" t="n">
        <v>4656095.37</v>
      </c>
    </row>
    <row r="34">
      <c r="A34" s="11" t="n">
        <v>33</v>
      </c>
      <c r="B34" s="12" t="n">
        <v>46027</v>
      </c>
      <c r="C34" s="11" t="inlineStr">
        <is>
          <t>RETEFUENTE D E Y VOUCHER CREDIBANCO</t>
        </is>
      </c>
      <c r="D34" s="11" t="inlineStr">
        <is>
          <t>ORITO</t>
        </is>
      </c>
      <c r="E34" s="11" t="inlineStr">
        <is>
          <t>00000000</t>
        </is>
      </c>
      <c r="F34" s="13" t="n">
        <v>-3365</v>
      </c>
      <c r="G34" s="11" t="n">
        <v>4652730.37</v>
      </c>
    </row>
    <row r="35">
      <c r="A35" s="11" t="n">
        <v>34</v>
      </c>
      <c r="B35" s="12" t="n">
        <v>46027</v>
      </c>
      <c r="C35" s="11" t="inlineStr">
        <is>
          <t>GRAVAMEN A MOVIMIENTO FINANCIERO</t>
        </is>
      </c>
      <c r="D35" s="11" t="inlineStr">
        <is>
          <t>ORITO</t>
        </is>
      </c>
      <c r="E35" s="11" t="inlineStr">
        <is>
          <t>00000000</t>
        </is>
      </c>
      <c r="F35" s="13" t="n">
        <v>-13</v>
      </c>
      <c r="G35" s="11" t="n">
        <v>4652717.37</v>
      </c>
    </row>
    <row r="36">
      <c r="A36" s="11" t="n">
        <v>35</v>
      </c>
      <c r="B36" s="12" t="n">
        <v>46027</v>
      </c>
      <c r="C36" s="11" t="inlineStr">
        <is>
          <t>CONSIGNACION CREDIBANCO D E</t>
        </is>
      </c>
      <c r="D36" s="11" t="inlineStr">
        <is>
          <t>ORITO</t>
        </is>
      </c>
      <c r="E36" s="11" t="inlineStr">
        <is>
          <t>00000000</t>
        </is>
      </c>
      <c r="F36" s="13" t="n">
        <v>56000</v>
      </c>
      <c r="G36" s="11" t="n">
        <v>4708717.37</v>
      </c>
    </row>
    <row r="37">
      <c r="A37" s="11" t="n">
        <v>36</v>
      </c>
      <c r="B37" s="12" t="n">
        <v>46027</v>
      </c>
      <c r="C37" s="11" t="inlineStr">
        <is>
          <t>COBRO COMISION DEPOSITOS ELECTRONICOS</t>
        </is>
      </c>
      <c r="D37" s="11" t="inlineStr">
        <is>
          <t>ORITO</t>
        </is>
      </c>
      <c r="E37" s="11" t="inlineStr">
        <is>
          <t>00000000</t>
        </is>
      </c>
      <c r="F37" s="13" t="n">
        <v>-1210</v>
      </c>
      <c r="G37" s="11" t="n">
        <v>4707507.37</v>
      </c>
    </row>
    <row r="38">
      <c r="A38" s="11" t="n">
        <v>37</v>
      </c>
      <c r="B38" s="12" t="n">
        <v>46027</v>
      </c>
      <c r="C38" s="11" t="inlineStr">
        <is>
          <t>GRAVAMEN A MOVIMIENTO FINANCIERO</t>
        </is>
      </c>
      <c r="D38" s="11" t="inlineStr">
        <is>
          <t>ORITO</t>
        </is>
      </c>
      <c r="E38" s="11" t="inlineStr">
        <is>
          <t>00000000</t>
        </is>
      </c>
      <c r="F38" s="13" t="n">
        <v>-5</v>
      </c>
      <c r="G38" s="11" t="n">
        <v>4707502.37</v>
      </c>
    </row>
    <row r="39">
      <c r="A39" s="11" t="n">
        <v>38</v>
      </c>
      <c r="B39" s="12" t="n">
        <v>46027</v>
      </c>
      <c r="C39" s="11" t="inlineStr">
        <is>
          <t>RETEFUENTE D E Y VOUCHER CREDIBANCO</t>
        </is>
      </c>
      <c r="D39" s="11" t="inlineStr">
        <is>
          <t>ORITO</t>
        </is>
      </c>
      <c r="E39" s="11" t="inlineStr">
        <is>
          <t>00000000</t>
        </is>
      </c>
      <c r="F39" s="13" t="n">
        <v>-840</v>
      </c>
      <c r="G39" s="11" t="n">
        <v>4706662.37</v>
      </c>
    </row>
    <row r="40">
      <c r="A40" s="11" t="n">
        <v>39</v>
      </c>
      <c r="B40" s="12" t="n">
        <v>46027</v>
      </c>
      <c r="C40" s="11" t="inlineStr">
        <is>
          <t>GRAVAMEN A MOVIMIENTO FINANCIERO</t>
        </is>
      </c>
      <c r="D40" s="11" t="inlineStr">
        <is>
          <t>ORITO</t>
        </is>
      </c>
      <c r="E40" s="11" t="inlineStr">
        <is>
          <t>00000000</t>
        </is>
      </c>
      <c r="F40" s="13" t="n">
        <v>-3</v>
      </c>
      <c r="G40" s="11" t="n">
        <v>4706659.37</v>
      </c>
    </row>
    <row r="41">
      <c r="A41" s="11" t="n">
        <v>40</v>
      </c>
      <c r="B41" s="12" t="n">
        <v>46027</v>
      </c>
      <c r="C41" s="11" t="inlineStr">
        <is>
          <t>CONSIGNACION CREDIBANCO D E</t>
        </is>
      </c>
      <c r="D41" s="11" t="inlineStr">
        <is>
          <t>ORITO</t>
        </is>
      </c>
      <c r="E41" s="11" t="inlineStr">
        <is>
          <t>00000000</t>
        </is>
      </c>
      <c r="F41" s="13" t="n">
        <v>37700</v>
      </c>
      <c r="G41" s="11" t="n">
        <v>4744359.37</v>
      </c>
    </row>
    <row r="42">
      <c r="A42" s="11" t="n">
        <v>41</v>
      </c>
      <c r="B42" s="12" t="n">
        <v>46027</v>
      </c>
      <c r="C42" s="11" t="inlineStr">
        <is>
          <t>COBRO COMISION DEPOSITOS ELECTRONICOS</t>
        </is>
      </c>
      <c r="D42" s="11" t="inlineStr">
        <is>
          <t>ORITO</t>
        </is>
      </c>
      <c r="E42" s="11" t="inlineStr">
        <is>
          <t>00000000</t>
        </is>
      </c>
      <c r="F42" s="13" t="n">
        <v>-814</v>
      </c>
      <c r="G42" s="11" t="n">
        <v>4743545.37</v>
      </c>
    </row>
    <row r="43">
      <c r="A43" s="11" t="n">
        <v>42</v>
      </c>
      <c r="B43" s="12" t="n">
        <v>46027</v>
      </c>
      <c r="C43" s="11" t="inlineStr">
        <is>
          <t>GRAVAMEN A MOVIMIENTO FINANCIERO</t>
        </is>
      </c>
      <c r="D43" s="11" t="inlineStr">
        <is>
          <t>ORITO</t>
        </is>
      </c>
      <c r="E43" s="11" t="inlineStr">
        <is>
          <t>00000000</t>
        </is>
      </c>
      <c r="F43" s="13" t="n">
        <v>-3</v>
      </c>
      <c r="G43" s="11" t="n">
        <v>4743542.37</v>
      </c>
    </row>
    <row r="44">
      <c r="A44" s="11" t="n">
        <v>43</v>
      </c>
      <c r="B44" s="12" t="n">
        <v>46027</v>
      </c>
      <c r="C44" s="11" t="inlineStr">
        <is>
          <t>RETEFUENTE D E Y VOUCHER CREDIBANCO</t>
        </is>
      </c>
      <c r="D44" s="11" t="inlineStr">
        <is>
          <t>ORITO</t>
        </is>
      </c>
      <c r="E44" s="11" t="inlineStr">
        <is>
          <t>00000000</t>
        </is>
      </c>
      <c r="F44" s="13" t="n">
        <v>-566</v>
      </c>
      <c r="G44" s="11" t="n">
        <v>4742976.37</v>
      </c>
    </row>
    <row r="45">
      <c r="A45" s="11" t="n">
        <v>44</v>
      </c>
      <c r="B45" s="12" t="n">
        <v>46027</v>
      </c>
      <c r="C45" s="11" t="inlineStr">
        <is>
          <t>GRAVAMEN A MOVIMIENTO FINANCIERO</t>
        </is>
      </c>
      <c r="D45" s="11" t="inlineStr">
        <is>
          <t>ORITO</t>
        </is>
      </c>
      <c r="E45" s="11" t="inlineStr">
        <is>
          <t>00000000</t>
        </is>
      </c>
      <c r="F45" s="13" t="n">
        <v>-2</v>
      </c>
      <c r="G45" s="11" t="n">
        <v>4742974.37</v>
      </c>
    </row>
    <row r="46">
      <c r="A46" s="11" t="n">
        <v>45</v>
      </c>
      <c r="B46" s="12" t="n">
        <v>46027</v>
      </c>
      <c r="C46" s="11" t="inlineStr">
        <is>
          <t>CONSIGNACION CREDIBANCO D E</t>
        </is>
      </c>
      <c r="D46" s="11" t="inlineStr">
        <is>
          <t>ORITO</t>
        </is>
      </c>
      <c r="E46" s="11" t="inlineStr">
        <is>
          <t>00000000</t>
        </is>
      </c>
      <c r="F46" s="13" t="n">
        <v>133800</v>
      </c>
      <c r="G46" s="11" t="n">
        <v>4876774.37</v>
      </c>
    </row>
    <row r="47">
      <c r="A47" s="11" t="n">
        <v>46</v>
      </c>
      <c r="B47" s="12" t="n">
        <v>46027</v>
      </c>
      <c r="C47" s="11" t="inlineStr">
        <is>
          <t>COBRO COMISION DEPOSITOS ELECTRONICOS</t>
        </is>
      </c>
      <c r="D47" s="11" t="inlineStr">
        <is>
          <t>ORITO</t>
        </is>
      </c>
      <c r="E47" s="11" t="inlineStr">
        <is>
          <t>00000000</t>
        </is>
      </c>
      <c r="F47" s="13" t="n">
        <v>-2930</v>
      </c>
      <c r="G47" s="11" t="n">
        <v>4873844.37</v>
      </c>
    </row>
    <row r="48">
      <c r="A48" s="11" t="n">
        <v>47</v>
      </c>
      <c r="B48" s="12" t="n">
        <v>46027</v>
      </c>
      <c r="C48" s="11" t="inlineStr">
        <is>
          <t>GRAVAMEN A MOVIMIENTO FINANCIERO</t>
        </is>
      </c>
      <c r="D48" s="11" t="inlineStr">
        <is>
          <t>ORITO</t>
        </is>
      </c>
      <c r="E48" s="11" t="inlineStr">
        <is>
          <t>00000000</t>
        </is>
      </c>
      <c r="F48" s="13" t="n">
        <v>-12</v>
      </c>
      <c r="G48" s="11" t="n">
        <v>4873832.37</v>
      </c>
    </row>
    <row r="49">
      <c r="A49" s="11" t="n">
        <v>48</v>
      </c>
      <c r="B49" s="12" t="n">
        <v>46027</v>
      </c>
      <c r="C49" s="11" t="inlineStr">
        <is>
          <t>RETEFUENTE D E Y VOUCHER CREDIBANCO</t>
        </is>
      </c>
      <c r="D49" s="11" t="inlineStr">
        <is>
          <t>ORITO</t>
        </is>
      </c>
      <c r="E49" s="11" t="inlineStr">
        <is>
          <t>00000000</t>
        </is>
      </c>
      <c r="F49" s="13" t="n">
        <v>-2007</v>
      </c>
      <c r="G49" s="11" t="n">
        <v>4871825.37</v>
      </c>
    </row>
    <row r="50">
      <c r="A50" s="11" t="n">
        <v>49</v>
      </c>
      <c r="B50" s="12" t="n">
        <v>46027</v>
      </c>
      <c r="C50" s="11" t="inlineStr">
        <is>
          <t>GRAVAMEN A MOVIMIENTO FINANCIERO</t>
        </is>
      </c>
      <c r="D50" s="11" t="inlineStr">
        <is>
          <t>ORITO</t>
        </is>
      </c>
      <c r="E50" s="11" t="inlineStr">
        <is>
          <t>00000000</t>
        </is>
      </c>
      <c r="F50" s="13" t="n">
        <v>-8</v>
      </c>
      <c r="G50" s="11" t="n">
        <v>4871817.37</v>
      </c>
    </row>
    <row r="51">
      <c r="A51" s="11" t="n">
        <v>50</v>
      </c>
      <c r="B51" s="12" t="n">
        <v>46027</v>
      </c>
      <c r="C51" s="11" t="inlineStr">
        <is>
          <t>CONSIGNACION CREDIBANCO D E</t>
        </is>
      </c>
      <c r="D51" s="11" t="inlineStr">
        <is>
          <t>ORITO</t>
        </is>
      </c>
      <c r="E51" s="11" t="inlineStr">
        <is>
          <t>00000000</t>
        </is>
      </c>
      <c r="F51" s="13" t="n">
        <v>50000</v>
      </c>
      <c r="G51" s="11" t="n">
        <v>4921817.37</v>
      </c>
    </row>
    <row r="52">
      <c r="A52" s="11" t="n">
        <v>51</v>
      </c>
      <c r="B52" s="12" t="n">
        <v>46027</v>
      </c>
      <c r="C52" s="11" t="inlineStr">
        <is>
          <t>COBRO COMISION DEPOSITOS ELECTRONICOS</t>
        </is>
      </c>
      <c r="D52" s="11" t="inlineStr">
        <is>
          <t>ORITO</t>
        </is>
      </c>
      <c r="E52" s="11" t="inlineStr">
        <is>
          <t>00000000</t>
        </is>
      </c>
      <c r="F52" s="13" t="n">
        <v>-1095</v>
      </c>
      <c r="G52" s="11" t="n">
        <v>4920722.37</v>
      </c>
    </row>
    <row r="53">
      <c r="A53" s="11" t="n">
        <v>52</v>
      </c>
      <c r="B53" s="12" t="n">
        <v>46027</v>
      </c>
      <c r="C53" s="11" t="inlineStr">
        <is>
          <t>GRAVAMEN A MOVIMIENTO FINANCIERO</t>
        </is>
      </c>
      <c r="D53" s="11" t="inlineStr">
        <is>
          <t>ORITO</t>
        </is>
      </c>
      <c r="E53" s="11" t="inlineStr">
        <is>
          <t>00000000</t>
        </is>
      </c>
      <c r="F53" s="13" t="n">
        <v>-4</v>
      </c>
      <c r="G53" s="11" t="n">
        <v>4920718.37</v>
      </c>
    </row>
    <row r="54">
      <c r="A54" s="11" t="n">
        <v>53</v>
      </c>
      <c r="B54" s="12" t="n">
        <v>46027</v>
      </c>
      <c r="C54" s="11" t="inlineStr">
        <is>
          <t>RETEFUENTE D E Y VOUCHER CREDIBANCO</t>
        </is>
      </c>
      <c r="D54" s="11" t="inlineStr">
        <is>
          <t>ORITO</t>
        </is>
      </c>
      <c r="E54" s="11" t="inlineStr">
        <is>
          <t>00000000</t>
        </is>
      </c>
      <c r="F54" s="13" t="n">
        <v>-750</v>
      </c>
      <c r="G54" s="11" t="n">
        <v>4919968.37</v>
      </c>
    </row>
    <row r="55">
      <c r="A55" s="11" t="n">
        <v>54</v>
      </c>
      <c r="B55" s="12" t="n">
        <v>46027</v>
      </c>
      <c r="C55" s="11" t="inlineStr">
        <is>
          <t>GRAVAMEN A MOVIMIENTO FINANCIERO</t>
        </is>
      </c>
      <c r="D55" s="11" t="inlineStr">
        <is>
          <t>ORITO</t>
        </is>
      </c>
      <c r="E55" s="11" t="inlineStr">
        <is>
          <t>00000000</t>
        </is>
      </c>
      <c r="F55" s="13" t="n">
        <v>-3</v>
      </c>
      <c r="G55" s="11" t="n">
        <v>4919965.37</v>
      </c>
    </row>
    <row r="56">
      <c r="A56" s="11" t="n">
        <v>55</v>
      </c>
      <c r="B56" s="12" t="n">
        <v>46027</v>
      </c>
      <c r="C56" s="11" t="inlineStr">
        <is>
          <t>CONSIGNACION CREDIBANCO D E</t>
        </is>
      </c>
      <c r="D56" s="11" t="inlineStr">
        <is>
          <t>ORITO</t>
        </is>
      </c>
      <c r="E56" s="11" t="inlineStr">
        <is>
          <t>00000000</t>
        </is>
      </c>
      <c r="F56" s="13" t="n">
        <v>51000</v>
      </c>
      <c r="G56" s="11" t="n">
        <v>4970965.37</v>
      </c>
    </row>
    <row r="57">
      <c r="A57" s="11" t="n">
        <v>56</v>
      </c>
      <c r="B57" s="12" t="n">
        <v>46027</v>
      </c>
      <c r="C57" s="11" t="inlineStr">
        <is>
          <t>COBRO COMISION DEPOSITOS ELECTRONICOS</t>
        </is>
      </c>
      <c r="D57" s="11" t="inlineStr">
        <is>
          <t>ORITO</t>
        </is>
      </c>
      <c r="E57" s="11" t="inlineStr">
        <is>
          <t>00000000</t>
        </is>
      </c>
      <c r="F57" s="13" t="n">
        <v>-1117</v>
      </c>
      <c r="G57" s="11" t="n">
        <v>4969848.37</v>
      </c>
    </row>
    <row r="58">
      <c r="A58" s="11" t="n">
        <v>57</v>
      </c>
      <c r="B58" s="12" t="n">
        <v>46027</v>
      </c>
      <c r="C58" s="11" t="inlineStr">
        <is>
          <t>GRAVAMEN A MOVIMIENTO FINANCIERO</t>
        </is>
      </c>
      <c r="D58" s="11" t="inlineStr">
        <is>
          <t>ORITO</t>
        </is>
      </c>
      <c r="E58" s="11" t="inlineStr">
        <is>
          <t>00000000</t>
        </is>
      </c>
      <c r="F58" s="13" t="n">
        <v>-4</v>
      </c>
      <c r="G58" s="11" t="n">
        <v>4969844.37</v>
      </c>
    </row>
    <row r="59">
      <c r="A59" s="11" t="n">
        <v>58</v>
      </c>
      <c r="B59" s="12" t="n">
        <v>46027</v>
      </c>
      <c r="C59" s="11" t="inlineStr">
        <is>
          <t>RETEFUENTE D E Y VOUCHER CREDIBANCO</t>
        </is>
      </c>
      <c r="D59" s="11" t="inlineStr">
        <is>
          <t>ORITO</t>
        </is>
      </c>
      <c r="E59" s="11" t="inlineStr">
        <is>
          <t>00000000</t>
        </is>
      </c>
      <c r="F59" s="13" t="n">
        <v>-765</v>
      </c>
      <c r="G59" s="11" t="n">
        <v>4969079.37</v>
      </c>
    </row>
    <row r="60">
      <c r="A60" s="11" t="n">
        <v>59</v>
      </c>
      <c r="B60" s="12" t="n">
        <v>46027</v>
      </c>
      <c r="C60" s="11" t="inlineStr">
        <is>
          <t>GRAVAMEN A MOVIMIENTO FINANCIERO</t>
        </is>
      </c>
      <c r="D60" s="11" t="inlineStr">
        <is>
          <t>ORITO</t>
        </is>
      </c>
      <c r="E60" s="11" t="inlineStr">
        <is>
          <t>00000000</t>
        </is>
      </c>
      <c r="F60" s="13" t="n">
        <v>-3</v>
      </c>
      <c r="G60" s="11" t="n">
        <v>4969076.37</v>
      </c>
    </row>
    <row r="61">
      <c r="A61" s="11" t="n">
        <v>60</v>
      </c>
      <c r="B61" s="12" t="n">
        <v>46027</v>
      </c>
      <c r="C61" s="11" t="inlineStr">
        <is>
          <t>CONSIGNACION CREDIBANCO D E</t>
        </is>
      </c>
      <c r="D61" s="11" t="inlineStr">
        <is>
          <t>ORITO</t>
        </is>
      </c>
      <c r="E61" s="11" t="inlineStr">
        <is>
          <t>00000000</t>
        </is>
      </c>
      <c r="F61" s="13" t="n">
        <v>44500</v>
      </c>
      <c r="G61" s="11" t="n">
        <v>5013576.37</v>
      </c>
    </row>
    <row r="62">
      <c r="A62" s="11" t="n">
        <v>61</v>
      </c>
      <c r="B62" s="12" t="n">
        <v>46027</v>
      </c>
      <c r="C62" s="11" t="inlineStr">
        <is>
          <t>COBRO COMISION DEPOSITOS ELECTRONICOS</t>
        </is>
      </c>
      <c r="D62" s="11" t="inlineStr">
        <is>
          <t>ORITO</t>
        </is>
      </c>
      <c r="E62" s="11" t="inlineStr">
        <is>
          <t>00000000</t>
        </is>
      </c>
      <c r="F62" s="13" t="n">
        <v>-975</v>
      </c>
      <c r="G62" s="11" t="n">
        <v>5012601.37</v>
      </c>
    </row>
    <row r="63">
      <c r="A63" s="11" t="n">
        <v>62</v>
      </c>
      <c r="B63" s="12" t="n">
        <v>46027</v>
      </c>
      <c r="C63" s="11" t="inlineStr">
        <is>
          <t>GRAVAMEN A MOVIMIENTO FINANCIERO</t>
        </is>
      </c>
      <c r="D63" s="11" t="inlineStr">
        <is>
          <t>ORITO</t>
        </is>
      </c>
      <c r="E63" s="11" t="inlineStr">
        <is>
          <t>00000000</t>
        </is>
      </c>
      <c r="F63" s="13" t="n">
        <v>-4</v>
      </c>
      <c r="G63" s="11" t="n">
        <v>5012597.37</v>
      </c>
    </row>
    <row r="64">
      <c r="A64" s="11" t="n">
        <v>63</v>
      </c>
      <c r="B64" s="12" t="n">
        <v>46027</v>
      </c>
      <c r="C64" s="11" t="inlineStr">
        <is>
          <t>RETEFUENTE D E Y VOUCHER CREDIBANCO</t>
        </is>
      </c>
      <c r="D64" s="11" t="inlineStr">
        <is>
          <t>ORITO</t>
        </is>
      </c>
      <c r="E64" s="11" t="inlineStr">
        <is>
          <t>00000000</t>
        </is>
      </c>
      <c r="F64" s="13" t="n">
        <v>-668</v>
      </c>
      <c r="G64" s="11" t="n">
        <v>5011929.37</v>
      </c>
    </row>
    <row r="65">
      <c r="A65" s="11" t="n">
        <v>64</v>
      </c>
      <c r="B65" s="12" t="n">
        <v>46027</v>
      </c>
      <c r="C65" s="11" t="inlineStr">
        <is>
          <t>GRAVAMEN A MOVIMIENTO FINANCIERO</t>
        </is>
      </c>
      <c r="D65" s="11" t="inlineStr">
        <is>
          <t>ORITO</t>
        </is>
      </c>
      <c r="E65" s="11" t="inlineStr">
        <is>
          <t>00000000</t>
        </is>
      </c>
      <c r="F65" s="13" t="n">
        <v>-3</v>
      </c>
      <c r="G65" s="11" t="n">
        <v>5011926.37</v>
      </c>
    </row>
    <row r="66">
      <c r="A66" s="11" t="n">
        <v>65</v>
      </c>
      <c r="B66" s="12" t="n">
        <v>46027</v>
      </c>
      <c r="C66" s="11" t="inlineStr">
        <is>
          <t>CONSIGNACION CREDIBANCO D E</t>
        </is>
      </c>
      <c r="D66" s="11" t="inlineStr">
        <is>
          <t>ORITO</t>
        </is>
      </c>
      <c r="E66" s="11" t="inlineStr">
        <is>
          <t>00000000</t>
        </is>
      </c>
      <c r="F66" s="13" t="n">
        <v>233000</v>
      </c>
      <c r="G66" s="11" t="n">
        <v>5244926.37</v>
      </c>
    </row>
    <row r="67">
      <c r="A67" s="11" t="n">
        <v>66</v>
      </c>
      <c r="B67" s="12" t="n">
        <v>46027</v>
      </c>
      <c r="C67" s="11" t="inlineStr">
        <is>
          <t>COBRO COMISION DEPOSITOS ELECTRONICOS</t>
        </is>
      </c>
      <c r="D67" s="11" t="inlineStr">
        <is>
          <t>ORITO</t>
        </is>
      </c>
      <c r="E67" s="11" t="inlineStr">
        <is>
          <t>00000000</t>
        </is>
      </c>
      <c r="F67" s="13" t="n">
        <v>-5103</v>
      </c>
      <c r="G67" s="11" t="n">
        <v>5239823.37</v>
      </c>
    </row>
    <row r="68">
      <c r="A68" s="11" t="n">
        <v>67</v>
      </c>
      <c r="B68" s="12" t="n">
        <v>46027</v>
      </c>
      <c r="C68" s="11" t="inlineStr">
        <is>
          <t>GRAVAMEN A MOVIMIENTO FINANCIERO</t>
        </is>
      </c>
      <c r="D68" s="11" t="inlineStr">
        <is>
          <t>ORITO</t>
        </is>
      </c>
      <c r="E68" s="11" t="inlineStr">
        <is>
          <t>00000000</t>
        </is>
      </c>
      <c r="F68" s="13" t="n">
        <v>-20</v>
      </c>
      <c r="G68" s="11" t="n">
        <v>5239803.37</v>
      </c>
    </row>
    <row r="69">
      <c r="A69" s="11" t="n">
        <v>68</v>
      </c>
      <c r="B69" s="12" t="n">
        <v>46027</v>
      </c>
      <c r="C69" s="11" t="inlineStr">
        <is>
          <t>RETEFUENTE D E Y VOUCHER CREDIBANCO</t>
        </is>
      </c>
      <c r="D69" s="11" t="inlineStr">
        <is>
          <t>ORITO</t>
        </is>
      </c>
      <c r="E69" s="11" t="inlineStr">
        <is>
          <t>00000000</t>
        </is>
      </c>
      <c r="F69" s="13" t="n">
        <v>-3495</v>
      </c>
      <c r="G69" s="11" t="n">
        <v>5236308.37</v>
      </c>
    </row>
    <row r="70">
      <c r="A70" s="11" t="n">
        <v>69</v>
      </c>
      <c r="B70" s="12" t="n">
        <v>46027</v>
      </c>
      <c r="C70" s="11" t="inlineStr">
        <is>
          <t>GRAVAMEN A MOVIMIENTO FINANCIERO</t>
        </is>
      </c>
      <c r="D70" s="11" t="inlineStr">
        <is>
          <t>ORITO</t>
        </is>
      </c>
      <c r="E70" s="11" t="inlineStr">
        <is>
          <t>00000000</t>
        </is>
      </c>
      <c r="F70" s="13" t="n">
        <v>-14</v>
      </c>
      <c r="G70" s="11" t="n">
        <v>5236294.37</v>
      </c>
    </row>
    <row r="71">
      <c r="A71" s="11" t="n">
        <v>70</v>
      </c>
      <c r="B71" s="12" t="n">
        <v>46027</v>
      </c>
      <c r="C71" s="11" t="inlineStr">
        <is>
          <t>CONSIGNACION CREDIBANCO D E</t>
        </is>
      </c>
      <c r="D71" s="11" t="inlineStr">
        <is>
          <t>ORITO</t>
        </is>
      </c>
      <c r="E71" s="11" t="inlineStr">
        <is>
          <t>00000000</t>
        </is>
      </c>
      <c r="F71" s="13" t="n">
        <v>279300</v>
      </c>
      <c r="G71" s="11" t="n">
        <v>5515594.37</v>
      </c>
    </row>
    <row r="72">
      <c r="A72" s="11" t="n">
        <v>71</v>
      </c>
      <c r="B72" s="12" t="n">
        <v>46027</v>
      </c>
      <c r="C72" s="11" t="inlineStr">
        <is>
          <t>COBRO COMISION DEPOSITOS ELECTRONICOS</t>
        </is>
      </c>
      <c r="D72" s="11" t="inlineStr">
        <is>
          <t>ORITO</t>
        </is>
      </c>
      <c r="E72" s="11" t="inlineStr">
        <is>
          <t>00000000</t>
        </is>
      </c>
      <c r="F72" s="13" t="n">
        <v>-6033</v>
      </c>
      <c r="G72" s="11" t="n">
        <v>5509561.37</v>
      </c>
    </row>
    <row r="73">
      <c r="A73" s="11" t="n">
        <v>72</v>
      </c>
      <c r="B73" s="12" t="n">
        <v>46027</v>
      </c>
      <c r="C73" s="11" t="inlineStr">
        <is>
          <t>GRAVAMEN A MOVIMIENTO FINANCIERO</t>
        </is>
      </c>
      <c r="D73" s="11" t="inlineStr">
        <is>
          <t>ORITO</t>
        </is>
      </c>
      <c r="E73" s="11" t="inlineStr">
        <is>
          <t>00000000</t>
        </is>
      </c>
      <c r="F73" s="13" t="n">
        <v>-24</v>
      </c>
      <c r="G73" s="11" t="n">
        <v>5509537.37</v>
      </c>
    </row>
    <row r="74">
      <c r="A74" s="11" t="n">
        <v>73</v>
      </c>
      <c r="B74" s="12" t="n">
        <v>46027</v>
      </c>
      <c r="C74" s="11" t="inlineStr">
        <is>
          <t>RETEFUENTE D E Y VOUCHER CREDIBANCO</t>
        </is>
      </c>
      <c r="D74" s="11" t="inlineStr">
        <is>
          <t>ORITO</t>
        </is>
      </c>
      <c r="E74" s="11" t="inlineStr">
        <is>
          <t>00000000</t>
        </is>
      </c>
      <c r="F74" s="13" t="n">
        <v>-4190</v>
      </c>
      <c r="G74" s="11" t="n">
        <v>5505347.37</v>
      </c>
    </row>
    <row r="75">
      <c r="A75" s="11" t="n">
        <v>74</v>
      </c>
      <c r="B75" s="12" t="n">
        <v>46027</v>
      </c>
      <c r="C75" s="11" t="inlineStr">
        <is>
          <t>GRAVAMEN A MOVIMIENTO FINANCIERO</t>
        </is>
      </c>
      <c r="D75" s="11" t="inlineStr">
        <is>
          <t>ORITO</t>
        </is>
      </c>
      <c r="E75" s="11" t="inlineStr">
        <is>
          <t>00000000</t>
        </is>
      </c>
      <c r="F75" s="13" t="n">
        <v>-17</v>
      </c>
      <c r="G75" s="11" t="n">
        <v>5505330.37</v>
      </c>
    </row>
    <row r="76">
      <c r="A76" s="11" t="n">
        <v>75</v>
      </c>
      <c r="B76" s="12" t="n">
        <v>46027</v>
      </c>
      <c r="C76" s="11" t="inlineStr">
        <is>
          <t>CONSIGNACION CREDIBANCO D E</t>
        </is>
      </c>
      <c r="D76" s="11" t="inlineStr">
        <is>
          <t>ORITO</t>
        </is>
      </c>
      <c r="E76" s="11" t="inlineStr">
        <is>
          <t>00000000</t>
        </is>
      </c>
      <c r="F76" s="13" t="n">
        <v>119800</v>
      </c>
      <c r="G76" s="11" t="n">
        <v>5625130.37</v>
      </c>
    </row>
    <row r="77">
      <c r="A77" s="11" t="n">
        <v>76</v>
      </c>
      <c r="B77" s="12" t="n">
        <v>46027</v>
      </c>
      <c r="C77" s="11" t="inlineStr">
        <is>
          <t>COBRO COMISION DEPOSITOS ELECTRONICOS</t>
        </is>
      </c>
      <c r="D77" s="11" t="inlineStr">
        <is>
          <t>ORITO</t>
        </is>
      </c>
      <c r="E77" s="11" t="inlineStr">
        <is>
          <t>00000000</t>
        </is>
      </c>
      <c r="F77" s="13" t="n">
        <v>-2588</v>
      </c>
      <c r="G77" s="11" t="n">
        <v>5622542.37</v>
      </c>
    </row>
    <row r="78">
      <c r="A78" s="11" t="n">
        <v>77</v>
      </c>
      <c r="B78" s="12" t="n">
        <v>46027</v>
      </c>
      <c r="C78" s="11" t="inlineStr">
        <is>
          <t>GRAVAMEN A MOVIMIENTO FINANCIERO</t>
        </is>
      </c>
      <c r="D78" s="11" t="inlineStr">
        <is>
          <t>ORITO</t>
        </is>
      </c>
      <c r="E78" s="11" t="inlineStr">
        <is>
          <t>00000000</t>
        </is>
      </c>
      <c r="F78" s="13" t="n">
        <v>-10</v>
      </c>
      <c r="G78" s="11" t="n">
        <v>5622532.37</v>
      </c>
    </row>
    <row r="79">
      <c r="A79" s="11" t="n">
        <v>78</v>
      </c>
      <c r="B79" s="12" t="n">
        <v>46027</v>
      </c>
      <c r="C79" s="11" t="inlineStr">
        <is>
          <t>RETEFUENTE D E Y VOUCHER CREDIBANCO</t>
        </is>
      </c>
      <c r="D79" s="11" t="inlineStr">
        <is>
          <t>ORITO</t>
        </is>
      </c>
      <c r="E79" s="11" t="inlineStr">
        <is>
          <t>00000000</t>
        </is>
      </c>
      <c r="F79" s="13" t="n">
        <v>-1797</v>
      </c>
      <c r="G79" s="11" t="n">
        <v>5620735.37</v>
      </c>
    </row>
    <row r="80">
      <c r="A80" s="11" t="n">
        <v>79</v>
      </c>
      <c r="B80" s="12" t="n">
        <v>46027</v>
      </c>
      <c r="C80" s="11" t="inlineStr">
        <is>
          <t>GRAVAMEN A MOVIMIENTO FINANCIERO</t>
        </is>
      </c>
      <c r="D80" s="11" t="inlineStr">
        <is>
          <t>ORITO</t>
        </is>
      </c>
      <c r="E80" s="11" t="inlineStr">
        <is>
          <t>00000000</t>
        </is>
      </c>
      <c r="F80" s="13" t="n">
        <v>-7</v>
      </c>
      <c r="G80" s="11" t="n">
        <v>5620728.37</v>
      </c>
    </row>
    <row r="81">
      <c r="A81" s="11" t="n">
        <v>80</v>
      </c>
      <c r="B81" s="12" t="n">
        <v>46027</v>
      </c>
      <c r="C81" s="11" t="inlineStr">
        <is>
          <t>CONSIGNACION CREDIBANCO D E</t>
        </is>
      </c>
      <c r="D81" s="11" t="inlineStr">
        <is>
          <t>ORITO</t>
        </is>
      </c>
      <c r="E81" s="11" t="inlineStr">
        <is>
          <t>00000000</t>
        </is>
      </c>
      <c r="F81" s="13" t="n">
        <v>50800</v>
      </c>
      <c r="G81" s="11" t="n">
        <v>5671528.37</v>
      </c>
    </row>
    <row r="82">
      <c r="A82" s="11" t="n">
        <v>81</v>
      </c>
      <c r="B82" s="12" t="n">
        <v>46027</v>
      </c>
      <c r="C82" s="11" t="inlineStr">
        <is>
          <t>COBRO COMISION DEPOSITOS ELECTRONICOS</t>
        </is>
      </c>
      <c r="D82" s="11" t="inlineStr">
        <is>
          <t>ORITO</t>
        </is>
      </c>
      <c r="E82" s="11" t="inlineStr">
        <is>
          <t>00000000</t>
        </is>
      </c>
      <c r="F82" s="13" t="n">
        <v>-1097</v>
      </c>
      <c r="G82" s="11" t="n">
        <v>5670431.37</v>
      </c>
    </row>
    <row r="83">
      <c r="A83" s="11" t="n">
        <v>82</v>
      </c>
      <c r="B83" s="12" t="n">
        <v>46027</v>
      </c>
      <c r="C83" s="11" t="inlineStr">
        <is>
          <t>GRAVAMEN A MOVIMIENTO FINANCIERO</t>
        </is>
      </c>
      <c r="D83" s="11" t="inlineStr">
        <is>
          <t>ORITO</t>
        </is>
      </c>
      <c r="E83" s="11" t="inlineStr">
        <is>
          <t>00000000</t>
        </is>
      </c>
      <c r="F83" s="13" t="n">
        <v>-4</v>
      </c>
      <c r="G83" s="11" t="n">
        <v>5670427.37</v>
      </c>
    </row>
    <row r="84">
      <c r="A84" s="11" t="n">
        <v>83</v>
      </c>
      <c r="B84" s="12" t="n">
        <v>46027</v>
      </c>
      <c r="C84" s="11" t="inlineStr">
        <is>
          <t>RETEFUENTE D E Y VOUCHER CREDIBANCO</t>
        </is>
      </c>
      <c r="D84" s="11" t="inlineStr">
        <is>
          <t>ORITO</t>
        </is>
      </c>
      <c r="E84" s="11" t="inlineStr">
        <is>
          <t>00000000</t>
        </is>
      </c>
      <c r="F84" s="13" t="n">
        <v>-762</v>
      </c>
      <c r="G84" s="11" t="n">
        <v>5669665.37</v>
      </c>
    </row>
    <row r="85">
      <c r="A85" s="11" t="n">
        <v>84</v>
      </c>
      <c r="B85" s="12" t="n">
        <v>46027</v>
      </c>
      <c r="C85" s="11" t="inlineStr">
        <is>
          <t>GRAVAMEN A MOVIMIENTO FINANCIERO</t>
        </is>
      </c>
      <c r="D85" s="11" t="inlineStr">
        <is>
          <t>ORITO</t>
        </is>
      </c>
      <c r="E85" s="11" t="inlineStr">
        <is>
          <t>00000000</t>
        </is>
      </c>
      <c r="F85" s="13" t="n">
        <v>-3</v>
      </c>
      <c r="G85" s="11" t="n">
        <v>5669662.37</v>
      </c>
    </row>
    <row r="86">
      <c r="A86" s="11" t="n">
        <v>85</v>
      </c>
      <c r="B86" s="12" t="n">
        <v>46027</v>
      </c>
      <c r="C86" s="11" t="inlineStr">
        <is>
          <t>CONSIGNACION CREDIBANCO D E</t>
        </is>
      </c>
      <c r="D86" s="11" t="inlineStr">
        <is>
          <t>ORITO</t>
        </is>
      </c>
      <c r="E86" s="11" t="inlineStr">
        <is>
          <t>00000000</t>
        </is>
      </c>
      <c r="F86" s="13" t="n">
        <v>213600</v>
      </c>
      <c r="G86" s="11" t="n">
        <v>5883262.37</v>
      </c>
    </row>
    <row r="87">
      <c r="A87" s="11" t="n">
        <v>86</v>
      </c>
      <c r="B87" s="12" t="n">
        <v>46027</v>
      </c>
      <c r="C87" s="11" t="inlineStr">
        <is>
          <t>COBRO COMISION DEPOSITOS ELECTRONICOS</t>
        </is>
      </c>
      <c r="D87" s="11" t="inlineStr">
        <is>
          <t>ORITO</t>
        </is>
      </c>
      <c r="E87" s="11" t="inlineStr">
        <is>
          <t>00000000</t>
        </is>
      </c>
      <c r="F87" s="13" t="n">
        <v>-4614</v>
      </c>
      <c r="G87" s="11" t="n">
        <v>5878648.37</v>
      </c>
    </row>
    <row r="88">
      <c r="A88" s="11" t="n">
        <v>87</v>
      </c>
      <c r="B88" s="12" t="n">
        <v>46027</v>
      </c>
      <c r="C88" s="11" t="inlineStr">
        <is>
          <t>GRAVAMEN A MOVIMIENTO FINANCIERO</t>
        </is>
      </c>
      <c r="D88" s="11" t="inlineStr">
        <is>
          <t>ORITO</t>
        </is>
      </c>
      <c r="E88" s="11" t="inlineStr">
        <is>
          <t>00000000</t>
        </is>
      </c>
      <c r="F88" s="13" t="n">
        <v>-18</v>
      </c>
      <c r="G88" s="11" t="n">
        <v>5878630.37</v>
      </c>
    </row>
    <row r="89">
      <c r="A89" s="11" t="n">
        <v>88</v>
      </c>
      <c r="B89" s="12" t="n">
        <v>46027</v>
      </c>
      <c r="C89" s="11" t="inlineStr">
        <is>
          <t>RETEFUENTE D E Y VOUCHER CREDIBANCO</t>
        </is>
      </c>
      <c r="D89" s="11" t="inlineStr">
        <is>
          <t>ORITO</t>
        </is>
      </c>
      <c r="E89" s="11" t="inlineStr">
        <is>
          <t>00000000</t>
        </is>
      </c>
      <c r="F89" s="13" t="n">
        <v>-3204</v>
      </c>
      <c r="G89" s="11" t="n">
        <v>5875426.37</v>
      </c>
    </row>
    <row r="90">
      <c r="A90" s="11" t="n">
        <v>89</v>
      </c>
      <c r="B90" s="12" t="n">
        <v>46027</v>
      </c>
      <c r="C90" s="11" t="inlineStr">
        <is>
          <t>GRAVAMEN A MOVIMIENTO FINANCIERO</t>
        </is>
      </c>
      <c r="D90" s="11" t="inlineStr">
        <is>
          <t>ORITO</t>
        </is>
      </c>
      <c r="E90" s="11" t="inlineStr">
        <is>
          <t>00000000</t>
        </is>
      </c>
      <c r="F90" s="13" t="n">
        <v>-13</v>
      </c>
      <c r="G90" s="11" t="n">
        <v>5875413.37</v>
      </c>
    </row>
    <row r="91">
      <c r="A91" s="11" t="n">
        <v>90</v>
      </c>
      <c r="B91" s="12" t="n">
        <v>46027</v>
      </c>
      <c r="C91" s="11" t="inlineStr">
        <is>
          <t>CONSIGNACION CREDIBANCO D E</t>
        </is>
      </c>
      <c r="D91" s="11" t="inlineStr">
        <is>
          <t>ORITO</t>
        </is>
      </c>
      <c r="E91" s="11" t="inlineStr">
        <is>
          <t>00000000</t>
        </is>
      </c>
      <c r="F91" s="13" t="n">
        <v>49100</v>
      </c>
      <c r="G91" s="11" t="n">
        <v>5924513.37</v>
      </c>
    </row>
    <row r="92">
      <c r="A92" s="11" t="n">
        <v>91</v>
      </c>
      <c r="B92" s="12" t="n">
        <v>46027</v>
      </c>
      <c r="C92" s="11" t="inlineStr">
        <is>
          <t>COBRO COMISION DEPOSITOS ELECTRONICOS</t>
        </is>
      </c>
      <c r="D92" s="11" t="inlineStr">
        <is>
          <t>ORITO</t>
        </is>
      </c>
      <c r="E92" s="11" t="inlineStr">
        <is>
          <t>00000000</t>
        </is>
      </c>
      <c r="F92" s="13" t="n">
        <v>-1061</v>
      </c>
      <c r="G92" s="11" t="n">
        <v>5923452.37</v>
      </c>
    </row>
    <row r="93">
      <c r="A93" s="11" t="n">
        <v>92</v>
      </c>
      <c r="B93" s="12" t="n">
        <v>46027</v>
      </c>
      <c r="C93" s="11" t="inlineStr">
        <is>
          <t>GRAVAMEN A MOVIMIENTO FINANCIERO</t>
        </is>
      </c>
      <c r="D93" s="11" t="inlineStr">
        <is>
          <t>ORITO</t>
        </is>
      </c>
      <c r="E93" s="11" t="inlineStr">
        <is>
          <t>00000000</t>
        </is>
      </c>
      <c r="F93" s="13" t="n">
        <v>-4</v>
      </c>
      <c r="G93" s="11" t="n">
        <v>5923448.37</v>
      </c>
    </row>
    <row r="94">
      <c r="A94" s="11" t="n">
        <v>93</v>
      </c>
      <c r="B94" s="12" t="n">
        <v>46027</v>
      </c>
      <c r="C94" s="11" t="inlineStr">
        <is>
          <t>RETEFUENTE D E Y VOUCHER CREDIBANCO</t>
        </is>
      </c>
      <c r="D94" s="11" t="inlineStr">
        <is>
          <t>ORITO</t>
        </is>
      </c>
      <c r="E94" s="11" t="inlineStr">
        <is>
          <t>00000000</t>
        </is>
      </c>
      <c r="F94" s="13" t="n">
        <v>-737</v>
      </c>
      <c r="G94" s="11" t="n">
        <v>5922711.37</v>
      </c>
    </row>
    <row r="95">
      <c r="A95" s="11" t="n">
        <v>94</v>
      </c>
      <c r="B95" s="12" t="n">
        <v>46027</v>
      </c>
      <c r="C95" s="11" t="inlineStr">
        <is>
          <t>GRAVAMEN A MOVIMIENTO FINANCIERO</t>
        </is>
      </c>
      <c r="D95" s="11" t="inlineStr">
        <is>
          <t>ORITO</t>
        </is>
      </c>
      <c r="E95" s="11" t="inlineStr">
        <is>
          <t>00000000</t>
        </is>
      </c>
      <c r="F95" s="13" t="n">
        <v>-3</v>
      </c>
      <c r="G95" s="11" t="n">
        <v>5922708.37</v>
      </c>
    </row>
    <row r="96">
      <c r="A96" s="11" t="n">
        <v>95</v>
      </c>
      <c r="B96" s="12" t="n">
        <v>46027</v>
      </c>
      <c r="C96" s="11" t="inlineStr">
        <is>
          <t>CONSIGNACION CREDIBANCO D E</t>
        </is>
      </c>
      <c r="D96" s="11" t="inlineStr">
        <is>
          <t>ORITO</t>
        </is>
      </c>
      <c r="E96" s="11" t="inlineStr">
        <is>
          <t>00000000</t>
        </is>
      </c>
      <c r="F96" s="13" t="n">
        <v>128000</v>
      </c>
      <c r="G96" s="11" t="n">
        <v>6050708.37</v>
      </c>
    </row>
    <row r="97">
      <c r="A97" s="11" t="n">
        <v>96</v>
      </c>
      <c r="B97" s="12" t="n">
        <v>46027</v>
      </c>
      <c r="C97" s="11" t="inlineStr">
        <is>
          <t>COBRO COMISION DEPOSITOS ELECTRONICOS</t>
        </is>
      </c>
      <c r="D97" s="11" t="inlineStr">
        <is>
          <t>ORITO</t>
        </is>
      </c>
      <c r="E97" s="11" t="inlineStr">
        <is>
          <t>00000000</t>
        </is>
      </c>
      <c r="F97" s="13" t="n">
        <v>-2765</v>
      </c>
      <c r="G97" s="11" t="n">
        <v>6047943.37</v>
      </c>
    </row>
    <row r="98">
      <c r="A98" s="11" t="n">
        <v>97</v>
      </c>
      <c r="B98" s="12" t="n">
        <v>46027</v>
      </c>
      <c r="C98" s="11" t="inlineStr">
        <is>
          <t>GRAVAMEN A MOVIMIENTO FINANCIERO</t>
        </is>
      </c>
      <c r="D98" s="11" t="inlineStr">
        <is>
          <t>ORITO</t>
        </is>
      </c>
      <c r="E98" s="11" t="inlineStr">
        <is>
          <t>00000000</t>
        </is>
      </c>
      <c r="F98" s="13" t="n">
        <v>-11</v>
      </c>
      <c r="G98" s="11" t="n">
        <v>6047932.37</v>
      </c>
    </row>
    <row r="99">
      <c r="A99" s="11" t="n">
        <v>98</v>
      </c>
      <c r="B99" s="12" t="n">
        <v>46027</v>
      </c>
      <c r="C99" s="11" t="inlineStr">
        <is>
          <t>RETEFUENTE D E Y VOUCHER CREDIBANCO</t>
        </is>
      </c>
      <c r="D99" s="11" t="inlineStr">
        <is>
          <t>ORITO</t>
        </is>
      </c>
      <c r="E99" s="11" t="inlineStr">
        <is>
          <t>00000000</t>
        </is>
      </c>
      <c r="F99" s="13" t="n">
        <v>-1920</v>
      </c>
      <c r="G99" s="11" t="n">
        <v>6046012.37</v>
      </c>
    </row>
    <row r="100">
      <c r="A100" s="11" t="n">
        <v>99</v>
      </c>
      <c r="B100" s="12" t="n">
        <v>46027</v>
      </c>
      <c r="C100" s="11" t="inlineStr">
        <is>
          <t>GRAVAMEN A MOVIMIENTO FINANCIERO</t>
        </is>
      </c>
      <c r="D100" s="11" t="inlineStr">
        <is>
          <t>ORITO</t>
        </is>
      </c>
      <c r="E100" s="11" t="inlineStr">
        <is>
          <t>00000000</t>
        </is>
      </c>
      <c r="F100" s="13" t="n">
        <v>-8</v>
      </c>
      <c r="G100" s="11" t="n">
        <v>6046004.37</v>
      </c>
    </row>
    <row r="101">
      <c r="A101" s="11" t="n">
        <v>100</v>
      </c>
      <c r="B101" s="12" t="n">
        <v>46027</v>
      </c>
      <c r="C101" s="11" t="inlineStr">
        <is>
          <t>CONSIGNACION CREDIBANCO D E</t>
        </is>
      </c>
      <c r="D101" s="11" t="inlineStr">
        <is>
          <t>ORITO</t>
        </is>
      </c>
      <c r="E101" s="11" t="inlineStr">
        <is>
          <t>00000000</t>
        </is>
      </c>
      <c r="F101" s="13" t="n">
        <v>33700</v>
      </c>
      <c r="G101" s="11" t="n">
        <v>6079704.37</v>
      </c>
    </row>
    <row r="102">
      <c r="A102" s="11" t="n">
        <v>101</v>
      </c>
      <c r="B102" s="12" t="n">
        <v>46027</v>
      </c>
      <c r="C102" s="11" t="inlineStr">
        <is>
          <t>COBRO COMISION DEPOSITOS ELECTRONICOS</t>
        </is>
      </c>
      <c r="D102" s="11" t="inlineStr">
        <is>
          <t>ORITO</t>
        </is>
      </c>
      <c r="E102" s="11" t="inlineStr">
        <is>
          <t>00000000</t>
        </is>
      </c>
      <c r="F102" s="13" t="n">
        <v>-728</v>
      </c>
      <c r="G102" s="11" t="n">
        <v>6078976.37</v>
      </c>
    </row>
    <row r="103">
      <c r="A103" s="11" t="n">
        <v>102</v>
      </c>
      <c r="B103" s="12" t="n">
        <v>46027</v>
      </c>
      <c r="C103" s="11" t="inlineStr">
        <is>
          <t>GRAVAMEN A MOVIMIENTO FINANCIERO</t>
        </is>
      </c>
      <c r="D103" s="11" t="inlineStr">
        <is>
          <t>ORITO</t>
        </is>
      </c>
      <c r="E103" s="11" t="inlineStr">
        <is>
          <t>00000000</t>
        </is>
      </c>
      <c r="F103" s="13" t="n">
        <v>-3</v>
      </c>
      <c r="G103" s="11" t="n">
        <v>6078973.37</v>
      </c>
    </row>
    <row r="104">
      <c r="A104" s="11" t="n">
        <v>103</v>
      </c>
      <c r="B104" s="12" t="n">
        <v>46027</v>
      </c>
      <c r="C104" s="11" t="inlineStr">
        <is>
          <t>RETEFUENTE D E Y VOUCHER CREDIBANCO</t>
        </is>
      </c>
      <c r="D104" s="11" t="inlineStr">
        <is>
          <t>ORITO</t>
        </is>
      </c>
      <c r="E104" s="11" t="inlineStr">
        <is>
          <t>00000000</t>
        </is>
      </c>
      <c r="F104" s="13" t="n">
        <v>-506</v>
      </c>
      <c r="G104" s="11" t="n">
        <v>6078467.37</v>
      </c>
    </row>
    <row r="105">
      <c r="A105" s="11" t="n">
        <v>104</v>
      </c>
      <c r="B105" s="12" t="n">
        <v>46027</v>
      </c>
      <c r="C105" s="11" t="inlineStr">
        <is>
          <t>GRAVAMEN A MOVIMIENTO FINANCIERO</t>
        </is>
      </c>
      <c r="D105" s="11" t="inlineStr">
        <is>
          <t>ORITO</t>
        </is>
      </c>
      <c r="E105" s="11" t="inlineStr">
        <is>
          <t>00000000</t>
        </is>
      </c>
      <c r="F105" s="13" t="n">
        <v>-2</v>
      </c>
      <c r="G105" s="11" t="n">
        <v>6078465.37</v>
      </c>
    </row>
    <row r="106">
      <c r="A106" s="11" t="n">
        <v>105</v>
      </c>
      <c r="B106" s="12" t="n">
        <v>46027</v>
      </c>
      <c r="C106" s="11" t="inlineStr">
        <is>
          <t>CONSIGNACION CREDIBANCO D E</t>
        </is>
      </c>
      <c r="D106" s="11" t="inlineStr">
        <is>
          <t>ORITO</t>
        </is>
      </c>
      <c r="E106" s="11" t="inlineStr">
        <is>
          <t>00000000</t>
        </is>
      </c>
      <c r="F106" s="13" t="n">
        <v>20200</v>
      </c>
      <c r="G106" s="11" t="n">
        <v>6098665.37</v>
      </c>
    </row>
    <row r="107">
      <c r="A107" s="11" t="n">
        <v>106</v>
      </c>
      <c r="B107" s="12" t="n">
        <v>46027</v>
      </c>
      <c r="C107" s="11" t="inlineStr">
        <is>
          <t>COBRO COMISION DEPOSITOS ELECTRONICOS</t>
        </is>
      </c>
      <c r="D107" s="11" t="inlineStr">
        <is>
          <t>ORITO</t>
        </is>
      </c>
      <c r="E107" s="11" t="inlineStr">
        <is>
          <t>00000000</t>
        </is>
      </c>
      <c r="F107" s="13" t="n">
        <v>-436</v>
      </c>
      <c r="G107" s="11" t="n">
        <v>6098229.37</v>
      </c>
    </row>
    <row r="108">
      <c r="A108" s="11" t="n">
        <v>107</v>
      </c>
      <c r="B108" s="12" t="n">
        <v>46027</v>
      </c>
      <c r="C108" s="11" t="inlineStr">
        <is>
          <t>GRAVAMEN A MOVIMIENTO FINANCIERO</t>
        </is>
      </c>
      <c r="D108" s="11" t="inlineStr">
        <is>
          <t>ORITO</t>
        </is>
      </c>
      <c r="E108" s="11" t="inlineStr">
        <is>
          <t>00000000</t>
        </is>
      </c>
      <c r="F108" s="13" t="n">
        <v>-2</v>
      </c>
      <c r="G108" s="11" t="n">
        <v>6098227.37</v>
      </c>
    </row>
    <row r="109">
      <c r="A109" s="11" t="n">
        <v>108</v>
      </c>
      <c r="B109" s="12" t="n">
        <v>46027</v>
      </c>
      <c r="C109" s="11" t="inlineStr">
        <is>
          <t>RETEFUENTE D E Y VOUCHER CREDIBANCO</t>
        </is>
      </c>
      <c r="D109" s="11" t="inlineStr">
        <is>
          <t>ORITO</t>
        </is>
      </c>
      <c r="E109" s="11" t="inlineStr">
        <is>
          <t>00000000</t>
        </is>
      </c>
      <c r="F109" s="13" t="n">
        <v>-303</v>
      </c>
      <c r="G109" s="11" t="n">
        <v>6097924.37</v>
      </c>
    </row>
    <row r="110">
      <c r="A110" s="11" t="n">
        <v>109</v>
      </c>
      <c r="B110" s="12" t="n">
        <v>46027</v>
      </c>
      <c r="C110" s="11" t="inlineStr">
        <is>
          <t>GRAVAMEN A MOVIMIENTO FINANCIERO</t>
        </is>
      </c>
      <c r="D110" s="11" t="inlineStr">
        <is>
          <t>ORITO</t>
        </is>
      </c>
      <c r="E110" s="11" t="inlineStr">
        <is>
          <t>00000000</t>
        </is>
      </c>
      <c r="F110" s="13" t="n">
        <v>-1</v>
      </c>
      <c r="G110" s="11" t="n">
        <v>6097923.37</v>
      </c>
    </row>
    <row r="111">
      <c r="A111" s="11" t="n">
        <v>110</v>
      </c>
      <c r="B111" s="12" t="n">
        <v>46027</v>
      </c>
      <c r="C111" s="11" t="inlineStr">
        <is>
          <t>CONSIGNACION CREDIBANCO D E</t>
        </is>
      </c>
      <c r="D111" s="11" t="inlineStr">
        <is>
          <t>ORITO</t>
        </is>
      </c>
      <c r="E111" s="11" t="inlineStr">
        <is>
          <t>00000000</t>
        </is>
      </c>
      <c r="F111" s="13" t="n">
        <v>64200</v>
      </c>
      <c r="G111" s="11" t="n">
        <v>6162123.37</v>
      </c>
    </row>
    <row r="112">
      <c r="A112" s="11" t="n">
        <v>111</v>
      </c>
      <c r="B112" s="12" t="n">
        <v>46027</v>
      </c>
      <c r="C112" s="11" t="inlineStr">
        <is>
          <t>COBRO COMISION DEPOSITOS ELECTRONICOS</t>
        </is>
      </c>
      <c r="D112" s="11" t="inlineStr">
        <is>
          <t>ORITO</t>
        </is>
      </c>
      <c r="E112" s="11" t="inlineStr">
        <is>
          <t>00000000</t>
        </is>
      </c>
      <c r="F112" s="13" t="n">
        <v>-1406</v>
      </c>
      <c r="G112" s="11" t="n">
        <v>6160717.37</v>
      </c>
    </row>
    <row r="113">
      <c r="A113" s="11" t="n">
        <v>112</v>
      </c>
      <c r="B113" s="12" t="n">
        <v>46027</v>
      </c>
      <c r="C113" s="11" t="inlineStr">
        <is>
          <t>GRAVAMEN A MOVIMIENTO FINANCIERO</t>
        </is>
      </c>
      <c r="D113" s="11" t="inlineStr">
        <is>
          <t>ORITO</t>
        </is>
      </c>
      <c r="E113" s="11" t="inlineStr">
        <is>
          <t>00000000</t>
        </is>
      </c>
      <c r="F113" s="13" t="n">
        <v>-6</v>
      </c>
      <c r="G113" s="11" t="n">
        <v>6160711.37</v>
      </c>
    </row>
    <row r="114">
      <c r="A114" s="11" t="n">
        <v>113</v>
      </c>
      <c r="B114" s="12" t="n">
        <v>46027</v>
      </c>
      <c r="C114" s="11" t="inlineStr">
        <is>
          <t>RETEFUENTE D E Y VOUCHER CREDIBANCO</t>
        </is>
      </c>
      <c r="D114" s="11" t="inlineStr">
        <is>
          <t>ORITO</t>
        </is>
      </c>
      <c r="E114" s="11" t="inlineStr">
        <is>
          <t>00000000</t>
        </is>
      </c>
      <c r="F114" s="13" t="n">
        <v>-963</v>
      </c>
      <c r="G114" s="11" t="n">
        <v>6159748.37</v>
      </c>
    </row>
    <row r="115">
      <c r="A115" s="11" t="n">
        <v>114</v>
      </c>
      <c r="B115" s="12" t="n">
        <v>46027</v>
      </c>
      <c r="C115" s="11" t="inlineStr">
        <is>
          <t>GRAVAMEN A MOVIMIENTO FINANCIERO</t>
        </is>
      </c>
      <c r="D115" s="11" t="inlineStr">
        <is>
          <t>ORITO</t>
        </is>
      </c>
      <c r="E115" s="11" t="inlineStr">
        <is>
          <t>00000000</t>
        </is>
      </c>
      <c r="F115" s="13" t="n">
        <v>-4</v>
      </c>
      <c r="G115" s="11" t="n">
        <v>6159744.37</v>
      </c>
    </row>
    <row r="116">
      <c r="A116" s="11" t="n">
        <v>115</v>
      </c>
      <c r="B116" s="12" t="n">
        <v>46027</v>
      </c>
      <c r="C116" s="11" t="inlineStr">
        <is>
          <t>CONSIGNACION CREDIBANCO D E</t>
        </is>
      </c>
      <c r="D116" s="11" t="inlineStr">
        <is>
          <t>ORITO</t>
        </is>
      </c>
      <c r="E116" s="11" t="inlineStr">
        <is>
          <t>00000000</t>
        </is>
      </c>
      <c r="F116" s="13" t="n">
        <v>57000</v>
      </c>
      <c r="G116" s="11" t="n">
        <v>6216744.37</v>
      </c>
    </row>
    <row r="117">
      <c r="A117" s="11" t="n">
        <v>116</v>
      </c>
      <c r="B117" s="12" t="n">
        <v>46027</v>
      </c>
      <c r="C117" s="11" t="inlineStr">
        <is>
          <t>COBRO COMISION DEPOSITOS ELECTRONICOS</t>
        </is>
      </c>
      <c r="D117" s="11" t="inlineStr">
        <is>
          <t>ORITO</t>
        </is>
      </c>
      <c r="E117" s="11" t="inlineStr">
        <is>
          <t>00000000</t>
        </is>
      </c>
      <c r="F117" s="13" t="n">
        <v>-1248</v>
      </c>
      <c r="G117" s="11" t="n">
        <v>6215496.37</v>
      </c>
    </row>
    <row r="118">
      <c r="A118" s="11" t="n">
        <v>117</v>
      </c>
      <c r="B118" s="12" t="n">
        <v>46027</v>
      </c>
      <c r="C118" s="11" t="inlineStr">
        <is>
          <t>GRAVAMEN A MOVIMIENTO FINANCIERO</t>
        </is>
      </c>
      <c r="D118" s="11" t="inlineStr">
        <is>
          <t>ORITO</t>
        </is>
      </c>
      <c r="E118" s="11" t="inlineStr">
        <is>
          <t>00000000</t>
        </is>
      </c>
      <c r="F118" s="13" t="n">
        <v>-5</v>
      </c>
      <c r="G118" s="11" t="n">
        <v>6215491.37</v>
      </c>
    </row>
    <row r="119">
      <c r="A119" s="11" t="n">
        <v>118</v>
      </c>
      <c r="B119" s="12" t="n">
        <v>46027</v>
      </c>
      <c r="C119" s="11" t="inlineStr">
        <is>
          <t>RETEFUENTE D E Y VOUCHER CREDIBANCO</t>
        </is>
      </c>
      <c r="D119" s="11" t="inlineStr">
        <is>
          <t>ORITO</t>
        </is>
      </c>
      <c r="E119" s="11" t="inlineStr">
        <is>
          <t>00000000</t>
        </is>
      </c>
      <c r="F119" s="13" t="n">
        <v>-855</v>
      </c>
      <c r="G119" s="11" t="n">
        <v>6214636.37</v>
      </c>
    </row>
    <row r="120">
      <c r="A120" s="11" t="n">
        <v>119</v>
      </c>
      <c r="B120" s="12" t="n">
        <v>46027</v>
      </c>
      <c r="C120" s="11" t="inlineStr">
        <is>
          <t>GRAVAMEN A MOVIMIENTO FINANCIERO</t>
        </is>
      </c>
      <c r="D120" s="11" t="inlineStr">
        <is>
          <t>ORITO</t>
        </is>
      </c>
      <c r="E120" s="11" t="inlineStr">
        <is>
          <t>00000000</t>
        </is>
      </c>
      <c r="F120" s="13" t="n">
        <v>-3</v>
      </c>
      <c r="G120" s="11" t="n">
        <v>6214633.37</v>
      </c>
    </row>
    <row r="121">
      <c r="A121" s="11" t="n">
        <v>120</v>
      </c>
      <c r="B121" s="12" t="n">
        <v>46027</v>
      </c>
      <c r="C121" s="11" t="inlineStr">
        <is>
          <t>CONSIGNACION CREDIBANCO D E</t>
        </is>
      </c>
      <c r="D121" s="11" t="inlineStr">
        <is>
          <t>ORITO</t>
        </is>
      </c>
      <c r="E121" s="11" t="inlineStr">
        <is>
          <t>00000000</t>
        </is>
      </c>
      <c r="F121" s="13" t="n">
        <v>22400</v>
      </c>
      <c r="G121" s="11" t="n">
        <v>6237033.37</v>
      </c>
    </row>
    <row r="122">
      <c r="A122" s="11" t="n">
        <v>121</v>
      </c>
      <c r="B122" s="12" t="n">
        <v>46027</v>
      </c>
      <c r="C122" s="11" t="inlineStr">
        <is>
          <t>COBRO COMISION DEPOSITOS ELECTRONICOS</t>
        </is>
      </c>
      <c r="D122" s="11" t="inlineStr">
        <is>
          <t>ORITO</t>
        </is>
      </c>
      <c r="E122" s="11" t="inlineStr">
        <is>
          <t>00000000</t>
        </is>
      </c>
      <c r="F122" s="13" t="n">
        <v>-491</v>
      </c>
      <c r="G122" s="11" t="n">
        <v>6236542.37</v>
      </c>
    </row>
    <row r="123">
      <c r="A123" s="11" t="n">
        <v>122</v>
      </c>
      <c r="B123" s="12" t="n">
        <v>46027</v>
      </c>
      <c r="C123" s="11" t="inlineStr">
        <is>
          <t>GRAVAMEN A MOVIMIENTO FINANCIERO</t>
        </is>
      </c>
      <c r="D123" s="11" t="inlineStr">
        <is>
          <t>ORITO</t>
        </is>
      </c>
      <c r="E123" s="11" t="inlineStr">
        <is>
          <t>00000000</t>
        </is>
      </c>
      <c r="F123" s="13" t="n">
        <v>-2</v>
      </c>
      <c r="G123" s="11" t="n">
        <v>6236540.37</v>
      </c>
    </row>
    <row r="124">
      <c r="A124" s="11" t="n">
        <v>123</v>
      </c>
      <c r="B124" s="12" t="n">
        <v>46027</v>
      </c>
      <c r="C124" s="11" t="inlineStr">
        <is>
          <t>RETEFUENTE D E Y VOUCHER CREDIBANCO</t>
        </is>
      </c>
      <c r="D124" s="11" t="inlineStr">
        <is>
          <t>ORITO</t>
        </is>
      </c>
      <c r="E124" s="11" t="inlineStr">
        <is>
          <t>00000000</t>
        </is>
      </c>
      <c r="F124" s="13" t="n">
        <v>-336</v>
      </c>
      <c r="G124" s="11" t="n">
        <v>6236204.37</v>
      </c>
    </row>
    <row r="125">
      <c r="A125" s="11" t="n">
        <v>124</v>
      </c>
      <c r="B125" s="12" t="n">
        <v>46027</v>
      </c>
      <c r="C125" s="11" t="inlineStr">
        <is>
          <t>GRAVAMEN A MOVIMIENTO FINANCIERO</t>
        </is>
      </c>
      <c r="D125" s="11" t="inlineStr">
        <is>
          <t>ORITO</t>
        </is>
      </c>
      <c r="E125" s="11" t="inlineStr">
        <is>
          <t>00000000</t>
        </is>
      </c>
      <c r="F125" s="13" t="n">
        <v>-1</v>
      </c>
      <c r="G125" s="11" t="n">
        <v>6236203.37</v>
      </c>
    </row>
    <row r="126">
      <c r="A126" s="11" t="n">
        <v>125</v>
      </c>
      <c r="B126" s="12" t="n">
        <v>46027</v>
      </c>
      <c r="C126" s="11" t="inlineStr">
        <is>
          <t>CONSIGNACION CREDIBANCO D E</t>
        </is>
      </c>
      <c r="D126" s="11" t="inlineStr">
        <is>
          <t>ORITO</t>
        </is>
      </c>
      <c r="E126" s="11" t="inlineStr">
        <is>
          <t>00000000</t>
        </is>
      </c>
      <c r="F126" s="13" t="n">
        <v>262500</v>
      </c>
      <c r="G126" s="11" t="n">
        <v>6498703.37</v>
      </c>
    </row>
    <row r="127">
      <c r="A127" s="11" t="n">
        <v>126</v>
      </c>
      <c r="B127" s="12" t="n">
        <v>46027</v>
      </c>
      <c r="C127" s="11" t="inlineStr">
        <is>
          <t>COBRO COMISION DEPOSITOS ELECTRONICOS</t>
        </is>
      </c>
      <c r="D127" s="11" t="inlineStr">
        <is>
          <t>ORITO</t>
        </is>
      </c>
      <c r="E127" s="11" t="inlineStr">
        <is>
          <t>00000000</t>
        </is>
      </c>
      <c r="F127" s="13" t="n">
        <v>-5408</v>
      </c>
      <c r="G127" s="11" t="n">
        <v>6493295.37</v>
      </c>
    </row>
    <row r="128">
      <c r="A128" s="11" t="n">
        <v>127</v>
      </c>
      <c r="B128" s="12" t="n">
        <v>46027</v>
      </c>
      <c r="C128" s="11" t="inlineStr">
        <is>
          <t>GRAVAMEN A MOVIMIENTO FINANCIERO</t>
        </is>
      </c>
      <c r="D128" s="11" t="inlineStr">
        <is>
          <t>ORITO</t>
        </is>
      </c>
      <c r="E128" s="11" t="inlineStr">
        <is>
          <t>00000000</t>
        </is>
      </c>
      <c r="F128" s="13" t="n">
        <v>-22</v>
      </c>
      <c r="G128" s="11" t="n">
        <v>6493273.37</v>
      </c>
    </row>
    <row r="129">
      <c r="A129" s="11" t="n">
        <v>128</v>
      </c>
      <c r="B129" s="12" t="n">
        <v>46027</v>
      </c>
      <c r="C129" s="11" t="inlineStr">
        <is>
          <t>RETEFUENTE D E Y VOUCHER CREDIBANCO</t>
        </is>
      </c>
      <c r="D129" s="11" t="inlineStr">
        <is>
          <t>ORITO</t>
        </is>
      </c>
      <c r="E129" s="11" t="inlineStr">
        <is>
          <t>00000000</t>
        </is>
      </c>
      <c r="F129" s="13" t="n">
        <v>-3938</v>
      </c>
      <c r="G129" s="11" t="n">
        <v>6489335.37</v>
      </c>
    </row>
    <row r="130">
      <c r="A130" s="11" t="n">
        <v>129</v>
      </c>
      <c r="B130" s="12" t="n">
        <v>46027</v>
      </c>
      <c r="C130" s="11" t="inlineStr">
        <is>
          <t>GRAVAMEN A MOVIMIENTO FINANCIERO</t>
        </is>
      </c>
      <c r="D130" s="11" t="inlineStr">
        <is>
          <t>ORITO</t>
        </is>
      </c>
      <c r="E130" s="11" t="inlineStr">
        <is>
          <t>00000000</t>
        </is>
      </c>
      <c r="F130" s="13" t="n">
        <v>-16</v>
      </c>
      <c r="G130" s="11" t="n">
        <v>6489319.37</v>
      </c>
    </row>
    <row r="131">
      <c r="A131" s="11" t="n">
        <v>130</v>
      </c>
      <c r="B131" s="12" t="n">
        <v>46027</v>
      </c>
      <c r="C131" s="11" t="inlineStr">
        <is>
          <t>DEPOSITOS ELECTRONICOS TRANSACCION MASTERCA</t>
        </is>
      </c>
      <c r="D131" s="11" t="inlineStr">
        <is>
          <t>ORITO</t>
        </is>
      </c>
      <c r="E131" s="11" t="inlineStr">
        <is>
          <t>00000000</t>
        </is>
      </c>
      <c r="F131" s="13" t="n">
        <v>50200</v>
      </c>
      <c r="G131" s="11" t="n">
        <v>6539519.37</v>
      </c>
    </row>
    <row r="132">
      <c r="A132" s="11" t="n">
        <v>131</v>
      </c>
      <c r="B132" s="12" t="n">
        <v>46027</v>
      </c>
      <c r="C132" s="11" t="inlineStr">
        <is>
          <t>COMISION DEPOSITOS ELECTRONICOS MASTERCARD</t>
        </is>
      </c>
      <c r="D132" s="11" t="inlineStr">
        <is>
          <t>ORITO</t>
        </is>
      </c>
      <c r="E132" s="11" t="inlineStr">
        <is>
          <t>00000000</t>
        </is>
      </c>
      <c r="F132" s="13" t="n">
        <v>-954</v>
      </c>
      <c r="G132" s="11" t="n">
        <v>6538565.37</v>
      </c>
    </row>
    <row r="133">
      <c r="A133" s="11" t="n">
        <v>132</v>
      </c>
      <c r="B133" s="12" t="n">
        <v>46027</v>
      </c>
      <c r="C133" s="11" t="inlineStr">
        <is>
          <t>GRAVAMEN A MOVIMIENTO FINANCIERO</t>
        </is>
      </c>
      <c r="D133" s="11" t="inlineStr">
        <is>
          <t>ORITO</t>
        </is>
      </c>
      <c r="E133" s="11" t="inlineStr">
        <is>
          <t>00000000</t>
        </is>
      </c>
      <c r="F133" s="13" t="n">
        <v>-4</v>
      </c>
      <c r="G133" s="11" t="n">
        <v>6538561.37</v>
      </c>
    </row>
    <row r="134">
      <c r="A134" s="11" t="n">
        <v>133</v>
      </c>
      <c r="B134" s="12" t="n">
        <v>46027</v>
      </c>
      <c r="C134" s="11" t="inlineStr">
        <is>
          <t>RETEFUENTE DEPOSITOS ELECTRONICOS MASTERCAR</t>
        </is>
      </c>
      <c r="D134" s="11" t="inlineStr">
        <is>
          <t>ORITO</t>
        </is>
      </c>
      <c r="E134" s="11" t="inlineStr">
        <is>
          <t>00000000</t>
        </is>
      </c>
      <c r="F134" s="13" t="n">
        <v>-753</v>
      </c>
      <c r="G134" s="11" t="n">
        <v>6537808.37</v>
      </c>
    </row>
    <row r="135">
      <c r="A135" s="11" t="n">
        <v>134</v>
      </c>
      <c r="B135" s="12" t="n">
        <v>46027</v>
      </c>
      <c r="C135" s="11" t="inlineStr">
        <is>
          <t>GRAVAMEN A MOVIMIENTO FINANCIERO</t>
        </is>
      </c>
      <c r="D135" s="11" t="inlineStr">
        <is>
          <t>ORITO</t>
        </is>
      </c>
      <c r="E135" s="11" t="inlineStr">
        <is>
          <t>00000000</t>
        </is>
      </c>
      <c r="F135" s="13" t="n">
        <v>-3</v>
      </c>
      <c r="G135" s="11" t="n">
        <v>6537805.37</v>
      </c>
    </row>
    <row r="136">
      <c r="A136" s="11" t="n">
        <v>135</v>
      </c>
      <c r="B136" s="12" t="n">
        <v>46027</v>
      </c>
      <c r="C136" s="11" t="inlineStr">
        <is>
          <t>DEPOSITOS ELECTRONICOS TRANSACCION MASTERCA</t>
        </is>
      </c>
      <c r="D136" s="11" t="inlineStr">
        <is>
          <t>ORITO</t>
        </is>
      </c>
      <c r="E136" s="11" t="inlineStr">
        <is>
          <t>00000000</t>
        </is>
      </c>
      <c r="F136" s="13" t="n">
        <v>120100</v>
      </c>
      <c r="G136" s="11" t="n">
        <v>6657905.37</v>
      </c>
    </row>
    <row r="137">
      <c r="A137" s="11" t="n">
        <v>136</v>
      </c>
      <c r="B137" s="12" t="n">
        <v>46027</v>
      </c>
      <c r="C137" s="11" t="inlineStr">
        <is>
          <t>COMISION DEPOSITOS ELECTRONICOS MASTERCARD</t>
        </is>
      </c>
      <c r="D137" s="11" t="inlineStr">
        <is>
          <t>ORITO</t>
        </is>
      </c>
      <c r="E137" s="11" t="inlineStr">
        <is>
          <t>00000000</t>
        </is>
      </c>
      <c r="F137" s="13" t="n">
        <v>-2822</v>
      </c>
      <c r="G137" s="11" t="n">
        <v>6655083.37</v>
      </c>
    </row>
    <row r="138">
      <c r="A138" s="11" t="n">
        <v>137</v>
      </c>
      <c r="B138" s="12" t="n">
        <v>46027</v>
      </c>
      <c r="C138" s="11" t="inlineStr">
        <is>
          <t>GRAVAMEN A MOVIMIENTO FINANCIERO</t>
        </is>
      </c>
      <c r="D138" s="11" t="inlineStr">
        <is>
          <t>ORITO</t>
        </is>
      </c>
      <c r="E138" s="11" t="inlineStr">
        <is>
          <t>00000000</t>
        </is>
      </c>
      <c r="F138" s="13" t="n">
        <v>-11</v>
      </c>
      <c r="G138" s="11" t="n">
        <v>6655072.37</v>
      </c>
    </row>
    <row r="139">
      <c r="A139" s="11" t="n">
        <v>138</v>
      </c>
      <c r="B139" s="12" t="n">
        <v>46027</v>
      </c>
      <c r="C139" s="11" t="inlineStr">
        <is>
          <t>RETEFUENTE DEPOSITOS ELECTRONICOS MASTERCAR</t>
        </is>
      </c>
      <c r="D139" s="11" t="inlineStr">
        <is>
          <t>ORITO</t>
        </is>
      </c>
      <c r="E139" s="11" t="inlineStr">
        <is>
          <t>00000000</t>
        </is>
      </c>
      <c r="F139" s="13" t="n">
        <v>-1802</v>
      </c>
      <c r="G139" s="11" t="n">
        <v>6653270.37</v>
      </c>
    </row>
    <row r="140">
      <c r="A140" s="11" t="n">
        <v>139</v>
      </c>
      <c r="B140" s="12" t="n">
        <v>46027</v>
      </c>
      <c r="C140" s="11" t="inlineStr">
        <is>
          <t>GRAVAMEN A MOVIMIENTO FINANCIERO</t>
        </is>
      </c>
      <c r="D140" s="11" t="inlineStr">
        <is>
          <t>ORITO</t>
        </is>
      </c>
      <c r="E140" s="11" t="inlineStr">
        <is>
          <t>00000000</t>
        </is>
      </c>
      <c r="F140" s="13" t="n">
        <v>-7</v>
      </c>
      <c r="G140" s="11" t="n">
        <v>6653263.37</v>
      </c>
    </row>
    <row r="141">
      <c r="A141" s="11" t="n">
        <v>140</v>
      </c>
      <c r="B141" s="12" t="n">
        <v>46027</v>
      </c>
      <c r="C141" s="11" t="inlineStr">
        <is>
          <t>DEPOSITOS ELECTRONICOS TRANSACCION MASTERCA</t>
        </is>
      </c>
      <c r="D141" s="11" t="inlineStr">
        <is>
          <t>ORITO</t>
        </is>
      </c>
      <c r="E141" s="11" t="inlineStr">
        <is>
          <t>00000000</t>
        </is>
      </c>
      <c r="F141" s="13" t="n">
        <v>32800</v>
      </c>
      <c r="G141" s="11" t="n">
        <v>6686063.37</v>
      </c>
    </row>
    <row r="142">
      <c r="A142" s="11" t="n">
        <v>141</v>
      </c>
      <c r="B142" s="12" t="n">
        <v>46027</v>
      </c>
      <c r="C142" s="11" t="inlineStr">
        <is>
          <t>COMISION DEPOSITOS ELECTRONICOS MASTERCARD</t>
        </is>
      </c>
      <c r="D142" s="11" t="inlineStr">
        <is>
          <t>ORITO</t>
        </is>
      </c>
      <c r="E142" s="11" t="inlineStr">
        <is>
          <t>00000000</t>
        </is>
      </c>
      <c r="F142" s="13" t="n">
        <v>-623</v>
      </c>
      <c r="G142" s="11" t="n">
        <v>6685440.37</v>
      </c>
    </row>
    <row r="143">
      <c r="A143" s="11" t="n">
        <v>142</v>
      </c>
      <c r="B143" s="12" t="n">
        <v>46027</v>
      </c>
      <c r="C143" s="11" t="inlineStr">
        <is>
          <t>GRAVAMEN A MOVIMIENTO FINANCIERO</t>
        </is>
      </c>
      <c r="D143" s="11" t="inlineStr">
        <is>
          <t>ORITO</t>
        </is>
      </c>
      <c r="E143" s="11" t="inlineStr">
        <is>
          <t>00000000</t>
        </is>
      </c>
      <c r="F143" s="13" t="n">
        <v>-2</v>
      </c>
      <c r="G143" s="11" t="n">
        <v>6685438.37</v>
      </c>
    </row>
    <row r="144">
      <c r="A144" s="11" t="n">
        <v>143</v>
      </c>
      <c r="B144" s="12" t="n">
        <v>46027</v>
      </c>
      <c r="C144" s="11" t="inlineStr">
        <is>
          <t>RETEFUENTE DEPOSITOS ELECTRONICOS MASTERCAR</t>
        </is>
      </c>
      <c r="D144" s="11" t="inlineStr">
        <is>
          <t>ORITO</t>
        </is>
      </c>
      <c r="E144" s="11" t="inlineStr">
        <is>
          <t>00000000</t>
        </is>
      </c>
      <c r="F144" s="13" t="n">
        <v>-492</v>
      </c>
      <c r="G144" s="11" t="n">
        <v>6684946.37</v>
      </c>
    </row>
    <row r="145">
      <c r="A145" s="11" t="n">
        <v>144</v>
      </c>
      <c r="B145" s="12" t="n">
        <v>46027</v>
      </c>
      <c r="C145" s="11" t="inlineStr">
        <is>
          <t>GRAVAMEN A MOVIMIENTO FINANCIERO</t>
        </is>
      </c>
      <c r="D145" s="11" t="inlineStr">
        <is>
          <t>ORITO</t>
        </is>
      </c>
      <c r="E145" s="11" t="inlineStr">
        <is>
          <t>00000000</t>
        </is>
      </c>
      <c r="F145" s="13" t="n">
        <v>-2</v>
      </c>
      <c r="G145" s="11" t="n">
        <v>6684944.37</v>
      </c>
    </row>
    <row r="146">
      <c r="A146" s="11" t="n">
        <v>145</v>
      </c>
      <c r="B146" s="12" t="n">
        <v>46027</v>
      </c>
      <c r="C146" s="11" t="inlineStr">
        <is>
          <t>DEPOSITOS ELECTRONICOS TRANSACCION MASTERCA</t>
        </is>
      </c>
      <c r="D146" s="11" t="inlineStr">
        <is>
          <t>ORITO</t>
        </is>
      </c>
      <c r="E146" s="11" t="inlineStr">
        <is>
          <t>00000000</t>
        </is>
      </c>
      <c r="F146" s="13" t="n">
        <v>21300</v>
      </c>
      <c r="G146" s="11" t="n">
        <v>6706244.37</v>
      </c>
    </row>
    <row r="147">
      <c r="A147" s="11" t="n">
        <v>146</v>
      </c>
      <c r="B147" s="12" t="n">
        <v>46027</v>
      </c>
      <c r="C147" s="11" t="inlineStr">
        <is>
          <t>COMISION DEPOSITOS ELECTRONICOS MASTERCARD</t>
        </is>
      </c>
      <c r="D147" s="11" t="inlineStr">
        <is>
          <t>ORITO</t>
        </is>
      </c>
      <c r="E147" s="11" t="inlineStr">
        <is>
          <t>00000000</t>
        </is>
      </c>
      <c r="F147" s="13" t="n">
        <v>-405</v>
      </c>
      <c r="G147" s="11" t="n">
        <v>6705839.37</v>
      </c>
    </row>
    <row r="148">
      <c r="A148" s="11" t="n">
        <v>147</v>
      </c>
      <c r="B148" s="12" t="n">
        <v>46027</v>
      </c>
      <c r="C148" s="11" t="inlineStr">
        <is>
          <t>GRAVAMEN A MOVIMIENTO FINANCIERO</t>
        </is>
      </c>
      <c r="D148" s="11" t="inlineStr">
        <is>
          <t>ORITO</t>
        </is>
      </c>
      <c r="E148" s="11" t="inlineStr">
        <is>
          <t>00000000</t>
        </is>
      </c>
      <c r="F148" s="13" t="n">
        <v>-2</v>
      </c>
      <c r="G148" s="11" t="n">
        <v>6705837.37</v>
      </c>
    </row>
    <row r="149">
      <c r="A149" s="11" t="n">
        <v>148</v>
      </c>
      <c r="B149" s="12" t="n">
        <v>46027</v>
      </c>
      <c r="C149" s="11" t="inlineStr">
        <is>
          <t>RETEFUENTE DEPOSITOS ELECTRONICOS MASTERCAR</t>
        </is>
      </c>
      <c r="D149" s="11" t="inlineStr">
        <is>
          <t>ORITO</t>
        </is>
      </c>
      <c r="E149" s="11" t="inlineStr">
        <is>
          <t>00000000</t>
        </is>
      </c>
      <c r="F149" s="13" t="n">
        <v>-320</v>
      </c>
      <c r="G149" s="11" t="n">
        <v>6705517.37</v>
      </c>
    </row>
    <row r="150">
      <c r="A150" s="11" t="n">
        <v>149</v>
      </c>
      <c r="B150" s="12" t="n">
        <v>46027</v>
      </c>
      <c r="C150" s="11" t="inlineStr">
        <is>
          <t>GRAVAMEN A MOVIMIENTO FINANCIERO</t>
        </is>
      </c>
      <c r="D150" s="11" t="inlineStr">
        <is>
          <t>ORITO</t>
        </is>
      </c>
      <c r="E150" s="11" t="inlineStr">
        <is>
          <t>00000000</t>
        </is>
      </c>
      <c r="F150" s="13" t="n">
        <v>-1</v>
      </c>
      <c r="G150" s="11" t="n">
        <v>6705516.37</v>
      </c>
    </row>
    <row r="151">
      <c r="A151" s="11" t="n">
        <v>150</v>
      </c>
      <c r="B151" s="12" t="n">
        <v>46027</v>
      </c>
      <c r="C151" s="11" t="inlineStr">
        <is>
          <t>DEPOSITOS ELECTRONICOS TRANSACCION MASTERCA</t>
        </is>
      </c>
      <c r="D151" s="11" t="inlineStr">
        <is>
          <t>ORITO</t>
        </is>
      </c>
      <c r="E151" s="11" t="inlineStr">
        <is>
          <t>00000000</t>
        </is>
      </c>
      <c r="F151" s="13" t="n">
        <v>24800</v>
      </c>
      <c r="G151" s="11" t="n">
        <v>6730316.37</v>
      </c>
    </row>
    <row r="152">
      <c r="A152" s="11" t="n">
        <v>151</v>
      </c>
      <c r="B152" s="12" t="n">
        <v>46027</v>
      </c>
      <c r="C152" s="11" t="inlineStr">
        <is>
          <t>COMISION DEPOSITOS ELECTRONICOS MASTERCARD</t>
        </is>
      </c>
      <c r="D152" s="11" t="inlineStr">
        <is>
          <t>ORITO</t>
        </is>
      </c>
      <c r="E152" s="11" t="inlineStr">
        <is>
          <t>00000000</t>
        </is>
      </c>
      <c r="F152" s="13" t="n">
        <v>-471</v>
      </c>
      <c r="G152" s="11" t="n">
        <v>6729845.37</v>
      </c>
    </row>
    <row r="153">
      <c r="A153" s="11" t="n">
        <v>152</v>
      </c>
      <c r="B153" s="12" t="n">
        <v>46027</v>
      </c>
      <c r="C153" s="11" t="inlineStr">
        <is>
          <t>GRAVAMEN A MOVIMIENTO FINANCIERO</t>
        </is>
      </c>
      <c r="D153" s="11" t="inlineStr">
        <is>
          <t>ORITO</t>
        </is>
      </c>
      <c r="E153" s="11" t="inlineStr">
        <is>
          <t>00000000</t>
        </is>
      </c>
      <c r="F153" s="13" t="n">
        <v>-2</v>
      </c>
      <c r="G153" s="11" t="n">
        <v>6729843.37</v>
      </c>
    </row>
    <row r="154">
      <c r="A154" s="11" t="n">
        <v>153</v>
      </c>
      <c r="B154" s="12" t="n">
        <v>46027</v>
      </c>
      <c r="C154" s="11" t="inlineStr">
        <is>
          <t>RETEFUENTE DEPOSITOS ELECTRONICOS MASTERCAR</t>
        </is>
      </c>
      <c r="D154" s="11" t="inlineStr">
        <is>
          <t>ORITO</t>
        </is>
      </c>
      <c r="E154" s="11" t="inlineStr">
        <is>
          <t>00000000</t>
        </is>
      </c>
      <c r="F154" s="13" t="n">
        <v>-372</v>
      </c>
      <c r="G154" s="11" t="n">
        <v>6729471.37</v>
      </c>
    </row>
    <row r="155">
      <c r="A155" s="11" t="n">
        <v>154</v>
      </c>
      <c r="B155" s="12" t="n">
        <v>46027</v>
      </c>
      <c r="C155" s="11" t="inlineStr">
        <is>
          <t>GRAVAMEN A MOVIMIENTO FINANCIERO</t>
        </is>
      </c>
      <c r="D155" s="11" t="inlineStr">
        <is>
          <t>ORITO</t>
        </is>
      </c>
      <c r="E155" s="11" t="inlineStr">
        <is>
          <t>00000000</t>
        </is>
      </c>
      <c r="F155" s="13" t="n">
        <v>-1</v>
      </c>
      <c r="G155" s="11" t="n">
        <v>6729470.37</v>
      </c>
    </row>
    <row r="156">
      <c r="A156" s="11" t="n">
        <v>155</v>
      </c>
      <c r="B156" s="12" t="n">
        <v>46027</v>
      </c>
      <c r="C156" s="11" t="inlineStr">
        <is>
          <t>DEPOSITOS ELECTRONICOS TRANSACCION MASTERCA</t>
        </is>
      </c>
      <c r="D156" s="11" t="inlineStr">
        <is>
          <t>ORITO</t>
        </is>
      </c>
      <c r="E156" s="11" t="inlineStr">
        <is>
          <t>00000000</t>
        </is>
      </c>
      <c r="F156" s="13" t="n">
        <v>458400</v>
      </c>
      <c r="G156" s="11" t="n">
        <v>7187870.37</v>
      </c>
    </row>
    <row r="157">
      <c r="A157" s="11" t="n">
        <v>156</v>
      </c>
      <c r="B157" s="12" t="n">
        <v>46027</v>
      </c>
      <c r="C157" s="11" t="inlineStr">
        <is>
          <t>COMISION DEPOSITOS ELECTRONICOS MASTERCARD</t>
        </is>
      </c>
      <c r="D157" s="11" t="inlineStr">
        <is>
          <t>ORITO</t>
        </is>
      </c>
      <c r="E157" s="11" t="inlineStr">
        <is>
          <t>00000000</t>
        </is>
      </c>
      <c r="F157" s="13" t="n">
        <v>-10772</v>
      </c>
      <c r="G157" s="11" t="n">
        <v>7177098.37</v>
      </c>
    </row>
    <row r="158">
      <c r="A158" s="11" t="n">
        <v>157</v>
      </c>
      <c r="B158" s="12" t="n">
        <v>46027</v>
      </c>
      <c r="C158" s="11" t="inlineStr">
        <is>
          <t>GRAVAMEN A MOVIMIENTO FINANCIERO</t>
        </is>
      </c>
      <c r="D158" s="11" t="inlineStr">
        <is>
          <t>ORITO</t>
        </is>
      </c>
      <c r="E158" s="11" t="inlineStr">
        <is>
          <t>00000000</t>
        </is>
      </c>
      <c r="F158" s="13" t="n">
        <v>-43</v>
      </c>
      <c r="G158" s="11" t="n">
        <v>7177055.37</v>
      </c>
    </row>
    <row r="159">
      <c r="A159" s="11" t="n">
        <v>158</v>
      </c>
      <c r="B159" s="12" t="n">
        <v>46027</v>
      </c>
      <c r="C159" s="11" t="inlineStr">
        <is>
          <t>RETEFUENTE DEPOSITOS ELECTRONICOS MASTERCAR</t>
        </is>
      </c>
      <c r="D159" s="11" t="inlineStr">
        <is>
          <t>ORITO</t>
        </is>
      </c>
      <c r="E159" s="11" t="inlineStr">
        <is>
          <t>00000000</t>
        </is>
      </c>
      <c r="F159" s="13" t="n">
        <v>-6876</v>
      </c>
      <c r="G159" s="11" t="n">
        <v>7170179.37</v>
      </c>
    </row>
    <row r="160">
      <c r="A160" s="11" t="n">
        <v>159</v>
      </c>
      <c r="B160" s="12" t="n">
        <v>46027</v>
      </c>
      <c r="C160" s="11" t="inlineStr">
        <is>
          <t>GRAVAMEN A MOVIMIENTO FINANCIERO</t>
        </is>
      </c>
      <c r="D160" s="11" t="inlineStr">
        <is>
          <t>ORITO</t>
        </is>
      </c>
      <c r="E160" s="11" t="inlineStr">
        <is>
          <t>00000000</t>
        </is>
      </c>
      <c r="F160" s="13" t="n">
        <v>-28</v>
      </c>
      <c r="G160" s="11" t="n">
        <v>7170151.37</v>
      </c>
    </row>
    <row r="161">
      <c r="A161" s="11" t="n">
        <v>160</v>
      </c>
      <c r="B161" s="12" t="n">
        <v>46027</v>
      </c>
      <c r="C161" s="11" t="inlineStr">
        <is>
          <t>DEPOSITOS ELECTRONICOS TRANSACCION MASTERCA</t>
        </is>
      </c>
      <c r="D161" s="11" t="inlineStr">
        <is>
          <t>ORITO</t>
        </is>
      </c>
      <c r="E161" s="11" t="inlineStr">
        <is>
          <t>00000000</t>
        </is>
      </c>
      <c r="F161" s="13" t="n">
        <v>81500</v>
      </c>
      <c r="G161" s="11" t="n">
        <v>7251651.37</v>
      </c>
    </row>
    <row r="162">
      <c r="A162" s="11" t="n">
        <v>161</v>
      </c>
      <c r="B162" s="12" t="n">
        <v>46027</v>
      </c>
      <c r="C162" s="11" t="inlineStr">
        <is>
          <t>COMISION DEPOSITOS ELECTRONICOS MASTERCARD</t>
        </is>
      </c>
      <c r="D162" s="11" t="inlineStr">
        <is>
          <t>ORITO</t>
        </is>
      </c>
      <c r="E162" s="11" t="inlineStr">
        <is>
          <t>00000000</t>
        </is>
      </c>
      <c r="F162" s="13" t="n">
        <v>-1549</v>
      </c>
      <c r="G162" s="11" t="n">
        <v>7250102.37</v>
      </c>
    </row>
    <row r="163">
      <c r="A163" s="11" t="n">
        <v>162</v>
      </c>
      <c r="B163" s="12" t="n">
        <v>46027</v>
      </c>
      <c r="C163" s="11" t="inlineStr">
        <is>
          <t>GRAVAMEN A MOVIMIENTO FINANCIERO</t>
        </is>
      </c>
      <c r="D163" s="11" t="inlineStr">
        <is>
          <t>ORITO</t>
        </is>
      </c>
      <c r="E163" s="11" t="inlineStr">
        <is>
          <t>00000000</t>
        </is>
      </c>
      <c r="F163" s="13" t="n">
        <v>-6</v>
      </c>
      <c r="G163" s="11" t="n">
        <v>7250096.37</v>
      </c>
    </row>
    <row r="164">
      <c r="A164" s="11" t="n">
        <v>163</v>
      </c>
      <c r="B164" s="12" t="n">
        <v>46027</v>
      </c>
      <c r="C164" s="11" t="inlineStr">
        <is>
          <t>RETEFUENTE DEPOSITOS ELECTRONICOS MASTERCAR</t>
        </is>
      </c>
      <c r="D164" s="11" t="inlineStr">
        <is>
          <t>ORITO</t>
        </is>
      </c>
      <c r="E164" s="11" t="inlineStr">
        <is>
          <t>00000000</t>
        </is>
      </c>
      <c r="F164" s="13" t="n">
        <v>-1223</v>
      </c>
      <c r="G164" s="11" t="n">
        <v>7248873.37</v>
      </c>
    </row>
    <row r="165">
      <c r="A165" s="11" t="n">
        <v>164</v>
      </c>
      <c r="B165" s="12" t="n">
        <v>46027</v>
      </c>
      <c r="C165" s="11" t="inlineStr">
        <is>
          <t>GRAVAMEN A MOVIMIENTO FINANCIERO</t>
        </is>
      </c>
      <c r="D165" s="11" t="inlineStr">
        <is>
          <t>ORITO</t>
        </is>
      </c>
      <c r="E165" s="11" t="inlineStr">
        <is>
          <t>00000000</t>
        </is>
      </c>
      <c r="F165" s="13" t="n">
        <v>-5</v>
      </c>
      <c r="G165" s="11" t="n">
        <v>7248868.37</v>
      </c>
    </row>
    <row r="166">
      <c r="A166" s="11" t="n">
        <v>165</v>
      </c>
      <c r="B166" s="12" t="n">
        <v>46027</v>
      </c>
      <c r="C166" s="11" t="inlineStr">
        <is>
          <t>DEPOSITOS ELECTRONICOS TRANSACCION MASTERCA</t>
        </is>
      </c>
      <c r="D166" s="11" t="inlineStr">
        <is>
          <t>ORITO</t>
        </is>
      </c>
      <c r="E166" s="11" t="inlineStr">
        <is>
          <t>00000000</t>
        </is>
      </c>
      <c r="F166" s="13" t="n">
        <v>161000</v>
      </c>
      <c r="G166" s="11" t="n">
        <v>7409868.37</v>
      </c>
    </row>
    <row r="167">
      <c r="A167" s="11" t="n">
        <v>166</v>
      </c>
      <c r="B167" s="12" t="n">
        <v>46027</v>
      </c>
      <c r="C167" s="11" t="inlineStr">
        <is>
          <t>COMISION DEPOSITOS ELECTRONICOS MASTERCARD</t>
        </is>
      </c>
      <c r="D167" s="11" t="inlineStr">
        <is>
          <t>ORITO</t>
        </is>
      </c>
      <c r="E167" s="11" t="inlineStr">
        <is>
          <t>00000000</t>
        </is>
      </c>
      <c r="F167" s="13" t="n">
        <v>-3059</v>
      </c>
      <c r="G167" s="11" t="n">
        <v>7406809.37</v>
      </c>
    </row>
    <row r="168">
      <c r="A168" s="11" t="n">
        <v>167</v>
      </c>
      <c r="B168" s="12" t="n">
        <v>46027</v>
      </c>
      <c r="C168" s="11" t="inlineStr">
        <is>
          <t>GRAVAMEN A MOVIMIENTO FINANCIERO</t>
        </is>
      </c>
      <c r="D168" s="11" t="inlineStr">
        <is>
          <t>ORITO</t>
        </is>
      </c>
      <c r="E168" s="11" t="inlineStr">
        <is>
          <t>00000000</t>
        </is>
      </c>
      <c r="F168" s="13" t="n">
        <v>-12</v>
      </c>
      <c r="G168" s="11" t="n">
        <v>7406797.37</v>
      </c>
    </row>
    <row r="169">
      <c r="A169" s="11" t="n">
        <v>168</v>
      </c>
      <c r="B169" s="12" t="n">
        <v>46027</v>
      </c>
      <c r="C169" s="11" t="inlineStr">
        <is>
          <t>RETEFUENTE DEPOSITOS ELECTRONICOS MASTERCAR</t>
        </is>
      </c>
      <c r="D169" s="11" t="inlineStr">
        <is>
          <t>ORITO</t>
        </is>
      </c>
      <c r="E169" s="11" t="inlineStr">
        <is>
          <t>00000000</t>
        </is>
      </c>
      <c r="F169" s="13" t="n">
        <v>-2415</v>
      </c>
      <c r="G169" s="11" t="n">
        <v>7404382.37</v>
      </c>
    </row>
    <row r="170">
      <c r="A170" s="11" t="n">
        <v>169</v>
      </c>
      <c r="B170" s="12" t="n">
        <v>46027</v>
      </c>
      <c r="C170" s="11" t="inlineStr">
        <is>
          <t>GRAVAMEN A MOVIMIENTO FINANCIERO</t>
        </is>
      </c>
      <c r="D170" s="11" t="inlineStr">
        <is>
          <t>ORITO</t>
        </is>
      </c>
      <c r="E170" s="11" t="inlineStr">
        <is>
          <t>00000000</t>
        </is>
      </c>
      <c r="F170" s="13" t="n">
        <v>-10</v>
      </c>
      <c r="G170" s="11" t="n">
        <v>7404372.37</v>
      </c>
    </row>
    <row r="171">
      <c r="A171" s="11" t="n">
        <v>170</v>
      </c>
      <c r="B171" s="12" t="n">
        <v>46027</v>
      </c>
      <c r="C171" s="11" t="inlineStr">
        <is>
          <t>DEPOSITOS ELECTRONICOS TRANSACCION MASTERCA</t>
        </is>
      </c>
      <c r="D171" s="11" t="inlineStr">
        <is>
          <t>ORITO</t>
        </is>
      </c>
      <c r="E171" s="11" t="inlineStr">
        <is>
          <t>00000000</t>
        </is>
      </c>
      <c r="F171" s="13" t="n">
        <v>26400</v>
      </c>
      <c r="G171" s="11" t="n">
        <v>7430772.37</v>
      </c>
    </row>
    <row r="172">
      <c r="A172" s="11" t="n">
        <v>171</v>
      </c>
      <c r="B172" s="12" t="n">
        <v>46027</v>
      </c>
      <c r="C172" s="11" t="inlineStr">
        <is>
          <t>COMISION DEPOSITOS ELECTRONICOS MASTERCARD</t>
        </is>
      </c>
      <c r="D172" s="11" t="inlineStr">
        <is>
          <t>ORITO</t>
        </is>
      </c>
      <c r="E172" s="11" t="inlineStr">
        <is>
          <t>00000000</t>
        </is>
      </c>
      <c r="F172" s="13" t="n">
        <v>-502</v>
      </c>
      <c r="G172" s="11" t="n">
        <v>7430270.37</v>
      </c>
    </row>
    <row r="173">
      <c r="A173" s="11" t="n">
        <v>172</v>
      </c>
      <c r="B173" s="12" t="n">
        <v>46027</v>
      </c>
      <c r="C173" s="11" t="inlineStr">
        <is>
          <t>GRAVAMEN A MOVIMIENTO FINANCIERO</t>
        </is>
      </c>
      <c r="D173" s="11" t="inlineStr">
        <is>
          <t>ORITO</t>
        </is>
      </c>
      <c r="E173" s="11" t="inlineStr">
        <is>
          <t>00000000</t>
        </is>
      </c>
      <c r="F173" s="13" t="n">
        <v>-2</v>
      </c>
      <c r="G173" s="11" t="n">
        <v>7430268.37</v>
      </c>
    </row>
    <row r="174">
      <c r="A174" s="11" t="n">
        <v>173</v>
      </c>
      <c r="B174" s="12" t="n">
        <v>46027</v>
      </c>
      <c r="C174" s="11" t="inlineStr">
        <is>
          <t>RETEFUENTE DEPOSITOS ELECTRONICOS MASTERCAR</t>
        </is>
      </c>
      <c r="D174" s="11" t="inlineStr">
        <is>
          <t>ORITO</t>
        </is>
      </c>
      <c r="E174" s="11" t="inlineStr">
        <is>
          <t>00000000</t>
        </is>
      </c>
      <c r="F174" s="13" t="n">
        <v>-396</v>
      </c>
      <c r="G174" s="11" t="n">
        <v>7429872.37</v>
      </c>
    </row>
    <row r="175">
      <c r="A175" s="11" t="n">
        <v>174</v>
      </c>
      <c r="B175" s="12" t="n">
        <v>46027</v>
      </c>
      <c r="C175" s="11" t="inlineStr">
        <is>
          <t>GRAVAMEN A MOVIMIENTO FINANCIERO</t>
        </is>
      </c>
      <c r="D175" s="11" t="inlineStr">
        <is>
          <t>ORITO</t>
        </is>
      </c>
      <c r="E175" s="11" t="inlineStr">
        <is>
          <t>00000000</t>
        </is>
      </c>
      <c r="F175" s="13" t="n">
        <v>-2</v>
      </c>
      <c r="G175" s="11" t="n">
        <v>7429870.37</v>
      </c>
    </row>
    <row r="176">
      <c r="A176" s="11" t="n">
        <v>175</v>
      </c>
      <c r="B176" s="12" t="n">
        <v>46027</v>
      </c>
      <c r="C176" s="11" t="inlineStr">
        <is>
          <t>DEPOSITOS ELECTRONICOS TRANSACCION MASTERCA</t>
        </is>
      </c>
      <c r="D176" s="11" t="inlineStr">
        <is>
          <t>ORITO</t>
        </is>
      </c>
      <c r="E176" s="11" t="inlineStr">
        <is>
          <t>00000000</t>
        </is>
      </c>
      <c r="F176" s="13" t="n">
        <v>45500</v>
      </c>
      <c r="G176" s="11" t="n">
        <v>7475370.37</v>
      </c>
    </row>
    <row r="177">
      <c r="A177" s="11" t="n">
        <v>176</v>
      </c>
      <c r="B177" s="12" t="n">
        <v>46027</v>
      </c>
      <c r="C177" s="11" t="inlineStr">
        <is>
          <t>COMISION DEPOSITOS ELECTRONICOS MASTERCARD</t>
        </is>
      </c>
      <c r="D177" s="11" t="inlineStr">
        <is>
          <t>ORITO</t>
        </is>
      </c>
      <c r="E177" s="11" t="inlineStr">
        <is>
          <t>00000000</t>
        </is>
      </c>
      <c r="F177" s="13" t="n">
        <v>-1069</v>
      </c>
      <c r="G177" s="11" t="n">
        <v>7474301.37</v>
      </c>
    </row>
    <row r="178">
      <c r="A178" s="11" t="n">
        <v>177</v>
      </c>
      <c r="B178" s="12" t="n">
        <v>46027</v>
      </c>
      <c r="C178" s="11" t="inlineStr">
        <is>
          <t>GRAVAMEN A MOVIMIENTO FINANCIERO</t>
        </is>
      </c>
      <c r="D178" s="11" t="inlineStr">
        <is>
          <t>ORITO</t>
        </is>
      </c>
      <c r="E178" s="11" t="inlineStr">
        <is>
          <t>00000000</t>
        </is>
      </c>
      <c r="F178" s="13" t="n">
        <v>-4</v>
      </c>
      <c r="G178" s="11" t="n">
        <v>7474297.37</v>
      </c>
    </row>
    <row r="179">
      <c r="A179" s="11" t="n">
        <v>178</v>
      </c>
      <c r="B179" s="12" t="n">
        <v>46027</v>
      </c>
      <c r="C179" s="11" t="inlineStr">
        <is>
          <t>RETEFUENTE DEPOSITOS ELECTRONICOS MASTERCAR</t>
        </is>
      </c>
      <c r="D179" s="11" t="inlineStr">
        <is>
          <t>ORITO</t>
        </is>
      </c>
      <c r="E179" s="11" t="inlineStr">
        <is>
          <t>00000000</t>
        </is>
      </c>
      <c r="F179" s="13" t="n">
        <v>-683</v>
      </c>
      <c r="G179" s="11" t="n">
        <v>7473614.37</v>
      </c>
    </row>
    <row r="180">
      <c r="A180" s="11" t="n">
        <v>179</v>
      </c>
      <c r="B180" s="12" t="n">
        <v>46027</v>
      </c>
      <c r="C180" s="11" t="inlineStr">
        <is>
          <t>GRAVAMEN A MOVIMIENTO FINANCIERO</t>
        </is>
      </c>
      <c r="D180" s="11" t="inlineStr">
        <is>
          <t>ORITO</t>
        </is>
      </c>
      <c r="E180" s="11" t="inlineStr">
        <is>
          <t>00000000</t>
        </is>
      </c>
      <c r="F180" s="13" t="n">
        <v>-3</v>
      </c>
      <c r="G180" s="11" t="n">
        <v>7473611.37</v>
      </c>
    </row>
    <row r="181">
      <c r="A181" s="11" t="n">
        <v>180</v>
      </c>
      <c r="B181" s="12" t="n">
        <v>46027</v>
      </c>
      <c r="C181" s="11" t="inlineStr">
        <is>
          <t>DEPOSITOS ELECTRONICOS TRANSACCION MASTERCA</t>
        </is>
      </c>
      <c r="D181" s="11" t="inlineStr">
        <is>
          <t>ORITO</t>
        </is>
      </c>
      <c r="E181" s="11" t="inlineStr">
        <is>
          <t>00000000</t>
        </is>
      </c>
      <c r="F181" s="13" t="n">
        <v>113400</v>
      </c>
      <c r="G181" s="11" t="n">
        <v>7587011.37</v>
      </c>
    </row>
    <row r="182">
      <c r="A182" s="11" t="n">
        <v>181</v>
      </c>
      <c r="B182" s="12" t="n">
        <v>46027</v>
      </c>
      <c r="C182" s="11" t="inlineStr">
        <is>
          <t>COMISION DEPOSITOS ELECTRONICOS MASTERCARD</t>
        </is>
      </c>
      <c r="D182" s="11" t="inlineStr">
        <is>
          <t>ORITO</t>
        </is>
      </c>
      <c r="E182" s="11" t="inlineStr">
        <is>
          <t>00000000</t>
        </is>
      </c>
      <c r="F182" s="13" t="n">
        <v>-2665</v>
      </c>
      <c r="G182" s="11" t="n">
        <v>7584346.37</v>
      </c>
    </row>
    <row r="183">
      <c r="A183" s="11" t="n">
        <v>182</v>
      </c>
      <c r="B183" s="12" t="n">
        <v>46027</v>
      </c>
      <c r="C183" s="11" t="inlineStr">
        <is>
          <t>GRAVAMEN A MOVIMIENTO FINANCIERO</t>
        </is>
      </c>
      <c r="D183" s="11" t="inlineStr">
        <is>
          <t>ORITO</t>
        </is>
      </c>
      <c r="E183" s="11" t="inlineStr">
        <is>
          <t>00000000</t>
        </is>
      </c>
      <c r="F183" s="13" t="n">
        <v>-11</v>
      </c>
      <c r="G183" s="11" t="n">
        <v>7584335.37</v>
      </c>
    </row>
    <row r="184">
      <c r="A184" s="11" t="n">
        <v>183</v>
      </c>
      <c r="B184" s="12" t="n">
        <v>46027</v>
      </c>
      <c r="C184" s="11" t="inlineStr">
        <is>
          <t>RETEFUENTE DEPOSITOS ELECTRONICOS MASTERCAR</t>
        </is>
      </c>
      <c r="D184" s="11" t="inlineStr">
        <is>
          <t>ORITO</t>
        </is>
      </c>
      <c r="E184" s="11" t="inlineStr">
        <is>
          <t>00000000</t>
        </is>
      </c>
      <c r="F184" s="13" t="n">
        <v>-1701</v>
      </c>
      <c r="G184" s="11" t="n">
        <v>7582634.37</v>
      </c>
    </row>
    <row r="185">
      <c r="A185" s="11" t="n">
        <v>184</v>
      </c>
      <c r="B185" s="12" t="n">
        <v>46027</v>
      </c>
      <c r="C185" s="11" t="inlineStr">
        <is>
          <t>GRAVAMEN A MOVIMIENTO FINANCIERO</t>
        </is>
      </c>
      <c r="D185" s="11" t="inlineStr">
        <is>
          <t>ORITO</t>
        </is>
      </c>
      <c r="E185" s="11" t="inlineStr">
        <is>
          <t>00000000</t>
        </is>
      </c>
      <c r="F185" s="13" t="n">
        <v>-7</v>
      </c>
      <c r="G185" s="11" t="n">
        <v>7582627.37</v>
      </c>
    </row>
    <row r="186">
      <c r="A186" s="11" t="n">
        <v>185</v>
      </c>
      <c r="B186" s="12" t="n">
        <v>46027</v>
      </c>
      <c r="C186" s="11" t="inlineStr">
        <is>
          <t>DEPOSITOS ELECTRONICOS TRANSACCION MASTERCA</t>
        </is>
      </c>
      <c r="D186" s="11" t="inlineStr">
        <is>
          <t>ORITO</t>
        </is>
      </c>
      <c r="E186" s="11" t="inlineStr">
        <is>
          <t>00000000</t>
        </is>
      </c>
      <c r="F186" s="13" t="n">
        <v>500000</v>
      </c>
      <c r="G186" s="11" t="n">
        <v>8082627.37</v>
      </c>
    </row>
    <row r="187">
      <c r="A187" s="11" t="n">
        <v>186</v>
      </c>
      <c r="B187" s="12" t="n">
        <v>46027</v>
      </c>
      <c r="C187" s="11" t="inlineStr">
        <is>
          <t>COMISION DEPOSITOS ELECTRONICOS MASTERCARD</t>
        </is>
      </c>
      <c r="D187" s="11" t="inlineStr">
        <is>
          <t>ORITO</t>
        </is>
      </c>
      <c r="E187" s="11" t="inlineStr">
        <is>
          <t>00000000</t>
        </is>
      </c>
      <c r="F187" s="13" t="n">
        <v>-11750</v>
      </c>
      <c r="G187" s="11" t="n">
        <v>8070877.37</v>
      </c>
    </row>
    <row r="188">
      <c r="A188" s="11" t="n">
        <v>187</v>
      </c>
      <c r="B188" s="12" t="n">
        <v>46027</v>
      </c>
      <c r="C188" s="11" t="inlineStr">
        <is>
          <t>GRAVAMEN A MOVIMIENTO FINANCIERO</t>
        </is>
      </c>
      <c r="D188" s="11" t="inlineStr">
        <is>
          <t>ORITO</t>
        </is>
      </c>
      <c r="E188" s="11" t="inlineStr">
        <is>
          <t>00000000</t>
        </is>
      </c>
      <c r="F188" s="13" t="n">
        <v>-47</v>
      </c>
      <c r="G188" s="11" t="n">
        <v>8070830.37</v>
      </c>
    </row>
    <row r="189">
      <c r="A189" s="11" t="n">
        <v>188</v>
      </c>
      <c r="B189" s="12" t="n">
        <v>46027</v>
      </c>
      <c r="C189" s="11" t="inlineStr">
        <is>
          <t>RETEFUENTE DEPOSITOS ELECTRONICOS MASTERCAR</t>
        </is>
      </c>
      <c r="D189" s="11" t="inlineStr">
        <is>
          <t>ORITO</t>
        </is>
      </c>
      <c r="E189" s="11" t="inlineStr">
        <is>
          <t>00000000</t>
        </is>
      </c>
      <c r="F189" s="13" t="n">
        <v>-7500</v>
      </c>
      <c r="G189" s="11" t="n">
        <v>8063330.37</v>
      </c>
    </row>
    <row r="190">
      <c r="A190" s="11" t="n">
        <v>189</v>
      </c>
      <c r="B190" s="12" t="n">
        <v>46027</v>
      </c>
      <c r="C190" s="11" t="inlineStr">
        <is>
          <t>GRAVAMEN A MOVIMIENTO FINANCIERO</t>
        </is>
      </c>
      <c r="D190" s="11" t="inlineStr">
        <is>
          <t>ORITO</t>
        </is>
      </c>
      <c r="E190" s="11" t="inlineStr">
        <is>
          <t>00000000</t>
        </is>
      </c>
      <c r="F190" s="13" t="n">
        <v>-30</v>
      </c>
      <c r="G190" s="11" t="n">
        <v>8063300.37</v>
      </c>
    </row>
    <row r="191">
      <c r="A191" s="11" t="n">
        <v>190</v>
      </c>
      <c r="B191" s="12" t="n">
        <v>46027</v>
      </c>
      <c r="C191" s="11" t="inlineStr">
        <is>
          <t>DEPOSITOS ELECTRONICOS TRANSACCION MASTERCA</t>
        </is>
      </c>
      <c r="D191" s="11" t="inlineStr">
        <is>
          <t>ORITO</t>
        </is>
      </c>
      <c r="E191" s="11" t="inlineStr">
        <is>
          <t>00000000</t>
        </is>
      </c>
      <c r="F191" s="13" t="n">
        <v>150000</v>
      </c>
      <c r="G191" s="11" t="n">
        <v>8213300.37</v>
      </c>
    </row>
    <row r="192">
      <c r="A192" s="11" t="n">
        <v>191</v>
      </c>
      <c r="B192" s="12" t="n">
        <v>46027</v>
      </c>
      <c r="C192" s="11" t="inlineStr">
        <is>
          <t>COMISION DEPOSITOS ELECTRONICOS MASTERCARD</t>
        </is>
      </c>
      <c r="D192" s="11" t="inlineStr">
        <is>
          <t>ORITO</t>
        </is>
      </c>
      <c r="E192" s="11" t="inlineStr">
        <is>
          <t>00000000</t>
        </is>
      </c>
      <c r="F192" s="13" t="n">
        <v>-2850</v>
      </c>
      <c r="G192" s="11" t="n">
        <v>8210450.37</v>
      </c>
    </row>
    <row r="193">
      <c r="A193" s="11" t="n">
        <v>192</v>
      </c>
      <c r="B193" s="12" t="n">
        <v>46027</v>
      </c>
      <c r="C193" s="11" t="inlineStr">
        <is>
          <t>GRAVAMEN A MOVIMIENTO FINANCIERO</t>
        </is>
      </c>
      <c r="D193" s="11" t="inlineStr">
        <is>
          <t>ORITO</t>
        </is>
      </c>
      <c r="E193" s="11" t="inlineStr">
        <is>
          <t>00000000</t>
        </is>
      </c>
      <c r="F193" s="13" t="n">
        <v>-11</v>
      </c>
      <c r="G193" s="11" t="n">
        <v>8210439.37</v>
      </c>
    </row>
    <row r="194">
      <c r="A194" s="11" t="n">
        <v>193</v>
      </c>
      <c r="B194" s="12" t="n">
        <v>46027</v>
      </c>
      <c r="C194" s="11" t="inlineStr">
        <is>
          <t>RETEFUENTE DEPOSITOS ELECTRONICOS MASTERCAR</t>
        </is>
      </c>
      <c r="D194" s="11" t="inlineStr">
        <is>
          <t>ORITO</t>
        </is>
      </c>
      <c r="E194" s="11" t="inlineStr">
        <is>
          <t>00000000</t>
        </is>
      </c>
      <c r="F194" s="13" t="n">
        <v>-2250</v>
      </c>
      <c r="G194" s="11" t="n">
        <v>8208189.37</v>
      </c>
    </row>
    <row r="195">
      <c r="A195" s="11" t="n">
        <v>194</v>
      </c>
      <c r="B195" s="12" t="n">
        <v>46027</v>
      </c>
      <c r="C195" s="11" t="inlineStr">
        <is>
          <t>GRAVAMEN A MOVIMIENTO FINANCIERO</t>
        </is>
      </c>
      <c r="D195" s="11" t="inlineStr">
        <is>
          <t>ORITO</t>
        </is>
      </c>
      <c r="E195" s="11" t="inlineStr">
        <is>
          <t>00000000</t>
        </is>
      </c>
      <c r="F195" s="13" t="n">
        <v>-9</v>
      </c>
      <c r="G195" s="11" t="n">
        <v>8208180.37</v>
      </c>
    </row>
    <row r="196">
      <c r="A196" s="11" t="n">
        <v>195</v>
      </c>
      <c r="B196" s="12" t="n">
        <v>46027</v>
      </c>
      <c r="C196" s="11" t="inlineStr">
        <is>
          <t>DEPOSITOS ELECTRONICOS TRANSACCION MASTERCA</t>
        </is>
      </c>
      <c r="D196" s="11" t="inlineStr">
        <is>
          <t>ORITO</t>
        </is>
      </c>
      <c r="E196" s="11" t="inlineStr">
        <is>
          <t>00000000</t>
        </is>
      </c>
      <c r="F196" s="13" t="n">
        <v>35700</v>
      </c>
      <c r="G196" s="11" t="n">
        <v>8243880.37</v>
      </c>
    </row>
    <row r="197">
      <c r="A197" s="11" t="n">
        <v>196</v>
      </c>
      <c r="B197" s="12" t="n">
        <v>46027</v>
      </c>
      <c r="C197" s="11" t="inlineStr">
        <is>
          <t>COMISION DEPOSITOS ELECTRONICOS MASTERCARD</t>
        </is>
      </c>
      <c r="D197" s="11" t="inlineStr">
        <is>
          <t>ORITO</t>
        </is>
      </c>
      <c r="E197" s="11" t="inlineStr">
        <is>
          <t>00000000</t>
        </is>
      </c>
      <c r="F197" s="13" t="n">
        <v>-678</v>
      </c>
      <c r="G197" s="11" t="n">
        <v>8243202.37</v>
      </c>
    </row>
    <row r="198">
      <c r="A198" s="11" t="n">
        <v>197</v>
      </c>
      <c r="B198" s="12" t="n">
        <v>46027</v>
      </c>
      <c r="C198" s="11" t="inlineStr">
        <is>
          <t>GRAVAMEN A MOVIMIENTO FINANCIERO</t>
        </is>
      </c>
      <c r="D198" s="11" t="inlineStr">
        <is>
          <t>ORITO</t>
        </is>
      </c>
      <c r="E198" s="11" t="inlineStr">
        <is>
          <t>00000000</t>
        </is>
      </c>
      <c r="F198" s="13" t="n">
        <v>-3</v>
      </c>
      <c r="G198" s="11" t="n">
        <v>8243199.37</v>
      </c>
    </row>
    <row r="199">
      <c r="A199" s="11" t="n">
        <v>198</v>
      </c>
      <c r="B199" s="12" t="n">
        <v>46027</v>
      </c>
      <c r="C199" s="11" t="inlineStr">
        <is>
          <t>RETEFUENTE DEPOSITOS ELECTRONICOS MASTERCAR</t>
        </is>
      </c>
      <c r="D199" s="11" t="inlineStr">
        <is>
          <t>ORITO</t>
        </is>
      </c>
      <c r="E199" s="11" t="inlineStr">
        <is>
          <t>00000000</t>
        </is>
      </c>
      <c r="F199" s="13" t="n">
        <v>-536</v>
      </c>
      <c r="G199" s="11" t="n">
        <v>8242663.37</v>
      </c>
    </row>
    <row r="200">
      <c r="A200" s="11" t="n">
        <v>199</v>
      </c>
      <c r="B200" s="12" t="n">
        <v>46027</v>
      </c>
      <c r="C200" s="11" t="inlineStr">
        <is>
          <t>GRAVAMEN A MOVIMIENTO FINANCIERO</t>
        </is>
      </c>
      <c r="D200" s="11" t="inlineStr">
        <is>
          <t>ORITO</t>
        </is>
      </c>
      <c r="E200" s="11" t="inlineStr">
        <is>
          <t>00000000</t>
        </is>
      </c>
      <c r="F200" s="13" t="n">
        <v>-2</v>
      </c>
      <c r="G200" s="11" t="n">
        <v>8242661.37</v>
      </c>
    </row>
    <row r="201">
      <c r="A201" s="11" t="n">
        <v>200</v>
      </c>
      <c r="B201" s="12" t="n">
        <v>46027</v>
      </c>
      <c r="C201" s="11" t="inlineStr">
        <is>
          <t>DEPOSITOS ELECTRONICOS TRANSACCION MASTERCA</t>
        </is>
      </c>
      <c r="D201" s="11" t="inlineStr">
        <is>
          <t>ORITO</t>
        </is>
      </c>
      <c r="E201" s="11" t="inlineStr">
        <is>
          <t>00000000</t>
        </is>
      </c>
      <c r="F201" s="13" t="n">
        <v>26300</v>
      </c>
      <c r="G201" s="11" t="n">
        <v>8268961.37</v>
      </c>
    </row>
    <row r="202">
      <c r="A202" s="11" t="n">
        <v>201</v>
      </c>
      <c r="B202" s="12" t="n">
        <v>46027</v>
      </c>
      <c r="C202" s="11" t="inlineStr">
        <is>
          <t>COMISION DEPOSITOS ELECTRONICOS MASTERCARD</t>
        </is>
      </c>
      <c r="D202" s="11" t="inlineStr">
        <is>
          <t>ORITO</t>
        </is>
      </c>
      <c r="E202" s="11" t="inlineStr">
        <is>
          <t>00000000</t>
        </is>
      </c>
      <c r="F202" s="13" t="n">
        <v>-500</v>
      </c>
      <c r="G202" s="11" t="n">
        <v>8268461.37</v>
      </c>
    </row>
    <row r="203">
      <c r="A203" s="11" t="n">
        <v>202</v>
      </c>
      <c r="B203" s="12" t="n">
        <v>46027</v>
      </c>
      <c r="C203" s="11" t="inlineStr">
        <is>
          <t>GRAVAMEN A MOVIMIENTO FINANCIERO</t>
        </is>
      </c>
      <c r="D203" s="11" t="inlineStr">
        <is>
          <t>ORITO</t>
        </is>
      </c>
      <c r="E203" s="11" t="inlineStr">
        <is>
          <t>00000000</t>
        </is>
      </c>
      <c r="F203" s="13" t="n">
        <v>-2</v>
      </c>
      <c r="G203" s="11" t="n">
        <v>8268459.37</v>
      </c>
    </row>
    <row r="204">
      <c r="A204" s="11" t="n">
        <v>203</v>
      </c>
      <c r="B204" s="12" t="n">
        <v>46027</v>
      </c>
      <c r="C204" s="11" t="inlineStr">
        <is>
          <t>RETEFUENTE DEPOSITOS ELECTRONICOS MASTERCAR</t>
        </is>
      </c>
      <c r="D204" s="11" t="inlineStr">
        <is>
          <t>ORITO</t>
        </is>
      </c>
      <c r="E204" s="11" t="inlineStr">
        <is>
          <t>00000000</t>
        </is>
      </c>
      <c r="F204" s="13" t="n">
        <v>-395</v>
      </c>
      <c r="G204" s="11" t="n">
        <v>8268064.37</v>
      </c>
    </row>
    <row r="205">
      <c r="A205" s="11" t="n">
        <v>204</v>
      </c>
      <c r="B205" s="12" t="n">
        <v>46027</v>
      </c>
      <c r="C205" s="11" t="inlineStr">
        <is>
          <t>GRAVAMEN A MOVIMIENTO FINANCIERO</t>
        </is>
      </c>
      <c r="D205" s="11" t="inlineStr">
        <is>
          <t>ORITO</t>
        </is>
      </c>
      <c r="E205" s="11" t="inlineStr">
        <is>
          <t>00000000</t>
        </is>
      </c>
      <c r="F205" s="13" t="n">
        <v>-2</v>
      </c>
      <c r="G205" s="11" t="n">
        <v>8268062.37</v>
      </c>
    </row>
    <row r="206">
      <c r="A206" s="11" t="n">
        <v>205</v>
      </c>
      <c r="B206" s="12" t="n">
        <v>46027</v>
      </c>
      <c r="C206" s="11" t="inlineStr">
        <is>
          <t>DEPOSITOS ELECTRONICOS TRANSACCION MASTERCA</t>
        </is>
      </c>
      <c r="D206" s="11" t="inlineStr">
        <is>
          <t>ORITO</t>
        </is>
      </c>
      <c r="E206" s="11" t="inlineStr">
        <is>
          <t>00000000</t>
        </is>
      </c>
      <c r="F206" s="13" t="n">
        <v>32500</v>
      </c>
      <c r="G206" s="11" t="n">
        <v>8300562.37</v>
      </c>
    </row>
    <row r="207">
      <c r="A207" s="11" t="n">
        <v>206</v>
      </c>
      <c r="B207" s="12" t="n">
        <v>46027</v>
      </c>
      <c r="C207" s="11" t="inlineStr">
        <is>
          <t>COMISION DEPOSITOS ELECTRONICOS MASTERCARD</t>
        </is>
      </c>
      <c r="D207" s="11" t="inlineStr">
        <is>
          <t>ORITO</t>
        </is>
      </c>
      <c r="E207" s="11" t="inlineStr">
        <is>
          <t>00000000</t>
        </is>
      </c>
      <c r="F207" s="13" t="n">
        <v>-618</v>
      </c>
      <c r="G207" s="11" t="n">
        <v>8299944.37</v>
      </c>
    </row>
    <row r="208">
      <c r="A208" s="11" t="n">
        <v>207</v>
      </c>
      <c r="B208" s="12" t="n">
        <v>46027</v>
      </c>
      <c r="C208" s="11" t="inlineStr">
        <is>
          <t>GRAVAMEN A MOVIMIENTO FINANCIERO</t>
        </is>
      </c>
      <c r="D208" s="11" t="inlineStr">
        <is>
          <t>ORITO</t>
        </is>
      </c>
      <c r="E208" s="11" t="inlineStr">
        <is>
          <t>00000000</t>
        </is>
      </c>
      <c r="F208" s="13" t="n">
        <v>-2</v>
      </c>
      <c r="G208" s="11" t="n">
        <v>8299942.37</v>
      </c>
    </row>
    <row r="209">
      <c r="A209" s="11" t="n">
        <v>208</v>
      </c>
      <c r="B209" s="12" t="n">
        <v>46027</v>
      </c>
      <c r="C209" s="11" t="inlineStr">
        <is>
          <t>RETEFUENTE DEPOSITOS ELECTRONICOS MASTERCAR</t>
        </is>
      </c>
      <c r="D209" s="11" t="inlineStr">
        <is>
          <t>ORITO</t>
        </is>
      </c>
      <c r="E209" s="11" t="inlineStr">
        <is>
          <t>00000000</t>
        </is>
      </c>
      <c r="F209" s="13" t="n">
        <v>-488</v>
      </c>
      <c r="G209" s="11" t="n">
        <v>8299454.37</v>
      </c>
    </row>
    <row r="210">
      <c r="A210" s="11" t="n">
        <v>209</v>
      </c>
      <c r="B210" s="12" t="n">
        <v>46027</v>
      </c>
      <c r="C210" s="11" t="inlineStr">
        <is>
          <t>GRAVAMEN A MOVIMIENTO FINANCIERO</t>
        </is>
      </c>
      <c r="D210" s="11" t="inlineStr">
        <is>
          <t>ORITO</t>
        </is>
      </c>
      <c r="E210" s="11" t="inlineStr">
        <is>
          <t>00000000</t>
        </is>
      </c>
      <c r="F210" s="13" t="n">
        <v>-2</v>
      </c>
      <c r="G210" s="11" t="n">
        <v>8299452.37</v>
      </c>
    </row>
    <row r="211">
      <c r="A211" s="11" t="n">
        <v>210</v>
      </c>
      <c r="B211" s="12" t="n">
        <v>46027</v>
      </c>
      <c r="C211" s="11" t="inlineStr">
        <is>
          <t>DEPOSITOS ELECTRONICOS TRANSACCION MASTERCA</t>
        </is>
      </c>
      <c r="D211" s="11" t="inlineStr">
        <is>
          <t>ORITO</t>
        </is>
      </c>
      <c r="E211" s="11" t="inlineStr">
        <is>
          <t>00000000</t>
        </is>
      </c>
      <c r="F211" s="13" t="n">
        <v>184000</v>
      </c>
      <c r="G211" s="11" t="n">
        <v>8483452.369999999</v>
      </c>
    </row>
    <row r="212">
      <c r="A212" s="11" t="n">
        <v>211</v>
      </c>
      <c r="B212" s="12" t="n">
        <v>46027</v>
      </c>
      <c r="C212" s="11" t="inlineStr">
        <is>
          <t>COMISION DEPOSITOS ELECTRONICOS MASTERCARD</t>
        </is>
      </c>
      <c r="D212" s="11" t="inlineStr">
        <is>
          <t>ORITO</t>
        </is>
      </c>
      <c r="E212" s="11" t="inlineStr">
        <is>
          <t>00000000</t>
        </is>
      </c>
      <c r="F212" s="13" t="n">
        <v>-3496</v>
      </c>
      <c r="G212" s="11" t="n">
        <v>8479956.369999999</v>
      </c>
    </row>
    <row r="213">
      <c r="A213" s="11" t="n">
        <v>212</v>
      </c>
      <c r="B213" s="12" t="n">
        <v>46027</v>
      </c>
      <c r="C213" s="11" t="inlineStr">
        <is>
          <t>GRAVAMEN A MOVIMIENTO FINANCIERO</t>
        </is>
      </c>
      <c r="D213" s="11" t="inlineStr">
        <is>
          <t>ORITO</t>
        </is>
      </c>
      <c r="E213" s="11" t="inlineStr">
        <is>
          <t>00000000</t>
        </is>
      </c>
      <c r="F213" s="13" t="n">
        <v>-14</v>
      </c>
      <c r="G213" s="11" t="n">
        <v>8479942.369999999</v>
      </c>
    </row>
    <row r="214">
      <c r="A214" s="11" t="n">
        <v>213</v>
      </c>
      <c r="B214" s="12" t="n">
        <v>46027</v>
      </c>
      <c r="C214" s="11" t="inlineStr">
        <is>
          <t>RETEFUENTE DEPOSITOS ELECTRONICOS MASTERCAR</t>
        </is>
      </c>
      <c r="D214" s="11" t="inlineStr">
        <is>
          <t>ORITO</t>
        </is>
      </c>
      <c r="E214" s="11" t="inlineStr">
        <is>
          <t>00000000</t>
        </is>
      </c>
      <c r="F214" s="13" t="n">
        <v>-2760</v>
      </c>
      <c r="G214" s="11" t="n">
        <v>8477182.369999999</v>
      </c>
    </row>
    <row r="215">
      <c r="A215" s="11" t="n">
        <v>214</v>
      </c>
      <c r="B215" s="12" t="n">
        <v>46027</v>
      </c>
      <c r="C215" s="11" t="inlineStr">
        <is>
          <t>GRAVAMEN A MOVIMIENTO FINANCIERO</t>
        </is>
      </c>
      <c r="D215" s="11" t="inlineStr">
        <is>
          <t>ORITO</t>
        </is>
      </c>
      <c r="E215" s="11" t="inlineStr">
        <is>
          <t>00000000</t>
        </is>
      </c>
      <c r="F215" s="13" t="n">
        <v>-11</v>
      </c>
      <c r="G215" s="11" t="n">
        <v>8477171.369999999</v>
      </c>
    </row>
    <row r="216">
      <c r="A216" s="11" t="n">
        <v>215</v>
      </c>
      <c r="B216" s="12" t="n">
        <v>46027</v>
      </c>
      <c r="C216" s="11" t="inlineStr">
        <is>
          <t>DEPOSITOS ELECTRONICOS TRANSACCION MASTERCA</t>
        </is>
      </c>
      <c r="D216" s="11" t="inlineStr">
        <is>
          <t>ORITO</t>
        </is>
      </c>
      <c r="E216" s="11" t="inlineStr">
        <is>
          <t>00000000</t>
        </is>
      </c>
      <c r="F216" s="13" t="n">
        <v>133500</v>
      </c>
      <c r="G216" s="11" t="n">
        <v>8610671.369999999</v>
      </c>
    </row>
    <row r="217">
      <c r="A217" s="11" t="n">
        <v>216</v>
      </c>
      <c r="B217" s="12" t="n">
        <v>46027</v>
      </c>
      <c r="C217" s="11" t="inlineStr">
        <is>
          <t>COMISION DEPOSITOS ELECTRONICOS MASTERCARD</t>
        </is>
      </c>
      <c r="D217" s="11" t="inlineStr">
        <is>
          <t>ORITO</t>
        </is>
      </c>
      <c r="E217" s="11" t="inlineStr">
        <is>
          <t>00000000</t>
        </is>
      </c>
      <c r="F217" s="13" t="n">
        <v>-2537</v>
      </c>
      <c r="G217" s="11" t="n">
        <v>8608134.369999999</v>
      </c>
    </row>
    <row r="218">
      <c r="A218" s="11" t="n">
        <v>217</v>
      </c>
      <c r="B218" s="12" t="n">
        <v>46027</v>
      </c>
      <c r="C218" s="11" t="inlineStr">
        <is>
          <t>GRAVAMEN A MOVIMIENTO FINANCIERO</t>
        </is>
      </c>
      <c r="D218" s="11" t="inlineStr">
        <is>
          <t>ORITO</t>
        </is>
      </c>
      <c r="E218" s="11" t="inlineStr">
        <is>
          <t>00000000</t>
        </is>
      </c>
      <c r="F218" s="13" t="n">
        <v>-10</v>
      </c>
      <c r="G218" s="11" t="n">
        <v>8608124.369999999</v>
      </c>
    </row>
    <row r="219">
      <c r="A219" s="11" t="n">
        <v>218</v>
      </c>
      <c r="B219" s="12" t="n">
        <v>46027</v>
      </c>
      <c r="C219" s="11" t="inlineStr">
        <is>
          <t>RETEFUENTE DEPOSITOS ELECTRONICOS MASTERCAR</t>
        </is>
      </c>
      <c r="D219" s="11" t="inlineStr">
        <is>
          <t>ORITO</t>
        </is>
      </c>
      <c r="E219" s="11" t="inlineStr">
        <is>
          <t>00000000</t>
        </is>
      </c>
      <c r="F219" s="13" t="n">
        <v>-2003</v>
      </c>
      <c r="G219" s="11" t="n">
        <v>8606121.369999999</v>
      </c>
    </row>
    <row r="220">
      <c r="A220" s="11" t="n">
        <v>219</v>
      </c>
      <c r="B220" s="12" t="n">
        <v>46027</v>
      </c>
      <c r="C220" s="11" t="inlineStr">
        <is>
          <t>GRAVAMEN A MOVIMIENTO FINANCIERO</t>
        </is>
      </c>
      <c r="D220" s="11" t="inlineStr">
        <is>
          <t>ORITO</t>
        </is>
      </c>
      <c r="E220" s="11" t="inlineStr">
        <is>
          <t>00000000</t>
        </is>
      </c>
      <c r="F220" s="13" t="n">
        <v>-8</v>
      </c>
      <c r="G220" s="11" t="n">
        <v>8606113.369999999</v>
      </c>
    </row>
    <row r="221">
      <c r="A221" s="11" t="n">
        <v>220</v>
      </c>
      <c r="B221" s="12" t="n">
        <v>46027</v>
      </c>
      <c r="C221" s="11" t="inlineStr">
        <is>
          <t>CONSIGNACION CREDIBANCO D E</t>
        </is>
      </c>
      <c r="D221" s="11" t="inlineStr">
        <is>
          <t>ORITO</t>
        </is>
      </c>
      <c r="E221" s="11" t="inlineStr">
        <is>
          <t>00000000</t>
        </is>
      </c>
      <c r="F221" s="13" t="n">
        <v>69200</v>
      </c>
      <c r="G221" s="11" t="n">
        <v>8675313.369999999</v>
      </c>
    </row>
    <row r="222">
      <c r="A222" s="11" t="n">
        <v>221</v>
      </c>
      <c r="B222" s="12" t="n">
        <v>46027</v>
      </c>
      <c r="C222" s="11" t="inlineStr">
        <is>
          <t>COBRO COMISION DEPOSITOS ELECTRONICOS</t>
        </is>
      </c>
      <c r="D222" s="11" t="inlineStr">
        <is>
          <t>ORITO</t>
        </is>
      </c>
      <c r="E222" s="11" t="inlineStr">
        <is>
          <t>00000000</t>
        </is>
      </c>
      <c r="F222" s="13" t="n">
        <v>-561</v>
      </c>
      <c r="G222" s="11" t="n">
        <v>8674752.369999999</v>
      </c>
    </row>
    <row r="223">
      <c r="A223" s="11" t="n">
        <v>222</v>
      </c>
      <c r="B223" s="12" t="n">
        <v>46027</v>
      </c>
      <c r="C223" s="11" t="inlineStr">
        <is>
          <t>GRAVAMEN A MOVIMIENTO FINANCIERO</t>
        </is>
      </c>
      <c r="D223" s="11" t="inlineStr">
        <is>
          <t>ORITO</t>
        </is>
      </c>
      <c r="E223" s="11" t="inlineStr">
        <is>
          <t>00000000</t>
        </is>
      </c>
      <c r="F223" s="13" t="n">
        <v>-2</v>
      </c>
      <c r="G223" s="11" t="n">
        <v>8674750.369999999</v>
      </c>
    </row>
    <row r="224">
      <c r="A224" s="11" t="n">
        <v>223</v>
      </c>
      <c r="B224" s="12" t="n">
        <v>46027</v>
      </c>
      <c r="C224" s="11" t="inlineStr">
        <is>
          <t>RETEFUENTE D E Y VOUCHER CREDIBANCO</t>
        </is>
      </c>
      <c r="D224" s="11" t="inlineStr">
        <is>
          <t>ORITO</t>
        </is>
      </c>
      <c r="E224" s="11" t="inlineStr">
        <is>
          <t>00000000</t>
        </is>
      </c>
      <c r="F224" s="13" t="n">
        <v>-1038</v>
      </c>
      <c r="G224" s="11" t="n">
        <v>8673712.369999999</v>
      </c>
    </row>
    <row r="225">
      <c r="A225" s="11" t="n">
        <v>224</v>
      </c>
      <c r="B225" s="12" t="n">
        <v>46027</v>
      </c>
      <c r="C225" s="11" t="inlineStr">
        <is>
          <t>GRAVAMEN A MOVIMIENTO FINANCIERO</t>
        </is>
      </c>
      <c r="D225" s="11" t="inlineStr">
        <is>
          <t>ORITO</t>
        </is>
      </c>
      <c r="E225" s="11" t="inlineStr">
        <is>
          <t>00000000</t>
        </is>
      </c>
      <c r="F225" s="13" t="n">
        <v>-4</v>
      </c>
      <c r="G225" s="11" t="n">
        <v>8673708.369999999</v>
      </c>
    </row>
    <row r="226">
      <c r="A226" s="11" t="n">
        <v>225</v>
      </c>
      <c r="B226" s="12" t="n">
        <v>46027</v>
      </c>
      <c r="C226" s="11" t="inlineStr">
        <is>
          <t>CONSIGNACION CREDIBANCO D E</t>
        </is>
      </c>
      <c r="D226" s="11" t="inlineStr">
        <is>
          <t>ORITO</t>
        </is>
      </c>
      <c r="E226" s="11" t="inlineStr">
        <is>
          <t>00000000</t>
        </is>
      </c>
      <c r="F226" s="13" t="n">
        <v>85500</v>
      </c>
      <c r="G226" s="11" t="n">
        <v>8759208.369999999</v>
      </c>
    </row>
    <row r="227">
      <c r="A227" s="11" t="n">
        <v>226</v>
      </c>
      <c r="B227" s="12" t="n">
        <v>46027</v>
      </c>
      <c r="C227" s="11" t="inlineStr">
        <is>
          <t>COBRO COMISION DEPOSITOS ELECTRONICOS</t>
        </is>
      </c>
      <c r="D227" s="11" t="inlineStr">
        <is>
          <t>ORITO</t>
        </is>
      </c>
      <c r="E227" s="11" t="inlineStr">
        <is>
          <t>00000000</t>
        </is>
      </c>
      <c r="F227" s="13" t="n">
        <v>-1847</v>
      </c>
      <c r="G227" s="11" t="n">
        <v>8757361.369999999</v>
      </c>
    </row>
    <row r="228">
      <c r="A228" s="11" t="n">
        <v>227</v>
      </c>
      <c r="B228" s="12" t="n">
        <v>46027</v>
      </c>
      <c r="C228" s="11" t="inlineStr">
        <is>
          <t>GRAVAMEN A MOVIMIENTO FINANCIERO</t>
        </is>
      </c>
      <c r="D228" s="11" t="inlineStr">
        <is>
          <t>ORITO</t>
        </is>
      </c>
      <c r="E228" s="11" t="inlineStr">
        <is>
          <t>00000000</t>
        </is>
      </c>
      <c r="F228" s="13" t="n">
        <v>-7</v>
      </c>
      <c r="G228" s="11" t="n">
        <v>8757354.369999999</v>
      </c>
    </row>
    <row r="229">
      <c r="A229" s="11" t="n">
        <v>228</v>
      </c>
      <c r="B229" s="12" t="n">
        <v>46027</v>
      </c>
      <c r="C229" s="11" t="inlineStr">
        <is>
          <t>RETEFUENTE D E Y VOUCHER CREDIBANCO</t>
        </is>
      </c>
      <c r="D229" s="11" t="inlineStr">
        <is>
          <t>ORITO</t>
        </is>
      </c>
      <c r="E229" s="11" t="inlineStr">
        <is>
          <t>00000000</t>
        </is>
      </c>
      <c r="F229" s="13" t="n">
        <v>-1283</v>
      </c>
      <c r="G229" s="11" t="n">
        <v>8756071.369999999</v>
      </c>
    </row>
    <row r="230">
      <c r="A230" s="11" t="n">
        <v>229</v>
      </c>
      <c r="B230" s="12" t="n">
        <v>46027</v>
      </c>
      <c r="C230" s="11" t="inlineStr">
        <is>
          <t>GRAVAMEN A MOVIMIENTO FINANCIERO</t>
        </is>
      </c>
      <c r="D230" s="11" t="inlineStr">
        <is>
          <t>ORITO</t>
        </is>
      </c>
      <c r="E230" s="11" t="inlineStr">
        <is>
          <t>00000000</t>
        </is>
      </c>
      <c r="F230" s="13" t="n">
        <v>-5</v>
      </c>
      <c r="G230" s="11" t="n">
        <v>8756066.369999999</v>
      </c>
    </row>
    <row r="231">
      <c r="A231" s="11" t="n">
        <v>230</v>
      </c>
      <c r="B231" s="12" t="n">
        <v>46027</v>
      </c>
      <c r="C231" s="11" t="inlineStr">
        <is>
          <t>CONSIGNACION CREDIBANCO D E</t>
        </is>
      </c>
      <c r="D231" s="11" t="inlineStr">
        <is>
          <t>ORITO</t>
        </is>
      </c>
      <c r="E231" s="11" t="inlineStr">
        <is>
          <t>00000000</t>
        </is>
      </c>
      <c r="F231" s="13" t="n">
        <v>60000</v>
      </c>
      <c r="G231" s="11" t="n">
        <v>8816066.369999999</v>
      </c>
    </row>
    <row r="232">
      <c r="A232" s="11" t="n">
        <v>231</v>
      </c>
      <c r="B232" s="12" t="n">
        <v>46027</v>
      </c>
      <c r="C232" s="11" t="inlineStr">
        <is>
          <t>COBRO COMISION DEPOSITOS ELECTRONICOS</t>
        </is>
      </c>
      <c r="D232" s="11" t="inlineStr">
        <is>
          <t>ORITO</t>
        </is>
      </c>
      <c r="E232" s="11" t="inlineStr">
        <is>
          <t>00000000</t>
        </is>
      </c>
      <c r="F232" s="13" t="n">
        <v>-1296</v>
      </c>
      <c r="G232" s="11" t="n">
        <v>8814770.369999999</v>
      </c>
    </row>
    <row r="233">
      <c r="A233" s="11" t="n">
        <v>232</v>
      </c>
      <c r="B233" s="12" t="n">
        <v>46027</v>
      </c>
      <c r="C233" s="11" t="inlineStr">
        <is>
          <t>GRAVAMEN A MOVIMIENTO FINANCIERO</t>
        </is>
      </c>
      <c r="D233" s="11" t="inlineStr">
        <is>
          <t>ORITO</t>
        </is>
      </c>
      <c r="E233" s="11" t="inlineStr">
        <is>
          <t>00000000</t>
        </is>
      </c>
      <c r="F233" s="13" t="n">
        <v>-5</v>
      </c>
      <c r="G233" s="11" t="n">
        <v>8814765.369999999</v>
      </c>
    </row>
    <row r="234">
      <c r="A234" s="11" t="n">
        <v>233</v>
      </c>
      <c r="B234" s="12" t="n">
        <v>46027</v>
      </c>
      <c r="C234" s="11" t="inlineStr">
        <is>
          <t>RETEFUENTE D E Y VOUCHER CREDIBANCO</t>
        </is>
      </c>
      <c r="D234" s="11" t="inlineStr">
        <is>
          <t>ORITO</t>
        </is>
      </c>
      <c r="E234" s="11" t="inlineStr">
        <is>
          <t>00000000</t>
        </is>
      </c>
      <c r="F234" s="13" t="n">
        <v>-900</v>
      </c>
      <c r="G234" s="11" t="n">
        <v>8813865.369999999</v>
      </c>
    </row>
    <row r="235">
      <c r="A235" s="11" t="n">
        <v>234</v>
      </c>
      <c r="B235" s="12" t="n">
        <v>46027</v>
      </c>
      <c r="C235" s="11" t="inlineStr">
        <is>
          <t>GRAVAMEN A MOVIMIENTO FINANCIERO</t>
        </is>
      </c>
      <c r="D235" s="11" t="inlineStr">
        <is>
          <t>ORITO</t>
        </is>
      </c>
      <c r="E235" s="11" t="inlineStr">
        <is>
          <t>00000000</t>
        </is>
      </c>
      <c r="F235" s="13" t="n">
        <v>-4</v>
      </c>
      <c r="G235" s="11" t="n">
        <v>8813861.369999999</v>
      </c>
    </row>
    <row r="236">
      <c r="A236" s="11" t="n">
        <v>235</v>
      </c>
      <c r="B236" s="12" t="n">
        <v>46027</v>
      </c>
      <c r="C236" s="11" t="inlineStr">
        <is>
          <t>CONSIGNACION CREDIBANCO D E</t>
        </is>
      </c>
      <c r="D236" s="11" t="inlineStr">
        <is>
          <t>ORITO</t>
        </is>
      </c>
      <c r="E236" s="11" t="inlineStr">
        <is>
          <t>00000000</t>
        </is>
      </c>
      <c r="F236" s="13" t="n">
        <v>29700</v>
      </c>
      <c r="G236" s="11" t="n">
        <v>8843561.369999999</v>
      </c>
    </row>
    <row r="237">
      <c r="A237" s="11" t="n">
        <v>236</v>
      </c>
      <c r="B237" s="12" t="n">
        <v>46027</v>
      </c>
      <c r="C237" s="11" t="inlineStr">
        <is>
          <t>COBRO COMISION DEPOSITOS ELECTRONICOS</t>
        </is>
      </c>
      <c r="D237" s="11" t="inlineStr">
        <is>
          <t>ORITO</t>
        </is>
      </c>
      <c r="E237" s="11" t="inlineStr">
        <is>
          <t>00000000</t>
        </is>
      </c>
      <c r="F237" s="13" t="n">
        <v>-642</v>
      </c>
      <c r="G237" s="11" t="n">
        <v>8842919.369999999</v>
      </c>
    </row>
    <row r="238">
      <c r="A238" s="11" t="n">
        <v>237</v>
      </c>
      <c r="B238" s="12" t="n">
        <v>46027</v>
      </c>
      <c r="C238" s="11" t="inlineStr">
        <is>
          <t>GRAVAMEN A MOVIMIENTO FINANCIERO</t>
        </is>
      </c>
      <c r="D238" s="11" t="inlineStr">
        <is>
          <t>ORITO</t>
        </is>
      </c>
      <c r="E238" s="11" t="inlineStr">
        <is>
          <t>00000000</t>
        </is>
      </c>
      <c r="F238" s="13" t="n">
        <v>-3</v>
      </c>
      <c r="G238" s="11" t="n">
        <v>8842916.369999999</v>
      </c>
    </row>
    <row r="239">
      <c r="A239" s="11" t="n">
        <v>238</v>
      </c>
      <c r="B239" s="12" t="n">
        <v>46027</v>
      </c>
      <c r="C239" s="11" t="inlineStr">
        <is>
          <t>RETEFUENTE D E Y VOUCHER CREDIBANCO</t>
        </is>
      </c>
      <c r="D239" s="11" t="inlineStr">
        <is>
          <t>ORITO</t>
        </is>
      </c>
      <c r="E239" s="11" t="inlineStr">
        <is>
          <t>00000000</t>
        </is>
      </c>
      <c r="F239" s="13" t="n">
        <v>-446</v>
      </c>
      <c r="G239" s="11" t="n">
        <v>8842470.369999999</v>
      </c>
    </row>
    <row r="240">
      <c r="A240" s="11" t="n">
        <v>239</v>
      </c>
      <c r="B240" s="12" t="n">
        <v>46027</v>
      </c>
      <c r="C240" s="11" t="inlineStr">
        <is>
          <t>GRAVAMEN A MOVIMIENTO FINANCIERO</t>
        </is>
      </c>
      <c r="D240" s="11" t="inlineStr">
        <is>
          <t>ORITO</t>
        </is>
      </c>
      <c r="E240" s="11" t="inlineStr">
        <is>
          <t>00000000</t>
        </is>
      </c>
      <c r="F240" s="13" t="n">
        <v>-2</v>
      </c>
      <c r="G240" s="11" t="n">
        <v>8842468.369999999</v>
      </c>
    </row>
    <row r="241">
      <c r="A241" s="11" t="n">
        <v>240</v>
      </c>
      <c r="B241" s="12" t="n">
        <v>46027</v>
      </c>
      <c r="C241" s="11" t="inlineStr">
        <is>
          <t>CONSIGNACION CREDIBANCO D E</t>
        </is>
      </c>
      <c r="D241" s="11" t="inlineStr">
        <is>
          <t>ORITO</t>
        </is>
      </c>
      <c r="E241" s="11" t="inlineStr">
        <is>
          <t>00000000</t>
        </is>
      </c>
      <c r="F241" s="13" t="n">
        <v>226100</v>
      </c>
      <c r="G241" s="11" t="n">
        <v>9068568.369999999</v>
      </c>
    </row>
    <row r="242">
      <c r="A242" s="11" t="n">
        <v>241</v>
      </c>
      <c r="B242" s="12" t="n">
        <v>46027</v>
      </c>
      <c r="C242" s="11" t="inlineStr">
        <is>
          <t>COBRO COMISION DEPOSITOS ELECTRONICOS</t>
        </is>
      </c>
      <c r="D242" s="11" t="inlineStr">
        <is>
          <t>ORITO</t>
        </is>
      </c>
      <c r="E242" s="11" t="inlineStr">
        <is>
          <t>00000000</t>
        </is>
      </c>
      <c r="F242" s="13" t="n">
        <v>-4884</v>
      </c>
      <c r="G242" s="11" t="n">
        <v>9063684.369999999</v>
      </c>
    </row>
    <row r="243">
      <c r="A243" s="11" t="n">
        <v>242</v>
      </c>
      <c r="B243" s="12" t="n">
        <v>46027</v>
      </c>
      <c r="C243" s="11" t="inlineStr">
        <is>
          <t>GRAVAMEN A MOVIMIENTO FINANCIERO</t>
        </is>
      </c>
      <c r="D243" s="11" t="inlineStr">
        <is>
          <t>ORITO</t>
        </is>
      </c>
      <c r="E243" s="11" t="inlineStr">
        <is>
          <t>00000000</t>
        </is>
      </c>
      <c r="F243" s="13" t="n">
        <v>-20</v>
      </c>
      <c r="G243" s="11" t="n">
        <v>9063664.369999999</v>
      </c>
    </row>
    <row r="244">
      <c r="A244" s="11" t="n">
        <v>243</v>
      </c>
      <c r="B244" s="12" t="n">
        <v>46027</v>
      </c>
      <c r="C244" s="11" t="inlineStr">
        <is>
          <t>RETEFUENTE D E Y VOUCHER CREDIBANCO</t>
        </is>
      </c>
      <c r="D244" s="11" t="inlineStr">
        <is>
          <t>ORITO</t>
        </is>
      </c>
      <c r="E244" s="11" t="inlineStr">
        <is>
          <t>00000000</t>
        </is>
      </c>
      <c r="F244" s="13" t="n">
        <v>-3392</v>
      </c>
      <c r="G244" s="11" t="n">
        <v>9060272.369999999</v>
      </c>
    </row>
    <row r="245">
      <c r="A245" s="11" t="n">
        <v>244</v>
      </c>
      <c r="B245" s="12" t="n">
        <v>46027</v>
      </c>
      <c r="C245" s="11" t="inlineStr">
        <is>
          <t>GRAVAMEN A MOVIMIENTO FINANCIERO</t>
        </is>
      </c>
      <c r="D245" s="11" t="inlineStr">
        <is>
          <t>ORITO</t>
        </is>
      </c>
      <c r="E245" s="11" t="inlineStr">
        <is>
          <t>00000000</t>
        </is>
      </c>
      <c r="F245" s="13" t="n">
        <v>-14</v>
      </c>
      <c r="G245" s="11" t="n">
        <v>9060258.369999999</v>
      </c>
    </row>
    <row r="246">
      <c r="A246" s="11" t="n">
        <v>245</v>
      </c>
      <c r="B246" s="12" t="n">
        <v>46027</v>
      </c>
      <c r="C246" s="11" t="inlineStr">
        <is>
          <t>CONSIGNACION CREDIBANCO D E</t>
        </is>
      </c>
      <c r="D246" s="11" t="inlineStr">
        <is>
          <t>ORITO</t>
        </is>
      </c>
      <c r="E246" s="11" t="inlineStr">
        <is>
          <t>00000000</t>
        </is>
      </c>
      <c r="F246" s="13" t="n">
        <v>84100</v>
      </c>
      <c r="G246" s="11" t="n">
        <v>9144358.369999999</v>
      </c>
    </row>
    <row r="247">
      <c r="A247" s="11" t="n">
        <v>246</v>
      </c>
      <c r="B247" s="12" t="n">
        <v>46027</v>
      </c>
      <c r="C247" s="11" t="inlineStr">
        <is>
          <t>COBRO COMISION DEPOSITOS ELECTRONICOS</t>
        </is>
      </c>
      <c r="D247" s="11" t="inlineStr">
        <is>
          <t>ORITO</t>
        </is>
      </c>
      <c r="E247" s="11" t="inlineStr">
        <is>
          <t>00000000</t>
        </is>
      </c>
      <c r="F247" s="13" t="n">
        <v>-1817</v>
      </c>
      <c r="G247" s="11" t="n">
        <v>9142541.369999999</v>
      </c>
    </row>
    <row r="248">
      <c r="A248" s="11" t="n">
        <v>247</v>
      </c>
      <c r="B248" s="12" t="n">
        <v>46027</v>
      </c>
      <c r="C248" s="11" t="inlineStr">
        <is>
          <t>GRAVAMEN A MOVIMIENTO FINANCIERO</t>
        </is>
      </c>
      <c r="D248" s="11" t="inlineStr">
        <is>
          <t>ORITO</t>
        </is>
      </c>
      <c r="E248" s="11" t="inlineStr">
        <is>
          <t>00000000</t>
        </is>
      </c>
      <c r="F248" s="13" t="n">
        <v>-7</v>
      </c>
      <c r="G248" s="11" t="n">
        <v>9142534.369999999</v>
      </c>
    </row>
    <row r="249">
      <c r="A249" s="11" t="n">
        <v>248</v>
      </c>
      <c r="B249" s="12" t="n">
        <v>46027</v>
      </c>
      <c r="C249" s="11" t="inlineStr">
        <is>
          <t>RETEFUENTE D E Y VOUCHER CREDIBANCO</t>
        </is>
      </c>
      <c r="D249" s="11" t="inlineStr">
        <is>
          <t>ORITO</t>
        </is>
      </c>
      <c r="E249" s="11" t="inlineStr">
        <is>
          <t>00000000</t>
        </is>
      </c>
      <c r="F249" s="13" t="n">
        <v>-1262</v>
      </c>
      <c r="G249" s="11" t="n">
        <v>9141272.369999999</v>
      </c>
    </row>
    <row r="250">
      <c r="A250" s="11" t="n">
        <v>249</v>
      </c>
      <c r="B250" s="12" t="n">
        <v>46027</v>
      </c>
      <c r="C250" s="11" t="inlineStr">
        <is>
          <t>GRAVAMEN A MOVIMIENTO FINANCIERO</t>
        </is>
      </c>
      <c r="D250" s="11" t="inlineStr">
        <is>
          <t>ORITO</t>
        </is>
      </c>
      <c r="E250" s="11" t="inlineStr">
        <is>
          <t>00000000</t>
        </is>
      </c>
      <c r="F250" s="13" t="n">
        <v>-5</v>
      </c>
      <c r="G250" s="11" t="n">
        <v>9141267.369999999</v>
      </c>
    </row>
    <row r="251">
      <c r="A251" s="11" t="n">
        <v>250</v>
      </c>
      <c r="B251" s="12" t="n">
        <v>46027</v>
      </c>
      <c r="C251" s="11" t="inlineStr">
        <is>
          <t>CONSIGNACION CREDIBANCO D E</t>
        </is>
      </c>
      <c r="D251" s="11" t="inlineStr">
        <is>
          <t>ORITO</t>
        </is>
      </c>
      <c r="E251" s="11" t="inlineStr">
        <is>
          <t>00000000</t>
        </is>
      </c>
      <c r="F251" s="13" t="n">
        <v>29700</v>
      </c>
      <c r="G251" s="11" t="n">
        <v>9170967.369999999</v>
      </c>
    </row>
    <row r="252">
      <c r="A252" s="11" t="n">
        <v>251</v>
      </c>
      <c r="B252" s="12" t="n">
        <v>46027</v>
      </c>
      <c r="C252" s="11" t="inlineStr">
        <is>
          <t>COBRO COMISION DEPOSITOS ELECTRONICOS</t>
        </is>
      </c>
      <c r="D252" s="11" t="inlineStr">
        <is>
          <t>ORITO</t>
        </is>
      </c>
      <c r="E252" s="11" t="inlineStr">
        <is>
          <t>00000000</t>
        </is>
      </c>
      <c r="F252" s="13" t="n">
        <v>-642</v>
      </c>
      <c r="G252" s="11" t="n">
        <v>9170325.369999999</v>
      </c>
    </row>
    <row r="253">
      <c r="A253" s="11" t="n">
        <v>252</v>
      </c>
      <c r="B253" s="12" t="n">
        <v>46027</v>
      </c>
      <c r="C253" s="11" t="inlineStr">
        <is>
          <t>GRAVAMEN A MOVIMIENTO FINANCIERO</t>
        </is>
      </c>
      <c r="D253" s="11" t="inlineStr">
        <is>
          <t>ORITO</t>
        </is>
      </c>
      <c r="E253" s="11" t="inlineStr">
        <is>
          <t>00000000</t>
        </is>
      </c>
      <c r="F253" s="13" t="n">
        <v>-3</v>
      </c>
      <c r="G253" s="11" t="n">
        <v>9170322.369999999</v>
      </c>
    </row>
    <row r="254">
      <c r="A254" s="11" t="n">
        <v>253</v>
      </c>
      <c r="B254" s="12" t="n">
        <v>46027</v>
      </c>
      <c r="C254" s="11" t="inlineStr">
        <is>
          <t>RETEFUENTE D E Y VOUCHER CREDIBANCO</t>
        </is>
      </c>
      <c r="D254" s="11" t="inlineStr">
        <is>
          <t>ORITO</t>
        </is>
      </c>
      <c r="E254" s="11" t="inlineStr">
        <is>
          <t>00000000</t>
        </is>
      </c>
      <c r="F254" s="13" t="n">
        <v>-446</v>
      </c>
      <c r="G254" s="11" t="n">
        <v>9169876.369999999</v>
      </c>
    </row>
    <row r="255">
      <c r="A255" s="11" t="n">
        <v>254</v>
      </c>
      <c r="B255" s="12" t="n">
        <v>46027</v>
      </c>
      <c r="C255" s="11" t="inlineStr">
        <is>
          <t>GRAVAMEN A MOVIMIENTO FINANCIERO</t>
        </is>
      </c>
      <c r="D255" s="11" t="inlineStr">
        <is>
          <t>ORITO</t>
        </is>
      </c>
      <c r="E255" s="11" t="inlineStr">
        <is>
          <t>00000000</t>
        </is>
      </c>
      <c r="F255" s="13" t="n">
        <v>-2</v>
      </c>
      <c r="G255" s="11" t="n">
        <v>9169874.369999999</v>
      </c>
    </row>
    <row r="256">
      <c r="A256" s="11" t="n">
        <v>255</v>
      </c>
      <c r="B256" s="12" t="n">
        <v>46027</v>
      </c>
      <c r="C256" s="11" t="inlineStr">
        <is>
          <t>CONSIGNACION CREDIBANCO D E</t>
        </is>
      </c>
      <c r="D256" s="11" t="inlineStr">
        <is>
          <t>ORITO</t>
        </is>
      </c>
      <c r="E256" s="11" t="inlineStr">
        <is>
          <t>00000000</t>
        </is>
      </c>
      <c r="F256" s="13" t="n">
        <v>42300</v>
      </c>
      <c r="G256" s="11" t="n">
        <v>9212174.369999999</v>
      </c>
    </row>
    <row r="257">
      <c r="A257" s="11" t="n">
        <v>256</v>
      </c>
      <c r="B257" s="12" t="n">
        <v>46027</v>
      </c>
      <c r="C257" s="11" t="inlineStr">
        <is>
          <t>COBRO COMISION DEPOSITOS ELECTRONICOS</t>
        </is>
      </c>
      <c r="D257" s="11" t="inlineStr">
        <is>
          <t>ORITO</t>
        </is>
      </c>
      <c r="E257" s="11" t="inlineStr">
        <is>
          <t>00000000</t>
        </is>
      </c>
      <c r="F257" s="13" t="n">
        <v>-926</v>
      </c>
      <c r="G257" s="11" t="n">
        <v>9211248.369999999</v>
      </c>
    </row>
    <row r="258">
      <c r="A258" s="11" t="n">
        <v>257</v>
      </c>
      <c r="B258" s="12" t="n">
        <v>46027</v>
      </c>
      <c r="C258" s="11" t="inlineStr">
        <is>
          <t>GRAVAMEN A MOVIMIENTO FINANCIERO</t>
        </is>
      </c>
      <c r="D258" s="11" t="inlineStr">
        <is>
          <t>ORITO</t>
        </is>
      </c>
      <c r="E258" s="11" t="inlineStr">
        <is>
          <t>00000000</t>
        </is>
      </c>
      <c r="F258" s="13" t="n">
        <v>-4</v>
      </c>
      <c r="G258" s="11" t="n">
        <v>9211244.369999999</v>
      </c>
    </row>
    <row r="259">
      <c r="A259" s="11" t="n">
        <v>258</v>
      </c>
      <c r="B259" s="12" t="n">
        <v>46027</v>
      </c>
      <c r="C259" s="11" t="inlineStr">
        <is>
          <t>RETEFUENTE D E Y VOUCHER CREDIBANCO</t>
        </is>
      </c>
      <c r="D259" s="11" t="inlineStr">
        <is>
          <t>ORITO</t>
        </is>
      </c>
      <c r="E259" s="11" t="inlineStr">
        <is>
          <t>00000000</t>
        </is>
      </c>
      <c r="F259" s="13" t="n">
        <v>-635</v>
      </c>
      <c r="G259" s="11" t="n">
        <v>9210609.369999999</v>
      </c>
    </row>
    <row r="260">
      <c r="A260" s="11" t="n">
        <v>259</v>
      </c>
      <c r="B260" s="12" t="n">
        <v>46027</v>
      </c>
      <c r="C260" s="11" t="inlineStr">
        <is>
          <t>GRAVAMEN A MOVIMIENTO FINANCIERO</t>
        </is>
      </c>
      <c r="D260" s="11" t="inlineStr">
        <is>
          <t>ORITO</t>
        </is>
      </c>
      <c r="E260" s="11" t="inlineStr">
        <is>
          <t>00000000</t>
        </is>
      </c>
      <c r="F260" s="13" t="n">
        <v>-3</v>
      </c>
      <c r="G260" s="11" t="n">
        <v>9210606.369999999</v>
      </c>
    </row>
    <row r="261">
      <c r="A261" s="11" t="n">
        <v>260</v>
      </c>
      <c r="B261" s="12" t="n">
        <v>46027</v>
      </c>
      <c r="C261" s="11" t="inlineStr">
        <is>
          <t>CONSIGNACION CREDIBANCO D E</t>
        </is>
      </c>
      <c r="D261" s="11" t="inlineStr">
        <is>
          <t>ORITO</t>
        </is>
      </c>
      <c r="E261" s="11" t="inlineStr">
        <is>
          <t>00000000</t>
        </is>
      </c>
      <c r="F261" s="13" t="n">
        <v>34235</v>
      </c>
      <c r="G261" s="11" t="n">
        <v>9244841.369999999</v>
      </c>
    </row>
    <row r="262">
      <c r="A262" s="11" t="n">
        <v>261</v>
      </c>
      <c r="B262" s="12" t="n">
        <v>46027</v>
      </c>
      <c r="C262" s="11" t="inlineStr">
        <is>
          <t>COBRO COMISION DEPOSITOS ELECTRONICOS</t>
        </is>
      </c>
      <c r="D262" s="11" t="inlineStr">
        <is>
          <t>ORITO</t>
        </is>
      </c>
      <c r="E262" s="11" t="inlineStr">
        <is>
          <t>00000000</t>
        </is>
      </c>
      <c r="F262" s="13" t="n">
        <v>-705</v>
      </c>
      <c r="G262" s="11" t="n">
        <v>9244136.369999999</v>
      </c>
    </row>
    <row r="263">
      <c r="A263" s="11" t="n">
        <v>262</v>
      </c>
      <c r="B263" s="12" t="n">
        <v>46027</v>
      </c>
      <c r="C263" s="11" t="inlineStr">
        <is>
          <t>GRAVAMEN A MOVIMIENTO FINANCIERO</t>
        </is>
      </c>
      <c r="D263" s="11" t="inlineStr">
        <is>
          <t>ORITO</t>
        </is>
      </c>
      <c r="E263" s="11" t="inlineStr">
        <is>
          <t>00000000</t>
        </is>
      </c>
      <c r="F263" s="13" t="n">
        <v>-3</v>
      </c>
      <c r="G263" s="11" t="n">
        <v>9244133.369999999</v>
      </c>
    </row>
    <row r="264">
      <c r="A264" s="11" t="n">
        <v>263</v>
      </c>
      <c r="B264" s="12" t="n">
        <v>46027</v>
      </c>
      <c r="C264" s="11" t="inlineStr">
        <is>
          <t>RETEFUENTE D E Y VOUCHER CREDIBANCO</t>
        </is>
      </c>
      <c r="D264" s="11" t="inlineStr">
        <is>
          <t>ORITO</t>
        </is>
      </c>
      <c r="E264" s="11" t="inlineStr">
        <is>
          <t>00000000</t>
        </is>
      </c>
      <c r="F264" s="13" t="n">
        <v>-514</v>
      </c>
      <c r="G264" s="11" t="n">
        <v>9243619.369999999</v>
      </c>
    </row>
    <row r="265">
      <c r="A265" s="11" t="n">
        <v>264</v>
      </c>
      <c r="B265" s="12" t="n">
        <v>46027</v>
      </c>
      <c r="C265" s="11" t="inlineStr">
        <is>
          <t>GRAVAMEN A MOVIMIENTO FINANCIERO</t>
        </is>
      </c>
      <c r="D265" s="11" t="inlineStr">
        <is>
          <t>ORITO</t>
        </is>
      </c>
      <c r="E265" s="11" t="inlineStr">
        <is>
          <t>00000000</t>
        </is>
      </c>
      <c r="F265" s="13" t="n">
        <v>-2</v>
      </c>
      <c r="G265" s="11" t="n">
        <v>9243617.369999999</v>
      </c>
    </row>
    <row r="266">
      <c r="A266" s="11" t="n">
        <v>265</v>
      </c>
      <c r="B266" s="12" t="n">
        <v>46027</v>
      </c>
      <c r="C266" s="11" t="inlineStr">
        <is>
          <t>CONSIGNACION CREDIBANCO D E</t>
        </is>
      </c>
      <c r="D266" s="11" t="inlineStr">
        <is>
          <t>ORITO</t>
        </is>
      </c>
      <c r="E266" s="11" t="inlineStr">
        <is>
          <t>00000000</t>
        </is>
      </c>
      <c r="F266" s="13" t="n">
        <v>124430</v>
      </c>
      <c r="G266" s="11" t="n">
        <v>9368047.369999999</v>
      </c>
    </row>
    <row r="267">
      <c r="A267" s="11" t="n">
        <v>266</v>
      </c>
      <c r="B267" s="12" t="n">
        <v>46027</v>
      </c>
      <c r="C267" s="11" t="inlineStr">
        <is>
          <t>COBRO COMISION DEPOSITOS ELECTRONICOS</t>
        </is>
      </c>
      <c r="D267" s="11" t="inlineStr">
        <is>
          <t>ORITO</t>
        </is>
      </c>
      <c r="E267" s="11" t="inlineStr">
        <is>
          <t>00000000</t>
        </is>
      </c>
      <c r="F267" s="13" t="n">
        <v>-2563</v>
      </c>
      <c r="G267" s="11" t="n">
        <v>9365484.369999999</v>
      </c>
    </row>
    <row r="268">
      <c r="A268" s="11" t="n">
        <v>267</v>
      </c>
      <c r="B268" s="12" t="n">
        <v>46027</v>
      </c>
      <c r="C268" s="11" t="inlineStr">
        <is>
          <t>GRAVAMEN A MOVIMIENTO FINANCIERO</t>
        </is>
      </c>
      <c r="D268" s="11" t="inlineStr">
        <is>
          <t>ORITO</t>
        </is>
      </c>
      <c r="E268" s="11" t="inlineStr">
        <is>
          <t>00000000</t>
        </is>
      </c>
      <c r="F268" s="13" t="n">
        <v>-10</v>
      </c>
      <c r="G268" s="11" t="n">
        <v>9365474.369999999</v>
      </c>
    </row>
    <row r="269">
      <c r="A269" s="11" t="n">
        <v>268</v>
      </c>
      <c r="B269" s="12" t="n">
        <v>46027</v>
      </c>
      <c r="C269" s="11" t="inlineStr">
        <is>
          <t>RETEFUENTE D E Y VOUCHER CREDIBANCO</t>
        </is>
      </c>
      <c r="D269" s="11" t="inlineStr">
        <is>
          <t>ORITO</t>
        </is>
      </c>
      <c r="E269" s="11" t="inlineStr">
        <is>
          <t>00000000</t>
        </is>
      </c>
      <c r="F269" s="13" t="n">
        <v>-1866</v>
      </c>
      <c r="G269" s="11" t="n">
        <v>9363608.369999999</v>
      </c>
    </row>
    <row r="270">
      <c r="A270" s="11" t="n">
        <v>269</v>
      </c>
      <c r="B270" s="12" t="n">
        <v>46027</v>
      </c>
      <c r="C270" s="11" t="inlineStr">
        <is>
          <t>GRAVAMEN A MOVIMIENTO FINANCIERO</t>
        </is>
      </c>
      <c r="D270" s="11" t="inlineStr">
        <is>
          <t>ORITO</t>
        </is>
      </c>
      <c r="E270" s="11" t="inlineStr">
        <is>
          <t>00000000</t>
        </is>
      </c>
      <c r="F270" s="13" t="n">
        <v>-7</v>
      </c>
      <c r="G270" s="11" t="n">
        <v>9363601.369999999</v>
      </c>
    </row>
    <row r="271">
      <c r="A271" s="11" t="n">
        <v>270</v>
      </c>
      <c r="B271" s="12" t="n">
        <v>46027</v>
      </c>
      <c r="C271" s="11" t="inlineStr">
        <is>
          <t>CONSIGNACION CREDIBANCO D E</t>
        </is>
      </c>
      <c r="D271" s="11" t="inlineStr">
        <is>
          <t>ORITO</t>
        </is>
      </c>
      <c r="E271" s="11" t="inlineStr">
        <is>
          <t>00000000</t>
        </is>
      </c>
      <c r="F271" s="13" t="n">
        <v>21600</v>
      </c>
      <c r="G271" s="11" t="n">
        <v>9385201.369999999</v>
      </c>
    </row>
    <row r="272">
      <c r="A272" s="11" t="n">
        <v>271</v>
      </c>
      <c r="B272" s="12" t="n">
        <v>46027</v>
      </c>
      <c r="C272" s="11" t="inlineStr">
        <is>
          <t>COBRO COMISION DEPOSITOS ELECTRONICOS</t>
        </is>
      </c>
      <c r="D272" s="11" t="inlineStr">
        <is>
          <t>ORITO</t>
        </is>
      </c>
      <c r="E272" s="11" t="inlineStr">
        <is>
          <t>00000000</t>
        </is>
      </c>
      <c r="F272" s="13" t="n">
        <v>-445</v>
      </c>
      <c r="G272" s="11" t="n">
        <v>9384756.369999999</v>
      </c>
    </row>
    <row r="273">
      <c r="A273" s="11" t="n">
        <v>272</v>
      </c>
      <c r="B273" s="12" t="n">
        <v>46027</v>
      </c>
      <c r="C273" s="11" t="inlineStr">
        <is>
          <t>GRAVAMEN A MOVIMIENTO FINANCIERO</t>
        </is>
      </c>
      <c r="D273" s="11" t="inlineStr">
        <is>
          <t>ORITO</t>
        </is>
      </c>
      <c r="E273" s="11" t="inlineStr">
        <is>
          <t>00000000</t>
        </is>
      </c>
      <c r="F273" s="13" t="n">
        <v>-2</v>
      </c>
      <c r="G273" s="11" t="n">
        <v>9384754.369999999</v>
      </c>
    </row>
    <row r="274">
      <c r="A274" s="11" t="n">
        <v>273</v>
      </c>
      <c r="B274" s="12" t="n">
        <v>46027</v>
      </c>
      <c r="C274" s="11" t="inlineStr">
        <is>
          <t>RETEFUENTE D E Y VOUCHER CREDIBANCO</t>
        </is>
      </c>
      <c r="D274" s="11" t="inlineStr">
        <is>
          <t>ORITO</t>
        </is>
      </c>
      <c r="E274" s="11" t="inlineStr">
        <is>
          <t>00000000</t>
        </is>
      </c>
      <c r="F274" s="13" t="n">
        <v>-324</v>
      </c>
      <c r="G274" s="11" t="n">
        <v>9384430.369999999</v>
      </c>
    </row>
    <row r="275">
      <c r="A275" s="11" t="n">
        <v>274</v>
      </c>
      <c r="B275" s="12" t="n">
        <v>46027</v>
      </c>
      <c r="C275" s="11" t="inlineStr">
        <is>
          <t>GRAVAMEN A MOVIMIENTO FINANCIERO</t>
        </is>
      </c>
      <c r="D275" s="11" t="inlineStr">
        <is>
          <t>ORITO</t>
        </is>
      </c>
      <c r="E275" s="11" t="inlineStr">
        <is>
          <t>00000000</t>
        </is>
      </c>
      <c r="F275" s="13" t="n">
        <v>-1</v>
      </c>
      <c r="G275" s="11" t="n">
        <v>9384429.369999999</v>
      </c>
    </row>
    <row r="276">
      <c r="A276" s="11" t="n">
        <v>275</v>
      </c>
      <c r="B276" s="12" t="n">
        <v>46027</v>
      </c>
      <c r="C276" s="11" t="inlineStr">
        <is>
          <t>CONSIGNACION CREDIBANCO D E</t>
        </is>
      </c>
      <c r="D276" s="11" t="inlineStr">
        <is>
          <t>ORITO</t>
        </is>
      </c>
      <c r="E276" s="11" t="inlineStr">
        <is>
          <t>00000000</t>
        </is>
      </c>
      <c r="F276" s="13" t="n">
        <v>88000</v>
      </c>
      <c r="G276" s="11" t="n">
        <v>9472429.369999999</v>
      </c>
    </row>
    <row r="277">
      <c r="A277" s="11" t="n">
        <v>276</v>
      </c>
      <c r="B277" s="12" t="n">
        <v>46027</v>
      </c>
      <c r="C277" s="11" t="inlineStr">
        <is>
          <t>COBRO COMISION DEPOSITOS ELECTRONICOS</t>
        </is>
      </c>
      <c r="D277" s="11" t="inlineStr">
        <is>
          <t>ORITO</t>
        </is>
      </c>
      <c r="E277" s="11" t="inlineStr">
        <is>
          <t>00000000</t>
        </is>
      </c>
      <c r="F277" s="13" t="n">
        <v>-1901</v>
      </c>
      <c r="G277" s="11" t="n">
        <v>9470528.369999999</v>
      </c>
    </row>
    <row r="278">
      <c r="A278" s="11" t="n">
        <v>277</v>
      </c>
      <c r="B278" s="12" t="n">
        <v>46027</v>
      </c>
      <c r="C278" s="11" t="inlineStr">
        <is>
          <t>GRAVAMEN A MOVIMIENTO FINANCIERO</t>
        </is>
      </c>
      <c r="D278" s="11" t="inlineStr">
        <is>
          <t>ORITO</t>
        </is>
      </c>
      <c r="E278" s="11" t="inlineStr">
        <is>
          <t>00000000</t>
        </is>
      </c>
      <c r="F278" s="13" t="n">
        <v>-8</v>
      </c>
      <c r="G278" s="11" t="n">
        <v>9470520.369999999</v>
      </c>
    </row>
    <row r="279">
      <c r="A279" s="11" t="n">
        <v>278</v>
      </c>
      <c r="B279" s="12" t="n">
        <v>46027</v>
      </c>
      <c r="C279" s="11" t="inlineStr">
        <is>
          <t>RETEFUENTE D E Y VOUCHER CREDIBANCO</t>
        </is>
      </c>
      <c r="D279" s="11" t="inlineStr">
        <is>
          <t>ORITO</t>
        </is>
      </c>
      <c r="E279" s="11" t="inlineStr">
        <is>
          <t>00000000</t>
        </is>
      </c>
      <c r="F279" s="13" t="n">
        <v>-1320</v>
      </c>
      <c r="G279" s="11" t="n">
        <v>9469200.369999999</v>
      </c>
    </row>
    <row r="280">
      <c r="A280" s="11" t="n">
        <v>279</v>
      </c>
      <c r="B280" s="12" t="n">
        <v>46027</v>
      </c>
      <c r="C280" s="11" t="inlineStr">
        <is>
          <t>GRAVAMEN A MOVIMIENTO FINANCIERO</t>
        </is>
      </c>
      <c r="D280" s="11" t="inlineStr">
        <is>
          <t>ORITO</t>
        </is>
      </c>
      <c r="E280" s="11" t="inlineStr">
        <is>
          <t>00000000</t>
        </is>
      </c>
      <c r="F280" s="13" t="n">
        <v>-5</v>
      </c>
      <c r="G280" s="11" t="n">
        <v>9469195.369999999</v>
      </c>
    </row>
    <row r="281">
      <c r="A281" s="11" t="n">
        <v>280</v>
      </c>
      <c r="B281" s="12" t="n">
        <v>46027</v>
      </c>
      <c r="C281" s="11" t="inlineStr">
        <is>
          <t>CONSIGNACION CREDIBANCO D E</t>
        </is>
      </c>
      <c r="D281" s="11" t="inlineStr">
        <is>
          <t>ORITO</t>
        </is>
      </c>
      <c r="E281" s="11" t="inlineStr">
        <is>
          <t>00000000</t>
        </is>
      </c>
      <c r="F281" s="13" t="n">
        <v>43200</v>
      </c>
      <c r="G281" s="11" t="n">
        <v>9512395.369999999</v>
      </c>
    </row>
    <row r="282">
      <c r="A282" s="11" t="n">
        <v>281</v>
      </c>
      <c r="B282" s="12" t="n">
        <v>46027</v>
      </c>
      <c r="C282" s="11" t="inlineStr">
        <is>
          <t>COBRO COMISION DEPOSITOS ELECTRONICOS</t>
        </is>
      </c>
      <c r="D282" s="11" t="inlineStr">
        <is>
          <t>ORITO</t>
        </is>
      </c>
      <c r="E282" s="11" t="inlineStr">
        <is>
          <t>00000000</t>
        </is>
      </c>
      <c r="F282" s="13" t="n">
        <v>-933</v>
      </c>
      <c r="G282" s="11" t="n">
        <v>9511462.369999999</v>
      </c>
    </row>
    <row r="283">
      <c r="A283" s="11" t="n">
        <v>282</v>
      </c>
      <c r="B283" s="12" t="n">
        <v>46027</v>
      </c>
      <c r="C283" s="11" t="inlineStr">
        <is>
          <t>GRAVAMEN A MOVIMIENTO FINANCIERO</t>
        </is>
      </c>
      <c r="D283" s="11" t="inlineStr">
        <is>
          <t>ORITO</t>
        </is>
      </c>
      <c r="E283" s="11" t="inlineStr">
        <is>
          <t>00000000</t>
        </is>
      </c>
      <c r="F283" s="13" t="n">
        <v>-4</v>
      </c>
      <c r="G283" s="11" t="n">
        <v>9511458.369999999</v>
      </c>
    </row>
    <row r="284">
      <c r="A284" s="11" t="n">
        <v>283</v>
      </c>
      <c r="B284" s="12" t="n">
        <v>46027</v>
      </c>
      <c r="C284" s="11" t="inlineStr">
        <is>
          <t>RETEFUENTE D E Y VOUCHER CREDIBANCO</t>
        </is>
      </c>
      <c r="D284" s="11" t="inlineStr">
        <is>
          <t>ORITO</t>
        </is>
      </c>
      <c r="E284" s="11" t="inlineStr">
        <is>
          <t>00000000</t>
        </is>
      </c>
      <c r="F284" s="13" t="n">
        <v>-648</v>
      </c>
      <c r="G284" s="11" t="n">
        <v>9510810.369999999</v>
      </c>
    </row>
    <row r="285">
      <c r="A285" s="11" t="n">
        <v>284</v>
      </c>
      <c r="B285" s="12" t="n">
        <v>46027</v>
      </c>
      <c r="C285" s="11" t="inlineStr">
        <is>
          <t>GRAVAMEN A MOVIMIENTO FINANCIERO</t>
        </is>
      </c>
      <c r="D285" s="11" t="inlineStr">
        <is>
          <t>ORITO</t>
        </is>
      </c>
      <c r="E285" s="11" t="inlineStr">
        <is>
          <t>00000000</t>
        </is>
      </c>
      <c r="F285" s="13" t="n">
        <v>-3</v>
      </c>
      <c r="G285" s="11" t="n">
        <v>9510807.369999999</v>
      </c>
    </row>
    <row r="286">
      <c r="A286" s="11" t="n">
        <v>285</v>
      </c>
      <c r="B286" s="12" t="n">
        <v>46027</v>
      </c>
      <c r="C286" s="11" t="inlineStr">
        <is>
          <t>CONSIGNACION CREDIBANCO D E</t>
        </is>
      </c>
      <c r="D286" s="11" t="inlineStr">
        <is>
          <t>ORITO</t>
        </is>
      </c>
      <c r="E286" s="11" t="inlineStr">
        <is>
          <t>00000000</t>
        </is>
      </c>
      <c r="F286" s="13" t="n">
        <v>156300</v>
      </c>
      <c r="G286" s="11" t="n">
        <v>9667107.369999999</v>
      </c>
    </row>
    <row r="287">
      <c r="A287" s="11" t="n">
        <v>286</v>
      </c>
      <c r="B287" s="12" t="n">
        <v>46027</v>
      </c>
      <c r="C287" s="11" t="inlineStr">
        <is>
          <t>COBRO COMISION DEPOSITOS ELECTRONICOS</t>
        </is>
      </c>
      <c r="D287" s="11" t="inlineStr">
        <is>
          <t>ORITO</t>
        </is>
      </c>
      <c r="E287" s="11" t="inlineStr">
        <is>
          <t>00000000</t>
        </is>
      </c>
      <c r="F287" s="13" t="n">
        <v>-3423</v>
      </c>
      <c r="G287" s="11" t="n">
        <v>9663684.369999999</v>
      </c>
    </row>
    <row r="288">
      <c r="A288" s="11" t="n">
        <v>287</v>
      </c>
      <c r="B288" s="12" t="n">
        <v>46027</v>
      </c>
      <c r="C288" s="11" t="inlineStr">
        <is>
          <t>GRAVAMEN A MOVIMIENTO FINANCIERO</t>
        </is>
      </c>
      <c r="D288" s="11" t="inlineStr">
        <is>
          <t>ORITO</t>
        </is>
      </c>
      <c r="E288" s="11" t="inlineStr">
        <is>
          <t>00000000</t>
        </is>
      </c>
      <c r="F288" s="13" t="n">
        <v>-14</v>
      </c>
      <c r="G288" s="11" t="n">
        <v>9663670.369999999</v>
      </c>
    </row>
    <row r="289">
      <c r="A289" s="11" t="n">
        <v>288</v>
      </c>
      <c r="B289" s="12" t="n">
        <v>46027</v>
      </c>
      <c r="C289" s="11" t="inlineStr">
        <is>
          <t>RETEFUENTE D E Y VOUCHER CREDIBANCO</t>
        </is>
      </c>
      <c r="D289" s="11" t="inlineStr">
        <is>
          <t>ORITO</t>
        </is>
      </c>
      <c r="E289" s="11" t="inlineStr">
        <is>
          <t>00000000</t>
        </is>
      </c>
      <c r="F289" s="13" t="n">
        <v>-2345</v>
      </c>
      <c r="G289" s="11" t="n">
        <v>9661325.369999999</v>
      </c>
    </row>
    <row r="290">
      <c r="A290" s="11" t="n">
        <v>289</v>
      </c>
      <c r="B290" s="12" t="n">
        <v>46027</v>
      </c>
      <c r="C290" s="11" t="inlineStr">
        <is>
          <t>GRAVAMEN A MOVIMIENTO FINANCIERO</t>
        </is>
      </c>
      <c r="D290" s="11" t="inlineStr">
        <is>
          <t>ORITO</t>
        </is>
      </c>
      <c r="E290" s="11" t="inlineStr">
        <is>
          <t>00000000</t>
        </is>
      </c>
      <c r="F290" s="13" t="n">
        <v>-9</v>
      </c>
      <c r="G290" s="11" t="n">
        <v>9661316.369999999</v>
      </c>
    </row>
    <row r="291">
      <c r="A291" s="11" t="n">
        <v>290</v>
      </c>
      <c r="B291" s="12" t="n">
        <v>46027</v>
      </c>
      <c r="C291" s="11" t="inlineStr">
        <is>
          <t>CONSIGNACION CREDIBANCO D E</t>
        </is>
      </c>
      <c r="D291" s="11" t="inlineStr">
        <is>
          <t>ORITO</t>
        </is>
      </c>
      <c r="E291" s="11" t="inlineStr">
        <is>
          <t>00000000</t>
        </is>
      </c>
      <c r="F291" s="13" t="n">
        <v>22300</v>
      </c>
      <c r="G291" s="11" t="n">
        <v>9683616.369999999</v>
      </c>
    </row>
    <row r="292">
      <c r="A292" s="11" t="n">
        <v>291</v>
      </c>
      <c r="B292" s="12" t="n">
        <v>46027</v>
      </c>
      <c r="C292" s="11" t="inlineStr">
        <is>
          <t>COBRO COMISION DEPOSITOS ELECTRONICOS</t>
        </is>
      </c>
      <c r="D292" s="11" t="inlineStr">
        <is>
          <t>ORITO</t>
        </is>
      </c>
      <c r="E292" s="11" t="inlineStr">
        <is>
          <t>00000000</t>
        </is>
      </c>
      <c r="F292" s="13" t="n">
        <v>-488</v>
      </c>
      <c r="G292" s="11" t="n">
        <v>9683128.369999999</v>
      </c>
    </row>
    <row r="293">
      <c r="A293" s="11" t="n">
        <v>292</v>
      </c>
      <c r="B293" s="12" t="n">
        <v>46027</v>
      </c>
      <c r="C293" s="11" t="inlineStr">
        <is>
          <t>GRAVAMEN A MOVIMIENTO FINANCIERO</t>
        </is>
      </c>
      <c r="D293" s="11" t="inlineStr">
        <is>
          <t>ORITO</t>
        </is>
      </c>
      <c r="E293" s="11" t="inlineStr">
        <is>
          <t>00000000</t>
        </is>
      </c>
      <c r="F293" s="13" t="n">
        <v>-2</v>
      </c>
      <c r="G293" s="11" t="n">
        <v>9683126.369999999</v>
      </c>
    </row>
    <row r="294">
      <c r="A294" s="11" t="n">
        <v>293</v>
      </c>
      <c r="B294" s="12" t="n">
        <v>46027</v>
      </c>
      <c r="C294" s="11" t="inlineStr">
        <is>
          <t>RETEFUENTE D E Y VOUCHER CREDIBANCO</t>
        </is>
      </c>
      <c r="D294" s="11" t="inlineStr">
        <is>
          <t>ORITO</t>
        </is>
      </c>
      <c r="E294" s="11" t="inlineStr">
        <is>
          <t>00000000</t>
        </is>
      </c>
      <c r="F294" s="13" t="n">
        <v>-335</v>
      </c>
      <c r="G294" s="11" t="n">
        <v>9682791.369999999</v>
      </c>
    </row>
    <row r="295">
      <c r="A295" s="11" t="n">
        <v>294</v>
      </c>
      <c r="B295" s="12" t="n">
        <v>46027</v>
      </c>
      <c r="C295" s="11" t="inlineStr">
        <is>
          <t>GRAVAMEN A MOVIMIENTO FINANCIERO</t>
        </is>
      </c>
      <c r="D295" s="11" t="inlineStr">
        <is>
          <t>ORITO</t>
        </is>
      </c>
      <c r="E295" s="11" t="inlineStr">
        <is>
          <t>00000000</t>
        </is>
      </c>
      <c r="F295" s="13" t="n">
        <v>-1</v>
      </c>
      <c r="G295" s="11" t="n">
        <v>9682790.369999999</v>
      </c>
    </row>
    <row r="296">
      <c r="A296" s="11" t="n">
        <v>295</v>
      </c>
      <c r="B296" s="12" t="n">
        <v>46027</v>
      </c>
      <c r="C296" s="11" t="inlineStr">
        <is>
          <t>CONSIGNACION CREDIBANCO D E</t>
        </is>
      </c>
      <c r="D296" s="11" t="inlineStr">
        <is>
          <t>ORITO</t>
        </is>
      </c>
      <c r="E296" s="11" t="inlineStr">
        <is>
          <t>00000000</t>
        </is>
      </c>
      <c r="F296" s="13" t="n">
        <v>200900</v>
      </c>
      <c r="G296" s="11" t="n">
        <v>9883690.369999999</v>
      </c>
    </row>
    <row r="297">
      <c r="A297" s="11" t="n">
        <v>296</v>
      </c>
      <c r="B297" s="12" t="n">
        <v>46027</v>
      </c>
      <c r="C297" s="11" t="inlineStr">
        <is>
          <t>COBRO COMISION DEPOSITOS ELECTRONICOS</t>
        </is>
      </c>
      <c r="D297" s="11" t="inlineStr">
        <is>
          <t>ORITO</t>
        </is>
      </c>
      <c r="E297" s="11" t="inlineStr">
        <is>
          <t>00000000</t>
        </is>
      </c>
      <c r="F297" s="13" t="n">
        <v>-4400</v>
      </c>
      <c r="G297" s="11" t="n">
        <v>9879290.369999999</v>
      </c>
    </row>
    <row r="298">
      <c r="A298" s="11" t="n">
        <v>297</v>
      </c>
      <c r="B298" s="12" t="n">
        <v>46027</v>
      </c>
      <c r="C298" s="11" t="inlineStr">
        <is>
          <t>GRAVAMEN A MOVIMIENTO FINANCIERO</t>
        </is>
      </c>
      <c r="D298" s="11" t="inlineStr">
        <is>
          <t>ORITO</t>
        </is>
      </c>
      <c r="E298" s="11" t="inlineStr">
        <is>
          <t>00000000</t>
        </is>
      </c>
      <c r="F298" s="13" t="n">
        <v>-18</v>
      </c>
      <c r="G298" s="11" t="n">
        <v>9879272.369999999</v>
      </c>
    </row>
    <row r="299">
      <c r="A299" s="11" t="n">
        <v>298</v>
      </c>
      <c r="B299" s="12" t="n">
        <v>46027</v>
      </c>
      <c r="C299" s="11" t="inlineStr">
        <is>
          <t>RETEFUENTE D E Y VOUCHER CREDIBANCO</t>
        </is>
      </c>
      <c r="D299" s="11" t="inlineStr">
        <is>
          <t>ORITO</t>
        </is>
      </c>
      <c r="E299" s="11" t="inlineStr">
        <is>
          <t>00000000</t>
        </is>
      </c>
      <c r="F299" s="13" t="n">
        <v>-3014</v>
      </c>
      <c r="G299" s="11" t="n">
        <v>9876258.369999999</v>
      </c>
    </row>
    <row r="300">
      <c r="A300" s="11" t="n">
        <v>299</v>
      </c>
      <c r="B300" s="12" t="n">
        <v>46027</v>
      </c>
      <c r="C300" s="11" t="inlineStr">
        <is>
          <t>GRAVAMEN A MOVIMIENTO FINANCIERO</t>
        </is>
      </c>
      <c r="D300" s="11" t="inlineStr">
        <is>
          <t>ORITO</t>
        </is>
      </c>
      <c r="E300" s="11" t="inlineStr">
        <is>
          <t>00000000</t>
        </is>
      </c>
      <c r="F300" s="13" t="n">
        <v>-12</v>
      </c>
      <c r="G300" s="11" t="n">
        <v>9876246.369999999</v>
      </c>
    </row>
    <row r="301">
      <c r="A301" s="11" t="n">
        <v>300</v>
      </c>
      <c r="B301" s="12" t="n">
        <v>46027</v>
      </c>
      <c r="C301" s="11" t="inlineStr">
        <is>
          <t>CONSIGNACION CREDIBANCO D E</t>
        </is>
      </c>
      <c r="D301" s="11" t="inlineStr">
        <is>
          <t>ORITO</t>
        </is>
      </c>
      <c r="E301" s="11" t="inlineStr">
        <is>
          <t>00000000</t>
        </is>
      </c>
      <c r="F301" s="13" t="n">
        <v>34000</v>
      </c>
      <c r="G301" s="11" t="n">
        <v>9910246.369999999</v>
      </c>
    </row>
    <row r="302">
      <c r="A302" s="11" t="n">
        <v>301</v>
      </c>
      <c r="B302" s="12" t="n">
        <v>46027</v>
      </c>
      <c r="C302" s="11" t="inlineStr">
        <is>
          <t>COBRO COMISION DEPOSITOS ELECTRONICOS</t>
        </is>
      </c>
      <c r="D302" s="11" t="inlineStr">
        <is>
          <t>ORITO</t>
        </is>
      </c>
      <c r="E302" s="11" t="inlineStr">
        <is>
          <t>00000000</t>
        </is>
      </c>
      <c r="F302" s="13" t="n">
        <v>-700</v>
      </c>
      <c r="G302" s="11" t="n">
        <v>9909546.369999999</v>
      </c>
    </row>
    <row r="303">
      <c r="A303" s="11" t="n">
        <v>302</v>
      </c>
      <c r="B303" s="12" t="n">
        <v>46027</v>
      </c>
      <c r="C303" s="11" t="inlineStr">
        <is>
          <t>GRAVAMEN A MOVIMIENTO FINANCIERO</t>
        </is>
      </c>
      <c r="D303" s="11" t="inlineStr">
        <is>
          <t>ORITO</t>
        </is>
      </c>
      <c r="E303" s="11" t="inlineStr">
        <is>
          <t>00000000</t>
        </is>
      </c>
      <c r="F303" s="13" t="n">
        <v>-3</v>
      </c>
      <c r="G303" s="11" t="n">
        <v>9909543.369999999</v>
      </c>
    </row>
    <row r="304">
      <c r="A304" s="11" t="n">
        <v>303</v>
      </c>
      <c r="B304" s="12" t="n">
        <v>46027</v>
      </c>
      <c r="C304" s="11" t="inlineStr">
        <is>
          <t>RETEFUENTE D E Y VOUCHER CREDIBANCO</t>
        </is>
      </c>
      <c r="D304" s="11" t="inlineStr">
        <is>
          <t>ORITO</t>
        </is>
      </c>
      <c r="E304" s="11" t="inlineStr">
        <is>
          <t>00000000</t>
        </is>
      </c>
      <c r="F304" s="13" t="n">
        <v>-510</v>
      </c>
      <c r="G304" s="11" t="n">
        <v>9909033.369999999</v>
      </c>
    </row>
    <row r="305">
      <c r="A305" s="11" t="n">
        <v>304</v>
      </c>
      <c r="B305" s="12" t="n">
        <v>46027</v>
      </c>
      <c r="C305" s="11" t="inlineStr">
        <is>
          <t>GRAVAMEN A MOVIMIENTO FINANCIERO</t>
        </is>
      </c>
      <c r="D305" s="11" t="inlineStr">
        <is>
          <t>ORITO</t>
        </is>
      </c>
      <c r="E305" s="11" t="inlineStr">
        <is>
          <t>00000000</t>
        </is>
      </c>
      <c r="F305" s="13" t="n">
        <v>-2</v>
      </c>
      <c r="G305" s="11" t="n">
        <v>9909031.369999999</v>
      </c>
    </row>
    <row r="306">
      <c r="A306" s="11" t="n">
        <v>305</v>
      </c>
      <c r="B306" s="12" t="n">
        <v>46027</v>
      </c>
      <c r="C306" s="11" t="inlineStr">
        <is>
          <t>CONSIGNACION CREDIBANCO D E</t>
        </is>
      </c>
      <c r="D306" s="11" t="inlineStr">
        <is>
          <t>ORITO</t>
        </is>
      </c>
      <c r="E306" s="11" t="inlineStr">
        <is>
          <t>00000000</t>
        </is>
      </c>
      <c r="F306" s="13" t="n">
        <v>21800</v>
      </c>
      <c r="G306" s="11" t="n">
        <v>9930831.369999999</v>
      </c>
    </row>
    <row r="307">
      <c r="A307" s="11" t="n">
        <v>306</v>
      </c>
      <c r="B307" s="12" t="n">
        <v>46027</v>
      </c>
      <c r="C307" s="11" t="inlineStr">
        <is>
          <t>COBRO COMISION DEPOSITOS ELECTRONICOS</t>
        </is>
      </c>
      <c r="D307" s="11" t="inlineStr">
        <is>
          <t>ORITO</t>
        </is>
      </c>
      <c r="E307" s="11" t="inlineStr">
        <is>
          <t>00000000</t>
        </is>
      </c>
      <c r="F307" s="13" t="n">
        <v>-449</v>
      </c>
      <c r="G307" s="11" t="n">
        <v>9930382.369999999</v>
      </c>
    </row>
    <row r="308">
      <c r="A308" s="11" t="n">
        <v>307</v>
      </c>
      <c r="B308" s="12" t="n">
        <v>46027</v>
      </c>
      <c r="C308" s="11" t="inlineStr">
        <is>
          <t>GRAVAMEN A MOVIMIENTO FINANCIERO</t>
        </is>
      </c>
      <c r="D308" s="11" t="inlineStr">
        <is>
          <t>ORITO</t>
        </is>
      </c>
      <c r="E308" s="11" t="inlineStr">
        <is>
          <t>00000000</t>
        </is>
      </c>
      <c r="F308" s="13" t="n">
        <v>-2</v>
      </c>
      <c r="G308" s="11" t="n">
        <v>9930380.369999999</v>
      </c>
    </row>
    <row r="309">
      <c r="A309" s="11" t="n">
        <v>308</v>
      </c>
      <c r="B309" s="12" t="n">
        <v>46027</v>
      </c>
      <c r="C309" s="11" t="inlineStr">
        <is>
          <t>RETEFUENTE D E Y VOUCHER CREDIBANCO</t>
        </is>
      </c>
      <c r="D309" s="11" t="inlineStr">
        <is>
          <t>ORITO</t>
        </is>
      </c>
      <c r="E309" s="11" t="inlineStr">
        <is>
          <t>00000000</t>
        </is>
      </c>
      <c r="F309" s="13" t="n">
        <v>-327</v>
      </c>
      <c r="G309" s="11" t="n">
        <v>9930053.369999999</v>
      </c>
    </row>
    <row r="310">
      <c r="A310" s="11" t="n">
        <v>309</v>
      </c>
      <c r="B310" s="12" t="n">
        <v>46027</v>
      </c>
      <c r="C310" s="11" t="inlineStr">
        <is>
          <t>GRAVAMEN A MOVIMIENTO FINANCIERO</t>
        </is>
      </c>
      <c r="D310" s="11" t="inlineStr">
        <is>
          <t>ORITO</t>
        </is>
      </c>
      <c r="E310" s="11" t="inlineStr">
        <is>
          <t>00000000</t>
        </is>
      </c>
      <c r="F310" s="13" t="n">
        <v>-1</v>
      </c>
      <c r="G310" s="11" t="n">
        <v>9930052.369999999</v>
      </c>
    </row>
    <row r="311">
      <c r="A311" s="11" t="n">
        <v>310</v>
      </c>
      <c r="B311" s="12" t="n">
        <v>46027</v>
      </c>
      <c r="C311" s="11" t="inlineStr">
        <is>
          <t>CONSIGNACION CREDIBANCO D E</t>
        </is>
      </c>
      <c r="D311" s="11" t="inlineStr">
        <is>
          <t>ORITO</t>
        </is>
      </c>
      <c r="E311" s="11" t="inlineStr">
        <is>
          <t>00000000</t>
        </is>
      </c>
      <c r="F311" s="13" t="n">
        <v>28300</v>
      </c>
      <c r="G311" s="11" t="n">
        <v>9958352.369999999</v>
      </c>
    </row>
    <row r="312">
      <c r="A312" s="11" t="n">
        <v>311</v>
      </c>
      <c r="B312" s="12" t="n">
        <v>46027</v>
      </c>
      <c r="C312" s="11" t="inlineStr">
        <is>
          <t>COBRO COMISION DEPOSITOS ELECTRONICOS</t>
        </is>
      </c>
      <c r="D312" s="11" t="inlineStr">
        <is>
          <t>ORITO</t>
        </is>
      </c>
      <c r="E312" s="11" t="inlineStr">
        <is>
          <t>00000000</t>
        </is>
      </c>
      <c r="F312" s="13" t="n">
        <v>-611</v>
      </c>
      <c r="G312" s="11" t="n">
        <v>9957741.369999999</v>
      </c>
    </row>
    <row r="313">
      <c r="A313" s="11" t="n">
        <v>312</v>
      </c>
      <c r="B313" s="12" t="n">
        <v>46027</v>
      </c>
      <c r="C313" s="11" t="inlineStr">
        <is>
          <t>GRAVAMEN A MOVIMIENTO FINANCIERO</t>
        </is>
      </c>
      <c r="D313" s="11" t="inlineStr">
        <is>
          <t>ORITO</t>
        </is>
      </c>
      <c r="E313" s="11" t="inlineStr">
        <is>
          <t>00000000</t>
        </is>
      </c>
      <c r="F313" s="13" t="n">
        <v>-2</v>
      </c>
      <c r="G313" s="11" t="n">
        <v>9957739.369999999</v>
      </c>
    </row>
    <row r="314">
      <c r="A314" s="11" t="n">
        <v>313</v>
      </c>
      <c r="B314" s="12" t="n">
        <v>46027</v>
      </c>
      <c r="C314" s="11" t="inlineStr">
        <is>
          <t>RETEFUENTE D E Y VOUCHER CREDIBANCO</t>
        </is>
      </c>
      <c r="D314" s="11" t="inlineStr">
        <is>
          <t>ORITO</t>
        </is>
      </c>
      <c r="E314" s="11" t="inlineStr">
        <is>
          <t>00000000</t>
        </is>
      </c>
      <c r="F314" s="13" t="n">
        <v>-425</v>
      </c>
      <c r="G314" s="11" t="n">
        <v>9957314.369999999</v>
      </c>
    </row>
    <row r="315">
      <c r="A315" s="11" t="n">
        <v>314</v>
      </c>
      <c r="B315" s="12" t="n">
        <v>46027</v>
      </c>
      <c r="C315" s="11" t="inlineStr">
        <is>
          <t>GRAVAMEN A MOVIMIENTO FINANCIERO</t>
        </is>
      </c>
      <c r="D315" s="11" t="inlineStr">
        <is>
          <t>ORITO</t>
        </is>
      </c>
      <c r="E315" s="11" t="inlineStr">
        <is>
          <t>00000000</t>
        </is>
      </c>
      <c r="F315" s="13" t="n">
        <v>-2</v>
      </c>
      <c r="G315" s="11" t="n">
        <v>9957312.369999999</v>
      </c>
    </row>
    <row r="316">
      <c r="A316" s="11" t="n">
        <v>315</v>
      </c>
      <c r="B316" s="12" t="n">
        <v>46027</v>
      </c>
      <c r="C316" s="11" t="inlineStr">
        <is>
          <t>CONSIGNACION CREDIBANCO D E</t>
        </is>
      </c>
      <c r="D316" s="11" t="inlineStr">
        <is>
          <t>ORITO</t>
        </is>
      </c>
      <c r="E316" s="11" t="inlineStr">
        <is>
          <t>00000000</t>
        </is>
      </c>
      <c r="F316" s="13" t="n">
        <v>122600</v>
      </c>
      <c r="G316" s="11" t="n">
        <v>10079912.37</v>
      </c>
    </row>
    <row r="317">
      <c r="A317" s="11" t="n">
        <v>316</v>
      </c>
      <c r="B317" s="12" t="n">
        <v>46027</v>
      </c>
      <c r="C317" s="11" t="inlineStr">
        <is>
          <t>COBRO COMISION DEPOSITOS ELECTRONICOS</t>
        </is>
      </c>
      <c r="D317" s="11" t="inlineStr">
        <is>
          <t>ORITO</t>
        </is>
      </c>
      <c r="E317" s="11" t="inlineStr">
        <is>
          <t>00000000</t>
        </is>
      </c>
      <c r="F317" s="13" t="n">
        <v>-2648</v>
      </c>
      <c r="G317" s="11" t="n">
        <v>10077264.37</v>
      </c>
    </row>
    <row r="318">
      <c r="A318" s="11" t="n">
        <v>317</v>
      </c>
      <c r="B318" s="12" t="n">
        <v>46027</v>
      </c>
      <c r="C318" s="11" t="inlineStr">
        <is>
          <t>GRAVAMEN A MOVIMIENTO FINANCIERO</t>
        </is>
      </c>
      <c r="D318" s="11" t="inlineStr">
        <is>
          <t>ORITO</t>
        </is>
      </c>
      <c r="E318" s="11" t="inlineStr">
        <is>
          <t>00000000</t>
        </is>
      </c>
      <c r="F318" s="13" t="n">
        <v>-11</v>
      </c>
      <c r="G318" s="11" t="n">
        <v>10077253.37</v>
      </c>
    </row>
    <row r="319">
      <c r="A319" s="11" t="n">
        <v>318</v>
      </c>
      <c r="B319" s="12" t="n">
        <v>46027</v>
      </c>
      <c r="C319" s="11" t="inlineStr">
        <is>
          <t>RETEFUENTE D E Y VOUCHER CREDIBANCO</t>
        </is>
      </c>
      <c r="D319" s="11" t="inlineStr">
        <is>
          <t>ORITO</t>
        </is>
      </c>
      <c r="E319" s="11" t="inlineStr">
        <is>
          <t>00000000</t>
        </is>
      </c>
      <c r="F319" s="13" t="n">
        <v>-1839</v>
      </c>
      <c r="G319" s="11" t="n">
        <v>10075414.37</v>
      </c>
    </row>
    <row r="320">
      <c r="A320" s="11" t="n">
        <v>319</v>
      </c>
      <c r="B320" s="12" t="n">
        <v>46027</v>
      </c>
      <c r="C320" s="11" t="inlineStr">
        <is>
          <t>GRAVAMEN A MOVIMIENTO FINANCIERO</t>
        </is>
      </c>
      <c r="D320" s="11" t="inlineStr">
        <is>
          <t>ORITO</t>
        </is>
      </c>
      <c r="E320" s="11" t="inlineStr">
        <is>
          <t>00000000</t>
        </is>
      </c>
      <c r="F320" s="13" t="n">
        <v>-7</v>
      </c>
      <c r="G320" s="11" t="n">
        <v>10075407.37</v>
      </c>
    </row>
    <row r="321">
      <c r="A321" s="11" t="n">
        <v>320</v>
      </c>
      <c r="B321" s="12" t="n">
        <v>46027</v>
      </c>
      <c r="C321" s="11" t="inlineStr">
        <is>
          <t>CONSIGNACION CREDIBANCO D E</t>
        </is>
      </c>
      <c r="D321" s="11" t="inlineStr">
        <is>
          <t>ORITO</t>
        </is>
      </c>
      <c r="E321" s="11" t="inlineStr">
        <is>
          <t>00000000</t>
        </is>
      </c>
      <c r="F321" s="13" t="n">
        <v>28683</v>
      </c>
      <c r="G321" s="11" t="n">
        <v>10104090.37</v>
      </c>
    </row>
    <row r="322">
      <c r="A322" s="11" t="n">
        <v>321</v>
      </c>
      <c r="B322" s="12" t="n">
        <v>46027</v>
      </c>
      <c r="C322" s="11" t="inlineStr">
        <is>
          <t>COBRO COMISION DEPOSITOS ELECTRONICOS</t>
        </is>
      </c>
      <c r="D322" s="11" t="inlineStr">
        <is>
          <t>ORITO</t>
        </is>
      </c>
      <c r="E322" s="11" t="inlineStr">
        <is>
          <t>00000000</t>
        </is>
      </c>
      <c r="F322" s="13" t="n">
        <v>-620</v>
      </c>
      <c r="G322" s="11" t="n">
        <v>10103470.37</v>
      </c>
    </row>
    <row r="323">
      <c r="A323" s="11" t="n">
        <v>322</v>
      </c>
      <c r="B323" s="12" t="n">
        <v>46027</v>
      </c>
      <c r="C323" s="11" t="inlineStr">
        <is>
          <t>GRAVAMEN A MOVIMIENTO FINANCIERO</t>
        </is>
      </c>
      <c r="D323" s="11" t="inlineStr">
        <is>
          <t>ORITO</t>
        </is>
      </c>
      <c r="E323" s="11" t="inlineStr">
        <is>
          <t>00000000</t>
        </is>
      </c>
      <c r="F323" s="13" t="n">
        <v>-2</v>
      </c>
      <c r="G323" s="11" t="n">
        <v>10103468.37</v>
      </c>
    </row>
    <row r="324">
      <c r="A324" s="11" t="n">
        <v>323</v>
      </c>
      <c r="B324" s="12" t="n">
        <v>46027</v>
      </c>
      <c r="C324" s="11" t="inlineStr">
        <is>
          <t>RETEFUENTE D E Y VOUCHER CREDIBANCO</t>
        </is>
      </c>
      <c r="D324" s="11" t="inlineStr">
        <is>
          <t>ORITO</t>
        </is>
      </c>
      <c r="E324" s="11" t="inlineStr">
        <is>
          <t>00000000</t>
        </is>
      </c>
      <c r="F324" s="13" t="n">
        <v>-430</v>
      </c>
      <c r="G324" s="11" t="n">
        <v>10103038.37</v>
      </c>
    </row>
    <row r="325">
      <c r="A325" s="11" t="n">
        <v>324</v>
      </c>
      <c r="B325" s="12" t="n">
        <v>46027</v>
      </c>
      <c r="C325" s="11" t="inlineStr">
        <is>
          <t>GRAVAMEN A MOVIMIENTO FINANCIERO</t>
        </is>
      </c>
      <c r="D325" s="11" t="inlineStr">
        <is>
          <t>ORITO</t>
        </is>
      </c>
      <c r="E325" s="11" t="inlineStr">
        <is>
          <t>00000000</t>
        </is>
      </c>
      <c r="F325" s="13" t="n">
        <v>-2</v>
      </c>
      <c r="G325" s="11" t="n">
        <v>10103036.37</v>
      </c>
    </row>
    <row r="326">
      <c r="A326" s="11" t="n">
        <v>325</v>
      </c>
      <c r="B326" s="12" t="n">
        <v>46027</v>
      </c>
      <c r="C326" s="11" t="inlineStr">
        <is>
          <t>CONSIGNACION CREDIBANCO D E</t>
        </is>
      </c>
      <c r="D326" s="11" t="inlineStr">
        <is>
          <t>ORITO</t>
        </is>
      </c>
      <c r="E326" s="11" t="inlineStr">
        <is>
          <t>00000000</t>
        </is>
      </c>
      <c r="F326" s="13" t="n">
        <v>267200</v>
      </c>
      <c r="G326" s="11" t="n">
        <v>10370236.37</v>
      </c>
    </row>
    <row r="327">
      <c r="A327" s="11" t="n">
        <v>326</v>
      </c>
      <c r="B327" s="12" t="n">
        <v>46027</v>
      </c>
      <c r="C327" s="11" t="inlineStr">
        <is>
          <t>COBRO COMISION DEPOSITOS ELECTRONICOS</t>
        </is>
      </c>
      <c r="D327" s="11" t="inlineStr">
        <is>
          <t>ORITO</t>
        </is>
      </c>
      <c r="E327" s="11" t="inlineStr">
        <is>
          <t>00000000</t>
        </is>
      </c>
      <c r="F327" s="13" t="n">
        <v>-5772</v>
      </c>
      <c r="G327" s="11" t="n">
        <v>10364464.37</v>
      </c>
    </row>
    <row r="328">
      <c r="A328" s="11" t="n">
        <v>327</v>
      </c>
      <c r="B328" s="12" t="n">
        <v>46027</v>
      </c>
      <c r="C328" s="11" t="inlineStr">
        <is>
          <t>GRAVAMEN A MOVIMIENTO FINANCIERO</t>
        </is>
      </c>
      <c r="D328" s="11" t="inlineStr">
        <is>
          <t>ORITO</t>
        </is>
      </c>
      <c r="E328" s="11" t="inlineStr">
        <is>
          <t>00000000</t>
        </is>
      </c>
      <c r="F328" s="13" t="n">
        <v>-23</v>
      </c>
      <c r="G328" s="11" t="n">
        <v>10364441.37</v>
      </c>
    </row>
    <row r="329">
      <c r="A329" s="11" t="n">
        <v>328</v>
      </c>
      <c r="B329" s="12" t="n">
        <v>46027</v>
      </c>
      <c r="C329" s="11" t="inlineStr">
        <is>
          <t>RETEFUENTE D E Y VOUCHER CREDIBANCO</t>
        </is>
      </c>
      <c r="D329" s="11" t="inlineStr">
        <is>
          <t>ORITO</t>
        </is>
      </c>
      <c r="E329" s="11" t="inlineStr">
        <is>
          <t>00000000</t>
        </is>
      </c>
      <c r="F329" s="13" t="n">
        <v>-4008</v>
      </c>
      <c r="G329" s="11" t="n">
        <v>10360433.37</v>
      </c>
    </row>
    <row r="330">
      <c r="A330" s="11" t="n">
        <v>329</v>
      </c>
      <c r="B330" s="12" t="n">
        <v>46027</v>
      </c>
      <c r="C330" s="11" t="inlineStr">
        <is>
          <t>GRAVAMEN A MOVIMIENTO FINANCIERO</t>
        </is>
      </c>
      <c r="D330" s="11" t="inlineStr">
        <is>
          <t>ORITO</t>
        </is>
      </c>
      <c r="E330" s="11" t="inlineStr">
        <is>
          <t>00000000</t>
        </is>
      </c>
      <c r="F330" s="13" t="n">
        <v>-16</v>
      </c>
      <c r="G330" s="11" t="n">
        <v>10360417.37</v>
      </c>
    </row>
    <row r="331">
      <c r="A331" s="11" t="n">
        <v>330</v>
      </c>
      <c r="B331" s="12" t="n">
        <v>46027</v>
      </c>
      <c r="C331" s="11" t="inlineStr">
        <is>
          <t>CONSIGNACION CREDIBANCO D E</t>
        </is>
      </c>
      <c r="D331" s="11" t="inlineStr">
        <is>
          <t>ORITO</t>
        </is>
      </c>
      <c r="E331" s="11" t="inlineStr">
        <is>
          <t>00000000</t>
        </is>
      </c>
      <c r="F331" s="13" t="n">
        <v>20500</v>
      </c>
      <c r="G331" s="11" t="n">
        <v>10380917.37</v>
      </c>
    </row>
    <row r="332">
      <c r="A332" s="11" t="n">
        <v>331</v>
      </c>
      <c r="B332" s="12" t="n">
        <v>46027</v>
      </c>
      <c r="C332" s="11" t="inlineStr">
        <is>
          <t>COBRO COMISION DEPOSITOS ELECTRONICOS</t>
        </is>
      </c>
      <c r="D332" s="11" t="inlineStr">
        <is>
          <t>ORITO</t>
        </is>
      </c>
      <c r="E332" s="11" t="inlineStr">
        <is>
          <t>00000000</t>
        </is>
      </c>
      <c r="F332" s="13" t="n">
        <v>-449</v>
      </c>
      <c r="G332" s="11" t="n">
        <v>10380468.37</v>
      </c>
    </row>
    <row r="333">
      <c r="A333" s="11" t="n">
        <v>332</v>
      </c>
      <c r="B333" s="12" t="n">
        <v>46027</v>
      </c>
      <c r="C333" s="11" t="inlineStr">
        <is>
          <t>GRAVAMEN A MOVIMIENTO FINANCIERO</t>
        </is>
      </c>
      <c r="D333" s="11" t="inlineStr">
        <is>
          <t>ORITO</t>
        </is>
      </c>
      <c r="E333" s="11" t="inlineStr">
        <is>
          <t>00000000</t>
        </is>
      </c>
      <c r="F333" s="13" t="n">
        <v>-2</v>
      </c>
      <c r="G333" s="11" t="n">
        <v>10380466.37</v>
      </c>
    </row>
    <row r="334">
      <c r="A334" s="11" t="n">
        <v>333</v>
      </c>
      <c r="B334" s="12" t="n">
        <v>46027</v>
      </c>
      <c r="C334" s="11" t="inlineStr">
        <is>
          <t>RETEFUENTE D E Y VOUCHER CREDIBANCO</t>
        </is>
      </c>
      <c r="D334" s="11" t="inlineStr">
        <is>
          <t>ORITO</t>
        </is>
      </c>
      <c r="E334" s="11" t="inlineStr">
        <is>
          <t>00000000</t>
        </is>
      </c>
      <c r="F334" s="13" t="n">
        <v>-308</v>
      </c>
      <c r="G334" s="11" t="n">
        <v>10380158.37</v>
      </c>
    </row>
    <row r="335">
      <c r="A335" s="11" t="n">
        <v>334</v>
      </c>
      <c r="B335" s="12" t="n">
        <v>46027</v>
      </c>
      <c r="C335" s="11" t="inlineStr">
        <is>
          <t>GRAVAMEN A MOVIMIENTO FINANCIERO</t>
        </is>
      </c>
      <c r="D335" s="11" t="inlineStr">
        <is>
          <t>ORITO</t>
        </is>
      </c>
      <c r="E335" s="11" t="inlineStr">
        <is>
          <t>00000000</t>
        </is>
      </c>
      <c r="F335" s="13" t="n">
        <v>-1</v>
      </c>
      <c r="G335" s="11" t="n">
        <v>10380157.37</v>
      </c>
    </row>
    <row r="336">
      <c r="A336" s="11" t="n">
        <v>335</v>
      </c>
      <c r="B336" s="12" t="n">
        <v>46027</v>
      </c>
      <c r="C336" s="11" t="inlineStr">
        <is>
          <t>CONSIGNACION CREDIBANCO D E</t>
        </is>
      </c>
      <c r="D336" s="11" t="inlineStr">
        <is>
          <t>ORITO</t>
        </is>
      </c>
      <c r="E336" s="11" t="inlineStr">
        <is>
          <t>00000000</t>
        </is>
      </c>
      <c r="F336" s="13" t="n">
        <v>63100</v>
      </c>
      <c r="G336" s="11" t="n">
        <v>10443257.37</v>
      </c>
    </row>
    <row r="337">
      <c r="A337" s="11" t="n">
        <v>336</v>
      </c>
      <c r="B337" s="12" t="n">
        <v>46027</v>
      </c>
      <c r="C337" s="11" t="inlineStr">
        <is>
          <t>COBRO COMISION DEPOSITOS ELECTRONICOS</t>
        </is>
      </c>
      <c r="D337" s="11" t="inlineStr">
        <is>
          <t>ORITO</t>
        </is>
      </c>
      <c r="E337" s="11" t="inlineStr">
        <is>
          <t>00000000</t>
        </is>
      </c>
      <c r="F337" s="13" t="n">
        <v>-1382</v>
      </c>
      <c r="G337" s="11" t="n">
        <v>10441875.37</v>
      </c>
    </row>
    <row r="338">
      <c r="A338" s="11" t="n">
        <v>337</v>
      </c>
      <c r="B338" s="12" t="n">
        <v>46027</v>
      </c>
      <c r="C338" s="11" t="inlineStr">
        <is>
          <t>GRAVAMEN A MOVIMIENTO FINANCIERO</t>
        </is>
      </c>
      <c r="D338" s="11" t="inlineStr">
        <is>
          <t>ORITO</t>
        </is>
      </c>
      <c r="E338" s="11" t="inlineStr">
        <is>
          <t>00000000</t>
        </is>
      </c>
      <c r="F338" s="13" t="n">
        <v>-6</v>
      </c>
      <c r="G338" s="11" t="n">
        <v>10441869.37</v>
      </c>
    </row>
    <row r="339">
      <c r="A339" s="11" t="n">
        <v>338</v>
      </c>
      <c r="B339" s="12" t="n">
        <v>46027</v>
      </c>
      <c r="C339" s="11" t="inlineStr">
        <is>
          <t>RETEFUENTE D E Y VOUCHER CREDIBANCO</t>
        </is>
      </c>
      <c r="D339" s="11" t="inlineStr">
        <is>
          <t>ORITO</t>
        </is>
      </c>
      <c r="E339" s="11" t="inlineStr">
        <is>
          <t>00000000</t>
        </is>
      </c>
      <c r="F339" s="13" t="n">
        <v>-947</v>
      </c>
      <c r="G339" s="11" t="n">
        <v>10440922.37</v>
      </c>
    </row>
    <row r="340">
      <c r="A340" s="11" t="n">
        <v>339</v>
      </c>
      <c r="B340" s="12" t="n">
        <v>46027</v>
      </c>
      <c r="C340" s="11" t="inlineStr">
        <is>
          <t>GRAVAMEN A MOVIMIENTO FINANCIERO</t>
        </is>
      </c>
      <c r="D340" s="11" t="inlineStr">
        <is>
          <t>ORITO</t>
        </is>
      </c>
      <c r="E340" s="11" t="inlineStr">
        <is>
          <t>00000000</t>
        </is>
      </c>
      <c r="F340" s="13" t="n">
        <v>-4</v>
      </c>
      <c r="G340" s="11" t="n">
        <v>10440918.37</v>
      </c>
    </row>
    <row r="341">
      <c r="A341" s="11" t="n">
        <v>340</v>
      </c>
      <c r="B341" s="12" t="n">
        <v>46027</v>
      </c>
      <c r="C341" s="11" t="inlineStr">
        <is>
          <t>DEPOSITOS ELECTRONICOS TRANSACCION MASTERCA</t>
        </is>
      </c>
      <c r="D341" s="11" t="inlineStr">
        <is>
          <t>ORITO</t>
        </is>
      </c>
      <c r="E341" s="11" t="inlineStr">
        <is>
          <t>00000000</t>
        </is>
      </c>
      <c r="F341" s="13" t="n">
        <v>79955</v>
      </c>
      <c r="G341" s="11" t="n">
        <v>10520873.37</v>
      </c>
    </row>
    <row r="342">
      <c r="A342" s="11" t="n">
        <v>341</v>
      </c>
      <c r="B342" s="12" t="n">
        <v>46027</v>
      </c>
      <c r="C342" s="11" t="inlineStr">
        <is>
          <t>COMISION DEPOSITOS ELECTRONICOS MASTERCARD</t>
        </is>
      </c>
      <c r="D342" s="11" t="inlineStr">
        <is>
          <t>ORITO</t>
        </is>
      </c>
      <c r="E342" s="11" t="inlineStr">
        <is>
          <t>00000000</t>
        </is>
      </c>
      <c r="F342" s="13" t="n">
        <v>-1879</v>
      </c>
      <c r="G342" s="11" t="n">
        <v>10518994.37</v>
      </c>
    </row>
    <row r="343">
      <c r="A343" s="11" t="n">
        <v>342</v>
      </c>
      <c r="B343" s="12" t="n">
        <v>46027</v>
      </c>
      <c r="C343" s="11" t="inlineStr">
        <is>
          <t>GRAVAMEN A MOVIMIENTO FINANCIERO</t>
        </is>
      </c>
      <c r="D343" s="11" t="inlineStr">
        <is>
          <t>ORITO</t>
        </is>
      </c>
      <c r="E343" s="11" t="inlineStr">
        <is>
          <t>00000000</t>
        </is>
      </c>
      <c r="F343" s="13" t="n">
        <v>-8</v>
      </c>
      <c r="G343" s="11" t="n">
        <v>10518986.37</v>
      </c>
    </row>
    <row r="344">
      <c r="A344" s="11" t="n">
        <v>343</v>
      </c>
      <c r="B344" s="12" t="n">
        <v>46027</v>
      </c>
      <c r="C344" s="11" t="inlineStr">
        <is>
          <t>RETEFUENTE DEPOSITOS ELECTRONICOS MASTERCAR</t>
        </is>
      </c>
      <c r="D344" s="11" t="inlineStr">
        <is>
          <t>ORITO</t>
        </is>
      </c>
      <c r="E344" s="11" t="inlineStr">
        <is>
          <t>00000000</t>
        </is>
      </c>
      <c r="F344" s="13" t="n">
        <v>-1199</v>
      </c>
      <c r="G344" s="11" t="n">
        <v>10517787.37</v>
      </c>
    </row>
    <row r="345">
      <c r="A345" s="11" t="n">
        <v>344</v>
      </c>
      <c r="B345" s="12" t="n">
        <v>46027</v>
      </c>
      <c r="C345" s="11" t="inlineStr">
        <is>
          <t>GRAVAMEN A MOVIMIENTO FINANCIERO</t>
        </is>
      </c>
      <c r="D345" s="11" t="inlineStr">
        <is>
          <t>ORITO</t>
        </is>
      </c>
      <c r="E345" s="11" t="inlineStr">
        <is>
          <t>00000000</t>
        </is>
      </c>
      <c r="F345" s="13" t="n">
        <v>-5</v>
      </c>
      <c r="G345" s="11" t="n">
        <v>10517782.37</v>
      </c>
    </row>
    <row r="346">
      <c r="A346" s="11" t="n">
        <v>345</v>
      </c>
      <c r="B346" s="12" t="n">
        <v>46027</v>
      </c>
      <c r="C346" s="11" t="inlineStr">
        <is>
          <t>DEPOSITOS ELECTRONICOS TRANSACCION MASTERCA</t>
        </is>
      </c>
      <c r="D346" s="11" t="inlineStr">
        <is>
          <t>ORITO</t>
        </is>
      </c>
      <c r="E346" s="11" t="inlineStr">
        <is>
          <t>00000000</t>
        </is>
      </c>
      <c r="F346" s="13" t="n">
        <v>80900</v>
      </c>
      <c r="G346" s="11" t="n">
        <v>10598682.37</v>
      </c>
    </row>
    <row r="347">
      <c r="A347" s="11" t="n">
        <v>346</v>
      </c>
      <c r="B347" s="12" t="n">
        <v>46027</v>
      </c>
      <c r="C347" s="11" t="inlineStr">
        <is>
          <t>COMISION DEPOSITOS ELECTRONICOS MASTERCARD</t>
        </is>
      </c>
      <c r="D347" s="11" t="inlineStr">
        <is>
          <t>ORITO</t>
        </is>
      </c>
      <c r="E347" s="11" t="inlineStr">
        <is>
          <t>00000000</t>
        </is>
      </c>
      <c r="F347" s="13" t="n">
        <v>-1537</v>
      </c>
      <c r="G347" s="11" t="n">
        <v>10597145.37</v>
      </c>
    </row>
    <row r="348">
      <c r="A348" s="11" t="n">
        <v>347</v>
      </c>
      <c r="B348" s="12" t="n">
        <v>46027</v>
      </c>
      <c r="C348" s="11" t="inlineStr">
        <is>
          <t>GRAVAMEN A MOVIMIENTO FINANCIERO</t>
        </is>
      </c>
      <c r="D348" s="11" t="inlineStr">
        <is>
          <t>ORITO</t>
        </is>
      </c>
      <c r="E348" s="11" t="inlineStr">
        <is>
          <t>00000000</t>
        </is>
      </c>
      <c r="F348" s="13" t="n">
        <v>-6</v>
      </c>
      <c r="G348" s="11" t="n">
        <v>10597139.37</v>
      </c>
    </row>
    <row r="349">
      <c r="A349" s="11" t="n">
        <v>348</v>
      </c>
      <c r="B349" s="12" t="n">
        <v>46027</v>
      </c>
      <c r="C349" s="11" t="inlineStr">
        <is>
          <t>RETEFUENTE DEPOSITOS ELECTRONICOS MASTERCAR</t>
        </is>
      </c>
      <c r="D349" s="11" t="inlineStr">
        <is>
          <t>ORITO</t>
        </is>
      </c>
      <c r="E349" s="11" t="inlineStr">
        <is>
          <t>00000000</t>
        </is>
      </c>
      <c r="F349" s="13" t="n">
        <v>-1214</v>
      </c>
      <c r="G349" s="11" t="n">
        <v>10595925.37</v>
      </c>
    </row>
    <row r="350">
      <c r="A350" s="11" t="n">
        <v>349</v>
      </c>
      <c r="B350" s="12" t="n">
        <v>46027</v>
      </c>
      <c r="C350" s="11" t="inlineStr">
        <is>
          <t>GRAVAMEN A MOVIMIENTO FINANCIERO</t>
        </is>
      </c>
      <c r="D350" s="11" t="inlineStr">
        <is>
          <t>ORITO</t>
        </is>
      </c>
      <c r="E350" s="11" t="inlineStr">
        <is>
          <t>00000000</t>
        </is>
      </c>
      <c r="F350" s="13" t="n">
        <v>-5</v>
      </c>
      <c r="G350" s="11" t="n">
        <v>10595920.37</v>
      </c>
    </row>
    <row r="351">
      <c r="A351" s="11" t="n">
        <v>350</v>
      </c>
      <c r="B351" s="12" t="n">
        <v>46027</v>
      </c>
      <c r="C351" s="11" t="inlineStr">
        <is>
          <t>DEPOSITOS ELECTRONICOS TRANSACCION MASTERCA</t>
        </is>
      </c>
      <c r="D351" s="11" t="inlineStr">
        <is>
          <t>ORITO</t>
        </is>
      </c>
      <c r="E351" s="11" t="inlineStr">
        <is>
          <t>00000000</t>
        </is>
      </c>
      <c r="F351" s="13" t="n">
        <v>685700</v>
      </c>
      <c r="G351" s="11" t="n">
        <v>11281620.37</v>
      </c>
    </row>
    <row r="352">
      <c r="A352" s="11" t="n">
        <v>351</v>
      </c>
      <c r="B352" s="12" t="n">
        <v>46027</v>
      </c>
      <c r="C352" s="11" t="inlineStr">
        <is>
          <t>COMISION DEPOSITOS ELECTRONICOS MASTERCARD</t>
        </is>
      </c>
      <c r="D352" s="11" t="inlineStr">
        <is>
          <t>ORITO</t>
        </is>
      </c>
      <c r="E352" s="11" t="inlineStr">
        <is>
          <t>00000000</t>
        </is>
      </c>
      <c r="F352" s="13" t="n">
        <v>-13028</v>
      </c>
      <c r="G352" s="11" t="n">
        <v>11268592.37</v>
      </c>
    </row>
    <row r="353">
      <c r="A353" s="11" t="n">
        <v>352</v>
      </c>
      <c r="B353" s="12" t="n">
        <v>46027</v>
      </c>
      <c r="C353" s="11" t="inlineStr">
        <is>
          <t>GRAVAMEN A MOVIMIENTO FINANCIERO</t>
        </is>
      </c>
      <c r="D353" s="11" t="inlineStr">
        <is>
          <t>ORITO</t>
        </is>
      </c>
      <c r="E353" s="11" t="inlineStr">
        <is>
          <t>00000000</t>
        </is>
      </c>
      <c r="F353" s="13" t="n">
        <v>-52</v>
      </c>
      <c r="G353" s="11" t="n">
        <v>11268540.37</v>
      </c>
    </row>
    <row r="354">
      <c r="A354" s="11" t="n">
        <v>353</v>
      </c>
      <c r="B354" s="12" t="n">
        <v>46027</v>
      </c>
      <c r="C354" s="11" t="inlineStr">
        <is>
          <t>RETEFUENTE DEPOSITOS ELECTRONICOS MASTERCAR</t>
        </is>
      </c>
      <c r="D354" s="11" t="inlineStr">
        <is>
          <t>ORITO</t>
        </is>
      </c>
      <c r="E354" s="11" t="inlineStr">
        <is>
          <t>00000000</t>
        </is>
      </c>
      <c r="F354" s="13" t="n">
        <v>-10286</v>
      </c>
      <c r="G354" s="11" t="n">
        <v>11258254.37</v>
      </c>
    </row>
    <row r="355">
      <c r="A355" s="11" t="n">
        <v>354</v>
      </c>
      <c r="B355" s="12" t="n">
        <v>46027</v>
      </c>
      <c r="C355" s="11" t="inlineStr">
        <is>
          <t>GRAVAMEN A MOVIMIENTO FINANCIERO</t>
        </is>
      </c>
      <c r="D355" s="11" t="inlineStr">
        <is>
          <t>ORITO</t>
        </is>
      </c>
      <c r="E355" s="11" t="inlineStr">
        <is>
          <t>00000000</t>
        </is>
      </c>
      <c r="F355" s="13" t="n">
        <v>-41</v>
      </c>
      <c r="G355" s="11" t="n">
        <v>11258213.37</v>
      </c>
    </row>
    <row r="356">
      <c r="A356" s="11" t="n">
        <v>355</v>
      </c>
      <c r="B356" s="12" t="n">
        <v>46027</v>
      </c>
      <c r="C356" s="11" t="inlineStr">
        <is>
          <t>DEPOSITOS ELECTRONICOS TRANSACCION MASTERCA</t>
        </is>
      </c>
      <c r="D356" s="11" t="inlineStr">
        <is>
          <t>ORITO</t>
        </is>
      </c>
      <c r="E356" s="11" t="inlineStr">
        <is>
          <t>00000000</t>
        </is>
      </c>
      <c r="F356" s="13" t="n">
        <v>33300</v>
      </c>
      <c r="G356" s="11" t="n">
        <v>11291513.37</v>
      </c>
    </row>
    <row r="357">
      <c r="A357" s="11" t="n">
        <v>356</v>
      </c>
      <c r="B357" s="12" t="n">
        <v>46027</v>
      </c>
      <c r="C357" s="11" t="inlineStr">
        <is>
          <t>COMISION DEPOSITOS ELECTRONICOS MASTERCARD</t>
        </is>
      </c>
      <c r="D357" s="11" t="inlineStr">
        <is>
          <t>ORITO</t>
        </is>
      </c>
      <c r="E357" s="11" t="inlineStr">
        <is>
          <t>00000000</t>
        </is>
      </c>
      <c r="F357" s="13" t="n">
        <v>-633</v>
      </c>
      <c r="G357" s="11" t="n">
        <v>11290880.37</v>
      </c>
    </row>
    <row r="358">
      <c r="A358" s="11" t="n">
        <v>357</v>
      </c>
      <c r="B358" s="12" t="n">
        <v>46027</v>
      </c>
      <c r="C358" s="11" t="inlineStr">
        <is>
          <t>GRAVAMEN A MOVIMIENTO FINANCIERO</t>
        </is>
      </c>
      <c r="D358" s="11" t="inlineStr">
        <is>
          <t>ORITO</t>
        </is>
      </c>
      <c r="E358" s="11" t="inlineStr">
        <is>
          <t>00000000</t>
        </is>
      </c>
      <c r="F358" s="13" t="n">
        <v>-3</v>
      </c>
      <c r="G358" s="11" t="n">
        <v>11290877.37</v>
      </c>
    </row>
    <row r="359">
      <c r="A359" s="11" t="n">
        <v>358</v>
      </c>
      <c r="B359" s="12" t="n">
        <v>46027</v>
      </c>
      <c r="C359" s="11" t="inlineStr">
        <is>
          <t>RETEFUENTE DEPOSITOS ELECTRONICOS MASTERCAR</t>
        </is>
      </c>
      <c r="D359" s="11" t="inlineStr">
        <is>
          <t>ORITO</t>
        </is>
      </c>
      <c r="E359" s="11" t="inlineStr">
        <is>
          <t>00000000</t>
        </is>
      </c>
      <c r="F359" s="13" t="n">
        <v>-500</v>
      </c>
      <c r="G359" s="11" t="n">
        <v>11290377.37</v>
      </c>
    </row>
    <row r="360">
      <c r="A360" s="11" t="n">
        <v>359</v>
      </c>
      <c r="B360" s="12" t="n">
        <v>46027</v>
      </c>
      <c r="C360" s="11" t="inlineStr">
        <is>
          <t>GRAVAMEN A MOVIMIENTO FINANCIERO</t>
        </is>
      </c>
      <c r="D360" s="11" t="inlineStr">
        <is>
          <t>ORITO</t>
        </is>
      </c>
      <c r="E360" s="11" t="inlineStr">
        <is>
          <t>00000000</t>
        </is>
      </c>
      <c r="F360" s="13" t="n">
        <v>-2</v>
      </c>
      <c r="G360" s="11" t="n">
        <v>11290375.37</v>
      </c>
    </row>
    <row r="361">
      <c r="A361" s="11" t="n">
        <v>360</v>
      </c>
      <c r="B361" s="12" t="n">
        <v>46027</v>
      </c>
      <c r="C361" s="11" t="inlineStr">
        <is>
          <t>DEPOSITOS ELECTRONICOS TRANSACCION MASTERCA</t>
        </is>
      </c>
      <c r="D361" s="11" t="inlineStr">
        <is>
          <t>ORITO</t>
        </is>
      </c>
      <c r="E361" s="11" t="inlineStr">
        <is>
          <t>00000000</t>
        </is>
      </c>
      <c r="F361" s="13" t="n">
        <v>75000</v>
      </c>
      <c r="G361" s="11" t="n">
        <v>11365375.37</v>
      </c>
    </row>
    <row r="362">
      <c r="A362" s="11" t="n">
        <v>361</v>
      </c>
      <c r="B362" s="12" t="n">
        <v>46027</v>
      </c>
      <c r="C362" s="11" t="inlineStr">
        <is>
          <t>COMISION DEPOSITOS ELECTRONICOS MASTERCARD</t>
        </is>
      </c>
      <c r="D362" s="11" t="inlineStr">
        <is>
          <t>ORITO</t>
        </is>
      </c>
      <c r="E362" s="11" t="inlineStr">
        <is>
          <t>00000000</t>
        </is>
      </c>
      <c r="F362" s="13" t="n">
        <v>-1425</v>
      </c>
      <c r="G362" s="11" t="n">
        <v>11363950.37</v>
      </c>
    </row>
    <row r="363">
      <c r="A363" s="11" t="n">
        <v>362</v>
      </c>
      <c r="B363" s="12" t="n">
        <v>46027</v>
      </c>
      <c r="C363" s="11" t="inlineStr">
        <is>
          <t>GRAVAMEN A MOVIMIENTO FINANCIERO</t>
        </is>
      </c>
      <c r="D363" s="11" t="inlineStr">
        <is>
          <t>ORITO</t>
        </is>
      </c>
      <c r="E363" s="11" t="inlineStr">
        <is>
          <t>00000000</t>
        </is>
      </c>
      <c r="F363" s="13" t="n">
        <v>-6</v>
      </c>
      <c r="G363" s="11" t="n">
        <v>11363944.37</v>
      </c>
    </row>
    <row r="364">
      <c r="A364" s="11" t="n">
        <v>363</v>
      </c>
      <c r="B364" s="12" t="n">
        <v>46027</v>
      </c>
      <c r="C364" s="11" t="inlineStr">
        <is>
          <t>RETEFUENTE DEPOSITOS ELECTRONICOS MASTERCAR</t>
        </is>
      </c>
      <c r="D364" s="11" t="inlineStr">
        <is>
          <t>ORITO</t>
        </is>
      </c>
      <c r="E364" s="11" t="inlineStr">
        <is>
          <t>00000000</t>
        </is>
      </c>
      <c r="F364" s="13" t="n">
        <v>-1125</v>
      </c>
      <c r="G364" s="11" t="n">
        <v>11362819.37</v>
      </c>
    </row>
    <row r="365">
      <c r="A365" s="11" t="n">
        <v>364</v>
      </c>
      <c r="B365" s="12" t="n">
        <v>46027</v>
      </c>
      <c r="C365" s="11" t="inlineStr">
        <is>
          <t>GRAVAMEN A MOVIMIENTO FINANCIERO</t>
        </is>
      </c>
      <c r="D365" s="11" t="inlineStr">
        <is>
          <t>ORITO</t>
        </is>
      </c>
      <c r="E365" s="11" t="inlineStr">
        <is>
          <t>00000000</t>
        </is>
      </c>
      <c r="F365" s="13" t="n">
        <v>-5</v>
      </c>
      <c r="G365" s="11" t="n">
        <v>11362814.37</v>
      </c>
    </row>
    <row r="366">
      <c r="A366" s="11" t="n">
        <v>365</v>
      </c>
      <c r="B366" s="12" t="n">
        <v>46027</v>
      </c>
      <c r="C366" s="11" t="inlineStr">
        <is>
          <t>DEPOSITOS ELECTRONICOS TRANSACCION MASTERCA</t>
        </is>
      </c>
      <c r="D366" s="11" t="inlineStr">
        <is>
          <t>ORITO</t>
        </is>
      </c>
      <c r="E366" s="11" t="inlineStr">
        <is>
          <t>00000000</t>
        </is>
      </c>
      <c r="F366" s="13" t="n">
        <v>59800</v>
      </c>
      <c r="G366" s="11" t="n">
        <v>11422614.37</v>
      </c>
    </row>
    <row r="367">
      <c r="A367" s="11" t="n">
        <v>366</v>
      </c>
      <c r="B367" s="12" t="n">
        <v>46027</v>
      </c>
      <c r="C367" s="11" t="inlineStr">
        <is>
          <t>COMISION DEPOSITOS ELECTRONICOS MASTERCARD</t>
        </is>
      </c>
      <c r="D367" s="11" t="inlineStr">
        <is>
          <t>ORITO</t>
        </is>
      </c>
      <c r="E367" s="11" t="inlineStr">
        <is>
          <t>00000000</t>
        </is>
      </c>
      <c r="F367" s="13" t="n">
        <v>-1405</v>
      </c>
      <c r="G367" s="11" t="n">
        <v>11421209.37</v>
      </c>
    </row>
    <row r="368">
      <c r="A368" s="11" t="n">
        <v>367</v>
      </c>
      <c r="B368" s="12" t="n">
        <v>46027</v>
      </c>
      <c r="C368" s="11" t="inlineStr">
        <is>
          <t>GRAVAMEN A MOVIMIENTO FINANCIERO</t>
        </is>
      </c>
      <c r="D368" s="11" t="inlineStr">
        <is>
          <t>ORITO</t>
        </is>
      </c>
      <c r="E368" s="11" t="inlineStr">
        <is>
          <t>00000000</t>
        </is>
      </c>
      <c r="F368" s="13" t="n">
        <v>-6</v>
      </c>
      <c r="G368" s="11" t="n">
        <v>11421203.37</v>
      </c>
    </row>
    <row r="369">
      <c r="A369" s="11" t="n">
        <v>368</v>
      </c>
      <c r="B369" s="12" t="n">
        <v>46027</v>
      </c>
      <c r="C369" s="11" t="inlineStr">
        <is>
          <t>RETEFUENTE DEPOSITOS ELECTRONICOS MASTERCAR</t>
        </is>
      </c>
      <c r="D369" s="11" t="inlineStr">
        <is>
          <t>ORITO</t>
        </is>
      </c>
      <c r="E369" s="11" t="inlineStr">
        <is>
          <t>00000000</t>
        </is>
      </c>
      <c r="F369" s="13" t="n">
        <v>-897</v>
      </c>
      <c r="G369" s="11" t="n">
        <v>11420306.37</v>
      </c>
    </row>
    <row r="370">
      <c r="A370" s="11" t="n">
        <v>369</v>
      </c>
      <c r="B370" s="12" t="n">
        <v>46027</v>
      </c>
      <c r="C370" s="11" t="inlineStr">
        <is>
          <t>GRAVAMEN A MOVIMIENTO FINANCIERO</t>
        </is>
      </c>
      <c r="D370" s="11" t="inlineStr">
        <is>
          <t>ORITO</t>
        </is>
      </c>
      <c r="E370" s="11" t="inlineStr">
        <is>
          <t>00000000</t>
        </is>
      </c>
      <c r="F370" s="13" t="n">
        <v>-4</v>
      </c>
      <c r="G370" s="11" t="n">
        <v>11420302.37</v>
      </c>
    </row>
    <row r="371">
      <c r="A371" s="11" t="n">
        <v>370</v>
      </c>
      <c r="B371" s="12" t="n">
        <v>46027</v>
      </c>
      <c r="C371" s="11" t="inlineStr">
        <is>
          <t>DEPOSITOS ELECTRONICOS TRANSACCION MASTERCA</t>
        </is>
      </c>
      <c r="D371" s="11" t="inlineStr">
        <is>
          <t>ORITO</t>
        </is>
      </c>
      <c r="E371" s="11" t="inlineStr">
        <is>
          <t>00000000</t>
        </is>
      </c>
      <c r="F371" s="13" t="n">
        <v>49900</v>
      </c>
      <c r="G371" s="11" t="n">
        <v>11470202.37</v>
      </c>
    </row>
    <row r="372">
      <c r="A372" s="11" t="n">
        <v>371</v>
      </c>
      <c r="B372" s="12" t="n">
        <v>46027</v>
      </c>
      <c r="C372" s="11" t="inlineStr">
        <is>
          <t>COMISION DEPOSITOS ELECTRONICOS MASTERCARD</t>
        </is>
      </c>
      <c r="D372" s="11" t="inlineStr">
        <is>
          <t>ORITO</t>
        </is>
      </c>
      <c r="E372" s="11" t="inlineStr">
        <is>
          <t>00000000</t>
        </is>
      </c>
      <c r="F372" s="13" t="n">
        <v>-948</v>
      </c>
      <c r="G372" s="11" t="n">
        <v>11469254.37</v>
      </c>
    </row>
    <row r="373">
      <c r="A373" s="11" t="n">
        <v>372</v>
      </c>
      <c r="B373" s="12" t="n">
        <v>46027</v>
      </c>
      <c r="C373" s="11" t="inlineStr">
        <is>
          <t>GRAVAMEN A MOVIMIENTO FINANCIERO</t>
        </is>
      </c>
      <c r="D373" s="11" t="inlineStr">
        <is>
          <t>ORITO</t>
        </is>
      </c>
      <c r="E373" s="11" t="inlineStr">
        <is>
          <t>00000000</t>
        </is>
      </c>
      <c r="F373" s="13" t="n">
        <v>-4</v>
      </c>
      <c r="G373" s="11" t="n">
        <v>11469250.37</v>
      </c>
    </row>
    <row r="374">
      <c r="A374" s="11" t="n">
        <v>373</v>
      </c>
      <c r="B374" s="12" t="n">
        <v>46027</v>
      </c>
      <c r="C374" s="11" t="inlineStr">
        <is>
          <t>RETEFUENTE DEPOSITOS ELECTRONICOS MASTERCAR</t>
        </is>
      </c>
      <c r="D374" s="11" t="inlineStr">
        <is>
          <t>ORITO</t>
        </is>
      </c>
      <c r="E374" s="11" t="inlineStr">
        <is>
          <t>00000000</t>
        </is>
      </c>
      <c r="F374" s="13" t="n">
        <v>-749</v>
      </c>
      <c r="G374" s="11" t="n">
        <v>11468501.37</v>
      </c>
    </row>
    <row r="375">
      <c r="A375" s="11" t="n">
        <v>374</v>
      </c>
      <c r="B375" s="12" t="n">
        <v>46027</v>
      </c>
      <c r="C375" s="11" t="inlineStr">
        <is>
          <t>GRAVAMEN A MOVIMIENTO FINANCIERO</t>
        </is>
      </c>
      <c r="D375" s="11" t="inlineStr">
        <is>
          <t>ORITO</t>
        </is>
      </c>
      <c r="E375" s="11" t="inlineStr">
        <is>
          <t>00000000</t>
        </is>
      </c>
      <c r="F375" s="13" t="n">
        <v>-3</v>
      </c>
      <c r="G375" s="11" t="n">
        <v>11468498.37</v>
      </c>
    </row>
    <row r="376">
      <c r="A376" s="11" t="n">
        <v>375</v>
      </c>
      <c r="B376" s="12" t="n">
        <v>46027</v>
      </c>
      <c r="C376" s="11" t="inlineStr">
        <is>
          <t>DEPOSITOS ELECTRONICOS TRANSACCION MASTERCA</t>
        </is>
      </c>
      <c r="D376" s="11" t="inlineStr">
        <is>
          <t>ORITO</t>
        </is>
      </c>
      <c r="E376" s="11" t="inlineStr">
        <is>
          <t>00000000</t>
        </is>
      </c>
      <c r="F376" s="13" t="n">
        <v>23700</v>
      </c>
      <c r="G376" s="11" t="n">
        <v>11492198.37</v>
      </c>
    </row>
    <row r="377">
      <c r="A377" s="11" t="n">
        <v>376</v>
      </c>
      <c r="B377" s="12" t="n">
        <v>46027</v>
      </c>
      <c r="C377" s="11" t="inlineStr">
        <is>
          <t>COMISION DEPOSITOS ELECTRONICOS MASTERCARD</t>
        </is>
      </c>
      <c r="D377" s="11" t="inlineStr">
        <is>
          <t>ORITO</t>
        </is>
      </c>
      <c r="E377" s="11" t="inlineStr">
        <is>
          <t>00000000</t>
        </is>
      </c>
      <c r="F377" s="13" t="n">
        <v>-450</v>
      </c>
      <c r="G377" s="11" t="n">
        <v>11491748.37</v>
      </c>
    </row>
    <row r="378">
      <c r="A378" s="11" t="n">
        <v>377</v>
      </c>
      <c r="B378" s="12" t="n">
        <v>46027</v>
      </c>
      <c r="C378" s="11" t="inlineStr">
        <is>
          <t>GRAVAMEN A MOVIMIENTO FINANCIERO</t>
        </is>
      </c>
      <c r="D378" s="11" t="inlineStr">
        <is>
          <t>ORITO</t>
        </is>
      </c>
      <c r="E378" s="11" t="inlineStr">
        <is>
          <t>00000000</t>
        </is>
      </c>
      <c r="F378" s="13" t="n">
        <v>-2</v>
      </c>
      <c r="G378" s="11" t="n">
        <v>11491746.37</v>
      </c>
    </row>
    <row r="379">
      <c r="A379" s="11" t="n">
        <v>378</v>
      </c>
      <c r="B379" s="12" t="n">
        <v>46027</v>
      </c>
      <c r="C379" s="11" t="inlineStr">
        <is>
          <t>RETEFUENTE DEPOSITOS ELECTRONICOS MASTERCAR</t>
        </is>
      </c>
      <c r="D379" s="11" t="inlineStr">
        <is>
          <t>ORITO</t>
        </is>
      </c>
      <c r="E379" s="11" t="inlineStr">
        <is>
          <t>00000000</t>
        </is>
      </c>
      <c r="F379" s="13" t="n">
        <v>-356</v>
      </c>
      <c r="G379" s="11" t="n">
        <v>11491390.37</v>
      </c>
    </row>
    <row r="380">
      <c r="A380" s="11" t="n">
        <v>379</v>
      </c>
      <c r="B380" s="12" t="n">
        <v>46027</v>
      </c>
      <c r="C380" s="11" t="inlineStr">
        <is>
          <t>GRAVAMEN A MOVIMIENTO FINANCIERO</t>
        </is>
      </c>
      <c r="D380" s="11" t="inlineStr">
        <is>
          <t>ORITO</t>
        </is>
      </c>
      <c r="E380" s="11" t="inlineStr">
        <is>
          <t>00000000</t>
        </is>
      </c>
      <c r="F380" s="13" t="n">
        <v>-1</v>
      </c>
      <c r="G380" s="11" t="n">
        <v>11491389.37</v>
      </c>
    </row>
    <row r="381">
      <c r="A381" s="11" t="n">
        <v>380</v>
      </c>
      <c r="B381" s="12" t="n">
        <v>46027</v>
      </c>
      <c r="C381" s="11" t="inlineStr">
        <is>
          <t>DEPOSITOS ELECTRONICOS TRANSACCION MASTERCA</t>
        </is>
      </c>
      <c r="D381" s="11" t="inlineStr">
        <is>
          <t>ORITO</t>
        </is>
      </c>
      <c r="E381" s="11" t="inlineStr">
        <is>
          <t>00000000</t>
        </is>
      </c>
      <c r="F381" s="13" t="n">
        <v>21400</v>
      </c>
      <c r="G381" s="11" t="n">
        <v>11512789.37</v>
      </c>
    </row>
    <row r="382">
      <c r="A382" s="11" t="n">
        <v>381</v>
      </c>
      <c r="B382" s="12" t="n">
        <v>46027</v>
      </c>
      <c r="C382" s="11" t="inlineStr">
        <is>
          <t>COMISION DEPOSITOS ELECTRONICOS MASTERCARD</t>
        </is>
      </c>
      <c r="D382" s="11" t="inlineStr">
        <is>
          <t>ORITO</t>
        </is>
      </c>
      <c r="E382" s="11" t="inlineStr">
        <is>
          <t>00000000</t>
        </is>
      </c>
      <c r="F382" s="13" t="n">
        <v>-503</v>
      </c>
      <c r="G382" s="11" t="n">
        <v>11512286.37</v>
      </c>
    </row>
    <row r="383">
      <c r="A383" s="11" t="n">
        <v>382</v>
      </c>
      <c r="B383" s="12" t="n">
        <v>46027</v>
      </c>
      <c r="C383" s="11" t="inlineStr">
        <is>
          <t>GRAVAMEN A MOVIMIENTO FINANCIERO</t>
        </is>
      </c>
      <c r="D383" s="11" t="inlineStr">
        <is>
          <t>ORITO</t>
        </is>
      </c>
      <c r="E383" s="11" t="inlineStr">
        <is>
          <t>00000000</t>
        </is>
      </c>
      <c r="F383" s="13" t="n">
        <v>-2</v>
      </c>
      <c r="G383" s="11" t="n">
        <v>11512284.37</v>
      </c>
    </row>
    <row r="384">
      <c r="A384" s="11" t="n">
        <v>383</v>
      </c>
      <c r="B384" s="12" t="n">
        <v>46027</v>
      </c>
      <c r="C384" s="11" t="inlineStr">
        <is>
          <t>RETEFUENTE DEPOSITOS ELECTRONICOS MASTERCAR</t>
        </is>
      </c>
      <c r="D384" s="11" t="inlineStr">
        <is>
          <t>ORITO</t>
        </is>
      </c>
      <c r="E384" s="11" t="inlineStr">
        <is>
          <t>00000000</t>
        </is>
      </c>
      <c r="F384" s="13" t="n">
        <v>-321</v>
      </c>
      <c r="G384" s="11" t="n">
        <v>11511963.37</v>
      </c>
    </row>
    <row r="385">
      <c r="A385" s="11" t="n">
        <v>384</v>
      </c>
      <c r="B385" s="12" t="n">
        <v>46027</v>
      </c>
      <c r="C385" s="11" t="inlineStr">
        <is>
          <t>GRAVAMEN A MOVIMIENTO FINANCIERO</t>
        </is>
      </c>
      <c r="D385" s="11" t="inlineStr">
        <is>
          <t>ORITO</t>
        </is>
      </c>
      <c r="E385" s="11" t="inlineStr">
        <is>
          <t>00000000</t>
        </is>
      </c>
      <c r="F385" s="13" t="n">
        <v>-1</v>
      </c>
      <c r="G385" s="11" t="n">
        <v>11511962.37</v>
      </c>
    </row>
    <row r="386">
      <c r="A386" s="11" t="n">
        <v>385</v>
      </c>
      <c r="B386" s="12" t="n">
        <v>46027</v>
      </c>
      <c r="C386" s="11" t="inlineStr">
        <is>
          <t>DEPOSITOS ELECTRONICOS TRANSACCION MASTERCA</t>
        </is>
      </c>
      <c r="D386" s="11" t="inlineStr">
        <is>
          <t>ORITO</t>
        </is>
      </c>
      <c r="E386" s="11" t="inlineStr">
        <is>
          <t>00000000</t>
        </is>
      </c>
      <c r="F386" s="13" t="n">
        <v>20000</v>
      </c>
      <c r="G386" s="11" t="n">
        <v>11531962.37</v>
      </c>
    </row>
    <row r="387">
      <c r="A387" s="11" t="n">
        <v>386</v>
      </c>
      <c r="B387" s="12" t="n">
        <v>46027</v>
      </c>
      <c r="C387" s="11" t="inlineStr">
        <is>
          <t>COMISION DEPOSITOS ELECTRONICOS MASTERCARD</t>
        </is>
      </c>
      <c r="D387" s="11" t="inlineStr">
        <is>
          <t>ORITO</t>
        </is>
      </c>
      <c r="E387" s="11" t="inlineStr">
        <is>
          <t>00000000</t>
        </is>
      </c>
      <c r="F387" s="13" t="n">
        <v>-380</v>
      </c>
      <c r="G387" s="11" t="n">
        <v>11531582.37</v>
      </c>
    </row>
    <row r="388">
      <c r="A388" s="11" t="n">
        <v>387</v>
      </c>
      <c r="B388" s="12" t="n">
        <v>46027</v>
      </c>
      <c r="C388" s="11" t="inlineStr">
        <is>
          <t>GRAVAMEN A MOVIMIENTO FINANCIERO</t>
        </is>
      </c>
      <c r="D388" s="11" t="inlineStr">
        <is>
          <t>ORITO</t>
        </is>
      </c>
      <c r="E388" s="11" t="inlineStr">
        <is>
          <t>00000000</t>
        </is>
      </c>
      <c r="F388" s="13" t="n">
        <v>-2</v>
      </c>
      <c r="G388" s="11" t="n">
        <v>11531580.37</v>
      </c>
    </row>
    <row r="389">
      <c r="A389" s="11" t="n">
        <v>388</v>
      </c>
      <c r="B389" s="12" t="n">
        <v>46027</v>
      </c>
      <c r="C389" s="11" t="inlineStr">
        <is>
          <t>RETEFUENTE DEPOSITOS ELECTRONICOS MASTERCAR</t>
        </is>
      </c>
      <c r="D389" s="11" t="inlineStr">
        <is>
          <t>ORITO</t>
        </is>
      </c>
      <c r="E389" s="11" t="inlineStr">
        <is>
          <t>00000000</t>
        </is>
      </c>
      <c r="F389" s="13" t="n">
        <v>-300</v>
      </c>
      <c r="G389" s="11" t="n">
        <v>11531280.37</v>
      </c>
    </row>
    <row r="390">
      <c r="A390" s="11" t="n">
        <v>389</v>
      </c>
      <c r="B390" s="12" t="n">
        <v>46027</v>
      </c>
      <c r="C390" s="11" t="inlineStr">
        <is>
          <t>GRAVAMEN A MOVIMIENTO FINANCIERO</t>
        </is>
      </c>
      <c r="D390" s="11" t="inlineStr">
        <is>
          <t>ORITO</t>
        </is>
      </c>
      <c r="E390" s="11" t="inlineStr">
        <is>
          <t>00000000</t>
        </is>
      </c>
      <c r="F390" s="13" t="n">
        <v>-1</v>
      </c>
      <c r="G390" s="11" t="n">
        <v>11531279.37</v>
      </c>
    </row>
    <row r="391">
      <c r="A391" s="11" t="n">
        <v>390</v>
      </c>
      <c r="B391" s="12" t="n">
        <v>46027</v>
      </c>
      <c r="C391" s="11" t="inlineStr">
        <is>
          <t>DEPOSITOS ELECTRONICOS TRANSACCION MASTERCA</t>
        </is>
      </c>
      <c r="D391" s="11" t="inlineStr">
        <is>
          <t>ORITO</t>
        </is>
      </c>
      <c r="E391" s="11" t="inlineStr">
        <is>
          <t>00000000</t>
        </is>
      </c>
      <c r="F391" s="13" t="n">
        <v>53200</v>
      </c>
      <c r="G391" s="11" t="n">
        <v>11584479.37</v>
      </c>
    </row>
    <row r="392">
      <c r="A392" s="11" t="n">
        <v>391</v>
      </c>
      <c r="B392" s="12" t="n">
        <v>46027</v>
      </c>
      <c r="C392" s="11" t="inlineStr">
        <is>
          <t>COMISION DEPOSITOS ELECTRONICOS MASTERCARD</t>
        </is>
      </c>
      <c r="D392" s="11" t="inlineStr">
        <is>
          <t>ORITO</t>
        </is>
      </c>
      <c r="E392" s="11" t="inlineStr">
        <is>
          <t>00000000</t>
        </is>
      </c>
      <c r="F392" s="13" t="n">
        <v>-1011</v>
      </c>
      <c r="G392" s="11" t="n">
        <v>11583468.37</v>
      </c>
    </row>
    <row r="393">
      <c r="A393" s="11" t="n">
        <v>392</v>
      </c>
      <c r="B393" s="12" t="n">
        <v>46027</v>
      </c>
      <c r="C393" s="11" t="inlineStr">
        <is>
          <t>GRAVAMEN A MOVIMIENTO FINANCIERO</t>
        </is>
      </c>
      <c r="D393" s="11" t="inlineStr">
        <is>
          <t>ORITO</t>
        </is>
      </c>
      <c r="E393" s="11" t="inlineStr">
        <is>
          <t>00000000</t>
        </is>
      </c>
      <c r="F393" s="13" t="n">
        <v>-4</v>
      </c>
      <c r="G393" s="11" t="n">
        <v>11583464.37</v>
      </c>
    </row>
    <row r="394">
      <c r="A394" s="11" t="n">
        <v>393</v>
      </c>
      <c r="B394" s="12" t="n">
        <v>46027</v>
      </c>
      <c r="C394" s="11" t="inlineStr">
        <is>
          <t>RETEFUENTE DEPOSITOS ELECTRONICOS MASTERCAR</t>
        </is>
      </c>
      <c r="D394" s="11" t="inlineStr">
        <is>
          <t>ORITO</t>
        </is>
      </c>
      <c r="E394" s="11" t="inlineStr">
        <is>
          <t>00000000</t>
        </is>
      </c>
      <c r="F394" s="13" t="n">
        <v>-798</v>
      </c>
      <c r="G394" s="11" t="n">
        <v>11582666.37</v>
      </c>
    </row>
    <row r="395">
      <c r="A395" s="11" t="n">
        <v>394</v>
      </c>
      <c r="B395" s="12" t="n">
        <v>46027</v>
      </c>
      <c r="C395" s="11" t="inlineStr">
        <is>
          <t>GRAVAMEN A MOVIMIENTO FINANCIERO</t>
        </is>
      </c>
      <c r="D395" s="11" t="inlineStr">
        <is>
          <t>ORITO</t>
        </is>
      </c>
      <c r="E395" s="11" t="inlineStr">
        <is>
          <t>00000000</t>
        </is>
      </c>
      <c r="F395" s="13" t="n">
        <v>-3</v>
      </c>
      <c r="G395" s="11" t="n">
        <v>11582663.37</v>
      </c>
    </row>
    <row r="396">
      <c r="A396" s="11" t="n">
        <v>395</v>
      </c>
      <c r="B396" s="12" t="n">
        <v>46027</v>
      </c>
      <c r="C396" s="11" t="inlineStr">
        <is>
          <t>DEPOSITOS ELECTRONICOS TRANSACCION MASTERCA</t>
        </is>
      </c>
      <c r="D396" s="11" t="inlineStr">
        <is>
          <t>ORITO</t>
        </is>
      </c>
      <c r="E396" s="11" t="inlineStr">
        <is>
          <t>00000000</t>
        </is>
      </c>
      <c r="F396" s="13" t="n">
        <v>164300</v>
      </c>
      <c r="G396" s="11" t="n">
        <v>11746963.37</v>
      </c>
    </row>
    <row r="397">
      <c r="A397" s="11" t="n">
        <v>396</v>
      </c>
      <c r="B397" s="12" t="n">
        <v>46027</v>
      </c>
      <c r="C397" s="11" t="inlineStr">
        <is>
          <t>COMISION DEPOSITOS ELECTRONICOS MASTERCARD</t>
        </is>
      </c>
      <c r="D397" s="11" t="inlineStr">
        <is>
          <t>ORITO</t>
        </is>
      </c>
      <c r="E397" s="11" t="inlineStr">
        <is>
          <t>00000000</t>
        </is>
      </c>
      <c r="F397" s="13" t="n">
        <v>-3122</v>
      </c>
      <c r="G397" s="11" t="n">
        <v>11743841.37</v>
      </c>
    </row>
    <row r="398">
      <c r="A398" s="11" t="n">
        <v>397</v>
      </c>
      <c r="B398" s="12" t="n">
        <v>46027</v>
      </c>
      <c r="C398" s="11" t="inlineStr">
        <is>
          <t>GRAVAMEN A MOVIMIENTO FINANCIERO</t>
        </is>
      </c>
      <c r="D398" s="11" t="inlineStr">
        <is>
          <t>ORITO</t>
        </is>
      </c>
      <c r="E398" s="11" t="inlineStr">
        <is>
          <t>00000000</t>
        </is>
      </c>
      <c r="F398" s="13" t="n">
        <v>-12</v>
      </c>
      <c r="G398" s="11" t="n">
        <v>11743829.37</v>
      </c>
    </row>
    <row r="399">
      <c r="A399" s="11" t="n">
        <v>398</v>
      </c>
      <c r="B399" s="12" t="n">
        <v>46027</v>
      </c>
      <c r="C399" s="11" t="inlineStr">
        <is>
          <t>RETEFUENTE DEPOSITOS ELECTRONICOS MASTERCAR</t>
        </is>
      </c>
      <c r="D399" s="11" t="inlineStr">
        <is>
          <t>ORITO</t>
        </is>
      </c>
      <c r="E399" s="11" t="inlineStr">
        <is>
          <t>00000000</t>
        </is>
      </c>
      <c r="F399" s="13" t="n">
        <v>-2465</v>
      </c>
      <c r="G399" s="11" t="n">
        <v>11741364.37</v>
      </c>
    </row>
    <row r="400">
      <c r="A400" s="11" t="n">
        <v>399</v>
      </c>
      <c r="B400" s="12" t="n">
        <v>46027</v>
      </c>
      <c r="C400" s="11" t="inlineStr">
        <is>
          <t>GRAVAMEN A MOVIMIENTO FINANCIERO</t>
        </is>
      </c>
      <c r="D400" s="11" t="inlineStr">
        <is>
          <t>ORITO</t>
        </is>
      </c>
      <c r="E400" s="11" t="inlineStr">
        <is>
          <t>00000000</t>
        </is>
      </c>
      <c r="F400" s="13" t="n">
        <v>-10</v>
      </c>
      <c r="G400" s="11" t="n">
        <v>11741354.37</v>
      </c>
    </row>
    <row r="401">
      <c r="A401" s="11" t="n">
        <v>400</v>
      </c>
      <c r="B401" s="12" t="n">
        <v>46027</v>
      </c>
      <c r="C401" s="11" t="inlineStr">
        <is>
          <t>DEPOSITOS ELECTRONICOS TRANSACCION MASTERCA</t>
        </is>
      </c>
      <c r="D401" s="11" t="inlineStr">
        <is>
          <t>ORITO</t>
        </is>
      </c>
      <c r="E401" s="11" t="inlineStr">
        <is>
          <t>00000000</t>
        </is>
      </c>
      <c r="F401" s="13" t="n">
        <v>36000</v>
      </c>
      <c r="G401" s="11" t="n">
        <v>11777354.37</v>
      </c>
    </row>
    <row r="402">
      <c r="A402" s="11" t="n">
        <v>401</v>
      </c>
      <c r="B402" s="12" t="n">
        <v>46027</v>
      </c>
      <c r="C402" s="11" t="inlineStr">
        <is>
          <t>COMISION DEPOSITOS ELECTRONICOS MASTERCARD</t>
        </is>
      </c>
      <c r="D402" s="11" t="inlineStr">
        <is>
          <t>ORITO</t>
        </is>
      </c>
      <c r="E402" s="11" t="inlineStr">
        <is>
          <t>00000000</t>
        </is>
      </c>
      <c r="F402" s="13" t="n">
        <v>-846</v>
      </c>
      <c r="G402" s="11" t="n">
        <v>11776508.37</v>
      </c>
    </row>
    <row r="403">
      <c r="A403" s="11" t="n">
        <v>402</v>
      </c>
      <c r="B403" s="12" t="n">
        <v>46027</v>
      </c>
      <c r="C403" s="11" t="inlineStr">
        <is>
          <t>GRAVAMEN A MOVIMIENTO FINANCIERO</t>
        </is>
      </c>
      <c r="D403" s="11" t="inlineStr">
        <is>
          <t>ORITO</t>
        </is>
      </c>
      <c r="E403" s="11" t="inlineStr">
        <is>
          <t>00000000</t>
        </is>
      </c>
      <c r="F403" s="13" t="n">
        <v>-3</v>
      </c>
      <c r="G403" s="11" t="n">
        <v>11776505.37</v>
      </c>
    </row>
    <row r="404">
      <c r="A404" s="11" t="n">
        <v>403</v>
      </c>
      <c r="B404" s="12" t="n">
        <v>46027</v>
      </c>
      <c r="C404" s="11" t="inlineStr">
        <is>
          <t>RETEFUENTE DEPOSITOS ELECTRONICOS MASTERCAR</t>
        </is>
      </c>
      <c r="D404" s="11" t="inlineStr">
        <is>
          <t>ORITO</t>
        </is>
      </c>
      <c r="E404" s="11" t="inlineStr">
        <is>
          <t>00000000</t>
        </is>
      </c>
      <c r="F404" s="13" t="n">
        <v>-540</v>
      </c>
      <c r="G404" s="11" t="n">
        <v>11775965.37</v>
      </c>
    </row>
    <row r="405">
      <c r="A405" s="11" t="n">
        <v>404</v>
      </c>
      <c r="B405" s="12" t="n">
        <v>46027</v>
      </c>
      <c r="C405" s="11" t="inlineStr">
        <is>
          <t>GRAVAMEN A MOVIMIENTO FINANCIERO</t>
        </is>
      </c>
      <c r="D405" s="11" t="inlineStr">
        <is>
          <t>ORITO</t>
        </is>
      </c>
      <c r="E405" s="11" t="inlineStr">
        <is>
          <t>00000000</t>
        </is>
      </c>
      <c r="F405" s="13" t="n">
        <v>-2</v>
      </c>
      <c r="G405" s="11" t="n">
        <v>11775963.37</v>
      </c>
    </row>
    <row r="406">
      <c r="A406" s="11" t="n">
        <v>405</v>
      </c>
      <c r="B406" s="12" t="n">
        <v>46027</v>
      </c>
      <c r="C406" s="11" t="inlineStr">
        <is>
          <t>DEPOSITOS ELECTRONICOS TRANSACCION MASTERCA</t>
        </is>
      </c>
      <c r="D406" s="11" t="inlineStr">
        <is>
          <t>ORITO</t>
        </is>
      </c>
      <c r="E406" s="11" t="inlineStr">
        <is>
          <t>00000000</t>
        </is>
      </c>
      <c r="F406" s="13" t="n">
        <v>359500</v>
      </c>
      <c r="G406" s="11" t="n">
        <v>12135463.37</v>
      </c>
    </row>
    <row r="407">
      <c r="A407" s="11" t="n">
        <v>406</v>
      </c>
      <c r="B407" s="12" t="n">
        <v>46027</v>
      </c>
      <c r="C407" s="11" t="inlineStr">
        <is>
          <t>COMISION DEPOSITOS ELECTRONICOS MASTERCARD</t>
        </is>
      </c>
      <c r="D407" s="11" t="inlineStr">
        <is>
          <t>ORITO</t>
        </is>
      </c>
      <c r="E407" s="11" t="inlineStr">
        <is>
          <t>00000000</t>
        </is>
      </c>
      <c r="F407" s="13" t="n">
        <v>-8448</v>
      </c>
      <c r="G407" s="11" t="n">
        <v>12127015.37</v>
      </c>
    </row>
    <row r="408">
      <c r="A408" s="11" t="n">
        <v>407</v>
      </c>
      <c r="B408" s="12" t="n">
        <v>46027</v>
      </c>
      <c r="C408" s="11" t="inlineStr">
        <is>
          <t>GRAVAMEN A MOVIMIENTO FINANCIERO</t>
        </is>
      </c>
      <c r="D408" s="11" t="inlineStr">
        <is>
          <t>ORITO</t>
        </is>
      </c>
      <c r="E408" s="11" t="inlineStr">
        <is>
          <t>00000000</t>
        </is>
      </c>
      <c r="F408" s="13" t="n">
        <v>-34</v>
      </c>
      <c r="G408" s="11" t="n">
        <v>12126981.37</v>
      </c>
    </row>
    <row r="409">
      <c r="A409" s="11" t="n">
        <v>408</v>
      </c>
      <c r="B409" s="12" t="n">
        <v>46027</v>
      </c>
      <c r="C409" s="11" t="inlineStr">
        <is>
          <t>RETEFUENTE DEPOSITOS ELECTRONICOS MASTERCAR</t>
        </is>
      </c>
      <c r="D409" s="11" t="inlineStr">
        <is>
          <t>ORITO</t>
        </is>
      </c>
      <c r="E409" s="11" t="inlineStr">
        <is>
          <t>00000000</t>
        </is>
      </c>
      <c r="F409" s="13" t="n">
        <v>-5393</v>
      </c>
      <c r="G409" s="11" t="n">
        <v>12121588.37</v>
      </c>
    </row>
    <row r="410">
      <c r="A410" s="11" t="n">
        <v>409</v>
      </c>
      <c r="B410" s="12" t="n">
        <v>46027</v>
      </c>
      <c r="C410" s="11" t="inlineStr">
        <is>
          <t>GRAVAMEN A MOVIMIENTO FINANCIERO</t>
        </is>
      </c>
      <c r="D410" s="11" t="inlineStr">
        <is>
          <t>ORITO</t>
        </is>
      </c>
      <c r="E410" s="11" t="inlineStr">
        <is>
          <t>00000000</t>
        </is>
      </c>
      <c r="F410" s="13" t="n">
        <v>-22</v>
      </c>
      <c r="G410" s="11" t="n">
        <v>12121566.37</v>
      </c>
    </row>
    <row r="411">
      <c r="A411" s="11" t="n">
        <v>410</v>
      </c>
      <c r="B411" s="12" t="n">
        <v>46027</v>
      </c>
      <c r="C411" s="11" t="inlineStr">
        <is>
          <t>DEPOSITOS ELECTRONICOS TRANSACCION MASTERCA</t>
        </is>
      </c>
      <c r="D411" s="11" t="inlineStr">
        <is>
          <t>ORITO</t>
        </is>
      </c>
      <c r="E411" s="11" t="inlineStr">
        <is>
          <t>00000000</t>
        </is>
      </c>
      <c r="F411" s="13" t="n">
        <v>32000</v>
      </c>
      <c r="G411" s="11" t="n">
        <v>12153566.37</v>
      </c>
    </row>
    <row r="412">
      <c r="A412" s="11" t="n">
        <v>411</v>
      </c>
      <c r="B412" s="12" t="n">
        <v>46027</v>
      </c>
      <c r="C412" s="11" t="inlineStr">
        <is>
          <t>COMISION DEPOSITOS ELECTRONICOS MASTERCARD</t>
        </is>
      </c>
      <c r="D412" s="11" t="inlineStr">
        <is>
          <t>ORITO</t>
        </is>
      </c>
      <c r="E412" s="11" t="inlineStr">
        <is>
          <t>00000000</t>
        </is>
      </c>
      <c r="F412" s="13" t="n">
        <v>-608</v>
      </c>
      <c r="G412" s="11" t="n">
        <v>12152958.37</v>
      </c>
    </row>
    <row r="413">
      <c r="A413" s="11" t="n">
        <v>412</v>
      </c>
      <c r="B413" s="12" t="n">
        <v>46027</v>
      </c>
      <c r="C413" s="11" t="inlineStr">
        <is>
          <t>GRAVAMEN A MOVIMIENTO FINANCIERO</t>
        </is>
      </c>
      <c r="D413" s="11" t="inlineStr">
        <is>
          <t>ORITO</t>
        </is>
      </c>
      <c r="E413" s="11" t="inlineStr">
        <is>
          <t>00000000</t>
        </is>
      </c>
      <c r="F413" s="13" t="n">
        <v>-2</v>
      </c>
      <c r="G413" s="11" t="n">
        <v>12152956.37</v>
      </c>
    </row>
    <row r="414">
      <c r="A414" s="11" t="n">
        <v>413</v>
      </c>
      <c r="B414" s="12" t="n">
        <v>46027</v>
      </c>
      <c r="C414" s="11" t="inlineStr">
        <is>
          <t>RETEFUENTE DEPOSITOS ELECTRONICOS MASTERCAR</t>
        </is>
      </c>
      <c r="D414" s="11" t="inlineStr">
        <is>
          <t>ORITO</t>
        </is>
      </c>
      <c r="E414" s="11" t="inlineStr">
        <is>
          <t>00000000</t>
        </is>
      </c>
      <c r="F414" s="13" t="n">
        <v>-480</v>
      </c>
      <c r="G414" s="11" t="n">
        <v>12152476.37</v>
      </c>
    </row>
    <row r="415">
      <c r="A415" s="11" t="n">
        <v>414</v>
      </c>
      <c r="B415" s="12" t="n">
        <v>46027</v>
      </c>
      <c r="C415" s="11" t="inlineStr">
        <is>
          <t>GRAVAMEN A MOVIMIENTO FINANCIERO</t>
        </is>
      </c>
      <c r="D415" s="11" t="inlineStr">
        <is>
          <t>ORITO</t>
        </is>
      </c>
      <c r="E415" s="11" t="inlineStr">
        <is>
          <t>00000000</t>
        </is>
      </c>
      <c r="F415" s="13" t="n">
        <v>-2</v>
      </c>
      <c r="G415" s="11" t="n">
        <v>12152474.37</v>
      </c>
    </row>
    <row r="416">
      <c r="A416" s="11" t="n">
        <v>415</v>
      </c>
      <c r="B416" s="12" t="n">
        <v>46027</v>
      </c>
      <c r="C416" s="11" t="inlineStr">
        <is>
          <t>DEPOSITOS ELECTRONICOS TRANSACCION MASTERCA</t>
        </is>
      </c>
      <c r="D416" s="11" t="inlineStr">
        <is>
          <t>ORITO</t>
        </is>
      </c>
      <c r="E416" s="11" t="inlineStr">
        <is>
          <t>00000000</t>
        </is>
      </c>
      <c r="F416" s="13" t="n">
        <v>22200</v>
      </c>
      <c r="G416" s="11" t="n">
        <v>12174674.37</v>
      </c>
    </row>
    <row r="417">
      <c r="A417" s="11" t="n">
        <v>416</v>
      </c>
      <c r="B417" s="12" t="n">
        <v>46027</v>
      </c>
      <c r="C417" s="11" t="inlineStr">
        <is>
          <t>COMISION DEPOSITOS ELECTRONICOS MASTERCARD</t>
        </is>
      </c>
      <c r="D417" s="11" t="inlineStr">
        <is>
          <t>ORITO</t>
        </is>
      </c>
      <c r="E417" s="11" t="inlineStr">
        <is>
          <t>00000000</t>
        </is>
      </c>
      <c r="F417" s="13" t="n">
        <v>-422</v>
      </c>
      <c r="G417" s="11" t="n">
        <v>12174252.37</v>
      </c>
    </row>
    <row r="418">
      <c r="A418" s="11" t="n">
        <v>417</v>
      </c>
      <c r="B418" s="12" t="n">
        <v>46027</v>
      </c>
      <c r="C418" s="11" t="inlineStr">
        <is>
          <t>GRAVAMEN A MOVIMIENTO FINANCIERO</t>
        </is>
      </c>
      <c r="D418" s="11" t="inlineStr">
        <is>
          <t>ORITO</t>
        </is>
      </c>
      <c r="E418" s="11" t="inlineStr">
        <is>
          <t>00000000</t>
        </is>
      </c>
      <c r="F418" s="13" t="n">
        <v>-2</v>
      </c>
      <c r="G418" s="11" t="n">
        <v>12174250.37</v>
      </c>
    </row>
    <row r="419">
      <c r="A419" s="11" t="n">
        <v>418</v>
      </c>
      <c r="B419" s="12" t="n">
        <v>46027</v>
      </c>
      <c r="C419" s="11" t="inlineStr">
        <is>
          <t>RETEFUENTE DEPOSITOS ELECTRONICOS MASTERCAR</t>
        </is>
      </c>
      <c r="D419" s="11" t="inlineStr">
        <is>
          <t>ORITO</t>
        </is>
      </c>
      <c r="E419" s="11" t="inlineStr">
        <is>
          <t>00000000</t>
        </is>
      </c>
      <c r="F419" s="13" t="n">
        <v>-333</v>
      </c>
      <c r="G419" s="11" t="n">
        <v>12173917.37</v>
      </c>
    </row>
    <row r="420">
      <c r="A420" s="11" t="n">
        <v>419</v>
      </c>
      <c r="B420" s="12" t="n">
        <v>46027</v>
      </c>
      <c r="C420" s="11" t="inlineStr">
        <is>
          <t>GRAVAMEN A MOVIMIENTO FINANCIERO</t>
        </is>
      </c>
      <c r="D420" s="11" t="inlineStr">
        <is>
          <t>ORITO</t>
        </is>
      </c>
      <c r="E420" s="11" t="inlineStr">
        <is>
          <t>00000000</t>
        </is>
      </c>
      <c r="F420" s="13" t="n">
        <v>-1</v>
      </c>
      <c r="G420" s="11" t="n">
        <v>12173916.37</v>
      </c>
    </row>
    <row r="421">
      <c r="A421" s="11" t="n">
        <v>420</v>
      </c>
      <c r="B421" s="12" t="n">
        <v>46027</v>
      </c>
      <c r="C421" s="11" t="inlineStr">
        <is>
          <t>DEPOSITOS ELECTRONICOS TRANSACCION MASTERCA</t>
        </is>
      </c>
      <c r="D421" s="11" t="inlineStr">
        <is>
          <t>ORITO</t>
        </is>
      </c>
      <c r="E421" s="11" t="inlineStr">
        <is>
          <t>00000000</t>
        </is>
      </c>
      <c r="F421" s="13" t="n">
        <v>81000</v>
      </c>
      <c r="G421" s="11" t="n">
        <v>12254916.37</v>
      </c>
    </row>
    <row r="422">
      <c r="A422" s="11" t="n">
        <v>421</v>
      </c>
      <c r="B422" s="12" t="n">
        <v>46027</v>
      </c>
      <c r="C422" s="11" t="inlineStr">
        <is>
          <t>COMISION DEPOSITOS ELECTRONICOS MASTERCARD</t>
        </is>
      </c>
      <c r="D422" s="11" t="inlineStr">
        <is>
          <t>ORITO</t>
        </is>
      </c>
      <c r="E422" s="11" t="inlineStr">
        <is>
          <t>00000000</t>
        </is>
      </c>
      <c r="F422" s="13" t="n">
        <v>-1539</v>
      </c>
      <c r="G422" s="11" t="n">
        <v>12253377.37</v>
      </c>
    </row>
    <row r="423">
      <c r="A423" s="11" t="n">
        <v>422</v>
      </c>
      <c r="B423" s="12" t="n">
        <v>46027</v>
      </c>
      <c r="C423" s="11" t="inlineStr">
        <is>
          <t>GRAVAMEN A MOVIMIENTO FINANCIERO</t>
        </is>
      </c>
      <c r="D423" s="11" t="inlineStr">
        <is>
          <t>ORITO</t>
        </is>
      </c>
      <c r="E423" s="11" t="inlineStr">
        <is>
          <t>00000000</t>
        </is>
      </c>
      <c r="F423" s="13" t="n">
        <v>-6</v>
      </c>
      <c r="G423" s="11" t="n">
        <v>12253371.37</v>
      </c>
    </row>
    <row r="424">
      <c r="A424" s="11" t="n">
        <v>423</v>
      </c>
      <c r="B424" s="12" t="n">
        <v>46027</v>
      </c>
      <c r="C424" s="11" t="inlineStr">
        <is>
          <t>RETEFUENTE DEPOSITOS ELECTRONICOS MASTERCAR</t>
        </is>
      </c>
      <c r="D424" s="11" t="inlineStr">
        <is>
          <t>ORITO</t>
        </is>
      </c>
      <c r="E424" s="11" t="inlineStr">
        <is>
          <t>00000000</t>
        </is>
      </c>
      <c r="F424" s="13" t="n">
        <v>-1215</v>
      </c>
      <c r="G424" s="11" t="n">
        <v>12252156.37</v>
      </c>
    </row>
    <row r="425">
      <c r="A425" s="11" t="n">
        <v>424</v>
      </c>
      <c r="B425" s="12" t="n">
        <v>46027</v>
      </c>
      <c r="C425" s="11" t="inlineStr">
        <is>
          <t>GRAVAMEN A MOVIMIENTO FINANCIERO</t>
        </is>
      </c>
      <c r="D425" s="11" t="inlineStr">
        <is>
          <t>ORITO</t>
        </is>
      </c>
      <c r="E425" s="11" t="inlineStr">
        <is>
          <t>00000000</t>
        </is>
      </c>
      <c r="F425" s="13" t="n">
        <v>-5</v>
      </c>
      <c r="G425" s="11" t="n">
        <v>12252151.37</v>
      </c>
    </row>
    <row r="426">
      <c r="A426" s="11" t="n">
        <v>425</v>
      </c>
      <c r="B426" s="12" t="n">
        <v>46027</v>
      </c>
      <c r="C426" s="11" t="inlineStr">
        <is>
          <t>DEPOSITOS ELECTRONICOS TRANSACCION MASTERCA</t>
        </is>
      </c>
      <c r="D426" s="11" t="inlineStr">
        <is>
          <t>ORITO</t>
        </is>
      </c>
      <c r="E426" s="11" t="inlineStr">
        <is>
          <t>00000000</t>
        </is>
      </c>
      <c r="F426" s="13" t="n">
        <v>52200</v>
      </c>
      <c r="G426" s="11" t="n">
        <v>12304351.37</v>
      </c>
    </row>
    <row r="427">
      <c r="A427" s="11" t="n">
        <v>426</v>
      </c>
      <c r="B427" s="12" t="n">
        <v>46027</v>
      </c>
      <c r="C427" s="11" t="inlineStr">
        <is>
          <t>COMISION DEPOSITOS ELECTRONICOS MASTERCARD</t>
        </is>
      </c>
      <c r="D427" s="11" t="inlineStr">
        <is>
          <t>ORITO</t>
        </is>
      </c>
      <c r="E427" s="11" t="inlineStr">
        <is>
          <t>00000000</t>
        </is>
      </c>
      <c r="F427" s="13" t="n">
        <v>-992</v>
      </c>
      <c r="G427" s="11" t="n">
        <v>12303359.37</v>
      </c>
    </row>
    <row r="428">
      <c r="A428" s="11" t="n">
        <v>427</v>
      </c>
      <c r="B428" s="12" t="n">
        <v>46027</v>
      </c>
      <c r="C428" s="11" t="inlineStr">
        <is>
          <t>GRAVAMEN A MOVIMIENTO FINANCIERO</t>
        </is>
      </c>
      <c r="D428" s="11" t="inlineStr">
        <is>
          <t>ORITO</t>
        </is>
      </c>
      <c r="E428" s="11" t="inlineStr">
        <is>
          <t>00000000</t>
        </is>
      </c>
      <c r="F428" s="13" t="n">
        <v>-4</v>
      </c>
      <c r="G428" s="11" t="n">
        <v>12303355.37</v>
      </c>
    </row>
    <row r="429">
      <c r="A429" s="11" t="n">
        <v>428</v>
      </c>
      <c r="B429" s="12" t="n">
        <v>46027</v>
      </c>
      <c r="C429" s="11" t="inlineStr">
        <is>
          <t>RETEFUENTE DEPOSITOS ELECTRONICOS MASTERCAR</t>
        </is>
      </c>
      <c r="D429" s="11" t="inlineStr">
        <is>
          <t>ORITO</t>
        </is>
      </c>
      <c r="E429" s="11" t="inlineStr">
        <is>
          <t>00000000</t>
        </is>
      </c>
      <c r="F429" s="13" t="n">
        <v>-783</v>
      </c>
      <c r="G429" s="11" t="n">
        <v>12302572.37</v>
      </c>
    </row>
    <row r="430">
      <c r="A430" s="11" t="n">
        <v>429</v>
      </c>
      <c r="B430" s="12" t="n">
        <v>46027</v>
      </c>
      <c r="C430" s="11" t="inlineStr">
        <is>
          <t>GRAVAMEN A MOVIMIENTO FINANCIERO</t>
        </is>
      </c>
      <c r="D430" s="11" t="inlineStr">
        <is>
          <t>ORITO</t>
        </is>
      </c>
      <c r="E430" s="11" t="inlineStr">
        <is>
          <t>00000000</t>
        </is>
      </c>
      <c r="F430" s="13" t="n">
        <v>-3</v>
      </c>
      <c r="G430" s="11" t="n">
        <v>12302569.37</v>
      </c>
    </row>
    <row r="431">
      <c r="A431" s="11" t="n">
        <v>430</v>
      </c>
      <c r="B431" s="12" t="n">
        <v>46028</v>
      </c>
      <c r="C431" s="11" t="inlineStr">
        <is>
          <t>CONSIGNACION CREDIBANCO D E</t>
        </is>
      </c>
      <c r="D431" s="11" t="inlineStr">
        <is>
          <t>ORITO</t>
        </is>
      </c>
      <c r="E431" s="11" t="inlineStr">
        <is>
          <t>00000000</t>
        </is>
      </c>
      <c r="F431" s="13" t="n">
        <v>46100</v>
      </c>
      <c r="G431" s="11" t="n">
        <v>12348669.37</v>
      </c>
    </row>
    <row r="432">
      <c r="A432" s="11" t="n">
        <v>431</v>
      </c>
      <c r="B432" s="12" t="n">
        <v>46028</v>
      </c>
      <c r="C432" s="11" t="inlineStr">
        <is>
          <t>COBRO COMISION DEPOSITOS ELECTRONICOS</t>
        </is>
      </c>
      <c r="D432" s="11" t="inlineStr">
        <is>
          <t>ORITO</t>
        </is>
      </c>
      <c r="E432" s="11" t="inlineStr">
        <is>
          <t>00000000</t>
        </is>
      </c>
      <c r="F432" s="13" t="n">
        <v>-373</v>
      </c>
      <c r="G432" s="11" t="n">
        <v>12348296.37</v>
      </c>
    </row>
    <row r="433">
      <c r="A433" s="11" t="n">
        <v>432</v>
      </c>
      <c r="B433" s="12" t="n">
        <v>46028</v>
      </c>
      <c r="C433" s="11" t="inlineStr">
        <is>
          <t>GRAVAMEN A MOVIMIENTO FINANCIERO</t>
        </is>
      </c>
      <c r="D433" s="11" t="inlineStr">
        <is>
          <t>ORITO</t>
        </is>
      </c>
      <c r="E433" s="11" t="inlineStr">
        <is>
          <t>00000000</t>
        </is>
      </c>
      <c r="F433" s="13" t="n">
        <v>-1</v>
      </c>
      <c r="G433" s="11" t="n">
        <v>12348295.37</v>
      </c>
    </row>
    <row r="434">
      <c r="A434" s="11" t="n">
        <v>433</v>
      </c>
      <c r="B434" s="12" t="n">
        <v>46028</v>
      </c>
      <c r="C434" s="11" t="inlineStr">
        <is>
          <t>RETEFUENTE D E Y VOUCHER CREDIBANCO</t>
        </is>
      </c>
      <c r="D434" s="11" t="inlineStr">
        <is>
          <t>ORITO</t>
        </is>
      </c>
      <c r="E434" s="11" t="inlineStr">
        <is>
          <t>00000000</t>
        </is>
      </c>
      <c r="F434" s="13" t="n">
        <v>-692</v>
      </c>
      <c r="G434" s="11" t="n">
        <v>12347603.37</v>
      </c>
    </row>
    <row r="435">
      <c r="A435" s="11" t="n">
        <v>434</v>
      </c>
      <c r="B435" s="12" t="n">
        <v>46028</v>
      </c>
      <c r="C435" s="11" t="inlineStr">
        <is>
          <t>GRAVAMEN A MOVIMIENTO FINANCIERO</t>
        </is>
      </c>
      <c r="D435" s="11" t="inlineStr">
        <is>
          <t>ORITO</t>
        </is>
      </c>
      <c r="E435" s="11" t="inlineStr">
        <is>
          <t>00000000</t>
        </is>
      </c>
      <c r="F435" s="13" t="n">
        <v>-3</v>
      </c>
      <c r="G435" s="11" t="n">
        <v>12347600.37</v>
      </c>
    </row>
    <row r="436">
      <c r="A436" s="11" t="n">
        <v>435</v>
      </c>
      <c r="B436" s="12" t="n">
        <v>46028</v>
      </c>
      <c r="C436" s="11" t="inlineStr">
        <is>
          <t>CONSIGNACION CREDIBANCO D E</t>
        </is>
      </c>
      <c r="D436" s="11" t="inlineStr">
        <is>
          <t>ORITO</t>
        </is>
      </c>
      <c r="E436" s="11" t="inlineStr">
        <is>
          <t>00000000</t>
        </is>
      </c>
      <c r="F436" s="13" t="n">
        <v>128500</v>
      </c>
      <c r="G436" s="11" t="n">
        <v>12476100.37</v>
      </c>
    </row>
    <row r="437">
      <c r="A437" s="11" t="n">
        <v>436</v>
      </c>
      <c r="B437" s="12" t="n">
        <v>46028</v>
      </c>
      <c r="C437" s="11" t="inlineStr">
        <is>
          <t>COBRO COMISION DEPOSITOS ELECTRONICOS</t>
        </is>
      </c>
      <c r="D437" s="11" t="inlineStr">
        <is>
          <t>ORITO</t>
        </is>
      </c>
      <c r="E437" s="11" t="inlineStr">
        <is>
          <t>00000000</t>
        </is>
      </c>
      <c r="F437" s="13" t="n">
        <v>-2776</v>
      </c>
      <c r="G437" s="11" t="n">
        <v>12473324.37</v>
      </c>
    </row>
    <row r="438">
      <c r="A438" s="11" t="n">
        <v>437</v>
      </c>
      <c r="B438" s="12" t="n">
        <v>46028</v>
      </c>
      <c r="C438" s="11" t="inlineStr">
        <is>
          <t>GRAVAMEN A MOVIMIENTO FINANCIERO</t>
        </is>
      </c>
      <c r="D438" s="11" t="inlineStr">
        <is>
          <t>ORITO</t>
        </is>
      </c>
      <c r="E438" s="11" t="inlineStr">
        <is>
          <t>00000000</t>
        </is>
      </c>
      <c r="F438" s="13" t="n">
        <v>-11</v>
      </c>
      <c r="G438" s="11" t="n">
        <v>12473313.37</v>
      </c>
    </row>
    <row r="439">
      <c r="A439" s="11" t="n">
        <v>438</v>
      </c>
      <c r="B439" s="12" t="n">
        <v>46028</v>
      </c>
      <c r="C439" s="11" t="inlineStr">
        <is>
          <t>RETEFUENTE D E Y VOUCHER CREDIBANCO</t>
        </is>
      </c>
      <c r="D439" s="11" t="inlineStr">
        <is>
          <t>ORITO</t>
        </is>
      </c>
      <c r="E439" s="11" t="inlineStr">
        <is>
          <t>00000000</t>
        </is>
      </c>
      <c r="F439" s="13" t="n">
        <v>-1928</v>
      </c>
      <c r="G439" s="11" t="n">
        <v>12471385.37</v>
      </c>
    </row>
    <row r="440">
      <c r="A440" s="11" t="n">
        <v>439</v>
      </c>
      <c r="B440" s="12" t="n">
        <v>46028</v>
      </c>
      <c r="C440" s="11" t="inlineStr">
        <is>
          <t>GRAVAMEN A MOVIMIENTO FINANCIERO</t>
        </is>
      </c>
      <c r="D440" s="11" t="inlineStr">
        <is>
          <t>ORITO</t>
        </is>
      </c>
      <c r="E440" s="11" t="inlineStr">
        <is>
          <t>00000000</t>
        </is>
      </c>
      <c r="F440" s="13" t="n">
        <v>-8</v>
      </c>
      <c r="G440" s="11" t="n">
        <v>12471377.37</v>
      </c>
    </row>
    <row r="441">
      <c r="A441" s="11" t="n">
        <v>440</v>
      </c>
      <c r="B441" s="12" t="n">
        <v>46028</v>
      </c>
      <c r="C441" s="11" t="inlineStr">
        <is>
          <t>CONSIGNACION CREDIBANCO D E</t>
        </is>
      </c>
      <c r="D441" s="11" t="inlineStr">
        <is>
          <t>ORITO</t>
        </is>
      </c>
      <c r="E441" s="11" t="inlineStr">
        <is>
          <t>00000000</t>
        </is>
      </c>
      <c r="F441" s="13" t="n">
        <v>512225</v>
      </c>
      <c r="G441" s="11" t="n">
        <v>12983602.37</v>
      </c>
    </row>
    <row r="442">
      <c r="A442" s="11" t="n">
        <v>441</v>
      </c>
      <c r="B442" s="12" t="n">
        <v>46028</v>
      </c>
      <c r="C442" s="11" t="inlineStr">
        <is>
          <t>COBRO COMISION DEPOSITOS ELECTRONICOS</t>
        </is>
      </c>
      <c r="D442" s="11" t="inlineStr">
        <is>
          <t>ORITO</t>
        </is>
      </c>
      <c r="E442" s="11" t="inlineStr">
        <is>
          <t>00000000</t>
        </is>
      </c>
      <c r="F442" s="13" t="n">
        <v>-11064</v>
      </c>
      <c r="G442" s="11" t="n">
        <v>12972538.37</v>
      </c>
    </row>
    <row r="443">
      <c r="A443" s="11" t="n">
        <v>442</v>
      </c>
      <c r="B443" s="12" t="n">
        <v>46028</v>
      </c>
      <c r="C443" s="11" t="inlineStr">
        <is>
          <t>GRAVAMEN A MOVIMIENTO FINANCIERO</t>
        </is>
      </c>
      <c r="D443" s="11" t="inlineStr">
        <is>
          <t>ORITO</t>
        </is>
      </c>
      <c r="E443" s="11" t="inlineStr">
        <is>
          <t>00000000</t>
        </is>
      </c>
      <c r="F443" s="13" t="n">
        <v>-44</v>
      </c>
      <c r="G443" s="11" t="n">
        <v>12972494.37</v>
      </c>
    </row>
    <row r="444">
      <c r="A444" s="11" t="n">
        <v>443</v>
      </c>
      <c r="B444" s="12" t="n">
        <v>46028</v>
      </c>
      <c r="C444" s="11" t="inlineStr">
        <is>
          <t>RETEFUENTE D E Y VOUCHER CREDIBANCO</t>
        </is>
      </c>
      <c r="D444" s="11" t="inlineStr">
        <is>
          <t>ORITO</t>
        </is>
      </c>
      <c r="E444" s="11" t="inlineStr">
        <is>
          <t>00000000</t>
        </is>
      </c>
      <c r="F444" s="13" t="n">
        <v>-7683</v>
      </c>
      <c r="G444" s="11" t="n">
        <v>12964811.37</v>
      </c>
    </row>
    <row r="445">
      <c r="A445" s="11" t="n">
        <v>444</v>
      </c>
      <c r="B445" s="12" t="n">
        <v>46028</v>
      </c>
      <c r="C445" s="11" t="inlineStr">
        <is>
          <t>GRAVAMEN A MOVIMIENTO FINANCIERO</t>
        </is>
      </c>
      <c r="D445" s="11" t="inlineStr">
        <is>
          <t>ORITO</t>
        </is>
      </c>
      <c r="E445" s="11" t="inlineStr">
        <is>
          <t>00000000</t>
        </is>
      </c>
      <c r="F445" s="13" t="n">
        <v>-31</v>
      </c>
      <c r="G445" s="11" t="n">
        <v>12964780.37</v>
      </c>
    </row>
    <row r="446">
      <c r="A446" s="11" t="n">
        <v>445</v>
      </c>
      <c r="B446" s="12" t="n">
        <v>46028</v>
      </c>
      <c r="C446" s="11" t="inlineStr">
        <is>
          <t>CONSIGNACION CREDIBANCO D E</t>
        </is>
      </c>
      <c r="D446" s="11" t="inlineStr">
        <is>
          <t>ORITO</t>
        </is>
      </c>
      <c r="E446" s="11" t="inlineStr">
        <is>
          <t>00000000</t>
        </is>
      </c>
      <c r="F446" s="13" t="n">
        <v>27195</v>
      </c>
      <c r="G446" s="11" t="n">
        <v>12991975.37</v>
      </c>
    </row>
    <row r="447">
      <c r="A447" s="11" t="n">
        <v>446</v>
      </c>
      <c r="B447" s="12" t="n">
        <v>46028</v>
      </c>
      <c r="C447" s="11" t="inlineStr">
        <is>
          <t>COBRO COMISION DEPOSITOS ELECTRONICOS</t>
        </is>
      </c>
      <c r="D447" s="11" t="inlineStr">
        <is>
          <t>ORITO</t>
        </is>
      </c>
      <c r="E447" s="11" t="inlineStr">
        <is>
          <t>00000000</t>
        </is>
      </c>
      <c r="F447" s="13" t="n">
        <v>-587</v>
      </c>
      <c r="G447" s="11" t="n">
        <v>12991388.37</v>
      </c>
    </row>
    <row r="448">
      <c r="A448" s="11" t="n">
        <v>447</v>
      </c>
      <c r="B448" s="12" t="n">
        <v>46028</v>
      </c>
      <c r="C448" s="11" t="inlineStr">
        <is>
          <t>GRAVAMEN A MOVIMIENTO FINANCIERO</t>
        </is>
      </c>
      <c r="D448" s="11" t="inlineStr">
        <is>
          <t>ORITO</t>
        </is>
      </c>
      <c r="E448" s="11" t="inlineStr">
        <is>
          <t>00000000</t>
        </is>
      </c>
      <c r="F448" s="13" t="n">
        <v>-2</v>
      </c>
      <c r="G448" s="11" t="n">
        <v>12991386.37</v>
      </c>
    </row>
    <row r="449">
      <c r="A449" s="11" t="n">
        <v>448</v>
      </c>
      <c r="B449" s="12" t="n">
        <v>46028</v>
      </c>
      <c r="C449" s="11" t="inlineStr">
        <is>
          <t>RETEFUENTE D E Y VOUCHER CREDIBANCO</t>
        </is>
      </c>
      <c r="D449" s="11" t="inlineStr">
        <is>
          <t>ORITO</t>
        </is>
      </c>
      <c r="E449" s="11" t="inlineStr">
        <is>
          <t>00000000</t>
        </is>
      </c>
      <c r="F449" s="13" t="n">
        <v>-408</v>
      </c>
      <c r="G449" s="11" t="n">
        <v>12990978.37</v>
      </c>
    </row>
    <row r="450">
      <c r="A450" s="11" t="n">
        <v>449</v>
      </c>
      <c r="B450" s="12" t="n">
        <v>46028</v>
      </c>
      <c r="C450" s="11" t="inlineStr">
        <is>
          <t>GRAVAMEN A MOVIMIENTO FINANCIERO</t>
        </is>
      </c>
      <c r="D450" s="11" t="inlineStr">
        <is>
          <t>ORITO</t>
        </is>
      </c>
      <c r="E450" s="11" t="inlineStr">
        <is>
          <t>00000000</t>
        </is>
      </c>
      <c r="F450" s="13" t="n">
        <v>-2</v>
      </c>
      <c r="G450" s="11" t="n">
        <v>12990976.37</v>
      </c>
    </row>
    <row r="451">
      <c r="A451" s="11" t="n">
        <v>450</v>
      </c>
      <c r="B451" s="12" t="n">
        <v>46028</v>
      </c>
      <c r="C451" s="11" t="inlineStr">
        <is>
          <t>CONSIGNACION CREDIBANCO D E</t>
        </is>
      </c>
      <c r="D451" s="11" t="inlineStr">
        <is>
          <t>ORITO</t>
        </is>
      </c>
      <c r="E451" s="11" t="inlineStr">
        <is>
          <t>00000000</t>
        </is>
      </c>
      <c r="F451" s="13" t="n">
        <v>26000</v>
      </c>
      <c r="G451" s="11" t="n">
        <v>13016976.37</v>
      </c>
    </row>
    <row r="452">
      <c r="A452" s="11" t="n">
        <v>451</v>
      </c>
      <c r="B452" s="12" t="n">
        <v>46028</v>
      </c>
      <c r="C452" s="11" t="inlineStr">
        <is>
          <t>COBRO COMISION DEPOSITOS ELECTRONICOS</t>
        </is>
      </c>
      <c r="D452" s="11" t="inlineStr">
        <is>
          <t>ORITO</t>
        </is>
      </c>
      <c r="E452" s="11" t="inlineStr">
        <is>
          <t>00000000</t>
        </is>
      </c>
      <c r="F452" s="13" t="n">
        <v>-569</v>
      </c>
      <c r="G452" s="11" t="n">
        <v>13016407.37</v>
      </c>
    </row>
    <row r="453">
      <c r="A453" s="11" t="n">
        <v>452</v>
      </c>
      <c r="B453" s="12" t="n">
        <v>46028</v>
      </c>
      <c r="C453" s="11" t="inlineStr">
        <is>
          <t>GRAVAMEN A MOVIMIENTO FINANCIERO</t>
        </is>
      </c>
      <c r="D453" s="11" t="inlineStr">
        <is>
          <t>ORITO</t>
        </is>
      </c>
      <c r="E453" s="11" t="inlineStr">
        <is>
          <t>00000000</t>
        </is>
      </c>
      <c r="F453" s="13" t="n">
        <v>-2</v>
      </c>
      <c r="G453" s="11" t="n">
        <v>13016405.37</v>
      </c>
    </row>
    <row r="454">
      <c r="A454" s="11" t="n">
        <v>453</v>
      </c>
      <c r="B454" s="12" t="n">
        <v>46028</v>
      </c>
      <c r="C454" s="11" t="inlineStr">
        <is>
          <t>RETEFUENTE D E Y VOUCHER CREDIBANCO</t>
        </is>
      </c>
      <c r="D454" s="11" t="inlineStr">
        <is>
          <t>ORITO</t>
        </is>
      </c>
      <c r="E454" s="11" t="inlineStr">
        <is>
          <t>00000000</t>
        </is>
      </c>
      <c r="F454" s="13" t="n">
        <v>-390</v>
      </c>
      <c r="G454" s="11" t="n">
        <v>13016015.37</v>
      </c>
    </row>
    <row r="455">
      <c r="A455" s="11" t="n">
        <v>454</v>
      </c>
      <c r="B455" s="12" t="n">
        <v>46028</v>
      </c>
      <c r="C455" s="11" t="inlineStr">
        <is>
          <t>GRAVAMEN A MOVIMIENTO FINANCIERO</t>
        </is>
      </c>
      <c r="D455" s="11" t="inlineStr">
        <is>
          <t>ORITO</t>
        </is>
      </c>
      <c r="E455" s="11" t="inlineStr">
        <is>
          <t>00000000</t>
        </is>
      </c>
      <c r="F455" s="13" t="n">
        <v>-2</v>
      </c>
      <c r="G455" s="11" t="n">
        <v>13016013.37</v>
      </c>
    </row>
    <row r="456">
      <c r="A456" s="11" t="n">
        <v>455</v>
      </c>
      <c r="B456" s="12" t="n">
        <v>46028</v>
      </c>
      <c r="C456" s="11" t="inlineStr">
        <is>
          <t>DEPOSITOS ELECTRONICOS TRANSACCION MASTERCA</t>
        </is>
      </c>
      <c r="D456" s="11" t="inlineStr">
        <is>
          <t>ORITO</t>
        </is>
      </c>
      <c r="E456" s="11" t="inlineStr">
        <is>
          <t>00000000</t>
        </is>
      </c>
      <c r="F456" s="13" t="n">
        <v>38615</v>
      </c>
      <c r="G456" s="11" t="n">
        <v>13054628.37</v>
      </c>
    </row>
    <row r="457">
      <c r="A457" s="11" t="n">
        <v>456</v>
      </c>
      <c r="B457" s="12" t="n">
        <v>46028</v>
      </c>
      <c r="C457" s="11" t="inlineStr">
        <is>
          <t>COMISION DEPOSITOS ELECTRONICOS MASTERCARD</t>
        </is>
      </c>
      <c r="D457" s="11" t="inlineStr">
        <is>
          <t>ORITO</t>
        </is>
      </c>
      <c r="E457" s="11" t="inlineStr">
        <is>
          <t>00000000</t>
        </is>
      </c>
      <c r="F457" s="13" t="n">
        <v>-734</v>
      </c>
      <c r="G457" s="11" t="n">
        <v>13053894.37</v>
      </c>
    </row>
    <row r="458">
      <c r="A458" s="11" t="n">
        <v>457</v>
      </c>
      <c r="B458" s="12" t="n">
        <v>46028</v>
      </c>
      <c r="C458" s="11" t="inlineStr">
        <is>
          <t>GRAVAMEN A MOVIMIENTO FINANCIERO</t>
        </is>
      </c>
      <c r="D458" s="11" t="inlineStr">
        <is>
          <t>ORITO</t>
        </is>
      </c>
      <c r="E458" s="11" t="inlineStr">
        <is>
          <t>00000000</t>
        </is>
      </c>
      <c r="F458" s="13" t="n">
        <v>-3</v>
      </c>
      <c r="G458" s="11" t="n">
        <v>13053891.37</v>
      </c>
    </row>
    <row r="459">
      <c r="A459" s="11" t="n">
        <v>458</v>
      </c>
      <c r="B459" s="12" t="n">
        <v>46028</v>
      </c>
      <c r="C459" s="11" t="inlineStr">
        <is>
          <t>RETEFUENTE DEPOSITOS ELECTRONICOS MASTERCAR</t>
        </is>
      </c>
      <c r="D459" s="11" t="inlineStr">
        <is>
          <t>ORITO</t>
        </is>
      </c>
      <c r="E459" s="11" t="inlineStr">
        <is>
          <t>00000000</t>
        </is>
      </c>
      <c r="F459" s="13" t="n">
        <v>-579</v>
      </c>
      <c r="G459" s="11" t="n">
        <v>13053312.37</v>
      </c>
    </row>
    <row r="460">
      <c r="A460" s="11" t="n">
        <v>459</v>
      </c>
      <c r="B460" s="12" t="n">
        <v>46028</v>
      </c>
      <c r="C460" s="11" t="inlineStr">
        <is>
          <t>GRAVAMEN A MOVIMIENTO FINANCIERO</t>
        </is>
      </c>
      <c r="D460" s="11" t="inlineStr">
        <is>
          <t>ORITO</t>
        </is>
      </c>
      <c r="E460" s="11" t="inlineStr">
        <is>
          <t>00000000</t>
        </is>
      </c>
      <c r="F460" s="13" t="n">
        <v>-2</v>
      </c>
      <c r="G460" s="11" t="n">
        <v>13053310.37</v>
      </c>
    </row>
    <row r="461">
      <c r="A461" s="11" t="n">
        <v>460</v>
      </c>
      <c r="B461" s="12" t="n">
        <v>46028</v>
      </c>
      <c r="C461" s="11" t="inlineStr">
        <is>
          <t>DEPOSITOS ELECTRONICOS TRANSACCION MASTERCA</t>
        </is>
      </c>
      <c r="D461" s="11" t="inlineStr">
        <is>
          <t>ORITO</t>
        </is>
      </c>
      <c r="E461" s="11" t="inlineStr">
        <is>
          <t>00000000</t>
        </is>
      </c>
      <c r="F461" s="13" t="n">
        <v>63600</v>
      </c>
      <c r="G461" s="11" t="n">
        <v>13116910.37</v>
      </c>
    </row>
    <row r="462">
      <c r="A462" s="11" t="n">
        <v>461</v>
      </c>
      <c r="B462" s="12" t="n">
        <v>46028</v>
      </c>
      <c r="C462" s="11" t="inlineStr">
        <is>
          <t>COMISION DEPOSITOS ELECTRONICOS MASTERCARD</t>
        </is>
      </c>
      <c r="D462" s="11" t="inlineStr">
        <is>
          <t>ORITO</t>
        </is>
      </c>
      <c r="E462" s="11" t="inlineStr">
        <is>
          <t>00000000</t>
        </is>
      </c>
      <c r="F462" s="13" t="n">
        <v>-1208</v>
      </c>
      <c r="G462" s="11" t="n">
        <v>13115702.37</v>
      </c>
    </row>
    <row r="463">
      <c r="A463" s="11" t="n">
        <v>462</v>
      </c>
      <c r="B463" s="12" t="n">
        <v>46028</v>
      </c>
      <c r="C463" s="11" t="inlineStr">
        <is>
          <t>GRAVAMEN A MOVIMIENTO FINANCIERO</t>
        </is>
      </c>
      <c r="D463" s="11" t="inlineStr">
        <is>
          <t>ORITO</t>
        </is>
      </c>
      <c r="E463" s="11" t="inlineStr">
        <is>
          <t>00000000</t>
        </is>
      </c>
      <c r="F463" s="13" t="n">
        <v>-5</v>
      </c>
      <c r="G463" s="11" t="n">
        <v>13115697.37</v>
      </c>
    </row>
    <row r="464">
      <c r="A464" s="11" t="n">
        <v>463</v>
      </c>
      <c r="B464" s="12" t="n">
        <v>46028</v>
      </c>
      <c r="C464" s="11" t="inlineStr">
        <is>
          <t>RETEFUENTE DEPOSITOS ELECTRONICOS MASTERCAR</t>
        </is>
      </c>
      <c r="D464" s="11" t="inlineStr">
        <is>
          <t>ORITO</t>
        </is>
      </c>
      <c r="E464" s="11" t="inlineStr">
        <is>
          <t>00000000</t>
        </is>
      </c>
      <c r="F464" s="13" t="n">
        <v>-954</v>
      </c>
      <c r="G464" s="11" t="n">
        <v>13114743.37</v>
      </c>
    </row>
    <row r="465">
      <c r="A465" s="11" t="n">
        <v>464</v>
      </c>
      <c r="B465" s="12" t="n">
        <v>46028</v>
      </c>
      <c r="C465" s="11" t="inlineStr">
        <is>
          <t>GRAVAMEN A MOVIMIENTO FINANCIERO</t>
        </is>
      </c>
      <c r="D465" s="11" t="inlineStr">
        <is>
          <t>ORITO</t>
        </is>
      </c>
      <c r="E465" s="11" t="inlineStr">
        <is>
          <t>00000000</t>
        </is>
      </c>
      <c r="F465" s="13" t="n">
        <v>-4</v>
      </c>
      <c r="G465" s="11" t="n">
        <v>13114739.37</v>
      </c>
    </row>
    <row r="466">
      <c r="A466" s="11" t="n">
        <v>465</v>
      </c>
      <c r="B466" s="12" t="n">
        <v>46028</v>
      </c>
      <c r="C466" s="11" t="inlineStr">
        <is>
          <t>DEPOSITOS ELECTRONICOS TRANSACCION MASTERCA</t>
        </is>
      </c>
      <c r="D466" s="11" t="inlineStr">
        <is>
          <t>ORITO</t>
        </is>
      </c>
      <c r="E466" s="11" t="inlineStr">
        <is>
          <t>00000000</t>
        </is>
      </c>
      <c r="F466" s="13" t="n">
        <v>90500</v>
      </c>
      <c r="G466" s="11" t="n">
        <v>13205239.37</v>
      </c>
    </row>
    <row r="467">
      <c r="A467" s="11" t="n">
        <v>466</v>
      </c>
      <c r="B467" s="12" t="n">
        <v>46028</v>
      </c>
      <c r="C467" s="11" t="inlineStr">
        <is>
          <t>COMISION DEPOSITOS ELECTRONICOS MASTERCARD</t>
        </is>
      </c>
      <c r="D467" s="11" t="inlineStr">
        <is>
          <t>ORITO</t>
        </is>
      </c>
      <c r="E467" s="11" t="inlineStr">
        <is>
          <t>00000000</t>
        </is>
      </c>
      <c r="F467" s="13" t="n">
        <v>-1720</v>
      </c>
      <c r="G467" s="11" t="n">
        <v>13203519.37</v>
      </c>
    </row>
    <row r="468">
      <c r="A468" s="11" t="n">
        <v>467</v>
      </c>
      <c r="B468" s="12" t="n">
        <v>46028</v>
      </c>
      <c r="C468" s="11" t="inlineStr">
        <is>
          <t>GRAVAMEN A MOVIMIENTO FINANCIERO</t>
        </is>
      </c>
      <c r="D468" s="11" t="inlineStr">
        <is>
          <t>ORITO</t>
        </is>
      </c>
      <c r="E468" s="11" t="inlineStr">
        <is>
          <t>00000000</t>
        </is>
      </c>
      <c r="F468" s="13" t="n">
        <v>-7</v>
      </c>
      <c r="G468" s="11" t="n">
        <v>13203512.37</v>
      </c>
    </row>
    <row r="469">
      <c r="A469" s="11" t="n">
        <v>468</v>
      </c>
      <c r="B469" s="12" t="n">
        <v>46028</v>
      </c>
      <c r="C469" s="11" t="inlineStr">
        <is>
          <t>RETEFUENTE DEPOSITOS ELECTRONICOS MASTERCAR</t>
        </is>
      </c>
      <c r="D469" s="11" t="inlineStr">
        <is>
          <t>ORITO</t>
        </is>
      </c>
      <c r="E469" s="11" t="inlineStr">
        <is>
          <t>00000000</t>
        </is>
      </c>
      <c r="F469" s="13" t="n">
        <v>-1358</v>
      </c>
      <c r="G469" s="11" t="n">
        <v>13202154.37</v>
      </c>
    </row>
    <row r="470">
      <c r="A470" s="11" t="n">
        <v>469</v>
      </c>
      <c r="B470" s="12" t="n">
        <v>46028</v>
      </c>
      <c r="C470" s="11" t="inlineStr">
        <is>
          <t>GRAVAMEN A MOVIMIENTO FINANCIERO</t>
        </is>
      </c>
      <c r="D470" s="11" t="inlineStr">
        <is>
          <t>ORITO</t>
        </is>
      </c>
      <c r="E470" s="11" t="inlineStr">
        <is>
          <t>00000000</t>
        </is>
      </c>
      <c r="F470" s="13" t="n">
        <v>-5</v>
      </c>
      <c r="G470" s="11" t="n">
        <v>13202149.37</v>
      </c>
    </row>
    <row r="471">
      <c r="A471" s="11" t="n">
        <v>470</v>
      </c>
      <c r="B471" s="12" t="n">
        <v>46028</v>
      </c>
      <c r="C471" s="11" t="inlineStr">
        <is>
          <t>DEPOSITOS ELECTRONICOS TRANSACCION MASTERCA</t>
        </is>
      </c>
      <c r="D471" s="11" t="inlineStr">
        <is>
          <t>ORITO</t>
        </is>
      </c>
      <c r="E471" s="11" t="inlineStr">
        <is>
          <t>00000000</t>
        </is>
      </c>
      <c r="F471" s="13" t="n">
        <v>1265266</v>
      </c>
      <c r="G471" s="11" t="n">
        <v>14467415.37</v>
      </c>
    </row>
    <row r="472">
      <c r="A472" s="11" t="n">
        <v>471</v>
      </c>
      <c r="B472" s="12" t="n">
        <v>46028</v>
      </c>
      <c r="C472" s="11" t="inlineStr">
        <is>
          <t>COMISION DEPOSITOS ELECTRONICOS MASTERCARD</t>
        </is>
      </c>
      <c r="D472" s="11" t="inlineStr">
        <is>
          <t>ORITO</t>
        </is>
      </c>
      <c r="E472" s="11" t="inlineStr">
        <is>
          <t>00000000</t>
        </is>
      </c>
      <c r="F472" s="13" t="n">
        <v>-24040</v>
      </c>
      <c r="G472" s="11" t="n">
        <v>14443375.37</v>
      </c>
    </row>
    <row r="473">
      <c r="A473" s="11" t="n">
        <v>472</v>
      </c>
      <c r="B473" s="12" t="n">
        <v>46028</v>
      </c>
      <c r="C473" s="11" t="inlineStr">
        <is>
          <t>GRAVAMEN A MOVIMIENTO FINANCIERO</t>
        </is>
      </c>
      <c r="D473" s="11" t="inlineStr">
        <is>
          <t>ORITO</t>
        </is>
      </c>
      <c r="E473" s="11" t="inlineStr">
        <is>
          <t>00000000</t>
        </is>
      </c>
      <c r="F473" s="13" t="n">
        <v>-96</v>
      </c>
      <c r="G473" s="11" t="n">
        <v>14443279.37</v>
      </c>
    </row>
    <row r="474">
      <c r="A474" s="11" t="n">
        <v>473</v>
      </c>
      <c r="B474" s="12" t="n">
        <v>46028</v>
      </c>
      <c r="C474" s="11" t="inlineStr">
        <is>
          <t>RETEFUENTE DEPOSITOS ELECTRONICOS MASTERCAR</t>
        </is>
      </c>
      <c r="D474" s="11" t="inlineStr">
        <is>
          <t>ORITO</t>
        </is>
      </c>
      <c r="E474" s="11" t="inlineStr">
        <is>
          <t>00000000</t>
        </is>
      </c>
      <c r="F474" s="13" t="n">
        <v>-18979</v>
      </c>
      <c r="G474" s="11" t="n">
        <v>14424300.37</v>
      </c>
    </row>
    <row r="475">
      <c r="A475" s="11" t="n">
        <v>474</v>
      </c>
      <c r="B475" s="12" t="n">
        <v>46028</v>
      </c>
      <c r="C475" s="11" t="inlineStr">
        <is>
          <t>GRAVAMEN A MOVIMIENTO FINANCIERO</t>
        </is>
      </c>
      <c r="D475" s="11" t="inlineStr">
        <is>
          <t>ORITO</t>
        </is>
      </c>
      <c r="E475" s="11" t="inlineStr">
        <is>
          <t>00000000</t>
        </is>
      </c>
      <c r="F475" s="13" t="n">
        <v>-76</v>
      </c>
      <c r="G475" s="11" t="n">
        <v>14424224.37</v>
      </c>
    </row>
    <row r="476">
      <c r="A476" s="11" t="n">
        <v>475</v>
      </c>
      <c r="B476" s="12" t="n">
        <v>46029</v>
      </c>
      <c r="C476" s="11" t="inlineStr">
        <is>
          <t>CONSIGNACION CREDIBANCO D E</t>
        </is>
      </c>
      <c r="D476" s="11" t="inlineStr">
        <is>
          <t>ORITO</t>
        </is>
      </c>
      <c r="E476" s="11" t="inlineStr">
        <is>
          <t>00000000</t>
        </is>
      </c>
      <c r="F476" s="13" t="n">
        <v>20000</v>
      </c>
      <c r="G476" s="11" t="n">
        <v>14444224.37</v>
      </c>
    </row>
    <row r="477">
      <c r="A477" s="11" t="n">
        <v>476</v>
      </c>
      <c r="B477" s="12" t="n">
        <v>46029</v>
      </c>
      <c r="C477" s="11" t="inlineStr">
        <is>
          <t>COBRO COMISION DEPOSITOS ELECTRONICOS</t>
        </is>
      </c>
      <c r="D477" s="11" t="inlineStr">
        <is>
          <t>ORITO</t>
        </is>
      </c>
      <c r="E477" s="11" t="inlineStr">
        <is>
          <t>00000000</t>
        </is>
      </c>
      <c r="F477" s="13" t="n">
        <v>-438</v>
      </c>
      <c r="G477" s="11" t="n">
        <v>14443786.37</v>
      </c>
    </row>
    <row r="478">
      <c r="A478" s="11" t="n">
        <v>477</v>
      </c>
      <c r="B478" s="12" t="n">
        <v>46029</v>
      </c>
      <c r="C478" s="11" t="inlineStr">
        <is>
          <t>GRAVAMEN A MOVIMIENTO FINANCIERO</t>
        </is>
      </c>
      <c r="D478" s="11" t="inlineStr">
        <is>
          <t>ORITO</t>
        </is>
      </c>
      <c r="E478" s="11" t="inlineStr">
        <is>
          <t>00000000</t>
        </is>
      </c>
      <c r="F478" s="13" t="n">
        <v>-2</v>
      </c>
      <c r="G478" s="11" t="n">
        <v>14443784.37</v>
      </c>
    </row>
    <row r="479">
      <c r="A479" s="11" t="n">
        <v>478</v>
      </c>
      <c r="B479" s="12" t="n">
        <v>46029</v>
      </c>
      <c r="C479" s="11" t="inlineStr">
        <is>
          <t>RETEFUENTE D E Y VOUCHER CREDIBANCO</t>
        </is>
      </c>
      <c r="D479" s="11" t="inlineStr">
        <is>
          <t>ORITO</t>
        </is>
      </c>
      <c r="E479" s="11" t="inlineStr">
        <is>
          <t>00000000</t>
        </is>
      </c>
      <c r="F479" s="13" t="n">
        <v>-300</v>
      </c>
      <c r="G479" s="11" t="n">
        <v>14443484.37</v>
      </c>
    </row>
    <row r="480">
      <c r="A480" s="11" t="n">
        <v>479</v>
      </c>
      <c r="B480" s="12" t="n">
        <v>46029</v>
      </c>
      <c r="C480" s="11" t="inlineStr">
        <is>
          <t>GRAVAMEN A MOVIMIENTO FINANCIERO</t>
        </is>
      </c>
      <c r="D480" s="11" t="inlineStr">
        <is>
          <t>ORITO</t>
        </is>
      </c>
      <c r="E480" s="11" t="inlineStr">
        <is>
          <t>00000000</t>
        </is>
      </c>
      <c r="F480" s="13" t="n">
        <v>-1</v>
      </c>
      <c r="G480" s="11" t="n">
        <v>14443483.37</v>
      </c>
    </row>
    <row r="481">
      <c r="A481" s="11" t="n">
        <v>480</v>
      </c>
      <c r="B481" s="12" t="n">
        <v>46029</v>
      </c>
      <c r="C481" s="11" t="inlineStr">
        <is>
          <t>CONSIGNACION CREDIBANCO D E</t>
        </is>
      </c>
      <c r="D481" s="11" t="inlineStr">
        <is>
          <t>ORITO</t>
        </is>
      </c>
      <c r="E481" s="11" t="inlineStr">
        <is>
          <t>00000000</t>
        </is>
      </c>
      <c r="F481" s="13" t="n">
        <v>405600</v>
      </c>
      <c r="G481" s="11" t="n">
        <v>14849083.37</v>
      </c>
    </row>
    <row r="482">
      <c r="A482" s="11" t="n">
        <v>481</v>
      </c>
      <c r="B482" s="12" t="n">
        <v>46029</v>
      </c>
      <c r="C482" s="11" t="inlineStr">
        <is>
          <t>COBRO COMISION DEPOSITOS ELECTRONICOS</t>
        </is>
      </c>
      <c r="D482" s="11" t="inlineStr">
        <is>
          <t>ORITO</t>
        </is>
      </c>
      <c r="E482" s="11" t="inlineStr">
        <is>
          <t>00000000</t>
        </is>
      </c>
      <c r="F482" s="13" t="n">
        <v>-3285</v>
      </c>
      <c r="G482" s="11" t="n">
        <v>14845798.37</v>
      </c>
    </row>
    <row r="483">
      <c r="A483" s="11" t="n">
        <v>482</v>
      </c>
      <c r="B483" s="12" t="n">
        <v>46029</v>
      </c>
      <c r="C483" s="11" t="inlineStr">
        <is>
          <t>GRAVAMEN A MOVIMIENTO FINANCIERO</t>
        </is>
      </c>
      <c r="D483" s="11" t="inlineStr">
        <is>
          <t>ORITO</t>
        </is>
      </c>
      <c r="E483" s="11" t="inlineStr">
        <is>
          <t>00000000</t>
        </is>
      </c>
      <c r="F483" s="13" t="n">
        <v>-13</v>
      </c>
      <c r="G483" s="11" t="n">
        <v>14845785.37</v>
      </c>
    </row>
    <row r="484">
      <c r="A484" s="11" t="n">
        <v>483</v>
      </c>
      <c r="B484" s="12" t="n">
        <v>46029</v>
      </c>
      <c r="C484" s="11" t="inlineStr">
        <is>
          <t>RETEFUENTE D E Y VOUCHER CREDIBANCO</t>
        </is>
      </c>
      <c r="D484" s="11" t="inlineStr">
        <is>
          <t>ORITO</t>
        </is>
      </c>
      <c r="E484" s="11" t="inlineStr">
        <is>
          <t>00000000</t>
        </is>
      </c>
      <c r="F484" s="13" t="n">
        <v>-6084</v>
      </c>
      <c r="G484" s="11" t="n">
        <v>14839701.37</v>
      </c>
    </row>
    <row r="485">
      <c r="A485" s="11" t="n">
        <v>484</v>
      </c>
      <c r="B485" s="12" t="n">
        <v>46029</v>
      </c>
      <c r="C485" s="11" t="inlineStr">
        <is>
          <t>GRAVAMEN A MOVIMIENTO FINANCIERO</t>
        </is>
      </c>
      <c r="D485" s="11" t="inlineStr">
        <is>
          <t>ORITO</t>
        </is>
      </c>
      <c r="E485" s="11" t="inlineStr">
        <is>
          <t>00000000</t>
        </is>
      </c>
      <c r="F485" s="13" t="n">
        <v>-24</v>
      </c>
      <c r="G485" s="11" t="n">
        <v>14839677.37</v>
      </c>
    </row>
    <row r="486">
      <c r="A486" s="11" t="n">
        <v>485</v>
      </c>
      <c r="B486" s="12" t="n">
        <v>46029</v>
      </c>
      <c r="C486" s="11" t="inlineStr">
        <is>
          <t>CONSIGNACION CREDIBANCO D E</t>
        </is>
      </c>
      <c r="D486" s="11" t="inlineStr">
        <is>
          <t>ORITO</t>
        </is>
      </c>
      <c r="E486" s="11" t="inlineStr">
        <is>
          <t>00000000</t>
        </is>
      </c>
      <c r="F486" s="13" t="n">
        <v>30600</v>
      </c>
      <c r="G486" s="11" t="n">
        <v>14870277.37</v>
      </c>
    </row>
    <row r="487">
      <c r="A487" s="11" t="n">
        <v>486</v>
      </c>
      <c r="B487" s="12" t="n">
        <v>46029</v>
      </c>
      <c r="C487" s="11" t="inlineStr">
        <is>
          <t>COBRO COMISION DEPOSITOS ELECTRONICOS</t>
        </is>
      </c>
      <c r="D487" s="11" t="inlineStr">
        <is>
          <t>ORITO</t>
        </is>
      </c>
      <c r="E487" s="11" t="inlineStr">
        <is>
          <t>00000000</t>
        </is>
      </c>
      <c r="F487" s="13" t="n">
        <v>-630</v>
      </c>
      <c r="G487" s="11" t="n">
        <v>14869647.37</v>
      </c>
    </row>
    <row r="488">
      <c r="A488" s="11" t="n">
        <v>487</v>
      </c>
      <c r="B488" s="12" t="n">
        <v>46029</v>
      </c>
      <c r="C488" s="11" t="inlineStr">
        <is>
          <t>GRAVAMEN A MOVIMIENTO FINANCIERO</t>
        </is>
      </c>
      <c r="D488" s="11" t="inlineStr">
        <is>
          <t>ORITO</t>
        </is>
      </c>
      <c r="E488" s="11" t="inlineStr">
        <is>
          <t>00000000</t>
        </is>
      </c>
      <c r="F488" s="13" t="n">
        <v>-3</v>
      </c>
      <c r="G488" s="11" t="n">
        <v>14869644.37</v>
      </c>
    </row>
    <row r="489">
      <c r="A489" s="11" t="n">
        <v>488</v>
      </c>
      <c r="B489" s="12" t="n">
        <v>46029</v>
      </c>
      <c r="C489" s="11" t="inlineStr">
        <is>
          <t>RETEFUENTE D E Y VOUCHER CREDIBANCO</t>
        </is>
      </c>
      <c r="D489" s="11" t="inlineStr">
        <is>
          <t>ORITO</t>
        </is>
      </c>
      <c r="E489" s="11" t="inlineStr">
        <is>
          <t>00000000</t>
        </is>
      </c>
      <c r="F489" s="13" t="n">
        <v>-459</v>
      </c>
      <c r="G489" s="11" t="n">
        <v>14869185.37</v>
      </c>
    </row>
    <row r="490">
      <c r="A490" s="11" t="n">
        <v>489</v>
      </c>
      <c r="B490" s="12" t="n">
        <v>46029</v>
      </c>
      <c r="C490" s="11" t="inlineStr">
        <is>
          <t>GRAVAMEN A MOVIMIENTO FINANCIERO</t>
        </is>
      </c>
      <c r="D490" s="11" t="inlineStr">
        <is>
          <t>ORITO</t>
        </is>
      </c>
      <c r="E490" s="11" t="inlineStr">
        <is>
          <t>00000000</t>
        </is>
      </c>
      <c r="F490" s="13" t="n">
        <v>-2</v>
      </c>
      <c r="G490" s="11" t="n">
        <v>14869183.37</v>
      </c>
    </row>
    <row r="491">
      <c r="A491" s="11" t="n">
        <v>490</v>
      </c>
      <c r="B491" s="12" t="n">
        <v>46029</v>
      </c>
      <c r="C491" s="11" t="inlineStr">
        <is>
          <t>CONSIGNACION CREDIBANCO D E</t>
        </is>
      </c>
      <c r="D491" s="11" t="inlineStr">
        <is>
          <t>ORITO</t>
        </is>
      </c>
      <c r="E491" s="11" t="inlineStr">
        <is>
          <t>00000000</t>
        </is>
      </c>
      <c r="F491" s="13" t="n">
        <v>65200</v>
      </c>
      <c r="G491" s="11" t="n">
        <v>14934383.37</v>
      </c>
    </row>
    <row r="492">
      <c r="A492" s="11" t="n">
        <v>491</v>
      </c>
      <c r="B492" s="12" t="n">
        <v>46029</v>
      </c>
      <c r="C492" s="11" t="inlineStr">
        <is>
          <t>COBRO COMISION DEPOSITOS ELECTRONICOS</t>
        </is>
      </c>
      <c r="D492" s="11" t="inlineStr">
        <is>
          <t>ORITO</t>
        </is>
      </c>
      <c r="E492" s="11" t="inlineStr">
        <is>
          <t>00000000</t>
        </is>
      </c>
      <c r="F492" s="13" t="n">
        <v>-1343</v>
      </c>
      <c r="G492" s="11" t="n">
        <v>14933040.37</v>
      </c>
    </row>
    <row r="493">
      <c r="A493" s="11" t="n">
        <v>492</v>
      </c>
      <c r="B493" s="12" t="n">
        <v>46029</v>
      </c>
      <c r="C493" s="11" t="inlineStr">
        <is>
          <t>GRAVAMEN A MOVIMIENTO FINANCIERO</t>
        </is>
      </c>
      <c r="D493" s="11" t="inlineStr">
        <is>
          <t>ORITO</t>
        </is>
      </c>
      <c r="E493" s="11" t="inlineStr">
        <is>
          <t>00000000</t>
        </is>
      </c>
      <c r="F493" s="13" t="n">
        <v>-5</v>
      </c>
      <c r="G493" s="11" t="n">
        <v>14933035.37</v>
      </c>
    </row>
    <row r="494">
      <c r="A494" s="11" t="n">
        <v>493</v>
      </c>
      <c r="B494" s="12" t="n">
        <v>46029</v>
      </c>
      <c r="C494" s="11" t="inlineStr">
        <is>
          <t>RETEFUENTE D E Y VOUCHER CREDIBANCO</t>
        </is>
      </c>
      <c r="D494" s="11" t="inlineStr">
        <is>
          <t>ORITO</t>
        </is>
      </c>
      <c r="E494" s="11" t="inlineStr">
        <is>
          <t>00000000</t>
        </is>
      </c>
      <c r="F494" s="13" t="n">
        <v>-978</v>
      </c>
      <c r="G494" s="11" t="n">
        <v>14932057.37</v>
      </c>
    </row>
    <row r="495">
      <c r="A495" s="11" t="n">
        <v>494</v>
      </c>
      <c r="B495" s="12" t="n">
        <v>46029</v>
      </c>
      <c r="C495" s="11" t="inlineStr">
        <is>
          <t>GRAVAMEN A MOVIMIENTO FINANCIERO</t>
        </is>
      </c>
      <c r="D495" s="11" t="inlineStr">
        <is>
          <t>ORITO</t>
        </is>
      </c>
      <c r="E495" s="11" t="inlineStr">
        <is>
          <t>00000000</t>
        </is>
      </c>
      <c r="F495" s="13" t="n">
        <v>-4</v>
      </c>
      <c r="G495" s="11" t="n">
        <v>14932053.37</v>
      </c>
    </row>
    <row r="496">
      <c r="A496" s="11" t="n">
        <v>495</v>
      </c>
      <c r="B496" s="12" t="n">
        <v>46029</v>
      </c>
      <c r="C496" s="11" t="inlineStr">
        <is>
          <t>CONSIGNACION CREDIBANCO D E</t>
        </is>
      </c>
      <c r="D496" s="11" t="inlineStr">
        <is>
          <t>ORITO</t>
        </is>
      </c>
      <c r="E496" s="11" t="inlineStr">
        <is>
          <t>00000000</t>
        </is>
      </c>
      <c r="F496" s="13" t="n">
        <v>30600</v>
      </c>
      <c r="G496" s="11" t="n">
        <v>14962653.37</v>
      </c>
    </row>
    <row r="497">
      <c r="A497" s="11" t="n">
        <v>496</v>
      </c>
      <c r="B497" s="12" t="n">
        <v>46029</v>
      </c>
      <c r="C497" s="11" t="inlineStr">
        <is>
          <t>COBRO COMISION DEPOSITOS ELECTRONICOS</t>
        </is>
      </c>
      <c r="D497" s="11" t="inlineStr">
        <is>
          <t>ORITO</t>
        </is>
      </c>
      <c r="E497" s="11" t="inlineStr">
        <is>
          <t>00000000</t>
        </is>
      </c>
      <c r="F497" s="13" t="n">
        <v>-661</v>
      </c>
      <c r="G497" s="11" t="n">
        <v>14961992.37</v>
      </c>
    </row>
    <row r="498">
      <c r="A498" s="11" t="n">
        <v>497</v>
      </c>
      <c r="B498" s="12" t="n">
        <v>46029</v>
      </c>
      <c r="C498" s="11" t="inlineStr">
        <is>
          <t>GRAVAMEN A MOVIMIENTO FINANCIERO</t>
        </is>
      </c>
      <c r="D498" s="11" t="inlineStr">
        <is>
          <t>ORITO</t>
        </is>
      </c>
      <c r="E498" s="11" t="inlineStr">
        <is>
          <t>00000000</t>
        </is>
      </c>
      <c r="F498" s="13" t="n">
        <v>-3</v>
      </c>
      <c r="G498" s="11" t="n">
        <v>14961989.37</v>
      </c>
    </row>
    <row r="499">
      <c r="A499" s="11" t="n">
        <v>498</v>
      </c>
      <c r="B499" s="12" t="n">
        <v>46029</v>
      </c>
      <c r="C499" s="11" t="inlineStr">
        <is>
          <t>RETEFUENTE D E Y VOUCHER CREDIBANCO</t>
        </is>
      </c>
      <c r="D499" s="11" t="inlineStr">
        <is>
          <t>ORITO</t>
        </is>
      </c>
      <c r="E499" s="11" t="inlineStr">
        <is>
          <t>00000000</t>
        </is>
      </c>
      <c r="F499" s="13" t="n">
        <v>-459</v>
      </c>
      <c r="G499" s="11" t="n">
        <v>14961530.37</v>
      </c>
    </row>
    <row r="500">
      <c r="A500" s="11" t="n">
        <v>499</v>
      </c>
      <c r="B500" s="12" t="n">
        <v>46029</v>
      </c>
      <c r="C500" s="11" t="inlineStr">
        <is>
          <t>GRAVAMEN A MOVIMIENTO FINANCIERO</t>
        </is>
      </c>
      <c r="D500" s="11" t="inlineStr">
        <is>
          <t>ORITO</t>
        </is>
      </c>
      <c r="E500" s="11" t="inlineStr">
        <is>
          <t>00000000</t>
        </is>
      </c>
      <c r="F500" s="13" t="n">
        <v>-2</v>
      </c>
      <c r="G500" s="11" t="n">
        <v>14961528.37</v>
      </c>
    </row>
    <row r="501">
      <c r="A501" s="11" t="n">
        <v>500</v>
      </c>
      <c r="B501" s="12" t="n">
        <v>46029</v>
      </c>
      <c r="C501" s="11" t="inlineStr">
        <is>
          <t>CONSIGNACION CREDIBANCO D E</t>
        </is>
      </c>
      <c r="D501" s="11" t="inlineStr">
        <is>
          <t>ORITO</t>
        </is>
      </c>
      <c r="E501" s="11" t="inlineStr">
        <is>
          <t>00000000</t>
        </is>
      </c>
      <c r="F501" s="13" t="n">
        <v>23000</v>
      </c>
      <c r="G501" s="11" t="n">
        <v>14984528.37</v>
      </c>
    </row>
    <row r="502">
      <c r="A502" s="11" t="n">
        <v>501</v>
      </c>
      <c r="B502" s="12" t="n">
        <v>46029</v>
      </c>
      <c r="C502" s="11" t="inlineStr">
        <is>
          <t>COBRO COMISION DEPOSITOS ELECTRONICOS</t>
        </is>
      </c>
      <c r="D502" s="11" t="inlineStr">
        <is>
          <t>ORITO</t>
        </is>
      </c>
      <c r="E502" s="11" t="inlineStr">
        <is>
          <t>00000000</t>
        </is>
      </c>
      <c r="F502" s="13" t="n">
        <v>-497</v>
      </c>
      <c r="G502" s="11" t="n">
        <v>14984031.37</v>
      </c>
    </row>
    <row r="503">
      <c r="A503" s="11" t="n">
        <v>502</v>
      </c>
      <c r="B503" s="12" t="n">
        <v>46029</v>
      </c>
      <c r="C503" s="11" t="inlineStr">
        <is>
          <t>GRAVAMEN A MOVIMIENTO FINANCIERO</t>
        </is>
      </c>
      <c r="D503" s="11" t="inlineStr">
        <is>
          <t>ORITO</t>
        </is>
      </c>
      <c r="E503" s="11" t="inlineStr">
        <is>
          <t>00000000</t>
        </is>
      </c>
      <c r="F503" s="13" t="n">
        <v>-2</v>
      </c>
      <c r="G503" s="11" t="n">
        <v>14984029.37</v>
      </c>
    </row>
    <row r="504">
      <c r="A504" s="11" t="n">
        <v>503</v>
      </c>
      <c r="B504" s="12" t="n">
        <v>46029</v>
      </c>
      <c r="C504" s="11" t="inlineStr">
        <is>
          <t>RETEFUENTE D E Y VOUCHER CREDIBANCO</t>
        </is>
      </c>
      <c r="D504" s="11" t="inlineStr">
        <is>
          <t>ORITO</t>
        </is>
      </c>
      <c r="E504" s="11" t="inlineStr">
        <is>
          <t>00000000</t>
        </is>
      </c>
      <c r="F504" s="13" t="n">
        <v>-345</v>
      </c>
      <c r="G504" s="11" t="n">
        <v>14983684.37</v>
      </c>
    </row>
    <row r="505">
      <c r="A505" s="11" t="n">
        <v>504</v>
      </c>
      <c r="B505" s="12" t="n">
        <v>46029</v>
      </c>
      <c r="C505" s="11" t="inlineStr">
        <is>
          <t>GRAVAMEN A MOVIMIENTO FINANCIERO</t>
        </is>
      </c>
      <c r="D505" s="11" t="inlineStr">
        <is>
          <t>ORITO</t>
        </is>
      </c>
      <c r="E505" s="11" t="inlineStr">
        <is>
          <t>00000000</t>
        </is>
      </c>
      <c r="F505" s="13" t="n">
        <v>-1</v>
      </c>
      <c r="G505" s="11" t="n">
        <v>14983683.37</v>
      </c>
    </row>
    <row r="506">
      <c r="A506" s="11" t="n">
        <v>505</v>
      </c>
      <c r="B506" s="12" t="n">
        <v>46029</v>
      </c>
      <c r="C506" s="11" t="inlineStr">
        <is>
          <t>CONSIGNACION CREDIBANCO D E</t>
        </is>
      </c>
      <c r="D506" s="11" t="inlineStr">
        <is>
          <t>ORITO</t>
        </is>
      </c>
      <c r="E506" s="11" t="inlineStr">
        <is>
          <t>00000000</t>
        </is>
      </c>
      <c r="F506" s="13" t="n">
        <v>9000</v>
      </c>
      <c r="G506" s="11" t="n">
        <v>14992683.37</v>
      </c>
    </row>
    <row r="507">
      <c r="A507" s="11" t="n">
        <v>506</v>
      </c>
      <c r="B507" s="12" t="n">
        <v>46029</v>
      </c>
      <c r="C507" s="11" t="inlineStr">
        <is>
          <t>COBRO COMISION DEPOSITOS ELECTRONICOS</t>
        </is>
      </c>
      <c r="D507" s="11" t="inlineStr">
        <is>
          <t>ORITO</t>
        </is>
      </c>
      <c r="E507" s="11" t="inlineStr">
        <is>
          <t>00000000</t>
        </is>
      </c>
      <c r="F507" s="13" t="n">
        <v>-194</v>
      </c>
      <c r="G507" s="11" t="n">
        <v>14992489.37</v>
      </c>
    </row>
    <row r="508">
      <c r="A508" s="11" t="n">
        <v>507</v>
      </c>
      <c r="B508" s="12" t="n">
        <v>46029</v>
      </c>
      <c r="C508" s="11" t="inlineStr">
        <is>
          <t>GRAVAMEN A MOVIMIENTO FINANCIERO</t>
        </is>
      </c>
      <c r="D508" s="11" t="inlineStr">
        <is>
          <t>ORITO</t>
        </is>
      </c>
      <c r="E508" s="11" t="inlineStr">
        <is>
          <t>00000000</t>
        </is>
      </c>
      <c r="F508" s="13" t="n">
        <v>-1</v>
      </c>
      <c r="G508" s="11" t="n">
        <v>14992488.37</v>
      </c>
    </row>
    <row r="509">
      <c r="A509" s="11" t="n">
        <v>508</v>
      </c>
      <c r="B509" s="12" t="n">
        <v>46029</v>
      </c>
      <c r="C509" s="11" t="inlineStr">
        <is>
          <t>RETEFUENTE D E Y VOUCHER CREDIBANCO</t>
        </is>
      </c>
      <c r="D509" s="11" t="inlineStr">
        <is>
          <t>ORITO</t>
        </is>
      </c>
      <c r="E509" s="11" t="inlineStr">
        <is>
          <t>00000000</t>
        </is>
      </c>
      <c r="F509" s="13" t="n">
        <v>-135</v>
      </c>
      <c r="G509" s="11" t="n">
        <v>14992353.37</v>
      </c>
    </row>
    <row r="510">
      <c r="A510" s="11" t="n">
        <v>509</v>
      </c>
      <c r="B510" s="12" t="n">
        <v>46029</v>
      </c>
      <c r="C510" s="11" t="inlineStr">
        <is>
          <t>GRAVAMEN A MOVIMIENTO FINANCIERO</t>
        </is>
      </c>
      <c r="D510" s="11" t="inlineStr">
        <is>
          <t>ORITO</t>
        </is>
      </c>
      <c r="E510" s="11" t="inlineStr">
        <is>
          <t>00000000</t>
        </is>
      </c>
      <c r="F510" s="13" t="n">
        <v>-1</v>
      </c>
      <c r="G510" s="11" t="n">
        <v>14992352.37</v>
      </c>
    </row>
    <row r="511">
      <c r="A511" s="11" t="n">
        <v>510</v>
      </c>
      <c r="B511" s="12" t="n">
        <v>46029</v>
      </c>
      <c r="C511" s="11" t="inlineStr">
        <is>
          <t>CONSIGNACION CREDIBANCO D E</t>
        </is>
      </c>
      <c r="D511" s="11" t="inlineStr">
        <is>
          <t>ORITO</t>
        </is>
      </c>
      <c r="E511" s="11" t="inlineStr">
        <is>
          <t>00000000</t>
        </is>
      </c>
      <c r="F511" s="13" t="n">
        <v>26600</v>
      </c>
      <c r="G511" s="11" t="n">
        <v>15018952.37</v>
      </c>
    </row>
    <row r="512">
      <c r="A512" s="11" t="n">
        <v>511</v>
      </c>
      <c r="B512" s="12" t="n">
        <v>46029</v>
      </c>
      <c r="C512" s="11" t="inlineStr">
        <is>
          <t>COBRO COMISION DEPOSITOS ELECTRONICOS</t>
        </is>
      </c>
      <c r="D512" s="11" t="inlineStr">
        <is>
          <t>ORITO</t>
        </is>
      </c>
      <c r="E512" s="11" t="inlineStr">
        <is>
          <t>00000000</t>
        </is>
      </c>
      <c r="F512" s="13" t="n">
        <v>-575</v>
      </c>
      <c r="G512" s="11" t="n">
        <v>15018377.37</v>
      </c>
    </row>
    <row r="513">
      <c r="A513" s="11" t="n">
        <v>512</v>
      </c>
      <c r="B513" s="12" t="n">
        <v>46029</v>
      </c>
      <c r="C513" s="11" t="inlineStr">
        <is>
          <t>GRAVAMEN A MOVIMIENTO FINANCIERO</t>
        </is>
      </c>
      <c r="D513" s="11" t="inlineStr">
        <is>
          <t>ORITO</t>
        </is>
      </c>
      <c r="E513" s="11" t="inlineStr">
        <is>
          <t>00000000</t>
        </is>
      </c>
      <c r="F513" s="13" t="n">
        <v>-2</v>
      </c>
      <c r="G513" s="11" t="n">
        <v>15018375.37</v>
      </c>
    </row>
    <row r="514">
      <c r="A514" s="11" t="n">
        <v>513</v>
      </c>
      <c r="B514" s="12" t="n">
        <v>46029</v>
      </c>
      <c r="C514" s="11" t="inlineStr">
        <is>
          <t>RETEFUENTE D E Y VOUCHER CREDIBANCO</t>
        </is>
      </c>
      <c r="D514" s="11" t="inlineStr">
        <is>
          <t>ORITO</t>
        </is>
      </c>
      <c r="E514" s="11" t="inlineStr">
        <is>
          <t>00000000</t>
        </is>
      </c>
      <c r="F514" s="13" t="n">
        <v>-399</v>
      </c>
      <c r="G514" s="11" t="n">
        <v>15017976.37</v>
      </c>
    </row>
    <row r="515">
      <c r="A515" s="11" t="n">
        <v>514</v>
      </c>
      <c r="B515" s="12" t="n">
        <v>46029</v>
      </c>
      <c r="C515" s="11" t="inlineStr">
        <is>
          <t>GRAVAMEN A MOVIMIENTO FINANCIERO</t>
        </is>
      </c>
      <c r="D515" s="11" t="inlineStr">
        <is>
          <t>ORITO</t>
        </is>
      </c>
      <c r="E515" s="11" t="inlineStr">
        <is>
          <t>00000000</t>
        </is>
      </c>
      <c r="F515" s="13" t="n">
        <v>-2</v>
      </c>
      <c r="G515" s="11" t="n">
        <v>15017974.37</v>
      </c>
    </row>
    <row r="516">
      <c r="A516" s="11" t="n">
        <v>515</v>
      </c>
      <c r="B516" s="12" t="n">
        <v>46029</v>
      </c>
      <c r="C516" s="11" t="inlineStr">
        <is>
          <t>CONSIGNACION CREDIBANCO D E</t>
        </is>
      </c>
      <c r="D516" s="11" t="inlineStr">
        <is>
          <t>ORITO</t>
        </is>
      </c>
      <c r="E516" s="11" t="inlineStr">
        <is>
          <t>00000000</t>
        </is>
      </c>
      <c r="F516" s="13" t="n">
        <v>162550</v>
      </c>
      <c r="G516" s="11" t="n">
        <v>15180524.37</v>
      </c>
    </row>
    <row r="517">
      <c r="A517" s="11" t="n">
        <v>516</v>
      </c>
      <c r="B517" s="12" t="n">
        <v>46029</v>
      </c>
      <c r="C517" s="11" t="inlineStr">
        <is>
          <t>COBRO COMISION DEPOSITOS ELECTRONICOS</t>
        </is>
      </c>
      <c r="D517" s="11" t="inlineStr">
        <is>
          <t>ORITO</t>
        </is>
      </c>
      <c r="E517" s="11" t="inlineStr">
        <is>
          <t>00000000</t>
        </is>
      </c>
      <c r="F517" s="13" t="n">
        <v>-3560</v>
      </c>
      <c r="G517" s="11" t="n">
        <v>15176964.37</v>
      </c>
    </row>
    <row r="518">
      <c r="A518" s="11" t="n">
        <v>517</v>
      </c>
      <c r="B518" s="12" t="n">
        <v>46029</v>
      </c>
      <c r="C518" s="11" t="inlineStr">
        <is>
          <t>GRAVAMEN A MOVIMIENTO FINANCIERO</t>
        </is>
      </c>
      <c r="D518" s="11" t="inlineStr">
        <is>
          <t>ORITO</t>
        </is>
      </c>
      <c r="E518" s="11" t="inlineStr">
        <is>
          <t>00000000</t>
        </is>
      </c>
      <c r="F518" s="13" t="n">
        <v>-14</v>
      </c>
      <c r="G518" s="11" t="n">
        <v>15176950.37</v>
      </c>
    </row>
    <row r="519">
      <c r="A519" s="11" t="n">
        <v>518</v>
      </c>
      <c r="B519" s="12" t="n">
        <v>46029</v>
      </c>
      <c r="C519" s="11" t="inlineStr">
        <is>
          <t>RETEFUENTE D E Y VOUCHER CREDIBANCO</t>
        </is>
      </c>
      <c r="D519" s="11" t="inlineStr">
        <is>
          <t>ORITO</t>
        </is>
      </c>
      <c r="E519" s="11" t="inlineStr">
        <is>
          <t>00000000</t>
        </is>
      </c>
      <c r="F519" s="13" t="n">
        <v>-2438</v>
      </c>
      <c r="G519" s="11" t="n">
        <v>15174512.37</v>
      </c>
    </row>
    <row r="520">
      <c r="A520" s="11" t="n">
        <v>519</v>
      </c>
      <c r="B520" s="12" t="n">
        <v>46029</v>
      </c>
      <c r="C520" s="11" t="inlineStr">
        <is>
          <t>GRAVAMEN A MOVIMIENTO FINANCIERO</t>
        </is>
      </c>
      <c r="D520" s="11" t="inlineStr">
        <is>
          <t>ORITO</t>
        </is>
      </c>
      <c r="E520" s="11" t="inlineStr">
        <is>
          <t>00000000</t>
        </is>
      </c>
      <c r="F520" s="13" t="n">
        <v>-10</v>
      </c>
      <c r="G520" s="11" t="n">
        <v>15174502.37</v>
      </c>
    </row>
    <row r="521">
      <c r="A521" s="11" t="n">
        <v>520</v>
      </c>
      <c r="B521" s="12" t="n">
        <v>46029</v>
      </c>
      <c r="C521" s="11" t="inlineStr">
        <is>
          <t>CONSIGNACION CREDIBANCO D E</t>
        </is>
      </c>
      <c r="D521" s="11" t="inlineStr">
        <is>
          <t>ORITO</t>
        </is>
      </c>
      <c r="E521" s="11" t="inlineStr">
        <is>
          <t>00000000</t>
        </is>
      </c>
      <c r="F521" s="13" t="n">
        <v>55100</v>
      </c>
      <c r="G521" s="11" t="n">
        <v>15229602.37</v>
      </c>
    </row>
    <row r="522">
      <c r="A522" s="11" t="n">
        <v>521</v>
      </c>
      <c r="B522" s="12" t="n">
        <v>46029</v>
      </c>
      <c r="C522" s="11" t="inlineStr">
        <is>
          <t>COBRO COMISION DEPOSITOS ELECTRONICOS</t>
        </is>
      </c>
      <c r="D522" s="11" t="inlineStr">
        <is>
          <t>ORITO</t>
        </is>
      </c>
      <c r="E522" s="11" t="inlineStr">
        <is>
          <t>00000000</t>
        </is>
      </c>
      <c r="F522" s="13" t="n">
        <v>-1207</v>
      </c>
      <c r="G522" s="11" t="n">
        <v>15228395.37</v>
      </c>
    </row>
    <row r="523">
      <c r="A523" s="11" t="n">
        <v>522</v>
      </c>
      <c r="B523" s="12" t="n">
        <v>46029</v>
      </c>
      <c r="C523" s="11" t="inlineStr">
        <is>
          <t>GRAVAMEN A MOVIMIENTO FINANCIERO</t>
        </is>
      </c>
      <c r="D523" s="11" t="inlineStr">
        <is>
          <t>ORITO</t>
        </is>
      </c>
      <c r="E523" s="11" t="inlineStr">
        <is>
          <t>00000000</t>
        </is>
      </c>
      <c r="F523" s="13" t="n">
        <v>-5</v>
      </c>
      <c r="G523" s="11" t="n">
        <v>15228390.37</v>
      </c>
    </row>
    <row r="524">
      <c r="A524" s="11" t="n">
        <v>523</v>
      </c>
      <c r="B524" s="12" t="n">
        <v>46029</v>
      </c>
      <c r="C524" s="11" t="inlineStr">
        <is>
          <t>RETEFUENTE D E Y VOUCHER CREDIBANCO</t>
        </is>
      </c>
      <c r="D524" s="11" t="inlineStr">
        <is>
          <t>ORITO</t>
        </is>
      </c>
      <c r="E524" s="11" t="inlineStr">
        <is>
          <t>00000000</t>
        </is>
      </c>
      <c r="F524" s="13" t="n">
        <v>-827</v>
      </c>
      <c r="G524" s="11" t="n">
        <v>15227563.37</v>
      </c>
    </row>
    <row r="525">
      <c r="A525" s="11" t="n">
        <v>524</v>
      </c>
      <c r="B525" s="12" t="n">
        <v>46029</v>
      </c>
      <c r="C525" s="11" t="inlineStr">
        <is>
          <t>GRAVAMEN A MOVIMIENTO FINANCIERO</t>
        </is>
      </c>
      <c r="D525" s="11" t="inlineStr">
        <is>
          <t>ORITO</t>
        </is>
      </c>
      <c r="E525" s="11" t="inlineStr">
        <is>
          <t>00000000</t>
        </is>
      </c>
      <c r="F525" s="13" t="n">
        <v>-3</v>
      </c>
      <c r="G525" s="11" t="n">
        <v>15227560.37</v>
      </c>
    </row>
    <row r="526">
      <c r="A526" s="11" t="n">
        <v>525</v>
      </c>
      <c r="B526" s="12" t="n">
        <v>46029</v>
      </c>
      <c r="C526" s="11" t="inlineStr">
        <is>
          <t>CONSIGNACION CREDIBANCO D E</t>
        </is>
      </c>
      <c r="D526" s="11" t="inlineStr">
        <is>
          <t>ORITO</t>
        </is>
      </c>
      <c r="E526" s="11" t="inlineStr">
        <is>
          <t>00000000</t>
        </is>
      </c>
      <c r="F526" s="13" t="n">
        <v>474500</v>
      </c>
      <c r="G526" s="11" t="n">
        <v>15702060.37</v>
      </c>
    </row>
    <row r="527">
      <c r="A527" s="11" t="n">
        <v>526</v>
      </c>
      <c r="B527" s="12" t="n">
        <v>46029</v>
      </c>
      <c r="C527" s="11" t="inlineStr">
        <is>
          <t>COBRO COMISION DEPOSITOS ELECTRONICOS</t>
        </is>
      </c>
      <c r="D527" s="11" t="inlineStr">
        <is>
          <t>ORITO</t>
        </is>
      </c>
      <c r="E527" s="11" t="inlineStr">
        <is>
          <t>00000000</t>
        </is>
      </c>
      <c r="F527" s="13" t="n">
        <v>-10392</v>
      </c>
      <c r="G527" s="11" t="n">
        <v>15691668.37</v>
      </c>
    </row>
    <row r="528">
      <c r="A528" s="11" t="n">
        <v>527</v>
      </c>
      <c r="B528" s="12" t="n">
        <v>46029</v>
      </c>
      <c r="C528" s="11" t="inlineStr">
        <is>
          <t>GRAVAMEN A MOVIMIENTO FINANCIERO</t>
        </is>
      </c>
      <c r="D528" s="11" t="inlineStr">
        <is>
          <t>ORITO</t>
        </is>
      </c>
      <c r="E528" s="11" t="inlineStr">
        <is>
          <t>00000000</t>
        </is>
      </c>
      <c r="F528" s="13" t="n">
        <v>-42</v>
      </c>
      <c r="G528" s="11" t="n">
        <v>15691626.37</v>
      </c>
    </row>
    <row r="529">
      <c r="A529" s="11" t="n">
        <v>528</v>
      </c>
      <c r="B529" s="12" t="n">
        <v>46029</v>
      </c>
      <c r="C529" s="11" t="inlineStr">
        <is>
          <t>RETEFUENTE D E Y VOUCHER CREDIBANCO</t>
        </is>
      </c>
      <c r="D529" s="11" t="inlineStr">
        <is>
          <t>ORITO</t>
        </is>
      </c>
      <c r="E529" s="11" t="inlineStr">
        <is>
          <t>00000000</t>
        </is>
      </c>
      <c r="F529" s="13" t="n">
        <v>-7118</v>
      </c>
      <c r="G529" s="11" t="n">
        <v>15684508.37</v>
      </c>
    </row>
    <row r="530">
      <c r="A530" s="11" t="n">
        <v>529</v>
      </c>
      <c r="B530" s="12" t="n">
        <v>46029</v>
      </c>
      <c r="C530" s="11" t="inlineStr">
        <is>
          <t>GRAVAMEN A MOVIMIENTO FINANCIERO</t>
        </is>
      </c>
      <c r="D530" s="11" t="inlineStr">
        <is>
          <t>ORITO</t>
        </is>
      </c>
      <c r="E530" s="11" t="inlineStr">
        <is>
          <t>00000000</t>
        </is>
      </c>
      <c r="F530" s="13" t="n">
        <v>-28</v>
      </c>
      <c r="G530" s="11" t="n">
        <v>15684480.37</v>
      </c>
    </row>
    <row r="531">
      <c r="A531" s="11" t="n">
        <v>530</v>
      </c>
      <c r="B531" s="12" t="n">
        <v>46029</v>
      </c>
      <c r="C531" s="11" t="inlineStr">
        <is>
          <t>DEPOSITOS ELECTRONICOS TRANSACCION MASTERCA</t>
        </is>
      </c>
      <c r="D531" s="11" t="inlineStr">
        <is>
          <t>ORITO</t>
        </is>
      </c>
      <c r="E531" s="11" t="inlineStr">
        <is>
          <t>00000000</t>
        </is>
      </c>
      <c r="F531" s="13" t="n">
        <v>108200</v>
      </c>
      <c r="G531" s="11" t="n">
        <v>15792680.37</v>
      </c>
    </row>
    <row r="532">
      <c r="A532" s="11" t="n">
        <v>531</v>
      </c>
      <c r="B532" s="12" t="n">
        <v>46029</v>
      </c>
      <c r="C532" s="11" t="inlineStr">
        <is>
          <t>COMISION DEPOSITOS ELECTRONICOS MASTERCARD</t>
        </is>
      </c>
      <c r="D532" s="11" t="inlineStr">
        <is>
          <t>ORITO</t>
        </is>
      </c>
      <c r="E532" s="11" t="inlineStr">
        <is>
          <t>00000000</t>
        </is>
      </c>
      <c r="F532" s="13" t="n">
        <v>-2056</v>
      </c>
      <c r="G532" s="11" t="n">
        <v>15790624.37</v>
      </c>
    </row>
    <row r="533">
      <c r="A533" s="11" t="n">
        <v>532</v>
      </c>
      <c r="B533" s="12" t="n">
        <v>46029</v>
      </c>
      <c r="C533" s="11" t="inlineStr">
        <is>
          <t>GRAVAMEN A MOVIMIENTO FINANCIERO</t>
        </is>
      </c>
      <c r="D533" s="11" t="inlineStr">
        <is>
          <t>ORITO</t>
        </is>
      </c>
      <c r="E533" s="11" t="inlineStr">
        <is>
          <t>00000000</t>
        </is>
      </c>
      <c r="F533" s="13" t="n">
        <v>-8</v>
      </c>
      <c r="G533" s="11" t="n">
        <v>15790616.37</v>
      </c>
    </row>
    <row r="534">
      <c r="A534" s="11" t="n">
        <v>533</v>
      </c>
      <c r="B534" s="12" t="n">
        <v>46029</v>
      </c>
      <c r="C534" s="11" t="inlineStr">
        <is>
          <t>RETEFUENTE DEPOSITOS ELECTRONICOS MASTERCAR</t>
        </is>
      </c>
      <c r="D534" s="11" t="inlineStr">
        <is>
          <t>ORITO</t>
        </is>
      </c>
      <c r="E534" s="11" t="inlineStr">
        <is>
          <t>00000000</t>
        </is>
      </c>
      <c r="F534" s="13" t="n">
        <v>-1623</v>
      </c>
      <c r="G534" s="11" t="n">
        <v>15788993.37</v>
      </c>
    </row>
    <row r="535">
      <c r="A535" s="11" t="n">
        <v>534</v>
      </c>
      <c r="B535" s="12" t="n">
        <v>46029</v>
      </c>
      <c r="C535" s="11" t="inlineStr">
        <is>
          <t>GRAVAMEN A MOVIMIENTO FINANCIERO</t>
        </is>
      </c>
      <c r="D535" s="11" t="inlineStr">
        <is>
          <t>ORITO</t>
        </is>
      </c>
      <c r="E535" s="11" t="inlineStr">
        <is>
          <t>00000000</t>
        </is>
      </c>
      <c r="F535" s="13" t="n">
        <v>-6</v>
      </c>
      <c r="G535" s="11" t="n">
        <v>15788987.37</v>
      </c>
    </row>
    <row r="536">
      <c r="A536" s="11" t="n">
        <v>535</v>
      </c>
      <c r="B536" s="12" t="n">
        <v>46029</v>
      </c>
      <c r="C536" s="11" t="inlineStr">
        <is>
          <t>DEPOSITOS ELECTRONICOS TRANSACCION MASTERCA</t>
        </is>
      </c>
      <c r="D536" s="11" t="inlineStr">
        <is>
          <t>ORITO</t>
        </is>
      </c>
      <c r="E536" s="11" t="inlineStr">
        <is>
          <t>00000000</t>
        </is>
      </c>
      <c r="F536" s="13" t="n">
        <v>96500</v>
      </c>
      <c r="G536" s="11" t="n">
        <v>15885487.37</v>
      </c>
    </row>
    <row r="537">
      <c r="A537" s="11" t="n">
        <v>536</v>
      </c>
      <c r="B537" s="12" t="n">
        <v>46029</v>
      </c>
      <c r="C537" s="11" t="inlineStr">
        <is>
          <t>COMISION DEPOSITOS ELECTRONICOS MASTERCARD</t>
        </is>
      </c>
      <c r="D537" s="11" t="inlineStr">
        <is>
          <t>ORITO</t>
        </is>
      </c>
      <c r="E537" s="11" t="inlineStr">
        <is>
          <t>00000000</t>
        </is>
      </c>
      <c r="F537" s="13" t="n">
        <v>-1834</v>
      </c>
      <c r="G537" s="11" t="n">
        <v>15883653.37</v>
      </c>
    </row>
    <row r="538">
      <c r="A538" s="11" t="n">
        <v>537</v>
      </c>
      <c r="B538" s="12" t="n">
        <v>46029</v>
      </c>
      <c r="C538" s="11" t="inlineStr">
        <is>
          <t>GRAVAMEN A MOVIMIENTO FINANCIERO</t>
        </is>
      </c>
      <c r="D538" s="11" t="inlineStr">
        <is>
          <t>ORITO</t>
        </is>
      </c>
      <c r="E538" s="11" t="inlineStr">
        <is>
          <t>00000000</t>
        </is>
      </c>
      <c r="F538" s="13" t="n">
        <v>-7</v>
      </c>
      <c r="G538" s="11" t="n">
        <v>15883646.37</v>
      </c>
    </row>
    <row r="539">
      <c r="A539" s="11" t="n">
        <v>538</v>
      </c>
      <c r="B539" s="12" t="n">
        <v>46029</v>
      </c>
      <c r="C539" s="11" t="inlineStr">
        <is>
          <t>RETEFUENTE DEPOSITOS ELECTRONICOS MASTERCAR</t>
        </is>
      </c>
      <c r="D539" s="11" t="inlineStr">
        <is>
          <t>ORITO</t>
        </is>
      </c>
      <c r="E539" s="11" t="inlineStr">
        <is>
          <t>00000000</t>
        </is>
      </c>
      <c r="F539" s="13" t="n">
        <v>-1448</v>
      </c>
      <c r="G539" s="11" t="n">
        <v>15882198.37</v>
      </c>
    </row>
    <row r="540">
      <c r="A540" s="11" t="n">
        <v>539</v>
      </c>
      <c r="B540" s="12" t="n">
        <v>46029</v>
      </c>
      <c r="C540" s="11" t="inlineStr">
        <is>
          <t>GRAVAMEN A MOVIMIENTO FINANCIERO</t>
        </is>
      </c>
      <c r="D540" s="11" t="inlineStr">
        <is>
          <t>ORITO</t>
        </is>
      </c>
      <c r="E540" s="11" t="inlineStr">
        <is>
          <t>00000000</t>
        </is>
      </c>
      <c r="F540" s="13" t="n">
        <v>-6</v>
      </c>
      <c r="G540" s="11" t="n">
        <v>15882192.37</v>
      </c>
    </row>
    <row r="541">
      <c r="A541" s="11" t="n">
        <v>540</v>
      </c>
      <c r="B541" s="12" t="n">
        <v>46030</v>
      </c>
      <c r="C541" s="11" t="inlineStr">
        <is>
          <t>CONSIGNACION CREDIBANCO D E</t>
        </is>
      </c>
      <c r="D541" s="11" t="inlineStr">
        <is>
          <t>ORITO</t>
        </is>
      </c>
      <c r="E541" s="11" t="inlineStr">
        <is>
          <t>00000000</t>
        </is>
      </c>
      <c r="F541" s="13" t="n">
        <v>33200</v>
      </c>
      <c r="G541" s="11" t="n">
        <v>15915392.37</v>
      </c>
    </row>
    <row r="542">
      <c r="A542" s="11" t="n">
        <v>541</v>
      </c>
      <c r="B542" s="12" t="n">
        <v>46030</v>
      </c>
      <c r="C542" s="11" t="inlineStr">
        <is>
          <t>COBRO COMISION DEPOSITOS ELECTRONICOS</t>
        </is>
      </c>
      <c r="D542" s="11" t="inlineStr">
        <is>
          <t>ORITO</t>
        </is>
      </c>
      <c r="E542" s="11" t="inlineStr">
        <is>
          <t>00000000</t>
        </is>
      </c>
      <c r="F542" s="13" t="n">
        <v>-684</v>
      </c>
      <c r="G542" s="11" t="n">
        <v>15914708.37</v>
      </c>
    </row>
    <row r="543">
      <c r="A543" s="11" t="n">
        <v>542</v>
      </c>
      <c r="B543" s="12" t="n">
        <v>46030</v>
      </c>
      <c r="C543" s="11" t="inlineStr">
        <is>
          <t>GRAVAMEN A MOVIMIENTO FINANCIERO</t>
        </is>
      </c>
      <c r="D543" s="11" t="inlineStr">
        <is>
          <t>ORITO</t>
        </is>
      </c>
      <c r="E543" s="11" t="inlineStr">
        <is>
          <t>00000000</t>
        </is>
      </c>
      <c r="F543" s="13" t="n">
        <v>-3</v>
      </c>
      <c r="G543" s="11" t="n">
        <v>15914705.37</v>
      </c>
    </row>
    <row r="544">
      <c r="A544" s="11" t="n">
        <v>543</v>
      </c>
      <c r="B544" s="12" t="n">
        <v>46030</v>
      </c>
      <c r="C544" s="11" t="inlineStr">
        <is>
          <t>RETEFUENTE D E Y VOUCHER CREDIBANCO</t>
        </is>
      </c>
      <c r="D544" s="11" t="inlineStr">
        <is>
          <t>ORITO</t>
        </is>
      </c>
      <c r="E544" s="11" t="inlineStr">
        <is>
          <t>00000000</t>
        </is>
      </c>
      <c r="F544" s="13" t="n">
        <v>-498</v>
      </c>
      <c r="G544" s="11" t="n">
        <v>15914207.37</v>
      </c>
    </row>
    <row r="545">
      <c r="A545" s="11" t="n">
        <v>544</v>
      </c>
      <c r="B545" s="12" t="n">
        <v>46030</v>
      </c>
      <c r="C545" s="11" t="inlineStr">
        <is>
          <t>GRAVAMEN A MOVIMIENTO FINANCIERO</t>
        </is>
      </c>
      <c r="D545" s="11" t="inlineStr">
        <is>
          <t>ORITO</t>
        </is>
      </c>
      <c r="E545" s="11" t="inlineStr">
        <is>
          <t>00000000</t>
        </is>
      </c>
      <c r="F545" s="13" t="n">
        <v>-2</v>
      </c>
      <c r="G545" s="11" t="n">
        <v>15914205.37</v>
      </c>
    </row>
    <row r="546">
      <c r="A546" s="11" t="n">
        <v>545</v>
      </c>
      <c r="B546" s="12" t="n">
        <v>46030</v>
      </c>
      <c r="C546" s="11" t="inlineStr">
        <is>
          <t>CONSIGNACION CREDIBANCO D E</t>
        </is>
      </c>
      <c r="D546" s="11" t="inlineStr">
        <is>
          <t>ORITO</t>
        </is>
      </c>
      <c r="E546" s="11" t="inlineStr">
        <is>
          <t>00000000</t>
        </is>
      </c>
      <c r="F546" s="13" t="n">
        <v>110300</v>
      </c>
      <c r="G546" s="11" t="n">
        <v>16024505.37</v>
      </c>
    </row>
    <row r="547">
      <c r="A547" s="11" t="n">
        <v>546</v>
      </c>
      <c r="B547" s="12" t="n">
        <v>46030</v>
      </c>
      <c r="C547" s="11" t="inlineStr">
        <is>
          <t>COBRO COMISION DEPOSITOS ELECTRONICOS</t>
        </is>
      </c>
      <c r="D547" s="11" t="inlineStr">
        <is>
          <t>ORITO</t>
        </is>
      </c>
      <c r="E547" s="11" t="inlineStr">
        <is>
          <t>00000000</t>
        </is>
      </c>
      <c r="F547" s="13" t="n">
        <v>-2382</v>
      </c>
      <c r="G547" s="11" t="n">
        <v>16022123.37</v>
      </c>
    </row>
    <row r="548">
      <c r="A548" s="11" t="n">
        <v>547</v>
      </c>
      <c r="B548" s="12" t="n">
        <v>46030</v>
      </c>
      <c r="C548" s="11" t="inlineStr">
        <is>
          <t>GRAVAMEN A MOVIMIENTO FINANCIERO</t>
        </is>
      </c>
      <c r="D548" s="11" t="inlineStr">
        <is>
          <t>ORITO</t>
        </is>
      </c>
      <c r="E548" s="11" t="inlineStr">
        <is>
          <t>00000000</t>
        </is>
      </c>
      <c r="F548" s="13" t="n">
        <v>-10</v>
      </c>
      <c r="G548" s="11" t="n">
        <v>16022113.37</v>
      </c>
    </row>
    <row r="549">
      <c r="A549" s="11" t="n">
        <v>548</v>
      </c>
      <c r="B549" s="12" t="n">
        <v>46030</v>
      </c>
      <c r="C549" s="11" t="inlineStr">
        <is>
          <t>RETEFUENTE D E Y VOUCHER CREDIBANCO</t>
        </is>
      </c>
      <c r="D549" s="11" t="inlineStr">
        <is>
          <t>ORITO</t>
        </is>
      </c>
      <c r="E549" s="11" t="inlineStr">
        <is>
          <t>00000000</t>
        </is>
      </c>
      <c r="F549" s="13" t="n">
        <v>-1655</v>
      </c>
      <c r="G549" s="11" t="n">
        <v>16020458.37</v>
      </c>
    </row>
    <row r="550">
      <c r="A550" s="11" t="n">
        <v>549</v>
      </c>
      <c r="B550" s="12" t="n">
        <v>46030</v>
      </c>
      <c r="C550" s="11" t="inlineStr">
        <is>
          <t>GRAVAMEN A MOVIMIENTO FINANCIERO</t>
        </is>
      </c>
      <c r="D550" s="11" t="inlineStr">
        <is>
          <t>ORITO</t>
        </is>
      </c>
      <c r="E550" s="11" t="inlineStr">
        <is>
          <t>00000000</t>
        </is>
      </c>
      <c r="F550" s="13" t="n">
        <v>-7</v>
      </c>
      <c r="G550" s="11" t="n">
        <v>16020451.37</v>
      </c>
    </row>
    <row r="551">
      <c r="A551" s="11" t="n">
        <v>550</v>
      </c>
      <c r="B551" s="12" t="n">
        <v>46030</v>
      </c>
      <c r="C551" s="11" t="inlineStr">
        <is>
          <t>CONSIGNACION CREDIBANCO D E</t>
        </is>
      </c>
      <c r="D551" s="11" t="inlineStr">
        <is>
          <t>ORITO</t>
        </is>
      </c>
      <c r="E551" s="11" t="inlineStr">
        <is>
          <t>00000000</t>
        </is>
      </c>
      <c r="F551" s="13" t="n">
        <v>28000</v>
      </c>
      <c r="G551" s="11" t="n">
        <v>16048451.37</v>
      </c>
    </row>
    <row r="552">
      <c r="A552" s="11" t="n">
        <v>551</v>
      </c>
      <c r="B552" s="12" t="n">
        <v>46030</v>
      </c>
      <c r="C552" s="11" t="inlineStr">
        <is>
          <t>COBRO COMISION DEPOSITOS ELECTRONICOS</t>
        </is>
      </c>
      <c r="D552" s="11" t="inlineStr">
        <is>
          <t>ORITO</t>
        </is>
      </c>
      <c r="E552" s="11" t="inlineStr">
        <is>
          <t>00000000</t>
        </is>
      </c>
      <c r="F552" s="13" t="n">
        <v>-605</v>
      </c>
      <c r="G552" s="11" t="n">
        <v>16047846.37</v>
      </c>
    </row>
    <row r="553">
      <c r="A553" s="11" t="n">
        <v>552</v>
      </c>
      <c r="B553" s="12" t="n">
        <v>46030</v>
      </c>
      <c r="C553" s="11" t="inlineStr">
        <is>
          <t>GRAVAMEN A MOVIMIENTO FINANCIERO</t>
        </is>
      </c>
      <c r="D553" s="11" t="inlineStr">
        <is>
          <t>ORITO</t>
        </is>
      </c>
      <c r="E553" s="11" t="inlineStr">
        <is>
          <t>00000000</t>
        </is>
      </c>
      <c r="F553" s="13" t="n">
        <v>-2</v>
      </c>
      <c r="G553" s="11" t="n">
        <v>16047844.37</v>
      </c>
    </row>
    <row r="554">
      <c r="A554" s="11" t="n">
        <v>553</v>
      </c>
      <c r="B554" s="12" t="n">
        <v>46030</v>
      </c>
      <c r="C554" s="11" t="inlineStr">
        <is>
          <t>RETEFUENTE D E Y VOUCHER CREDIBANCO</t>
        </is>
      </c>
      <c r="D554" s="11" t="inlineStr">
        <is>
          <t>ORITO</t>
        </is>
      </c>
      <c r="E554" s="11" t="inlineStr">
        <is>
          <t>00000000</t>
        </is>
      </c>
      <c r="F554" s="13" t="n">
        <v>-420</v>
      </c>
      <c r="G554" s="11" t="n">
        <v>16047424.37</v>
      </c>
    </row>
    <row r="555">
      <c r="A555" s="11" t="n">
        <v>554</v>
      </c>
      <c r="B555" s="12" t="n">
        <v>46030</v>
      </c>
      <c r="C555" s="11" t="inlineStr">
        <is>
          <t>GRAVAMEN A MOVIMIENTO FINANCIERO</t>
        </is>
      </c>
      <c r="D555" s="11" t="inlineStr">
        <is>
          <t>ORITO</t>
        </is>
      </c>
      <c r="E555" s="11" t="inlineStr">
        <is>
          <t>00000000</t>
        </is>
      </c>
      <c r="F555" s="13" t="n">
        <v>-2</v>
      </c>
      <c r="G555" s="11" t="n">
        <v>16047422.37</v>
      </c>
    </row>
    <row r="556">
      <c r="A556" s="11" t="n">
        <v>555</v>
      </c>
      <c r="B556" s="12" t="n">
        <v>46030</v>
      </c>
      <c r="C556" s="11" t="inlineStr">
        <is>
          <t>CONSIGNACION CREDIBANCO D E</t>
        </is>
      </c>
      <c r="D556" s="11" t="inlineStr">
        <is>
          <t>ORITO</t>
        </is>
      </c>
      <c r="E556" s="11" t="inlineStr">
        <is>
          <t>00000000</t>
        </is>
      </c>
      <c r="F556" s="13" t="n">
        <v>52600</v>
      </c>
      <c r="G556" s="11" t="n">
        <v>16100022.37</v>
      </c>
    </row>
    <row r="557">
      <c r="A557" s="11" t="n">
        <v>556</v>
      </c>
      <c r="B557" s="12" t="n">
        <v>46030</v>
      </c>
      <c r="C557" s="11" t="inlineStr">
        <is>
          <t>COBRO COMISION DEPOSITOS ELECTRONICOS</t>
        </is>
      </c>
      <c r="D557" s="11" t="inlineStr">
        <is>
          <t>ORITO</t>
        </is>
      </c>
      <c r="E557" s="11" t="inlineStr">
        <is>
          <t>00000000</t>
        </is>
      </c>
      <c r="F557" s="13" t="n">
        <v>-1136</v>
      </c>
      <c r="G557" s="11" t="n">
        <v>16098886.37</v>
      </c>
    </row>
    <row r="558">
      <c r="A558" s="11" t="n">
        <v>557</v>
      </c>
      <c r="B558" s="12" t="n">
        <v>46030</v>
      </c>
      <c r="C558" s="11" t="inlineStr">
        <is>
          <t>GRAVAMEN A MOVIMIENTO FINANCIERO</t>
        </is>
      </c>
      <c r="D558" s="11" t="inlineStr">
        <is>
          <t>ORITO</t>
        </is>
      </c>
      <c r="E558" s="11" t="inlineStr">
        <is>
          <t>00000000</t>
        </is>
      </c>
      <c r="F558" s="13" t="n">
        <v>-5</v>
      </c>
      <c r="G558" s="11" t="n">
        <v>16098881.37</v>
      </c>
    </row>
    <row r="559">
      <c r="A559" s="11" t="n">
        <v>558</v>
      </c>
      <c r="B559" s="12" t="n">
        <v>46030</v>
      </c>
      <c r="C559" s="11" t="inlineStr">
        <is>
          <t>RETEFUENTE D E Y VOUCHER CREDIBANCO</t>
        </is>
      </c>
      <c r="D559" s="11" t="inlineStr">
        <is>
          <t>ORITO</t>
        </is>
      </c>
      <c r="E559" s="11" t="inlineStr">
        <is>
          <t>00000000</t>
        </is>
      </c>
      <c r="F559" s="13" t="n">
        <v>-789</v>
      </c>
      <c r="G559" s="11" t="n">
        <v>16098092.37</v>
      </c>
    </row>
    <row r="560">
      <c r="A560" s="11" t="n">
        <v>559</v>
      </c>
      <c r="B560" s="12" t="n">
        <v>46030</v>
      </c>
      <c r="C560" s="11" t="inlineStr">
        <is>
          <t>GRAVAMEN A MOVIMIENTO FINANCIERO</t>
        </is>
      </c>
      <c r="D560" s="11" t="inlineStr">
        <is>
          <t>ORITO</t>
        </is>
      </c>
      <c r="E560" s="11" t="inlineStr">
        <is>
          <t>00000000</t>
        </is>
      </c>
      <c r="F560" s="13" t="n">
        <v>-3</v>
      </c>
      <c r="G560" s="11" t="n">
        <v>16098089.37</v>
      </c>
    </row>
    <row r="561">
      <c r="A561" s="11" t="n">
        <v>560</v>
      </c>
      <c r="B561" s="12" t="n">
        <v>46030</v>
      </c>
      <c r="C561" s="11" t="inlineStr">
        <is>
          <t>CONSIGNACION CREDIBANCO D E</t>
        </is>
      </c>
      <c r="D561" s="11" t="inlineStr">
        <is>
          <t>ORITO</t>
        </is>
      </c>
      <c r="E561" s="11" t="inlineStr">
        <is>
          <t>00000000</t>
        </is>
      </c>
      <c r="F561" s="13" t="n">
        <v>55800</v>
      </c>
      <c r="G561" s="11" t="n">
        <v>16153889.37</v>
      </c>
    </row>
    <row r="562">
      <c r="A562" s="11" t="n">
        <v>561</v>
      </c>
      <c r="B562" s="12" t="n">
        <v>46030</v>
      </c>
      <c r="C562" s="11" t="inlineStr">
        <is>
          <t>COBRO COMISION DEPOSITOS ELECTRONICOS</t>
        </is>
      </c>
      <c r="D562" s="11" t="inlineStr">
        <is>
          <t>ORITO</t>
        </is>
      </c>
      <c r="E562" s="11" t="inlineStr">
        <is>
          <t>00000000</t>
        </is>
      </c>
      <c r="F562" s="13" t="n">
        <v>-1222</v>
      </c>
      <c r="G562" s="11" t="n">
        <v>16152667.37</v>
      </c>
    </row>
    <row r="563">
      <c r="A563" s="11" t="n">
        <v>562</v>
      </c>
      <c r="B563" s="12" t="n">
        <v>46030</v>
      </c>
      <c r="C563" s="11" t="inlineStr">
        <is>
          <t>GRAVAMEN A MOVIMIENTO FINANCIERO</t>
        </is>
      </c>
      <c r="D563" s="11" t="inlineStr">
        <is>
          <t>ORITO</t>
        </is>
      </c>
      <c r="E563" s="11" t="inlineStr">
        <is>
          <t>00000000</t>
        </is>
      </c>
      <c r="F563" s="13" t="n">
        <v>-5</v>
      </c>
      <c r="G563" s="11" t="n">
        <v>16152662.37</v>
      </c>
    </row>
    <row r="564">
      <c r="A564" s="11" t="n">
        <v>563</v>
      </c>
      <c r="B564" s="12" t="n">
        <v>46030</v>
      </c>
      <c r="C564" s="11" t="inlineStr">
        <is>
          <t>RETEFUENTE D E Y VOUCHER CREDIBANCO</t>
        </is>
      </c>
      <c r="D564" s="11" t="inlineStr">
        <is>
          <t>ORITO</t>
        </is>
      </c>
      <c r="E564" s="11" t="inlineStr">
        <is>
          <t>00000000</t>
        </is>
      </c>
      <c r="F564" s="13" t="n">
        <v>-837</v>
      </c>
      <c r="G564" s="11" t="n">
        <v>16151825.37</v>
      </c>
    </row>
    <row r="565">
      <c r="A565" s="11" t="n">
        <v>564</v>
      </c>
      <c r="B565" s="12" t="n">
        <v>46030</v>
      </c>
      <c r="C565" s="11" t="inlineStr">
        <is>
          <t>GRAVAMEN A MOVIMIENTO FINANCIERO</t>
        </is>
      </c>
      <c r="D565" s="11" t="inlineStr">
        <is>
          <t>ORITO</t>
        </is>
      </c>
      <c r="E565" s="11" t="inlineStr">
        <is>
          <t>00000000</t>
        </is>
      </c>
      <c r="F565" s="13" t="n">
        <v>-3</v>
      </c>
      <c r="G565" s="11" t="n">
        <v>16151822.37</v>
      </c>
    </row>
    <row r="566">
      <c r="A566" s="11" t="n">
        <v>565</v>
      </c>
      <c r="B566" s="12" t="n">
        <v>46030</v>
      </c>
      <c r="C566" s="11" t="inlineStr">
        <is>
          <t>CONSIGNACION CREDIBANCO D E</t>
        </is>
      </c>
      <c r="D566" s="11" t="inlineStr">
        <is>
          <t>ORITO</t>
        </is>
      </c>
      <c r="E566" s="11" t="inlineStr">
        <is>
          <t>00000000</t>
        </is>
      </c>
      <c r="F566" s="13" t="n">
        <v>45800</v>
      </c>
      <c r="G566" s="11" t="n">
        <v>16197622.37</v>
      </c>
    </row>
    <row r="567">
      <c r="A567" s="11" t="n">
        <v>566</v>
      </c>
      <c r="B567" s="12" t="n">
        <v>46030</v>
      </c>
      <c r="C567" s="11" t="inlineStr">
        <is>
          <t>COBRO COMISION DEPOSITOS ELECTRONICOS</t>
        </is>
      </c>
      <c r="D567" s="11" t="inlineStr">
        <is>
          <t>ORITO</t>
        </is>
      </c>
      <c r="E567" s="11" t="inlineStr">
        <is>
          <t>00000000</t>
        </is>
      </c>
      <c r="F567" s="13" t="n">
        <v>-1003</v>
      </c>
      <c r="G567" s="11" t="n">
        <v>16196619.37</v>
      </c>
    </row>
    <row r="568">
      <c r="A568" s="11" t="n">
        <v>567</v>
      </c>
      <c r="B568" s="12" t="n">
        <v>46030</v>
      </c>
      <c r="C568" s="11" t="inlineStr">
        <is>
          <t>GRAVAMEN A MOVIMIENTO FINANCIERO</t>
        </is>
      </c>
      <c r="D568" s="11" t="inlineStr">
        <is>
          <t>ORITO</t>
        </is>
      </c>
      <c r="E568" s="11" t="inlineStr">
        <is>
          <t>00000000</t>
        </is>
      </c>
      <c r="F568" s="13" t="n">
        <v>-4</v>
      </c>
      <c r="G568" s="11" t="n">
        <v>16196615.37</v>
      </c>
    </row>
    <row r="569">
      <c r="A569" s="11" t="n">
        <v>568</v>
      </c>
      <c r="B569" s="12" t="n">
        <v>46030</v>
      </c>
      <c r="C569" s="11" t="inlineStr">
        <is>
          <t>RETEFUENTE D E Y VOUCHER CREDIBANCO</t>
        </is>
      </c>
      <c r="D569" s="11" t="inlineStr">
        <is>
          <t>ORITO</t>
        </is>
      </c>
      <c r="E569" s="11" t="inlineStr">
        <is>
          <t>00000000</t>
        </is>
      </c>
      <c r="F569" s="13" t="n">
        <v>-687</v>
      </c>
      <c r="G569" s="11" t="n">
        <v>16195928.37</v>
      </c>
    </row>
    <row r="570">
      <c r="A570" s="11" t="n">
        <v>569</v>
      </c>
      <c r="B570" s="12" t="n">
        <v>46030</v>
      </c>
      <c r="C570" s="11" t="inlineStr">
        <is>
          <t>GRAVAMEN A MOVIMIENTO FINANCIERO</t>
        </is>
      </c>
      <c r="D570" s="11" t="inlineStr">
        <is>
          <t>ORITO</t>
        </is>
      </c>
      <c r="E570" s="11" t="inlineStr">
        <is>
          <t>00000000</t>
        </is>
      </c>
      <c r="F570" s="13" t="n">
        <v>-3</v>
      </c>
      <c r="G570" s="11" t="n">
        <v>16195925.37</v>
      </c>
    </row>
    <row r="571">
      <c r="A571" s="11" t="n">
        <v>570</v>
      </c>
      <c r="B571" s="12" t="n">
        <v>46030</v>
      </c>
      <c r="C571" s="11" t="inlineStr">
        <is>
          <t>CONSIGNACION CREDIBANCO D E</t>
        </is>
      </c>
      <c r="D571" s="11" t="inlineStr">
        <is>
          <t>ORITO</t>
        </is>
      </c>
      <c r="E571" s="11" t="inlineStr">
        <is>
          <t>00000000</t>
        </is>
      </c>
      <c r="F571" s="13" t="n">
        <v>429310</v>
      </c>
      <c r="G571" s="11" t="n">
        <v>16625235.37</v>
      </c>
    </row>
    <row r="572">
      <c r="A572" s="11" t="n">
        <v>571</v>
      </c>
      <c r="B572" s="12" t="n">
        <v>46030</v>
      </c>
      <c r="C572" s="11" t="inlineStr">
        <is>
          <t>COBRO COMISION DEPOSITOS ELECTRONICOS</t>
        </is>
      </c>
      <c r="D572" s="11" t="inlineStr">
        <is>
          <t>ORITO</t>
        </is>
      </c>
      <c r="E572" s="11" t="inlineStr">
        <is>
          <t>00000000</t>
        </is>
      </c>
      <c r="F572" s="13" t="n">
        <v>-9402</v>
      </c>
      <c r="G572" s="11" t="n">
        <v>16615833.37</v>
      </c>
    </row>
    <row r="573">
      <c r="A573" s="11" t="n">
        <v>572</v>
      </c>
      <c r="B573" s="12" t="n">
        <v>46030</v>
      </c>
      <c r="C573" s="11" t="inlineStr">
        <is>
          <t>GRAVAMEN A MOVIMIENTO FINANCIERO</t>
        </is>
      </c>
      <c r="D573" s="11" t="inlineStr">
        <is>
          <t>ORITO</t>
        </is>
      </c>
      <c r="E573" s="11" t="inlineStr">
        <is>
          <t>00000000</t>
        </is>
      </c>
      <c r="F573" s="13" t="n">
        <v>-38</v>
      </c>
      <c r="G573" s="11" t="n">
        <v>16615795.37</v>
      </c>
    </row>
    <row r="574">
      <c r="A574" s="11" t="n">
        <v>573</v>
      </c>
      <c r="B574" s="12" t="n">
        <v>46030</v>
      </c>
      <c r="C574" s="11" t="inlineStr">
        <is>
          <t>RETEFUENTE D E Y VOUCHER CREDIBANCO</t>
        </is>
      </c>
      <c r="D574" s="11" t="inlineStr">
        <is>
          <t>ORITO</t>
        </is>
      </c>
      <c r="E574" s="11" t="inlineStr">
        <is>
          <t>00000000</t>
        </is>
      </c>
      <c r="F574" s="13" t="n">
        <v>-6440</v>
      </c>
      <c r="G574" s="11" t="n">
        <v>16609355.37</v>
      </c>
    </row>
    <row r="575">
      <c r="A575" s="11" t="n">
        <v>574</v>
      </c>
      <c r="B575" s="12" t="n">
        <v>46030</v>
      </c>
      <c r="C575" s="11" t="inlineStr">
        <is>
          <t>GRAVAMEN A MOVIMIENTO FINANCIERO</t>
        </is>
      </c>
      <c r="D575" s="11" t="inlineStr">
        <is>
          <t>ORITO</t>
        </is>
      </c>
      <c r="E575" s="11" t="inlineStr">
        <is>
          <t>00000000</t>
        </is>
      </c>
      <c r="F575" s="13" t="n">
        <v>-26</v>
      </c>
      <c r="G575" s="11" t="n">
        <v>16609329.37</v>
      </c>
    </row>
    <row r="576">
      <c r="A576" s="11" t="n">
        <v>575</v>
      </c>
      <c r="B576" s="12" t="n">
        <v>46030</v>
      </c>
      <c r="C576" s="11" t="inlineStr">
        <is>
          <t>DEPOSITOS ELECTRONICOS TRANSACCION MASTERCA</t>
        </is>
      </c>
      <c r="D576" s="11" t="inlineStr">
        <is>
          <t>ORITO</t>
        </is>
      </c>
      <c r="E576" s="11" t="inlineStr">
        <is>
          <t>00000000</t>
        </is>
      </c>
      <c r="F576" s="13" t="n">
        <v>80500</v>
      </c>
      <c r="G576" s="11" t="n">
        <v>16689829.37</v>
      </c>
    </row>
    <row r="577">
      <c r="A577" s="11" t="n">
        <v>576</v>
      </c>
      <c r="B577" s="12" t="n">
        <v>46030</v>
      </c>
      <c r="C577" s="11" t="inlineStr">
        <is>
          <t>COMISION DEPOSITOS ELECTRONICOS MASTERCARD</t>
        </is>
      </c>
      <c r="D577" s="11" t="inlineStr">
        <is>
          <t>ORITO</t>
        </is>
      </c>
      <c r="E577" s="11" t="inlineStr">
        <is>
          <t>00000000</t>
        </is>
      </c>
      <c r="F577" s="13" t="n">
        <v>-1530</v>
      </c>
      <c r="G577" s="11" t="n">
        <v>16688299.37</v>
      </c>
    </row>
    <row r="578">
      <c r="A578" s="11" t="n">
        <v>577</v>
      </c>
      <c r="B578" s="12" t="n">
        <v>46030</v>
      </c>
      <c r="C578" s="11" t="inlineStr">
        <is>
          <t>GRAVAMEN A MOVIMIENTO FINANCIERO</t>
        </is>
      </c>
      <c r="D578" s="11" t="inlineStr">
        <is>
          <t>ORITO</t>
        </is>
      </c>
      <c r="E578" s="11" t="inlineStr">
        <is>
          <t>00000000</t>
        </is>
      </c>
      <c r="F578" s="13" t="n">
        <v>-6</v>
      </c>
      <c r="G578" s="11" t="n">
        <v>16688293.37</v>
      </c>
    </row>
    <row r="579">
      <c r="A579" s="11" t="n">
        <v>578</v>
      </c>
      <c r="B579" s="12" t="n">
        <v>46030</v>
      </c>
      <c r="C579" s="11" t="inlineStr">
        <is>
          <t>RETEFUENTE DEPOSITOS ELECTRONICOS MASTERCAR</t>
        </is>
      </c>
      <c r="D579" s="11" t="inlineStr">
        <is>
          <t>ORITO</t>
        </is>
      </c>
      <c r="E579" s="11" t="inlineStr">
        <is>
          <t>00000000</t>
        </is>
      </c>
      <c r="F579" s="13" t="n">
        <v>-1208</v>
      </c>
      <c r="G579" s="11" t="n">
        <v>16687085.37</v>
      </c>
    </row>
    <row r="580">
      <c r="A580" s="11" t="n">
        <v>579</v>
      </c>
      <c r="B580" s="12" t="n">
        <v>46030</v>
      </c>
      <c r="C580" s="11" t="inlineStr">
        <is>
          <t>GRAVAMEN A MOVIMIENTO FINANCIERO</t>
        </is>
      </c>
      <c r="D580" s="11" t="inlineStr">
        <is>
          <t>ORITO</t>
        </is>
      </c>
      <c r="E580" s="11" t="inlineStr">
        <is>
          <t>00000000</t>
        </is>
      </c>
      <c r="F580" s="13" t="n">
        <v>-5</v>
      </c>
      <c r="G580" s="11" t="n">
        <v>16687080.37</v>
      </c>
    </row>
    <row r="581">
      <c r="A581" s="11" t="n">
        <v>580</v>
      </c>
      <c r="B581" s="12" t="n">
        <v>46030</v>
      </c>
      <c r="C581" s="11" t="inlineStr">
        <is>
          <t>DEPOSITOS ELECTRONICOS TRANSACCION MASTERCA</t>
        </is>
      </c>
      <c r="D581" s="11" t="inlineStr">
        <is>
          <t>ORITO</t>
        </is>
      </c>
      <c r="E581" s="11" t="inlineStr">
        <is>
          <t>00000000</t>
        </is>
      </c>
      <c r="F581" s="13" t="n">
        <v>52800</v>
      </c>
      <c r="G581" s="11" t="n">
        <v>16739880.37</v>
      </c>
    </row>
    <row r="582">
      <c r="A582" s="11" t="n">
        <v>581</v>
      </c>
      <c r="B582" s="12" t="n">
        <v>46030</v>
      </c>
      <c r="C582" s="11" t="inlineStr">
        <is>
          <t>COMISION DEPOSITOS ELECTRONICOS MASTERCARD</t>
        </is>
      </c>
      <c r="D582" s="11" t="inlineStr">
        <is>
          <t>ORITO</t>
        </is>
      </c>
      <c r="E582" s="11" t="inlineStr">
        <is>
          <t>00000000</t>
        </is>
      </c>
      <c r="F582" s="13" t="n">
        <v>-1003</v>
      </c>
      <c r="G582" s="11" t="n">
        <v>16738877.37</v>
      </c>
    </row>
    <row r="583">
      <c r="A583" s="11" t="n">
        <v>582</v>
      </c>
      <c r="B583" s="12" t="n">
        <v>46030</v>
      </c>
      <c r="C583" s="11" t="inlineStr">
        <is>
          <t>GRAVAMEN A MOVIMIENTO FINANCIERO</t>
        </is>
      </c>
      <c r="D583" s="11" t="inlineStr">
        <is>
          <t>ORITO</t>
        </is>
      </c>
      <c r="E583" s="11" t="inlineStr">
        <is>
          <t>00000000</t>
        </is>
      </c>
      <c r="F583" s="13" t="n">
        <v>-4</v>
      </c>
      <c r="G583" s="11" t="n">
        <v>16738873.37</v>
      </c>
    </row>
    <row r="584">
      <c r="A584" s="11" t="n">
        <v>583</v>
      </c>
      <c r="B584" s="12" t="n">
        <v>46030</v>
      </c>
      <c r="C584" s="11" t="inlineStr">
        <is>
          <t>RETEFUENTE DEPOSITOS ELECTRONICOS MASTERCAR</t>
        </is>
      </c>
      <c r="D584" s="11" t="inlineStr">
        <is>
          <t>ORITO</t>
        </is>
      </c>
      <c r="E584" s="11" t="inlineStr">
        <is>
          <t>00000000</t>
        </is>
      </c>
      <c r="F584" s="13" t="n">
        <v>-792</v>
      </c>
      <c r="G584" s="11" t="n">
        <v>16738081.37</v>
      </c>
    </row>
    <row r="585">
      <c r="A585" s="11" t="n">
        <v>584</v>
      </c>
      <c r="B585" s="12" t="n">
        <v>46030</v>
      </c>
      <c r="C585" s="11" t="inlineStr">
        <is>
          <t>GRAVAMEN A MOVIMIENTO FINANCIERO</t>
        </is>
      </c>
      <c r="D585" s="11" t="inlineStr">
        <is>
          <t>ORITO</t>
        </is>
      </c>
      <c r="E585" s="11" t="inlineStr">
        <is>
          <t>00000000</t>
        </is>
      </c>
      <c r="F585" s="13" t="n">
        <v>-3</v>
      </c>
      <c r="G585" s="11" t="n">
        <v>16738078.37</v>
      </c>
    </row>
    <row r="586">
      <c r="A586" s="11" t="n">
        <v>585</v>
      </c>
      <c r="B586" s="12" t="n">
        <v>46030</v>
      </c>
      <c r="C586" s="11" t="inlineStr">
        <is>
          <t>DEPOSITOS ELECTRONICOS TRANSACCION MASTERCA</t>
        </is>
      </c>
      <c r="D586" s="11" t="inlineStr">
        <is>
          <t>ORITO</t>
        </is>
      </c>
      <c r="E586" s="11" t="inlineStr">
        <is>
          <t>00000000</t>
        </is>
      </c>
      <c r="F586" s="13" t="n">
        <v>120400</v>
      </c>
      <c r="G586" s="11" t="n">
        <v>16858478.37</v>
      </c>
    </row>
    <row r="587">
      <c r="A587" s="11" t="n">
        <v>586</v>
      </c>
      <c r="B587" s="12" t="n">
        <v>46030</v>
      </c>
      <c r="C587" s="11" t="inlineStr">
        <is>
          <t>COMISION DEPOSITOS ELECTRONICOS MASTERCARD</t>
        </is>
      </c>
      <c r="D587" s="11" t="inlineStr">
        <is>
          <t>ORITO</t>
        </is>
      </c>
      <c r="E587" s="11" t="inlineStr">
        <is>
          <t>00000000</t>
        </is>
      </c>
      <c r="F587" s="13" t="n">
        <v>-2288</v>
      </c>
      <c r="G587" s="11" t="n">
        <v>16856190.37</v>
      </c>
    </row>
    <row r="588">
      <c r="A588" s="11" t="n">
        <v>587</v>
      </c>
      <c r="B588" s="12" t="n">
        <v>46030</v>
      </c>
      <c r="C588" s="11" t="inlineStr">
        <is>
          <t>GRAVAMEN A MOVIMIENTO FINANCIERO</t>
        </is>
      </c>
      <c r="D588" s="11" t="inlineStr">
        <is>
          <t>ORITO</t>
        </is>
      </c>
      <c r="E588" s="11" t="inlineStr">
        <is>
          <t>00000000</t>
        </is>
      </c>
      <c r="F588" s="13" t="n">
        <v>-9</v>
      </c>
      <c r="G588" s="11" t="n">
        <v>16856181.37</v>
      </c>
    </row>
    <row r="589">
      <c r="A589" s="11" t="n">
        <v>588</v>
      </c>
      <c r="B589" s="12" t="n">
        <v>46030</v>
      </c>
      <c r="C589" s="11" t="inlineStr">
        <is>
          <t>RETEFUENTE DEPOSITOS ELECTRONICOS MASTERCAR</t>
        </is>
      </c>
      <c r="D589" s="11" t="inlineStr">
        <is>
          <t>ORITO</t>
        </is>
      </c>
      <c r="E589" s="11" t="inlineStr">
        <is>
          <t>00000000</t>
        </is>
      </c>
      <c r="F589" s="13" t="n">
        <v>-1806</v>
      </c>
      <c r="G589" s="11" t="n">
        <v>16854375.37</v>
      </c>
    </row>
    <row r="590">
      <c r="A590" s="11" t="n">
        <v>589</v>
      </c>
      <c r="B590" s="12" t="n">
        <v>46030</v>
      </c>
      <c r="C590" s="11" t="inlineStr">
        <is>
          <t>GRAVAMEN A MOVIMIENTO FINANCIERO</t>
        </is>
      </c>
      <c r="D590" s="11" t="inlineStr">
        <is>
          <t>ORITO</t>
        </is>
      </c>
      <c r="E590" s="11" t="inlineStr">
        <is>
          <t>00000000</t>
        </is>
      </c>
      <c r="F590" s="13" t="n">
        <v>-7</v>
      </c>
      <c r="G590" s="11" t="n">
        <v>16854368.37</v>
      </c>
    </row>
    <row r="591">
      <c r="A591" s="11" t="n">
        <v>590</v>
      </c>
      <c r="B591" s="12" t="n">
        <v>46031</v>
      </c>
      <c r="C591" s="11" t="inlineStr">
        <is>
          <t>CONSIGNACION CREDIBANCO D E</t>
        </is>
      </c>
      <c r="D591" s="11" t="inlineStr">
        <is>
          <t>ORITO</t>
        </is>
      </c>
      <c r="E591" s="11" t="inlineStr">
        <is>
          <t>00000000</t>
        </is>
      </c>
      <c r="F591" s="13" t="n">
        <v>29700</v>
      </c>
      <c r="G591" s="11" t="n">
        <v>16884068.37</v>
      </c>
    </row>
    <row r="592">
      <c r="A592" s="11" t="n">
        <v>591</v>
      </c>
      <c r="B592" s="12" t="n">
        <v>46031</v>
      </c>
      <c r="C592" s="11" t="inlineStr">
        <is>
          <t>COBRO COMISION DEPOSITOS ELECTRONICOS</t>
        </is>
      </c>
      <c r="D592" s="11" t="inlineStr">
        <is>
          <t>ORITO</t>
        </is>
      </c>
      <c r="E592" s="11" t="inlineStr">
        <is>
          <t>00000000</t>
        </is>
      </c>
      <c r="F592" s="13" t="n">
        <v>-612</v>
      </c>
      <c r="G592" s="11" t="n">
        <v>16883456.37</v>
      </c>
    </row>
    <row r="593">
      <c r="A593" s="11" t="n">
        <v>592</v>
      </c>
      <c r="B593" s="12" t="n">
        <v>46031</v>
      </c>
      <c r="C593" s="11" t="inlineStr">
        <is>
          <t>GRAVAMEN A MOVIMIENTO FINANCIERO</t>
        </is>
      </c>
      <c r="D593" s="11" t="inlineStr">
        <is>
          <t>ORITO</t>
        </is>
      </c>
      <c r="E593" s="11" t="inlineStr">
        <is>
          <t>00000000</t>
        </is>
      </c>
      <c r="F593" s="13" t="n">
        <v>-2</v>
      </c>
      <c r="G593" s="11" t="n">
        <v>16883454.37</v>
      </c>
    </row>
    <row r="594">
      <c r="A594" s="11" t="n">
        <v>593</v>
      </c>
      <c r="B594" s="12" t="n">
        <v>46031</v>
      </c>
      <c r="C594" s="11" t="inlineStr">
        <is>
          <t>RETEFUENTE D E Y VOUCHER CREDIBANCO</t>
        </is>
      </c>
      <c r="D594" s="11" t="inlineStr">
        <is>
          <t>ORITO</t>
        </is>
      </c>
      <c r="E594" s="11" t="inlineStr">
        <is>
          <t>00000000</t>
        </is>
      </c>
      <c r="F594" s="13" t="n">
        <v>-446</v>
      </c>
      <c r="G594" s="11" t="n">
        <v>16883008.37</v>
      </c>
    </row>
    <row r="595">
      <c r="A595" s="11" t="n">
        <v>594</v>
      </c>
      <c r="B595" s="12" t="n">
        <v>46031</v>
      </c>
      <c r="C595" s="11" t="inlineStr">
        <is>
          <t>GRAVAMEN A MOVIMIENTO FINANCIERO</t>
        </is>
      </c>
      <c r="D595" s="11" t="inlineStr">
        <is>
          <t>ORITO</t>
        </is>
      </c>
      <c r="E595" s="11" t="inlineStr">
        <is>
          <t>00000000</t>
        </is>
      </c>
      <c r="F595" s="13" t="n">
        <v>-2</v>
      </c>
      <c r="G595" s="11" t="n">
        <v>16883006.37</v>
      </c>
    </row>
    <row r="596">
      <c r="A596" s="11" t="n">
        <v>595</v>
      </c>
      <c r="B596" s="12" t="n">
        <v>46031</v>
      </c>
      <c r="C596" s="11" t="inlineStr">
        <is>
          <t>CONSIGNACION CREDIBANCO D E</t>
        </is>
      </c>
      <c r="D596" s="11" t="inlineStr">
        <is>
          <t>ORITO</t>
        </is>
      </c>
      <c r="E596" s="11" t="inlineStr">
        <is>
          <t>00000000</t>
        </is>
      </c>
      <c r="F596" s="13" t="n">
        <v>20000</v>
      </c>
      <c r="G596" s="11" t="n">
        <v>16903006.37</v>
      </c>
    </row>
    <row r="597">
      <c r="A597" s="11" t="n">
        <v>596</v>
      </c>
      <c r="B597" s="12" t="n">
        <v>46031</v>
      </c>
      <c r="C597" s="11" t="inlineStr">
        <is>
          <t>COBRO COMISION DEPOSITOS ELECTRONICOS</t>
        </is>
      </c>
      <c r="D597" s="11" t="inlineStr">
        <is>
          <t>ORITO</t>
        </is>
      </c>
      <c r="E597" s="11" t="inlineStr">
        <is>
          <t>00000000</t>
        </is>
      </c>
      <c r="F597" s="13" t="n">
        <v>-412</v>
      </c>
      <c r="G597" s="11" t="n">
        <v>16902594.37</v>
      </c>
    </row>
    <row r="598">
      <c r="A598" s="11" t="n">
        <v>597</v>
      </c>
      <c r="B598" s="12" t="n">
        <v>46031</v>
      </c>
      <c r="C598" s="11" t="inlineStr">
        <is>
          <t>GRAVAMEN A MOVIMIENTO FINANCIERO</t>
        </is>
      </c>
      <c r="D598" s="11" t="inlineStr">
        <is>
          <t>ORITO</t>
        </is>
      </c>
      <c r="E598" s="11" t="inlineStr">
        <is>
          <t>00000000</t>
        </is>
      </c>
      <c r="F598" s="13" t="n">
        <v>-2</v>
      </c>
      <c r="G598" s="11" t="n">
        <v>16902592.37</v>
      </c>
    </row>
    <row r="599">
      <c r="A599" s="11" t="n">
        <v>598</v>
      </c>
      <c r="B599" s="12" t="n">
        <v>46031</v>
      </c>
      <c r="C599" s="11" t="inlineStr">
        <is>
          <t>RETEFUENTE D E Y VOUCHER CREDIBANCO</t>
        </is>
      </c>
      <c r="D599" s="11" t="inlineStr">
        <is>
          <t>ORITO</t>
        </is>
      </c>
      <c r="E599" s="11" t="inlineStr">
        <is>
          <t>00000000</t>
        </is>
      </c>
      <c r="F599" s="13" t="n">
        <v>-300</v>
      </c>
      <c r="G599" s="11" t="n">
        <v>16902292.37</v>
      </c>
    </row>
    <row r="600">
      <c r="A600" s="11" t="n">
        <v>599</v>
      </c>
      <c r="B600" s="12" t="n">
        <v>46031</v>
      </c>
      <c r="C600" s="11" t="inlineStr">
        <is>
          <t>GRAVAMEN A MOVIMIENTO FINANCIERO</t>
        </is>
      </c>
      <c r="D600" s="11" t="inlineStr">
        <is>
          <t>ORITO</t>
        </is>
      </c>
      <c r="E600" s="11" t="inlineStr">
        <is>
          <t>00000000</t>
        </is>
      </c>
      <c r="F600" s="13" t="n">
        <v>-1</v>
      </c>
      <c r="G600" s="11" t="n">
        <v>16902291.37</v>
      </c>
    </row>
    <row r="601">
      <c r="A601" s="11" t="n">
        <v>600</v>
      </c>
      <c r="B601" s="12" t="n">
        <v>46031</v>
      </c>
      <c r="C601" s="11" t="inlineStr">
        <is>
          <t>CONSIGNACION CREDIBANCO D E</t>
        </is>
      </c>
      <c r="D601" s="11" t="inlineStr">
        <is>
          <t>ORITO</t>
        </is>
      </c>
      <c r="E601" s="11" t="inlineStr">
        <is>
          <t>00000000</t>
        </is>
      </c>
      <c r="F601" s="13" t="n">
        <v>38900</v>
      </c>
      <c r="G601" s="11" t="n">
        <v>16941191.37</v>
      </c>
    </row>
    <row r="602">
      <c r="A602" s="11" t="n">
        <v>601</v>
      </c>
      <c r="B602" s="12" t="n">
        <v>46031</v>
      </c>
      <c r="C602" s="11" t="inlineStr">
        <is>
          <t>COBRO COMISION DEPOSITOS ELECTRONICOS</t>
        </is>
      </c>
      <c r="D602" s="11" t="inlineStr">
        <is>
          <t>ORITO</t>
        </is>
      </c>
      <c r="E602" s="11" t="inlineStr">
        <is>
          <t>00000000</t>
        </is>
      </c>
      <c r="F602" s="13" t="n">
        <v>-801</v>
      </c>
      <c r="G602" s="11" t="n">
        <v>16940390.37</v>
      </c>
    </row>
    <row r="603">
      <c r="A603" s="11" t="n">
        <v>602</v>
      </c>
      <c r="B603" s="12" t="n">
        <v>46031</v>
      </c>
      <c r="C603" s="11" t="inlineStr">
        <is>
          <t>GRAVAMEN A MOVIMIENTO FINANCIERO</t>
        </is>
      </c>
      <c r="D603" s="11" t="inlineStr">
        <is>
          <t>ORITO</t>
        </is>
      </c>
      <c r="E603" s="11" t="inlineStr">
        <is>
          <t>00000000</t>
        </is>
      </c>
      <c r="F603" s="13" t="n">
        <v>-3</v>
      </c>
      <c r="G603" s="11" t="n">
        <v>16940387.37</v>
      </c>
    </row>
    <row r="604">
      <c r="A604" s="11" t="n">
        <v>603</v>
      </c>
      <c r="B604" s="12" t="n">
        <v>46031</v>
      </c>
      <c r="C604" s="11" t="inlineStr">
        <is>
          <t>RETEFUENTE D E Y VOUCHER CREDIBANCO</t>
        </is>
      </c>
      <c r="D604" s="11" t="inlineStr">
        <is>
          <t>ORITO</t>
        </is>
      </c>
      <c r="E604" s="11" t="inlineStr">
        <is>
          <t>00000000</t>
        </is>
      </c>
      <c r="F604" s="13" t="n">
        <v>-584</v>
      </c>
      <c r="G604" s="11" t="n">
        <v>16939803.37</v>
      </c>
    </row>
    <row r="605">
      <c r="A605" s="11" t="n">
        <v>604</v>
      </c>
      <c r="B605" s="12" t="n">
        <v>46031</v>
      </c>
      <c r="C605" s="11" t="inlineStr">
        <is>
          <t>GRAVAMEN A MOVIMIENTO FINANCIERO</t>
        </is>
      </c>
      <c r="D605" s="11" t="inlineStr">
        <is>
          <t>ORITO</t>
        </is>
      </c>
      <c r="E605" s="11" t="inlineStr">
        <is>
          <t>00000000</t>
        </is>
      </c>
      <c r="F605" s="13" t="n">
        <v>-2</v>
      </c>
      <c r="G605" s="11" t="n">
        <v>16939801.37</v>
      </c>
    </row>
    <row r="606">
      <c r="A606" s="11" t="n">
        <v>605</v>
      </c>
      <c r="B606" s="12" t="n">
        <v>46031</v>
      </c>
      <c r="C606" s="11" t="inlineStr">
        <is>
          <t>CONSIGNACION CREDIBANCO D E</t>
        </is>
      </c>
      <c r="D606" s="11" t="inlineStr">
        <is>
          <t>ORITO</t>
        </is>
      </c>
      <c r="E606" s="11" t="inlineStr">
        <is>
          <t>00000000</t>
        </is>
      </c>
      <c r="F606" s="13" t="n">
        <v>33200</v>
      </c>
      <c r="G606" s="11" t="n">
        <v>16973001.37</v>
      </c>
    </row>
    <row r="607">
      <c r="A607" s="11" t="n">
        <v>606</v>
      </c>
      <c r="B607" s="12" t="n">
        <v>46031</v>
      </c>
      <c r="C607" s="11" t="inlineStr">
        <is>
          <t>COBRO COMISION DEPOSITOS ELECTRONICOS</t>
        </is>
      </c>
      <c r="D607" s="11" t="inlineStr">
        <is>
          <t>ORITO</t>
        </is>
      </c>
      <c r="E607" s="11" t="inlineStr">
        <is>
          <t>00000000</t>
        </is>
      </c>
      <c r="F607" s="13" t="n">
        <v>-717</v>
      </c>
      <c r="G607" s="11" t="n">
        <v>16972284.37</v>
      </c>
    </row>
    <row r="608">
      <c r="A608" s="11" t="n">
        <v>607</v>
      </c>
      <c r="B608" s="12" t="n">
        <v>46031</v>
      </c>
      <c r="C608" s="11" t="inlineStr">
        <is>
          <t>GRAVAMEN A MOVIMIENTO FINANCIERO</t>
        </is>
      </c>
      <c r="D608" s="11" t="inlineStr">
        <is>
          <t>ORITO</t>
        </is>
      </c>
      <c r="E608" s="11" t="inlineStr">
        <is>
          <t>00000000</t>
        </is>
      </c>
      <c r="F608" s="13" t="n">
        <v>-3</v>
      </c>
      <c r="G608" s="11" t="n">
        <v>16972281.37</v>
      </c>
    </row>
    <row r="609">
      <c r="A609" s="11" t="n">
        <v>608</v>
      </c>
      <c r="B609" s="12" t="n">
        <v>46031</v>
      </c>
      <c r="C609" s="11" t="inlineStr">
        <is>
          <t>RETEFUENTE D E Y VOUCHER CREDIBANCO</t>
        </is>
      </c>
      <c r="D609" s="11" t="inlineStr">
        <is>
          <t>ORITO</t>
        </is>
      </c>
      <c r="E609" s="11" t="inlineStr">
        <is>
          <t>00000000</t>
        </is>
      </c>
      <c r="F609" s="13" t="n">
        <v>-498</v>
      </c>
      <c r="G609" s="11" t="n">
        <v>16971783.37</v>
      </c>
    </row>
    <row r="610">
      <c r="A610" s="11" t="n">
        <v>609</v>
      </c>
      <c r="B610" s="12" t="n">
        <v>46031</v>
      </c>
      <c r="C610" s="11" t="inlineStr">
        <is>
          <t>GRAVAMEN A MOVIMIENTO FINANCIERO</t>
        </is>
      </c>
      <c r="D610" s="11" t="inlineStr">
        <is>
          <t>ORITO</t>
        </is>
      </c>
      <c r="E610" s="11" t="inlineStr">
        <is>
          <t>00000000</t>
        </is>
      </c>
      <c r="F610" s="13" t="n">
        <v>-2</v>
      </c>
      <c r="G610" s="11" t="n">
        <v>16971781.37</v>
      </c>
    </row>
    <row r="611">
      <c r="A611" s="11" t="n">
        <v>610</v>
      </c>
      <c r="B611" s="12" t="n">
        <v>46031</v>
      </c>
      <c r="C611" s="11" t="inlineStr">
        <is>
          <t>CONSIGNACION CREDIBANCO D E</t>
        </is>
      </c>
      <c r="D611" s="11" t="inlineStr">
        <is>
          <t>ORITO</t>
        </is>
      </c>
      <c r="E611" s="11" t="inlineStr">
        <is>
          <t>00000000</t>
        </is>
      </c>
      <c r="F611" s="13" t="n">
        <v>46400</v>
      </c>
      <c r="G611" s="11" t="n">
        <v>17018181.37</v>
      </c>
    </row>
    <row r="612">
      <c r="A612" s="11" t="n">
        <v>611</v>
      </c>
      <c r="B612" s="12" t="n">
        <v>46031</v>
      </c>
      <c r="C612" s="11" t="inlineStr">
        <is>
          <t>COBRO COMISION DEPOSITOS ELECTRONICOS</t>
        </is>
      </c>
      <c r="D612" s="11" t="inlineStr">
        <is>
          <t>ORITO</t>
        </is>
      </c>
      <c r="E612" s="11" t="inlineStr">
        <is>
          <t>00000000</t>
        </is>
      </c>
      <c r="F612" s="13" t="n">
        <v>-1002</v>
      </c>
      <c r="G612" s="11" t="n">
        <v>17017179.37</v>
      </c>
    </row>
    <row r="613">
      <c r="A613" s="11" t="n">
        <v>612</v>
      </c>
      <c r="B613" s="12" t="n">
        <v>46031</v>
      </c>
      <c r="C613" s="11" t="inlineStr">
        <is>
          <t>GRAVAMEN A MOVIMIENTO FINANCIERO</t>
        </is>
      </c>
      <c r="D613" s="11" t="inlineStr">
        <is>
          <t>ORITO</t>
        </is>
      </c>
      <c r="E613" s="11" t="inlineStr">
        <is>
          <t>00000000</t>
        </is>
      </c>
      <c r="F613" s="13" t="n">
        <v>-4</v>
      </c>
      <c r="G613" s="11" t="n">
        <v>17017175.37</v>
      </c>
    </row>
    <row r="614">
      <c r="A614" s="11" t="n">
        <v>613</v>
      </c>
      <c r="B614" s="12" t="n">
        <v>46031</v>
      </c>
      <c r="C614" s="11" t="inlineStr">
        <is>
          <t>RETEFUENTE D E Y VOUCHER CREDIBANCO</t>
        </is>
      </c>
      <c r="D614" s="11" t="inlineStr">
        <is>
          <t>ORITO</t>
        </is>
      </c>
      <c r="E614" s="11" t="inlineStr">
        <is>
          <t>00000000</t>
        </is>
      </c>
      <c r="F614" s="13" t="n">
        <v>-696</v>
      </c>
      <c r="G614" s="11" t="n">
        <v>17016479.37</v>
      </c>
    </row>
    <row r="615">
      <c r="A615" s="11" t="n">
        <v>614</v>
      </c>
      <c r="B615" s="12" t="n">
        <v>46031</v>
      </c>
      <c r="C615" s="11" t="inlineStr">
        <is>
          <t>GRAVAMEN A MOVIMIENTO FINANCIERO</t>
        </is>
      </c>
      <c r="D615" s="11" t="inlineStr">
        <is>
          <t>ORITO</t>
        </is>
      </c>
      <c r="E615" s="11" t="inlineStr">
        <is>
          <t>00000000</t>
        </is>
      </c>
      <c r="F615" s="13" t="n">
        <v>-3</v>
      </c>
      <c r="G615" s="11" t="n">
        <v>17016476.37</v>
      </c>
    </row>
    <row r="616">
      <c r="A616" s="11" t="n">
        <v>615</v>
      </c>
      <c r="B616" s="12" t="n">
        <v>46031</v>
      </c>
      <c r="C616" s="11" t="inlineStr">
        <is>
          <t>CONSIGNACION CREDIBANCO D E</t>
        </is>
      </c>
      <c r="D616" s="11" t="inlineStr">
        <is>
          <t>ORITO</t>
        </is>
      </c>
      <c r="E616" s="11" t="inlineStr">
        <is>
          <t>00000000</t>
        </is>
      </c>
      <c r="F616" s="13" t="n">
        <v>63200</v>
      </c>
      <c r="G616" s="11" t="n">
        <v>17079676.37</v>
      </c>
    </row>
    <row r="617">
      <c r="A617" s="11" t="n">
        <v>616</v>
      </c>
      <c r="B617" s="12" t="n">
        <v>46031</v>
      </c>
      <c r="C617" s="11" t="inlineStr">
        <is>
          <t>COBRO COMISION DEPOSITOS ELECTRONICOS</t>
        </is>
      </c>
      <c r="D617" s="11" t="inlineStr">
        <is>
          <t>ORITO</t>
        </is>
      </c>
      <c r="E617" s="11" t="inlineStr">
        <is>
          <t>00000000</t>
        </is>
      </c>
      <c r="F617" s="13" t="n">
        <v>-1365</v>
      </c>
      <c r="G617" s="11" t="n">
        <v>17078311.37</v>
      </c>
    </row>
    <row r="618">
      <c r="A618" s="11" t="n">
        <v>617</v>
      </c>
      <c r="B618" s="12" t="n">
        <v>46031</v>
      </c>
      <c r="C618" s="11" t="inlineStr">
        <is>
          <t>GRAVAMEN A MOVIMIENTO FINANCIERO</t>
        </is>
      </c>
      <c r="D618" s="11" t="inlineStr">
        <is>
          <t>ORITO</t>
        </is>
      </c>
      <c r="E618" s="11" t="inlineStr">
        <is>
          <t>00000000</t>
        </is>
      </c>
      <c r="F618" s="13" t="n">
        <v>-5</v>
      </c>
      <c r="G618" s="11" t="n">
        <v>17078306.37</v>
      </c>
    </row>
    <row r="619">
      <c r="A619" s="11" t="n">
        <v>618</v>
      </c>
      <c r="B619" s="12" t="n">
        <v>46031</v>
      </c>
      <c r="C619" s="11" t="inlineStr">
        <is>
          <t>RETEFUENTE D E Y VOUCHER CREDIBANCO</t>
        </is>
      </c>
      <c r="D619" s="11" t="inlineStr">
        <is>
          <t>ORITO</t>
        </is>
      </c>
      <c r="E619" s="11" t="inlineStr">
        <is>
          <t>00000000</t>
        </is>
      </c>
      <c r="F619" s="13" t="n">
        <v>-948</v>
      </c>
      <c r="G619" s="11" t="n">
        <v>17077358.37</v>
      </c>
    </row>
    <row r="620">
      <c r="A620" s="11" t="n">
        <v>619</v>
      </c>
      <c r="B620" s="12" t="n">
        <v>46031</v>
      </c>
      <c r="C620" s="11" t="inlineStr">
        <is>
          <t>GRAVAMEN A MOVIMIENTO FINANCIERO</t>
        </is>
      </c>
      <c r="D620" s="11" t="inlineStr">
        <is>
          <t>ORITO</t>
        </is>
      </c>
      <c r="E620" s="11" t="inlineStr">
        <is>
          <t>00000000</t>
        </is>
      </c>
      <c r="F620" s="13" t="n">
        <v>-4</v>
      </c>
      <c r="G620" s="11" t="n">
        <v>17077354.37</v>
      </c>
    </row>
    <row r="621">
      <c r="A621" s="11" t="n">
        <v>620</v>
      </c>
      <c r="B621" s="12" t="n">
        <v>46031</v>
      </c>
      <c r="C621" s="11" t="inlineStr">
        <is>
          <t>CONSIGNACION CREDIBANCO D E</t>
        </is>
      </c>
      <c r="D621" s="11" t="inlineStr">
        <is>
          <t>ORITO</t>
        </is>
      </c>
      <c r="E621" s="11" t="inlineStr">
        <is>
          <t>00000000</t>
        </is>
      </c>
      <c r="F621" s="13" t="n">
        <v>40000</v>
      </c>
      <c r="G621" s="11" t="n">
        <v>17117354.37</v>
      </c>
    </row>
    <row r="622">
      <c r="A622" s="11" t="n">
        <v>621</v>
      </c>
      <c r="B622" s="12" t="n">
        <v>46031</v>
      </c>
      <c r="C622" s="11" t="inlineStr">
        <is>
          <t>COBRO COMISION DEPOSITOS ELECTRONICOS</t>
        </is>
      </c>
      <c r="D622" s="11" t="inlineStr">
        <is>
          <t>ORITO</t>
        </is>
      </c>
      <c r="E622" s="11" t="inlineStr">
        <is>
          <t>00000000</t>
        </is>
      </c>
      <c r="F622" s="13" t="n">
        <v>-864</v>
      </c>
      <c r="G622" s="11" t="n">
        <v>17116490.37</v>
      </c>
    </row>
    <row r="623">
      <c r="A623" s="11" t="n">
        <v>622</v>
      </c>
      <c r="B623" s="12" t="n">
        <v>46031</v>
      </c>
      <c r="C623" s="11" t="inlineStr">
        <is>
          <t>GRAVAMEN A MOVIMIENTO FINANCIERO</t>
        </is>
      </c>
      <c r="D623" s="11" t="inlineStr">
        <is>
          <t>ORITO</t>
        </is>
      </c>
      <c r="E623" s="11" t="inlineStr">
        <is>
          <t>00000000</t>
        </is>
      </c>
      <c r="F623" s="13" t="n">
        <v>-3</v>
      </c>
      <c r="G623" s="11" t="n">
        <v>17116487.37</v>
      </c>
    </row>
    <row r="624">
      <c r="A624" s="11" t="n">
        <v>623</v>
      </c>
      <c r="B624" s="12" t="n">
        <v>46031</v>
      </c>
      <c r="C624" s="11" t="inlineStr">
        <is>
          <t>RETEFUENTE D E Y VOUCHER CREDIBANCO</t>
        </is>
      </c>
      <c r="D624" s="11" t="inlineStr">
        <is>
          <t>ORITO</t>
        </is>
      </c>
      <c r="E624" s="11" t="inlineStr">
        <is>
          <t>00000000</t>
        </is>
      </c>
      <c r="F624" s="13" t="n">
        <v>-600</v>
      </c>
      <c r="G624" s="11" t="n">
        <v>17115887.37</v>
      </c>
    </row>
    <row r="625">
      <c r="A625" s="11" t="n">
        <v>624</v>
      </c>
      <c r="B625" s="12" t="n">
        <v>46031</v>
      </c>
      <c r="C625" s="11" t="inlineStr">
        <is>
          <t>GRAVAMEN A MOVIMIENTO FINANCIERO</t>
        </is>
      </c>
      <c r="D625" s="11" t="inlineStr">
        <is>
          <t>ORITO</t>
        </is>
      </c>
      <c r="E625" s="11" t="inlineStr">
        <is>
          <t>00000000</t>
        </is>
      </c>
      <c r="F625" s="13" t="n">
        <v>-2</v>
      </c>
      <c r="G625" s="11" t="n">
        <v>17115885.37</v>
      </c>
    </row>
    <row r="626">
      <c r="A626" s="11" t="n">
        <v>625</v>
      </c>
      <c r="B626" s="12" t="n">
        <v>46031</v>
      </c>
      <c r="C626" s="11" t="inlineStr">
        <is>
          <t>CONSIGNACION CREDIBANCO D E</t>
        </is>
      </c>
      <c r="D626" s="11" t="inlineStr">
        <is>
          <t>ORITO</t>
        </is>
      </c>
      <c r="E626" s="11" t="inlineStr">
        <is>
          <t>00000000</t>
        </is>
      </c>
      <c r="F626" s="13" t="n">
        <v>31070</v>
      </c>
      <c r="G626" s="11" t="n">
        <v>17146955.37</v>
      </c>
    </row>
    <row r="627">
      <c r="A627" s="11" t="n">
        <v>626</v>
      </c>
      <c r="B627" s="12" t="n">
        <v>46031</v>
      </c>
      <c r="C627" s="11" t="inlineStr">
        <is>
          <t>COBRO COMISION DEPOSITOS ELECTRONICOS</t>
        </is>
      </c>
      <c r="D627" s="11" t="inlineStr">
        <is>
          <t>ORITO</t>
        </is>
      </c>
      <c r="E627" s="11" t="inlineStr">
        <is>
          <t>00000000</t>
        </is>
      </c>
      <c r="F627" s="13" t="n">
        <v>-671</v>
      </c>
      <c r="G627" s="11" t="n">
        <v>17146284.37</v>
      </c>
    </row>
    <row r="628">
      <c r="A628" s="11" t="n">
        <v>627</v>
      </c>
      <c r="B628" s="12" t="n">
        <v>46031</v>
      </c>
      <c r="C628" s="11" t="inlineStr">
        <is>
          <t>GRAVAMEN A MOVIMIENTO FINANCIERO</t>
        </is>
      </c>
      <c r="D628" s="11" t="inlineStr">
        <is>
          <t>ORITO</t>
        </is>
      </c>
      <c r="E628" s="11" t="inlineStr">
        <is>
          <t>00000000</t>
        </is>
      </c>
      <c r="F628" s="13" t="n">
        <v>-3</v>
      </c>
      <c r="G628" s="11" t="n">
        <v>17146281.37</v>
      </c>
    </row>
    <row r="629">
      <c r="A629" s="11" t="n">
        <v>628</v>
      </c>
      <c r="B629" s="12" t="n">
        <v>46031</v>
      </c>
      <c r="C629" s="11" t="inlineStr">
        <is>
          <t>RETEFUENTE D E Y VOUCHER CREDIBANCO</t>
        </is>
      </c>
      <c r="D629" s="11" t="inlineStr">
        <is>
          <t>ORITO</t>
        </is>
      </c>
      <c r="E629" s="11" t="inlineStr">
        <is>
          <t>00000000</t>
        </is>
      </c>
      <c r="F629" s="13" t="n">
        <v>-466</v>
      </c>
      <c r="G629" s="11" t="n">
        <v>17145815.37</v>
      </c>
    </row>
    <row r="630">
      <c r="A630" s="11" t="n">
        <v>629</v>
      </c>
      <c r="B630" s="12" t="n">
        <v>46031</v>
      </c>
      <c r="C630" s="11" t="inlineStr">
        <is>
          <t>GRAVAMEN A MOVIMIENTO FINANCIERO</t>
        </is>
      </c>
      <c r="D630" s="11" t="inlineStr">
        <is>
          <t>ORITO</t>
        </is>
      </c>
      <c r="E630" s="11" t="inlineStr">
        <is>
          <t>00000000</t>
        </is>
      </c>
      <c r="F630" s="13" t="n">
        <v>-2</v>
      </c>
      <c r="G630" s="11" t="n">
        <v>17145813.37</v>
      </c>
    </row>
    <row r="631">
      <c r="A631" s="11" t="n">
        <v>630</v>
      </c>
      <c r="B631" s="12" t="n">
        <v>46031</v>
      </c>
      <c r="C631" s="11" t="inlineStr">
        <is>
          <t>CONSIGNACION CREDIBANCO D E</t>
        </is>
      </c>
      <c r="D631" s="11" t="inlineStr">
        <is>
          <t>ORITO</t>
        </is>
      </c>
      <c r="E631" s="11" t="inlineStr">
        <is>
          <t>00000000</t>
        </is>
      </c>
      <c r="F631" s="13" t="n">
        <v>33000</v>
      </c>
      <c r="G631" s="11" t="n">
        <v>17178813.37</v>
      </c>
    </row>
    <row r="632">
      <c r="A632" s="11" t="n">
        <v>631</v>
      </c>
      <c r="B632" s="12" t="n">
        <v>46031</v>
      </c>
      <c r="C632" s="11" t="inlineStr">
        <is>
          <t>COBRO COMISION DEPOSITOS ELECTRONICOS</t>
        </is>
      </c>
      <c r="D632" s="11" t="inlineStr">
        <is>
          <t>ORITO</t>
        </is>
      </c>
      <c r="E632" s="11" t="inlineStr">
        <is>
          <t>00000000</t>
        </is>
      </c>
      <c r="F632" s="13" t="n">
        <v>-713</v>
      </c>
      <c r="G632" s="11" t="n">
        <v>17178100.37</v>
      </c>
    </row>
    <row r="633">
      <c r="A633" s="11" t="n">
        <v>632</v>
      </c>
      <c r="B633" s="12" t="n">
        <v>46031</v>
      </c>
      <c r="C633" s="11" t="inlineStr">
        <is>
          <t>GRAVAMEN A MOVIMIENTO FINANCIERO</t>
        </is>
      </c>
      <c r="D633" s="11" t="inlineStr">
        <is>
          <t>ORITO</t>
        </is>
      </c>
      <c r="E633" s="11" t="inlineStr">
        <is>
          <t>00000000</t>
        </is>
      </c>
      <c r="F633" s="13" t="n">
        <v>-3</v>
      </c>
      <c r="G633" s="11" t="n">
        <v>17178097.37</v>
      </c>
    </row>
    <row r="634">
      <c r="A634" s="11" t="n">
        <v>633</v>
      </c>
      <c r="B634" s="12" t="n">
        <v>46031</v>
      </c>
      <c r="C634" s="11" t="inlineStr">
        <is>
          <t>RETEFUENTE D E Y VOUCHER CREDIBANCO</t>
        </is>
      </c>
      <c r="D634" s="11" t="inlineStr">
        <is>
          <t>ORITO</t>
        </is>
      </c>
      <c r="E634" s="11" t="inlineStr">
        <is>
          <t>00000000</t>
        </is>
      </c>
      <c r="F634" s="13" t="n">
        <v>-495</v>
      </c>
      <c r="G634" s="11" t="n">
        <v>17177602.37</v>
      </c>
    </row>
    <row r="635">
      <c r="A635" s="11" t="n">
        <v>634</v>
      </c>
      <c r="B635" s="12" t="n">
        <v>46031</v>
      </c>
      <c r="C635" s="11" t="inlineStr">
        <is>
          <t>GRAVAMEN A MOVIMIENTO FINANCIERO</t>
        </is>
      </c>
      <c r="D635" s="11" t="inlineStr">
        <is>
          <t>ORITO</t>
        </is>
      </c>
      <c r="E635" s="11" t="inlineStr">
        <is>
          <t>00000000</t>
        </is>
      </c>
      <c r="F635" s="13" t="n">
        <v>-2</v>
      </c>
      <c r="G635" s="11" t="n">
        <v>17177600.37</v>
      </c>
    </row>
    <row r="636">
      <c r="A636" s="11" t="n">
        <v>635</v>
      </c>
      <c r="B636" s="12" t="n">
        <v>46031</v>
      </c>
      <c r="C636" s="11" t="inlineStr">
        <is>
          <t>CONSIGNACION CREDIBANCO D E</t>
        </is>
      </c>
      <c r="D636" s="11" t="inlineStr">
        <is>
          <t>ORITO</t>
        </is>
      </c>
      <c r="E636" s="11" t="inlineStr">
        <is>
          <t>00000000</t>
        </is>
      </c>
      <c r="F636" s="13" t="n">
        <v>32300</v>
      </c>
      <c r="G636" s="11" t="n">
        <v>17209900.37</v>
      </c>
    </row>
    <row r="637">
      <c r="A637" s="11" t="n">
        <v>636</v>
      </c>
      <c r="B637" s="12" t="n">
        <v>46031</v>
      </c>
      <c r="C637" s="11" t="inlineStr">
        <is>
          <t>COBRO COMISION DEPOSITOS ELECTRONICOS</t>
        </is>
      </c>
      <c r="D637" s="11" t="inlineStr">
        <is>
          <t>ORITO</t>
        </is>
      </c>
      <c r="E637" s="11" t="inlineStr">
        <is>
          <t>00000000</t>
        </is>
      </c>
      <c r="F637" s="13" t="n">
        <v>-707</v>
      </c>
      <c r="G637" s="11" t="n">
        <v>17209193.37</v>
      </c>
    </row>
    <row r="638">
      <c r="A638" s="11" t="n">
        <v>637</v>
      </c>
      <c r="B638" s="12" t="n">
        <v>46031</v>
      </c>
      <c r="C638" s="11" t="inlineStr">
        <is>
          <t>GRAVAMEN A MOVIMIENTO FINANCIERO</t>
        </is>
      </c>
      <c r="D638" s="11" t="inlineStr">
        <is>
          <t>ORITO</t>
        </is>
      </c>
      <c r="E638" s="11" t="inlineStr">
        <is>
          <t>00000000</t>
        </is>
      </c>
      <c r="F638" s="13" t="n">
        <v>-3</v>
      </c>
      <c r="G638" s="11" t="n">
        <v>17209190.37</v>
      </c>
    </row>
    <row r="639">
      <c r="A639" s="11" t="n">
        <v>638</v>
      </c>
      <c r="B639" s="12" t="n">
        <v>46031</v>
      </c>
      <c r="C639" s="11" t="inlineStr">
        <is>
          <t>RETEFUENTE D E Y VOUCHER CREDIBANCO</t>
        </is>
      </c>
      <c r="D639" s="11" t="inlineStr">
        <is>
          <t>ORITO</t>
        </is>
      </c>
      <c r="E639" s="11" t="inlineStr">
        <is>
          <t>00000000</t>
        </is>
      </c>
      <c r="F639" s="13" t="n">
        <v>-485</v>
      </c>
      <c r="G639" s="11" t="n">
        <v>17208705.37</v>
      </c>
    </row>
    <row r="640">
      <c r="A640" s="11" t="n">
        <v>639</v>
      </c>
      <c r="B640" s="12" t="n">
        <v>46031</v>
      </c>
      <c r="C640" s="11" t="inlineStr">
        <is>
          <t>GRAVAMEN A MOVIMIENTO FINANCIERO</t>
        </is>
      </c>
      <c r="D640" s="11" t="inlineStr">
        <is>
          <t>ORITO</t>
        </is>
      </c>
      <c r="E640" s="11" t="inlineStr">
        <is>
          <t>00000000</t>
        </is>
      </c>
      <c r="F640" s="13" t="n">
        <v>-2</v>
      </c>
      <c r="G640" s="11" t="n">
        <v>17208703.37</v>
      </c>
    </row>
    <row r="641">
      <c r="A641" s="11" t="n">
        <v>640</v>
      </c>
      <c r="B641" s="12" t="n">
        <v>46031</v>
      </c>
      <c r="C641" s="11" t="inlineStr">
        <is>
          <t>DEPOSITOS ELECTRONICOS TRANSACCION MASTERCA</t>
        </is>
      </c>
      <c r="D641" s="11" t="inlineStr">
        <is>
          <t>ORITO</t>
        </is>
      </c>
      <c r="E641" s="11" t="inlineStr">
        <is>
          <t>00000000</t>
        </is>
      </c>
      <c r="F641" s="13" t="n">
        <v>97875</v>
      </c>
      <c r="G641" s="11" t="n">
        <v>17306578.37</v>
      </c>
    </row>
    <row r="642">
      <c r="A642" s="11" t="n">
        <v>641</v>
      </c>
      <c r="B642" s="12" t="n">
        <v>46031</v>
      </c>
      <c r="C642" s="11" t="inlineStr">
        <is>
          <t>COMISION DEPOSITOS ELECTRONICOS MASTERCARD</t>
        </is>
      </c>
      <c r="D642" s="11" t="inlineStr">
        <is>
          <t>ORITO</t>
        </is>
      </c>
      <c r="E642" s="11" t="inlineStr">
        <is>
          <t>00000000</t>
        </is>
      </c>
      <c r="F642" s="13" t="n">
        <v>-2300</v>
      </c>
      <c r="G642" s="11" t="n">
        <v>17304278.37</v>
      </c>
    </row>
    <row r="643">
      <c r="A643" s="11" t="n">
        <v>642</v>
      </c>
      <c r="B643" s="12" t="n">
        <v>46031</v>
      </c>
      <c r="C643" s="11" t="inlineStr">
        <is>
          <t>GRAVAMEN A MOVIMIENTO FINANCIERO</t>
        </is>
      </c>
      <c r="D643" s="11" t="inlineStr">
        <is>
          <t>ORITO</t>
        </is>
      </c>
      <c r="E643" s="11" t="inlineStr">
        <is>
          <t>00000000</t>
        </is>
      </c>
      <c r="F643" s="13" t="n">
        <v>-9</v>
      </c>
      <c r="G643" s="11" t="n">
        <v>17304269.37</v>
      </c>
    </row>
    <row r="644">
      <c r="A644" s="11" t="n">
        <v>643</v>
      </c>
      <c r="B644" s="12" t="n">
        <v>46031</v>
      </c>
      <c r="C644" s="11" t="inlineStr">
        <is>
          <t>RETEFUENTE DEPOSITOS ELECTRONICOS MASTERCAR</t>
        </is>
      </c>
      <c r="D644" s="11" t="inlineStr">
        <is>
          <t>ORITO</t>
        </is>
      </c>
      <c r="E644" s="11" t="inlineStr">
        <is>
          <t>00000000</t>
        </is>
      </c>
      <c r="F644" s="13" t="n">
        <v>-1468</v>
      </c>
      <c r="G644" s="11" t="n">
        <v>17302801.37</v>
      </c>
    </row>
    <row r="645">
      <c r="A645" s="11" t="n">
        <v>644</v>
      </c>
      <c r="B645" s="12" t="n">
        <v>46031</v>
      </c>
      <c r="C645" s="11" t="inlineStr">
        <is>
          <t>GRAVAMEN A MOVIMIENTO FINANCIERO</t>
        </is>
      </c>
      <c r="D645" s="11" t="inlineStr">
        <is>
          <t>ORITO</t>
        </is>
      </c>
      <c r="E645" s="11" t="inlineStr">
        <is>
          <t>00000000</t>
        </is>
      </c>
      <c r="F645" s="13" t="n">
        <v>-6</v>
      </c>
      <c r="G645" s="11" t="n">
        <v>17302795.37</v>
      </c>
    </row>
    <row r="646">
      <c r="A646" s="11" t="n">
        <v>645</v>
      </c>
      <c r="B646" s="12" t="n">
        <v>46031</v>
      </c>
      <c r="C646" s="11" t="inlineStr">
        <is>
          <t>DEPOSITOS ELECTRONICOS TRANSACCION MASTERCA</t>
        </is>
      </c>
      <c r="D646" s="11" t="inlineStr">
        <is>
          <t>ORITO</t>
        </is>
      </c>
      <c r="E646" s="11" t="inlineStr">
        <is>
          <t>00000000</t>
        </is>
      </c>
      <c r="F646" s="13" t="n">
        <v>64000</v>
      </c>
      <c r="G646" s="11" t="n">
        <v>17366795.37</v>
      </c>
    </row>
    <row r="647">
      <c r="A647" s="11" t="n">
        <v>646</v>
      </c>
      <c r="B647" s="12" t="n">
        <v>46031</v>
      </c>
      <c r="C647" s="11" t="inlineStr">
        <is>
          <t>COMISION DEPOSITOS ELECTRONICOS MASTERCARD</t>
        </is>
      </c>
      <c r="D647" s="11" t="inlineStr">
        <is>
          <t>ORITO</t>
        </is>
      </c>
      <c r="E647" s="11" t="inlineStr">
        <is>
          <t>00000000</t>
        </is>
      </c>
      <c r="F647" s="13" t="n">
        <v>-1216</v>
      </c>
      <c r="G647" s="11" t="n">
        <v>17365579.37</v>
      </c>
    </row>
    <row r="648">
      <c r="A648" s="11" t="n">
        <v>647</v>
      </c>
      <c r="B648" s="12" t="n">
        <v>46031</v>
      </c>
      <c r="C648" s="11" t="inlineStr">
        <is>
          <t>GRAVAMEN A MOVIMIENTO FINANCIERO</t>
        </is>
      </c>
      <c r="D648" s="11" t="inlineStr">
        <is>
          <t>ORITO</t>
        </is>
      </c>
      <c r="E648" s="11" t="inlineStr">
        <is>
          <t>00000000</t>
        </is>
      </c>
      <c r="F648" s="13" t="n">
        <v>-5</v>
      </c>
      <c r="G648" s="11" t="n">
        <v>17365574.37</v>
      </c>
    </row>
    <row r="649">
      <c r="A649" s="11" t="n">
        <v>648</v>
      </c>
      <c r="B649" s="12" t="n">
        <v>46031</v>
      </c>
      <c r="C649" s="11" t="inlineStr">
        <is>
          <t>RETEFUENTE DEPOSITOS ELECTRONICOS MASTERCAR</t>
        </is>
      </c>
      <c r="D649" s="11" t="inlineStr">
        <is>
          <t>ORITO</t>
        </is>
      </c>
      <c r="E649" s="11" t="inlineStr">
        <is>
          <t>00000000</t>
        </is>
      </c>
      <c r="F649" s="13" t="n">
        <v>-960</v>
      </c>
      <c r="G649" s="11" t="n">
        <v>17364614.37</v>
      </c>
    </row>
    <row r="650">
      <c r="A650" s="11" t="n">
        <v>649</v>
      </c>
      <c r="B650" s="12" t="n">
        <v>46031</v>
      </c>
      <c r="C650" s="11" t="inlineStr">
        <is>
          <t>GRAVAMEN A MOVIMIENTO FINANCIERO</t>
        </is>
      </c>
      <c r="D650" s="11" t="inlineStr">
        <is>
          <t>ORITO</t>
        </is>
      </c>
      <c r="E650" s="11" t="inlineStr">
        <is>
          <t>00000000</t>
        </is>
      </c>
      <c r="F650" s="13" t="n">
        <v>-4</v>
      </c>
      <c r="G650" s="11" t="n">
        <v>17364610.37</v>
      </c>
    </row>
    <row r="651">
      <c r="A651" s="11" t="n">
        <v>650</v>
      </c>
      <c r="B651" s="12" t="n">
        <v>46031</v>
      </c>
      <c r="C651" s="11" t="inlineStr">
        <is>
          <t>DEPOSITOS ELECTRONICOS TRANSACCION MASTERCA</t>
        </is>
      </c>
      <c r="D651" s="11" t="inlineStr">
        <is>
          <t>ORITO</t>
        </is>
      </c>
      <c r="E651" s="11" t="inlineStr">
        <is>
          <t>00000000</t>
        </is>
      </c>
      <c r="F651" s="13" t="n">
        <v>61220</v>
      </c>
      <c r="G651" s="11" t="n">
        <v>17425830.37</v>
      </c>
    </row>
    <row r="652">
      <c r="A652" s="11" t="n">
        <v>651</v>
      </c>
      <c r="B652" s="12" t="n">
        <v>46031</v>
      </c>
      <c r="C652" s="11" t="inlineStr">
        <is>
          <t>COMISION DEPOSITOS ELECTRONICOS MASTERCARD</t>
        </is>
      </c>
      <c r="D652" s="11" t="inlineStr">
        <is>
          <t>ORITO</t>
        </is>
      </c>
      <c r="E652" s="11" t="inlineStr">
        <is>
          <t>00000000</t>
        </is>
      </c>
      <c r="F652" s="13" t="n">
        <v>-1163</v>
      </c>
      <c r="G652" s="11" t="n">
        <v>17424667.37</v>
      </c>
    </row>
    <row r="653">
      <c r="A653" s="11" t="n">
        <v>652</v>
      </c>
      <c r="B653" s="12" t="n">
        <v>46031</v>
      </c>
      <c r="C653" s="11" t="inlineStr">
        <is>
          <t>GRAVAMEN A MOVIMIENTO FINANCIERO</t>
        </is>
      </c>
      <c r="D653" s="11" t="inlineStr">
        <is>
          <t>ORITO</t>
        </is>
      </c>
      <c r="E653" s="11" t="inlineStr">
        <is>
          <t>00000000</t>
        </is>
      </c>
      <c r="F653" s="13" t="n">
        <v>-5</v>
      </c>
      <c r="G653" s="11" t="n">
        <v>17424662.37</v>
      </c>
    </row>
    <row r="654">
      <c r="A654" s="11" t="n">
        <v>653</v>
      </c>
      <c r="B654" s="12" t="n">
        <v>46031</v>
      </c>
      <c r="C654" s="11" t="inlineStr">
        <is>
          <t>RETEFUENTE DEPOSITOS ELECTRONICOS MASTERCAR</t>
        </is>
      </c>
      <c r="D654" s="11" t="inlineStr">
        <is>
          <t>ORITO</t>
        </is>
      </c>
      <c r="E654" s="11" t="inlineStr">
        <is>
          <t>00000000</t>
        </is>
      </c>
      <c r="F654" s="13" t="n">
        <v>-918</v>
      </c>
      <c r="G654" s="11" t="n">
        <v>17423744.37</v>
      </c>
    </row>
    <row r="655">
      <c r="A655" s="11" t="n">
        <v>654</v>
      </c>
      <c r="B655" s="12" t="n">
        <v>46031</v>
      </c>
      <c r="C655" s="11" t="inlineStr">
        <is>
          <t>GRAVAMEN A MOVIMIENTO FINANCIERO</t>
        </is>
      </c>
      <c r="D655" s="11" t="inlineStr">
        <is>
          <t>ORITO</t>
        </is>
      </c>
      <c r="E655" s="11" t="inlineStr">
        <is>
          <t>00000000</t>
        </is>
      </c>
      <c r="F655" s="13" t="n">
        <v>-4</v>
      </c>
      <c r="G655" s="11" t="n">
        <v>17423740.37</v>
      </c>
    </row>
    <row r="656">
      <c r="A656" s="11" t="n">
        <v>655</v>
      </c>
      <c r="B656" s="12" t="n">
        <v>46035</v>
      </c>
      <c r="C656" s="11" t="inlineStr">
        <is>
          <t>CONSIGNACION CREDIBANCO D E</t>
        </is>
      </c>
      <c r="D656" s="11" t="inlineStr">
        <is>
          <t>ORITO</t>
        </is>
      </c>
      <c r="E656" s="11" t="inlineStr">
        <is>
          <t>00000000</t>
        </is>
      </c>
      <c r="F656" s="13" t="n">
        <v>103900</v>
      </c>
      <c r="G656" s="11" t="n">
        <v>17527640.37</v>
      </c>
    </row>
    <row r="657">
      <c r="A657" s="11" t="n">
        <v>656</v>
      </c>
      <c r="B657" s="12" t="n">
        <v>46035</v>
      </c>
      <c r="C657" s="11" t="inlineStr">
        <is>
          <t>COBRO COMISION DEPOSITOS ELECTRONICOS</t>
        </is>
      </c>
      <c r="D657" s="11" t="inlineStr">
        <is>
          <t>ORITO</t>
        </is>
      </c>
      <c r="E657" s="11" t="inlineStr">
        <is>
          <t>00000000</t>
        </is>
      </c>
      <c r="F657" s="13" t="n">
        <v>-2244</v>
      </c>
      <c r="G657" s="11" t="n">
        <v>17525396.37</v>
      </c>
    </row>
    <row r="658">
      <c r="A658" s="11" t="n">
        <v>657</v>
      </c>
      <c r="B658" s="12" t="n">
        <v>46035</v>
      </c>
      <c r="C658" s="11" t="inlineStr">
        <is>
          <t>GRAVAMEN A MOVIMIENTO FINANCIERO</t>
        </is>
      </c>
      <c r="D658" s="11" t="inlineStr">
        <is>
          <t>ORITO</t>
        </is>
      </c>
      <c r="E658" s="11" t="inlineStr">
        <is>
          <t>00000000</t>
        </is>
      </c>
      <c r="F658" s="13" t="n">
        <v>-9</v>
      </c>
      <c r="G658" s="11" t="n">
        <v>17525387.37</v>
      </c>
    </row>
    <row r="659">
      <c r="A659" s="11" t="n">
        <v>658</v>
      </c>
      <c r="B659" s="12" t="n">
        <v>46035</v>
      </c>
      <c r="C659" s="11" t="inlineStr">
        <is>
          <t>RETEFUENTE D E Y VOUCHER CREDIBANCO</t>
        </is>
      </c>
      <c r="D659" s="11" t="inlineStr">
        <is>
          <t>ORITO</t>
        </is>
      </c>
      <c r="E659" s="11" t="inlineStr">
        <is>
          <t>00000000</t>
        </is>
      </c>
      <c r="F659" s="13" t="n">
        <v>-1559</v>
      </c>
      <c r="G659" s="11" t="n">
        <v>17523828.37</v>
      </c>
    </row>
    <row r="660">
      <c r="A660" s="11" t="n">
        <v>659</v>
      </c>
      <c r="B660" s="12" t="n">
        <v>46035</v>
      </c>
      <c r="C660" s="11" t="inlineStr">
        <is>
          <t>GRAVAMEN A MOVIMIENTO FINANCIERO</t>
        </is>
      </c>
      <c r="D660" s="11" t="inlineStr">
        <is>
          <t>ORITO</t>
        </is>
      </c>
      <c r="E660" s="11" t="inlineStr">
        <is>
          <t>00000000</t>
        </is>
      </c>
      <c r="F660" s="13" t="n">
        <v>-6</v>
      </c>
      <c r="G660" s="11" t="n">
        <v>17523822.37</v>
      </c>
    </row>
    <row r="661">
      <c r="A661" s="11" t="n">
        <v>660</v>
      </c>
      <c r="B661" s="12" t="n">
        <v>46035</v>
      </c>
      <c r="C661" s="11" t="inlineStr">
        <is>
          <t>CONSIGNACION CREDIBANCO D E</t>
        </is>
      </c>
      <c r="D661" s="11" t="inlineStr">
        <is>
          <t>ORITO</t>
        </is>
      </c>
      <c r="E661" s="11" t="inlineStr">
        <is>
          <t>00000000</t>
        </is>
      </c>
      <c r="F661" s="13" t="n">
        <v>28800</v>
      </c>
      <c r="G661" s="11" t="n">
        <v>17552622.37</v>
      </c>
    </row>
    <row r="662">
      <c r="A662" s="11" t="n">
        <v>661</v>
      </c>
      <c r="B662" s="12" t="n">
        <v>46035</v>
      </c>
      <c r="C662" s="11" t="inlineStr">
        <is>
          <t>COBRO COMISION DEPOSITOS ELECTRONICOS</t>
        </is>
      </c>
      <c r="D662" s="11" t="inlineStr">
        <is>
          <t>ORITO</t>
        </is>
      </c>
      <c r="E662" s="11" t="inlineStr">
        <is>
          <t>00000000</t>
        </is>
      </c>
      <c r="F662" s="13" t="n">
        <v>-622</v>
      </c>
      <c r="G662" s="11" t="n">
        <v>17552000.37</v>
      </c>
    </row>
    <row r="663">
      <c r="A663" s="11" t="n">
        <v>662</v>
      </c>
      <c r="B663" s="12" t="n">
        <v>46035</v>
      </c>
      <c r="C663" s="11" t="inlineStr">
        <is>
          <t>GRAVAMEN A MOVIMIENTO FINANCIERO</t>
        </is>
      </c>
      <c r="D663" s="11" t="inlineStr">
        <is>
          <t>ORITO</t>
        </is>
      </c>
      <c r="E663" s="11" t="inlineStr">
        <is>
          <t>00000000</t>
        </is>
      </c>
      <c r="F663" s="13" t="n">
        <v>-2</v>
      </c>
      <c r="G663" s="11" t="n">
        <v>17551998.37</v>
      </c>
    </row>
    <row r="664">
      <c r="A664" s="11" t="n">
        <v>663</v>
      </c>
      <c r="B664" s="12" t="n">
        <v>46035</v>
      </c>
      <c r="C664" s="11" t="inlineStr">
        <is>
          <t>RETEFUENTE D E Y VOUCHER CREDIBANCO</t>
        </is>
      </c>
      <c r="D664" s="11" t="inlineStr">
        <is>
          <t>ORITO</t>
        </is>
      </c>
      <c r="E664" s="11" t="inlineStr">
        <is>
          <t>00000000</t>
        </is>
      </c>
      <c r="F664" s="13" t="n">
        <v>-432</v>
      </c>
      <c r="G664" s="11" t="n">
        <v>17551566.37</v>
      </c>
    </row>
    <row r="665">
      <c r="A665" s="11" t="n">
        <v>664</v>
      </c>
      <c r="B665" s="12" t="n">
        <v>46035</v>
      </c>
      <c r="C665" s="11" t="inlineStr">
        <is>
          <t>GRAVAMEN A MOVIMIENTO FINANCIERO</t>
        </is>
      </c>
      <c r="D665" s="11" t="inlineStr">
        <is>
          <t>ORITO</t>
        </is>
      </c>
      <c r="E665" s="11" t="inlineStr">
        <is>
          <t>00000000</t>
        </is>
      </c>
      <c r="F665" s="13" t="n">
        <v>-2</v>
      </c>
      <c r="G665" s="11" t="n">
        <v>17551564.37</v>
      </c>
    </row>
    <row r="666">
      <c r="A666" s="11" t="n">
        <v>665</v>
      </c>
      <c r="B666" s="12" t="n">
        <v>46035</v>
      </c>
      <c r="C666" s="11" t="inlineStr">
        <is>
          <t>CONSIGNACION CREDIBANCO D E</t>
        </is>
      </c>
      <c r="D666" s="11" t="inlineStr">
        <is>
          <t>ORITO</t>
        </is>
      </c>
      <c r="E666" s="11" t="inlineStr">
        <is>
          <t>00000000</t>
        </is>
      </c>
      <c r="F666" s="13" t="n">
        <v>40700</v>
      </c>
      <c r="G666" s="11" t="n">
        <v>17592264.37</v>
      </c>
    </row>
    <row r="667">
      <c r="A667" s="11" t="n">
        <v>666</v>
      </c>
      <c r="B667" s="12" t="n">
        <v>46035</v>
      </c>
      <c r="C667" s="11" t="inlineStr">
        <is>
          <t>COBRO COMISION DEPOSITOS ELECTRONICOS</t>
        </is>
      </c>
      <c r="D667" s="11" t="inlineStr">
        <is>
          <t>ORITO</t>
        </is>
      </c>
      <c r="E667" s="11" t="inlineStr">
        <is>
          <t>00000000</t>
        </is>
      </c>
      <c r="F667" s="13" t="n">
        <v>-879</v>
      </c>
      <c r="G667" s="11" t="n">
        <v>17591385.37</v>
      </c>
    </row>
    <row r="668">
      <c r="A668" s="11" t="n">
        <v>667</v>
      </c>
      <c r="B668" s="12" t="n">
        <v>46035</v>
      </c>
      <c r="C668" s="11" t="inlineStr">
        <is>
          <t>GRAVAMEN A MOVIMIENTO FINANCIERO</t>
        </is>
      </c>
      <c r="D668" s="11" t="inlineStr">
        <is>
          <t>ORITO</t>
        </is>
      </c>
      <c r="E668" s="11" t="inlineStr">
        <is>
          <t>00000000</t>
        </is>
      </c>
      <c r="F668" s="13" t="n">
        <v>-4</v>
      </c>
      <c r="G668" s="11" t="n">
        <v>17591381.37</v>
      </c>
    </row>
    <row r="669">
      <c r="A669" s="11" t="n">
        <v>668</v>
      </c>
      <c r="B669" s="12" t="n">
        <v>46035</v>
      </c>
      <c r="C669" s="11" t="inlineStr">
        <is>
          <t>RETEFUENTE D E Y VOUCHER CREDIBANCO</t>
        </is>
      </c>
      <c r="D669" s="11" t="inlineStr">
        <is>
          <t>ORITO</t>
        </is>
      </c>
      <c r="E669" s="11" t="inlineStr">
        <is>
          <t>00000000</t>
        </is>
      </c>
      <c r="F669" s="13" t="n">
        <v>-611</v>
      </c>
      <c r="G669" s="11" t="n">
        <v>17590770.37</v>
      </c>
    </row>
    <row r="670">
      <c r="A670" s="11" t="n">
        <v>669</v>
      </c>
      <c r="B670" s="12" t="n">
        <v>46035</v>
      </c>
      <c r="C670" s="11" t="inlineStr">
        <is>
          <t>GRAVAMEN A MOVIMIENTO FINANCIERO</t>
        </is>
      </c>
      <c r="D670" s="11" t="inlineStr">
        <is>
          <t>ORITO</t>
        </is>
      </c>
      <c r="E670" s="11" t="inlineStr">
        <is>
          <t>00000000</t>
        </is>
      </c>
      <c r="F670" s="13" t="n">
        <v>-2</v>
      </c>
      <c r="G670" s="11" t="n">
        <v>17590768.37</v>
      </c>
    </row>
    <row r="671">
      <c r="A671" s="11" t="n">
        <v>670</v>
      </c>
      <c r="B671" s="12" t="n">
        <v>46035</v>
      </c>
      <c r="C671" s="11" t="inlineStr">
        <is>
          <t>CONSIGNACION CREDIBANCO D E</t>
        </is>
      </c>
      <c r="D671" s="11" t="inlineStr">
        <is>
          <t>ORITO</t>
        </is>
      </c>
      <c r="E671" s="11" t="inlineStr">
        <is>
          <t>00000000</t>
        </is>
      </c>
      <c r="F671" s="13" t="n">
        <v>20000</v>
      </c>
      <c r="G671" s="11" t="n">
        <v>17610768.37</v>
      </c>
    </row>
    <row r="672">
      <c r="A672" s="11" t="n">
        <v>671</v>
      </c>
      <c r="B672" s="12" t="n">
        <v>46035</v>
      </c>
      <c r="C672" s="11" t="inlineStr">
        <is>
          <t>COBRO COMISION DEPOSITOS ELECTRONICOS</t>
        </is>
      </c>
      <c r="D672" s="11" t="inlineStr">
        <is>
          <t>ORITO</t>
        </is>
      </c>
      <c r="E672" s="11" t="inlineStr">
        <is>
          <t>00000000</t>
        </is>
      </c>
      <c r="F672" s="13" t="n">
        <v>-432</v>
      </c>
      <c r="G672" s="11" t="n">
        <v>17610336.37</v>
      </c>
    </row>
    <row r="673">
      <c r="A673" s="11" t="n">
        <v>672</v>
      </c>
      <c r="B673" s="12" t="n">
        <v>46035</v>
      </c>
      <c r="C673" s="11" t="inlineStr">
        <is>
          <t>GRAVAMEN A MOVIMIENTO FINANCIERO</t>
        </is>
      </c>
      <c r="D673" s="11" t="inlineStr">
        <is>
          <t>ORITO</t>
        </is>
      </c>
      <c r="E673" s="11" t="inlineStr">
        <is>
          <t>00000000</t>
        </is>
      </c>
      <c r="F673" s="13" t="n">
        <v>-2</v>
      </c>
      <c r="G673" s="11" t="n">
        <v>17610334.37</v>
      </c>
    </row>
    <row r="674">
      <c r="A674" s="11" t="n">
        <v>673</v>
      </c>
      <c r="B674" s="12" t="n">
        <v>46035</v>
      </c>
      <c r="C674" s="11" t="inlineStr">
        <is>
          <t>RETEFUENTE D E Y VOUCHER CREDIBANCO</t>
        </is>
      </c>
      <c r="D674" s="11" t="inlineStr">
        <is>
          <t>ORITO</t>
        </is>
      </c>
      <c r="E674" s="11" t="inlineStr">
        <is>
          <t>00000000</t>
        </is>
      </c>
      <c r="F674" s="13" t="n">
        <v>-300</v>
      </c>
      <c r="G674" s="11" t="n">
        <v>17610034.37</v>
      </c>
    </row>
    <row r="675">
      <c r="A675" s="11" t="n">
        <v>674</v>
      </c>
      <c r="B675" s="12" t="n">
        <v>46035</v>
      </c>
      <c r="C675" s="11" t="inlineStr">
        <is>
          <t>GRAVAMEN A MOVIMIENTO FINANCIERO</t>
        </is>
      </c>
      <c r="D675" s="11" t="inlineStr">
        <is>
          <t>ORITO</t>
        </is>
      </c>
      <c r="E675" s="11" t="inlineStr">
        <is>
          <t>00000000</t>
        </is>
      </c>
      <c r="F675" s="13" t="n">
        <v>-1</v>
      </c>
      <c r="G675" s="11" t="n">
        <v>17610033.37</v>
      </c>
    </row>
    <row r="676">
      <c r="A676" s="11" t="n">
        <v>675</v>
      </c>
      <c r="B676" s="12" t="n">
        <v>46035</v>
      </c>
      <c r="C676" s="11" t="inlineStr">
        <is>
          <t>CONSIGNACION CREDIBANCO D E</t>
        </is>
      </c>
      <c r="D676" s="11" t="inlineStr">
        <is>
          <t>ORITO</t>
        </is>
      </c>
      <c r="E676" s="11" t="inlineStr">
        <is>
          <t>00000000</t>
        </is>
      </c>
      <c r="F676" s="13" t="n">
        <v>16800</v>
      </c>
      <c r="G676" s="11" t="n">
        <v>17626833.37</v>
      </c>
    </row>
    <row r="677">
      <c r="A677" s="11" t="n">
        <v>676</v>
      </c>
      <c r="B677" s="12" t="n">
        <v>46035</v>
      </c>
      <c r="C677" s="11" t="inlineStr">
        <is>
          <t>COBRO COMISION DEPOSITOS ELECTRONICOS</t>
        </is>
      </c>
      <c r="D677" s="11" t="inlineStr">
        <is>
          <t>ORITO</t>
        </is>
      </c>
      <c r="E677" s="11" t="inlineStr">
        <is>
          <t>00000000</t>
        </is>
      </c>
      <c r="F677" s="13" t="n">
        <v>-363</v>
      </c>
      <c r="G677" s="11" t="n">
        <v>17626470.37</v>
      </c>
    </row>
    <row r="678">
      <c r="A678" s="11" t="n">
        <v>677</v>
      </c>
      <c r="B678" s="12" t="n">
        <v>46035</v>
      </c>
      <c r="C678" s="11" t="inlineStr">
        <is>
          <t>GRAVAMEN A MOVIMIENTO FINANCIERO</t>
        </is>
      </c>
      <c r="D678" s="11" t="inlineStr">
        <is>
          <t>ORITO</t>
        </is>
      </c>
      <c r="E678" s="11" t="inlineStr">
        <is>
          <t>00000000</t>
        </is>
      </c>
      <c r="F678" s="13" t="n">
        <v>-1</v>
      </c>
      <c r="G678" s="11" t="n">
        <v>17626469.37</v>
      </c>
    </row>
    <row r="679">
      <c r="A679" s="11" t="n">
        <v>678</v>
      </c>
      <c r="B679" s="12" t="n">
        <v>46035</v>
      </c>
      <c r="C679" s="11" t="inlineStr">
        <is>
          <t>RETEFUENTE D E Y VOUCHER CREDIBANCO</t>
        </is>
      </c>
      <c r="D679" s="11" t="inlineStr">
        <is>
          <t>ORITO</t>
        </is>
      </c>
      <c r="E679" s="11" t="inlineStr">
        <is>
          <t>00000000</t>
        </is>
      </c>
      <c r="F679" s="13" t="n">
        <v>-252</v>
      </c>
      <c r="G679" s="11" t="n">
        <v>17626217.37</v>
      </c>
    </row>
    <row r="680">
      <c r="A680" s="11" t="n">
        <v>679</v>
      </c>
      <c r="B680" s="12" t="n">
        <v>46035</v>
      </c>
      <c r="C680" s="11" t="inlineStr">
        <is>
          <t>GRAVAMEN A MOVIMIENTO FINANCIERO</t>
        </is>
      </c>
      <c r="D680" s="11" t="inlineStr">
        <is>
          <t>ORITO</t>
        </is>
      </c>
      <c r="E680" s="11" t="inlineStr">
        <is>
          <t>00000000</t>
        </is>
      </c>
      <c r="F680" s="13" t="n">
        <v>-1</v>
      </c>
      <c r="G680" s="11" t="n">
        <v>17626216.37</v>
      </c>
    </row>
    <row r="681">
      <c r="A681" s="11" t="n">
        <v>680</v>
      </c>
      <c r="B681" s="12" t="n">
        <v>46035</v>
      </c>
      <c r="C681" s="11" t="inlineStr">
        <is>
          <t>CONSIGNACION CREDIBANCO D E</t>
        </is>
      </c>
      <c r="D681" s="11" t="inlineStr">
        <is>
          <t>ORITO</t>
        </is>
      </c>
      <c r="E681" s="11" t="inlineStr">
        <is>
          <t>00000000</t>
        </is>
      </c>
      <c r="F681" s="13" t="n">
        <v>23100</v>
      </c>
      <c r="G681" s="11" t="n">
        <v>17649316.37</v>
      </c>
    </row>
    <row r="682">
      <c r="A682" s="11" t="n">
        <v>681</v>
      </c>
      <c r="B682" s="12" t="n">
        <v>46035</v>
      </c>
      <c r="C682" s="11" t="inlineStr">
        <is>
          <t>COBRO COMISION DEPOSITOS ELECTRONICOS</t>
        </is>
      </c>
      <c r="D682" s="11" t="inlineStr">
        <is>
          <t>ORITO</t>
        </is>
      </c>
      <c r="E682" s="11" t="inlineStr">
        <is>
          <t>00000000</t>
        </is>
      </c>
      <c r="F682" s="13" t="n">
        <v>-499</v>
      </c>
      <c r="G682" s="11" t="n">
        <v>17648817.37</v>
      </c>
    </row>
    <row r="683">
      <c r="A683" s="11" t="n">
        <v>682</v>
      </c>
      <c r="B683" s="12" t="n">
        <v>46035</v>
      </c>
      <c r="C683" s="11" t="inlineStr">
        <is>
          <t>GRAVAMEN A MOVIMIENTO FINANCIERO</t>
        </is>
      </c>
      <c r="D683" s="11" t="inlineStr">
        <is>
          <t>ORITO</t>
        </is>
      </c>
      <c r="E683" s="11" t="inlineStr">
        <is>
          <t>00000000</t>
        </is>
      </c>
      <c r="F683" s="13" t="n">
        <v>-2</v>
      </c>
      <c r="G683" s="11" t="n">
        <v>17648815.37</v>
      </c>
    </row>
    <row r="684">
      <c r="A684" s="11" t="n">
        <v>683</v>
      </c>
      <c r="B684" s="12" t="n">
        <v>46035</v>
      </c>
      <c r="C684" s="11" t="inlineStr">
        <is>
          <t>RETEFUENTE D E Y VOUCHER CREDIBANCO</t>
        </is>
      </c>
      <c r="D684" s="11" t="inlineStr">
        <is>
          <t>ORITO</t>
        </is>
      </c>
      <c r="E684" s="11" t="inlineStr">
        <is>
          <t>00000000</t>
        </is>
      </c>
      <c r="F684" s="13" t="n">
        <v>-347</v>
      </c>
      <c r="G684" s="11" t="n">
        <v>17648468.37</v>
      </c>
    </row>
    <row r="685">
      <c r="A685" s="11" t="n">
        <v>684</v>
      </c>
      <c r="B685" s="12" t="n">
        <v>46035</v>
      </c>
      <c r="C685" s="11" t="inlineStr">
        <is>
          <t>GRAVAMEN A MOVIMIENTO FINANCIERO</t>
        </is>
      </c>
      <c r="D685" s="11" t="inlineStr">
        <is>
          <t>ORITO</t>
        </is>
      </c>
      <c r="E685" s="11" t="inlineStr">
        <is>
          <t>00000000</t>
        </is>
      </c>
      <c r="F685" s="13" t="n">
        <v>-1</v>
      </c>
      <c r="G685" s="11" t="n">
        <v>17648467.37</v>
      </c>
    </row>
    <row r="686">
      <c r="A686" s="11" t="n">
        <v>685</v>
      </c>
      <c r="B686" s="12" t="n">
        <v>46035</v>
      </c>
      <c r="C686" s="11" t="inlineStr">
        <is>
          <t>CONSIGNACION CREDIBANCO D E</t>
        </is>
      </c>
      <c r="D686" s="11" t="inlineStr">
        <is>
          <t>ORITO</t>
        </is>
      </c>
      <c r="E686" s="11" t="inlineStr">
        <is>
          <t>00000000</t>
        </is>
      </c>
      <c r="F686" s="13" t="n">
        <v>24245</v>
      </c>
      <c r="G686" s="11" t="n">
        <v>17672712.37</v>
      </c>
    </row>
    <row r="687">
      <c r="A687" s="11" t="n">
        <v>686</v>
      </c>
      <c r="B687" s="12" t="n">
        <v>46035</v>
      </c>
      <c r="C687" s="11" t="inlineStr">
        <is>
          <t>COBRO COMISION DEPOSITOS ELECTRONICOS</t>
        </is>
      </c>
      <c r="D687" s="11" t="inlineStr">
        <is>
          <t>ORITO</t>
        </is>
      </c>
      <c r="E687" s="11" t="inlineStr">
        <is>
          <t>00000000</t>
        </is>
      </c>
      <c r="F687" s="13" t="n">
        <v>-524</v>
      </c>
      <c r="G687" s="11" t="n">
        <v>17672188.37</v>
      </c>
    </row>
    <row r="688">
      <c r="A688" s="11" t="n">
        <v>687</v>
      </c>
      <c r="B688" s="12" t="n">
        <v>46035</v>
      </c>
      <c r="C688" s="11" t="inlineStr">
        <is>
          <t>GRAVAMEN A MOVIMIENTO FINANCIERO</t>
        </is>
      </c>
      <c r="D688" s="11" t="inlineStr">
        <is>
          <t>ORITO</t>
        </is>
      </c>
      <c r="E688" s="11" t="inlineStr">
        <is>
          <t>00000000</t>
        </is>
      </c>
      <c r="F688" s="13" t="n">
        <v>-2</v>
      </c>
      <c r="G688" s="11" t="n">
        <v>17672186.37</v>
      </c>
    </row>
    <row r="689">
      <c r="A689" s="11" t="n">
        <v>688</v>
      </c>
      <c r="B689" s="12" t="n">
        <v>46035</v>
      </c>
      <c r="C689" s="11" t="inlineStr">
        <is>
          <t>RETEFUENTE D E Y VOUCHER CREDIBANCO</t>
        </is>
      </c>
      <c r="D689" s="11" t="inlineStr">
        <is>
          <t>ORITO</t>
        </is>
      </c>
      <c r="E689" s="11" t="inlineStr">
        <is>
          <t>00000000</t>
        </is>
      </c>
      <c r="F689" s="13" t="n">
        <v>-364</v>
      </c>
      <c r="G689" s="11" t="n">
        <v>17671822.37</v>
      </c>
    </row>
    <row r="690">
      <c r="A690" s="11" t="n">
        <v>689</v>
      </c>
      <c r="B690" s="12" t="n">
        <v>46035</v>
      </c>
      <c r="C690" s="11" t="inlineStr">
        <is>
          <t>GRAVAMEN A MOVIMIENTO FINANCIERO</t>
        </is>
      </c>
      <c r="D690" s="11" t="inlineStr">
        <is>
          <t>ORITO</t>
        </is>
      </c>
      <c r="E690" s="11" t="inlineStr">
        <is>
          <t>00000000</t>
        </is>
      </c>
      <c r="F690" s="13" t="n">
        <v>-1</v>
      </c>
      <c r="G690" s="11" t="n">
        <v>17671821.37</v>
      </c>
    </row>
    <row r="691">
      <c r="A691" s="11" t="n">
        <v>690</v>
      </c>
      <c r="B691" s="12" t="n">
        <v>46035</v>
      </c>
      <c r="C691" s="11" t="inlineStr">
        <is>
          <t>CONSIGNACION CREDIBANCO D E</t>
        </is>
      </c>
      <c r="D691" s="11" t="inlineStr">
        <is>
          <t>ORITO</t>
        </is>
      </c>
      <c r="E691" s="11" t="inlineStr">
        <is>
          <t>00000000</t>
        </is>
      </c>
      <c r="F691" s="13" t="n">
        <v>90900</v>
      </c>
      <c r="G691" s="11" t="n">
        <v>17762721.37</v>
      </c>
    </row>
    <row r="692">
      <c r="A692" s="11" t="n">
        <v>691</v>
      </c>
      <c r="B692" s="12" t="n">
        <v>46035</v>
      </c>
      <c r="C692" s="11" t="inlineStr">
        <is>
          <t>COBRO COMISION DEPOSITOS ELECTRONICOS</t>
        </is>
      </c>
      <c r="D692" s="11" t="inlineStr">
        <is>
          <t>ORITO</t>
        </is>
      </c>
      <c r="E692" s="11" t="inlineStr">
        <is>
          <t>00000000</t>
        </is>
      </c>
      <c r="F692" s="13" t="n">
        <v>-1991</v>
      </c>
      <c r="G692" s="11" t="n">
        <v>17760730.37</v>
      </c>
    </row>
    <row r="693">
      <c r="A693" s="11" t="n">
        <v>692</v>
      </c>
      <c r="B693" s="12" t="n">
        <v>46035</v>
      </c>
      <c r="C693" s="11" t="inlineStr">
        <is>
          <t>GRAVAMEN A MOVIMIENTO FINANCIERO</t>
        </is>
      </c>
      <c r="D693" s="11" t="inlineStr">
        <is>
          <t>ORITO</t>
        </is>
      </c>
      <c r="E693" s="11" t="inlineStr">
        <is>
          <t>00000000</t>
        </is>
      </c>
      <c r="F693" s="13" t="n">
        <v>-8</v>
      </c>
      <c r="G693" s="11" t="n">
        <v>17760722.37</v>
      </c>
    </row>
    <row r="694">
      <c r="A694" s="11" t="n">
        <v>693</v>
      </c>
      <c r="B694" s="12" t="n">
        <v>46035</v>
      </c>
      <c r="C694" s="11" t="inlineStr">
        <is>
          <t>RETEFUENTE D E Y VOUCHER CREDIBANCO</t>
        </is>
      </c>
      <c r="D694" s="11" t="inlineStr">
        <is>
          <t>ORITO</t>
        </is>
      </c>
      <c r="E694" s="11" t="inlineStr">
        <is>
          <t>00000000</t>
        </is>
      </c>
      <c r="F694" s="13" t="n">
        <v>-1364</v>
      </c>
      <c r="G694" s="11" t="n">
        <v>17759358.37</v>
      </c>
    </row>
    <row r="695">
      <c r="A695" s="11" t="n">
        <v>694</v>
      </c>
      <c r="B695" s="12" t="n">
        <v>46035</v>
      </c>
      <c r="C695" s="11" t="inlineStr">
        <is>
          <t>GRAVAMEN A MOVIMIENTO FINANCIERO</t>
        </is>
      </c>
      <c r="D695" s="11" t="inlineStr">
        <is>
          <t>ORITO</t>
        </is>
      </c>
      <c r="E695" s="11" t="inlineStr">
        <is>
          <t>00000000</t>
        </is>
      </c>
      <c r="F695" s="13" t="n">
        <v>-5</v>
      </c>
      <c r="G695" s="11" t="n">
        <v>17759353.37</v>
      </c>
    </row>
    <row r="696">
      <c r="A696" s="11" t="n">
        <v>695</v>
      </c>
      <c r="B696" s="12" t="n">
        <v>46035</v>
      </c>
      <c r="C696" s="11" t="inlineStr">
        <is>
          <t>CONSIGNACION CREDIBANCO D E</t>
        </is>
      </c>
      <c r="D696" s="11" t="inlineStr">
        <is>
          <t>ORITO</t>
        </is>
      </c>
      <c r="E696" s="11" t="inlineStr">
        <is>
          <t>00000000</t>
        </is>
      </c>
      <c r="F696" s="13" t="n">
        <v>81400</v>
      </c>
      <c r="G696" s="11" t="n">
        <v>17840753.37</v>
      </c>
    </row>
    <row r="697">
      <c r="A697" s="11" t="n">
        <v>696</v>
      </c>
      <c r="B697" s="12" t="n">
        <v>46035</v>
      </c>
      <c r="C697" s="11" t="inlineStr">
        <is>
          <t>COBRO COMISION DEPOSITOS ELECTRONICOS</t>
        </is>
      </c>
      <c r="D697" s="11" t="inlineStr">
        <is>
          <t>ORITO</t>
        </is>
      </c>
      <c r="E697" s="11" t="inlineStr">
        <is>
          <t>00000000</t>
        </is>
      </c>
      <c r="F697" s="13" t="n">
        <v>-1783</v>
      </c>
      <c r="G697" s="11" t="n">
        <v>17838970.37</v>
      </c>
    </row>
    <row r="698">
      <c r="A698" s="11" t="n">
        <v>697</v>
      </c>
      <c r="B698" s="12" t="n">
        <v>46035</v>
      </c>
      <c r="C698" s="11" t="inlineStr">
        <is>
          <t>GRAVAMEN A MOVIMIENTO FINANCIERO</t>
        </is>
      </c>
      <c r="D698" s="11" t="inlineStr">
        <is>
          <t>ORITO</t>
        </is>
      </c>
      <c r="E698" s="11" t="inlineStr">
        <is>
          <t>00000000</t>
        </is>
      </c>
      <c r="F698" s="13" t="n">
        <v>-7</v>
      </c>
      <c r="G698" s="11" t="n">
        <v>17838963.37</v>
      </c>
    </row>
    <row r="699">
      <c r="A699" s="11" t="n">
        <v>698</v>
      </c>
      <c r="B699" s="12" t="n">
        <v>46035</v>
      </c>
      <c r="C699" s="11" t="inlineStr">
        <is>
          <t>RETEFUENTE D E Y VOUCHER CREDIBANCO</t>
        </is>
      </c>
      <c r="D699" s="11" t="inlineStr">
        <is>
          <t>ORITO</t>
        </is>
      </c>
      <c r="E699" s="11" t="inlineStr">
        <is>
          <t>00000000</t>
        </is>
      </c>
      <c r="F699" s="13" t="n">
        <v>-1221</v>
      </c>
      <c r="G699" s="11" t="n">
        <v>17837742.37</v>
      </c>
    </row>
    <row r="700">
      <c r="A700" s="11" t="n">
        <v>699</v>
      </c>
      <c r="B700" s="12" t="n">
        <v>46035</v>
      </c>
      <c r="C700" s="11" t="inlineStr">
        <is>
          <t>GRAVAMEN A MOVIMIENTO FINANCIERO</t>
        </is>
      </c>
      <c r="D700" s="11" t="inlineStr">
        <is>
          <t>ORITO</t>
        </is>
      </c>
      <c r="E700" s="11" t="inlineStr">
        <is>
          <t>00000000</t>
        </is>
      </c>
      <c r="F700" s="13" t="n">
        <v>-5</v>
      </c>
      <c r="G700" s="11" t="n">
        <v>17837737.37</v>
      </c>
    </row>
    <row r="701">
      <c r="A701" s="11" t="n">
        <v>700</v>
      </c>
      <c r="B701" s="12" t="n">
        <v>46035</v>
      </c>
      <c r="C701" s="11" t="inlineStr">
        <is>
          <t>CONSIGNACION CREDIBANCO D E</t>
        </is>
      </c>
      <c r="D701" s="11" t="inlineStr">
        <is>
          <t>ORITO</t>
        </is>
      </c>
      <c r="E701" s="11" t="inlineStr">
        <is>
          <t>00000000</t>
        </is>
      </c>
      <c r="F701" s="13" t="n">
        <v>35656</v>
      </c>
      <c r="G701" s="11" t="n">
        <v>17873393.37</v>
      </c>
    </row>
    <row r="702">
      <c r="A702" s="11" t="n">
        <v>701</v>
      </c>
      <c r="B702" s="12" t="n">
        <v>46035</v>
      </c>
      <c r="C702" s="11" t="inlineStr">
        <is>
          <t>COBRO COMISION DEPOSITOS ELECTRONICOS</t>
        </is>
      </c>
      <c r="D702" s="11" t="inlineStr">
        <is>
          <t>ORITO</t>
        </is>
      </c>
      <c r="E702" s="11" t="inlineStr">
        <is>
          <t>00000000</t>
        </is>
      </c>
      <c r="F702" s="13" t="n">
        <v>-781</v>
      </c>
      <c r="G702" s="11" t="n">
        <v>17872612.37</v>
      </c>
    </row>
    <row r="703">
      <c r="A703" s="11" t="n">
        <v>702</v>
      </c>
      <c r="B703" s="12" t="n">
        <v>46035</v>
      </c>
      <c r="C703" s="11" t="inlineStr">
        <is>
          <t>GRAVAMEN A MOVIMIENTO FINANCIERO</t>
        </is>
      </c>
      <c r="D703" s="11" t="inlineStr">
        <is>
          <t>ORITO</t>
        </is>
      </c>
      <c r="E703" s="11" t="inlineStr">
        <is>
          <t>00000000</t>
        </is>
      </c>
      <c r="F703" s="13" t="n">
        <v>-3</v>
      </c>
      <c r="G703" s="11" t="n">
        <v>17872609.37</v>
      </c>
    </row>
    <row r="704">
      <c r="A704" s="11" t="n">
        <v>703</v>
      </c>
      <c r="B704" s="12" t="n">
        <v>46035</v>
      </c>
      <c r="C704" s="11" t="inlineStr">
        <is>
          <t>RETEFUENTE D E Y VOUCHER CREDIBANCO</t>
        </is>
      </c>
      <c r="D704" s="11" t="inlineStr">
        <is>
          <t>ORITO</t>
        </is>
      </c>
      <c r="E704" s="11" t="inlineStr">
        <is>
          <t>00000000</t>
        </is>
      </c>
      <c r="F704" s="13" t="n">
        <v>-535</v>
      </c>
      <c r="G704" s="11" t="n">
        <v>17872074.37</v>
      </c>
    </row>
    <row r="705">
      <c r="A705" s="11" t="n">
        <v>704</v>
      </c>
      <c r="B705" s="12" t="n">
        <v>46035</v>
      </c>
      <c r="C705" s="11" t="inlineStr">
        <is>
          <t>GRAVAMEN A MOVIMIENTO FINANCIERO</t>
        </is>
      </c>
      <c r="D705" s="11" t="inlineStr">
        <is>
          <t>ORITO</t>
        </is>
      </c>
      <c r="E705" s="11" t="inlineStr">
        <is>
          <t>00000000</t>
        </is>
      </c>
      <c r="F705" s="13" t="n">
        <v>-2</v>
      </c>
      <c r="G705" s="11" t="n">
        <v>17872072.37</v>
      </c>
    </row>
    <row r="706">
      <c r="A706" s="11" t="n">
        <v>705</v>
      </c>
      <c r="B706" s="12" t="n">
        <v>46035</v>
      </c>
      <c r="C706" s="11" t="inlineStr">
        <is>
          <t>CONSIGNACION CREDIBANCO D E</t>
        </is>
      </c>
      <c r="D706" s="11" t="inlineStr">
        <is>
          <t>ORITO</t>
        </is>
      </c>
      <c r="E706" s="11" t="inlineStr">
        <is>
          <t>00000000</t>
        </is>
      </c>
      <c r="F706" s="13" t="n">
        <v>725600</v>
      </c>
      <c r="G706" s="11" t="n">
        <v>18597672.37</v>
      </c>
    </row>
    <row r="707">
      <c r="A707" s="11" t="n">
        <v>706</v>
      </c>
      <c r="B707" s="12" t="n">
        <v>46035</v>
      </c>
      <c r="C707" s="11" t="inlineStr">
        <is>
          <t>COBRO COMISION DEPOSITOS ELECTRONICOS</t>
        </is>
      </c>
      <c r="D707" s="11" t="inlineStr">
        <is>
          <t>ORITO</t>
        </is>
      </c>
      <c r="E707" s="11" t="inlineStr">
        <is>
          <t>00000000</t>
        </is>
      </c>
      <c r="F707" s="13" t="n">
        <v>-5877</v>
      </c>
      <c r="G707" s="11" t="n">
        <v>18591795.37</v>
      </c>
    </row>
    <row r="708">
      <c r="A708" s="11" t="n">
        <v>707</v>
      </c>
      <c r="B708" s="12" t="n">
        <v>46035</v>
      </c>
      <c r="C708" s="11" t="inlineStr">
        <is>
          <t>GRAVAMEN A MOVIMIENTO FINANCIERO</t>
        </is>
      </c>
      <c r="D708" s="11" t="inlineStr">
        <is>
          <t>ORITO</t>
        </is>
      </c>
      <c r="E708" s="11" t="inlineStr">
        <is>
          <t>00000000</t>
        </is>
      </c>
      <c r="F708" s="13" t="n">
        <v>-24</v>
      </c>
      <c r="G708" s="11" t="n">
        <v>18591771.37</v>
      </c>
    </row>
    <row r="709">
      <c r="A709" s="11" t="n">
        <v>708</v>
      </c>
      <c r="B709" s="12" t="n">
        <v>46035</v>
      </c>
      <c r="C709" s="11" t="inlineStr">
        <is>
          <t>RETEFUENTE D E Y VOUCHER CREDIBANCO</t>
        </is>
      </c>
      <c r="D709" s="11" t="inlineStr">
        <is>
          <t>ORITO</t>
        </is>
      </c>
      <c r="E709" s="11" t="inlineStr">
        <is>
          <t>00000000</t>
        </is>
      </c>
      <c r="F709" s="13" t="n">
        <v>-10884</v>
      </c>
      <c r="G709" s="11" t="n">
        <v>18580887.37</v>
      </c>
    </row>
    <row r="710">
      <c r="A710" s="11" t="n">
        <v>709</v>
      </c>
      <c r="B710" s="12" t="n">
        <v>46035</v>
      </c>
      <c r="C710" s="11" t="inlineStr">
        <is>
          <t>GRAVAMEN A MOVIMIENTO FINANCIERO</t>
        </is>
      </c>
      <c r="D710" s="11" t="inlineStr">
        <is>
          <t>ORITO</t>
        </is>
      </c>
      <c r="E710" s="11" t="inlineStr">
        <is>
          <t>00000000</t>
        </is>
      </c>
      <c r="F710" s="13" t="n">
        <v>-44</v>
      </c>
      <c r="G710" s="11" t="n">
        <v>18580843.37</v>
      </c>
    </row>
    <row r="711">
      <c r="A711" s="11" t="n">
        <v>710</v>
      </c>
      <c r="B711" s="12" t="n">
        <v>46035</v>
      </c>
      <c r="C711" s="11" t="inlineStr">
        <is>
          <t>CONSIGNACION CREDIBANCO D E</t>
        </is>
      </c>
      <c r="D711" s="11" t="inlineStr">
        <is>
          <t>ORITO</t>
        </is>
      </c>
      <c r="E711" s="11" t="inlineStr">
        <is>
          <t>00000000</t>
        </is>
      </c>
      <c r="F711" s="13" t="n">
        <v>45800</v>
      </c>
      <c r="G711" s="11" t="n">
        <v>18626643.37</v>
      </c>
    </row>
    <row r="712">
      <c r="A712" s="11" t="n">
        <v>711</v>
      </c>
      <c r="B712" s="12" t="n">
        <v>46035</v>
      </c>
      <c r="C712" s="11" t="inlineStr">
        <is>
          <t>COBRO COMISION DEPOSITOS ELECTRONICOS</t>
        </is>
      </c>
      <c r="D712" s="11" t="inlineStr">
        <is>
          <t>ORITO</t>
        </is>
      </c>
      <c r="E712" s="11" t="inlineStr">
        <is>
          <t>00000000</t>
        </is>
      </c>
      <c r="F712" s="13" t="n">
        <v>-989</v>
      </c>
      <c r="G712" s="11" t="n">
        <v>18625654.37</v>
      </c>
    </row>
    <row r="713">
      <c r="A713" s="11" t="n">
        <v>712</v>
      </c>
      <c r="B713" s="12" t="n">
        <v>46035</v>
      </c>
      <c r="C713" s="11" t="inlineStr">
        <is>
          <t>GRAVAMEN A MOVIMIENTO FINANCIERO</t>
        </is>
      </c>
      <c r="D713" s="11" t="inlineStr">
        <is>
          <t>ORITO</t>
        </is>
      </c>
      <c r="E713" s="11" t="inlineStr">
        <is>
          <t>00000000</t>
        </is>
      </c>
      <c r="F713" s="13" t="n">
        <v>-4</v>
      </c>
      <c r="G713" s="11" t="n">
        <v>18625650.37</v>
      </c>
    </row>
    <row r="714">
      <c r="A714" s="11" t="n">
        <v>713</v>
      </c>
      <c r="B714" s="12" t="n">
        <v>46035</v>
      </c>
      <c r="C714" s="11" t="inlineStr">
        <is>
          <t>RETEFUENTE D E Y VOUCHER CREDIBANCO</t>
        </is>
      </c>
      <c r="D714" s="11" t="inlineStr">
        <is>
          <t>ORITO</t>
        </is>
      </c>
      <c r="E714" s="11" t="inlineStr">
        <is>
          <t>00000000</t>
        </is>
      </c>
      <c r="F714" s="13" t="n">
        <v>-687</v>
      </c>
      <c r="G714" s="11" t="n">
        <v>18624963.37</v>
      </c>
    </row>
    <row r="715">
      <c r="A715" s="11" t="n">
        <v>714</v>
      </c>
      <c r="B715" s="12" t="n">
        <v>46035</v>
      </c>
      <c r="C715" s="11" t="inlineStr">
        <is>
          <t>GRAVAMEN A MOVIMIENTO FINANCIERO</t>
        </is>
      </c>
      <c r="D715" s="11" t="inlineStr">
        <is>
          <t>ORITO</t>
        </is>
      </c>
      <c r="E715" s="11" t="inlineStr">
        <is>
          <t>00000000</t>
        </is>
      </c>
      <c r="F715" s="13" t="n">
        <v>-3</v>
      </c>
      <c r="G715" s="11" t="n">
        <v>18624960.37</v>
      </c>
    </row>
    <row r="716">
      <c r="A716" s="11" t="n">
        <v>715</v>
      </c>
      <c r="B716" s="12" t="n">
        <v>46035</v>
      </c>
      <c r="C716" s="11" t="inlineStr">
        <is>
          <t>CONSIGNACION CREDIBANCO D E</t>
        </is>
      </c>
      <c r="D716" s="11" t="inlineStr">
        <is>
          <t>ORITO</t>
        </is>
      </c>
      <c r="E716" s="11" t="inlineStr">
        <is>
          <t>00000000</t>
        </is>
      </c>
      <c r="F716" s="13" t="n">
        <v>30600</v>
      </c>
      <c r="G716" s="11" t="n">
        <v>18655560.37</v>
      </c>
    </row>
    <row r="717">
      <c r="A717" s="11" t="n">
        <v>716</v>
      </c>
      <c r="B717" s="12" t="n">
        <v>46035</v>
      </c>
      <c r="C717" s="11" t="inlineStr">
        <is>
          <t>COBRO COMISION DEPOSITOS ELECTRONICOS</t>
        </is>
      </c>
      <c r="D717" s="11" t="inlineStr">
        <is>
          <t>ORITO</t>
        </is>
      </c>
      <c r="E717" s="11" t="inlineStr">
        <is>
          <t>00000000</t>
        </is>
      </c>
      <c r="F717" s="13" t="n">
        <v>-630</v>
      </c>
      <c r="G717" s="11" t="n">
        <v>18654930.37</v>
      </c>
    </row>
    <row r="718">
      <c r="A718" s="11" t="n">
        <v>717</v>
      </c>
      <c r="B718" s="12" t="n">
        <v>46035</v>
      </c>
      <c r="C718" s="11" t="inlineStr">
        <is>
          <t>GRAVAMEN A MOVIMIENTO FINANCIERO</t>
        </is>
      </c>
      <c r="D718" s="11" t="inlineStr">
        <is>
          <t>ORITO</t>
        </is>
      </c>
      <c r="E718" s="11" t="inlineStr">
        <is>
          <t>00000000</t>
        </is>
      </c>
      <c r="F718" s="13" t="n">
        <v>-3</v>
      </c>
      <c r="G718" s="11" t="n">
        <v>18654927.37</v>
      </c>
    </row>
    <row r="719">
      <c r="A719" s="11" t="n">
        <v>718</v>
      </c>
      <c r="B719" s="12" t="n">
        <v>46035</v>
      </c>
      <c r="C719" s="11" t="inlineStr">
        <is>
          <t>RETEFUENTE D E Y VOUCHER CREDIBANCO</t>
        </is>
      </c>
      <c r="D719" s="11" t="inlineStr">
        <is>
          <t>ORITO</t>
        </is>
      </c>
      <c r="E719" s="11" t="inlineStr">
        <is>
          <t>00000000</t>
        </is>
      </c>
      <c r="F719" s="13" t="n">
        <v>-459</v>
      </c>
      <c r="G719" s="11" t="n">
        <v>18654468.37</v>
      </c>
    </row>
    <row r="720">
      <c r="A720" s="11" t="n">
        <v>719</v>
      </c>
      <c r="B720" s="12" t="n">
        <v>46035</v>
      </c>
      <c r="C720" s="11" t="inlineStr">
        <is>
          <t>GRAVAMEN A MOVIMIENTO FINANCIERO</t>
        </is>
      </c>
      <c r="D720" s="11" t="inlineStr">
        <is>
          <t>ORITO</t>
        </is>
      </c>
      <c r="E720" s="11" t="inlineStr">
        <is>
          <t>00000000</t>
        </is>
      </c>
      <c r="F720" s="13" t="n">
        <v>-2</v>
      </c>
      <c r="G720" s="11" t="n">
        <v>18654466.37</v>
      </c>
    </row>
    <row r="721">
      <c r="A721" s="11" t="n">
        <v>720</v>
      </c>
      <c r="B721" s="12" t="n">
        <v>46035</v>
      </c>
      <c r="C721" s="11" t="inlineStr">
        <is>
          <t>CONSIGNACION CREDIBANCO D E</t>
        </is>
      </c>
      <c r="D721" s="11" t="inlineStr">
        <is>
          <t>ORITO</t>
        </is>
      </c>
      <c r="E721" s="11" t="inlineStr">
        <is>
          <t>00000000</t>
        </is>
      </c>
      <c r="F721" s="13" t="n">
        <v>124100</v>
      </c>
      <c r="G721" s="11" t="n">
        <v>18778566.37</v>
      </c>
    </row>
    <row r="722">
      <c r="A722" s="11" t="n">
        <v>721</v>
      </c>
      <c r="B722" s="12" t="n">
        <v>46035</v>
      </c>
      <c r="C722" s="11" t="inlineStr">
        <is>
          <t>COBRO COMISION DEPOSITOS ELECTRONICOS</t>
        </is>
      </c>
      <c r="D722" s="11" t="inlineStr">
        <is>
          <t>ORITO</t>
        </is>
      </c>
      <c r="E722" s="11" t="inlineStr">
        <is>
          <t>00000000</t>
        </is>
      </c>
      <c r="F722" s="13" t="n">
        <v>-2681</v>
      </c>
      <c r="G722" s="11" t="n">
        <v>18775885.37</v>
      </c>
    </row>
    <row r="723">
      <c r="A723" s="11" t="n">
        <v>722</v>
      </c>
      <c r="B723" s="12" t="n">
        <v>46035</v>
      </c>
      <c r="C723" s="11" t="inlineStr">
        <is>
          <t>GRAVAMEN A MOVIMIENTO FINANCIERO</t>
        </is>
      </c>
      <c r="D723" s="11" t="inlineStr">
        <is>
          <t>ORITO</t>
        </is>
      </c>
      <c r="E723" s="11" t="inlineStr">
        <is>
          <t>00000000</t>
        </is>
      </c>
      <c r="F723" s="13" t="n">
        <v>-11</v>
      </c>
      <c r="G723" s="11" t="n">
        <v>18775874.37</v>
      </c>
    </row>
    <row r="724">
      <c r="A724" s="11" t="n">
        <v>723</v>
      </c>
      <c r="B724" s="12" t="n">
        <v>46035</v>
      </c>
      <c r="C724" s="11" t="inlineStr">
        <is>
          <t>RETEFUENTE D E Y VOUCHER CREDIBANCO</t>
        </is>
      </c>
      <c r="D724" s="11" t="inlineStr">
        <is>
          <t>ORITO</t>
        </is>
      </c>
      <c r="E724" s="11" t="inlineStr">
        <is>
          <t>00000000</t>
        </is>
      </c>
      <c r="F724" s="13" t="n">
        <v>-1862</v>
      </c>
      <c r="G724" s="11" t="n">
        <v>18774012.37</v>
      </c>
    </row>
    <row r="725">
      <c r="A725" s="11" t="n">
        <v>724</v>
      </c>
      <c r="B725" s="12" t="n">
        <v>46035</v>
      </c>
      <c r="C725" s="11" t="inlineStr">
        <is>
          <t>GRAVAMEN A MOVIMIENTO FINANCIERO</t>
        </is>
      </c>
      <c r="D725" s="11" t="inlineStr">
        <is>
          <t>ORITO</t>
        </is>
      </c>
      <c r="E725" s="11" t="inlineStr">
        <is>
          <t>00000000</t>
        </is>
      </c>
      <c r="F725" s="13" t="n">
        <v>-7</v>
      </c>
      <c r="G725" s="11" t="n">
        <v>18774005.37</v>
      </c>
    </row>
    <row r="726">
      <c r="A726" s="11" t="n">
        <v>725</v>
      </c>
      <c r="B726" s="12" t="n">
        <v>46035</v>
      </c>
      <c r="C726" s="11" t="inlineStr">
        <is>
          <t>CONSIGNACION CREDIBANCO D E</t>
        </is>
      </c>
      <c r="D726" s="11" t="inlineStr">
        <is>
          <t>ORITO</t>
        </is>
      </c>
      <c r="E726" s="11" t="inlineStr">
        <is>
          <t>00000000</t>
        </is>
      </c>
      <c r="F726" s="13" t="n">
        <v>44400</v>
      </c>
      <c r="G726" s="11" t="n">
        <v>18818405.37</v>
      </c>
    </row>
    <row r="727">
      <c r="A727" s="11" t="n">
        <v>726</v>
      </c>
      <c r="B727" s="12" t="n">
        <v>46035</v>
      </c>
      <c r="C727" s="11" t="inlineStr">
        <is>
          <t>COBRO COMISION DEPOSITOS ELECTRONICOS</t>
        </is>
      </c>
      <c r="D727" s="11" t="inlineStr">
        <is>
          <t>ORITO</t>
        </is>
      </c>
      <c r="E727" s="11" t="inlineStr">
        <is>
          <t>00000000</t>
        </is>
      </c>
      <c r="F727" s="13" t="n">
        <v>-959</v>
      </c>
      <c r="G727" s="11" t="n">
        <v>18817446.37</v>
      </c>
    </row>
    <row r="728">
      <c r="A728" s="11" t="n">
        <v>727</v>
      </c>
      <c r="B728" s="12" t="n">
        <v>46035</v>
      </c>
      <c r="C728" s="11" t="inlineStr">
        <is>
          <t>GRAVAMEN A MOVIMIENTO FINANCIERO</t>
        </is>
      </c>
      <c r="D728" s="11" t="inlineStr">
        <is>
          <t>ORITO</t>
        </is>
      </c>
      <c r="E728" s="11" t="inlineStr">
        <is>
          <t>00000000</t>
        </is>
      </c>
      <c r="F728" s="13" t="n">
        <v>-4</v>
      </c>
      <c r="G728" s="11" t="n">
        <v>18817442.37</v>
      </c>
    </row>
    <row r="729">
      <c r="A729" s="11" t="n">
        <v>728</v>
      </c>
      <c r="B729" s="12" t="n">
        <v>46035</v>
      </c>
      <c r="C729" s="11" t="inlineStr">
        <is>
          <t>RETEFUENTE D E Y VOUCHER CREDIBANCO</t>
        </is>
      </c>
      <c r="D729" s="11" t="inlineStr">
        <is>
          <t>ORITO</t>
        </is>
      </c>
      <c r="E729" s="11" t="inlineStr">
        <is>
          <t>00000000</t>
        </is>
      </c>
      <c r="F729" s="13" t="n">
        <v>-666</v>
      </c>
      <c r="G729" s="11" t="n">
        <v>18816776.37</v>
      </c>
    </row>
    <row r="730">
      <c r="A730" s="11" t="n">
        <v>729</v>
      </c>
      <c r="B730" s="12" t="n">
        <v>46035</v>
      </c>
      <c r="C730" s="11" t="inlineStr">
        <is>
          <t>GRAVAMEN A MOVIMIENTO FINANCIERO</t>
        </is>
      </c>
      <c r="D730" s="11" t="inlineStr">
        <is>
          <t>ORITO</t>
        </is>
      </c>
      <c r="E730" s="11" t="inlineStr">
        <is>
          <t>00000000</t>
        </is>
      </c>
      <c r="F730" s="13" t="n">
        <v>-3</v>
      </c>
      <c r="G730" s="11" t="n">
        <v>18816773.37</v>
      </c>
    </row>
    <row r="731">
      <c r="A731" s="11" t="n">
        <v>730</v>
      </c>
      <c r="B731" s="12" t="n">
        <v>46035</v>
      </c>
      <c r="C731" s="11" t="inlineStr">
        <is>
          <t>CONSIGNACION CREDIBANCO D E</t>
        </is>
      </c>
      <c r="D731" s="11" t="inlineStr">
        <is>
          <t>ORITO</t>
        </is>
      </c>
      <c r="E731" s="11" t="inlineStr">
        <is>
          <t>00000000</t>
        </is>
      </c>
      <c r="F731" s="13" t="n">
        <v>47400</v>
      </c>
      <c r="G731" s="11" t="n">
        <v>18864173.37</v>
      </c>
    </row>
    <row r="732">
      <c r="A732" s="11" t="n">
        <v>731</v>
      </c>
      <c r="B732" s="12" t="n">
        <v>46035</v>
      </c>
      <c r="C732" s="11" t="inlineStr">
        <is>
          <t>COBRO COMISION DEPOSITOS ELECTRONICOS</t>
        </is>
      </c>
      <c r="D732" s="11" t="inlineStr">
        <is>
          <t>ORITO</t>
        </is>
      </c>
      <c r="E732" s="11" t="inlineStr">
        <is>
          <t>00000000</t>
        </is>
      </c>
      <c r="F732" s="13" t="n">
        <v>-1038</v>
      </c>
      <c r="G732" s="11" t="n">
        <v>18863135.37</v>
      </c>
    </row>
    <row r="733">
      <c r="A733" s="11" t="n">
        <v>732</v>
      </c>
      <c r="B733" s="12" t="n">
        <v>46035</v>
      </c>
      <c r="C733" s="11" t="inlineStr">
        <is>
          <t>GRAVAMEN A MOVIMIENTO FINANCIERO</t>
        </is>
      </c>
      <c r="D733" s="11" t="inlineStr">
        <is>
          <t>ORITO</t>
        </is>
      </c>
      <c r="E733" s="11" t="inlineStr">
        <is>
          <t>00000000</t>
        </is>
      </c>
      <c r="F733" s="13" t="n">
        <v>-4</v>
      </c>
      <c r="G733" s="11" t="n">
        <v>18863131.37</v>
      </c>
    </row>
    <row r="734">
      <c r="A734" s="11" t="n">
        <v>733</v>
      </c>
      <c r="B734" s="12" t="n">
        <v>46035</v>
      </c>
      <c r="C734" s="11" t="inlineStr">
        <is>
          <t>RETEFUENTE D E Y VOUCHER CREDIBANCO</t>
        </is>
      </c>
      <c r="D734" s="11" t="inlineStr">
        <is>
          <t>ORITO</t>
        </is>
      </c>
      <c r="E734" s="11" t="inlineStr">
        <is>
          <t>00000000</t>
        </is>
      </c>
      <c r="F734" s="13" t="n">
        <v>-711</v>
      </c>
      <c r="G734" s="11" t="n">
        <v>18862420.37</v>
      </c>
    </row>
    <row r="735">
      <c r="A735" s="11" t="n">
        <v>734</v>
      </c>
      <c r="B735" s="12" t="n">
        <v>46035</v>
      </c>
      <c r="C735" s="11" t="inlineStr">
        <is>
          <t>GRAVAMEN A MOVIMIENTO FINANCIERO</t>
        </is>
      </c>
      <c r="D735" s="11" t="inlineStr">
        <is>
          <t>ORITO</t>
        </is>
      </c>
      <c r="E735" s="11" t="inlineStr">
        <is>
          <t>00000000</t>
        </is>
      </c>
      <c r="F735" s="13" t="n">
        <v>-3</v>
      </c>
      <c r="G735" s="11" t="n">
        <v>18862417.37</v>
      </c>
    </row>
    <row r="736">
      <c r="A736" s="11" t="n">
        <v>735</v>
      </c>
      <c r="B736" s="12" t="n">
        <v>46035</v>
      </c>
      <c r="C736" s="11" t="inlineStr">
        <is>
          <t>CONSIGNACION CREDIBANCO D E</t>
        </is>
      </c>
      <c r="D736" s="11" t="inlineStr">
        <is>
          <t>ORITO</t>
        </is>
      </c>
      <c r="E736" s="11" t="inlineStr">
        <is>
          <t>00000000</t>
        </is>
      </c>
      <c r="F736" s="13" t="n">
        <v>100200</v>
      </c>
      <c r="G736" s="11" t="n">
        <v>18962617.37</v>
      </c>
    </row>
    <row r="737">
      <c r="A737" s="11" t="n">
        <v>736</v>
      </c>
      <c r="B737" s="12" t="n">
        <v>46035</v>
      </c>
      <c r="C737" s="11" t="inlineStr">
        <is>
          <t>COBRO COMISION DEPOSITOS ELECTRONICOS</t>
        </is>
      </c>
      <c r="D737" s="11" t="inlineStr">
        <is>
          <t>ORITO</t>
        </is>
      </c>
      <c r="E737" s="11" t="inlineStr">
        <is>
          <t>00000000</t>
        </is>
      </c>
      <c r="F737" s="13" t="n">
        <v>-2064</v>
      </c>
      <c r="G737" s="11" t="n">
        <v>18960553.37</v>
      </c>
    </row>
    <row r="738">
      <c r="A738" s="11" t="n">
        <v>737</v>
      </c>
      <c r="B738" s="12" t="n">
        <v>46035</v>
      </c>
      <c r="C738" s="11" t="inlineStr">
        <is>
          <t>GRAVAMEN A MOVIMIENTO FINANCIERO</t>
        </is>
      </c>
      <c r="D738" s="11" t="inlineStr">
        <is>
          <t>ORITO</t>
        </is>
      </c>
      <c r="E738" s="11" t="inlineStr">
        <is>
          <t>00000000</t>
        </is>
      </c>
      <c r="F738" s="13" t="n">
        <v>-8</v>
      </c>
      <c r="G738" s="11" t="n">
        <v>18960545.37</v>
      </c>
    </row>
    <row r="739">
      <c r="A739" s="11" t="n">
        <v>738</v>
      </c>
      <c r="B739" s="12" t="n">
        <v>46035</v>
      </c>
      <c r="C739" s="11" t="inlineStr">
        <is>
          <t>RETEFUENTE D E Y VOUCHER CREDIBANCO</t>
        </is>
      </c>
      <c r="D739" s="11" t="inlineStr">
        <is>
          <t>ORITO</t>
        </is>
      </c>
      <c r="E739" s="11" t="inlineStr">
        <is>
          <t>00000000</t>
        </is>
      </c>
      <c r="F739" s="13" t="n">
        <v>-1503</v>
      </c>
      <c r="G739" s="11" t="n">
        <v>18959042.37</v>
      </c>
    </row>
    <row r="740">
      <c r="A740" s="11" t="n">
        <v>739</v>
      </c>
      <c r="B740" s="12" t="n">
        <v>46035</v>
      </c>
      <c r="C740" s="11" t="inlineStr">
        <is>
          <t>GRAVAMEN A MOVIMIENTO FINANCIERO</t>
        </is>
      </c>
      <c r="D740" s="11" t="inlineStr">
        <is>
          <t>ORITO</t>
        </is>
      </c>
      <c r="E740" s="11" t="inlineStr">
        <is>
          <t>00000000</t>
        </is>
      </c>
      <c r="F740" s="13" t="n">
        <v>-6</v>
      </c>
      <c r="G740" s="11" t="n">
        <v>18959036.37</v>
      </c>
    </row>
    <row r="741">
      <c r="A741" s="11" t="n">
        <v>740</v>
      </c>
      <c r="B741" s="12" t="n">
        <v>46035</v>
      </c>
      <c r="C741" s="11" t="inlineStr">
        <is>
          <t>CONSIGNACION CREDIBANCO D E</t>
        </is>
      </c>
      <c r="D741" s="11" t="inlineStr">
        <is>
          <t>ORITO</t>
        </is>
      </c>
      <c r="E741" s="11" t="inlineStr">
        <is>
          <t>00000000</t>
        </is>
      </c>
      <c r="F741" s="13" t="n">
        <v>222700</v>
      </c>
      <c r="G741" s="11" t="n">
        <v>19181736.37</v>
      </c>
    </row>
    <row r="742">
      <c r="A742" s="11" t="n">
        <v>741</v>
      </c>
      <c r="B742" s="12" t="n">
        <v>46035</v>
      </c>
      <c r="C742" s="11" t="inlineStr">
        <is>
          <t>COBRO COMISION DEPOSITOS ELECTRONICOS</t>
        </is>
      </c>
      <c r="D742" s="11" t="inlineStr">
        <is>
          <t>ORITO</t>
        </is>
      </c>
      <c r="E742" s="11" t="inlineStr">
        <is>
          <t>00000000</t>
        </is>
      </c>
      <c r="F742" s="13" t="n">
        <v>-4810</v>
      </c>
      <c r="G742" s="11" t="n">
        <v>19176926.37</v>
      </c>
    </row>
    <row r="743">
      <c r="A743" s="11" t="n">
        <v>742</v>
      </c>
      <c r="B743" s="12" t="n">
        <v>46035</v>
      </c>
      <c r="C743" s="11" t="inlineStr">
        <is>
          <t>GRAVAMEN A MOVIMIENTO FINANCIERO</t>
        </is>
      </c>
      <c r="D743" s="11" t="inlineStr">
        <is>
          <t>ORITO</t>
        </is>
      </c>
      <c r="E743" s="11" t="inlineStr">
        <is>
          <t>00000000</t>
        </is>
      </c>
      <c r="F743" s="13" t="n">
        <v>-19</v>
      </c>
      <c r="G743" s="11" t="n">
        <v>19176907.37</v>
      </c>
    </row>
    <row r="744">
      <c r="A744" s="11" t="n">
        <v>743</v>
      </c>
      <c r="B744" s="12" t="n">
        <v>46035</v>
      </c>
      <c r="C744" s="11" t="inlineStr">
        <is>
          <t>RETEFUENTE D E Y VOUCHER CREDIBANCO</t>
        </is>
      </c>
      <c r="D744" s="11" t="inlineStr">
        <is>
          <t>ORITO</t>
        </is>
      </c>
      <c r="E744" s="11" t="inlineStr">
        <is>
          <t>00000000</t>
        </is>
      </c>
      <c r="F744" s="13" t="n">
        <v>-3341</v>
      </c>
      <c r="G744" s="11" t="n">
        <v>19173566.37</v>
      </c>
    </row>
    <row r="745">
      <c r="A745" s="11" t="n">
        <v>744</v>
      </c>
      <c r="B745" s="12" t="n">
        <v>46035</v>
      </c>
      <c r="C745" s="11" t="inlineStr">
        <is>
          <t>GRAVAMEN A MOVIMIENTO FINANCIERO</t>
        </is>
      </c>
      <c r="D745" s="11" t="inlineStr">
        <is>
          <t>ORITO</t>
        </is>
      </c>
      <c r="E745" s="11" t="inlineStr">
        <is>
          <t>00000000</t>
        </is>
      </c>
      <c r="F745" s="13" t="n">
        <v>-13</v>
      </c>
      <c r="G745" s="11" t="n">
        <v>19173553.37</v>
      </c>
    </row>
    <row r="746">
      <c r="A746" s="11" t="n">
        <v>745</v>
      </c>
      <c r="B746" s="12" t="n">
        <v>46035</v>
      </c>
      <c r="C746" s="11" t="inlineStr">
        <is>
          <t>CONSIGNACION CREDIBANCO D E</t>
        </is>
      </c>
      <c r="D746" s="11" t="inlineStr">
        <is>
          <t>ORITO</t>
        </is>
      </c>
      <c r="E746" s="11" t="inlineStr">
        <is>
          <t>00000000</t>
        </is>
      </c>
      <c r="F746" s="13" t="n">
        <v>83200</v>
      </c>
      <c r="G746" s="11" t="n">
        <v>19256753.37</v>
      </c>
    </row>
    <row r="747">
      <c r="A747" s="11" t="n">
        <v>746</v>
      </c>
      <c r="B747" s="12" t="n">
        <v>46035</v>
      </c>
      <c r="C747" s="11" t="inlineStr">
        <is>
          <t>COBRO COMISION DEPOSITOS ELECTRONICOS</t>
        </is>
      </c>
      <c r="D747" s="11" t="inlineStr">
        <is>
          <t>ORITO</t>
        </is>
      </c>
      <c r="E747" s="11" t="inlineStr">
        <is>
          <t>00000000</t>
        </is>
      </c>
      <c r="F747" s="13" t="n">
        <v>-1797</v>
      </c>
      <c r="G747" s="11" t="n">
        <v>19254956.37</v>
      </c>
    </row>
    <row r="748">
      <c r="A748" s="11" t="n">
        <v>747</v>
      </c>
      <c r="B748" s="12" t="n">
        <v>46035</v>
      </c>
      <c r="C748" s="11" t="inlineStr">
        <is>
          <t>GRAVAMEN A MOVIMIENTO FINANCIERO</t>
        </is>
      </c>
      <c r="D748" s="11" t="inlineStr">
        <is>
          <t>ORITO</t>
        </is>
      </c>
      <c r="E748" s="11" t="inlineStr">
        <is>
          <t>00000000</t>
        </is>
      </c>
      <c r="F748" s="13" t="n">
        <v>-7</v>
      </c>
      <c r="G748" s="11" t="n">
        <v>19254949.37</v>
      </c>
    </row>
    <row r="749">
      <c r="A749" s="11" t="n">
        <v>748</v>
      </c>
      <c r="B749" s="12" t="n">
        <v>46035</v>
      </c>
      <c r="C749" s="11" t="inlineStr">
        <is>
          <t>RETEFUENTE D E Y VOUCHER CREDIBANCO</t>
        </is>
      </c>
      <c r="D749" s="11" t="inlineStr">
        <is>
          <t>ORITO</t>
        </is>
      </c>
      <c r="E749" s="11" t="inlineStr">
        <is>
          <t>00000000</t>
        </is>
      </c>
      <c r="F749" s="13" t="n">
        <v>-1248</v>
      </c>
      <c r="G749" s="11" t="n">
        <v>19253701.37</v>
      </c>
    </row>
    <row r="750">
      <c r="A750" s="11" t="n">
        <v>749</v>
      </c>
      <c r="B750" s="12" t="n">
        <v>46035</v>
      </c>
      <c r="C750" s="11" t="inlineStr">
        <is>
          <t>GRAVAMEN A MOVIMIENTO FINANCIERO</t>
        </is>
      </c>
      <c r="D750" s="11" t="inlineStr">
        <is>
          <t>ORITO</t>
        </is>
      </c>
      <c r="E750" s="11" t="inlineStr">
        <is>
          <t>00000000</t>
        </is>
      </c>
      <c r="F750" s="13" t="n">
        <v>-5</v>
      </c>
      <c r="G750" s="11" t="n">
        <v>19253696.37</v>
      </c>
    </row>
    <row r="751">
      <c r="A751" s="11" t="n">
        <v>750</v>
      </c>
      <c r="B751" s="12" t="n">
        <v>46035</v>
      </c>
      <c r="C751" s="11" t="inlineStr">
        <is>
          <t>CONSIGNACION CREDIBANCO D E</t>
        </is>
      </c>
      <c r="D751" s="11" t="inlineStr">
        <is>
          <t>ORITO</t>
        </is>
      </c>
      <c r="E751" s="11" t="inlineStr">
        <is>
          <t>00000000</t>
        </is>
      </c>
      <c r="F751" s="13" t="n">
        <v>103100</v>
      </c>
      <c r="G751" s="11" t="n">
        <v>19356796.37</v>
      </c>
    </row>
    <row r="752">
      <c r="A752" s="11" t="n">
        <v>751</v>
      </c>
      <c r="B752" s="12" t="n">
        <v>46035</v>
      </c>
      <c r="C752" s="11" t="inlineStr">
        <is>
          <t>COBRO COMISION DEPOSITOS ELECTRONICOS</t>
        </is>
      </c>
      <c r="D752" s="11" t="inlineStr">
        <is>
          <t>ORITO</t>
        </is>
      </c>
      <c r="E752" s="11" t="inlineStr">
        <is>
          <t>00000000</t>
        </is>
      </c>
      <c r="F752" s="13" t="n">
        <v>-2227</v>
      </c>
      <c r="G752" s="11" t="n">
        <v>19354569.37</v>
      </c>
    </row>
    <row r="753">
      <c r="A753" s="11" t="n">
        <v>752</v>
      </c>
      <c r="B753" s="12" t="n">
        <v>46035</v>
      </c>
      <c r="C753" s="11" t="inlineStr">
        <is>
          <t>GRAVAMEN A MOVIMIENTO FINANCIERO</t>
        </is>
      </c>
      <c r="D753" s="11" t="inlineStr">
        <is>
          <t>ORITO</t>
        </is>
      </c>
      <c r="E753" s="11" t="inlineStr">
        <is>
          <t>00000000</t>
        </is>
      </c>
      <c r="F753" s="13" t="n">
        <v>-9</v>
      </c>
      <c r="G753" s="11" t="n">
        <v>19354560.37</v>
      </c>
    </row>
    <row r="754">
      <c r="A754" s="11" t="n">
        <v>753</v>
      </c>
      <c r="B754" s="12" t="n">
        <v>46035</v>
      </c>
      <c r="C754" s="11" t="inlineStr">
        <is>
          <t>RETEFUENTE D E Y VOUCHER CREDIBANCO</t>
        </is>
      </c>
      <c r="D754" s="11" t="inlineStr">
        <is>
          <t>ORITO</t>
        </is>
      </c>
      <c r="E754" s="11" t="inlineStr">
        <is>
          <t>00000000</t>
        </is>
      </c>
      <c r="F754" s="13" t="n">
        <v>-1547</v>
      </c>
      <c r="G754" s="11" t="n">
        <v>19353013.37</v>
      </c>
    </row>
    <row r="755">
      <c r="A755" s="11" t="n">
        <v>754</v>
      </c>
      <c r="B755" s="12" t="n">
        <v>46035</v>
      </c>
      <c r="C755" s="11" t="inlineStr">
        <is>
          <t>GRAVAMEN A MOVIMIENTO FINANCIERO</t>
        </is>
      </c>
      <c r="D755" s="11" t="inlineStr">
        <is>
          <t>ORITO</t>
        </is>
      </c>
      <c r="E755" s="11" t="inlineStr">
        <is>
          <t>00000000</t>
        </is>
      </c>
      <c r="F755" s="13" t="n">
        <v>-6</v>
      </c>
      <c r="G755" s="11" t="n">
        <v>19353007.37</v>
      </c>
    </row>
    <row r="756">
      <c r="A756" s="11" t="n">
        <v>755</v>
      </c>
      <c r="B756" s="12" t="n">
        <v>46035</v>
      </c>
      <c r="C756" s="11" t="inlineStr">
        <is>
          <t>CONSIGNACION CREDIBANCO D E</t>
        </is>
      </c>
      <c r="D756" s="11" t="inlineStr">
        <is>
          <t>ORITO</t>
        </is>
      </c>
      <c r="E756" s="11" t="inlineStr">
        <is>
          <t>00000000</t>
        </is>
      </c>
      <c r="F756" s="13" t="n">
        <v>475100</v>
      </c>
      <c r="G756" s="11" t="n">
        <v>19828107.37</v>
      </c>
    </row>
    <row r="757">
      <c r="A757" s="11" t="n">
        <v>756</v>
      </c>
      <c r="B757" s="12" t="n">
        <v>46035</v>
      </c>
      <c r="C757" s="11" t="inlineStr">
        <is>
          <t>COBRO COMISION DEPOSITOS ELECTRONICOS</t>
        </is>
      </c>
      <c r="D757" s="11" t="inlineStr">
        <is>
          <t>ORITO</t>
        </is>
      </c>
      <c r="E757" s="11" t="inlineStr">
        <is>
          <t>00000000</t>
        </is>
      </c>
      <c r="F757" s="13" t="n">
        <v>-10262</v>
      </c>
      <c r="G757" s="11" t="n">
        <v>19817845.37</v>
      </c>
    </row>
    <row r="758">
      <c r="A758" s="11" t="n">
        <v>757</v>
      </c>
      <c r="B758" s="12" t="n">
        <v>46035</v>
      </c>
      <c r="C758" s="11" t="inlineStr">
        <is>
          <t>GRAVAMEN A MOVIMIENTO FINANCIERO</t>
        </is>
      </c>
      <c r="D758" s="11" t="inlineStr">
        <is>
          <t>ORITO</t>
        </is>
      </c>
      <c r="E758" s="11" t="inlineStr">
        <is>
          <t>00000000</t>
        </is>
      </c>
      <c r="F758" s="13" t="n">
        <v>-41</v>
      </c>
      <c r="G758" s="11" t="n">
        <v>19817804.37</v>
      </c>
    </row>
    <row r="759">
      <c r="A759" s="11" t="n">
        <v>758</v>
      </c>
      <c r="B759" s="12" t="n">
        <v>46035</v>
      </c>
      <c r="C759" s="11" t="inlineStr">
        <is>
          <t>RETEFUENTE D E Y VOUCHER CREDIBANCO</t>
        </is>
      </c>
      <c r="D759" s="11" t="inlineStr">
        <is>
          <t>ORITO</t>
        </is>
      </c>
      <c r="E759" s="11" t="inlineStr">
        <is>
          <t>00000000</t>
        </is>
      </c>
      <c r="F759" s="13" t="n">
        <v>-7127</v>
      </c>
      <c r="G759" s="11" t="n">
        <v>19810677.37</v>
      </c>
    </row>
    <row r="760">
      <c r="A760" s="11" t="n">
        <v>759</v>
      </c>
      <c r="B760" s="12" t="n">
        <v>46035</v>
      </c>
      <c r="C760" s="11" t="inlineStr">
        <is>
          <t>GRAVAMEN A MOVIMIENTO FINANCIERO</t>
        </is>
      </c>
      <c r="D760" s="11" t="inlineStr">
        <is>
          <t>ORITO</t>
        </is>
      </c>
      <c r="E760" s="11" t="inlineStr">
        <is>
          <t>00000000</t>
        </is>
      </c>
      <c r="F760" s="13" t="n">
        <v>-29</v>
      </c>
      <c r="G760" s="11" t="n">
        <v>19810648.37</v>
      </c>
    </row>
    <row r="761">
      <c r="A761" s="11" t="n">
        <v>760</v>
      </c>
      <c r="B761" s="12" t="n">
        <v>46035</v>
      </c>
      <c r="C761" s="11" t="inlineStr">
        <is>
          <t>CONSIGNACION CREDIBANCO D E</t>
        </is>
      </c>
      <c r="D761" s="11" t="inlineStr">
        <is>
          <t>ORITO</t>
        </is>
      </c>
      <c r="E761" s="11" t="inlineStr">
        <is>
          <t>00000000</t>
        </is>
      </c>
      <c r="F761" s="13" t="n">
        <v>32400</v>
      </c>
      <c r="G761" s="11" t="n">
        <v>19843048.37</v>
      </c>
    </row>
    <row r="762">
      <c r="A762" s="11" t="n">
        <v>761</v>
      </c>
      <c r="B762" s="12" t="n">
        <v>46035</v>
      </c>
      <c r="C762" s="11" t="inlineStr">
        <is>
          <t>COBRO COMISION DEPOSITOS ELECTRONICOS</t>
        </is>
      </c>
      <c r="D762" s="11" t="inlineStr">
        <is>
          <t>ORITO</t>
        </is>
      </c>
      <c r="E762" s="11" t="inlineStr">
        <is>
          <t>00000000</t>
        </is>
      </c>
      <c r="F762" s="13" t="n">
        <v>-700</v>
      </c>
      <c r="G762" s="11" t="n">
        <v>19842348.37</v>
      </c>
    </row>
    <row r="763">
      <c r="A763" s="11" t="n">
        <v>762</v>
      </c>
      <c r="B763" s="12" t="n">
        <v>46035</v>
      </c>
      <c r="C763" s="11" t="inlineStr">
        <is>
          <t>GRAVAMEN A MOVIMIENTO FINANCIERO</t>
        </is>
      </c>
      <c r="D763" s="11" t="inlineStr">
        <is>
          <t>ORITO</t>
        </is>
      </c>
      <c r="E763" s="11" t="inlineStr">
        <is>
          <t>00000000</t>
        </is>
      </c>
      <c r="F763" s="13" t="n">
        <v>-3</v>
      </c>
      <c r="G763" s="11" t="n">
        <v>19842345.37</v>
      </c>
    </row>
    <row r="764">
      <c r="A764" s="11" t="n">
        <v>763</v>
      </c>
      <c r="B764" s="12" t="n">
        <v>46035</v>
      </c>
      <c r="C764" s="11" t="inlineStr">
        <is>
          <t>RETEFUENTE D E Y VOUCHER CREDIBANCO</t>
        </is>
      </c>
      <c r="D764" s="11" t="inlineStr">
        <is>
          <t>ORITO</t>
        </is>
      </c>
      <c r="E764" s="11" t="inlineStr">
        <is>
          <t>00000000</t>
        </is>
      </c>
      <c r="F764" s="13" t="n">
        <v>-486</v>
      </c>
      <c r="G764" s="11" t="n">
        <v>19841859.37</v>
      </c>
    </row>
    <row r="765">
      <c r="A765" s="11" t="n">
        <v>764</v>
      </c>
      <c r="B765" s="12" t="n">
        <v>46035</v>
      </c>
      <c r="C765" s="11" t="inlineStr">
        <is>
          <t>GRAVAMEN A MOVIMIENTO FINANCIERO</t>
        </is>
      </c>
      <c r="D765" s="11" t="inlineStr">
        <is>
          <t>ORITO</t>
        </is>
      </c>
      <c r="E765" s="11" t="inlineStr">
        <is>
          <t>00000000</t>
        </is>
      </c>
      <c r="F765" s="13" t="n">
        <v>-2</v>
      </c>
      <c r="G765" s="11" t="n">
        <v>19841857.37</v>
      </c>
    </row>
    <row r="766">
      <c r="A766" s="11" t="n">
        <v>765</v>
      </c>
      <c r="B766" s="12" t="n">
        <v>46035</v>
      </c>
      <c r="C766" s="11" t="inlineStr">
        <is>
          <t>CONSIGNACION CREDIBANCO D E</t>
        </is>
      </c>
      <c r="D766" s="11" t="inlineStr">
        <is>
          <t>ORITO</t>
        </is>
      </c>
      <c r="E766" s="11" t="inlineStr">
        <is>
          <t>00000000</t>
        </is>
      </c>
      <c r="F766" s="13" t="n">
        <v>50200</v>
      </c>
      <c r="G766" s="11" t="n">
        <v>19892057.37</v>
      </c>
    </row>
    <row r="767">
      <c r="A767" s="11" t="n">
        <v>766</v>
      </c>
      <c r="B767" s="12" t="n">
        <v>46035</v>
      </c>
      <c r="C767" s="11" t="inlineStr">
        <is>
          <t>COBRO COMISION DEPOSITOS ELECTRONICOS</t>
        </is>
      </c>
      <c r="D767" s="11" t="inlineStr">
        <is>
          <t>ORITO</t>
        </is>
      </c>
      <c r="E767" s="11" t="inlineStr">
        <is>
          <t>00000000</t>
        </is>
      </c>
      <c r="F767" s="13" t="n">
        <v>-1084</v>
      </c>
      <c r="G767" s="11" t="n">
        <v>19890973.37</v>
      </c>
    </row>
    <row r="768">
      <c r="A768" s="11" t="n">
        <v>767</v>
      </c>
      <c r="B768" s="12" t="n">
        <v>46035</v>
      </c>
      <c r="C768" s="11" t="inlineStr">
        <is>
          <t>GRAVAMEN A MOVIMIENTO FINANCIERO</t>
        </is>
      </c>
      <c r="D768" s="11" t="inlineStr">
        <is>
          <t>ORITO</t>
        </is>
      </c>
      <c r="E768" s="11" t="inlineStr">
        <is>
          <t>00000000</t>
        </is>
      </c>
      <c r="F768" s="13" t="n">
        <v>-4</v>
      </c>
      <c r="G768" s="11" t="n">
        <v>19890969.37</v>
      </c>
    </row>
    <row r="769">
      <c r="A769" s="11" t="n">
        <v>768</v>
      </c>
      <c r="B769" s="12" t="n">
        <v>46035</v>
      </c>
      <c r="C769" s="11" t="inlineStr">
        <is>
          <t>RETEFUENTE D E Y VOUCHER CREDIBANCO</t>
        </is>
      </c>
      <c r="D769" s="11" t="inlineStr">
        <is>
          <t>ORITO</t>
        </is>
      </c>
      <c r="E769" s="11" t="inlineStr">
        <is>
          <t>00000000</t>
        </is>
      </c>
      <c r="F769" s="13" t="n">
        <v>-753</v>
      </c>
      <c r="G769" s="11" t="n">
        <v>19890216.37</v>
      </c>
    </row>
    <row r="770">
      <c r="A770" s="11" t="n">
        <v>769</v>
      </c>
      <c r="B770" s="12" t="n">
        <v>46035</v>
      </c>
      <c r="C770" s="11" t="inlineStr">
        <is>
          <t>GRAVAMEN A MOVIMIENTO FINANCIERO</t>
        </is>
      </c>
      <c r="D770" s="11" t="inlineStr">
        <is>
          <t>ORITO</t>
        </is>
      </c>
      <c r="E770" s="11" t="inlineStr">
        <is>
          <t>00000000</t>
        </is>
      </c>
      <c r="F770" s="13" t="n">
        <v>-3</v>
      </c>
      <c r="G770" s="11" t="n">
        <v>19890213.37</v>
      </c>
    </row>
    <row r="771">
      <c r="A771" s="11" t="n">
        <v>770</v>
      </c>
      <c r="B771" s="12" t="n">
        <v>46035</v>
      </c>
      <c r="C771" s="11" t="inlineStr">
        <is>
          <t>CONSIGNACION CREDIBANCO D E</t>
        </is>
      </c>
      <c r="D771" s="11" t="inlineStr">
        <is>
          <t>ORITO</t>
        </is>
      </c>
      <c r="E771" s="11" t="inlineStr">
        <is>
          <t>00000000</t>
        </is>
      </c>
      <c r="F771" s="13" t="n">
        <v>30000</v>
      </c>
      <c r="G771" s="11" t="n">
        <v>19920213.37</v>
      </c>
    </row>
    <row r="772">
      <c r="A772" s="11" t="n">
        <v>771</v>
      </c>
      <c r="B772" s="12" t="n">
        <v>46035</v>
      </c>
      <c r="C772" s="11" t="inlineStr">
        <is>
          <t>COBRO COMISION DEPOSITOS ELECTRONICOS</t>
        </is>
      </c>
      <c r="D772" s="11" t="inlineStr">
        <is>
          <t>ORITO</t>
        </is>
      </c>
      <c r="E772" s="11" t="inlineStr">
        <is>
          <t>00000000</t>
        </is>
      </c>
      <c r="F772" s="13" t="n">
        <v>-648</v>
      </c>
      <c r="G772" s="11" t="n">
        <v>19919565.37</v>
      </c>
    </row>
    <row r="773">
      <c r="A773" s="11" t="n">
        <v>772</v>
      </c>
      <c r="B773" s="12" t="n">
        <v>46035</v>
      </c>
      <c r="C773" s="11" t="inlineStr">
        <is>
          <t>GRAVAMEN A MOVIMIENTO FINANCIERO</t>
        </is>
      </c>
      <c r="D773" s="11" t="inlineStr">
        <is>
          <t>ORITO</t>
        </is>
      </c>
      <c r="E773" s="11" t="inlineStr">
        <is>
          <t>00000000</t>
        </is>
      </c>
      <c r="F773" s="13" t="n">
        <v>-3</v>
      </c>
      <c r="G773" s="11" t="n">
        <v>19919562.37</v>
      </c>
    </row>
    <row r="774">
      <c r="A774" s="11" t="n">
        <v>773</v>
      </c>
      <c r="B774" s="12" t="n">
        <v>46035</v>
      </c>
      <c r="C774" s="11" t="inlineStr">
        <is>
          <t>RETEFUENTE D E Y VOUCHER CREDIBANCO</t>
        </is>
      </c>
      <c r="D774" s="11" t="inlineStr">
        <is>
          <t>ORITO</t>
        </is>
      </c>
      <c r="E774" s="11" t="inlineStr">
        <is>
          <t>00000000</t>
        </is>
      </c>
      <c r="F774" s="13" t="n">
        <v>-450</v>
      </c>
      <c r="G774" s="11" t="n">
        <v>19919112.37</v>
      </c>
    </row>
    <row r="775">
      <c r="A775" s="11" t="n">
        <v>774</v>
      </c>
      <c r="B775" s="12" t="n">
        <v>46035</v>
      </c>
      <c r="C775" s="11" t="inlineStr">
        <is>
          <t>GRAVAMEN A MOVIMIENTO FINANCIERO</t>
        </is>
      </c>
      <c r="D775" s="11" t="inlineStr">
        <is>
          <t>ORITO</t>
        </is>
      </c>
      <c r="E775" s="11" t="inlineStr">
        <is>
          <t>00000000</t>
        </is>
      </c>
      <c r="F775" s="13" t="n">
        <v>-2</v>
      </c>
      <c r="G775" s="11" t="n">
        <v>19919110.37</v>
      </c>
    </row>
    <row r="776">
      <c r="A776" s="11" t="n">
        <v>775</v>
      </c>
      <c r="B776" s="12" t="n">
        <v>46035</v>
      </c>
      <c r="C776" s="11" t="inlineStr">
        <is>
          <t>CONSIGNACION CREDIBANCO D E</t>
        </is>
      </c>
      <c r="D776" s="11" t="inlineStr">
        <is>
          <t>ORITO</t>
        </is>
      </c>
      <c r="E776" s="11" t="inlineStr">
        <is>
          <t>00000000</t>
        </is>
      </c>
      <c r="F776" s="13" t="n">
        <v>45200</v>
      </c>
      <c r="G776" s="11" t="n">
        <v>19964310.37</v>
      </c>
    </row>
    <row r="777">
      <c r="A777" s="11" t="n">
        <v>776</v>
      </c>
      <c r="B777" s="12" t="n">
        <v>46035</v>
      </c>
      <c r="C777" s="11" t="inlineStr">
        <is>
          <t>COBRO COMISION DEPOSITOS ELECTRONICOS</t>
        </is>
      </c>
      <c r="D777" s="11" t="inlineStr">
        <is>
          <t>ORITO</t>
        </is>
      </c>
      <c r="E777" s="11" t="inlineStr">
        <is>
          <t>00000000</t>
        </is>
      </c>
      <c r="F777" s="13" t="n">
        <v>-976</v>
      </c>
      <c r="G777" s="11" t="n">
        <v>19963334.37</v>
      </c>
    </row>
    <row r="778">
      <c r="A778" s="11" t="n">
        <v>777</v>
      </c>
      <c r="B778" s="12" t="n">
        <v>46035</v>
      </c>
      <c r="C778" s="11" t="inlineStr">
        <is>
          <t>GRAVAMEN A MOVIMIENTO FINANCIERO</t>
        </is>
      </c>
      <c r="D778" s="11" t="inlineStr">
        <is>
          <t>ORITO</t>
        </is>
      </c>
      <c r="E778" s="11" t="inlineStr">
        <is>
          <t>00000000</t>
        </is>
      </c>
      <c r="F778" s="13" t="n">
        <v>-4</v>
      </c>
      <c r="G778" s="11" t="n">
        <v>19963330.37</v>
      </c>
    </row>
    <row r="779">
      <c r="A779" s="11" t="n">
        <v>778</v>
      </c>
      <c r="B779" s="12" t="n">
        <v>46035</v>
      </c>
      <c r="C779" s="11" t="inlineStr">
        <is>
          <t>RETEFUENTE D E Y VOUCHER CREDIBANCO</t>
        </is>
      </c>
      <c r="D779" s="11" t="inlineStr">
        <is>
          <t>ORITO</t>
        </is>
      </c>
      <c r="E779" s="11" t="inlineStr">
        <is>
          <t>00000000</t>
        </is>
      </c>
      <c r="F779" s="13" t="n">
        <v>-678</v>
      </c>
      <c r="G779" s="11" t="n">
        <v>19962652.37</v>
      </c>
    </row>
    <row r="780">
      <c r="A780" s="11" t="n">
        <v>779</v>
      </c>
      <c r="B780" s="12" t="n">
        <v>46035</v>
      </c>
      <c r="C780" s="11" t="inlineStr">
        <is>
          <t>GRAVAMEN A MOVIMIENTO FINANCIERO</t>
        </is>
      </c>
      <c r="D780" s="11" t="inlineStr">
        <is>
          <t>ORITO</t>
        </is>
      </c>
      <c r="E780" s="11" t="inlineStr">
        <is>
          <t>00000000</t>
        </is>
      </c>
      <c r="F780" s="13" t="n">
        <v>-3</v>
      </c>
      <c r="G780" s="11" t="n">
        <v>19962649.37</v>
      </c>
    </row>
    <row r="781">
      <c r="A781" s="11" t="n">
        <v>780</v>
      </c>
      <c r="B781" s="12" t="n">
        <v>46035</v>
      </c>
      <c r="C781" s="11" t="inlineStr">
        <is>
          <t>CONSIGNACION CREDIBANCO D E</t>
        </is>
      </c>
      <c r="D781" s="11" t="inlineStr">
        <is>
          <t>ORITO</t>
        </is>
      </c>
      <c r="E781" s="11" t="inlineStr">
        <is>
          <t>00000000</t>
        </is>
      </c>
      <c r="F781" s="13" t="n">
        <v>47200</v>
      </c>
      <c r="G781" s="11" t="n">
        <v>20009849.37</v>
      </c>
    </row>
    <row r="782">
      <c r="A782" s="11" t="n">
        <v>781</v>
      </c>
      <c r="B782" s="12" t="n">
        <v>46035</v>
      </c>
      <c r="C782" s="11" t="inlineStr">
        <is>
          <t>COBRO COMISION DEPOSITOS ELECTRONICOS</t>
        </is>
      </c>
      <c r="D782" s="11" t="inlineStr">
        <is>
          <t>ORITO</t>
        </is>
      </c>
      <c r="E782" s="11" t="inlineStr">
        <is>
          <t>00000000</t>
        </is>
      </c>
      <c r="F782" s="13" t="n">
        <v>-1034</v>
      </c>
      <c r="G782" s="11" t="n">
        <v>20008815.37</v>
      </c>
    </row>
    <row r="783">
      <c r="A783" s="11" t="n">
        <v>782</v>
      </c>
      <c r="B783" s="12" t="n">
        <v>46035</v>
      </c>
      <c r="C783" s="11" t="inlineStr">
        <is>
          <t>GRAVAMEN A MOVIMIENTO FINANCIERO</t>
        </is>
      </c>
      <c r="D783" s="11" t="inlineStr">
        <is>
          <t>ORITO</t>
        </is>
      </c>
      <c r="E783" s="11" t="inlineStr">
        <is>
          <t>00000000</t>
        </is>
      </c>
      <c r="F783" s="13" t="n">
        <v>-4</v>
      </c>
      <c r="G783" s="11" t="n">
        <v>20008811.37</v>
      </c>
    </row>
    <row r="784">
      <c r="A784" s="11" t="n">
        <v>783</v>
      </c>
      <c r="B784" s="12" t="n">
        <v>46035</v>
      </c>
      <c r="C784" s="11" t="inlineStr">
        <is>
          <t>RETEFUENTE D E Y VOUCHER CREDIBANCO</t>
        </is>
      </c>
      <c r="D784" s="11" t="inlineStr">
        <is>
          <t>ORITO</t>
        </is>
      </c>
      <c r="E784" s="11" t="inlineStr">
        <is>
          <t>00000000</t>
        </is>
      </c>
      <c r="F784" s="13" t="n">
        <v>-708</v>
      </c>
      <c r="G784" s="11" t="n">
        <v>20008103.37</v>
      </c>
    </row>
    <row r="785">
      <c r="A785" s="11" t="n">
        <v>784</v>
      </c>
      <c r="B785" s="12" t="n">
        <v>46035</v>
      </c>
      <c r="C785" s="11" t="inlineStr">
        <is>
          <t>GRAVAMEN A MOVIMIENTO FINANCIERO</t>
        </is>
      </c>
      <c r="D785" s="11" t="inlineStr">
        <is>
          <t>ORITO</t>
        </is>
      </c>
      <c r="E785" s="11" t="inlineStr">
        <is>
          <t>00000000</t>
        </is>
      </c>
      <c r="F785" s="13" t="n">
        <v>-3</v>
      </c>
      <c r="G785" s="11" t="n">
        <v>20008100.37</v>
      </c>
    </row>
    <row r="786">
      <c r="A786" s="11" t="n">
        <v>785</v>
      </c>
      <c r="B786" s="12" t="n">
        <v>46035</v>
      </c>
      <c r="C786" s="11" t="inlineStr">
        <is>
          <t>CONSIGNACION CREDIBANCO D E</t>
        </is>
      </c>
      <c r="D786" s="11" t="inlineStr">
        <is>
          <t>ORITO</t>
        </is>
      </c>
      <c r="E786" s="11" t="inlineStr">
        <is>
          <t>00000000</t>
        </is>
      </c>
      <c r="F786" s="13" t="n">
        <v>37500</v>
      </c>
      <c r="G786" s="11" t="n">
        <v>20045600.37</v>
      </c>
    </row>
    <row r="787">
      <c r="A787" s="11" t="n">
        <v>786</v>
      </c>
      <c r="B787" s="12" t="n">
        <v>46035</v>
      </c>
      <c r="C787" s="11" t="inlineStr">
        <is>
          <t>COBRO COMISION DEPOSITOS ELECTRONICOS</t>
        </is>
      </c>
      <c r="D787" s="11" t="inlineStr">
        <is>
          <t>ORITO</t>
        </is>
      </c>
      <c r="E787" s="11" t="inlineStr">
        <is>
          <t>00000000</t>
        </is>
      </c>
      <c r="F787" s="13" t="n">
        <v>-821</v>
      </c>
      <c r="G787" s="11" t="n">
        <v>20044779.37</v>
      </c>
    </row>
    <row r="788">
      <c r="A788" s="11" t="n">
        <v>787</v>
      </c>
      <c r="B788" s="12" t="n">
        <v>46035</v>
      </c>
      <c r="C788" s="11" t="inlineStr">
        <is>
          <t>GRAVAMEN A MOVIMIENTO FINANCIERO</t>
        </is>
      </c>
      <c r="D788" s="11" t="inlineStr">
        <is>
          <t>ORITO</t>
        </is>
      </c>
      <c r="E788" s="11" t="inlineStr">
        <is>
          <t>00000000</t>
        </is>
      </c>
      <c r="F788" s="13" t="n">
        <v>-3</v>
      </c>
      <c r="G788" s="11" t="n">
        <v>20044776.37</v>
      </c>
    </row>
    <row r="789">
      <c r="A789" s="11" t="n">
        <v>788</v>
      </c>
      <c r="B789" s="12" t="n">
        <v>46035</v>
      </c>
      <c r="C789" s="11" t="inlineStr">
        <is>
          <t>RETEFUENTE D E Y VOUCHER CREDIBANCO</t>
        </is>
      </c>
      <c r="D789" s="11" t="inlineStr">
        <is>
          <t>ORITO</t>
        </is>
      </c>
      <c r="E789" s="11" t="inlineStr">
        <is>
          <t>00000000</t>
        </is>
      </c>
      <c r="F789" s="13" t="n">
        <v>-563</v>
      </c>
      <c r="G789" s="11" t="n">
        <v>20044213.37</v>
      </c>
    </row>
    <row r="790">
      <c r="A790" s="11" t="n">
        <v>789</v>
      </c>
      <c r="B790" s="12" t="n">
        <v>46035</v>
      </c>
      <c r="C790" s="11" t="inlineStr">
        <is>
          <t>GRAVAMEN A MOVIMIENTO FINANCIERO</t>
        </is>
      </c>
      <c r="D790" s="11" t="inlineStr">
        <is>
          <t>ORITO</t>
        </is>
      </c>
      <c r="E790" s="11" t="inlineStr">
        <is>
          <t>00000000</t>
        </is>
      </c>
      <c r="F790" s="13" t="n">
        <v>-2</v>
      </c>
      <c r="G790" s="11" t="n">
        <v>20044211.37</v>
      </c>
    </row>
    <row r="791">
      <c r="A791" s="11" t="n">
        <v>790</v>
      </c>
      <c r="B791" s="12" t="n">
        <v>46035</v>
      </c>
      <c r="C791" s="11" t="inlineStr">
        <is>
          <t>CONSIGNACION CREDIBANCO D E</t>
        </is>
      </c>
      <c r="D791" s="11" t="inlineStr">
        <is>
          <t>ORITO</t>
        </is>
      </c>
      <c r="E791" s="11" t="inlineStr">
        <is>
          <t>00000000</t>
        </is>
      </c>
      <c r="F791" s="13" t="n">
        <v>20300</v>
      </c>
      <c r="G791" s="11" t="n">
        <v>20064511.37</v>
      </c>
    </row>
    <row r="792">
      <c r="A792" s="11" t="n">
        <v>791</v>
      </c>
      <c r="B792" s="12" t="n">
        <v>46035</v>
      </c>
      <c r="C792" s="11" t="inlineStr">
        <is>
          <t>COBRO COMISION DEPOSITOS ELECTRONICOS</t>
        </is>
      </c>
      <c r="D792" s="11" t="inlineStr">
        <is>
          <t>ORITO</t>
        </is>
      </c>
      <c r="E792" s="11" t="inlineStr">
        <is>
          <t>00000000</t>
        </is>
      </c>
      <c r="F792" s="13" t="n">
        <v>-438</v>
      </c>
      <c r="G792" s="11" t="n">
        <v>20064073.37</v>
      </c>
    </row>
    <row r="793">
      <c r="A793" s="11" t="n">
        <v>792</v>
      </c>
      <c r="B793" s="12" t="n">
        <v>46035</v>
      </c>
      <c r="C793" s="11" t="inlineStr">
        <is>
          <t>GRAVAMEN A MOVIMIENTO FINANCIERO</t>
        </is>
      </c>
      <c r="D793" s="11" t="inlineStr">
        <is>
          <t>ORITO</t>
        </is>
      </c>
      <c r="E793" s="11" t="inlineStr">
        <is>
          <t>00000000</t>
        </is>
      </c>
      <c r="F793" s="13" t="n">
        <v>-2</v>
      </c>
      <c r="G793" s="11" t="n">
        <v>20064071.37</v>
      </c>
    </row>
    <row r="794">
      <c r="A794" s="11" t="n">
        <v>793</v>
      </c>
      <c r="B794" s="12" t="n">
        <v>46035</v>
      </c>
      <c r="C794" s="11" t="inlineStr">
        <is>
          <t>RETEFUENTE D E Y VOUCHER CREDIBANCO</t>
        </is>
      </c>
      <c r="D794" s="11" t="inlineStr">
        <is>
          <t>ORITO</t>
        </is>
      </c>
      <c r="E794" s="11" t="inlineStr">
        <is>
          <t>00000000</t>
        </is>
      </c>
      <c r="F794" s="13" t="n">
        <v>-305</v>
      </c>
      <c r="G794" s="11" t="n">
        <v>20063766.37</v>
      </c>
    </row>
    <row r="795">
      <c r="A795" s="11" t="n">
        <v>794</v>
      </c>
      <c r="B795" s="12" t="n">
        <v>46035</v>
      </c>
      <c r="C795" s="11" t="inlineStr">
        <is>
          <t>GRAVAMEN A MOVIMIENTO FINANCIERO</t>
        </is>
      </c>
      <c r="D795" s="11" t="inlineStr">
        <is>
          <t>ORITO</t>
        </is>
      </c>
      <c r="E795" s="11" t="inlineStr">
        <is>
          <t>00000000</t>
        </is>
      </c>
      <c r="F795" s="13" t="n">
        <v>-1</v>
      </c>
      <c r="G795" s="11" t="n">
        <v>20063765.37</v>
      </c>
    </row>
    <row r="796">
      <c r="A796" s="11" t="n">
        <v>795</v>
      </c>
      <c r="B796" s="12" t="n">
        <v>46035</v>
      </c>
      <c r="C796" s="11" t="inlineStr">
        <is>
          <t>DEPOSITOS ELECTRONICOS TRANSACCION MASTERCA</t>
        </is>
      </c>
      <c r="D796" s="11" t="inlineStr">
        <is>
          <t>ORITO</t>
        </is>
      </c>
      <c r="E796" s="11" t="inlineStr">
        <is>
          <t>00000000</t>
        </is>
      </c>
      <c r="F796" s="13" t="n">
        <v>27900</v>
      </c>
      <c r="G796" s="11" t="n">
        <v>20091665.37</v>
      </c>
    </row>
    <row r="797">
      <c r="A797" s="11" t="n">
        <v>796</v>
      </c>
      <c r="B797" s="12" t="n">
        <v>46035</v>
      </c>
      <c r="C797" s="11" t="inlineStr">
        <is>
          <t>COMISION DEPOSITOS ELECTRONICOS MASTERCARD</t>
        </is>
      </c>
      <c r="D797" s="11" t="inlineStr">
        <is>
          <t>ORITO</t>
        </is>
      </c>
      <c r="E797" s="11" t="inlineStr">
        <is>
          <t>00000000</t>
        </is>
      </c>
      <c r="F797" s="13" t="n">
        <v>-530</v>
      </c>
      <c r="G797" s="11" t="n">
        <v>20091135.37</v>
      </c>
    </row>
    <row r="798">
      <c r="A798" s="11" t="n">
        <v>797</v>
      </c>
      <c r="B798" s="12" t="n">
        <v>46035</v>
      </c>
      <c r="C798" s="11" t="inlineStr">
        <is>
          <t>GRAVAMEN A MOVIMIENTO FINANCIERO</t>
        </is>
      </c>
      <c r="D798" s="11" t="inlineStr">
        <is>
          <t>ORITO</t>
        </is>
      </c>
      <c r="E798" s="11" t="inlineStr">
        <is>
          <t>00000000</t>
        </is>
      </c>
      <c r="F798" s="13" t="n">
        <v>-2</v>
      </c>
      <c r="G798" s="11" t="n">
        <v>20091133.37</v>
      </c>
    </row>
    <row r="799">
      <c r="A799" s="11" t="n">
        <v>798</v>
      </c>
      <c r="B799" s="12" t="n">
        <v>46035</v>
      </c>
      <c r="C799" s="11" t="inlineStr">
        <is>
          <t>RETEFUENTE DEPOSITOS ELECTRONICOS MASTERCAR</t>
        </is>
      </c>
      <c r="D799" s="11" t="inlineStr">
        <is>
          <t>ORITO</t>
        </is>
      </c>
      <c r="E799" s="11" t="inlineStr">
        <is>
          <t>00000000</t>
        </is>
      </c>
      <c r="F799" s="13" t="n">
        <v>-419</v>
      </c>
      <c r="G799" s="11" t="n">
        <v>20090714.37</v>
      </c>
    </row>
    <row r="800">
      <c r="A800" s="11" t="n">
        <v>799</v>
      </c>
      <c r="B800" s="12" t="n">
        <v>46035</v>
      </c>
      <c r="C800" s="11" t="inlineStr">
        <is>
          <t>GRAVAMEN A MOVIMIENTO FINANCIERO</t>
        </is>
      </c>
      <c r="D800" s="11" t="inlineStr">
        <is>
          <t>ORITO</t>
        </is>
      </c>
      <c r="E800" s="11" t="inlineStr">
        <is>
          <t>00000000</t>
        </is>
      </c>
      <c r="F800" s="13" t="n">
        <v>-2</v>
      </c>
      <c r="G800" s="11" t="n">
        <v>20090712.37</v>
      </c>
    </row>
    <row r="801">
      <c r="A801" s="11" t="n">
        <v>800</v>
      </c>
      <c r="B801" s="12" t="n">
        <v>46035</v>
      </c>
      <c r="C801" s="11" t="inlineStr">
        <is>
          <t>DEPOSITOS ELECTRONICOS TRANSACCION MASTERCA</t>
        </is>
      </c>
      <c r="D801" s="11" t="inlineStr">
        <is>
          <t>ORITO</t>
        </is>
      </c>
      <c r="E801" s="11" t="inlineStr">
        <is>
          <t>00000000</t>
        </is>
      </c>
      <c r="F801" s="13" t="n">
        <v>30000</v>
      </c>
      <c r="G801" s="11" t="n">
        <v>20120712.37</v>
      </c>
    </row>
    <row r="802">
      <c r="A802" s="11" t="n">
        <v>801</v>
      </c>
      <c r="B802" s="12" t="n">
        <v>46035</v>
      </c>
      <c r="C802" s="11" t="inlineStr">
        <is>
          <t>COMISION DEPOSITOS ELECTRONICOS MASTERCARD</t>
        </is>
      </c>
      <c r="D802" s="11" t="inlineStr">
        <is>
          <t>ORITO</t>
        </is>
      </c>
      <c r="E802" s="11" t="inlineStr">
        <is>
          <t>00000000</t>
        </is>
      </c>
      <c r="F802" s="13" t="n">
        <v>-570</v>
      </c>
      <c r="G802" s="11" t="n">
        <v>20120142.37</v>
      </c>
    </row>
    <row r="803">
      <c r="A803" s="11" t="n">
        <v>802</v>
      </c>
      <c r="B803" s="12" t="n">
        <v>46035</v>
      </c>
      <c r="C803" s="11" t="inlineStr">
        <is>
          <t>GRAVAMEN A MOVIMIENTO FINANCIERO</t>
        </is>
      </c>
      <c r="D803" s="11" t="inlineStr">
        <is>
          <t>ORITO</t>
        </is>
      </c>
      <c r="E803" s="11" t="inlineStr">
        <is>
          <t>00000000</t>
        </is>
      </c>
      <c r="F803" s="13" t="n">
        <v>-2</v>
      </c>
      <c r="G803" s="11" t="n">
        <v>20120140.37</v>
      </c>
    </row>
    <row r="804">
      <c r="A804" s="11" t="n">
        <v>803</v>
      </c>
      <c r="B804" s="12" t="n">
        <v>46035</v>
      </c>
      <c r="C804" s="11" t="inlineStr">
        <is>
          <t>RETEFUENTE DEPOSITOS ELECTRONICOS MASTERCAR</t>
        </is>
      </c>
      <c r="D804" s="11" t="inlineStr">
        <is>
          <t>ORITO</t>
        </is>
      </c>
      <c r="E804" s="11" t="inlineStr">
        <is>
          <t>00000000</t>
        </is>
      </c>
      <c r="F804" s="13" t="n">
        <v>-450</v>
      </c>
      <c r="G804" s="11" t="n">
        <v>20119690.37</v>
      </c>
    </row>
    <row r="805">
      <c r="A805" s="11" t="n">
        <v>804</v>
      </c>
      <c r="B805" s="12" t="n">
        <v>46035</v>
      </c>
      <c r="C805" s="11" t="inlineStr">
        <is>
          <t>GRAVAMEN A MOVIMIENTO FINANCIERO</t>
        </is>
      </c>
      <c r="D805" s="11" t="inlineStr">
        <is>
          <t>ORITO</t>
        </is>
      </c>
      <c r="E805" s="11" t="inlineStr">
        <is>
          <t>00000000</t>
        </is>
      </c>
      <c r="F805" s="13" t="n">
        <v>-2</v>
      </c>
      <c r="G805" s="11" t="n">
        <v>20119688.37</v>
      </c>
    </row>
    <row r="806">
      <c r="A806" s="11" t="n">
        <v>805</v>
      </c>
      <c r="B806" s="12" t="n">
        <v>46035</v>
      </c>
      <c r="C806" s="11" t="inlineStr">
        <is>
          <t>DEPOSITOS ELECTRONICOS TRANSACCION MASTERCA</t>
        </is>
      </c>
      <c r="D806" s="11" t="inlineStr">
        <is>
          <t>ORITO</t>
        </is>
      </c>
      <c r="E806" s="11" t="inlineStr">
        <is>
          <t>00000000</t>
        </is>
      </c>
      <c r="F806" s="13" t="n">
        <v>141450</v>
      </c>
      <c r="G806" s="11" t="n">
        <v>20261138.37</v>
      </c>
    </row>
    <row r="807">
      <c r="A807" s="11" t="n">
        <v>806</v>
      </c>
      <c r="B807" s="12" t="n">
        <v>46035</v>
      </c>
      <c r="C807" s="11" t="inlineStr">
        <is>
          <t>COMISION DEPOSITOS ELECTRONICOS MASTERCARD</t>
        </is>
      </c>
      <c r="D807" s="11" t="inlineStr">
        <is>
          <t>ORITO</t>
        </is>
      </c>
      <c r="E807" s="11" t="inlineStr">
        <is>
          <t>00000000</t>
        </is>
      </c>
      <c r="F807" s="13" t="n">
        <v>-3324</v>
      </c>
      <c r="G807" s="11" t="n">
        <v>20257814.37</v>
      </c>
    </row>
    <row r="808">
      <c r="A808" s="11" t="n">
        <v>807</v>
      </c>
      <c r="B808" s="12" t="n">
        <v>46035</v>
      </c>
      <c r="C808" s="11" t="inlineStr">
        <is>
          <t>GRAVAMEN A MOVIMIENTO FINANCIERO</t>
        </is>
      </c>
      <c r="D808" s="11" t="inlineStr">
        <is>
          <t>ORITO</t>
        </is>
      </c>
      <c r="E808" s="11" t="inlineStr">
        <is>
          <t>00000000</t>
        </is>
      </c>
      <c r="F808" s="13" t="n">
        <v>-13</v>
      </c>
      <c r="G808" s="11" t="n">
        <v>20257801.37</v>
      </c>
    </row>
    <row r="809">
      <c r="A809" s="11" t="n">
        <v>808</v>
      </c>
      <c r="B809" s="12" t="n">
        <v>46035</v>
      </c>
      <c r="C809" s="11" t="inlineStr">
        <is>
          <t>RETEFUENTE DEPOSITOS ELECTRONICOS MASTERCAR</t>
        </is>
      </c>
      <c r="D809" s="11" t="inlineStr">
        <is>
          <t>ORITO</t>
        </is>
      </c>
      <c r="E809" s="11" t="inlineStr">
        <is>
          <t>00000000</t>
        </is>
      </c>
      <c r="F809" s="13" t="n">
        <v>-2122</v>
      </c>
      <c r="G809" s="11" t="n">
        <v>20255679.37</v>
      </c>
    </row>
    <row r="810">
      <c r="A810" s="11" t="n">
        <v>809</v>
      </c>
      <c r="B810" s="12" t="n">
        <v>46035</v>
      </c>
      <c r="C810" s="11" t="inlineStr">
        <is>
          <t>GRAVAMEN A MOVIMIENTO FINANCIERO</t>
        </is>
      </c>
      <c r="D810" s="11" t="inlineStr">
        <is>
          <t>ORITO</t>
        </is>
      </c>
      <c r="E810" s="11" t="inlineStr">
        <is>
          <t>00000000</t>
        </is>
      </c>
      <c r="F810" s="13" t="n">
        <v>-8</v>
      </c>
      <c r="G810" s="11" t="n">
        <v>20255671.37</v>
      </c>
    </row>
    <row r="811">
      <c r="A811" s="11" t="n">
        <v>810</v>
      </c>
      <c r="B811" s="12" t="n">
        <v>46035</v>
      </c>
      <c r="C811" s="11" t="inlineStr">
        <is>
          <t>DEPOSITOS ELECTRONICOS TRANSACCION MASTERCA</t>
        </is>
      </c>
      <c r="D811" s="11" t="inlineStr">
        <is>
          <t>ORITO</t>
        </is>
      </c>
      <c r="E811" s="11" t="inlineStr">
        <is>
          <t>00000000</t>
        </is>
      </c>
      <c r="F811" s="13" t="n">
        <v>90500</v>
      </c>
      <c r="G811" s="11" t="n">
        <v>20346171.37</v>
      </c>
    </row>
    <row r="812">
      <c r="A812" s="11" t="n">
        <v>811</v>
      </c>
      <c r="B812" s="12" t="n">
        <v>46035</v>
      </c>
      <c r="C812" s="11" t="inlineStr">
        <is>
          <t>COMISION DEPOSITOS ELECTRONICOS MASTERCARD</t>
        </is>
      </c>
      <c r="D812" s="11" t="inlineStr">
        <is>
          <t>ORITO</t>
        </is>
      </c>
      <c r="E812" s="11" t="inlineStr">
        <is>
          <t>00000000</t>
        </is>
      </c>
      <c r="F812" s="13" t="n">
        <v>-1720</v>
      </c>
      <c r="G812" s="11" t="n">
        <v>20344451.37</v>
      </c>
    </row>
    <row r="813">
      <c r="A813" s="11" t="n">
        <v>812</v>
      </c>
      <c r="B813" s="12" t="n">
        <v>46035</v>
      </c>
      <c r="C813" s="11" t="inlineStr">
        <is>
          <t>GRAVAMEN A MOVIMIENTO FINANCIERO</t>
        </is>
      </c>
      <c r="D813" s="11" t="inlineStr">
        <is>
          <t>ORITO</t>
        </is>
      </c>
      <c r="E813" s="11" t="inlineStr">
        <is>
          <t>00000000</t>
        </is>
      </c>
      <c r="F813" s="13" t="n">
        <v>-7</v>
      </c>
      <c r="G813" s="11" t="n">
        <v>20344444.37</v>
      </c>
    </row>
    <row r="814">
      <c r="A814" s="11" t="n">
        <v>813</v>
      </c>
      <c r="B814" s="12" t="n">
        <v>46035</v>
      </c>
      <c r="C814" s="11" t="inlineStr">
        <is>
          <t>RETEFUENTE DEPOSITOS ELECTRONICOS MASTERCAR</t>
        </is>
      </c>
      <c r="D814" s="11" t="inlineStr">
        <is>
          <t>ORITO</t>
        </is>
      </c>
      <c r="E814" s="11" t="inlineStr">
        <is>
          <t>00000000</t>
        </is>
      </c>
      <c r="F814" s="13" t="n">
        <v>-1358</v>
      </c>
      <c r="G814" s="11" t="n">
        <v>20343086.37</v>
      </c>
    </row>
    <row r="815">
      <c r="A815" s="11" t="n">
        <v>814</v>
      </c>
      <c r="B815" s="12" t="n">
        <v>46035</v>
      </c>
      <c r="C815" s="11" t="inlineStr">
        <is>
          <t>GRAVAMEN A MOVIMIENTO FINANCIERO</t>
        </is>
      </c>
      <c r="D815" s="11" t="inlineStr">
        <is>
          <t>ORITO</t>
        </is>
      </c>
      <c r="E815" s="11" t="inlineStr">
        <is>
          <t>00000000</t>
        </is>
      </c>
      <c r="F815" s="13" t="n">
        <v>-5</v>
      </c>
      <c r="G815" s="11" t="n">
        <v>20343081.37</v>
      </c>
    </row>
    <row r="816">
      <c r="A816" s="11" t="n">
        <v>815</v>
      </c>
      <c r="B816" s="12" t="n">
        <v>46035</v>
      </c>
      <c r="C816" s="11" t="inlineStr">
        <is>
          <t>DEPOSITOS ELECTRONICOS TRANSACCION MASTERCA</t>
        </is>
      </c>
      <c r="D816" s="11" t="inlineStr">
        <is>
          <t>ORITO</t>
        </is>
      </c>
      <c r="E816" s="11" t="inlineStr">
        <is>
          <t>00000000</t>
        </is>
      </c>
      <c r="F816" s="13" t="n">
        <v>92200</v>
      </c>
      <c r="G816" s="11" t="n">
        <v>20435281.37</v>
      </c>
    </row>
    <row r="817">
      <c r="A817" s="11" t="n">
        <v>816</v>
      </c>
      <c r="B817" s="12" t="n">
        <v>46035</v>
      </c>
      <c r="C817" s="11" t="inlineStr">
        <is>
          <t>COMISION DEPOSITOS ELECTRONICOS MASTERCARD</t>
        </is>
      </c>
      <c r="D817" s="11" t="inlineStr">
        <is>
          <t>ORITO</t>
        </is>
      </c>
      <c r="E817" s="11" t="inlineStr">
        <is>
          <t>00000000</t>
        </is>
      </c>
      <c r="F817" s="13" t="n">
        <v>-1752</v>
      </c>
      <c r="G817" s="11" t="n">
        <v>20433529.37</v>
      </c>
    </row>
    <row r="818">
      <c r="A818" s="11" t="n">
        <v>817</v>
      </c>
      <c r="B818" s="12" t="n">
        <v>46035</v>
      </c>
      <c r="C818" s="11" t="inlineStr">
        <is>
          <t>GRAVAMEN A MOVIMIENTO FINANCIERO</t>
        </is>
      </c>
      <c r="D818" s="11" t="inlineStr">
        <is>
          <t>ORITO</t>
        </is>
      </c>
      <c r="E818" s="11" t="inlineStr">
        <is>
          <t>00000000</t>
        </is>
      </c>
      <c r="F818" s="13" t="n">
        <v>-7</v>
      </c>
      <c r="G818" s="11" t="n">
        <v>20433522.37</v>
      </c>
    </row>
    <row r="819">
      <c r="A819" s="11" t="n">
        <v>818</v>
      </c>
      <c r="B819" s="12" t="n">
        <v>46035</v>
      </c>
      <c r="C819" s="11" t="inlineStr">
        <is>
          <t>RETEFUENTE DEPOSITOS ELECTRONICOS MASTERCAR</t>
        </is>
      </c>
      <c r="D819" s="11" t="inlineStr">
        <is>
          <t>ORITO</t>
        </is>
      </c>
      <c r="E819" s="11" t="inlineStr">
        <is>
          <t>00000000</t>
        </is>
      </c>
      <c r="F819" s="13" t="n">
        <v>-1383</v>
      </c>
      <c r="G819" s="11" t="n">
        <v>20432139.37</v>
      </c>
    </row>
    <row r="820">
      <c r="A820" s="11" t="n">
        <v>819</v>
      </c>
      <c r="B820" s="12" t="n">
        <v>46035</v>
      </c>
      <c r="C820" s="11" t="inlineStr">
        <is>
          <t>GRAVAMEN A MOVIMIENTO FINANCIERO</t>
        </is>
      </c>
      <c r="D820" s="11" t="inlineStr">
        <is>
          <t>ORITO</t>
        </is>
      </c>
      <c r="E820" s="11" t="inlineStr">
        <is>
          <t>00000000</t>
        </is>
      </c>
      <c r="F820" s="13" t="n">
        <v>-6</v>
      </c>
      <c r="G820" s="11" t="n">
        <v>20432133.37</v>
      </c>
    </row>
    <row r="821">
      <c r="A821" s="11" t="n">
        <v>820</v>
      </c>
      <c r="B821" s="12" t="n">
        <v>46035</v>
      </c>
      <c r="C821" s="11" t="inlineStr">
        <is>
          <t>DEPOSITOS ELECTRONICOS TRANSACCION MASTERCA</t>
        </is>
      </c>
      <c r="D821" s="11" t="inlineStr">
        <is>
          <t>ORITO</t>
        </is>
      </c>
      <c r="E821" s="11" t="inlineStr">
        <is>
          <t>00000000</t>
        </is>
      </c>
      <c r="F821" s="13" t="n">
        <v>109700</v>
      </c>
      <c r="G821" s="11" t="n">
        <v>20541833.37</v>
      </c>
    </row>
    <row r="822">
      <c r="A822" s="11" t="n">
        <v>821</v>
      </c>
      <c r="B822" s="12" t="n">
        <v>46035</v>
      </c>
      <c r="C822" s="11" t="inlineStr">
        <is>
          <t>COMISION DEPOSITOS ELECTRONICOS MASTERCARD</t>
        </is>
      </c>
      <c r="D822" s="11" t="inlineStr">
        <is>
          <t>ORITO</t>
        </is>
      </c>
      <c r="E822" s="11" t="inlineStr">
        <is>
          <t>00000000</t>
        </is>
      </c>
      <c r="F822" s="13" t="n">
        <v>-2084</v>
      </c>
      <c r="G822" s="11" t="n">
        <v>20539749.37</v>
      </c>
    </row>
    <row r="823">
      <c r="A823" s="11" t="n">
        <v>822</v>
      </c>
      <c r="B823" s="12" t="n">
        <v>46035</v>
      </c>
      <c r="C823" s="11" t="inlineStr">
        <is>
          <t>GRAVAMEN A MOVIMIENTO FINANCIERO</t>
        </is>
      </c>
      <c r="D823" s="11" t="inlineStr">
        <is>
          <t>ORITO</t>
        </is>
      </c>
      <c r="E823" s="11" t="inlineStr">
        <is>
          <t>00000000</t>
        </is>
      </c>
      <c r="F823" s="13" t="n">
        <v>-8</v>
      </c>
      <c r="G823" s="11" t="n">
        <v>20539741.37</v>
      </c>
    </row>
    <row r="824">
      <c r="A824" s="11" t="n">
        <v>823</v>
      </c>
      <c r="B824" s="12" t="n">
        <v>46035</v>
      </c>
      <c r="C824" s="11" t="inlineStr">
        <is>
          <t>RETEFUENTE DEPOSITOS ELECTRONICOS MASTERCAR</t>
        </is>
      </c>
      <c r="D824" s="11" t="inlineStr">
        <is>
          <t>ORITO</t>
        </is>
      </c>
      <c r="E824" s="11" t="inlineStr">
        <is>
          <t>00000000</t>
        </is>
      </c>
      <c r="F824" s="13" t="n">
        <v>-1646</v>
      </c>
      <c r="G824" s="11" t="n">
        <v>20538095.37</v>
      </c>
    </row>
    <row r="825">
      <c r="A825" s="11" t="n">
        <v>824</v>
      </c>
      <c r="B825" s="12" t="n">
        <v>46035</v>
      </c>
      <c r="C825" s="11" t="inlineStr">
        <is>
          <t>GRAVAMEN A MOVIMIENTO FINANCIERO</t>
        </is>
      </c>
      <c r="D825" s="11" t="inlineStr">
        <is>
          <t>ORITO</t>
        </is>
      </c>
      <c r="E825" s="11" t="inlineStr">
        <is>
          <t>00000000</t>
        </is>
      </c>
      <c r="F825" s="13" t="n">
        <v>-7</v>
      </c>
      <c r="G825" s="11" t="n">
        <v>20538088.37</v>
      </c>
    </row>
    <row r="826">
      <c r="A826" s="11" t="n">
        <v>825</v>
      </c>
      <c r="B826" s="12" t="n">
        <v>46035</v>
      </c>
      <c r="C826" s="11" t="inlineStr">
        <is>
          <t>DEPOSITOS ELECTRONICOS TRANSACCION MASTERCA</t>
        </is>
      </c>
      <c r="D826" s="11" t="inlineStr">
        <is>
          <t>ORITO</t>
        </is>
      </c>
      <c r="E826" s="11" t="inlineStr">
        <is>
          <t>00000000</t>
        </is>
      </c>
      <c r="F826" s="13" t="n">
        <v>91500</v>
      </c>
      <c r="G826" s="11" t="n">
        <v>20629588.37</v>
      </c>
    </row>
    <row r="827">
      <c r="A827" s="11" t="n">
        <v>826</v>
      </c>
      <c r="B827" s="12" t="n">
        <v>46035</v>
      </c>
      <c r="C827" s="11" t="inlineStr">
        <is>
          <t>COMISION DEPOSITOS ELECTRONICOS MASTERCARD</t>
        </is>
      </c>
      <c r="D827" s="11" t="inlineStr">
        <is>
          <t>ORITO</t>
        </is>
      </c>
      <c r="E827" s="11" t="inlineStr">
        <is>
          <t>00000000</t>
        </is>
      </c>
      <c r="F827" s="13" t="n">
        <v>-1739</v>
      </c>
      <c r="G827" s="11" t="n">
        <v>20627849.37</v>
      </c>
    </row>
    <row r="828">
      <c r="A828" s="11" t="n">
        <v>827</v>
      </c>
      <c r="B828" s="12" t="n">
        <v>46035</v>
      </c>
      <c r="C828" s="11" t="inlineStr">
        <is>
          <t>GRAVAMEN A MOVIMIENTO FINANCIERO</t>
        </is>
      </c>
      <c r="D828" s="11" t="inlineStr">
        <is>
          <t>ORITO</t>
        </is>
      </c>
      <c r="E828" s="11" t="inlineStr">
        <is>
          <t>00000000</t>
        </is>
      </c>
      <c r="F828" s="13" t="n">
        <v>-7</v>
      </c>
      <c r="G828" s="11" t="n">
        <v>20627842.37</v>
      </c>
    </row>
    <row r="829">
      <c r="A829" s="11" t="n">
        <v>828</v>
      </c>
      <c r="B829" s="12" t="n">
        <v>46035</v>
      </c>
      <c r="C829" s="11" t="inlineStr">
        <is>
          <t>RETEFUENTE DEPOSITOS ELECTRONICOS MASTERCAR</t>
        </is>
      </c>
      <c r="D829" s="11" t="inlineStr">
        <is>
          <t>ORITO</t>
        </is>
      </c>
      <c r="E829" s="11" t="inlineStr">
        <is>
          <t>00000000</t>
        </is>
      </c>
      <c r="F829" s="13" t="n">
        <v>-1373</v>
      </c>
      <c r="G829" s="11" t="n">
        <v>20626469.37</v>
      </c>
    </row>
    <row r="830">
      <c r="A830" s="11" t="n">
        <v>829</v>
      </c>
      <c r="B830" s="12" t="n">
        <v>46035</v>
      </c>
      <c r="C830" s="11" t="inlineStr">
        <is>
          <t>GRAVAMEN A MOVIMIENTO FINANCIERO</t>
        </is>
      </c>
      <c r="D830" s="11" t="inlineStr">
        <is>
          <t>ORITO</t>
        </is>
      </c>
      <c r="E830" s="11" t="inlineStr">
        <is>
          <t>00000000</t>
        </is>
      </c>
      <c r="F830" s="13" t="n">
        <v>-5</v>
      </c>
      <c r="G830" s="11" t="n">
        <v>20626464.37</v>
      </c>
    </row>
    <row r="831">
      <c r="A831" s="11" t="n">
        <v>830</v>
      </c>
      <c r="B831" s="12" t="n">
        <v>46035</v>
      </c>
      <c r="C831" s="11" t="inlineStr">
        <is>
          <t>DEPOSITOS ELECTRONICOS TRANSACCION MASTERCA</t>
        </is>
      </c>
      <c r="D831" s="11" t="inlineStr">
        <is>
          <t>ORITO</t>
        </is>
      </c>
      <c r="E831" s="11" t="inlineStr">
        <is>
          <t>00000000</t>
        </is>
      </c>
      <c r="F831" s="13" t="n">
        <v>80900</v>
      </c>
      <c r="G831" s="11" t="n">
        <v>20707364.37</v>
      </c>
    </row>
    <row r="832">
      <c r="A832" s="11" t="n">
        <v>831</v>
      </c>
      <c r="B832" s="12" t="n">
        <v>46035</v>
      </c>
      <c r="C832" s="11" t="inlineStr">
        <is>
          <t>COMISION DEPOSITOS ELECTRONICOS MASTERCARD</t>
        </is>
      </c>
      <c r="D832" s="11" t="inlineStr">
        <is>
          <t>ORITO</t>
        </is>
      </c>
      <c r="E832" s="11" t="inlineStr">
        <is>
          <t>00000000</t>
        </is>
      </c>
      <c r="F832" s="13" t="n">
        <v>-1537</v>
      </c>
      <c r="G832" s="11" t="n">
        <v>20705827.37</v>
      </c>
    </row>
    <row r="833">
      <c r="A833" s="11" t="n">
        <v>832</v>
      </c>
      <c r="B833" s="12" t="n">
        <v>46035</v>
      </c>
      <c r="C833" s="11" t="inlineStr">
        <is>
          <t>GRAVAMEN A MOVIMIENTO FINANCIERO</t>
        </is>
      </c>
      <c r="D833" s="11" t="inlineStr">
        <is>
          <t>ORITO</t>
        </is>
      </c>
      <c r="E833" s="11" t="inlineStr">
        <is>
          <t>00000000</t>
        </is>
      </c>
      <c r="F833" s="13" t="n">
        <v>-6</v>
      </c>
      <c r="G833" s="11" t="n">
        <v>20705821.37</v>
      </c>
    </row>
    <row r="834">
      <c r="A834" s="11" t="n">
        <v>833</v>
      </c>
      <c r="B834" s="12" t="n">
        <v>46035</v>
      </c>
      <c r="C834" s="11" t="inlineStr">
        <is>
          <t>RETEFUENTE DEPOSITOS ELECTRONICOS MASTERCAR</t>
        </is>
      </c>
      <c r="D834" s="11" t="inlineStr">
        <is>
          <t>ORITO</t>
        </is>
      </c>
      <c r="E834" s="11" t="inlineStr">
        <is>
          <t>00000000</t>
        </is>
      </c>
      <c r="F834" s="13" t="n">
        <v>-1214</v>
      </c>
      <c r="G834" s="11" t="n">
        <v>20704607.37</v>
      </c>
    </row>
    <row r="835">
      <c r="A835" s="11" t="n">
        <v>834</v>
      </c>
      <c r="B835" s="12" t="n">
        <v>46035</v>
      </c>
      <c r="C835" s="11" t="inlineStr">
        <is>
          <t>GRAVAMEN A MOVIMIENTO FINANCIERO</t>
        </is>
      </c>
      <c r="D835" s="11" t="inlineStr">
        <is>
          <t>ORITO</t>
        </is>
      </c>
      <c r="E835" s="11" t="inlineStr">
        <is>
          <t>00000000</t>
        </is>
      </c>
      <c r="F835" s="13" t="n">
        <v>-5</v>
      </c>
      <c r="G835" s="11" t="n">
        <v>20704602.37</v>
      </c>
    </row>
    <row r="836">
      <c r="A836" s="11" t="n">
        <v>835</v>
      </c>
      <c r="B836" s="12" t="n">
        <v>46036</v>
      </c>
      <c r="C836" s="11" t="inlineStr">
        <is>
          <t>CONSIGNACION CREDIBANCO D E</t>
        </is>
      </c>
      <c r="D836" s="11" t="inlineStr">
        <is>
          <t>ORITO</t>
        </is>
      </c>
      <c r="E836" s="11" t="inlineStr">
        <is>
          <t>00000000</t>
        </is>
      </c>
      <c r="F836" s="13" t="n">
        <v>20000</v>
      </c>
      <c r="G836" s="11" t="n">
        <v>20724602.37</v>
      </c>
    </row>
    <row r="837">
      <c r="A837" s="11" t="n">
        <v>836</v>
      </c>
      <c r="B837" s="12" t="n">
        <v>46036</v>
      </c>
      <c r="C837" s="11" t="inlineStr">
        <is>
          <t>COBRO COMISION DEPOSITOS ELECTRONICOS</t>
        </is>
      </c>
      <c r="D837" s="11" t="inlineStr">
        <is>
          <t>ORITO</t>
        </is>
      </c>
      <c r="E837" s="11" t="inlineStr">
        <is>
          <t>00000000</t>
        </is>
      </c>
      <c r="F837" s="13" t="n">
        <v>-412</v>
      </c>
      <c r="G837" s="11" t="n">
        <v>20724190.37</v>
      </c>
    </row>
    <row r="838">
      <c r="A838" s="11" t="n">
        <v>837</v>
      </c>
      <c r="B838" s="12" t="n">
        <v>46036</v>
      </c>
      <c r="C838" s="11" t="inlineStr">
        <is>
          <t>GRAVAMEN A MOVIMIENTO FINANCIERO</t>
        </is>
      </c>
      <c r="D838" s="11" t="inlineStr">
        <is>
          <t>ORITO</t>
        </is>
      </c>
      <c r="E838" s="11" t="inlineStr">
        <is>
          <t>00000000</t>
        </is>
      </c>
      <c r="F838" s="13" t="n">
        <v>-2</v>
      </c>
      <c r="G838" s="11" t="n">
        <v>20724188.37</v>
      </c>
    </row>
    <row r="839">
      <c r="A839" s="11" t="n">
        <v>838</v>
      </c>
      <c r="B839" s="12" t="n">
        <v>46036</v>
      </c>
      <c r="C839" s="11" t="inlineStr">
        <is>
          <t>RETEFUENTE D E Y VOUCHER CREDIBANCO</t>
        </is>
      </c>
      <c r="D839" s="11" t="inlineStr">
        <is>
          <t>ORITO</t>
        </is>
      </c>
      <c r="E839" s="11" t="inlineStr">
        <is>
          <t>00000000</t>
        </is>
      </c>
      <c r="F839" s="13" t="n">
        <v>-300</v>
      </c>
      <c r="G839" s="11" t="n">
        <v>20723888.37</v>
      </c>
    </row>
    <row r="840">
      <c r="A840" s="11" t="n">
        <v>839</v>
      </c>
      <c r="B840" s="12" t="n">
        <v>46036</v>
      </c>
      <c r="C840" s="11" t="inlineStr">
        <is>
          <t>GRAVAMEN A MOVIMIENTO FINANCIERO</t>
        </is>
      </c>
      <c r="D840" s="11" t="inlineStr">
        <is>
          <t>ORITO</t>
        </is>
      </c>
      <c r="E840" s="11" t="inlineStr">
        <is>
          <t>00000000</t>
        </is>
      </c>
      <c r="F840" s="13" t="n">
        <v>-1</v>
      </c>
      <c r="G840" s="11" t="n">
        <v>20723887.37</v>
      </c>
    </row>
    <row r="841">
      <c r="A841" s="11" t="n">
        <v>840</v>
      </c>
      <c r="B841" s="12" t="n">
        <v>46036</v>
      </c>
      <c r="C841" s="11" t="inlineStr">
        <is>
          <t>CONSIGNACION CREDIBANCO D E</t>
        </is>
      </c>
      <c r="D841" s="11" t="inlineStr">
        <is>
          <t>ORITO</t>
        </is>
      </c>
      <c r="E841" s="11" t="inlineStr">
        <is>
          <t>00000000</t>
        </is>
      </c>
      <c r="F841" s="13" t="n">
        <v>110724</v>
      </c>
      <c r="G841" s="11" t="n">
        <v>20834611.37</v>
      </c>
    </row>
    <row r="842">
      <c r="A842" s="11" t="n">
        <v>841</v>
      </c>
      <c r="B842" s="12" t="n">
        <v>46036</v>
      </c>
      <c r="C842" s="11" t="inlineStr">
        <is>
          <t>COBRO COMISION DEPOSITOS ELECTRONICOS</t>
        </is>
      </c>
      <c r="D842" s="11" t="inlineStr">
        <is>
          <t>ORITO</t>
        </is>
      </c>
      <c r="E842" s="11" t="inlineStr">
        <is>
          <t>00000000</t>
        </is>
      </c>
      <c r="F842" s="13" t="n">
        <v>-2392</v>
      </c>
      <c r="G842" s="11" t="n">
        <v>20832219.37</v>
      </c>
    </row>
    <row r="843">
      <c r="A843" s="11" t="n">
        <v>842</v>
      </c>
      <c r="B843" s="12" t="n">
        <v>46036</v>
      </c>
      <c r="C843" s="11" t="inlineStr">
        <is>
          <t>GRAVAMEN A MOVIMIENTO FINANCIERO</t>
        </is>
      </c>
      <c r="D843" s="11" t="inlineStr">
        <is>
          <t>ORITO</t>
        </is>
      </c>
      <c r="E843" s="11" t="inlineStr">
        <is>
          <t>00000000</t>
        </is>
      </c>
      <c r="F843" s="13" t="n">
        <v>-10</v>
      </c>
      <c r="G843" s="11" t="n">
        <v>20832209.37</v>
      </c>
    </row>
    <row r="844">
      <c r="A844" s="11" t="n">
        <v>843</v>
      </c>
      <c r="B844" s="12" t="n">
        <v>46036</v>
      </c>
      <c r="C844" s="11" t="inlineStr">
        <is>
          <t>RETEFUENTE D E Y VOUCHER CREDIBANCO</t>
        </is>
      </c>
      <c r="D844" s="11" t="inlineStr">
        <is>
          <t>ORITO</t>
        </is>
      </c>
      <c r="E844" s="11" t="inlineStr">
        <is>
          <t>00000000</t>
        </is>
      </c>
      <c r="F844" s="13" t="n">
        <v>-1661</v>
      </c>
      <c r="G844" s="11" t="n">
        <v>20830548.37</v>
      </c>
    </row>
    <row r="845">
      <c r="A845" s="11" t="n">
        <v>844</v>
      </c>
      <c r="B845" s="12" t="n">
        <v>46036</v>
      </c>
      <c r="C845" s="11" t="inlineStr">
        <is>
          <t>GRAVAMEN A MOVIMIENTO FINANCIERO</t>
        </is>
      </c>
      <c r="D845" s="11" t="inlineStr">
        <is>
          <t>ORITO</t>
        </is>
      </c>
      <c r="E845" s="11" t="inlineStr">
        <is>
          <t>00000000</t>
        </is>
      </c>
      <c r="F845" s="13" t="n">
        <v>-7</v>
      </c>
      <c r="G845" s="11" t="n">
        <v>20830541.37</v>
      </c>
    </row>
    <row r="846">
      <c r="A846" s="11" t="n">
        <v>845</v>
      </c>
      <c r="B846" s="12" t="n">
        <v>46036</v>
      </c>
      <c r="C846" s="11" t="inlineStr">
        <is>
          <t>CONSIGNACION CREDIBANCO D E</t>
        </is>
      </c>
      <c r="D846" s="11" t="inlineStr">
        <is>
          <t>ORITO</t>
        </is>
      </c>
      <c r="E846" s="11" t="inlineStr">
        <is>
          <t>00000000</t>
        </is>
      </c>
      <c r="F846" s="13" t="n">
        <v>74000</v>
      </c>
      <c r="G846" s="11" t="n">
        <v>20904541.37</v>
      </c>
    </row>
    <row r="847">
      <c r="A847" s="11" t="n">
        <v>846</v>
      </c>
      <c r="B847" s="12" t="n">
        <v>46036</v>
      </c>
      <c r="C847" s="11" t="inlineStr">
        <is>
          <t>COBRO COMISION DEPOSITOS ELECTRONICOS</t>
        </is>
      </c>
      <c r="D847" s="11" t="inlineStr">
        <is>
          <t>ORITO</t>
        </is>
      </c>
      <c r="E847" s="11" t="inlineStr">
        <is>
          <t>00000000</t>
        </is>
      </c>
      <c r="F847" s="13" t="n">
        <v>-1598</v>
      </c>
      <c r="G847" s="11" t="n">
        <v>20902943.37</v>
      </c>
    </row>
    <row r="848">
      <c r="A848" s="11" t="n">
        <v>847</v>
      </c>
      <c r="B848" s="12" t="n">
        <v>46036</v>
      </c>
      <c r="C848" s="11" t="inlineStr">
        <is>
          <t>GRAVAMEN A MOVIMIENTO FINANCIERO</t>
        </is>
      </c>
      <c r="D848" s="11" t="inlineStr">
        <is>
          <t>ORITO</t>
        </is>
      </c>
      <c r="E848" s="11" t="inlineStr">
        <is>
          <t>00000000</t>
        </is>
      </c>
      <c r="F848" s="13" t="n">
        <v>-6</v>
      </c>
      <c r="G848" s="11" t="n">
        <v>20902937.37</v>
      </c>
    </row>
    <row r="849">
      <c r="A849" s="11" t="n">
        <v>848</v>
      </c>
      <c r="B849" s="12" t="n">
        <v>46036</v>
      </c>
      <c r="C849" s="11" t="inlineStr">
        <is>
          <t>RETEFUENTE D E Y VOUCHER CREDIBANCO</t>
        </is>
      </c>
      <c r="D849" s="11" t="inlineStr">
        <is>
          <t>ORITO</t>
        </is>
      </c>
      <c r="E849" s="11" t="inlineStr">
        <is>
          <t>00000000</t>
        </is>
      </c>
      <c r="F849" s="13" t="n">
        <v>-1110</v>
      </c>
      <c r="G849" s="11" t="n">
        <v>20901827.37</v>
      </c>
    </row>
    <row r="850">
      <c r="A850" s="11" t="n">
        <v>849</v>
      </c>
      <c r="B850" s="12" t="n">
        <v>46036</v>
      </c>
      <c r="C850" s="11" t="inlineStr">
        <is>
          <t>GRAVAMEN A MOVIMIENTO FINANCIERO</t>
        </is>
      </c>
      <c r="D850" s="11" t="inlineStr">
        <is>
          <t>ORITO</t>
        </is>
      </c>
      <c r="E850" s="11" t="inlineStr">
        <is>
          <t>00000000</t>
        </is>
      </c>
      <c r="F850" s="13" t="n">
        <v>-4</v>
      </c>
      <c r="G850" s="11" t="n">
        <v>20901823.37</v>
      </c>
    </row>
    <row r="851">
      <c r="A851" s="11" t="n">
        <v>850</v>
      </c>
      <c r="B851" s="12" t="n">
        <v>46036</v>
      </c>
      <c r="C851" s="11" t="inlineStr">
        <is>
          <t>CONSIGNACION CREDIBANCO D E</t>
        </is>
      </c>
      <c r="D851" s="11" t="inlineStr">
        <is>
          <t>ORITO</t>
        </is>
      </c>
      <c r="E851" s="11" t="inlineStr">
        <is>
          <t>00000000</t>
        </is>
      </c>
      <c r="F851" s="13" t="n">
        <v>29100</v>
      </c>
      <c r="G851" s="11" t="n">
        <v>20930923.37</v>
      </c>
    </row>
    <row r="852">
      <c r="A852" s="11" t="n">
        <v>851</v>
      </c>
      <c r="B852" s="12" t="n">
        <v>46036</v>
      </c>
      <c r="C852" s="11" t="inlineStr">
        <is>
          <t>COBRO COMISION DEPOSITOS ELECTRONICOS</t>
        </is>
      </c>
      <c r="D852" s="11" t="inlineStr">
        <is>
          <t>ORITO</t>
        </is>
      </c>
      <c r="E852" s="11" t="inlineStr">
        <is>
          <t>00000000</t>
        </is>
      </c>
      <c r="F852" s="13" t="n">
        <v>-629</v>
      </c>
      <c r="G852" s="11" t="n">
        <v>20930294.37</v>
      </c>
    </row>
    <row r="853">
      <c r="A853" s="11" t="n">
        <v>852</v>
      </c>
      <c r="B853" s="12" t="n">
        <v>46036</v>
      </c>
      <c r="C853" s="11" t="inlineStr">
        <is>
          <t>GRAVAMEN A MOVIMIENTO FINANCIERO</t>
        </is>
      </c>
      <c r="D853" s="11" t="inlineStr">
        <is>
          <t>ORITO</t>
        </is>
      </c>
      <c r="E853" s="11" t="inlineStr">
        <is>
          <t>00000000</t>
        </is>
      </c>
      <c r="F853" s="13" t="n">
        <v>-3</v>
      </c>
      <c r="G853" s="11" t="n">
        <v>20930291.37</v>
      </c>
    </row>
    <row r="854">
      <c r="A854" s="11" t="n">
        <v>853</v>
      </c>
      <c r="B854" s="12" t="n">
        <v>46036</v>
      </c>
      <c r="C854" s="11" t="inlineStr">
        <is>
          <t>RETEFUENTE D E Y VOUCHER CREDIBANCO</t>
        </is>
      </c>
      <c r="D854" s="11" t="inlineStr">
        <is>
          <t>ORITO</t>
        </is>
      </c>
      <c r="E854" s="11" t="inlineStr">
        <is>
          <t>00000000</t>
        </is>
      </c>
      <c r="F854" s="13" t="n">
        <v>-437</v>
      </c>
      <c r="G854" s="11" t="n">
        <v>20929854.37</v>
      </c>
    </row>
    <row r="855">
      <c r="A855" s="11" t="n">
        <v>854</v>
      </c>
      <c r="B855" s="12" t="n">
        <v>46036</v>
      </c>
      <c r="C855" s="11" t="inlineStr">
        <is>
          <t>GRAVAMEN A MOVIMIENTO FINANCIERO</t>
        </is>
      </c>
      <c r="D855" s="11" t="inlineStr">
        <is>
          <t>ORITO</t>
        </is>
      </c>
      <c r="E855" s="11" t="inlineStr">
        <is>
          <t>00000000</t>
        </is>
      </c>
      <c r="F855" s="13" t="n">
        <v>-2</v>
      </c>
      <c r="G855" s="11" t="n">
        <v>20929852.37</v>
      </c>
    </row>
    <row r="856">
      <c r="A856" s="11" t="n">
        <v>855</v>
      </c>
      <c r="B856" s="12" t="n">
        <v>46036</v>
      </c>
      <c r="C856" s="11" t="inlineStr">
        <is>
          <t>CONSIGNACION CREDIBANCO D E</t>
        </is>
      </c>
      <c r="D856" s="11" t="inlineStr">
        <is>
          <t>ORITO</t>
        </is>
      </c>
      <c r="E856" s="11" t="inlineStr">
        <is>
          <t>00000000</t>
        </is>
      </c>
      <c r="F856" s="13" t="n">
        <v>74000</v>
      </c>
      <c r="G856" s="11" t="n">
        <v>21003852.37</v>
      </c>
    </row>
    <row r="857">
      <c r="A857" s="11" t="n">
        <v>856</v>
      </c>
      <c r="B857" s="12" t="n">
        <v>46036</v>
      </c>
      <c r="C857" s="11" t="inlineStr">
        <is>
          <t>COBRO COMISION DEPOSITOS ELECTRONICOS</t>
        </is>
      </c>
      <c r="D857" s="11" t="inlineStr">
        <is>
          <t>ORITO</t>
        </is>
      </c>
      <c r="E857" s="11" t="inlineStr">
        <is>
          <t>00000000</t>
        </is>
      </c>
      <c r="F857" s="13" t="n">
        <v>-1598</v>
      </c>
      <c r="G857" s="11" t="n">
        <v>21002254.37</v>
      </c>
    </row>
    <row r="858">
      <c r="A858" s="11" t="n">
        <v>857</v>
      </c>
      <c r="B858" s="12" t="n">
        <v>46036</v>
      </c>
      <c r="C858" s="11" t="inlineStr">
        <is>
          <t>GRAVAMEN A MOVIMIENTO FINANCIERO</t>
        </is>
      </c>
      <c r="D858" s="11" t="inlineStr">
        <is>
          <t>ORITO</t>
        </is>
      </c>
      <c r="E858" s="11" t="inlineStr">
        <is>
          <t>00000000</t>
        </is>
      </c>
      <c r="F858" s="13" t="n">
        <v>-6</v>
      </c>
      <c r="G858" s="11" t="n">
        <v>21002248.37</v>
      </c>
    </row>
    <row r="859">
      <c r="A859" s="11" t="n">
        <v>858</v>
      </c>
      <c r="B859" s="12" t="n">
        <v>46036</v>
      </c>
      <c r="C859" s="11" t="inlineStr">
        <is>
          <t>RETEFUENTE D E Y VOUCHER CREDIBANCO</t>
        </is>
      </c>
      <c r="D859" s="11" t="inlineStr">
        <is>
          <t>ORITO</t>
        </is>
      </c>
      <c r="E859" s="11" t="inlineStr">
        <is>
          <t>00000000</t>
        </is>
      </c>
      <c r="F859" s="13" t="n">
        <v>-1110</v>
      </c>
      <c r="G859" s="11" t="n">
        <v>21001138.37</v>
      </c>
    </row>
    <row r="860">
      <c r="A860" s="11" t="n">
        <v>859</v>
      </c>
      <c r="B860" s="12" t="n">
        <v>46036</v>
      </c>
      <c r="C860" s="11" t="inlineStr">
        <is>
          <t>GRAVAMEN A MOVIMIENTO FINANCIERO</t>
        </is>
      </c>
      <c r="D860" s="11" t="inlineStr">
        <is>
          <t>ORITO</t>
        </is>
      </c>
      <c r="E860" s="11" t="inlineStr">
        <is>
          <t>00000000</t>
        </is>
      </c>
      <c r="F860" s="13" t="n">
        <v>-4</v>
      </c>
      <c r="G860" s="11" t="n">
        <v>21001134.37</v>
      </c>
    </row>
    <row r="861">
      <c r="A861" s="11" t="n">
        <v>860</v>
      </c>
      <c r="B861" s="12" t="n">
        <v>46036</v>
      </c>
      <c r="C861" s="11" t="inlineStr">
        <is>
          <t>CONSIGNACION CREDIBANCO D E</t>
        </is>
      </c>
      <c r="D861" s="11" t="inlineStr">
        <is>
          <t>ORITO</t>
        </is>
      </c>
      <c r="E861" s="11" t="inlineStr">
        <is>
          <t>00000000</t>
        </is>
      </c>
      <c r="F861" s="13" t="n">
        <v>73400</v>
      </c>
      <c r="G861" s="11" t="n">
        <v>21074534.37</v>
      </c>
    </row>
    <row r="862">
      <c r="A862" s="11" t="n">
        <v>861</v>
      </c>
      <c r="B862" s="12" t="n">
        <v>46036</v>
      </c>
      <c r="C862" s="11" t="inlineStr">
        <is>
          <t>COBRO COMISION DEPOSITOS ELECTRONICOS</t>
        </is>
      </c>
      <c r="D862" s="11" t="inlineStr">
        <is>
          <t>ORITO</t>
        </is>
      </c>
      <c r="E862" s="11" t="inlineStr">
        <is>
          <t>00000000</t>
        </is>
      </c>
      <c r="F862" s="13" t="n">
        <v>-1585</v>
      </c>
      <c r="G862" s="11" t="n">
        <v>21072949.37</v>
      </c>
    </row>
    <row r="863">
      <c r="A863" s="11" t="n">
        <v>862</v>
      </c>
      <c r="B863" s="12" t="n">
        <v>46036</v>
      </c>
      <c r="C863" s="11" t="inlineStr">
        <is>
          <t>GRAVAMEN A MOVIMIENTO FINANCIERO</t>
        </is>
      </c>
      <c r="D863" s="11" t="inlineStr">
        <is>
          <t>ORITO</t>
        </is>
      </c>
      <c r="E863" s="11" t="inlineStr">
        <is>
          <t>00000000</t>
        </is>
      </c>
      <c r="F863" s="13" t="n">
        <v>-6</v>
      </c>
      <c r="G863" s="11" t="n">
        <v>21072943.37</v>
      </c>
    </row>
    <row r="864">
      <c r="A864" s="11" t="n">
        <v>863</v>
      </c>
      <c r="B864" s="12" t="n">
        <v>46036</v>
      </c>
      <c r="C864" s="11" t="inlineStr">
        <is>
          <t>RETEFUENTE D E Y VOUCHER CREDIBANCO</t>
        </is>
      </c>
      <c r="D864" s="11" t="inlineStr">
        <is>
          <t>ORITO</t>
        </is>
      </c>
      <c r="E864" s="11" t="inlineStr">
        <is>
          <t>00000000</t>
        </is>
      </c>
      <c r="F864" s="13" t="n">
        <v>-1101</v>
      </c>
      <c r="G864" s="11" t="n">
        <v>21071842.37</v>
      </c>
    </row>
    <row r="865">
      <c r="A865" s="11" t="n">
        <v>864</v>
      </c>
      <c r="B865" s="12" t="n">
        <v>46036</v>
      </c>
      <c r="C865" s="11" t="inlineStr">
        <is>
          <t>GRAVAMEN A MOVIMIENTO FINANCIERO</t>
        </is>
      </c>
      <c r="D865" s="11" t="inlineStr">
        <is>
          <t>ORITO</t>
        </is>
      </c>
      <c r="E865" s="11" t="inlineStr">
        <is>
          <t>00000000</t>
        </is>
      </c>
      <c r="F865" s="13" t="n">
        <v>-4</v>
      </c>
      <c r="G865" s="11" t="n">
        <v>21071838.37</v>
      </c>
    </row>
    <row r="866">
      <c r="A866" s="11" t="n">
        <v>865</v>
      </c>
      <c r="B866" s="12" t="n">
        <v>46036</v>
      </c>
      <c r="C866" s="11" t="inlineStr">
        <is>
          <t>CONSIGNACION CREDIBANCO D E</t>
        </is>
      </c>
      <c r="D866" s="11" t="inlineStr">
        <is>
          <t>ORITO</t>
        </is>
      </c>
      <c r="E866" s="11" t="inlineStr">
        <is>
          <t>00000000</t>
        </is>
      </c>
      <c r="F866" s="13" t="n">
        <v>81200</v>
      </c>
      <c r="G866" s="11" t="n">
        <v>21153038.37</v>
      </c>
    </row>
    <row r="867">
      <c r="A867" s="11" t="n">
        <v>866</v>
      </c>
      <c r="B867" s="12" t="n">
        <v>46036</v>
      </c>
      <c r="C867" s="11" t="inlineStr">
        <is>
          <t>COBRO COMISION DEPOSITOS ELECTRONICOS</t>
        </is>
      </c>
      <c r="D867" s="11" t="inlineStr">
        <is>
          <t>ORITO</t>
        </is>
      </c>
      <c r="E867" s="11" t="inlineStr">
        <is>
          <t>00000000</t>
        </is>
      </c>
      <c r="F867" s="13" t="n">
        <v>-1754</v>
      </c>
      <c r="G867" s="11" t="n">
        <v>21151284.37</v>
      </c>
    </row>
    <row r="868">
      <c r="A868" s="11" t="n">
        <v>867</v>
      </c>
      <c r="B868" s="12" t="n">
        <v>46036</v>
      </c>
      <c r="C868" s="11" t="inlineStr">
        <is>
          <t>GRAVAMEN A MOVIMIENTO FINANCIERO</t>
        </is>
      </c>
      <c r="D868" s="11" t="inlineStr">
        <is>
          <t>ORITO</t>
        </is>
      </c>
      <c r="E868" s="11" t="inlineStr">
        <is>
          <t>00000000</t>
        </is>
      </c>
      <c r="F868" s="13" t="n">
        <v>-7</v>
      </c>
      <c r="G868" s="11" t="n">
        <v>21151277.37</v>
      </c>
    </row>
    <row r="869">
      <c r="A869" s="11" t="n">
        <v>868</v>
      </c>
      <c r="B869" s="12" t="n">
        <v>46036</v>
      </c>
      <c r="C869" s="11" t="inlineStr">
        <is>
          <t>RETEFUENTE D E Y VOUCHER CREDIBANCO</t>
        </is>
      </c>
      <c r="D869" s="11" t="inlineStr">
        <is>
          <t>ORITO</t>
        </is>
      </c>
      <c r="E869" s="11" t="inlineStr">
        <is>
          <t>00000000</t>
        </is>
      </c>
      <c r="F869" s="13" t="n">
        <v>-1218</v>
      </c>
      <c r="G869" s="11" t="n">
        <v>21150059.37</v>
      </c>
    </row>
    <row r="870">
      <c r="A870" s="11" t="n">
        <v>869</v>
      </c>
      <c r="B870" s="12" t="n">
        <v>46036</v>
      </c>
      <c r="C870" s="11" t="inlineStr">
        <is>
          <t>GRAVAMEN A MOVIMIENTO FINANCIERO</t>
        </is>
      </c>
      <c r="D870" s="11" t="inlineStr">
        <is>
          <t>ORITO</t>
        </is>
      </c>
      <c r="E870" s="11" t="inlineStr">
        <is>
          <t>00000000</t>
        </is>
      </c>
      <c r="F870" s="13" t="n">
        <v>-5</v>
      </c>
      <c r="G870" s="11" t="n">
        <v>21150054.37</v>
      </c>
    </row>
    <row r="871">
      <c r="A871" s="11" t="n">
        <v>870</v>
      </c>
      <c r="B871" s="12" t="n">
        <v>46036</v>
      </c>
      <c r="C871" s="11" t="inlineStr">
        <is>
          <t>CONSIGNACION CREDIBANCO D E</t>
        </is>
      </c>
      <c r="D871" s="11" t="inlineStr">
        <is>
          <t>ORITO</t>
        </is>
      </c>
      <c r="E871" s="11" t="inlineStr">
        <is>
          <t>00000000</t>
        </is>
      </c>
      <c r="F871" s="13" t="n">
        <v>24100</v>
      </c>
      <c r="G871" s="11" t="n">
        <v>21174154.37</v>
      </c>
    </row>
    <row r="872">
      <c r="A872" s="11" t="n">
        <v>871</v>
      </c>
      <c r="B872" s="12" t="n">
        <v>46036</v>
      </c>
      <c r="C872" s="11" t="inlineStr">
        <is>
          <t>COBRO COMISION DEPOSITOS ELECTRONICOS</t>
        </is>
      </c>
      <c r="D872" s="11" t="inlineStr">
        <is>
          <t>ORITO</t>
        </is>
      </c>
      <c r="E872" s="11" t="inlineStr">
        <is>
          <t>00000000</t>
        </is>
      </c>
      <c r="F872" s="13" t="n">
        <v>-521</v>
      </c>
      <c r="G872" s="11" t="n">
        <v>21173633.37</v>
      </c>
    </row>
    <row r="873">
      <c r="A873" s="11" t="n">
        <v>872</v>
      </c>
      <c r="B873" s="12" t="n">
        <v>46036</v>
      </c>
      <c r="C873" s="11" t="inlineStr">
        <is>
          <t>GRAVAMEN A MOVIMIENTO FINANCIERO</t>
        </is>
      </c>
      <c r="D873" s="11" t="inlineStr">
        <is>
          <t>ORITO</t>
        </is>
      </c>
      <c r="E873" s="11" t="inlineStr">
        <is>
          <t>00000000</t>
        </is>
      </c>
      <c r="F873" s="13" t="n">
        <v>-2</v>
      </c>
      <c r="G873" s="11" t="n">
        <v>21173631.37</v>
      </c>
    </row>
    <row r="874">
      <c r="A874" s="11" t="n">
        <v>873</v>
      </c>
      <c r="B874" s="12" t="n">
        <v>46036</v>
      </c>
      <c r="C874" s="11" t="inlineStr">
        <is>
          <t>RETEFUENTE D E Y VOUCHER CREDIBANCO</t>
        </is>
      </c>
      <c r="D874" s="11" t="inlineStr">
        <is>
          <t>ORITO</t>
        </is>
      </c>
      <c r="E874" s="11" t="inlineStr">
        <is>
          <t>00000000</t>
        </is>
      </c>
      <c r="F874" s="13" t="n">
        <v>-362</v>
      </c>
      <c r="G874" s="11" t="n">
        <v>21173269.37</v>
      </c>
    </row>
    <row r="875">
      <c r="A875" s="11" t="n">
        <v>874</v>
      </c>
      <c r="B875" s="12" t="n">
        <v>46036</v>
      </c>
      <c r="C875" s="11" t="inlineStr">
        <is>
          <t>GRAVAMEN A MOVIMIENTO FINANCIERO</t>
        </is>
      </c>
      <c r="D875" s="11" t="inlineStr">
        <is>
          <t>ORITO</t>
        </is>
      </c>
      <c r="E875" s="11" t="inlineStr">
        <is>
          <t>00000000</t>
        </is>
      </c>
      <c r="F875" s="13" t="n">
        <v>-1</v>
      </c>
      <c r="G875" s="11" t="n">
        <v>21173268.37</v>
      </c>
    </row>
    <row r="876">
      <c r="A876" s="11" t="n">
        <v>875</v>
      </c>
      <c r="B876" s="12" t="n">
        <v>46036</v>
      </c>
      <c r="C876" s="11" t="inlineStr">
        <is>
          <t>DEPOSITOS ELECTRONICOS TRANSACCION MASTERCA</t>
        </is>
      </c>
      <c r="D876" s="11" t="inlineStr">
        <is>
          <t>ORITO</t>
        </is>
      </c>
      <c r="E876" s="11" t="inlineStr">
        <is>
          <t>00000000</t>
        </is>
      </c>
      <c r="F876" s="13" t="n">
        <v>87100</v>
      </c>
      <c r="G876" s="11" t="n">
        <v>21260368.37</v>
      </c>
    </row>
    <row r="877">
      <c r="A877" s="11" t="n">
        <v>876</v>
      </c>
      <c r="B877" s="12" t="n">
        <v>46036</v>
      </c>
      <c r="C877" s="11" t="inlineStr">
        <is>
          <t>COMISION DEPOSITOS ELECTRONICOS MASTERCARD</t>
        </is>
      </c>
      <c r="D877" s="11" t="inlineStr">
        <is>
          <t>ORITO</t>
        </is>
      </c>
      <c r="E877" s="11" t="inlineStr">
        <is>
          <t>00000000</t>
        </is>
      </c>
      <c r="F877" s="13" t="n">
        <v>-2047</v>
      </c>
      <c r="G877" s="11" t="n">
        <v>21258321.37</v>
      </c>
    </row>
    <row r="878">
      <c r="A878" s="11" t="n">
        <v>877</v>
      </c>
      <c r="B878" s="12" t="n">
        <v>46036</v>
      </c>
      <c r="C878" s="11" t="inlineStr">
        <is>
          <t>GRAVAMEN A MOVIMIENTO FINANCIERO</t>
        </is>
      </c>
      <c r="D878" s="11" t="inlineStr">
        <is>
          <t>ORITO</t>
        </is>
      </c>
      <c r="E878" s="11" t="inlineStr">
        <is>
          <t>00000000</t>
        </is>
      </c>
      <c r="F878" s="13" t="n">
        <v>-8</v>
      </c>
      <c r="G878" s="11" t="n">
        <v>21258313.37</v>
      </c>
    </row>
    <row r="879">
      <c r="A879" s="11" t="n">
        <v>878</v>
      </c>
      <c r="B879" s="12" t="n">
        <v>46036</v>
      </c>
      <c r="C879" s="11" t="inlineStr">
        <is>
          <t>RETEFUENTE DEPOSITOS ELECTRONICOS MASTERCAR</t>
        </is>
      </c>
      <c r="D879" s="11" t="inlineStr">
        <is>
          <t>ORITO</t>
        </is>
      </c>
      <c r="E879" s="11" t="inlineStr">
        <is>
          <t>00000000</t>
        </is>
      </c>
      <c r="F879" s="13" t="n">
        <v>-1307</v>
      </c>
      <c r="G879" s="11" t="n">
        <v>21257006.37</v>
      </c>
    </row>
    <row r="880">
      <c r="A880" s="11" t="n">
        <v>879</v>
      </c>
      <c r="B880" s="12" t="n">
        <v>46036</v>
      </c>
      <c r="C880" s="11" t="inlineStr">
        <is>
          <t>GRAVAMEN A MOVIMIENTO FINANCIERO</t>
        </is>
      </c>
      <c r="D880" s="11" t="inlineStr">
        <is>
          <t>ORITO</t>
        </is>
      </c>
      <c r="E880" s="11" t="inlineStr">
        <is>
          <t>00000000</t>
        </is>
      </c>
      <c r="F880" s="13" t="n">
        <v>-5</v>
      </c>
      <c r="G880" s="11" t="n">
        <v>21257001.37</v>
      </c>
    </row>
    <row r="881">
      <c r="A881" s="11" t="n">
        <v>880</v>
      </c>
      <c r="B881" s="12" t="n">
        <v>46036</v>
      </c>
      <c r="C881" s="11" t="inlineStr">
        <is>
          <t>DEPOSITOS ELECTRONICOS TRANSACCION MASTERCA</t>
        </is>
      </c>
      <c r="D881" s="11" t="inlineStr">
        <is>
          <t>ORITO</t>
        </is>
      </c>
      <c r="E881" s="11" t="inlineStr">
        <is>
          <t>00000000</t>
        </is>
      </c>
      <c r="F881" s="13" t="n">
        <v>38600</v>
      </c>
      <c r="G881" s="11" t="n">
        <v>21295601.37</v>
      </c>
    </row>
    <row r="882">
      <c r="A882" s="11" t="n">
        <v>881</v>
      </c>
      <c r="B882" s="12" t="n">
        <v>46036</v>
      </c>
      <c r="C882" s="11" t="inlineStr">
        <is>
          <t>COMISION DEPOSITOS ELECTRONICOS MASTERCARD</t>
        </is>
      </c>
      <c r="D882" s="11" t="inlineStr">
        <is>
          <t>ORITO</t>
        </is>
      </c>
      <c r="E882" s="11" t="inlineStr">
        <is>
          <t>00000000</t>
        </is>
      </c>
      <c r="F882" s="13" t="n">
        <v>-907</v>
      </c>
      <c r="G882" s="11" t="n">
        <v>21294694.37</v>
      </c>
    </row>
    <row r="883">
      <c r="A883" s="11" t="n">
        <v>882</v>
      </c>
      <c r="B883" s="12" t="n">
        <v>46036</v>
      </c>
      <c r="C883" s="11" t="inlineStr">
        <is>
          <t>GRAVAMEN A MOVIMIENTO FINANCIERO</t>
        </is>
      </c>
      <c r="D883" s="11" t="inlineStr">
        <is>
          <t>ORITO</t>
        </is>
      </c>
      <c r="E883" s="11" t="inlineStr">
        <is>
          <t>00000000</t>
        </is>
      </c>
      <c r="F883" s="13" t="n">
        <v>-4</v>
      </c>
      <c r="G883" s="11" t="n">
        <v>21294690.37</v>
      </c>
    </row>
    <row r="884">
      <c r="A884" s="11" t="n">
        <v>883</v>
      </c>
      <c r="B884" s="12" t="n">
        <v>46036</v>
      </c>
      <c r="C884" s="11" t="inlineStr">
        <is>
          <t>RETEFUENTE DEPOSITOS ELECTRONICOS MASTERCAR</t>
        </is>
      </c>
      <c r="D884" s="11" t="inlineStr">
        <is>
          <t>ORITO</t>
        </is>
      </c>
      <c r="E884" s="11" t="inlineStr">
        <is>
          <t>00000000</t>
        </is>
      </c>
      <c r="F884" s="13" t="n">
        <v>-579</v>
      </c>
      <c r="G884" s="11" t="n">
        <v>21294111.37</v>
      </c>
    </row>
    <row r="885">
      <c r="A885" s="11" t="n">
        <v>884</v>
      </c>
      <c r="B885" s="12" t="n">
        <v>46036</v>
      </c>
      <c r="C885" s="11" t="inlineStr">
        <is>
          <t>GRAVAMEN A MOVIMIENTO FINANCIERO</t>
        </is>
      </c>
      <c r="D885" s="11" t="inlineStr">
        <is>
          <t>ORITO</t>
        </is>
      </c>
      <c r="E885" s="11" t="inlineStr">
        <is>
          <t>00000000</t>
        </is>
      </c>
      <c r="F885" s="13" t="n">
        <v>-2</v>
      </c>
      <c r="G885" s="11" t="n">
        <v>21294109.37</v>
      </c>
    </row>
    <row r="886">
      <c r="A886" s="11" t="n">
        <v>885</v>
      </c>
      <c r="B886" s="12" t="n">
        <v>46036</v>
      </c>
      <c r="C886" s="11" t="inlineStr">
        <is>
          <t>DEPOSITOS ELECTRONICOS TRANSACCION MASTERCA</t>
        </is>
      </c>
      <c r="D886" s="11" t="inlineStr">
        <is>
          <t>ORITO</t>
        </is>
      </c>
      <c r="E886" s="11" t="inlineStr">
        <is>
          <t>00000000</t>
        </is>
      </c>
      <c r="F886" s="13" t="n">
        <v>66300</v>
      </c>
      <c r="G886" s="11" t="n">
        <v>21360409.37</v>
      </c>
    </row>
    <row r="887">
      <c r="A887" s="11" t="n">
        <v>886</v>
      </c>
      <c r="B887" s="12" t="n">
        <v>46036</v>
      </c>
      <c r="C887" s="11" t="inlineStr">
        <is>
          <t>COMISION DEPOSITOS ELECTRONICOS MASTERCARD</t>
        </is>
      </c>
      <c r="D887" s="11" t="inlineStr">
        <is>
          <t>ORITO</t>
        </is>
      </c>
      <c r="E887" s="11" t="inlineStr">
        <is>
          <t>00000000</t>
        </is>
      </c>
      <c r="F887" s="13" t="n">
        <v>-1260</v>
      </c>
      <c r="G887" s="11" t="n">
        <v>21359149.37</v>
      </c>
    </row>
    <row r="888">
      <c r="A888" s="11" t="n">
        <v>887</v>
      </c>
      <c r="B888" s="12" t="n">
        <v>46036</v>
      </c>
      <c r="C888" s="11" t="inlineStr">
        <is>
          <t>GRAVAMEN A MOVIMIENTO FINANCIERO</t>
        </is>
      </c>
      <c r="D888" s="11" t="inlineStr">
        <is>
          <t>ORITO</t>
        </is>
      </c>
      <c r="E888" s="11" t="inlineStr">
        <is>
          <t>00000000</t>
        </is>
      </c>
      <c r="F888" s="13" t="n">
        <v>-5</v>
      </c>
      <c r="G888" s="11" t="n">
        <v>21359144.37</v>
      </c>
    </row>
    <row r="889">
      <c r="A889" s="11" t="n">
        <v>888</v>
      </c>
      <c r="B889" s="12" t="n">
        <v>46036</v>
      </c>
      <c r="C889" s="11" t="inlineStr">
        <is>
          <t>RETEFUENTE DEPOSITOS ELECTRONICOS MASTERCAR</t>
        </is>
      </c>
      <c r="D889" s="11" t="inlineStr">
        <is>
          <t>ORITO</t>
        </is>
      </c>
      <c r="E889" s="11" t="inlineStr">
        <is>
          <t>00000000</t>
        </is>
      </c>
      <c r="F889" s="13" t="n">
        <v>-995</v>
      </c>
      <c r="G889" s="11" t="n">
        <v>21358149.37</v>
      </c>
    </row>
    <row r="890">
      <c r="A890" s="11" t="n">
        <v>889</v>
      </c>
      <c r="B890" s="12" t="n">
        <v>46036</v>
      </c>
      <c r="C890" s="11" t="inlineStr">
        <is>
          <t>GRAVAMEN A MOVIMIENTO FINANCIERO</t>
        </is>
      </c>
      <c r="D890" s="11" t="inlineStr">
        <is>
          <t>ORITO</t>
        </is>
      </c>
      <c r="E890" s="11" t="inlineStr">
        <is>
          <t>00000000</t>
        </is>
      </c>
      <c r="F890" s="13" t="n">
        <v>-4</v>
      </c>
      <c r="G890" s="11" t="n">
        <v>21358145.37</v>
      </c>
    </row>
    <row r="891">
      <c r="A891" s="11" t="n">
        <v>890</v>
      </c>
      <c r="B891" s="12" t="n">
        <v>46036</v>
      </c>
      <c r="C891" s="11" t="inlineStr">
        <is>
          <t>DEPOSITOS ELECTRONICOS TRANSACCION MASTERCA</t>
        </is>
      </c>
      <c r="D891" s="11" t="inlineStr">
        <is>
          <t>ORITO</t>
        </is>
      </c>
      <c r="E891" s="11" t="inlineStr">
        <is>
          <t>00000000</t>
        </is>
      </c>
      <c r="F891" s="13" t="n">
        <v>42100</v>
      </c>
      <c r="G891" s="11" t="n">
        <v>21400245.37</v>
      </c>
    </row>
    <row r="892">
      <c r="A892" s="11" t="n">
        <v>891</v>
      </c>
      <c r="B892" s="12" t="n">
        <v>46036</v>
      </c>
      <c r="C892" s="11" t="inlineStr">
        <is>
          <t>COMISION DEPOSITOS ELECTRONICOS MASTERCARD</t>
        </is>
      </c>
      <c r="D892" s="11" t="inlineStr">
        <is>
          <t>ORITO</t>
        </is>
      </c>
      <c r="E892" s="11" t="inlineStr">
        <is>
          <t>00000000</t>
        </is>
      </c>
      <c r="F892" s="13" t="n">
        <v>-800</v>
      </c>
      <c r="G892" s="11" t="n">
        <v>21399445.37</v>
      </c>
    </row>
    <row r="893">
      <c r="A893" s="11" t="n">
        <v>892</v>
      </c>
      <c r="B893" s="12" t="n">
        <v>46036</v>
      </c>
      <c r="C893" s="11" t="inlineStr">
        <is>
          <t>GRAVAMEN A MOVIMIENTO FINANCIERO</t>
        </is>
      </c>
      <c r="D893" s="11" t="inlineStr">
        <is>
          <t>ORITO</t>
        </is>
      </c>
      <c r="E893" s="11" t="inlineStr">
        <is>
          <t>00000000</t>
        </is>
      </c>
      <c r="F893" s="13" t="n">
        <v>-3</v>
      </c>
      <c r="G893" s="11" t="n">
        <v>21399442.37</v>
      </c>
    </row>
    <row r="894">
      <c r="A894" s="11" t="n">
        <v>893</v>
      </c>
      <c r="B894" s="12" t="n">
        <v>46036</v>
      </c>
      <c r="C894" s="11" t="inlineStr">
        <is>
          <t>RETEFUENTE DEPOSITOS ELECTRONICOS MASTERCAR</t>
        </is>
      </c>
      <c r="D894" s="11" t="inlineStr">
        <is>
          <t>ORITO</t>
        </is>
      </c>
      <c r="E894" s="11" t="inlineStr">
        <is>
          <t>00000000</t>
        </is>
      </c>
      <c r="F894" s="13" t="n">
        <v>-632</v>
      </c>
      <c r="G894" s="11" t="n">
        <v>21398810.37</v>
      </c>
    </row>
    <row r="895">
      <c r="A895" s="11" t="n">
        <v>894</v>
      </c>
      <c r="B895" s="12" t="n">
        <v>46036</v>
      </c>
      <c r="C895" s="11" t="inlineStr">
        <is>
          <t>GRAVAMEN A MOVIMIENTO FINANCIERO</t>
        </is>
      </c>
      <c r="D895" s="11" t="inlineStr">
        <is>
          <t>ORITO</t>
        </is>
      </c>
      <c r="E895" s="11" t="inlineStr">
        <is>
          <t>00000000</t>
        </is>
      </c>
      <c r="F895" s="13" t="n">
        <v>-3</v>
      </c>
      <c r="G895" s="11" t="n">
        <v>21398807.37</v>
      </c>
    </row>
    <row r="896">
      <c r="A896" s="11" t="n">
        <v>895</v>
      </c>
      <c r="B896" s="12" t="n">
        <v>46037</v>
      </c>
      <c r="C896" s="11" t="inlineStr">
        <is>
          <t>CONSIGNACION CREDIBANCO D E</t>
        </is>
      </c>
      <c r="D896" s="11" t="inlineStr">
        <is>
          <t>ORITO</t>
        </is>
      </c>
      <c r="E896" s="11" t="inlineStr">
        <is>
          <t>00000000</t>
        </is>
      </c>
      <c r="F896" s="13" t="n">
        <v>67000</v>
      </c>
      <c r="G896" s="11" t="n">
        <v>21465807.37</v>
      </c>
    </row>
    <row r="897">
      <c r="A897" s="11" t="n">
        <v>896</v>
      </c>
      <c r="B897" s="12" t="n">
        <v>46037</v>
      </c>
      <c r="C897" s="11" t="inlineStr">
        <is>
          <t>COBRO COMISION DEPOSITOS ELECTRONICOS</t>
        </is>
      </c>
      <c r="D897" s="11" t="inlineStr">
        <is>
          <t>ORITO</t>
        </is>
      </c>
      <c r="E897" s="11" t="inlineStr">
        <is>
          <t>00000000</t>
        </is>
      </c>
      <c r="F897" s="13" t="n">
        <v>-1447</v>
      </c>
      <c r="G897" s="11" t="n">
        <v>21464360.37</v>
      </c>
    </row>
    <row r="898">
      <c r="A898" s="11" t="n">
        <v>897</v>
      </c>
      <c r="B898" s="12" t="n">
        <v>46037</v>
      </c>
      <c r="C898" s="11" t="inlineStr">
        <is>
          <t>GRAVAMEN A MOVIMIENTO FINANCIERO</t>
        </is>
      </c>
      <c r="D898" s="11" t="inlineStr">
        <is>
          <t>ORITO</t>
        </is>
      </c>
      <c r="E898" s="11" t="inlineStr">
        <is>
          <t>00000000</t>
        </is>
      </c>
      <c r="F898" s="13" t="n">
        <v>-6</v>
      </c>
      <c r="G898" s="11" t="n">
        <v>21464354.37</v>
      </c>
    </row>
    <row r="899">
      <c r="A899" s="11" t="n">
        <v>898</v>
      </c>
      <c r="B899" s="12" t="n">
        <v>46037</v>
      </c>
      <c r="C899" s="11" t="inlineStr">
        <is>
          <t>RETEFUENTE D E Y VOUCHER CREDIBANCO</t>
        </is>
      </c>
      <c r="D899" s="11" t="inlineStr">
        <is>
          <t>ORITO</t>
        </is>
      </c>
      <c r="E899" s="11" t="inlineStr">
        <is>
          <t>00000000</t>
        </is>
      </c>
      <c r="F899" s="13" t="n">
        <v>-1005</v>
      </c>
      <c r="G899" s="11" t="n">
        <v>21463349.37</v>
      </c>
    </row>
    <row r="900">
      <c r="A900" s="11" t="n">
        <v>899</v>
      </c>
      <c r="B900" s="12" t="n">
        <v>46037</v>
      </c>
      <c r="C900" s="11" t="inlineStr">
        <is>
          <t>GRAVAMEN A MOVIMIENTO FINANCIERO</t>
        </is>
      </c>
      <c r="D900" s="11" t="inlineStr">
        <is>
          <t>ORITO</t>
        </is>
      </c>
      <c r="E900" s="11" t="inlineStr">
        <is>
          <t>00000000</t>
        </is>
      </c>
      <c r="F900" s="13" t="n">
        <v>-4</v>
      </c>
      <c r="G900" s="11" t="n">
        <v>21463345.37</v>
      </c>
    </row>
    <row r="901">
      <c r="A901" s="11" t="n">
        <v>900</v>
      </c>
      <c r="B901" s="12" t="n">
        <v>46037</v>
      </c>
      <c r="C901" s="11" t="inlineStr">
        <is>
          <t>CONSIGNACION CREDIBANCO D E</t>
        </is>
      </c>
      <c r="D901" s="11" t="inlineStr">
        <is>
          <t>ORITO</t>
        </is>
      </c>
      <c r="E901" s="11" t="inlineStr">
        <is>
          <t>00000000</t>
        </is>
      </c>
      <c r="F901" s="13" t="n">
        <v>20000</v>
      </c>
      <c r="G901" s="11" t="n">
        <v>21483345.37</v>
      </c>
    </row>
    <row r="902">
      <c r="A902" s="11" t="n">
        <v>901</v>
      </c>
      <c r="B902" s="12" t="n">
        <v>46037</v>
      </c>
      <c r="C902" s="11" t="inlineStr">
        <is>
          <t>COBRO COMISION DEPOSITOS ELECTRONICOS</t>
        </is>
      </c>
      <c r="D902" s="11" t="inlineStr">
        <is>
          <t>ORITO</t>
        </is>
      </c>
      <c r="E902" s="11" t="inlineStr">
        <is>
          <t>00000000</t>
        </is>
      </c>
      <c r="F902" s="13" t="n">
        <v>-432</v>
      </c>
      <c r="G902" s="11" t="n">
        <v>21482913.37</v>
      </c>
    </row>
    <row r="903">
      <c r="A903" s="11" t="n">
        <v>902</v>
      </c>
      <c r="B903" s="12" t="n">
        <v>46037</v>
      </c>
      <c r="C903" s="11" t="inlineStr">
        <is>
          <t>GRAVAMEN A MOVIMIENTO FINANCIERO</t>
        </is>
      </c>
      <c r="D903" s="11" t="inlineStr">
        <is>
          <t>ORITO</t>
        </is>
      </c>
      <c r="E903" s="11" t="inlineStr">
        <is>
          <t>00000000</t>
        </is>
      </c>
      <c r="F903" s="13" t="n">
        <v>-2</v>
      </c>
      <c r="G903" s="11" t="n">
        <v>21482911.37</v>
      </c>
    </row>
    <row r="904">
      <c r="A904" s="11" t="n">
        <v>903</v>
      </c>
      <c r="B904" s="12" t="n">
        <v>46037</v>
      </c>
      <c r="C904" s="11" t="inlineStr">
        <is>
          <t>RETEFUENTE D E Y VOUCHER CREDIBANCO</t>
        </is>
      </c>
      <c r="D904" s="11" t="inlineStr">
        <is>
          <t>ORITO</t>
        </is>
      </c>
      <c r="E904" s="11" t="inlineStr">
        <is>
          <t>00000000</t>
        </is>
      </c>
      <c r="F904" s="13" t="n">
        <v>-300</v>
      </c>
      <c r="G904" s="11" t="n">
        <v>21482611.37</v>
      </c>
    </row>
    <row r="905">
      <c r="A905" s="11" t="n">
        <v>904</v>
      </c>
      <c r="B905" s="12" t="n">
        <v>46037</v>
      </c>
      <c r="C905" s="11" t="inlineStr">
        <is>
          <t>GRAVAMEN A MOVIMIENTO FINANCIERO</t>
        </is>
      </c>
      <c r="D905" s="11" t="inlineStr">
        <is>
          <t>ORITO</t>
        </is>
      </c>
      <c r="E905" s="11" t="inlineStr">
        <is>
          <t>00000000</t>
        </is>
      </c>
      <c r="F905" s="13" t="n">
        <v>-1</v>
      </c>
      <c r="G905" s="11" t="n">
        <v>21482610.37</v>
      </c>
    </row>
    <row r="906">
      <c r="A906" s="11" t="n">
        <v>905</v>
      </c>
      <c r="B906" s="12" t="n">
        <v>46037</v>
      </c>
      <c r="C906" s="11" t="inlineStr">
        <is>
          <t>CONSIGNACION CREDIBANCO D E</t>
        </is>
      </c>
      <c r="D906" s="11" t="inlineStr">
        <is>
          <t>ORITO</t>
        </is>
      </c>
      <c r="E906" s="11" t="inlineStr">
        <is>
          <t>00000000</t>
        </is>
      </c>
      <c r="F906" s="13" t="n">
        <v>54600</v>
      </c>
      <c r="G906" s="11" t="n">
        <v>21537210.37</v>
      </c>
    </row>
    <row r="907">
      <c r="A907" s="11" t="n">
        <v>906</v>
      </c>
      <c r="B907" s="12" t="n">
        <v>46037</v>
      </c>
      <c r="C907" s="11" t="inlineStr">
        <is>
          <t>COBRO COMISION DEPOSITOS ELECTRONICOS</t>
        </is>
      </c>
      <c r="D907" s="11" t="inlineStr">
        <is>
          <t>ORITO</t>
        </is>
      </c>
      <c r="E907" s="11" t="inlineStr">
        <is>
          <t>00000000</t>
        </is>
      </c>
      <c r="F907" s="13" t="n">
        <v>-1196</v>
      </c>
      <c r="G907" s="11" t="n">
        <v>21536014.37</v>
      </c>
    </row>
    <row r="908">
      <c r="A908" s="11" t="n">
        <v>907</v>
      </c>
      <c r="B908" s="12" t="n">
        <v>46037</v>
      </c>
      <c r="C908" s="11" t="inlineStr">
        <is>
          <t>GRAVAMEN A MOVIMIENTO FINANCIERO</t>
        </is>
      </c>
      <c r="D908" s="11" t="inlineStr">
        <is>
          <t>ORITO</t>
        </is>
      </c>
      <c r="E908" s="11" t="inlineStr">
        <is>
          <t>00000000</t>
        </is>
      </c>
      <c r="F908" s="13" t="n">
        <v>-5</v>
      </c>
      <c r="G908" s="11" t="n">
        <v>21536009.37</v>
      </c>
    </row>
    <row r="909">
      <c r="A909" s="11" t="n">
        <v>908</v>
      </c>
      <c r="B909" s="12" t="n">
        <v>46037</v>
      </c>
      <c r="C909" s="11" t="inlineStr">
        <is>
          <t>RETEFUENTE D E Y VOUCHER CREDIBANCO</t>
        </is>
      </c>
      <c r="D909" s="11" t="inlineStr">
        <is>
          <t>ORITO</t>
        </is>
      </c>
      <c r="E909" s="11" t="inlineStr">
        <is>
          <t>00000000</t>
        </is>
      </c>
      <c r="F909" s="13" t="n">
        <v>-819</v>
      </c>
      <c r="G909" s="11" t="n">
        <v>21535190.37</v>
      </c>
    </row>
    <row r="910">
      <c r="A910" s="11" t="n">
        <v>909</v>
      </c>
      <c r="B910" s="12" t="n">
        <v>46037</v>
      </c>
      <c r="C910" s="11" t="inlineStr">
        <is>
          <t>GRAVAMEN A MOVIMIENTO FINANCIERO</t>
        </is>
      </c>
      <c r="D910" s="11" t="inlineStr">
        <is>
          <t>ORITO</t>
        </is>
      </c>
      <c r="E910" s="11" t="inlineStr">
        <is>
          <t>00000000</t>
        </is>
      </c>
      <c r="F910" s="13" t="n">
        <v>-3</v>
      </c>
      <c r="G910" s="11" t="n">
        <v>21535187.37</v>
      </c>
    </row>
    <row r="911">
      <c r="A911" s="11" t="n">
        <v>910</v>
      </c>
      <c r="B911" s="12" t="n">
        <v>46037</v>
      </c>
      <c r="C911" s="11" t="inlineStr">
        <is>
          <t>CONSIGNACION CREDIBANCO D E</t>
        </is>
      </c>
      <c r="D911" s="11" t="inlineStr">
        <is>
          <t>ORITO</t>
        </is>
      </c>
      <c r="E911" s="11" t="inlineStr">
        <is>
          <t>00000000</t>
        </is>
      </c>
      <c r="F911" s="13" t="n">
        <v>239700</v>
      </c>
      <c r="G911" s="11" t="n">
        <v>21774887.37</v>
      </c>
    </row>
    <row r="912">
      <c r="A912" s="11" t="n">
        <v>911</v>
      </c>
      <c r="B912" s="12" t="n">
        <v>46037</v>
      </c>
      <c r="C912" s="11" t="inlineStr">
        <is>
          <t>COBRO COMISION DEPOSITOS ELECTRONICOS</t>
        </is>
      </c>
      <c r="D912" s="11" t="inlineStr">
        <is>
          <t>ORITO</t>
        </is>
      </c>
      <c r="E912" s="11" t="inlineStr">
        <is>
          <t>00000000</t>
        </is>
      </c>
      <c r="F912" s="13" t="n">
        <v>-5249</v>
      </c>
      <c r="G912" s="11" t="n">
        <v>21769638.37</v>
      </c>
    </row>
    <row r="913">
      <c r="A913" s="11" t="n">
        <v>912</v>
      </c>
      <c r="B913" s="12" t="n">
        <v>46037</v>
      </c>
      <c r="C913" s="11" t="inlineStr">
        <is>
          <t>GRAVAMEN A MOVIMIENTO FINANCIERO</t>
        </is>
      </c>
      <c r="D913" s="11" t="inlineStr">
        <is>
          <t>ORITO</t>
        </is>
      </c>
      <c r="E913" s="11" t="inlineStr">
        <is>
          <t>00000000</t>
        </is>
      </c>
      <c r="F913" s="13" t="n">
        <v>-21</v>
      </c>
      <c r="G913" s="11" t="n">
        <v>21769617.37</v>
      </c>
    </row>
    <row r="914">
      <c r="A914" s="11" t="n">
        <v>913</v>
      </c>
      <c r="B914" s="12" t="n">
        <v>46037</v>
      </c>
      <c r="C914" s="11" t="inlineStr">
        <is>
          <t>RETEFUENTE D E Y VOUCHER CREDIBANCO</t>
        </is>
      </c>
      <c r="D914" s="11" t="inlineStr">
        <is>
          <t>ORITO</t>
        </is>
      </c>
      <c r="E914" s="11" t="inlineStr">
        <is>
          <t>00000000</t>
        </is>
      </c>
      <c r="F914" s="13" t="n">
        <v>-3596</v>
      </c>
      <c r="G914" s="11" t="n">
        <v>21766021.37</v>
      </c>
    </row>
    <row r="915">
      <c r="A915" s="11" t="n">
        <v>914</v>
      </c>
      <c r="B915" s="12" t="n">
        <v>46037</v>
      </c>
      <c r="C915" s="11" t="inlineStr">
        <is>
          <t>GRAVAMEN A MOVIMIENTO FINANCIERO</t>
        </is>
      </c>
      <c r="D915" s="11" t="inlineStr">
        <is>
          <t>ORITO</t>
        </is>
      </c>
      <c r="E915" s="11" t="inlineStr">
        <is>
          <t>00000000</t>
        </is>
      </c>
      <c r="F915" s="13" t="n">
        <v>-14</v>
      </c>
      <c r="G915" s="11" t="n">
        <v>21766007.37</v>
      </c>
    </row>
    <row r="916">
      <c r="A916" s="11" t="n">
        <v>915</v>
      </c>
      <c r="B916" s="12" t="n">
        <v>46037</v>
      </c>
      <c r="C916" s="11" t="inlineStr">
        <is>
          <t>CONSIGNACION CREDIBANCO D E</t>
        </is>
      </c>
      <c r="D916" s="11" t="inlineStr">
        <is>
          <t>ORITO</t>
        </is>
      </c>
      <c r="E916" s="11" t="inlineStr">
        <is>
          <t>00000000</t>
        </is>
      </c>
      <c r="F916" s="13" t="n">
        <v>46900</v>
      </c>
      <c r="G916" s="11" t="n">
        <v>21812907.37</v>
      </c>
    </row>
    <row r="917">
      <c r="A917" s="11" t="n">
        <v>916</v>
      </c>
      <c r="B917" s="12" t="n">
        <v>46037</v>
      </c>
      <c r="C917" s="11" t="inlineStr">
        <is>
          <t>COBRO COMISION DEPOSITOS ELECTRONICOS</t>
        </is>
      </c>
      <c r="D917" s="11" t="inlineStr">
        <is>
          <t>ORITO</t>
        </is>
      </c>
      <c r="E917" s="11" t="inlineStr">
        <is>
          <t>00000000</t>
        </is>
      </c>
      <c r="F917" s="13" t="n">
        <v>-1027</v>
      </c>
      <c r="G917" s="11" t="n">
        <v>21811880.37</v>
      </c>
    </row>
    <row r="918">
      <c r="A918" s="11" t="n">
        <v>917</v>
      </c>
      <c r="B918" s="12" t="n">
        <v>46037</v>
      </c>
      <c r="C918" s="11" t="inlineStr">
        <is>
          <t>GRAVAMEN A MOVIMIENTO FINANCIERO</t>
        </is>
      </c>
      <c r="D918" s="11" t="inlineStr">
        <is>
          <t>ORITO</t>
        </is>
      </c>
      <c r="E918" s="11" t="inlineStr">
        <is>
          <t>00000000</t>
        </is>
      </c>
      <c r="F918" s="13" t="n">
        <v>-4</v>
      </c>
      <c r="G918" s="11" t="n">
        <v>21811876.37</v>
      </c>
    </row>
    <row r="919">
      <c r="A919" s="11" t="n">
        <v>918</v>
      </c>
      <c r="B919" s="12" t="n">
        <v>46037</v>
      </c>
      <c r="C919" s="11" t="inlineStr">
        <is>
          <t>RETEFUENTE D E Y VOUCHER CREDIBANCO</t>
        </is>
      </c>
      <c r="D919" s="11" t="inlineStr">
        <is>
          <t>ORITO</t>
        </is>
      </c>
      <c r="E919" s="11" t="inlineStr">
        <is>
          <t>00000000</t>
        </is>
      </c>
      <c r="F919" s="13" t="n">
        <v>-704</v>
      </c>
      <c r="G919" s="11" t="n">
        <v>21811172.37</v>
      </c>
    </row>
    <row r="920">
      <c r="A920" s="11" t="n">
        <v>919</v>
      </c>
      <c r="B920" s="12" t="n">
        <v>46037</v>
      </c>
      <c r="C920" s="11" t="inlineStr">
        <is>
          <t>GRAVAMEN A MOVIMIENTO FINANCIERO</t>
        </is>
      </c>
      <c r="D920" s="11" t="inlineStr">
        <is>
          <t>ORITO</t>
        </is>
      </c>
      <c r="E920" s="11" t="inlineStr">
        <is>
          <t>00000000</t>
        </is>
      </c>
      <c r="F920" s="13" t="n">
        <v>-3</v>
      </c>
      <c r="G920" s="11" t="n">
        <v>21811169.37</v>
      </c>
    </row>
    <row r="921">
      <c r="A921" s="11" t="n">
        <v>920</v>
      </c>
      <c r="B921" s="12" t="n">
        <v>46037</v>
      </c>
      <c r="C921" s="11" t="inlineStr">
        <is>
          <t>CONSIGNACION CREDIBANCO D E</t>
        </is>
      </c>
      <c r="D921" s="11" t="inlineStr">
        <is>
          <t>ORITO</t>
        </is>
      </c>
      <c r="E921" s="11" t="inlineStr">
        <is>
          <t>00000000</t>
        </is>
      </c>
      <c r="F921" s="13" t="n">
        <v>180920</v>
      </c>
      <c r="G921" s="11" t="n">
        <v>21992089.37</v>
      </c>
    </row>
    <row r="922">
      <c r="A922" s="11" t="n">
        <v>921</v>
      </c>
      <c r="B922" s="12" t="n">
        <v>46037</v>
      </c>
      <c r="C922" s="11" t="inlineStr">
        <is>
          <t>COBRO COMISION DEPOSITOS ELECTRONICOS</t>
        </is>
      </c>
      <c r="D922" s="11" t="inlineStr">
        <is>
          <t>ORITO</t>
        </is>
      </c>
      <c r="E922" s="11" t="inlineStr">
        <is>
          <t>00000000</t>
        </is>
      </c>
      <c r="F922" s="13" t="n">
        <v>-3962</v>
      </c>
      <c r="G922" s="11" t="n">
        <v>21988127.37</v>
      </c>
    </row>
    <row r="923">
      <c r="A923" s="11" t="n">
        <v>922</v>
      </c>
      <c r="B923" s="12" t="n">
        <v>46037</v>
      </c>
      <c r="C923" s="11" t="inlineStr">
        <is>
          <t>GRAVAMEN A MOVIMIENTO FINANCIERO</t>
        </is>
      </c>
      <c r="D923" s="11" t="inlineStr">
        <is>
          <t>ORITO</t>
        </is>
      </c>
      <c r="E923" s="11" t="inlineStr">
        <is>
          <t>00000000</t>
        </is>
      </c>
      <c r="F923" s="13" t="n">
        <v>-16</v>
      </c>
      <c r="G923" s="11" t="n">
        <v>21988111.37</v>
      </c>
    </row>
    <row r="924">
      <c r="A924" s="11" t="n">
        <v>923</v>
      </c>
      <c r="B924" s="12" t="n">
        <v>46037</v>
      </c>
      <c r="C924" s="11" t="inlineStr">
        <is>
          <t>RETEFUENTE D E Y VOUCHER CREDIBANCO</t>
        </is>
      </c>
      <c r="D924" s="11" t="inlineStr">
        <is>
          <t>ORITO</t>
        </is>
      </c>
      <c r="E924" s="11" t="inlineStr">
        <is>
          <t>00000000</t>
        </is>
      </c>
      <c r="F924" s="13" t="n">
        <v>-2714</v>
      </c>
      <c r="G924" s="11" t="n">
        <v>21985397.37</v>
      </c>
    </row>
    <row r="925">
      <c r="A925" s="11" t="n">
        <v>924</v>
      </c>
      <c r="B925" s="12" t="n">
        <v>46037</v>
      </c>
      <c r="C925" s="11" t="inlineStr">
        <is>
          <t>GRAVAMEN A MOVIMIENTO FINANCIERO</t>
        </is>
      </c>
      <c r="D925" s="11" t="inlineStr">
        <is>
          <t>ORITO</t>
        </is>
      </c>
      <c r="E925" s="11" t="inlineStr">
        <is>
          <t>00000000</t>
        </is>
      </c>
      <c r="F925" s="13" t="n">
        <v>-11</v>
      </c>
      <c r="G925" s="11" t="n">
        <v>21985386.37</v>
      </c>
    </row>
    <row r="926">
      <c r="A926" s="11" t="n">
        <v>925</v>
      </c>
      <c r="B926" s="12" t="n">
        <v>46037</v>
      </c>
      <c r="C926" s="11" t="inlineStr">
        <is>
          <t>CONSIGNACION CREDIBANCO D E</t>
        </is>
      </c>
      <c r="D926" s="11" t="inlineStr">
        <is>
          <t>ORITO</t>
        </is>
      </c>
      <c r="E926" s="11" t="inlineStr">
        <is>
          <t>00000000</t>
        </is>
      </c>
      <c r="F926" s="13" t="n">
        <v>51300</v>
      </c>
      <c r="G926" s="11" t="n">
        <v>22036686.37</v>
      </c>
    </row>
    <row r="927">
      <c r="A927" s="11" t="n">
        <v>926</v>
      </c>
      <c r="B927" s="12" t="n">
        <v>46037</v>
      </c>
      <c r="C927" s="11" t="inlineStr">
        <is>
          <t>COBRO COMISION DEPOSITOS ELECTRONICOS</t>
        </is>
      </c>
      <c r="D927" s="11" t="inlineStr">
        <is>
          <t>ORITO</t>
        </is>
      </c>
      <c r="E927" s="11" t="inlineStr">
        <is>
          <t>00000000</t>
        </is>
      </c>
      <c r="F927" s="13" t="n">
        <v>-1123</v>
      </c>
      <c r="G927" s="11" t="n">
        <v>22035563.37</v>
      </c>
    </row>
    <row r="928">
      <c r="A928" s="11" t="n">
        <v>927</v>
      </c>
      <c r="B928" s="12" t="n">
        <v>46037</v>
      </c>
      <c r="C928" s="11" t="inlineStr">
        <is>
          <t>GRAVAMEN A MOVIMIENTO FINANCIERO</t>
        </is>
      </c>
      <c r="D928" s="11" t="inlineStr">
        <is>
          <t>ORITO</t>
        </is>
      </c>
      <c r="E928" s="11" t="inlineStr">
        <is>
          <t>00000000</t>
        </is>
      </c>
      <c r="F928" s="13" t="n">
        <v>-4</v>
      </c>
      <c r="G928" s="11" t="n">
        <v>22035559.37</v>
      </c>
    </row>
    <row r="929">
      <c r="A929" s="11" t="n">
        <v>928</v>
      </c>
      <c r="B929" s="12" t="n">
        <v>46037</v>
      </c>
      <c r="C929" s="11" t="inlineStr">
        <is>
          <t>RETEFUENTE D E Y VOUCHER CREDIBANCO</t>
        </is>
      </c>
      <c r="D929" s="11" t="inlineStr">
        <is>
          <t>ORITO</t>
        </is>
      </c>
      <c r="E929" s="11" t="inlineStr">
        <is>
          <t>00000000</t>
        </is>
      </c>
      <c r="F929" s="13" t="n">
        <v>-770</v>
      </c>
      <c r="G929" s="11" t="n">
        <v>22034789.37</v>
      </c>
    </row>
    <row r="930">
      <c r="A930" s="11" t="n">
        <v>929</v>
      </c>
      <c r="B930" s="12" t="n">
        <v>46037</v>
      </c>
      <c r="C930" s="11" t="inlineStr">
        <is>
          <t>GRAVAMEN A MOVIMIENTO FINANCIERO</t>
        </is>
      </c>
      <c r="D930" s="11" t="inlineStr">
        <is>
          <t>ORITO</t>
        </is>
      </c>
      <c r="E930" s="11" t="inlineStr">
        <is>
          <t>00000000</t>
        </is>
      </c>
      <c r="F930" s="13" t="n">
        <v>-3</v>
      </c>
      <c r="G930" s="11" t="n">
        <v>22034786.37</v>
      </c>
    </row>
    <row r="931">
      <c r="A931" s="11" t="n">
        <v>930</v>
      </c>
      <c r="B931" s="12" t="n">
        <v>46037</v>
      </c>
      <c r="C931" s="11" t="inlineStr">
        <is>
          <t>CONSIGNACION CREDIBANCO D E</t>
        </is>
      </c>
      <c r="D931" s="11" t="inlineStr">
        <is>
          <t>ORITO</t>
        </is>
      </c>
      <c r="E931" s="11" t="inlineStr">
        <is>
          <t>00000000</t>
        </is>
      </c>
      <c r="F931" s="13" t="n">
        <v>106733</v>
      </c>
      <c r="G931" s="11" t="n">
        <v>22141519.37</v>
      </c>
    </row>
    <row r="932">
      <c r="A932" s="11" t="n">
        <v>931</v>
      </c>
      <c r="B932" s="12" t="n">
        <v>46037</v>
      </c>
      <c r="C932" s="11" t="inlineStr">
        <is>
          <t>COBRO COMISION DEPOSITOS ELECTRONICOS</t>
        </is>
      </c>
      <c r="D932" s="11" t="inlineStr">
        <is>
          <t>ORITO</t>
        </is>
      </c>
      <c r="E932" s="11" t="inlineStr">
        <is>
          <t>00000000</t>
        </is>
      </c>
      <c r="F932" s="13" t="n">
        <v>-2305</v>
      </c>
      <c r="G932" s="11" t="n">
        <v>22139214.37</v>
      </c>
    </row>
    <row r="933">
      <c r="A933" s="11" t="n">
        <v>932</v>
      </c>
      <c r="B933" s="12" t="n">
        <v>46037</v>
      </c>
      <c r="C933" s="11" t="inlineStr">
        <is>
          <t>GRAVAMEN A MOVIMIENTO FINANCIERO</t>
        </is>
      </c>
      <c r="D933" s="11" t="inlineStr">
        <is>
          <t>ORITO</t>
        </is>
      </c>
      <c r="E933" s="11" t="inlineStr">
        <is>
          <t>00000000</t>
        </is>
      </c>
      <c r="F933" s="13" t="n">
        <v>-9</v>
      </c>
      <c r="G933" s="11" t="n">
        <v>22139205.37</v>
      </c>
    </row>
    <row r="934">
      <c r="A934" s="11" t="n">
        <v>933</v>
      </c>
      <c r="B934" s="12" t="n">
        <v>46037</v>
      </c>
      <c r="C934" s="11" t="inlineStr">
        <is>
          <t>RETEFUENTE D E Y VOUCHER CREDIBANCO</t>
        </is>
      </c>
      <c r="D934" s="11" t="inlineStr">
        <is>
          <t>ORITO</t>
        </is>
      </c>
      <c r="E934" s="11" t="inlineStr">
        <is>
          <t>00000000</t>
        </is>
      </c>
      <c r="F934" s="13" t="n">
        <v>-1601</v>
      </c>
      <c r="G934" s="11" t="n">
        <v>22137604.37</v>
      </c>
    </row>
    <row r="935">
      <c r="A935" s="11" t="n">
        <v>934</v>
      </c>
      <c r="B935" s="12" t="n">
        <v>46037</v>
      </c>
      <c r="C935" s="11" t="inlineStr">
        <is>
          <t>GRAVAMEN A MOVIMIENTO FINANCIERO</t>
        </is>
      </c>
      <c r="D935" s="11" t="inlineStr">
        <is>
          <t>ORITO</t>
        </is>
      </c>
      <c r="E935" s="11" t="inlineStr">
        <is>
          <t>00000000</t>
        </is>
      </c>
      <c r="F935" s="13" t="n">
        <v>-6</v>
      </c>
      <c r="G935" s="11" t="n">
        <v>22137598.37</v>
      </c>
    </row>
    <row r="936">
      <c r="A936" s="11" t="n">
        <v>935</v>
      </c>
      <c r="B936" s="12" t="n">
        <v>46037</v>
      </c>
      <c r="C936" s="11" t="inlineStr">
        <is>
          <t>DEPOSITOS ELECTRONICOS TRANSACCION MASTERCA</t>
        </is>
      </c>
      <c r="D936" s="11" t="inlineStr">
        <is>
          <t>ORITO</t>
        </is>
      </c>
      <c r="E936" s="11" t="inlineStr">
        <is>
          <t>00000000</t>
        </is>
      </c>
      <c r="F936" s="13" t="n">
        <v>79100</v>
      </c>
      <c r="G936" s="11" t="n">
        <v>22216698.37</v>
      </c>
    </row>
    <row r="937">
      <c r="A937" s="11" t="n">
        <v>936</v>
      </c>
      <c r="B937" s="12" t="n">
        <v>46037</v>
      </c>
      <c r="C937" s="11" t="inlineStr">
        <is>
          <t>COMISION DEPOSITOS ELECTRONICOS MASTERCARD</t>
        </is>
      </c>
      <c r="D937" s="11" t="inlineStr">
        <is>
          <t>ORITO</t>
        </is>
      </c>
      <c r="E937" s="11" t="inlineStr">
        <is>
          <t>00000000</t>
        </is>
      </c>
      <c r="F937" s="13" t="n">
        <v>-1503</v>
      </c>
      <c r="G937" s="11" t="n">
        <v>22215195.37</v>
      </c>
    </row>
    <row r="938">
      <c r="A938" s="11" t="n">
        <v>937</v>
      </c>
      <c r="B938" s="12" t="n">
        <v>46037</v>
      </c>
      <c r="C938" s="11" t="inlineStr">
        <is>
          <t>GRAVAMEN A MOVIMIENTO FINANCIERO</t>
        </is>
      </c>
      <c r="D938" s="11" t="inlineStr">
        <is>
          <t>ORITO</t>
        </is>
      </c>
      <c r="E938" s="11" t="inlineStr">
        <is>
          <t>00000000</t>
        </is>
      </c>
      <c r="F938" s="13" t="n">
        <v>-6</v>
      </c>
      <c r="G938" s="11" t="n">
        <v>22215189.37</v>
      </c>
    </row>
    <row r="939">
      <c r="A939" s="11" t="n">
        <v>938</v>
      </c>
      <c r="B939" s="12" t="n">
        <v>46037</v>
      </c>
      <c r="C939" s="11" t="inlineStr">
        <is>
          <t>RETEFUENTE DEPOSITOS ELECTRONICOS MASTERCAR</t>
        </is>
      </c>
      <c r="D939" s="11" t="inlineStr">
        <is>
          <t>ORITO</t>
        </is>
      </c>
      <c r="E939" s="11" t="inlineStr">
        <is>
          <t>00000000</t>
        </is>
      </c>
      <c r="F939" s="13" t="n">
        <v>-1187</v>
      </c>
      <c r="G939" s="11" t="n">
        <v>22214002.37</v>
      </c>
    </row>
    <row r="940">
      <c r="A940" s="11" t="n">
        <v>939</v>
      </c>
      <c r="B940" s="12" t="n">
        <v>46037</v>
      </c>
      <c r="C940" s="11" t="inlineStr">
        <is>
          <t>GRAVAMEN A MOVIMIENTO FINANCIERO</t>
        </is>
      </c>
      <c r="D940" s="11" t="inlineStr">
        <is>
          <t>ORITO</t>
        </is>
      </c>
      <c r="E940" s="11" t="inlineStr">
        <is>
          <t>00000000</t>
        </is>
      </c>
      <c r="F940" s="13" t="n">
        <v>-5</v>
      </c>
      <c r="G940" s="11" t="n">
        <v>22213997.37</v>
      </c>
    </row>
    <row r="941">
      <c r="A941" s="11" t="n">
        <v>940</v>
      </c>
      <c r="B941" s="12" t="n">
        <v>46037</v>
      </c>
      <c r="C941" s="11" t="inlineStr">
        <is>
          <t>DEPOSITOS ELECTRONICOS TRANSACCION MASTERCA</t>
        </is>
      </c>
      <c r="D941" s="11" t="inlineStr">
        <is>
          <t>ORITO</t>
        </is>
      </c>
      <c r="E941" s="11" t="inlineStr">
        <is>
          <t>00000000</t>
        </is>
      </c>
      <c r="F941" s="13" t="n">
        <v>104000</v>
      </c>
      <c r="G941" s="11" t="n">
        <v>22317997.37</v>
      </c>
    </row>
    <row r="942">
      <c r="A942" s="11" t="n">
        <v>941</v>
      </c>
      <c r="B942" s="12" t="n">
        <v>46037</v>
      </c>
      <c r="C942" s="11" t="inlineStr">
        <is>
          <t>COMISION DEPOSITOS ELECTRONICOS MASTERCARD</t>
        </is>
      </c>
      <c r="D942" s="11" t="inlineStr">
        <is>
          <t>ORITO</t>
        </is>
      </c>
      <c r="E942" s="11" t="inlineStr">
        <is>
          <t>00000000</t>
        </is>
      </c>
      <c r="F942" s="13" t="n">
        <v>-1976</v>
      </c>
      <c r="G942" s="11" t="n">
        <v>22316021.37</v>
      </c>
    </row>
    <row r="943">
      <c r="A943" s="11" t="n">
        <v>942</v>
      </c>
      <c r="B943" s="12" t="n">
        <v>46037</v>
      </c>
      <c r="C943" s="11" t="inlineStr">
        <is>
          <t>GRAVAMEN A MOVIMIENTO FINANCIERO</t>
        </is>
      </c>
      <c r="D943" s="11" t="inlineStr">
        <is>
          <t>ORITO</t>
        </is>
      </c>
      <c r="E943" s="11" t="inlineStr">
        <is>
          <t>00000000</t>
        </is>
      </c>
      <c r="F943" s="13" t="n">
        <v>-8</v>
      </c>
      <c r="G943" s="11" t="n">
        <v>22316013.37</v>
      </c>
    </row>
    <row r="944">
      <c r="A944" s="11" t="n">
        <v>943</v>
      </c>
      <c r="B944" s="12" t="n">
        <v>46037</v>
      </c>
      <c r="C944" s="11" t="inlineStr">
        <is>
          <t>RETEFUENTE DEPOSITOS ELECTRONICOS MASTERCAR</t>
        </is>
      </c>
      <c r="D944" s="11" t="inlineStr">
        <is>
          <t>ORITO</t>
        </is>
      </c>
      <c r="E944" s="11" t="inlineStr">
        <is>
          <t>00000000</t>
        </is>
      </c>
      <c r="F944" s="13" t="n">
        <v>-1560</v>
      </c>
      <c r="G944" s="11" t="n">
        <v>22314453.37</v>
      </c>
    </row>
    <row r="945">
      <c r="A945" s="11" t="n">
        <v>944</v>
      </c>
      <c r="B945" s="12" t="n">
        <v>46037</v>
      </c>
      <c r="C945" s="11" t="inlineStr">
        <is>
          <t>GRAVAMEN A MOVIMIENTO FINANCIERO</t>
        </is>
      </c>
      <c r="D945" s="11" t="inlineStr">
        <is>
          <t>ORITO</t>
        </is>
      </c>
      <c r="E945" s="11" t="inlineStr">
        <is>
          <t>00000000</t>
        </is>
      </c>
      <c r="F945" s="13" t="n">
        <v>-6</v>
      </c>
      <c r="G945" s="11" t="n">
        <v>22314447.37</v>
      </c>
    </row>
    <row r="946">
      <c r="A946" s="11" t="n">
        <v>945</v>
      </c>
      <c r="B946" s="12" t="n">
        <v>46037</v>
      </c>
      <c r="C946" s="11" t="inlineStr">
        <is>
          <t>DEPOSITOS ELECTRONICOS TRANSACCION MASTERCA</t>
        </is>
      </c>
      <c r="D946" s="11" t="inlineStr">
        <is>
          <t>ORITO</t>
        </is>
      </c>
      <c r="E946" s="11" t="inlineStr">
        <is>
          <t>00000000</t>
        </is>
      </c>
      <c r="F946" s="13" t="n">
        <v>74500</v>
      </c>
      <c r="G946" s="11" t="n">
        <v>22388947.37</v>
      </c>
    </row>
    <row r="947">
      <c r="A947" s="11" t="n">
        <v>946</v>
      </c>
      <c r="B947" s="12" t="n">
        <v>46037</v>
      </c>
      <c r="C947" s="11" t="inlineStr">
        <is>
          <t>COMISION DEPOSITOS ELECTRONICOS MASTERCARD</t>
        </is>
      </c>
      <c r="D947" s="11" t="inlineStr">
        <is>
          <t>ORITO</t>
        </is>
      </c>
      <c r="E947" s="11" t="inlineStr">
        <is>
          <t>00000000</t>
        </is>
      </c>
      <c r="F947" s="13" t="n">
        <v>-1416</v>
      </c>
      <c r="G947" s="11" t="n">
        <v>22387531.37</v>
      </c>
    </row>
    <row r="948">
      <c r="A948" s="11" t="n">
        <v>947</v>
      </c>
      <c r="B948" s="12" t="n">
        <v>46037</v>
      </c>
      <c r="C948" s="11" t="inlineStr">
        <is>
          <t>GRAVAMEN A MOVIMIENTO FINANCIERO</t>
        </is>
      </c>
      <c r="D948" s="11" t="inlineStr">
        <is>
          <t>ORITO</t>
        </is>
      </c>
      <c r="E948" s="11" t="inlineStr">
        <is>
          <t>00000000</t>
        </is>
      </c>
      <c r="F948" s="13" t="n">
        <v>-6</v>
      </c>
      <c r="G948" s="11" t="n">
        <v>22387525.37</v>
      </c>
    </row>
    <row r="949">
      <c r="A949" s="11" t="n">
        <v>948</v>
      </c>
      <c r="B949" s="12" t="n">
        <v>46037</v>
      </c>
      <c r="C949" s="11" t="inlineStr">
        <is>
          <t>RETEFUENTE DEPOSITOS ELECTRONICOS MASTERCAR</t>
        </is>
      </c>
      <c r="D949" s="11" t="inlineStr">
        <is>
          <t>ORITO</t>
        </is>
      </c>
      <c r="E949" s="11" t="inlineStr">
        <is>
          <t>00000000</t>
        </is>
      </c>
      <c r="F949" s="13" t="n">
        <v>-1118</v>
      </c>
      <c r="G949" s="11" t="n">
        <v>22386407.37</v>
      </c>
    </row>
    <row r="950">
      <c r="A950" s="11" t="n">
        <v>949</v>
      </c>
      <c r="B950" s="12" t="n">
        <v>46037</v>
      </c>
      <c r="C950" s="11" t="inlineStr">
        <is>
          <t>GRAVAMEN A MOVIMIENTO FINANCIERO</t>
        </is>
      </c>
      <c r="D950" s="11" t="inlineStr">
        <is>
          <t>ORITO</t>
        </is>
      </c>
      <c r="E950" s="11" t="inlineStr">
        <is>
          <t>00000000</t>
        </is>
      </c>
      <c r="F950" s="13" t="n">
        <v>-4</v>
      </c>
      <c r="G950" s="11" t="n">
        <v>22386403.37</v>
      </c>
    </row>
    <row r="951">
      <c r="A951" s="11" t="n">
        <v>950</v>
      </c>
      <c r="B951" s="12" t="n">
        <v>46038</v>
      </c>
      <c r="C951" s="11" t="inlineStr">
        <is>
          <t>DEPOSITOS ELECTRONICOS TRANSACCION MASTERCA</t>
        </is>
      </c>
      <c r="D951" s="11" t="inlineStr">
        <is>
          <t>ORITO</t>
        </is>
      </c>
      <c r="E951" s="11" t="inlineStr">
        <is>
          <t>00000000</t>
        </is>
      </c>
      <c r="F951" s="13" t="n">
        <v>139800</v>
      </c>
      <c r="G951" s="11" t="n">
        <v>22526203.37</v>
      </c>
    </row>
    <row r="952">
      <c r="A952" s="11" t="n">
        <v>951</v>
      </c>
      <c r="B952" s="12" t="n">
        <v>46038</v>
      </c>
      <c r="C952" s="11" t="inlineStr">
        <is>
          <t>COMISION DEPOSITOS ELECTRONICOS MASTERCARD</t>
        </is>
      </c>
      <c r="D952" s="11" t="inlineStr">
        <is>
          <t>ORITO</t>
        </is>
      </c>
      <c r="E952" s="11" t="inlineStr">
        <is>
          <t>00000000</t>
        </is>
      </c>
      <c r="F952" s="13" t="n">
        <v>-2656</v>
      </c>
      <c r="G952" s="11" t="n">
        <v>22523547.37</v>
      </c>
    </row>
    <row r="953">
      <c r="A953" s="11" t="n">
        <v>952</v>
      </c>
      <c r="B953" s="12" t="n">
        <v>46038</v>
      </c>
      <c r="C953" s="11" t="inlineStr">
        <is>
          <t>GRAVAMEN A MOVIMIENTO FINANCIERO</t>
        </is>
      </c>
      <c r="D953" s="11" t="inlineStr">
        <is>
          <t>ORITO</t>
        </is>
      </c>
      <c r="E953" s="11" t="inlineStr">
        <is>
          <t>00000000</t>
        </is>
      </c>
      <c r="F953" s="13" t="n">
        <v>-11</v>
      </c>
      <c r="G953" s="11" t="n">
        <v>22523536.37</v>
      </c>
    </row>
    <row r="954">
      <c r="A954" s="11" t="n">
        <v>953</v>
      </c>
      <c r="B954" s="12" t="n">
        <v>46038</v>
      </c>
      <c r="C954" s="11" t="inlineStr">
        <is>
          <t>RETEFUENTE DEPOSITOS ELECTRONICOS MASTERCAR</t>
        </is>
      </c>
      <c r="D954" s="11" t="inlineStr">
        <is>
          <t>ORITO</t>
        </is>
      </c>
      <c r="E954" s="11" t="inlineStr">
        <is>
          <t>00000000</t>
        </is>
      </c>
      <c r="F954" s="13" t="n">
        <v>-2097</v>
      </c>
      <c r="G954" s="11" t="n">
        <v>22521439.37</v>
      </c>
    </row>
    <row r="955">
      <c r="A955" s="11" t="n">
        <v>954</v>
      </c>
      <c r="B955" s="12" t="n">
        <v>46038</v>
      </c>
      <c r="C955" s="11" t="inlineStr">
        <is>
          <t>GRAVAMEN A MOVIMIENTO FINANCIERO</t>
        </is>
      </c>
      <c r="D955" s="11" t="inlineStr">
        <is>
          <t>ORITO</t>
        </is>
      </c>
      <c r="E955" s="11" t="inlineStr">
        <is>
          <t>00000000</t>
        </is>
      </c>
      <c r="F955" s="13" t="n">
        <v>-8</v>
      </c>
      <c r="G955" s="11" t="n">
        <v>22521431.37</v>
      </c>
    </row>
    <row r="956">
      <c r="A956" s="11" t="n">
        <v>955</v>
      </c>
      <c r="B956" s="12" t="n">
        <v>46038</v>
      </c>
      <c r="C956" s="11" t="inlineStr">
        <is>
          <t>DEPOSITOS ELECTRONICOS TRANSACCION MASTERCA</t>
        </is>
      </c>
      <c r="D956" s="11" t="inlineStr">
        <is>
          <t>ORITO</t>
        </is>
      </c>
      <c r="E956" s="11" t="inlineStr">
        <is>
          <t>00000000</t>
        </is>
      </c>
      <c r="F956" s="13" t="n">
        <v>40500</v>
      </c>
      <c r="G956" s="11" t="n">
        <v>22561931.37</v>
      </c>
    </row>
    <row r="957">
      <c r="A957" s="11" t="n">
        <v>956</v>
      </c>
      <c r="B957" s="12" t="n">
        <v>46038</v>
      </c>
      <c r="C957" s="11" t="inlineStr">
        <is>
          <t>COMISION DEPOSITOS ELECTRONICOS MASTERCARD</t>
        </is>
      </c>
      <c r="D957" s="11" t="inlineStr">
        <is>
          <t>ORITO</t>
        </is>
      </c>
      <c r="E957" s="11" t="inlineStr">
        <is>
          <t>00000000</t>
        </is>
      </c>
      <c r="F957" s="13" t="n">
        <v>-770</v>
      </c>
      <c r="G957" s="11" t="n">
        <v>22561161.37</v>
      </c>
    </row>
    <row r="958">
      <c r="A958" s="11" t="n">
        <v>957</v>
      </c>
      <c r="B958" s="12" t="n">
        <v>46038</v>
      </c>
      <c r="C958" s="11" t="inlineStr">
        <is>
          <t>GRAVAMEN A MOVIMIENTO FINANCIERO</t>
        </is>
      </c>
      <c r="D958" s="11" t="inlineStr">
        <is>
          <t>ORITO</t>
        </is>
      </c>
      <c r="E958" s="11" t="inlineStr">
        <is>
          <t>00000000</t>
        </is>
      </c>
      <c r="F958" s="13" t="n">
        <v>-3</v>
      </c>
      <c r="G958" s="11" t="n">
        <v>22561158.37</v>
      </c>
    </row>
    <row r="959">
      <c r="A959" s="11" t="n">
        <v>958</v>
      </c>
      <c r="B959" s="12" t="n">
        <v>46038</v>
      </c>
      <c r="C959" s="11" t="inlineStr">
        <is>
          <t>RETEFUENTE DEPOSITOS ELECTRONICOS MASTERCAR</t>
        </is>
      </c>
      <c r="D959" s="11" t="inlineStr">
        <is>
          <t>ORITO</t>
        </is>
      </c>
      <c r="E959" s="11" t="inlineStr">
        <is>
          <t>00000000</t>
        </is>
      </c>
      <c r="F959" s="13" t="n">
        <v>-608</v>
      </c>
      <c r="G959" s="11" t="n">
        <v>22560550.37</v>
      </c>
    </row>
    <row r="960">
      <c r="A960" s="11" t="n">
        <v>959</v>
      </c>
      <c r="B960" s="12" t="n">
        <v>46038</v>
      </c>
      <c r="C960" s="11" t="inlineStr">
        <is>
          <t>GRAVAMEN A MOVIMIENTO FINANCIERO</t>
        </is>
      </c>
      <c r="D960" s="11" t="inlineStr">
        <is>
          <t>ORITO</t>
        </is>
      </c>
      <c r="E960" s="11" t="inlineStr">
        <is>
          <t>00000000</t>
        </is>
      </c>
      <c r="F960" s="13" t="n">
        <v>-2</v>
      </c>
      <c r="G960" s="11" t="n">
        <v>22560548.37</v>
      </c>
    </row>
    <row r="961">
      <c r="A961" s="11" t="n">
        <v>960</v>
      </c>
      <c r="B961" s="12" t="n">
        <v>46038</v>
      </c>
      <c r="C961" s="11" t="inlineStr">
        <is>
          <t>DEPOSITOS ELECTRONICOS TRANSACCION MASTERCA</t>
        </is>
      </c>
      <c r="D961" s="11" t="inlineStr">
        <is>
          <t>ORITO</t>
        </is>
      </c>
      <c r="E961" s="11" t="inlineStr">
        <is>
          <t>00000000</t>
        </is>
      </c>
      <c r="F961" s="13" t="n">
        <v>62000</v>
      </c>
      <c r="G961" s="11" t="n">
        <v>22622548.37</v>
      </c>
    </row>
    <row r="962">
      <c r="A962" s="11" t="n">
        <v>961</v>
      </c>
      <c r="B962" s="12" t="n">
        <v>46038</v>
      </c>
      <c r="C962" s="11" t="inlineStr">
        <is>
          <t>COMISION DEPOSITOS ELECTRONICOS MASTERCARD</t>
        </is>
      </c>
      <c r="D962" s="11" t="inlineStr">
        <is>
          <t>ORITO</t>
        </is>
      </c>
      <c r="E962" s="11" t="inlineStr">
        <is>
          <t>00000000</t>
        </is>
      </c>
      <c r="F962" s="13" t="n">
        <v>-1178</v>
      </c>
      <c r="G962" s="11" t="n">
        <v>22621370.37</v>
      </c>
    </row>
    <row r="963">
      <c r="A963" s="11" t="n">
        <v>962</v>
      </c>
      <c r="B963" s="12" t="n">
        <v>46038</v>
      </c>
      <c r="C963" s="11" t="inlineStr">
        <is>
          <t>GRAVAMEN A MOVIMIENTO FINANCIERO</t>
        </is>
      </c>
      <c r="D963" s="11" t="inlineStr">
        <is>
          <t>ORITO</t>
        </is>
      </c>
      <c r="E963" s="11" t="inlineStr">
        <is>
          <t>00000000</t>
        </is>
      </c>
      <c r="F963" s="13" t="n">
        <v>-5</v>
      </c>
      <c r="G963" s="11" t="n">
        <v>22621365.37</v>
      </c>
    </row>
    <row r="964">
      <c r="A964" s="11" t="n">
        <v>963</v>
      </c>
      <c r="B964" s="12" t="n">
        <v>46038</v>
      </c>
      <c r="C964" s="11" t="inlineStr">
        <is>
          <t>RETEFUENTE DEPOSITOS ELECTRONICOS MASTERCAR</t>
        </is>
      </c>
      <c r="D964" s="11" t="inlineStr">
        <is>
          <t>ORITO</t>
        </is>
      </c>
      <c r="E964" s="11" t="inlineStr">
        <is>
          <t>00000000</t>
        </is>
      </c>
      <c r="F964" s="13" t="n">
        <v>-930</v>
      </c>
      <c r="G964" s="11" t="n">
        <v>22620435.37</v>
      </c>
    </row>
    <row r="965">
      <c r="A965" s="11" t="n">
        <v>964</v>
      </c>
      <c r="B965" s="12" t="n">
        <v>46038</v>
      </c>
      <c r="C965" s="11" t="inlineStr">
        <is>
          <t>GRAVAMEN A MOVIMIENTO FINANCIERO</t>
        </is>
      </c>
      <c r="D965" s="11" t="inlineStr">
        <is>
          <t>ORITO</t>
        </is>
      </c>
      <c r="E965" s="11" t="inlineStr">
        <is>
          <t>00000000</t>
        </is>
      </c>
      <c r="F965" s="13" t="n">
        <v>-4</v>
      </c>
      <c r="G965" s="11" t="n">
        <v>22620431.37</v>
      </c>
    </row>
    <row r="966">
      <c r="A966" s="11" t="n">
        <v>965</v>
      </c>
      <c r="B966" s="12" t="n">
        <v>46038</v>
      </c>
      <c r="C966" s="11" t="inlineStr">
        <is>
          <t>DEPOSITOS ELECTRONICOS TRANSACCION MASTERCA</t>
        </is>
      </c>
      <c r="D966" s="11" t="inlineStr">
        <is>
          <t>ORITO</t>
        </is>
      </c>
      <c r="E966" s="11" t="inlineStr">
        <is>
          <t>00000000</t>
        </is>
      </c>
      <c r="F966" s="13" t="n">
        <v>26000</v>
      </c>
      <c r="G966" s="11" t="n">
        <v>22646431.37</v>
      </c>
    </row>
    <row r="967">
      <c r="A967" s="11" t="n">
        <v>966</v>
      </c>
      <c r="B967" s="12" t="n">
        <v>46038</v>
      </c>
      <c r="C967" s="11" t="inlineStr">
        <is>
          <t>COMISION DEPOSITOS ELECTRONICOS MASTERCARD</t>
        </is>
      </c>
      <c r="D967" s="11" t="inlineStr">
        <is>
          <t>ORITO</t>
        </is>
      </c>
      <c r="E967" s="11" t="inlineStr">
        <is>
          <t>00000000</t>
        </is>
      </c>
      <c r="F967" s="13" t="n">
        <v>-494</v>
      </c>
      <c r="G967" s="11" t="n">
        <v>22645937.37</v>
      </c>
    </row>
    <row r="968">
      <c r="A968" s="11" t="n">
        <v>967</v>
      </c>
      <c r="B968" s="12" t="n">
        <v>46038</v>
      </c>
      <c r="C968" s="11" t="inlineStr">
        <is>
          <t>GRAVAMEN A MOVIMIENTO FINANCIERO</t>
        </is>
      </c>
      <c r="D968" s="11" t="inlineStr">
        <is>
          <t>ORITO</t>
        </is>
      </c>
      <c r="E968" s="11" t="inlineStr">
        <is>
          <t>00000000</t>
        </is>
      </c>
      <c r="F968" s="13" t="n">
        <v>-2</v>
      </c>
      <c r="G968" s="11" t="n">
        <v>22645935.37</v>
      </c>
    </row>
    <row r="969">
      <c r="A969" s="11" t="n">
        <v>968</v>
      </c>
      <c r="B969" s="12" t="n">
        <v>46038</v>
      </c>
      <c r="C969" s="11" t="inlineStr">
        <is>
          <t>RETEFUENTE DEPOSITOS ELECTRONICOS MASTERCAR</t>
        </is>
      </c>
      <c r="D969" s="11" t="inlineStr">
        <is>
          <t>ORITO</t>
        </is>
      </c>
      <c r="E969" s="11" t="inlineStr">
        <is>
          <t>00000000</t>
        </is>
      </c>
      <c r="F969" s="13" t="n">
        <v>-390</v>
      </c>
      <c r="G969" s="11" t="n">
        <v>22645545.37</v>
      </c>
    </row>
    <row r="970">
      <c r="A970" s="11" t="n">
        <v>969</v>
      </c>
      <c r="B970" s="12" t="n">
        <v>46038</v>
      </c>
      <c r="C970" s="11" t="inlineStr">
        <is>
          <t>GRAVAMEN A MOVIMIENTO FINANCIERO</t>
        </is>
      </c>
      <c r="D970" s="11" t="inlineStr">
        <is>
          <t>ORITO</t>
        </is>
      </c>
      <c r="E970" s="11" t="inlineStr">
        <is>
          <t>00000000</t>
        </is>
      </c>
      <c r="F970" s="13" t="n">
        <v>-2</v>
      </c>
      <c r="G970" s="11" t="n">
        <v>22645543.37</v>
      </c>
    </row>
    <row r="971">
      <c r="A971" s="11" t="n">
        <v>970</v>
      </c>
      <c r="B971" s="12" t="n">
        <v>46041</v>
      </c>
      <c r="C971" s="11" t="inlineStr">
        <is>
          <t>CONSIGNACION CREDIBANCO D E</t>
        </is>
      </c>
      <c r="D971" s="11" t="inlineStr">
        <is>
          <t>ORITO</t>
        </is>
      </c>
      <c r="E971" s="11" t="inlineStr">
        <is>
          <t>00000000</t>
        </is>
      </c>
      <c r="F971" s="13" t="n">
        <v>141400</v>
      </c>
      <c r="G971" s="11" t="n">
        <v>22786943.37</v>
      </c>
    </row>
    <row r="972">
      <c r="A972" s="11" t="n">
        <v>971</v>
      </c>
      <c r="B972" s="12" t="n">
        <v>46041</v>
      </c>
      <c r="C972" s="11" t="inlineStr">
        <is>
          <t>COBRO COMISION DEPOSITOS ELECTRONICOS</t>
        </is>
      </c>
      <c r="D972" s="11" t="inlineStr">
        <is>
          <t>ORITO</t>
        </is>
      </c>
      <c r="E972" s="11" t="inlineStr">
        <is>
          <t>00000000</t>
        </is>
      </c>
      <c r="F972" s="13" t="n">
        <v>-3054</v>
      </c>
      <c r="G972" s="11" t="n">
        <v>22783889.37</v>
      </c>
    </row>
    <row r="973">
      <c r="A973" s="11" t="n">
        <v>972</v>
      </c>
      <c r="B973" s="12" t="n">
        <v>46041</v>
      </c>
      <c r="C973" s="11" t="inlineStr">
        <is>
          <t>GRAVAMEN A MOVIMIENTO FINANCIERO</t>
        </is>
      </c>
      <c r="D973" s="11" t="inlineStr">
        <is>
          <t>ORITO</t>
        </is>
      </c>
      <c r="E973" s="11" t="inlineStr">
        <is>
          <t>00000000</t>
        </is>
      </c>
      <c r="F973" s="13" t="n">
        <v>-12</v>
      </c>
      <c r="G973" s="11" t="n">
        <v>22783877.37</v>
      </c>
    </row>
    <row r="974">
      <c r="A974" s="11" t="n">
        <v>973</v>
      </c>
      <c r="B974" s="12" t="n">
        <v>46041</v>
      </c>
      <c r="C974" s="11" t="inlineStr">
        <is>
          <t>RETEFUENTE D E Y VOUCHER CREDIBANCO</t>
        </is>
      </c>
      <c r="D974" s="11" t="inlineStr">
        <is>
          <t>ORITO</t>
        </is>
      </c>
      <c r="E974" s="11" t="inlineStr">
        <is>
          <t>00000000</t>
        </is>
      </c>
      <c r="F974" s="13" t="n">
        <v>-2121</v>
      </c>
      <c r="G974" s="11" t="n">
        <v>22781756.37</v>
      </c>
    </row>
    <row r="975">
      <c r="A975" s="11" t="n">
        <v>974</v>
      </c>
      <c r="B975" s="12" t="n">
        <v>46041</v>
      </c>
      <c r="C975" s="11" t="inlineStr">
        <is>
          <t>GRAVAMEN A MOVIMIENTO FINANCIERO</t>
        </is>
      </c>
      <c r="D975" s="11" t="inlineStr">
        <is>
          <t>ORITO</t>
        </is>
      </c>
      <c r="E975" s="11" t="inlineStr">
        <is>
          <t>00000000</t>
        </is>
      </c>
      <c r="F975" s="13" t="n">
        <v>-8</v>
      </c>
      <c r="G975" s="11" t="n">
        <v>22781748.37</v>
      </c>
    </row>
    <row r="976">
      <c r="A976" s="11" t="n">
        <v>975</v>
      </c>
      <c r="B976" s="12" t="n">
        <v>46041</v>
      </c>
      <c r="C976" s="11" t="inlineStr">
        <is>
          <t>CONSIGNACION CREDIBANCO D E</t>
        </is>
      </c>
      <c r="D976" s="11" t="inlineStr">
        <is>
          <t>ORITO</t>
        </is>
      </c>
      <c r="E976" s="11" t="inlineStr">
        <is>
          <t>00000000</t>
        </is>
      </c>
      <c r="F976" s="13" t="n">
        <v>109600</v>
      </c>
      <c r="G976" s="11" t="n">
        <v>22891348.37</v>
      </c>
    </row>
    <row r="977">
      <c r="A977" s="11" t="n">
        <v>976</v>
      </c>
      <c r="B977" s="12" t="n">
        <v>46041</v>
      </c>
      <c r="C977" s="11" t="inlineStr">
        <is>
          <t>COBRO COMISION DEPOSITOS ELECTRONICOS</t>
        </is>
      </c>
      <c r="D977" s="11" t="inlineStr">
        <is>
          <t>ORITO</t>
        </is>
      </c>
      <c r="E977" s="11" t="inlineStr">
        <is>
          <t>00000000</t>
        </is>
      </c>
      <c r="F977" s="13" t="n">
        <v>-2258</v>
      </c>
      <c r="G977" s="11" t="n">
        <v>22889090.37</v>
      </c>
    </row>
    <row r="978">
      <c r="A978" s="11" t="n">
        <v>977</v>
      </c>
      <c r="B978" s="12" t="n">
        <v>46041</v>
      </c>
      <c r="C978" s="11" t="inlineStr">
        <is>
          <t>GRAVAMEN A MOVIMIENTO FINANCIERO</t>
        </is>
      </c>
      <c r="D978" s="11" t="inlineStr">
        <is>
          <t>ORITO</t>
        </is>
      </c>
      <c r="E978" s="11" t="inlineStr">
        <is>
          <t>00000000</t>
        </is>
      </c>
      <c r="F978" s="13" t="n">
        <v>-9</v>
      </c>
      <c r="G978" s="11" t="n">
        <v>22889081.37</v>
      </c>
    </row>
    <row r="979">
      <c r="A979" s="11" t="n">
        <v>978</v>
      </c>
      <c r="B979" s="12" t="n">
        <v>46041</v>
      </c>
      <c r="C979" s="11" t="inlineStr">
        <is>
          <t>RETEFUENTE D E Y VOUCHER CREDIBANCO</t>
        </is>
      </c>
      <c r="D979" s="11" t="inlineStr">
        <is>
          <t>ORITO</t>
        </is>
      </c>
      <c r="E979" s="11" t="inlineStr">
        <is>
          <t>00000000</t>
        </is>
      </c>
      <c r="F979" s="13" t="n">
        <v>-1644</v>
      </c>
      <c r="G979" s="11" t="n">
        <v>22887437.37</v>
      </c>
    </row>
    <row r="980">
      <c r="A980" s="11" t="n">
        <v>979</v>
      </c>
      <c r="B980" s="12" t="n">
        <v>46041</v>
      </c>
      <c r="C980" s="11" t="inlineStr">
        <is>
          <t>GRAVAMEN A MOVIMIENTO FINANCIERO</t>
        </is>
      </c>
      <c r="D980" s="11" t="inlineStr">
        <is>
          <t>ORITO</t>
        </is>
      </c>
      <c r="E980" s="11" t="inlineStr">
        <is>
          <t>00000000</t>
        </is>
      </c>
      <c r="F980" s="13" t="n">
        <v>-7</v>
      </c>
      <c r="G980" s="11" t="n">
        <v>22887430.37</v>
      </c>
    </row>
    <row r="981">
      <c r="A981" s="11" t="n">
        <v>980</v>
      </c>
      <c r="B981" s="12" t="n">
        <v>46041</v>
      </c>
      <c r="C981" s="11" t="inlineStr">
        <is>
          <t>CONSIGNACION CREDIBANCO D E</t>
        </is>
      </c>
      <c r="D981" s="11" t="inlineStr">
        <is>
          <t>ORITO</t>
        </is>
      </c>
      <c r="E981" s="11" t="inlineStr">
        <is>
          <t>00000000</t>
        </is>
      </c>
      <c r="F981" s="13" t="n">
        <v>52100</v>
      </c>
      <c r="G981" s="11" t="n">
        <v>22939530.37</v>
      </c>
    </row>
    <row r="982">
      <c r="A982" s="11" t="n">
        <v>981</v>
      </c>
      <c r="B982" s="12" t="n">
        <v>46041</v>
      </c>
      <c r="C982" s="11" t="inlineStr">
        <is>
          <t>COBRO COMISION DEPOSITOS ELECTRONICOS</t>
        </is>
      </c>
      <c r="D982" s="11" t="inlineStr">
        <is>
          <t>ORITO</t>
        </is>
      </c>
      <c r="E982" s="11" t="inlineStr">
        <is>
          <t>00000000</t>
        </is>
      </c>
      <c r="F982" s="13" t="n">
        <v>-1125</v>
      </c>
      <c r="G982" s="11" t="n">
        <v>22938405.37</v>
      </c>
    </row>
    <row r="983">
      <c r="A983" s="11" t="n">
        <v>982</v>
      </c>
      <c r="B983" s="12" t="n">
        <v>46041</v>
      </c>
      <c r="C983" s="11" t="inlineStr">
        <is>
          <t>GRAVAMEN A MOVIMIENTO FINANCIERO</t>
        </is>
      </c>
      <c r="D983" s="11" t="inlineStr">
        <is>
          <t>ORITO</t>
        </is>
      </c>
      <c r="E983" s="11" t="inlineStr">
        <is>
          <t>00000000</t>
        </is>
      </c>
      <c r="F983" s="13" t="n">
        <v>-5</v>
      </c>
      <c r="G983" s="11" t="n">
        <v>22938400.37</v>
      </c>
    </row>
    <row r="984">
      <c r="A984" s="11" t="n">
        <v>983</v>
      </c>
      <c r="B984" s="12" t="n">
        <v>46041</v>
      </c>
      <c r="C984" s="11" t="inlineStr">
        <is>
          <t>RETEFUENTE D E Y VOUCHER CREDIBANCO</t>
        </is>
      </c>
      <c r="D984" s="11" t="inlineStr">
        <is>
          <t>ORITO</t>
        </is>
      </c>
      <c r="E984" s="11" t="inlineStr">
        <is>
          <t>00000000</t>
        </is>
      </c>
      <c r="F984" s="13" t="n">
        <v>-782</v>
      </c>
      <c r="G984" s="11" t="n">
        <v>22937618.37</v>
      </c>
    </row>
    <row r="985">
      <c r="A985" s="11" t="n">
        <v>984</v>
      </c>
      <c r="B985" s="12" t="n">
        <v>46041</v>
      </c>
      <c r="C985" s="11" t="inlineStr">
        <is>
          <t>GRAVAMEN A MOVIMIENTO FINANCIERO</t>
        </is>
      </c>
      <c r="D985" s="11" t="inlineStr">
        <is>
          <t>ORITO</t>
        </is>
      </c>
      <c r="E985" s="11" t="inlineStr">
        <is>
          <t>00000000</t>
        </is>
      </c>
      <c r="F985" s="13" t="n">
        <v>-3</v>
      </c>
      <c r="G985" s="11" t="n">
        <v>22937615.37</v>
      </c>
    </row>
    <row r="986">
      <c r="A986" s="11" t="n">
        <v>985</v>
      </c>
      <c r="B986" s="12" t="n">
        <v>46041</v>
      </c>
      <c r="C986" s="11" t="inlineStr">
        <is>
          <t>CONSIGNACION CREDIBANCO D E</t>
        </is>
      </c>
      <c r="D986" s="11" t="inlineStr">
        <is>
          <t>ORITO</t>
        </is>
      </c>
      <c r="E986" s="11" t="inlineStr">
        <is>
          <t>00000000</t>
        </is>
      </c>
      <c r="F986" s="13" t="n">
        <v>75000</v>
      </c>
      <c r="G986" s="11" t="n">
        <v>23012615.37</v>
      </c>
    </row>
    <row r="987">
      <c r="A987" s="11" t="n">
        <v>986</v>
      </c>
      <c r="B987" s="12" t="n">
        <v>46041</v>
      </c>
      <c r="C987" s="11" t="inlineStr">
        <is>
          <t>COBRO COMISION DEPOSITOS ELECTRONICOS</t>
        </is>
      </c>
      <c r="D987" s="11" t="inlineStr">
        <is>
          <t>ORITO</t>
        </is>
      </c>
      <c r="E987" s="11" t="inlineStr">
        <is>
          <t>00000000</t>
        </is>
      </c>
      <c r="F987" s="13" t="n">
        <v>-1545</v>
      </c>
      <c r="G987" s="11" t="n">
        <v>23011070.37</v>
      </c>
    </row>
    <row r="988">
      <c r="A988" s="11" t="n">
        <v>987</v>
      </c>
      <c r="B988" s="12" t="n">
        <v>46041</v>
      </c>
      <c r="C988" s="11" t="inlineStr">
        <is>
          <t>GRAVAMEN A MOVIMIENTO FINANCIERO</t>
        </is>
      </c>
      <c r="D988" s="11" t="inlineStr">
        <is>
          <t>ORITO</t>
        </is>
      </c>
      <c r="E988" s="11" t="inlineStr">
        <is>
          <t>00000000</t>
        </is>
      </c>
      <c r="F988" s="13" t="n">
        <v>-6</v>
      </c>
      <c r="G988" s="11" t="n">
        <v>23011064.37</v>
      </c>
    </row>
    <row r="989">
      <c r="A989" s="11" t="n">
        <v>988</v>
      </c>
      <c r="B989" s="12" t="n">
        <v>46041</v>
      </c>
      <c r="C989" s="11" t="inlineStr">
        <is>
          <t>RETEFUENTE D E Y VOUCHER CREDIBANCO</t>
        </is>
      </c>
      <c r="D989" s="11" t="inlineStr">
        <is>
          <t>ORITO</t>
        </is>
      </c>
      <c r="E989" s="11" t="inlineStr">
        <is>
          <t>00000000</t>
        </is>
      </c>
      <c r="F989" s="13" t="n">
        <v>-1125</v>
      </c>
      <c r="G989" s="11" t="n">
        <v>23009939.37</v>
      </c>
    </row>
    <row r="990">
      <c r="A990" s="11" t="n">
        <v>989</v>
      </c>
      <c r="B990" s="12" t="n">
        <v>46041</v>
      </c>
      <c r="C990" s="11" t="inlineStr">
        <is>
          <t>GRAVAMEN A MOVIMIENTO FINANCIERO</t>
        </is>
      </c>
      <c r="D990" s="11" t="inlineStr">
        <is>
          <t>ORITO</t>
        </is>
      </c>
      <c r="E990" s="11" t="inlineStr">
        <is>
          <t>00000000</t>
        </is>
      </c>
      <c r="F990" s="13" t="n">
        <v>-5</v>
      </c>
      <c r="G990" s="11" t="n">
        <v>23009934.37</v>
      </c>
    </row>
    <row r="991">
      <c r="A991" s="11" t="n">
        <v>990</v>
      </c>
      <c r="B991" s="12" t="n">
        <v>46041</v>
      </c>
      <c r="C991" s="11" t="inlineStr">
        <is>
          <t>CONSIGNACION CREDIBANCO D E</t>
        </is>
      </c>
      <c r="D991" s="11" t="inlineStr">
        <is>
          <t>ORITO</t>
        </is>
      </c>
      <c r="E991" s="11" t="inlineStr">
        <is>
          <t>00000000</t>
        </is>
      </c>
      <c r="F991" s="13" t="n">
        <v>244000</v>
      </c>
      <c r="G991" s="11" t="n">
        <v>23253934.37</v>
      </c>
    </row>
    <row r="992">
      <c r="A992" s="11" t="n">
        <v>991</v>
      </c>
      <c r="B992" s="12" t="n">
        <v>46041</v>
      </c>
      <c r="C992" s="11" t="inlineStr">
        <is>
          <t>COBRO COMISION DEPOSITOS ELECTRONICOS</t>
        </is>
      </c>
      <c r="D992" s="11" t="inlineStr">
        <is>
          <t>ORITO</t>
        </is>
      </c>
      <c r="E992" s="11" t="inlineStr">
        <is>
          <t>00000000</t>
        </is>
      </c>
      <c r="F992" s="13" t="n">
        <v>-5270</v>
      </c>
      <c r="G992" s="11" t="n">
        <v>23248664.37</v>
      </c>
    </row>
    <row r="993">
      <c r="A993" s="11" t="n">
        <v>992</v>
      </c>
      <c r="B993" s="12" t="n">
        <v>46041</v>
      </c>
      <c r="C993" s="11" t="inlineStr">
        <is>
          <t>GRAVAMEN A MOVIMIENTO FINANCIERO</t>
        </is>
      </c>
      <c r="D993" s="11" t="inlineStr">
        <is>
          <t>ORITO</t>
        </is>
      </c>
      <c r="E993" s="11" t="inlineStr">
        <is>
          <t>00000000</t>
        </is>
      </c>
      <c r="F993" s="13" t="n">
        <v>-21</v>
      </c>
      <c r="G993" s="11" t="n">
        <v>23248643.37</v>
      </c>
    </row>
    <row r="994">
      <c r="A994" s="11" t="n">
        <v>993</v>
      </c>
      <c r="B994" s="12" t="n">
        <v>46041</v>
      </c>
      <c r="C994" s="11" t="inlineStr">
        <is>
          <t>RETEFUENTE D E Y VOUCHER CREDIBANCO</t>
        </is>
      </c>
      <c r="D994" s="11" t="inlineStr">
        <is>
          <t>ORITO</t>
        </is>
      </c>
      <c r="E994" s="11" t="inlineStr">
        <is>
          <t>00000000</t>
        </is>
      </c>
      <c r="F994" s="13" t="n">
        <v>-3660</v>
      </c>
      <c r="G994" s="11" t="n">
        <v>23244983.37</v>
      </c>
    </row>
    <row r="995">
      <c r="A995" s="11" t="n">
        <v>994</v>
      </c>
      <c r="B995" s="12" t="n">
        <v>46041</v>
      </c>
      <c r="C995" s="11" t="inlineStr">
        <is>
          <t>GRAVAMEN A MOVIMIENTO FINANCIERO</t>
        </is>
      </c>
      <c r="D995" s="11" t="inlineStr">
        <is>
          <t>ORITO</t>
        </is>
      </c>
      <c r="E995" s="11" t="inlineStr">
        <is>
          <t>00000000</t>
        </is>
      </c>
      <c r="F995" s="13" t="n">
        <v>-15</v>
      </c>
      <c r="G995" s="11" t="n">
        <v>23244968.37</v>
      </c>
    </row>
    <row r="996">
      <c r="A996" s="11" t="n">
        <v>995</v>
      </c>
      <c r="B996" s="12" t="n">
        <v>46041</v>
      </c>
      <c r="C996" s="11" t="inlineStr">
        <is>
          <t>CONSIGNACION CREDIBANCO D E</t>
        </is>
      </c>
      <c r="D996" s="11" t="inlineStr">
        <is>
          <t>ORITO</t>
        </is>
      </c>
      <c r="E996" s="11" t="inlineStr">
        <is>
          <t>00000000</t>
        </is>
      </c>
      <c r="F996" s="13" t="n">
        <v>48700</v>
      </c>
      <c r="G996" s="11" t="n">
        <v>23293668.37</v>
      </c>
    </row>
    <row r="997">
      <c r="A997" s="11" t="n">
        <v>996</v>
      </c>
      <c r="B997" s="12" t="n">
        <v>46041</v>
      </c>
      <c r="C997" s="11" t="inlineStr">
        <is>
          <t>COBRO COMISION DEPOSITOS ELECTRONICOS</t>
        </is>
      </c>
      <c r="D997" s="11" t="inlineStr">
        <is>
          <t>ORITO</t>
        </is>
      </c>
      <c r="E997" s="11" t="inlineStr">
        <is>
          <t>00000000</t>
        </is>
      </c>
      <c r="F997" s="13" t="n">
        <v>-1003</v>
      </c>
      <c r="G997" s="11" t="n">
        <v>23292665.37</v>
      </c>
    </row>
    <row r="998">
      <c r="A998" s="11" t="n">
        <v>997</v>
      </c>
      <c r="B998" s="12" t="n">
        <v>46041</v>
      </c>
      <c r="C998" s="11" t="inlineStr">
        <is>
          <t>GRAVAMEN A MOVIMIENTO FINANCIERO</t>
        </is>
      </c>
      <c r="D998" s="11" t="inlineStr">
        <is>
          <t>ORITO</t>
        </is>
      </c>
      <c r="E998" s="11" t="inlineStr">
        <is>
          <t>00000000</t>
        </is>
      </c>
      <c r="F998" s="13" t="n">
        <v>-4</v>
      </c>
      <c r="G998" s="11" t="n">
        <v>23292661.37</v>
      </c>
    </row>
    <row r="999">
      <c r="A999" s="11" t="n">
        <v>998</v>
      </c>
      <c r="B999" s="12" t="n">
        <v>46041</v>
      </c>
      <c r="C999" s="11" t="inlineStr">
        <is>
          <t>RETEFUENTE D E Y VOUCHER CREDIBANCO</t>
        </is>
      </c>
      <c r="D999" s="11" t="inlineStr">
        <is>
          <t>ORITO</t>
        </is>
      </c>
      <c r="E999" s="11" t="inlineStr">
        <is>
          <t>00000000</t>
        </is>
      </c>
      <c r="F999" s="13" t="n">
        <v>-731</v>
      </c>
      <c r="G999" s="11" t="n">
        <v>23291930.37</v>
      </c>
    </row>
    <row r="1000">
      <c r="A1000" s="11" t="n">
        <v>999</v>
      </c>
      <c r="B1000" s="12" t="n">
        <v>46041</v>
      </c>
      <c r="C1000" s="11" t="inlineStr">
        <is>
          <t>GRAVAMEN A MOVIMIENTO FINANCIERO</t>
        </is>
      </c>
      <c r="D1000" s="11" t="inlineStr">
        <is>
          <t>ORITO</t>
        </is>
      </c>
      <c r="E1000" s="11" t="inlineStr">
        <is>
          <t>00000000</t>
        </is>
      </c>
      <c r="F1000" s="13" t="n">
        <v>-3</v>
      </c>
      <c r="G1000" s="11" t="n">
        <v>23291927.37</v>
      </c>
    </row>
    <row r="1001">
      <c r="A1001" s="11" t="n">
        <v>1000</v>
      </c>
      <c r="B1001" s="12" t="n">
        <v>46041</v>
      </c>
      <c r="C1001" s="11" t="inlineStr">
        <is>
          <t>CONSIGNACION CREDIBANCO D E</t>
        </is>
      </c>
      <c r="D1001" s="11" t="inlineStr">
        <is>
          <t>ORITO</t>
        </is>
      </c>
      <c r="E1001" s="11" t="inlineStr">
        <is>
          <t>00000000</t>
        </is>
      </c>
      <c r="F1001" s="13" t="n">
        <v>92800</v>
      </c>
      <c r="G1001" s="11" t="n">
        <v>23384727.37</v>
      </c>
    </row>
    <row r="1002">
      <c r="A1002" s="11" t="n">
        <v>1001</v>
      </c>
      <c r="B1002" s="12" t="n">
        <v>46041</v>
      </c>
      <c r="C1002" s="11" t="inlineStr">
        <is>
          <t>COBRO COMISION DEPOSITOS ELECTRONICOS</t>
        </is>
      </c>
      <c r="D1002" s="11" t="inlineStr">
        <is>
          <t>ORITO</t>
        </is>
      </c>
      <c r="E1002" s="11" t="inlineStr">
        <is>
          <t>00000000</t>
        </is>
      </c>
      <c r="F1002" s="13" t="n">
        <v>-2004</v>
      </c>
      <c r="G1002" s="11" t="n">
        <v>23382723.37</v>
      </c>
    </row>
    <row r="1003">
      <c r="A1003" s="11" t="n">
        <v>1002</v>
      </c>
      <c r="B1003" s="12" t="n">
        <v>46041</v>
      </c>
      <c r="C1003" s="11" t="inlineStr">
        <is>
          <t>GRAVAMEN A MOVIMIENTO FINANCIERO</t>
        </is>
      </c>
      <c r="D1003" s="11" t="inlineStr">
        <is>
          <t>ORITO</t>
        </is>
      </c>
      <c r="E1003" s="11" t="inlineStr">
        <is>
          <t>00000000</t>
        </is>
      </c>
      <c r="F1003" s="13" t="n">
        <v>-8</v>
      </c>
      <c r="G1003" s="11" t="n">
        <v>23382715.37</v>
      </c>
    </row>
    <row r="1004">
      <c r="A1004" s="11" t="n">
        <v>1003</v>
      </c>
      <c r="B1004" s="12" t="n">
        <v>46041</v>
      </c>
      <c r="C1004" s="11" t="inlineStr">
        <is>
          <t>RETEFUENTE D E Y VOUCHER CREDIBANCO</t>
        </is>
      </c>
      <c r="D1004" s="11" t="inlineStr">
        <is>
          <t>ORITO</t>
        </is>
      </c>
      <c r="E1004" s="11" t="inlineStr">
        <is>
          <t>00000000</t>
        </is>
      </c>
      <c r="F1004" s="13" t="n">
        <v>-1392</v>
      </c>
      <c r="G1004" s="11" t="n">
        <v>23381323.37</v>
      </c>
    </row>
    <row r="1005">
      <c r="A1005" s="11" t="n">
        <v>1004</v>
      </c>
      <c r="B1005" s="12" t="n">
        <v>46041</v>
      </c>
      <c r="C1005" s="11" t="inlineStr">
        <is>
          <t>GRAVAMEN A MOVIMIENTO FINANCIERO</t>
        </is>
      </c>
      <c r="D1005" s="11" t="inlineStr">
        <is>
          <t>ORITO</t>
        </is>
      </c>
      <c r="E1005" s="11" t="inlineStr">
        <is>
          <t>00000000</t>
        </is>
      </c>
      <c r="F1005" s="13" t="n">
        <v>-6</v>
      </c>
      <c r="G1005" s="11" t="n">
        <v>23381317.37</v>
      </c>
    </row>
    <row r="1006">
      <c r="A1006" s="11" t="n">
        <v>1005</v>
      </c>
      <c r="B1006" s="12" t="n">
        <v>46041</v>
      </c>
      <c r="C1006" s="11" t="inlineStr">
        <is>
          <t>CONSIGNACION CREDIBANCO D E</t>
        </is>
      </c>
      <c r="D1006" s="11" t="inlineStr">
        <is>
          <t>ORITO</t>
        </is>
      </c>
      <c r="E1006" s="11" t="inlineStr">
        <is>
          <t>00000000</t>
        </is>
      </c>
      <c r="F1006" s="13" t="n">
        <v>70000</v>
      </c>
      <c r="G1006" s="11" t="n">
        <v>23451317.37</v>
      </c>
    </row>
    <row r="1007">
      <c r="A1007" s="11" t="n">
        <v>1006</v>
      </c>
      <c r="B1007" s="12" t="n">
        <v>46041</v>
      </c>
      <c r="C1007" s="11" t="inlineStr">
        <is>
          <t>COBRO COMISION DEPOSITOS ELECTRONICOS</t>
        </is>
      </c>
      <c r="D1007" s="11" t="inlineStr">
        <is>
          <t>ORITO</t>
        </is>
      </c>
      <c r="E1007" s="11" t="inlineStr">
        <is>
          <t>00000000</t>
        </is>
      </c>
      <c r="F1007" s="13" t="n">
        <v>-1512</v>
      </c>
      <c r="G1007" s="11" t="n">
        <v>23449805.37</v>
      </c>
    </row>
    <row r="1008">
      <c r="A1008" s="11" t="n">
        <v>1007</v>
      </c>
      <c r="B1008" s="12" t="n">
        <v>46041</v>
      </c>
      <c r="C1008" s="11" t="inlineStr">
        <is>
          <t>GRAVAMEN A MOVIMIENTO FINANCIERO</t>
        </is>
      </c>
      <c r="D1008" s="11" t="inlineStr">
        <is>
          <t>ORITO</t>
        </is>
      </c>
      <c r="E1008" s="11" t="inlineStr">
        <is>
          <t>00000000</t>
        </is>
      </c>
      <c r="F1008" s="13" t="n">
        <v>-6</v>
      </c>
      <c r="G1008" s="11" t="n">
        <v>23449799.37</v>
      </c>
    </row>
    <row r="1009">
      <c r="A1009" s="11" t="n">
        <v>1008</v>
      </c>
      <c r="B1009" s="12" t="n">
        <v>46041</v>
      </c>
      <c r="C1009" s="11" t="inlineStr">
        <is>
          <t>RETEFUENTE D E Y VOUCHER CREDIBANCO</t>
        </is>
      </c>
      <c r="D1009" s="11" t="inlineStr">
        <is>
          <t>ORITO</t>
        </is>
      </c>
      <c r="E1009" s="11" t="inlineStr">
        <is>
          <t>00000000</t>
        </is>
      </c>
      <c r="F1009" s="13" t="n">
        <v>-1050</v>
      </c>
      <c r="G1009" s="11" t="n">
        <v>23448749.37</v>
      </c>
    </row>
    <row r="1010">
      <c r="A1010" s="11" t="n">
        <v>1009</v>
      </c>
      <c r="B1010" s="12" t="n">
        <v>46041</v>
      </c>
      <c r="C1010" s="11" t="inlineStr">
        <is>
          <t>GRAVAMEN A MOVIMIENTO FINANCIERO</t>
        </is>
      </c>
      <c r="D1010" s="11" t="inlineStr">
        <is>
          <t>ORITO</t>
        </is>
      </c>
      <c r="E1010" s="11" t="inlineStr">
        <is>
          <t>00000000</t>
        </is>
      </c>
      <c r="F1010" s="13" t="n">
        <v>-4</v>
      </c>
      <c r="G1010" s="11" t="n">
        <v>23448745.37</v>
      </c>
    </row>
    <row r="1011">
      <c r="A1011" s="11" t="n">
        <v>1010</v>
      </c>
      <c r="B1011" s="12" t="n">
        <v>46041</v>
      </c>
      <c r="C1011" s="11" t="inlineStr">
        <is>
          <t>CONSIGNACION CREDIBANCO D E</t>
        </is>
      </c>
      <c r="D1011" s="11" t="inlineStr">
        <is>
          <t>ORITO</t>
        </is>
      </c>
      <c r="E1011" s="11" t="inlineStr">
        <is>
          <t>00000000</t>
        </is>
      </c>
      <c r="F1011" s="13" t="n">
        <v>56608</v>
      </c>
      <c r="G1011" s="11" t="n">
        <v>23505353.37</v>
      </c>
    </row>
    <row r="1012">
      <c r="A1012" s="11" t="n">
        <v>1011</v>
      </c>
      <c r="B1012" s="12" t="n">
        <v>46041</v>
      </c>
      <c r="C1012" s="11" t="inlineStr">
        <is>
          <t>COBRO COMISION DEPOSITOS ELECTRONICOS</t>
        </is>
      </c>
      <c r="D1012" s="11" t="inlineStr">
        <is>
          <t>ORITO</t>
        </is>
      </c>
      <c r="E1012" s="11" t="inlineStr">
        <is>
          <t>00000000</t>
        </is>
      </c>
      <c r="F1012" s="13" t="n">
        <v>-1223</v>
      </c>
      <c r="G1012" s="11" t="n">
        <v>23504130.37</v>
      </c>
    </row>
    <row r="1013">
      <c r="A1013" s="11" t="n">
        <v>1012</v>
      </c>
      <c r="B1013" s="12" t="n">
        <v>46041</v>
      </c>
      <c r="C1013" s="11" t="inlineStr">
        <is>
          <t>GRAVAMEN A MOVIMIENTO FINANCIERO</t>
        </is>
      </c>
      <c r="D1013" s="11" t="inlineStr">
        <is>
          <t>ORITO</t>
        </is>
      </c>
      <c r="E1013" s="11" t="inlineStr">
        <is>
          <t>00000000</t>
        </is>
      </c>
      <c r="F1013" s="13" t="n">
        <v>-5</v>
      </c>
      <c r="G1013" s="11" t="n">
        <v>23504125.37</v>
      </c>
    </row>
    <row r="1014">
      <c r="A1014" s="11" t="n">
        <v>1013</v>
      </c>
      <c r="B1014" s="12" t="n">
        <v>46041</v>
      </c>
      <c r="C1014" s="11" t="inlineStr">
        <is>
          <t>RETEFUENTE D E Y VOUCHER CREDIBANCO</t>
        </is>
      </c>
      <c r="D1014" s="11" t="inlineStr">
        <is>
          <t>ORITO</t>
        </is>
      </c>
      <c r="E1014" s="11" t="inlineStr">
        <is>
          <t>00000000</t>
        </is>
      </c>
      <c r="F1014" s="13" t="n">
        <v>-849</v>
      </c>
      <c r="G1014" s="11" t="n">
        <v>23503276.37</v>
      </c>
    </row>
    <row r="1015">
      <c r="A1015" s="11" t="n">
        <v>1014</v>
      </c>
      <c r="B1015" s="12" t="n">
        <v>46041</v>
      </c>
      <c r="C1015" s="11" t="inlineStr">
        <is>
          <t>GRAVAMEN A MOVIMIENTO FINANCIERO</t>
        </is>
      </c>
      <c r="D1015" s="11" t="inlineStr">
        <is>
          <t>ORITO</t>
        </is>
      </c>
      <c r="E1015" s="11" t="inlineStr">
        <is>
          <t>00000000</t>
        </is>
      </c>
      <c r="F1015" s="13" t="n">
        <v>-3</v>
      </c>
      <c r="G1015" s="11" t="n">
        <v>23503273.37</v>
      </c>
    </row>
    <row r="1016">
      <c r="A1016" s="11" t="n">
        <v>1015</v>
      </c>
      <c r="B1016" s="12" t="n">
        <v>46041</v>
      </c>
      <c r="C1016" s="11" t="inlineStr">
        <is>
          <t>CONSIGNACION CREDIBANCO D E</t>
        </is>
      </c>
      <c r="D1016" s="11" t="inlineStr">
        <is>
          <t>ORITO</t>
        </is>
      </c>
      <c r="E1016" s="11" t="inlineStr">
        <is>
          <t>00000000</t>
        </is>
      </c>
      <c r="F1016" s="13" t="n">
        <v>181600</v>
      </c>
      <c r="G1016" s="11" t="n">
        <v>23684873.37</v>
      </c>
    </row>
    <row r="1017">
      <c r="A1017" s="11" t="n">
        <v>1016</v>
      </c>
      <c r="B1017" s="12" t="n">
        <v>46041</v>
      </c>
      <c r="C1017" s="11" t="inlineStr">
        <is>
          <t>COBRO COMISION DEPOSITOS ELECTRONICOS</t>
        </is>
      </c>
      <c r="D1017" s="11" t="inlineStr">
        <is>
          <t>ORITO</t>
        </is>
      </c>
      <c r="E1017" s="11" t="inlineStr">
        <is>
          <t>00000000</t>
        </is>
      </c>
      <c r="F1017" s="13" t="n">
        <v>-3977</v>
      </c>
      <c r="G1017" s="11" t="n">
        <v>23680896.37</v>
      </c>
    </row>
    <row r="1018">
      <c r="A1018" s="11" t="n">
        <v>1017</v>
      </c>
      <c r="B1018" s="12" t="n">
        <v>46041</v>
      </c>
      <c r="C1018" s="11" t="inlineStr">
        <is>
          <t>GRAVAMEN A MOVIMIENTO FINANCIERO</t>
        </is>
      </c>
      <c r="D1018" s="11" t="inlineStr">
        <is>
          <t>ORITO</t>
        </is>
      </c>
      <c r="E1018" s="11" t="inlineStr">
        <is>
          <t>00000000</t>
        </is>
      </c>
      <c r="F1018" s="13" t="n">
        <v>-16</v>
      </c>
      <c r="G1018" s="11" t="n">
        <v>23680880.37</v>
      </c>
    </row>
    <row r="1019">
      <c r="A1019" s="11" t="n">
        <v>1018</v>
      </c>
      <c r="B1019" s="12" t="n">
        <v>46041</v>
      </c>
      <c r="C1019" s="11" t="inlineStr">
        <is>
          <t>RETEFUENTE D E Y VOUCHER CREDIBANCO</t>
        </is>
      </c>
      <c r="D1019" s="11" t="inlineStr">
        <is>
          <t>ORITO</t>
        </is>
      </c>
      <c r="E1019" s="11" t="inlineStr">
        <is>
          <t>00000000</t>
        </is>
      </c>
      <c r="F1019" s="13" t="n">
        <v>-2724</v>
      </c>
      <c r="G1019" s="11" t="n">
        <v>23678156.37</v>
      </c>
    </row>
    <row r="1020">
      <c r="A1020" s="11" t="n">
        <v>1019</v>
      </c>
      <c r="B1020" s="12" t="n">
        <v>46041</v>
      </c>
      <c r="C1020" s="11" t="inlineStr">
        <is>
          <t>GRAVAMEN A MOVIMIENTO FINANCIERO</t>
        </is>
      </c>
      <c r="D1020" s="11" t="inlineStr">
        <is>
          <t>ORITO</t>
        </is>
      </c>
      <c r="E1020" s="11" t="inlineStr">
        <is>
          <t>00000000</t>
        </is>
      </c>
      <c r="F1020" s="13" t="n">
        <v>-11</v>
      </c>
      <c r="G1020" s="11" t="n">
        <v>23678145.37</v>
      </c>
    </row>
    <row r="1021">
      <c r="A1021" s="11" t="n">
        <v>1020</v>
      </c>
      <c r="B1021" s="12" t="n">
        <v>46041</v>
      </c>
      <c r="C1021" s="11" t="inlineStr">
        <is>
          <t>CONSIGNACION CREDIBANCO D E</t>
        </is>
      </c>
      <c r="D1021" s="11" t="inlineStr">
        <is>
          <t>ORITO</t>
        </is>
      </c>
      <c r="E1021" s="11" t="inlineStr">
        <is>
          <t>00000000</t>
        </is>
      </c>
      <c r="F1021" s="13" t="n">
        <v>325400</v>
      </c>
      <c r="G1021" s="11" t="n">
        <v>24003545.37</v>
      </c>
    </row>
    <row r="1022">
      <c r="A1022" s="11" t="n">
        <v>1021</v>
      </c>
      <c r="B1022" s="12" t="n">
        <v>46041</v>
      </c>
      <c r="C1022" s="11" t="inlineStr">
        <is>
          <t>COBRO COMISION DEPOSITOS ELECTRONICOS</t>
        </is>
      </c>
      <c r="D1022" s="11" t="inlineStr">
        <is>
          <t>ORITO</t>
        </is>
      </c>
      <c r="E1022" s="11" t="inlineStr">
        <is>
          <t>00000000</t>
        </is>
      </c>
      <c r="F1022" s="13" t="n">
        <v>-7126</v>
      </c>
      <c r="G1022" s="11" t="n">
        <v>23996419.37</v>
      </c>
    </row>
    <row r="1023">
      <c r="A1023" s="11" t="n">
        <v>1022</v>
      </c>
      <c r="B1023" s="12" t="n">
        <v>46041</v>
      </c>
      <c r="C1023" s="11" t="inlineStr">
        <is>
          <t>GRAVAMEN A MOVIMIENTO FINANCIERO</t>
        </is>
      </c>
      <c r="D1023" s="11" t="inlineStr">
        <is>
          <t>ORITO</t>
        </is>
      </c>
      <c r="E1023" s="11" t="inlineStr">
        <is>
          <t>00000000</t>
        </is>
      </c>
      <c r="F1023" s="13" t="n">
        <v>-29</v>
      </c>
      <c r="G1023" s="11" t="n">
        <v>23996390.37</v>
      </c>
    </row>
    <row r="1024">
      <c r="A1024" s="11" t="n">
        <v>1023</v>
      </c>
      <c r="B1024" s="12" t="n">
        <v>46041</v>
      </c>
      <c r="C1024" s="11" t="inlineStr">
        <is>
          <t>RETEFUENTE D E Y VOUCHER CREDIBANCO</t>
        </is>
      </c>
      <c r="D1024" s="11" t="inlineStr">
        <is>
          <t>ORITO</t>
        </is>
      </c>
      <c r="E1024" s="11" t="inlineStr">
        <is>
          <t>00000000</t>
        </is>
      </c>
      <c r="F1024" s="13" t="n">
        <v>-4881</v>
      </c>
      <c r="G1024" s="11" t="n">
        <v>23991509.37</v>
      </c>
    </row>
    <row r="1025">
      <c r="A1025" s="11" t="n">
        <v>1024</v>
      </c>
      <c r="B1025" s="12" t="n">
        <v>46041</v>
      </c>
      <c r="C1025" s="11" t="inlineStr">
        <is>
          <t>GRAVAMEN A MOVIMIENTO FINANCIERO</t>
        </is>
      </c>
      <c r="D1025" s="11" t="inlineStr">
        <is>
          <t>ORITO</t>
        </is>
      </c>
      <c r="E1025" s="11" t="inlineStr">
        <is>
          <t>00000000</t>
        </is>
      </c>
      <c r="F1025" s="13" t="n">
        <v>-20</v>
      </c>
      <c r="G1025" s="11" t="n">
        <v>23991489.37</v>
      </c>
    </row>
    <row r="1026">
      <c r="A1026" s="11" t="n">
        <v>1025</v>
      </c>
      <c r="B1026" s="12" t="n">
        <v>46041</v>
      </c>
      <c r="C1026" s="11" t="inlineStr">
        <is>
          <t>CONSIGNACION CREDIBANCO D E</t>
        </is>
      </c>
      <c r="D1026" s="11" t="inlineStr">
        <is>
          <t>ORITO</t>
        </is>
      </c>
      <c r="E1026" s="11" t="inlineStr">
        <is>
          <t>00000000</t>
        </is>
      </c>
      <c r="F1026" s="13" t="n">
        <v>40000</v>
      </c>
      <c r="G1026" s="11" t="n">
        <v>24031489.37</v>
      </c>
    </row>
    <row r="1027">
      <c r="A1027" s="11" t="n">
        <v>1026</v>
      </c>
      <c r="B1027" s="12" t="n">
        <v>46041</v>
      </c>
      <c r="C1027" s="11" t="inlineStr">
        <is>
          <t>COBRO COMISION DEPOSITOS ELECTRONICOS</t>
        </is>
      </c>
      <c r="D1027" s="11" t="inlineStr">
        <is>
          <t>ORITO</t>
        </is>
      </c>
      <c r="E1027" s="11" t="inlineStr">
        <is>
          <t>00000000</t>
        </is>
      </c>
      <c r="F1027" s="13" t="n">
        <v>-876</v>
      </c>
      <c r="G1027" s="11" t="n">
        <v>24030613.37</v>
      </c>
    </row>
    <row r="1028">
      <c r="A1028" s="11" t="n">
        <v>1027</v>
      </c>
      <c r="B1028" s="12" t="n">
        <v>46041</v>
      </c>
      <c r="C1028" s="11" t="inlineStr">
        <is>
          <t>GRAVAMEN A MOVIMIENTO FINANCIERO</t>
        </is>
      </c>
      <c r="D1028" s="11" t="inlineStr">
        <is>
          <t>ORITO</t>
        </is>
      </c>
      <c r="E1028" s="11" t="inlineStr">
        <is>
          <t>00000000</t>
        </is>
      </c>
      <c r="F1028" s="13" t="n">
        <v>-4</v>
      </c>
      <c r="G1028" s="11" t="n">
        <v>24030609.37</v>
      </c>
    </row>
    <row r="1029">
      <c r="A1029" s="11" t="n">
        <v>1028</v>
      </c>
      <c r="B1029" s="12" t="n">
        <v>46041</v>
      </c>
      <c r="C1029" s="11" t="inlineStr">
        <is>
          <t>RETEFUENTE D E Y VOUCHER CREDIBANCO</t>
        </is>
      </c>
      <c r="D1029" s="11" t="inlineStr">
        <is>
          <t>ORITO</t>
        </is>
      </c>
      <c r="E1029" s="11" t="inlineStr">
        <is>
          <t>00000000</t>
        </is>
      </c>
      <c r="F1029" s="13" t="n">
        <v>-600</v>
      </c>
      <c r="G1029" s="11" t="n">
        <v>24030009.37</v>
      </c>
    </row>
    <row r="1030">
      <c r="A1030" s="11" t="n">
        <v>1029</v>
      </c>
      <c r="B1030" s="12" t="n">
        <v>46041</v>
      </c>
      <c r="C1030" s="11" t="inlineStr">
        <is>
          <t>GRAVAMEN A MOVIMIENTO FINANCIERO</t>
        </is>
      </c>
      <c r="D1030" s="11" t="inlineStr">
        <is>
          <t>ORITO</t>
        </is>
      </c>
      <c r="E1030" s="11" t="inlineStr">
        <is>
          <t>00000000</t>
        </is>
      </c>
      <c r="F1030" s="13" t="n">
        <v>-2</v>
      </c>
      <c r="G1030" s="11" t="n">
        <v>24030007.37</v>
      </c>
    </row>
    <row r="1031">
      <c r="A1031" s="11" t="n">
        <v>1030</v>
      </c>
      <c r="B1031" s="12" t="n">
        <v>46041</v>
      </c>
      <c r="C1031" s="11" t="inlineStr">
        <is>
          <t>CONSIGNACION CREDIBANCO D E</t>
        </is>
      </c>
      <c r="D1031" s="11" t="inlineStr">
        <is>
          <t>ORITO</t>
        </is>
      </c>
      <c r="E1031" s="11" t="inlineStr">
        <is>
          <t>00000000</t>
        </is>
      </c>
      <c r="F1031" s="13" t="n">
        <v>119200</v>
      </c>
      <c r="G1031" s="11" t="n">
        <v>24149207.37</v>
      </c>
    </row>
    <row r="1032">
      <c r="A1032" s="11" t="n">
        <v>1031</v>
      </c>
      <c r="B1032" s="12" t="n">
        <v>46041</v>
      </c>
      <c r="C1032" s="11" t="inlineStr">
        <is>
          <t>COBRO COMISION DEPOSITOS ELECTRONICOS</t>
        </is>
      </c>
      <c r="D1032" s="11" t="inlineStr">
        <is>
          <t>ORITO</t>
        </is>
      </c>
      <c r="E1032" s="11" t="inlineStr">
        <is>
          <t>00000000</t>
        </is>
      </c>
      <c r="F1032" s="13" t="n">
        <v>-2575</v>
      </c>
      <c r="G1032" s="11" t="n">
        <v>24146632.37</v>
      </c>
    </row>
    <row r="1033">
      <c r="A1033" s="11" t="n">
        <v>1032</v>
      </c>
      <c r="B1033" s="12" t="n">
        <v>46041</v>
      </c>
      <c r="C1033" s="11" t="inlineStr">
        <is>
          <t>GRAVAMEN A MOVIMIENTO FINANCIERO</t>
        </is>
      </c>
      <c r="D1033" s="11" t="inlineStr">
        <is>
          <t>ORITO</t>
        </is>
      </c>
      <c r="E1033" s="11" t="inlineStr">
        <is>
          <t>00000000</t>
        </is>
      </c>
      <c r="F1033" s="13" t="n">
        <v>-10</v>
      </c>
      <c r="G1033" s="11" t="n">
        <v>24146622.37</v>
      </c>
    </row>
    <row r="1034">
      <c r="A1034" s="11" t="n">
        <v>1033</v>
      </c>
      <c r="B1034" s="12" t="n">
        <v>46041</v>
      </c>
      <c r="C1034" s="11" t="inlineStr">
        <is>
          <t>RETEFUENTE D E Y VOUCHER CREDIBANCO</t>
        </is>
      </c>
      <c r="D1034" s="11" t="inlineStr">
        <is>
          <t>ORITO</t>
        </is>
      </c>
      <c r="E1034" s="11" t="inlineStr">
        <is>
          <t>00000000</t>
        </is>
      </c>
      <c r="F1034" s="13" t="n">
        <v>-1788</v>
      </c>
      <c r="G1034" s="11" t="n">
        <v>24144834.37</v>
      </c>
    </row>
    <row r="1035">
      <c r="A1035" s="11" t="n">
        <v>1034</v>
      </c>
      <c r="B1035" s="12" t="n">
        <v>46041</v>
      </c>
      <c r="C1035" s="11" t="inlineStr">
        <is>
          <t>GRAVAMEN A MOVIMIENTO FINANCIERO</t>
        </is>
      </c>
      <c r="D1035" s="11" t="inlineStr">
        <is>
          <t>ORITO</t>
        </is>
      </c>
      <c r="E1035" s="11" t="inlineStr">
        <is>
          <t>00000000</t>
        </is>
      </c>
      <c r="F1035" s="13" t="n">
        <v>-7</v>
      </c>
      <c r="G1035" s="11" t="n">
        <v>24144827.37</v>
      </c>
    </row>
    <row r="1036">
      <c r="A1036" s="11" t="n">
        <v>1035</v>
      </c>
      <c r="B1036" s="12" t="n">
        <v>46041</v>
      </c>
      <c r="C1036" s="11" t="inlineStr">
        <is>
          <t>CONSIGNACION CREDIBANCO D E</t>
        </is>
      </c>
      <c r="D1036" s="11" t="inlineStr">
        <is>
          <t>ORITO</t>
        </is>
      </c>
      <c r="E1036" s="11" t="inlineStr">
        <is>
          <t>00000000</t>
        </is>
      </c>
      <c r="F1036" s="13" t="n">
        <v>52100</v>
      </c>
      <c r="G1036" s="11" t="n">
        <v>24196927.37</v>
      </c>
    </row>
    <row r="1037">
      <c r="A1037" s="11" t="n">
        <v>1036</v>
      </c>
      <c r="B1037" s="12" t="n">
        <v>46041</v>
      </c>
      <c r="C1037" s="11" t="inlineStr">
        <is>
          <t>COBRO COMISION DEPOSITOS ELECTRONICOS</t>
        </is>
      </c>
      <c r="D1037" s="11" t="inlineStr">
        <is>
          <t>ORITO</t>
        </is>
      </c>
      <c r="E1037" s="11" t="inlineStr">
        <is>
          <t>00000000</t>
        </is>
      </c>
      <c r="F1037" s="13" t="n">
        <v>-1141</v>
      </c>
      <c r="G1037" s="11" t="n">
        <v>24195786.37</v>
      </c>
    </row>
    <row r="1038">
      <c r="A1038" s="11" t="n">
        <v>1037</v>
      </c>
      <c r="B1038" s="12" t="n">
        <v>46041</v>
      </c>
      <c r="C1038" s="11" t="inlineStr">
        <is>
          <t>GRAVAMEN A MOVIMIENTO FINANCIERO</t>
        </is>
      </c>
      <c r="D1038" s="11" t="inlineStr">
        <is>
          <t>ORITO</t>
        </is>
      </c>
      <c r="E1038" s="11" t="inlineStr">
        <is>
          <t>00000000</t>
        </is>
      </c>
      <c r="F1038" s="13" t="n">
        <v>-5</v>
      </c>
      <c r="G1038" s="11" t="n">
        <v>24195781.37</v>
      </c>
    </row>
    <row r="1039">
      <c r="A1039" s="11" t="n">
        <v>1038</v>
      </c>
      <c r="B1039" s="12" t="n">
        <v>46041</v>
      </c>
      <c r="C1039" s="11" t="inlineStr">
        <is>
          <t>RETEFUENTE D E Y VOUCHER CREDIBANCO</t>
        </is>
      </c>
      <c r="D1039" s="11" t="inlineStr">
        <is>
          <t>ORITO</t>
        </is>
      </c>
      <c r="E1039" s="11" t="inlineStr">
        <is>
          <t>00000000</t>
        </is>
      </c>
      <c r="F1039" s="13" t="n">
        <v>-782</v>
      </c>
      <c r="G1039" s="11" t="n">
        <v>24194999.37</v>
      </c>
    </row>
    <row r="1040">
      <c r="A1040" s="11" t="n">
        <v>1039</v>
      </c>
      <c r="B1040" s="12" t="n">
        <v>46041</v>
      </c>
      <c r="C1040" s="11" t="inlineStr">
        <is>
          <t>GRAVAMEN A MOVIMIENTO FINANCIERO</t>
        </is>
      </c>
      <c r="D1040" s="11" t="inlineStr">
        <is>
          <t>ORITO</t>
        </is>
      </c>
      <c r="E1040" s="11" t="inlineStr">
        <is>
          <t>00000000</t>
        </is>
      </c>
      <c r="F1040" s="13" t="n">
        <v>-3</v>
      </c>
      <c r="G1040" s="11" t="n">
        <v>24194996.37</v>
      </c>
    </row>
    <row r="1041">
      <c r="A1041" s="11" t="n">
        <v>1040</v>
      </c>
      <c r="B1041" s="12" t="n">
        <v>46041</v>
      </c>
      <c r="C1041" s="11" t="inlineStr">
        <is>
          <t>CONSIGNACION CREDIBANCO D E</t>
        </is>
      </c>
      <c r="D1041" s="11" t="inlineStr">
        <is>
          <t>ORITO</t>
        </is>
      </c>
      <c r="E1041" s="11" t="inlineStr">
        <is>
          <t>00000000</t>
        </is>
      </c>
      <c r="F1041" s="13" t="n">
        <v>37700</v>
      </c>
      <c r="G1041" s="11" t="n">
        <v>24232696.37</v>
      </c>
    </row>
    <row r="1042">
      <c r="A1042" s="11" t="n">
        <v>1041</v>
      </c>
      <c r="B1042" s="12" t="n">
        <v>46041</v>
      </c>
      <c r="C1042" s="11" t="inlineStr">
        <is>
          <t>COBRO COMISION DEPOSITOS ELECTRONICOS</t>
        </is>
      </c>
      <c r="D1042" s="11" t="inlineStr">
        <is>
          <t>ORITO</t>
        </is>
      </c>
      <c r="E1042" s="11" t="inlineStr">
        <is>
          <t>00000000</t>
        </is>
      </c>
      <c r="F1042" s="13" t="n">
        <v>-826</v>
      </c>
      <c r="G1042" s="11" t="n">
        <v>24231870.37</v>
      </c>
    </row>
    <row r="1043">
      <c r="A1043" s="11" t="n">
        <v>1042</v>
      </c>
      <c r="B1043" s="12" t="n">
        <v>46041</v>
      </c>
      <c r="C1043" s="11" t="inlineStr">
        <is>
          <t>GRAVAMEN A MOVIMIENTO FINANCIERO</t>
        </is>
      </c>
      <c r="D1043" s="11" t="inlineStr">
        <is>
          <t>ORITO</t>
        </is>
      </c>
      <c r="E1043" s="11" t="inlineStr">
        <is>
          <t>00000000</t>
        </is>
      </c>
      <c r="F1043" s="13" t="n">
        <v>-3</v>
      </c>
      <c r="G1043" s="11" t="n">
        <v>24231867.37</v>
      </c>
    </row>
    <row r="1044">
      <c r="A1044" s="11" t="n">
        <v>1043</v>
      </c>
      <c r="B1044" s="12" t="n">
        <v>46041</v>
      </c>
      <c r="C1044" s="11" t="inlineStr">
        <is>
          <t>RETEFUENTE D E Y VOUCHER CREDIBANCO</t>
        </is>
      </c>
      <c r="D1044" s="11" t="inlineStr">
        <is>
          <t>ORITO</t>
        </is>
      </c>
      <c r="E1044" s="11" t="inlineStr">
        <is>
          <t>00000000</t>
        </is>
      </c>
      <c r="F1044" s="13" t="n">
        <v>-566</v>
      </c>
      <c r="G1044" s="11" t="n">
        <v>24231301.37</v>
      </c>
    </row>
    <row r="1045">
      <c r="A1045" s="11" t="n">
        <v>1044</v>
      </c>
      <c r="B1045" s="12" t="n">
        <v>46041</v>
      </c>
      <c r="C1045" s="11" t="inlineStr">
        <is>
          <t>GRAVAMEN A MOVIMIENTO FINANCIERO</t>
        </is>
      </c>
      <c r="D1045" s="11" t="inlineStr">
        <is>
          <t>ORITO</t>
        </is>
      </c>
      <c r="E1045" s="11" t="inlineStr">
        <is>
          <t>00000000</t>
        </is>
      </c>
      <c r="F1045" s="13" t="n">
        <v>-2</v>
      </c>
      <c r="G1045" s="11" t="n">
        <v>24231299.37</v>
      </c>
    </row>
    <row r="1046">
      <c r="A1046" s="11" t="n">
        <v>1045</v>
      </c>
      <c r="B1046" s="12" t="n">
        <v>46041</v>
      </c>
      <c r="C1046" s="11" t="inlineStr">
        <is>
          <t>CONSIGNACION CREDIBANCO D E</t>
        </is>
      </c>
      <c r="D1046" s="11" t="inlineStr">
        <is>
          <t>ORITO</t>
        </is>
      </c>
      <c r="E1046" s="11" t="inlineStr">
        <is>
          <t>00000000</t>
        </is>
      </c>
      <c r="F1046" s="13" t="n">
        <v>22400</v>
      </c>
      <c r="G1046" s="11" t="n">
        <v>24253699.37</v>
      </c>
    </row>
    <row r="1047">
      <c r="A1047" s="11" t="n">
        <v>1046</v>
      </c>
      <c r="B1047" s="12" t="n">
        <v>46041</v>
      </c>
      <c r="C1047" s="11" t="inlineStr">
        <is>
          <t>COBRO COMISION DEPOSITOS ELECTRONICOS</t>
        </is>
      </c>
      <c r="D1047" s="11" t="inlineStr">
        <is>
          <t>ORITO</t>
        </is>
      </c>
      <c r="E1047" s="11" t="inlineStr">
        <is>
          <t>00000000</t>
        </is>
      </c>
      <c r="F1047" s="13" t="n">
        <v>-491</v>
      </c>
      <c r="G1047" s="11" t="n">
        <v>24253208.37</v>
      </c>
    </row>
    <row r="1048">
      <c r="A1048" s="11" t="n">
        <v>1047</v>
      </c>
      <c r="B1048" s="12" t="n">
        <v>46041</v>
      </c>
      <c r="C1048" s="11" t="inlineStr">
        <is>
          <t>GRAVAMEN A MOVIMIENTO FINANCIERO</t>
        </is>
      </c>
      <c r="D1048" s="11" t="inlineStr">
        <is>
          <t>ORITO</t>
        </is>
      </c>
      <c r="E1048" s="11" t="inlineStr">
        <is>
          <t>00000000</t>
        </is>
      </c>
      <c r="F1048" s="13" t="n">
        <v>-2</v>
      </c>
      <c r="G1048" s="11" t="n">
        <v>24253206.37</v>
      </c>
    </row>
    <row r="1049">
      <c r="A1049" s="11" t="n">
        <v>1048</v>
      </c>
      <c r="B1049" s="12" t="n">
        <v>46041</v>
      </c>
      <c r="C1049" s="11" t="inlineStr">
        <is>
          <t>RETEFUENTE D E Y VOUCHER CREDIBANCO</t>
        </is>
      </c>
      <c r="D1049" s="11" t="inlineStr">
        <is>
          <t>ORITO</t>
        </is>
      </c>
      <c r="E1049" s="11" t="inlineStr">
        <is>
          <t>00000000</t>
        </is>
      </c>
      <c r="F1049" s="13" t="n">
        <v>-336</v>
      </c>
      <c r="G1049" s="11" t="n">
        <v>24252870.37</v>
      </c>
    </row>
    <row r="1050">
      <c r="A1050" s="11" t="n">
        <v>1049</v>
      </c>
      <c r="B1050" s="12" t="n">
        <v>46041</v>
      </c>
      <c r="C1050" s="11" t="inlineStr">
        <is>
          <t>GRAVAMEN A MOVIMIENTO FINANCIERO</t>
        </is>
      </c>
      <c r="D1050" s="11" t="inlineStr">
        <is>
          <t>ORITO</t>
        </is>
      </c>
      <c r="E1050" s="11" t="inlineStr">
        <is>
          <t>00000000</t>
        </is>
      </c>
      <c r="F1050" s="13" t="n">
        <v>-1</v>
      </c>
      <c r="G1050" s="11" t="n">
        <v>24252869.37</v>
      </c>
    </row>
    <row r="1051">
      <c r="A1051" s="11" t="n">
        <v>1050</v>
      </c>
      <c r="B1051" s="12" t="n">
        <v>46041</v>
      </c>
      <c r="C1051" s="11" t="inlineStr">
        <is>
          <t>CONSIGNACION CREDIBANCO D E</t>
        </is>
      </c>
      <c r="D1051" s="11" t="inlineStr">
        <is>
          <t>ORITO</t>
        </is>
      </c>
      <c r="E1051" s="11" t="inlineStr">
        <is>
          <t>00000000</t>
        </is>
      </c>
      <c r="F1051" s="13" t="n">
        <v>42900</v>
      </c>
      <c r="G1051" s="11" t="n">
        <v>24295769.37</v>
      </c>
    </row>
    <row r="1052">
      <c r="A1052" s="11" t="n">
        <v>1051</v>
      </c>
      <c r="B1052" s="12" t="n">
        <v>46041</v>
      </c>
      <c r="C1052" s="11" t="inlineStr">
        <is>
          <t>COBRO COMISION DEPOSITOS ELECTRONICOS</t>
        </is>
      </c>
      <c r="D1052" s="11" t="inlineStr">
        <is>
          <t>ORITO</t>
        </is>
      </c>
      <c r="E1052" s="11" t="inlineStr">
        <is>
          <t>00000000</t>
        </is>
      </c>
      <c r="F1052" s="13" t="n">
        <v>-927</v>
      </c>
      <c r="G1052" s="11" t="n">
        <v>24294842.37</v>
      </c>
    </row>
    <row r="1053">
      <c r="A1053" s="11" t="n">
        <v>1052</v>
      </c>
      <c r="B1053" s="12" t="n">
        <v>46041</v>
      </c>
      <c r="C1053" s="11" t="inlineStr">
        <is>
          <t>GRAVAMEN A MOVIMIENTO FINANCIERO</t>
        </is>
      </c>
      <c r="D1053" s="11" t="inlineStr">
        <is>
          <t>ORITO</t>
        </is>
      </c>
      <c r="E1053" s="11" t="inlineStr">
        <is>
          <t>00000000</t>
        </is>
      </c>
      <c r="F1053" s="13" t="n">
        <v>-4</v>
      </c>
      <c r="G1053" s="11" t="n">
        <v>24294838.37</v>
      </c>
    </row>
    <row r="1054">
      <c r="A1054" s="11" t="n">
        <v>1053</v>
      </c>
      <c r="B1054" s="12" t="n">
        <v>46041</v>
      </c>
      <c r="C1054" s="11" t="inlineStr">
        <is>
          <t>RETEFUENTE D E Y VOUCHER CREDIBANCO</t>
        </is>
      </c>
      <c r="D1054" s="11" t="inlineStr">
        <is>
          <t>ORITO</t>
        </is>
      </c>
      <c r="E1054" s="11" t="inlineStr">
        <is>
          <t>00000000</t>
        </is>
      </c>
      <c r="F1054" s="13" t="n">
        <v>-644</v>
      </c>
      <c r="G1054" s="11" t="n">
        <v>24294194.37</v>
      </c>
    </row>
    <row r="1055">
      <c r="A1055" s="11" t="n">
        <v>1054</v>
      </c>
      <c r="B1055" s="12" t="n">
        <v>46041</v>
      </c>
      <c r="C1055" s="11" t="inlineStr">
        <is>
          <t>GRAVAMEN A MOVIMIENTO FINANCIERO</t>
        </is>
      </c>
      <c r="D1055" s="11" t="inlineStr">
        <is>
          <t>ORITO</t>
        </is>
      </c>
      <c r="E1055" s="11" t="inlineStr">
        <is>
          <t>00000000</t>
        </is>
      </c>
      <c r="F1055" s="13" t="n">
        <v>-3</v>
      </c>
      <c r="G1055" s="11" t="n">
        <v>24294191.37</v>
      </c>
    </row>
    <row r="1056">
      <c r="A1056" s="11" t="n">
        <v>1055</v>
      </c>
      <c r="B1056" s="12" t="n">
        <v>46041</v>
      </c>
      <c r="C1056" s="11" t="inlineStr">
        <is>
          <t>CONSIGNACION CREDIBANCO D E</t>
        </is>
      </c>
      <c r="D1056" s="11" t="inlineStr">
        <is>
          <t>ORITO</t>
        </is>
      </c>
      <c r="E1056" s="11" t="inlineStr">
        <is>
          <t>00000000</t>
        </is>
      </c>
      <c r="F1056" s="13" t="n">
        <v>40000</v>
      </c>
      <c r="G1056" s="11" t="n">
        <v>24334191.37</v>
      </c>
    </row>
    <row r="1057">
      <c r="A1057" s="11" t="n">
        <v>1056</v>
      </c>
      <c r="B1057" s="12" t="n">
        <v>46041</v>
      </c>
      <c r="C1057" s="11" t="inlineStr">
        <is>
          <t>COBRO COMISION DEPOSITOS ELECTRONICOS</t>
        </is>
      </c>
      <c r="D1057" s="11" t="inlineStr">
        <is>
          <t>ORITO</t>
        </is>
      </c>
      <c r="E1057" s="11" t="inlineStr">
        <is>
          <t>00000000</t>
        </is>
      </c>
      <c r="F1057" s="13" t="n">
        <v>-864</v>
      </c>
      <c r="G1057" s="11" t="n">
        <v>24333327.37</v>
      </c>
    </row>
    <row r="1058">
      <c r="A1058" s="11" t="n">
        <v>1057</v>
      </c>
      <c r="B1058" s="12" t="n">
        <v>46041</v>
      </c>
      <c r="C1058" s="11" t="inlineStr">
        <is>
          <t>GRAVAMEN A MOVIMIENTO FINANCIERO</t>
        </is>
      </c>
      <c r="D1058" s="11" t="inlineStr">
        <is>
          <t>ORITO</t>
        </is>
      </c>
      <c r="E1058" s="11" t="inlineStr">
        <is>
          <t>00000000</t>
        </is>
      </c>
      <c r="F1058" s="13" t="n">
        <v>-3</v>
      </c>
      <c r="G1058" s="11" t="n">
        <v>24333324.37</v>
      </c>
    </row>
    <row r="1059">
      <c r="A1059" s="11" t="n">
        <v>1058</v>
      </c>
      <c r="B1059" s="12" t="n">
        <v>46041</v>
      </c>
      <c r="C1059" s="11" t="inlineStr">
        <is>
          <t>RETEFUENTE D E Y VOUCHER CREDIBANCO</t>
        </is>
      </c>
      <c r="D1059" s="11" t="inlineStr">
        <is>
          <t>ORITO</t>
        </is>
      </c>
      <c r="E1059" s="11" t="inlineStr">
        <is>
          <t>00000000</t>
        </is>
      </c>
      <c r="F1059" s="13" t="n">
        <v>-600</v>
      </c>
      <c r="G1059" s="11" t="n">
        <v>24332724.37</v>
      </c>
    </row>
    <row r="1060">
      <c r="A1060" s="11" t="n">
        <v>1059</v>
      </c>
      <c r="B1060" s="12" t="n">
        <v>46041</v>
      </c>
      <c r="C1060" s="11" t="inlineStr">
        <is>
          <t>GRAVAMEN A MOVIMIENTO FINANCIERO</t>
        </is>
      </c>
      <c r="D1060" s="11" t="inlineStr">
        <is>
          <t>ORITO</t>
        </is>
      </c>
      <c r="E1060" s="11" t="inlineStr">
        <is>
          <t>00000000</t>
        </is>
      </c>
      <c r="F1060" s="13" t="n">
        <v>-2</v>
      </c>
      <c r="G1060" s="11" t="n">
        <v>24332722.37</v>
      </c>
    </row>
    <row r="1061">
      <c r="A1061" s="11" t="n">
        <v>1060</v>
      </c>
      <c r="B1061" s="12" t="n">
        <v>46041</v>
      </c>
      <c r="C1061" s="11" t="inlineStr">
        <is>
          <t>CONSIGNACION CREDIBANCO D E</t>
        </is>
      </c>
      <c r="D1061" s="11" t="inlineStr">
        <is>
          <t>ORITO</t>
        </is>
      </c>
      <c r="E1061" s="11" t="inlineStr">
        <is>
          <t>00000000</t>
        </is>
      </c>
      <c r="F1061" s="13" t="n">
        <v>26500</v>
      </c>
      <c r="G1061" s="11" t="n">
        <v>24359222.37</v>
      </c>
    </row>
    <row r="1062">
      <c r="A1062" s="11" t="n">
        <v>1061</v>
      </c>
      <c r="B1062" s="12" t="n">
        <v>46041</v>
      </c>
      <c r="C1062" s="11" t="inlineStr">
        <is>
          <t>COBRO COMISION DEPOSITOS ELECTRONICOS</t>
        </is>
      </c>
      <c r="D1062" s="11" t="inlineStr">
        <is>
          <t>ORITO</t>
        </is>
      </c>
      <c r="E1062" s="11" t="inlineStr">
        <is>
          <t>00000000</t>
        </is>
      </c>
      <c r="F1062" s="13" t="n">
        <v>-580</v>
      </c>
      <c r="G1062" s="11" t="n">
        <v>24358642.37</v>
      </c>
    </row>
    <row r="1063">
      <c r="A1063" s="11" t="n">
        <v>1062</v>
      </c>
      <c r="B1063" s="12" t="n">
        <v>46041</v>
      </c>
      <c r="C1063" s="11" t="inlineStr">
        <is>
          <t>GRAVAMEN A MOVIMIENTO FINANCIERO</t>
        </is>
      </c>
      <c r="D1063" s="11" t="inlineStr">
        <is>
          <t>ORITO</t>
        </is>
      </c>
      <c r="E1063" s="11" t="inlineStr">
        <is>
          <t>00000000</t>
        </is>
      </c>
      <c r="F1063" s="13" t="n">
        <v>-2</v>
      </c>
      <c r="G1063" s="11" t="n">
        <v>24358640.37</v>
      </c>
    </row>
    <row r="1064">
      <c r="A1064" s="11" t="n">
        <v>1063</v>
      </c>
      <c r="B1064" s="12" t="n">
        <v>46041</v>
      </c>
      <c r="C1064" s="11" t="inlineStr">
        <is>
          <t>RETEFUENTE D E Y VOUCHER CREDIBANCO</t>
        </is>
      </c>
      <c r="D1064" s="11" t="inlineStr">
        <is>
          <t>ORITO</t>
        </is>
      </c>
      <c r="E1064" s="11" t="inlineStr">
        <is>
          <t>00000000</t>
        </is>
      </c>
      <c r="F1064" s="13" t="n">
        <v>-398</v>
      </c>
      <c r="G1064" s="11" t="n">
        <v>24358242.37</v>
      </c>
    </row>
    <row r="1065">
      <c r="A1065" s="11" t="n">
        <v>1064</v>
      </c>
      <c r="B1065" s="12" t="n">
        <v>46041</v>
      </c>
      <c r="C1065" s="11" t="inlineStr">
        <is>
          <t>GRAVAMEN A MOVIMIENTO FINANCIERO</t>
        </is>
      </c>
      <c r="D1065" s="11" t="inlineStr">
        <is>
          <t>ORITO</t>
        </is>
      </c>
      <c r="E1065" s="11" t="inlineStr">
        <is>
          <t>00000000</t>
        </is>
      </c>
      <c r="F1065" s="13" t="n">
        <v>-2</v>
      </c>
      <c r="G1065" s="11" t="n">
        <v>24358240.37</v>
      </c>
    </row>
    <row r="1066">
      <c r="A1066" s="11" t="n">
        <v>1065</v>
      </c>
      <c r="B1066" s="12" t="n">
        <v>46041</v>
      </c>
      <c r="C1066" s="11" t="inlineStr">
        <is>
          <t>CONSIGNACION CREDIBANCO D E</t>
        </is>
      </c>
      <c r="D1066" s="11" t="inlineStr">
        <is>
          <t>ORITO</t>
        </is>
      </c>
      <c r="E1066" s="11" t="inlineStr">
        <is>
          <t>00000000</t>
        </is>
      </c>
      <c r="F1066" s="13" t="n">
        <v>33000</v>
      </c>
      <c r="G1066" s="11" t="n">
        <v>24391240.37</v>
      </c>
    </row>
    <row r="1067">
      <c r="A1067" s="11" t="n">
        <v>1066</v>
      </c>
      <c r="B1067" s="12" t="n">
        <v>46041</v>
      </c>
      <c r="C1067" s="11" t="inlineStr">
        <is>
          <t>COBRO COMISION DEPOSITOS ELECTRONICOS</t>
        </is>
      </c>
      <c r="D1067" s="11" t="inlineStr">
        <is>
          <t>ORITO</t>
        </is>
      </c>
      <c r="E1067" s="11" t="inlineStr">
        <is>
          <t>00000000</t>
        </is>
      </c>
      <c r="F1067" s="13" t="n">
        <v>-680</v>
      </c>
      <c r="G1067" s="11" t="n">
        <v>24390560.37</v>
      </c>
    </row>
    <row r="1068">
      <c r="A1068" s="11" t="n">
        <v>1067</v>
      </c>
      <c r="B1068" s="12" t="n">
        <v>46041</v>
      </c>
      <c r="C1068" s="11" t="inlineStr">
        <is>
          <t>GRAVAMEN A MOVIMIENTO FINANCIERO</t>
        </is>
      </c>
      <c r="D1068" s="11" t="inlineStr">
        <is>
          <t>ORITO</t>
        </is>
      </c>
      <c r="E1068" s="11" t="inlineStr">
        <is>
          <t>00000000</t>
        </is>
      </c>
      <c r="F1068" s="13" t="n">
        <v>-3</v>
      </c>
      <c r="G1068" s="11" t="n">
        <v>24390557.37</v>
      </c>
    </row>
    <row r="1069">
      <c r="A1069" s="11" t="n">
        <v>1068</v>
      </c>
      <c r="B1069" s="12" t="n">
        <v>46041</v>
      </c>
      <c r="C1069" s="11" t="inlineStr">
        <is>
          <t>RETEFUENTE D E Y VOUCHER CREDIBANCO</t>
        </is>
      </c>
      <c r="D1069" s="11" t="inlineStr">
        <is>
          <t>ORITO</t>
        </is>
      </c>
      <c r="E1069" s="11" t="inlineStr">
        <is>
          <t>00000000</t>
        </is>
      </c>
      <c r="F1069" s="13" t="n">
        <v>-495</v>
      </c>
      <c r="G1069" s="11" t="n">
        <v>24390062.37</v>
      </c>
    </row>
    <row r="1070">
      <c r="A1070" s="11" t="n">
        <v>1069</v>
      </c>
      <c r="B1070" s="12" t="n">
        <v>46041</v>
      </c>
      <c r="C1070" s="11" t="inlineStr">
        <is>
          <t>GRAVAMEN A MOVIMIENTO FINANCIERO</t>
        </is>
      </c>
      <c r="D1070" s="11" t="inlineStr">
        <is>
          <t>ORITO</t>
        </is>
      </c>
      <c r="E1070" s="11" t="inlineStr">
        <is>
          <t>00000000</t>
        </is>
      </c>
      <c r="F1070" s="13" t="n">
        <v>-2</v>
      </c>
      <c r="G1070" s="11" t="n">
        <v>24390060.37</v>
      </c>
    </row>
    <row r="1071">
      <c r="A1071" s="11" t="n">
        <v>1070</v>
      </c>
      <c r="B1071" s="12" t="n">
        <v>46041</v>
      </c>
      <c r="C1071" s="11" t="inlineStr">
        <is>
          <t>DEPOSITOS ELECTRONICOS TRANSACCION MASTERCA</t>
        </is>
      </c>
      <c r="D1071" s="11" t="inlineStr">
        <is>
          <t>ORITO</t>
        </is>
      </c>
      <c r="E1071" s="11" t="inlineStr">
        <is>
          <t>00000000</t>
        </is>
      </c>
      <c r="F1071" s="13" t="n">
        <v>99200</v>
      </c>
      <c r="G1071" s="11" t="n">
        <v>24489260.37</v>
      </c>
    </row>
    <row r="1072">
      <c r="A1072" s="11" t="n">
        <v>1071</v>
      </c>
      <c r="B1072" s="12" t="n">
        <v>46041</v>
      </c>
      <c r="C1072" s="11" t="inlineStr">
        <is>
          <t>COMISION DEPOSITOS ELECTRONICOS MASTERCARD</t>
        </is>
      </c>
      <c r="D1072" s="11" t="inlineStr">
        <is>
          <t>ORITO</t>
        </is>
      </c>
      <c r="E1072" s="11" t="inlineStr">
        <is>
          <t>00000000</t>
        </is>
      </c>
      <c r="F1072" s="13" t="n">
        <v>-2331</v>
      </c>
      <c r="G1072" s="11" t="n">
        <v>24486929.37</v>
      </c>
    </row>
    <row r="1073">
      <c r="A1073" s="11" t="n">
        <v>1072</v>
      </c>
      <c r="B1073" s="12" t="n">
        <v>46041</v>
      </c>
      <c r="C1073" s="11" t="inlineStr">
        <is>
          <t>GRAVAMEN A MOVIMIENTO FINANCIERO</t>
        </is>
      </c>
      <c r="D1073" s="11" t="inlineStr">
        <is>
          <t>ORITO</t>
        </is>
      </c>
      <c r="E1073" s="11" t="inlineStr">
        <is>
          <t>00000000</t>
        </is>
      </c>
      <c r="F1073" s="13" t="n">
        <v>-9</v>
      </c>
      <c r="G1073" s="11" t="n">
        <v>24486920.37</v>
      </c>
    </row>
    <row r="1074">
      <c r="A1074" s="11" t="n">
        <v>1073</v>
      </c>
      <c r="B1074" s="12" t="n">
        <v>46041</v>
      </c>
      <c r="C1074" s="11" t="inlineStr">
        <is>
          <t>RETEFUENTE DEPOSITOS ELECTRONICOS MASTERCAR</t>
        </is>
      </c>
      <c r="D1074" s="11" t="inlineStr">
        <is>
          <t>ORITO</t>
        </is>
      </c>
      <c r="E1074" s="11" t="inlineStr">
        <is>
          <t>00000000</t>
        </is>
      </c>
      <c r="F1074" s="13" t="n">
        <v>-1488</v>
      </c>
      <c r="G1074" s="11" t="n">
        <v>24485432.37</v>
      </c>
    </row>
    <row r="1075">
      <c r="A1075" s="11" t="n">
        <v>1074</v>
      </c>
      <c r="B1075" s="12" t="n">
        <v>46041</v>
      </c>
      <c r="C1075" s="11" t="inlineStr">
        <is>
          <t>GRAVAMEN A MOVIMIENTO FINANCIERO</t>
        </is>
      </c>
      <c r="D1075" s="11" t="inlineStr">
        <is>
          <t>ORITO</t>
        </is>
      </c>
      <c r="E1075" s="11" t="inlineStr">
        <is>
          <t>00000000</t>
        </is>
      </c>
      <c r="F1075" s="13" t="n">
        <v>-6</v>
      </c>
      <c r="G1075" s="11" t="n">
        <v>24485426.37</v>
      </c>
    </row>
    <row r="1076">
      <c r="A1076" s="11" t="n">
        <v>1075</v>
      </c>
      <c r="B1076" s="12" t="n">
        <v>46041</v>
      </c>
      <c r="C1076" s="11" t="inlineStr">
        <is>
          <t>DEPOSITOS ELECTRONICOS TRANSACCION MASTERCA</t>
        </is>
      </c>
      <c r="D1076" s="11" t="inlineStr">
        <is>
          <t>ORITO</t>
        </is>
      </c>
      <c r="E1076" s="11" t="inlineStr">
        <is>
          <t>00000000</t>
        </is>
      </c>
      <c r="F1076" s="13" t="n">
        <v>101600</v>
      </c>
      <c r="G1076" s="11" t="n">
        <v>24587026.37</v>
      </c>
    </row>
    <row r="1077">
      <c r="A1077" s="11" t="n">
        <v>1076</v>
      </c>
      <c r="B1077" s="12" t="n">
        <v>46041</v>
      </c>
      <c r="C1077" s="11" t="inlineStr">
        <is>
          <t>COMISION DEPOSITOS ELECTRONICOS MASTERCARD</t>
        </is>
      </c>
      <c r="D1077" s="11" t="inlineStr">
        <is>
          <t>ORITO</t>
        </is>
      </c>
      <c r="E1077" s="11" t="inlineStr">
        <is>
          <t>00000000</t>
        </is>
      </c>
      <c r="F1077" s="13" t="n">
        <v>-1930</v>
      </c>
      <c r="G1077" s="11" t="n">
        <v>24585096.37</v>
      </c>
    </row>
    <row r="1078">
      <c r="A1078" s="11" t="n">
        <v>1077</v>
      </c>
      <c r="B1078" s="12" t="n">
        <v>46041</v>
      </c>
      <c r="C1078" s="11" t="inlineStr">
        <is>
          <t>GRAVAMEN A MOVIMIENTO FINANCIERO</t>
        </is>
      </c>
      <c r="D1078" s="11" t="inlineStr">
        <is>
          <t>ORITO</t>
        </is>
      </c>
      <c r="E1078" s="11" t="inlineStr">
        <is>
          <t>00000000</t>
        </is>
      </c>
      <c r="F1078" s="13" t="n">
        <v>-8</v>
      </c>
      <c r="G1078" s="11" t="n">
        <v>24585088.37</v>
      </c>
    </row>
    <row r="1079">
      <c r="A1079" s="11" t="n">
        <v>1078</v>
      </c>
      <c r="B1079" s="12" t="n">
        <v>46041</v>
      </c>
      <c r="C1079" s="11" t="inlineStr">
        <is>
          <t>RETEFUENTE DEPOSITOS ELECTRONICOS MASTERCAR</t>
        </is>
      </c>
      <c r="D1079" s="11" t="inlineStr">
        <is>
          <t>ORITO</t>
        </is>
      </c>
      <c r="E1079" s="11" t="inlineStr">
        <is>
          <t>00000000</t>
        </is>
      </c>
      <c r="F1079" s="13" t="n">
        <v>-1524</v>
      </c>
      <c r="G1079" s="11" t="n">
        <v>24583564.37</v>
      </c>
    </row>
    <row r="1080">
      <c r="A1080" s="11" t="n">
        <v>1079</v>
      </c>
      <c r="B1080" s="12" t="n">
        <v>46041</v>
      </c>
      <c r="C1080" s="11" t="inlineStr">
        <is>
          <t>GRAVAMEN A MOVIMIENTO FINANCIERO</t>
        </is>
      </c>
      <c r="D1080" s="11" t="inlineStr">
        <is>
          <t>ORITO</t>
        </is>
      </c>
      <c r="E1080" s="11" t="inlineStr">
        <is>
          <t>00000000</t>
        </is>
      </c>
      <c r="F1080" s="13" t="n">
        <v>-6</v>
      </c>
      <c r="G1080" s="11" t="n">
        <v>24583558.37</v>
      </c>
    </row>
    <row r="1081">
      <c r="A1081" s="11" t="n">
        <v>1080</v>
      </c>
      <c r="B1081" s="12" t="n">
        <v>46041</v>
      </c>
      <c r="C1081" s="11" t="inlineStr">
        <is>
          <t>DEPOSITOS ELECTRONICOS TRANSACCION MASTERCA</t>
        </is>
      </c>
      <c r="D1081" s="11" t="inlineStr">
        <is>
          <t>ORITO</t>
        </is>
      </c>
      <c r="E1081" s="11" t="inlineStr">
        <is>
          <t>00000000</t>
        </is>
      </c>
      <c r="F1081" s="13" t="n">
        <v>150800</v>
      </c>
      <c r="G1081" s="11" t="n">
        <v>24734358.37</v>
      </c>
    </row>
    <row r="1082">
      <c r="A1082" s="11" t="n">
        <v>1081</v>
      </c>
      <c r="B1082" s="12" t="n">
        <v>46041</v>
      </c>
      <c r="C1082" s="11" t="inlineStr">
        <is>
          <t>COMISION DEPOSITOS ELECTRONICOS MASTERCARD</t>
        </is>
      </c>
      <c r="D1082" s="11" t="inlineStr">
        <is>
          <t>ORITO</t>
        </is>
      </c>
      <c r="E1082" s="11" t="inlineStr">
        <is>
          <t>00000000</t>
        </is>
      </c>
      <c r="F1082" s="13" t="n">
        <v>-2865</v>
      </c>
      <c r="G1082" s="11" t="n">
        <v>24731493.37</v>
      </c>
    </row>
    <row r="1083">
      <c r="A1083" s="11" t="n">
        <v>1082</v>
      </c>
      <c r="B1083" s="12" t="n">
        <v>46041</v>
      </c>
      <c r="C1083" s="11" t="inlineStr">
        <is>
          <t>GRAVAMEN A MOVIMIENTO FINANCIERO</t>
        </is>
      </c>
      <c r="D1083" s="11" t="inlineStr">
        <is>
          <t>ORITO</t>
        </is>
      </c>
      <c r="E1083" s="11" t="inlineStr">
        <is>
          <t>00000000</t>
        </is>
      </c>
      <c r="F1083" s="13" t="n">
        <v>-11</v>
      </c>
      <c r="G1083" s="11" t="n">
        <v>24731482.37</v>
      </c>
    </row>
    <row r="1084">
      <c r="A1084" s="11" t="n">
        <v>1083</v>
      </c>
      <c r="B1084" s="12" t="n">
        <v>46041</v>
      </c>
      <c r="C1084" s="11" t="inlineStr">
        <is>
          <t>RETEFUENTE DEPOSITOS ELECTRONICOS MASTERCAR</t>
        </is>
      </c>
      <c r="D1084" s="11" t="inlineStr">
        <is>
          <t>ORITO</t>
        </is>
      </c>
      <c r="E1084" s="11" t="inlineStr">
        <is>
          <t>00000000</t>
        </is>
      </c>
      <c r="F1084" s="13" t="n">
        <v>-2262</v>
      </c>
      <c r="G1084" s="11" t="n">
        <v>24729220.37</v>
      </c>
    </row>
    <row r="1085">
      <c r="A1085" s="11" t="n">
        <v>1084</v>
      </c>
      <c r="B1085" s="12" t="n">
        <v>46041</v>
      </c>
      <c r="C1085" s="11" t="inlineStr">
        <is>
          <t>GRAVAMEN A MOVIMIENTO FINANCIERO</t>
        </is>
      </c>
      <c r="D1085" s="11" t="inlineStr">
        <is>
          <t>ORITO</t>
        </is>
      </c>
      <c r="E1085" s="11" t="inlineStr">
        <is>
          <t>00000000</t>
        </is>
      </c>
      <c r="F1085" s="13" t="n">
        <v>-9</v>
      </c>
      <c r="G1085" s="11" t="n">
        <v>24729211.37</v>
      </c>
    </row>
    <row r="1086">
      <c r="A1086" s="11" t="n">
        <v>1085</v>
      </c>
      <c r="B1086" s="12" t="n">
        <v>46041</v>
      </c>
      <c r="C1086" s="11" t="inlineStr">
        <is>
          <t>DEPOSITOS ELECTRONICOS TRANSACCION MASTERCA</t>
        </is>
      </c>
      <c r="D1086" s="11" t="inlineStr">
        <is>
          <t>ORITO</t>
        </is>
      </c>
      <c r="E1086" s="11" t="inlineStr">
        <is>
          <t>00000000</t>
        </is>
      </c>
      <c r="F1086" s="13" t="n">
        <v>25000</v>
      </c>
      <c r="G1086" s="11" t="n">
        <v>24754211.37</v>
      </c>
    </row>
    <row r="1087">
      <c r="A1087" s="11" t="n">
        <v>1086</v>
      </c>
      <c r="B1087" s="12" t="n">
        <v>46041</v>
      </c>
      <c r="C1087" s="11" t="inlineStr">
        <is>
          <t>COMISION DEPOSITOS ELECTRONICOS MASTERCARD</t>
        </is>
      </c>
      <c r="D1087" s="11" t="inlineStr">
        <is>
          <t>ORITO</t>
        </is>
      </c>
      <c r="E1087" s="11" t="inlineStr">
        <is>
          <t>00000000</t>
        </is>
      </c>
      <c r="F1087" s="13" t="n">
        <v>-588</v>
      </c>
      <c r="G1087" s="11" t="n">
        <v>24753623.37</v>
      </c>
    </row>
    <row r="1088">
      <c r="A1088" s="11" t="n">
        <v>1087</v>
      </c>
      <c r="B1088" s="12" t="n">
        <v>46041</v>
      </c>
      <c r="C1088" s="11" t="inlineStr">
        <is>
          <t>GRAVAMEN A MOVIMIENTO FINANCIERO</t>
        </is>
      </c>
      <c r="D1088" s="11" t="inlineStr">
        <is>
          <t>ORITO</t>
        </is>
      </c>
      <c r="E1088" s="11" t="inlineStr">
        <is>
          <t>00000000</t>
        </is>
      </c>
      <c r="F1088" s="13" t="n">
        <v>-2</v>
      </c>
      <c r="G1088" s="11" t="n">
        <v>24753621.37</v>
      </c>
    </row>
    <row r="1089">
      <c r="A1089" s="11" t="n">
        <v>1088</v>
      </c>
      <c r="B1089" s="12" t="n">
        <v>46041</v>
      </c>
      <c r="C1089" s="11" t="inlineStr">
        <is>
          <t>RETEFUENTE DEPOSITOS ELECTRONICOS MASTERCAR</t>
        </is>
      </c>
      <c r="D1089" s="11" t="inlineStr">
        <is>
          <t>ORITO</t>
        </is>
      </c>
      <c r="E1089" s="11" t="inlineStr">
        <is>
          <t>00000000</t>
        </is>
      </c>
      <c r="F1089" s="13" t="n">
        <v>-375</v>
      </c>
      <c r="G1089" s="11" t="n">
        <v>24753246.37</v>
      </c>
    </row>
    <row r="1090">
      <c r="A1090" s="11" t="n">
        <v>1089</v>
      </c>
      <c r="B1090" s="12" t="n">
        <v>46041</v>
      </c>
      <c r="C1090" s="11" t="inlineStr">
        <is>
          <t>GRAVAMEN A MOVIMIENTO FINANCIERO</t>
        </is>
      </c>
      <c r="D1090" s="11" t="inlineStr">
        <is>
          <t>ORITO</t>
        </is>
      </c>
      <c r="E1090" s="11" t="inlineStr">
        <is>
          <t>00000000</t>
        </is>
      </c>
      <c r="F1090" s="13" t="n">
        <v>-2</v>
      </c>
      <c r="G1090" s="11" t="n">
        <v>24753244.37</v>
      </c>
    </row>
    <row r="1091">
      <c r="A1091" s="11" t="n">
        <v>1090</v>
      </c>
      <c r="B1091" s="12" t="n">
        <v>46041</v>
      </c>
      <c r="C1091" s="11" t="inlineStr">
        <is>
          <t>DEPOSITOS ELECTRONICOS TRANSACCION MASTERCA</t>
        </is>
      </c>
      <c r="D1091" s="11" t="inlineStr">
        <is>
          <t>ORITO</t>
        </is>
      </c>
      <c r="E1091" s="11" t="inlineStr">
        <is>
          <t>00000000</t>
        </is>
      </c>
      <c r="F1091" s="13" t="n">
        <v>204800</v>
      </c>
      <c r="G1091" s="11" t="n">
        <v>24958044.37</v>
      </c>
    </row>
    <row r="1092">
      <c r="A1092" s="11" t="n">
        <v>1091</v>
      </c>
      <c r="B1092" s="12" t="n">
        <v>46041</v>
      </c>
      <c r="C1092" s="11" t="inlineStr">
        <is>
          <t>COMISION DEPOSITOS ELECTRONICOS MASTERCARD</t>
        </is>
      </c>
      <c r="D1092" s="11" t="inlineStr">
        <is>
          <t>ORITO</t>
        </is>
      </c>
      <c r="E1092" s="11" t="inlineStr">
        <is>
          <t>00000000</t>
        </is>
      </c>
      <c r="F1092" s="13" t="n">
        <v>-3891</v>
      </c>
      <c r="G1092" s="11" t="n">
        <v>24954153.37</v>
      </c>
    </row>
    <row r="1093">
      <c r="A1093" s="11" t="n">
        <v>1092</v>
      </c>
      <c r="B1093" s="12" t="n">
        <v>46041</v>
      </c>
      <c r="C1093" s="11" t="inlineStr">
        <is>
          <t>GRAVAMEN A MOVIMIENTO FINANCIERO</t>
        </is>
      </c>
      <c r="D1093" s="11" t="inlineStr">
        <is>
          <t>ORITO</t>
        </is>
      </c>
      <c r="E1093" s="11" t="inlineStr">
        <is>
          <t>00000000</t>
        </is>
      </c>
      <c r="F1093" s="13" t="n">
        <v>-16</v>
      </c>
      <c r="G1093" s="11" t="n">
        <v>24954137.37</v>
      </c>
    </row>
    <row r="1094">
      <c r="A1094" s="11" t="n">
        <v>1093</v>
      </c>
      <c r="B1094" s="12" t="n">
        <v>46041</v>
      </c>
      <c r="C1094" s="11" t="inlineStr">
        <is>
          <t>RETEFUENTE DEPOSITOS ELECTRONICOS MASTERCAR</t>
        </is>
      </c>
      <c r="D1094" s="11" t="inlineStr">
        <is>
          <t>ORITO</t>
        </is>
      </c>
      <c r="E1094" s="11" t="inlineStr">
        <is>
          <t>00000000</t>
        </is>
      </c>
      <c r="F1094" s="13" t="n">
        <v>-3072</v>
      </c>
      <c r="G1094" s="11" t="n">
        <v>24951065.37</v>
      </c>
    </row>
    <row r="1095">
      <c r="A1095" s="11" t="n">
        <v>1094</v>
      </c>
      <c r="B1095" s="12" t="n">
        <v>46041</v>
      </c>
      <c r="C1095" s="11" t="inlineStr">
        <is>
          <t>GRAVAMEN A MOVIMIENTO FINANCIERO</t>
        </is>
      </c>
      <c r="D1095" s="11" t="inlineStr">
        <is>
          <t>ORITO</t>
        </is>
      </c>
      <c r="E1095" s="11" t="inlineStr">
        <is>
          <t>00000000</t>
        </is>
      </c>
      <c r="F1095" s="13" t="n">
        <v>-12</v>
      </c>
      <c r="G1095" s="11" t="n">
        <v>24951053.37</v>
      </c>
    </row>
    <row r="1096">
      <c r="A1096" s="11" t="n">
        <v>1095</v>
      </c>
      <c r="B1096" s="12" t="n">
        <v>46042</v>
      </c>
      <c r="C1096" s="11" t="inlineStr">
        <is>
          <t>DEPOSITOS ELECTRONICOS TRANSACCION MASTERCA</t>
        </is>
      </c>
      <c r="D1096" s="11" t="inlineStr">
        <is>
          <t>ORITO</t>
        </is>
      </c>
      <c r="E1096" s="11" t="inlineStr">
        <is>
          <t>00000000</t>
        </is>
      </c>
      <c r="F1096" s="13" t="n">
        <v>26800</v>
      </c>
      <c r="G1096" s="11" t="n">
        <v>24977853.37</v>
      </c>
    </row>
    <row r="1097">
      <c r="A1097" s="11" t="n">
        <v>1096</v>
      </c>
      <c r="B1097" s="12" t="n">
        <v>46042</v>
      </c>
      <c r="C1097" s="11" t="inlineStr">
        <is>
          <t>COMISION DEPOSITOS ELECTRONICOS MASTERCARD</t>
        </is>
      </c>
      <c r="D1097" s="11" t="inlineStr">
        <is>
          <t>ORITO</t>
        </is>
      </c>
      <c r="E1097" s="11" t="inlineStr">
        <is>
          <t>00000000</t>
        </is>
      </c>
      <c r="F1097" s="13" t="n">
        <v>-630</v>
      </c>
      <c r="G1097" s="11" t="n">
        <v>24977223.37</v>
      </c>
    </row>
    <row r="1098">
      <c r="A1098" s="11" t="n">
        <v>1097</v>
      </c>
      <c r="B1098" s="12" t="n">
        <v>46042</v>
      </c>
      <c r="C1098" s="11" t="inlineStr">
        <is>
          <t>GRAVAMEN A MOVIMIENTO FINANCIERO</t>
        </is>
      </c>
      <c r="D1098" s="11" t="inlineStr">
        <is>
          <t>ORITO</t>
        </is>
      </c>
      <c r="E1098" s="11" t="inlineStr">
        <is>
          <t>00000000</t>
        </is>
      </c>
      <c r="F1098" s="13" t="n">
        <v>-3</v>
      </c>
      <c r="G1098" s="11" t="n">
        <v>24977220.37</v>
      </c>
    </row>
    <row r="1099">
      <c r="A1099" s="11" t="n">
        <v>1098</v>
      </c>
      <c r="B1099" s="12" t="n">
        <v>46042</v>
      </c>
      <c r="C1099" s="11" t="inlineStr">
        <is>
          <t>RETEFUENTE DEPOSITOS ELECTRONICOS MASTERCAR</t>
        </is>
      </c>
      <c r="D1099" s="11" t="inlineStr">
        <is>
          <t>ORITO</t>
        </is>
      </c>
      <c r="E1099" s="11" t="inlineStr">
        <is>
          <t>00000000</t>
        </is>
      </c>
      <c r="F1099" s="13" t="n">
        <v>-402</v>
      </c>
      <c r="G1099" s="11" t="n">
        <v>24976818.37</v>
      </c>
    </row>
    <row r="1100">
      <c r="A1100" s="11" t="n">
        <v>1099</v>
      </c>
      <c r="B1100" s="12" t="n">
        <v>46042</v>
      </c>
      <c r="C1100" s="11" t="inlineStr">
        <is>
          <t>GRAVAMEN A MOVIMIENTO FINANCIERO</t>
        </is>
      </c>
      <c r="D1100" s="11" t="inlineStr">
        <is>
          <t>ORITO</t>
        </is>
      </c>
      <c r="E1100" s="11" t="inlineStr">
        <is>
          <t>00000000</t>
        </is>
      </c>
      <c r="F1100" s="13" t="n">
        <v>-2</v>
      </c>
      <c r="G1100" s="11" t="n">
        <v>24976816.37</v>
      </c>
    </row>
    <row r="1101">
      <c r="A1101" s="11" t="n">
        <v>1100</v>
      </c>
      <c r="B1101" s="12" t="n">
        <v>46042</v>
      </c>
      <c r="C1101" s="11" t="inlineStr">
        <is>
          <t>CONSIGNACION CREDIBANCO D E</t>
        </is>
      </c>
      <c r="D1101" s="11" t="inlineStr">
        <is>
          <t>ORITO</t>
        </is>
      </c>
      <c r="E1101" s="11" t="inlineStr">
        <is>
          <t>00000000</t>
        </is>
      </c>
      <c r="F1101" s="13" t="n">
        <v>21100</v>
      </c>
      <c r="G1101" s="11" t="n">
        <v>24997916.37</v>
      </c>
    </row>
    <row r="1102">
      <c r="A1102" s="11" t="n">
        <v>1101</v>
      </c>
      <c r="B1102" s="12" t="n">
        <v>46042</v>
      </c>
      <c r="C1102" s="11" t="inlineStr">
        <is>
          <t>COBRO COMISION DEPOSITOS ELECTRONICOS</t>
        </is>
      </c>
      <c r="D1102" s="11" t="inlineStr">
        <is>
          <t>ORITO</t>
        </is>
      </c>
      <c r="E1102" s="11" t="inlineStr">
        <is>
          <t>00000000</t>
        </is>
      </c>
      <c r="F1102" s="13" t="n">
        <v>-456</v>
      </c>
      <c r="G1102" s="11" t="n">
        <v>24997460.37</v>
      </c>
    </row>
    <row r="1103">
      <c r="A1103" s="11" t="n">
        <v>1102</v>
      </c>
      <c r="B1103" s="12" t="n">
        <v>46042</v>
      </c>
      <c r="C1103" s="11" t="inlineStr">
        <is>
          <t>GRAVAMEN A MOVIMIENTO FINANCIERO</t>
        </is>
      </c>
      <c r="D1103" s="11" t="inlineStr">
        <is>
          <t>ORITO</t>
        </is>
      </c>
      <c r="E1103" s="11" t="inlineStr">
        <is>
          <t>00000000</t>
        </is>
      </c>
      <c r="F1103" s="13" t="n">
        <v>-2</v>
      </c>
      <c r="G1103" s="11" t="n">
        <v>24997458.37</v>
      </c>
    </row>
    <row r="1104">
      <c r="A1104" s="11" t="n">
        <v>1103</v>
      </c>
      <c r="B1104" s="12" t="n">
        <v>46042</v>
      </c>
      <c r="C1104" s="11" t="inlineStr">
        <is>
          <t>RETEFUENTE D E Y VOUCHER CREDIBANCO</t>
        </is>
      </c>
      <c r="D1104" s="11" t="inlineStr">
        <is>
          <t>ORITO</t>
        </is>
      </c>
      <c r="E1104" s="11" t="inlineStr">
        <is>
          <t>00000000</t>
        </is>
      </c>
      <c r="F1104" s="13" t="n">
        <v>-317</v>
      </c>
      <c r="G1104" s="11" t="n">
        <v>24997141.37</v>
      </c>
    </row>
    <row r="1105">
      <c r="A1105" s="11" t="n">
        <v>1104</v>
      </c>
      <c r="B1105" s="12" t="n">
        <v>46042</v>
      </c>
      <c r="C1105" s="11" t="inlineStr">
        <is>
          <t>GRAVAMEN A MOVIMIENTO FINANCIERO</t>
        </is>
      </c>
      <c r="D1105" s="11" t="inlineStr">
        <is>
          <t>ORITO</t>
        </is>
      </c>
      <c r="E1105" s="11" t="inlineStr">
        <is>
          <t>00000000</t>
        </is>
      </c>
      <c r="F1105" s="13" t="n">
        <v>-1</v>
      </c>
      <c r="G1105" s="11" t="n">
        <v>24997140.37</v>
      </c>
    </row>
    <row r="1106">
      <c r="A1106" s="11" t="n">
        <v>1105</v>
      </c>
      <c r="B1106" s="12" t="n">
        <v>46042</v>
      </c>
      <c r="C1106" s="11" t="inlineStr">
        <is>
          <t>CONSIGNACION CREDIBANCO D E</t>
        </is>
      </c>
      <c r="D1106" s="11" t="inlineStr">
        <is>
          <t>ORITO</t>
        </is>
      </c>
      <c r="E1106" s="11" t="inlineStr">
        <is>
          <t>00000000</t>
        </is>
      </c>
      <c r="F1106" s="13" t="n">
        <v>149800</v>
      </c>
      <c r="G1106" s="11" t="n">
        <v>25146940.37</v>
      </c>
    </row>
    <row r="1107">
      <c r="A1107" s="11" t="n">
        <v>1106</v>
      </c>
      <c r="B1107" s="12" t="n">
        <v>46042</v>
      </c>
      <c r="C1107" s="11" t="inlineStr">
        <is>
          <t>COBRO COMISION DEPOSITOS ELECTRONICOS</t>
        </is>
      </c>
      <c r="D1107" s="11" t="inlineStr">
        <is>
          <t>ORITO</t>
        </is>
      </c>
      <c r="E1107" s="11" t="inlineStr">
        <is>
          <t>00000000</t>
        </is>
      </c>
      <c r="F1107" s="13" t="n">
        <v>-3236</v>
      </c>
      <c r="G1107" s="11" t="n">
        <v>25143704.37</v>
      </c>
    </row>
    <row r="1108">
      <c r="A1108" s="11" t="n">
        <v>1107</v>
      </c>
      <c r="B1108" s="12" t="n">
        <v>46042</v>
      </c>
      <c r="C1108" s="11" t="inlineStr">
        <is>
          <t>GRAVAMEN A MOVIMIENTO FINANCIERO</t>
        </is>
      </c>
      <c r="D1108" s="11" t="inlineStr">
        <is>
          <t>ORITO</t>
        </is>
      </c>
      <c r="E1108" s="11" t="inlineStr">
        <is>
          <t>00000000</t>
        </is>
      </c>
      <c r="F1108" s="13" t="n">
        <v>-13</v>
      </c>
      <c r="G1108" s="11" t="n">
        <v>25143691.37</v>
      </c>
    </row>
    <row r="1109">
      <c r="A1109" s="11" t="n">
        <v>1108</v>
      </c>
      <c r="B1109" s="12" t="n">
        <v>46042</v>
      </c>
      <c r="C1109" s="11" t="inlineStr">
        <is>
          <t>RETEFUENTE D E Y VOUCHER CREDIBANCO</t>
        </is>
      </c>
      <c r="D1109" s="11" t="inlineStr">
        <is>
          <t>ORITO</t>
        </is>
      </c>
      <c r="E1109" s="11" t="inlineStr">
        <is>
          <t>00000000</t>
        </is>
      </c>
      <c r="F1109" s="13" t="n">
        <v>-2247</v>
      </c>
      <c r="G1109" s="11" t="n">
        <v>25141444.37</v>
      </c>
    </row>
    <row r="1110">
      <c r="A1110" s="11" t="n">
        <v>1109</v>
      </c>
      <c r="B1110" s="12" t="n">
        <v>46042</v>
      </c>
      <c r="C1110" s="11" t="inlineStr">
        <is>
          <t>GRAVAMEN A MOVIMIENTO FINANCIERO</t>
        </is>
      </c>
      <c r="D1110" s="11" t="inlineStr">
        <is>
          <t>ORITO</t>
        </is>
      </c>
      <c r="E1110" s="11" t="inlineStr">
        <is>
          <t>00000000</t>
        </is>
      </c>
      <c r="F1110" s="13" t="n">
        <v>-9</v>
      </c>
      <c r="G1110" s="11" t="n">
        <v>25141435.37</v>
      </c>
    </row>
    <row r="1111">
      <c r="A1111" s="11" t="n">
        <v>1110</v>
      </c>
      <c r="B1111" s="12" t="n">
        <v>46042</v>
      </c>
      <c r="C1111" s="11" t="inlineStr">
        <is>
          <t>CONSIGNACION CREDIBANCO D E</t>
        </is>
      </c>
      <c r="D1111" s="11" t="inlineStr">
        <is>
          <t>ORITO</t>
        </is>
      </c>
      <c r="E1111" s="11" t="inlineStr">
        <is>
          <t>00000000</t>
        </is>
      </c>
      <c r="F1111" s="13" t="n">
        <v>47400</v>
      </c>
      <c r="G1111" s="11" t="n">
        <v>25188835.37</v>
      </c>
    </row>
    <row r="1112">
      <c r="A1112" s="11" t="n">
        <v>1111</v>
      </c>
      <c r="B1112" s="12" t="n">
        <v>46042</v>
      </c>
      <c r="C1112" s="11" t="inlineStr">
        <is>
          <t>COBRO COMISION DEPOSITOS ELECTRONICOS</t>
        </is>
      </c>
      <c r="D1112" s="11" t="inlineStr">
        <is>
          <t>ORITO</t>
        </is>
      </c>
      <c r="E1112" s="11" t="inlineStr">
        <is>
          <t>00000000</t>
        </is>
      </c>
      <c r="F1112" s="13" t="n">
        <v>-976</v>
      </c>
      <c r="G1112" s="11" t="n">
        <v>25187859.37</v>
      </c>
    </row>
    <row r="1113">
      <c r="A1113" s="11" t="n">
        <v>1112</v>
      </c>
      <c r="B1113" s="12" t="n">
        <v>46042</v>
      </c>
      <c r="C1113" s="11" t="inlineStr">
        <is>
          <t>GRAVAMEN A MOVIMIENTO FINANCIERO</t>
        </is>
      </c>
      <c r="D1113" s="11" t="inlineStr">
        <is>
          <t>ORITO</t>
        </is>
      </c>
      <c r="E1113" s="11" t="inlineStr">
        <is>
          <t>00000000</t>
        </is>
      </c>
      <c r="F1113" s="13" t="n">
        <v>-4</v>
      </c>
      <c r="G1113" s="11" t="n">
        <v>25187855.37</v>
      </c>
    </row>
    <row r="1114">
      <c r="A1114" s="11" t="n">
        <v>1113</v>
      </c>
      <c r="B1114" s="12" t="n">
        <v>46042</v>
      </c>
      <c r="C1114" s="11" t="inlineStr">
        <is>
          <t>RETEFUENTE D E Y VOUCHER CREDIBANCO</t>
        </is>
      </c>
      <c r="D1114" s="11" t="inlineStr">
        <is>
          <t>ORITO</t>
        </is>
      </c>
      <c r="E1114" s="11" t="inlineStr">
        <is>
          <t>00000000</t>
        </is>
      </c>
      <c r="F1114" s="13" t="n">
        <v>-711</v>
      </c>
      <c r="G1114" s="11" t="n">
        <v>25187144.37</v>
      </c>
    </row>
    <row r="1115">
      <c r="A1115" s="11" t="n">
        <v>1114</v>
      </c>
      <c r="B1115" s="12" t="n">
        <v>46042</v>
      </c>
      <c r="C1115" s="11" t="inlineStr">
        <is>
          <t>GRAVAMEN A MOVIMIENTO FINANCIERO</t>
        </is>
      </c>
      <c r="D1115" s="11" t="inlineStr">
        <is>
          <t>ORITO</t>
        </is>
      </c>
      <c r="E1115" s="11" t="inlineStr">
        <is>
          <t>00000000</t>
        </is>
      </c>
      <c r="F1115" s="13" t="n">
        <v>-3</v>
      </c>
      <c r="G1115" s="11" t="n">
        <v>25187141.37</v>
      </c>
    </row>
    <row r="1116">
      <c r="A1116" s="11" t="n">
        <v>1115</v>
      </c>
      <c r="B1116" s="12" t="n">
        <v>46042</v>
      </c>
      <c r="C1116" s="11" t="inlineStr">
        <is>
          <t>CONSIGNACION CREDIBANCO D E</t>
        </is>
      </c>
      <c r="D1116" s="11" t="inlineStr">
        <is>
          <t>ORITO</t>
        </is>
      </c>
      <c r="E1116" s="11" t="inlineStr">
        <is>
          <t>00000000</t>
        </is>
      </c>
      <c r="F1116" s="13" t="n">
        <v>84700</v>
      </c>
      <c r="G1116" s="11" t="n">
        <v>25271841.37</v>
      </c>
    </row>
    <row r="1117">
      <c r="A1117" s="11" t="n">
        <v>1116</v>
      </c>
      <c r="B1117" s="12" t="n">
        <v>46042</v>
      </c>
      <c r="C1117" s="11" t="inlineStr">
        <is>
          <t>COBRO COMISION DEPOSITOS ELECTRONICOS</t>
        </is>
      </c>
      <c r="D1117" s="11" t="inlineStr">
        <is>
          <t>ORITO</t>
        </is>
      </c>
      <c r="E1117" s="11" t="inlineStr">
        <is>
          <t>00000000</t>
        </is>
      </c>
      <c r="F1117" s="13" t="n">
        <v>-1830</v>
      </c>
      <c r="G1117" s="11" t="n">
        <v>25270011.37</v>
      </c>
    </row>
    <row r="1118">
      <c r="A1118" s="11" t="n">
        <v>1117</v>
      </c>
      <c r="B1118" s="12" t="n">
        <v>46042</v>
      </c>
      <c r="C1118" s="11" t="inlineStr">
        <is>
          <t>GRAVAMEN A MOVIMIENTO FINANCIERO</t>
        </is>
      </c>
      <c r="D1118" s="11" t="inlineStr">
        <is>
          <t>ORITO</t>
        </is>
      </c>
      <c r="E1118" s="11" t="inlineStr">
        <is>
          <t>00000000</t>
        </is>
      </c>
      <c r="F1118" s="13" t="n">
        <v>-7</v>
      </c>
      <c r="G1118" s="11" t="n">
        <v>25270004.37</v>
      </c>
    </row>
    <row r="1119">
      <c r="A1119" s="11" t="n">
        <v>1118</v>
      </c>
      <c r="B1119" s="12" t="n">
        <v>46042</v>
      </c>
      <c r="C1119" s="11" t="inlineStr">
        <is>
          <t>RETEFUENTE D E Y VOUCHER CREDIBANCO</t>
        </is>
      </c>
      <c r="D1119" s="11" t="inlineStr">
        <is>
          <t>ORITO</t>
        </is>
      </c>
      <c r="E1119" s="11" t="inlineStr">
        <is>
          <t>00000000</t>
        </is>
      </c>
      <c r="F1119" s="13" t="n">
        <v>-1271</v>
      </c>
      <c r="G1119" s="11" t="n">
        <v>25268733.37</v>
      </c>
    </row>
    <row r="1120">
      <c r="A1120" s="11" t="n">
        <v>1119</v>
      </c>
      <c r="B1120" s="12" t="n">
        <v>46042</v>
      </c>
      <c r="C1120" s="11" t="inlineStr">
        <is>
          <t>GRAVAMEN A MOVIMIENTO FINANCIERO</t>
        </is>
      </c>
      <c r="D1120" s="11" t="inlineStr">
        <is>
          <t>ORITO</t>
        </is>
      </c>
      <c r="E1120" s="11" t="inlineStr">
        <is>
          <t>00000000</t>
        </is>
      </c>
      <c r="F1120" s="13" t="n">
        <v>-5</v>
      </c>
      <c r="G1120" s="11" t="n">
        <v>25268728.37</v>
      </c>
    </row>
    <row r="1121">
      <c r="A1121" s="11" t="n">
        <v>1120</v>
      </c>
      <c r="B1121" s="12" t="n">
        <v>46042</v>
      </c>
      <c r="C1121" s="11" t="inlineStr">
        <is>
          <t>CONSIGNACION CREDIBANCO D E</t>
        </is>
      </c>
      <c r="D1121" s="11" t="inlineStr">
        <is>
          <t>ORITO</t>
        </is>
      </c>
      <c r="E1121" s="11" t="inlineStr">
        <is>
          <t>00000000</t>
        </is>
      </c>
      <c r="F1121" s="13" t="n">
        <v>166800</v>
      </c>
      <c r="G1121" s="11" t="n">
        <v>25435528.37</v>
      </c>
    </row>
    <row r="1122">
      <c r="A1122" s="11" t="n">
        <v>1121</v>
      </c>
      <c r="B1122" s="12" t="n">
        <v>46042</v>
      </c>
      <c r="C1122" s="11" t="inlineStr">
        <is>
          <t>COBRO COMISION DEPOSITOS ELECTRONICOS</t>
        </is>
      </c>
      <c r="D1122" s="11" t="inlineStr">
        <is>
          <t>ORITO</t>
        </is>
      </c>
      <c r="E1122" s="11" t="inlineStr">
        <is>
          <t>00000000</t>
        </is>
      </c>
      <c r="F1122" s="13" t="n">
        <v>-3603</v>
      </c>
      <c r="G1122" s="11" t="n">
        <v>25431925.37</v>
      </c>
    </row>
    <row r="1123">
      <c r="A1123" s="11" t="n">
        <v>1122</v>
      </c>
      <c r="B1123" s="12" t="n">
        <v>46042</v>
      </c>
      <c r="C1123" s="11" t="inlineStr">
        <is>
          <t>GRAVAMEN A MOVIMIENTO FINANCIERO</t>
        </is>
      </c>
      <c r="D1123" s="11" t="inlineStr">
        <is>
          <t>ORITO</t>
        </is>
      </c>
      <c r="E1123" s="11" t="inlineStr">
        <is>
          <t>00000000</t>
        </is>
      </c>
      <c r="F1123" s="13" t="n">
        <v>-14</v>
      </c>
      <c r="G1123" s="11" t="n">
        <v>25431911.37</v>
      </c>
    </row>
    <row r="1124">
      <c r="A1124" s="11" t="n">
        <v>1123</v>
      </c>
      <c r="B1124" s="12" t="n">
        <v>46042</v>
      </c>
      <c r="C1124" s="11" t="inlineStr">
        <is>
          <t>RETEFUENTE D E Y VOUCHER CREDIBANCO</t>
        </is>
      </c>
      <c r="D1124" s="11" t="inlineStr">
        <is>
          <t>ORITO</t>
        </is>
      </c>
      <c r="E1124" s="11" t="inlineStr">
        <is>
          <t>00000000</t>
        </is>
      </c>
      <c r="F1124" s="13" t="n">
        <v>-2502</v>
      </c>
      <c r="G1124" s="11" t="n">
        <v>25429409.37</v>
      </c>
    </row>
    <row r="1125">
      <c r="A1125" s="11" t="n">
        <v>1124</v>
      </c>
      <c r="B1125" s="12" t="n">
        <v>46042</v>
      </c>
      <c r="C1125" s="11" t="inlineStr">
        <is>
          <t>GRAVAMEN A MOVIMIENTO FINANCIERO</t>
        </is>
      </c>
      <c r="D1125" s="11" t="inlineStr">
        <is>
          <t>ORITO</t>
        </is>
      </c>
      <c r="E1125" s="11" t="inlineStr">
        <is>
          <t>00000000</t>
        </is>
      </c>
      <c r="F1125" s="13" t="n">
        <v>-10</v>
      </c>
      <c r="G1125" s="11" t="n">
        <v>25429399.37</v>
      </c>
    </row>
    <row r="1126">
      <c r="A1126" s="11" t="n">
        <v>1125</v>
      </c>
      <c r="B1126" s="12" t="n">
        <v>46042</v>
      </c>
      <c r="C1126" s="11" t="inlineStr">
        <is>
          <t>CONSIGNACION CREDIBANCO D E</t>
        </is>
      </c>
      <c r="D1126" s="11" t="inlineStr">
        <is>
          <t>ORITO</t>
        </is>
      </c>
      <c r="E1126" s="11" t="inlineStr">
        <is>
          <t>00000000</t>
        </is>
      </c>
      <c r="F1126" s="13" t="n">
        <v>46000</v>
      </c>
      <c r="G1126" s="11" t="n">
        <v>25475399.37</v>
      </c>
    </row>
    <row r="1127">
      <c r="A1127" s="11" t="n">
        <v>1126</v>
      </c>
      <c r="B1127" s="12" t="n">
        <v>46042</v>
      </c>
      <c r="C1127" s="11" t="inlineStr">
        <is>
          <t>COBRO COMISION DEPOSITOS ELECTRONICOS</t>
        </is>
      </c>
      <c r="D1127" s="11" t="inlineStr">
        <is>
          <t>ORITO</t>
        </is>
      </c>
      <c r="E1127" s="11" t="inlineStr">
        <is>
          <t>00000000</t>
        </is>
      </c>
      <c r="F1127" s="13" t="n">
        <v>-994</v>
      </c>
      <c r="G1127" s="11" t="n">
        <v>25474405.37</v>
      </c>
    </row>
    <row r="1128">
      <c r="A1128" s="11" t="n">
        <v>1127</v>
      </c>
      <c r="B1128" s="12" t="n">
        <v>46042</v>
      </c>
      <c r="C1128" s="11" t="inlineStr">
        <is>
          <t>GRAVAMEN A MOVIMIENTO FINANCIERO</t>
        </is>
      </c>
      <c r="D1128" s="11" t="inlineStr">
        <is>
          <t>ORITO</t>
        </is>
      </c>
      <c r="E1128" s="11" t="inlineStr">
        <is>
          <t>00000000</t>
        </is>
      </c>
      <c r="F1128" s="13" t="n">
        <v>-4</v>
      </c>
      <c r="G1128" s="11" t="n">
        <v>25474401.37</v>
      </c>
    </row>
    <row r="1129">
      <c r="A1129" s="11" t="n">
        <v>1128</v>
      </c>
      <c r="B1129" s="12" t="n">
        <v>46042</v>
      </c>
      <c r="C1129" s="11" t="inlineStr">
        <is>
          <t>RETEFUENTE D E Y VOUCHER CREDIBANCO</t>
        </is>
      </c>
      <c r="D1129" s="11" t="inlineStr">
        <is>
          <t>ORITO</t>
        </is>
      </c>
      <c r="E1129" s="11" t="inlineStr">
        <is>
          <t>00000000</t>
        </is>
      </c>
      <c r="F1129" s="13" t="n">
        <v>-690</v>
      </c>
      <c r="G1129" s="11" t="n">
        <v>25473711.37</v>
      </c>
    </row>
    <row r="1130">
      <c r="A1130" s="11" t="n">
        <v>1129</v>
      </c>
      <c r="B1130" s="12" t="n">
        <v>46042</v>
      </c>
      <c r="C1130" s="11" t="inlineStr">
        <is>
          <t>GRAVAMEN A MOVIMIENTO FINANCIERO</t>
        </is>
      </c>
      <c r="D1130" s="11" t="inlineStr">
        <is>
          <t>ORITO</t>
        </is>
      </c>
      <c r="E1130" s="11" t="inlineStr">
        <is>
          <t>00000000</t>
        </is>
      </c>
      <c r="F1130" s="13" t="n">
        <v>-3</v>
      </c>
      <c r="G1130" s="11" t="n">
        <v>25473708.37</v>
      </c>
    </row>
    <row r="1131">
      <c r="A1131" s="11" t="n">
        <v>1130</v>
      </c>
      <c r="B1131" s="12" t="n">
        <v>46042</v>
      </c>
      <c r="C1131" s="11" t="inlineStr">
        <is>
          <t>CONSIGNACION CREDIBANCO D E</t>
        </is>
      </c>
      <c r="D1131" s="11" t="inlineStr">
        <is>
          <t>ORITO</t>
        </is>
      </c>
      <c r="E1131" s="11" t="inlineStr">
        <is>
          <t>00000000</t>
        </is>
      </c>
      <c r="F1131" s="13" t="n">
        <v>216000</v>
      </c>
      <c r="G1131" s="11" t="n">
        <v>25689708.37</v>
      </c>
    </row>
    <row r="1132">
      <c r="A1132" s="11" t="n">
        <v>1131</v>
      </c>
      <c r="B1132" s="12" t="n">
        <v>46042</v>
      </c>
      <c r="C1132" s="11" t="inlineStr">
        <is>
          <t>COBRO COMISION DEPOSITOS ELECTRONICOS</t>
        </is>
      </c>
      <c r="D1132" s="11" t="inlineStr">
        <is>
          <t>ORITO</t>
        </is>
      </c>
      <c r="E1132" s="11" t="inlineStr">
        <is>
          <t>00000000</t>
        </is>
      </c>
      <c r="F1132" s="13" t="n">
        <v>-4666</v>
      </c>
      <c r="G1132" s="11" t="n">
        <v>25685042.37</v>
      </c>
    </row>
    <row r="1133">
      <c r="A1133" s="11" t="n">
        <v>1132</v>
      </c>
      <c r="B1133" s="12" t="n">
        <v>46042</v>
      </c>
      <c r="C1133" s="11" t="inlineStr">
        <is>
          <t>GRAVAMEN A MOVIMIENTO FINANCIERO</t>
        </is>
      </c>
      <c r="D1133" s="11" t="inlineStr">
        <is>
          <t>ORITO</t>
        </is>
      </c>
      <c r="E1133" s="11" t="inlineStr">
        <is>
          <t>00000000</t>
        </is>
      </c>
      <c r="F1133" s="13" t="n">
        <v>-19</v>
      </c>
      <c r="G1133" s="11" t="n">
        <v>25685023.37</v>
      </c>
    </row>
    <row r="1134">
      <c r="A1134" s="11" t="n">
        <v>1133</v>
      </c>
      <c r="B1134" s="12" t="n">
        <v>46042</v>
      </c>
      <c r="C1134" s="11" t="inlineStr">
        <is>
          <t>RETEFUENTE D E Y VOUCHER CREDIBANCO</t>
        </is>
      </c>
      <c r="D1134" s="11" t="inlineStr">
        <is>
          <t>ORITO</t>
        </is>
      </c>
      <c r="E1134" s="11" t="inlineStr">
        <is>
          <t>00000000</t>
        </is>
      </c>
      <c r="F1134" s="13" t="n">
        <v>-3240</v>
      </c>
      <c r="G1134" s="11" t="n">
        <v>25681783.37</v>
      </c>
    </row>
    <row r="1135">
      <c r="A1135" s="11" t="n">
        <v>1134</v>
      </c>
      <c r="B1135" s="12" t="n">
        <v>46042</v>
      </c>
      <c r="C1135" s="11" t="inlineStr">
        <is>
          <t>GRAVAMEN A MOVIMIENTO FINANCIERO</t>
        </is>
      </c>
      <c r="D1135" s="11" t="inlineStr">
        <is>
          <t>ORITO</t>
        </is>
      </c>
      <c r="E1135" s="11" t="inlineStr">
        <is>
          <t>00000000</t>
        </is>
      </c>
      <c r="F1135" s="13" t="n">
        <v>-13</v>
      </c>
      <c r="G1135" s="11" t="n">
        <v>25681770.37</v>
      </c>
    </row>
    <row r="1136">
      <c r="A1136" s="11" t="n">
        <v>1135</v>
      </c>
      <c r="B1136" s="12" t="n">
        <v>46042</v>
      </c>
      <c r="C1136" s="11" t="inlineStr">
        <is>
          <t>CONSIGNACION CREDIBANCO D E</t>
        </is>
      </c>
      <c r="D1136" s="11" t="inlineStr">
        <is>
          <t>ORITO</t>
        </is>
      </c>
      <c r="E1136" s="11" t="inlineStr">
        <is>
          <t>00000000</t>
        </is>
      </c>
      <c r="F1136" s="13" t="n">
        <v>260900</v>
      </c>
      <c r="G1136" s="11" t="n">
        <v>25942670.37</v>
      </c>
    </row>
    <row r="1137">
      <c r="A1137" s="11" t="n">
        <v>1136</v>
      </c>
      <c r="B1137" s="12" t="n">
        <v>46042</v>
      </c>
      <c r="C1137" s="11" t="inlineStr">
        <is>
          <t>COBRO COMISION DEPOSITOS ELECTRONICOS</t>
        </is>
      </c>
      <c r="D1137" s="11" t="inlineStr">
        <is>
          <t>ORITO</t>
        </is>
      </c>
      <c r="E1137" s="11" t="inlineStr">
        <is>
          <t>00000000</t>
        </is>
      </c>
      <c r="F1137" s="13" t="n">
        <v>-5635</v>
      </c>
      <c r="G1137" s="11" t="n">
        <v>25937035.37</v>
      </c>
    </row>
    <row r="1138">
      <c r="A1138" s="11" t="n">
        <v>1137</v>
      </c>
      <c r="B1138" s="12" t="n">
        <v>46042</v>
      </c>
      <c r="C1138" s="11" t="inlineStr">
        <is>
          <t>GRAVAMEN A MOVIMIENTO FINANCIERO</t>
        </is>
      </c>
      <c r="D1138" s="11" t="inlineStr">
        <is>
          <t>ORITO</t>
        </is>
      </c>
      <c r="E1138" s="11" t="inlineStr">
        <is>
          <t>00000000</t>
        </is>
      </c>
      <c r="F1138" s="13" t="n">
        <v>-23</v>
      </c>
      <c r="G1138" s="11" t="n">
        <v>25937012.37</v>
      </c>
    </row>
    <row r="1139">
      <c r="A1139" s="11" t="n">
        <v>1138</v>
      </c>
      <c r="B1139" s="12" t="n">
        <v>46042</v>
      </c>
      <c r="C1139" s="11" t="inlineStr">
        <is>
          <t>RETEFUENTE D E Y VOUCHER CREDIBANCO</t>
        </is>
      </c>
      <c r="D1139" s="11" t="inlineStr">
        <is>
          <t>ORITO</t>
        </is>
      </c>
      <c r="E1139" s="11" t="inlineStr">
        <is>
          <t>00000000</t>
        </is>
      </c>
      <c r="F1139" s="13" t="n">
        <v>-3914</v>
      </c>
      <c r="G1139" s="11" t="n">
        <v>25933098.37</v>
      </c>
    </row>
    <row r="1140">
      <c r="A1140" s="11" t="n">
        <v>1139</v>
      </c>
      <c r="B1140" s="12" t="n">
        <v>46042</v>
      </c>
      <c r="C1140" s="11" t="inlineStr">
        <is>
          <t>GRAVAMEN A MOVIMIENTO FINANCIERO</t>
        </is>
      </c>
      <c r="D1140" s="11" t="inlineStr">
        <is>
          <t>ORITO</t>
        </is>
      </c>
      <c r="E1140" s="11" t="inlineStr">
        <is>
          <t>00000000</t>
        </is>
      </c>
      <c r="F1140" s="13" t="n">
        <v>-16</v>
      </c>
      <c r="G1140" s="11" t="n">
        <v>25933082.37</v>
      </c>
    </row>
    <row r="1141">
      <c r="A1141" s="11" t="n">
        <v>1140</v>
      </c>
      <c r="B1141" s="12" t="n">
        <v>46042</v>
      </c>
      <c r="C1141" s="11" t="inlineStr">
        <is>
          <t>CONSIGNACION CREDIBANCO D E</t>
        </is>
      </c>
      <c r="D1141" s="11" t="inlineStr">
        <is>
          <t>ORITO</t>
        </is>
      </c>
      <c r="E1141" s="11" t="inlineStr">
        <is>
          <t>00000000</t>
        </is>
      </c>
      <c r="F1141" s="13" t="n">
        <v>36000</v>
      </c>
      <c r="G1141" s="11" t="n">
        <v>25969082.37</v>
      </c>
    </row>
    <row r="1142">
      <c r="A1142" s="11" t="n">
        <v>1141</v>
      </c>
      <c r="B1142" s="12" t="n">
        <v>46042</v>
      </c>
      <c r="C1142" s="11" t="inlineStr">
        <is>
          <t>COBRO COMISION DEPOSITOS ELECTRONICOS</t>
        </is>
      </c>
      <c r="D1142" s="11" t="inlineStr">
        <is>
          <t>ORITO</t>
        </is>
      </c>
      <c r="E1142" s="11" t="inlineStr">
        <is>
          <t>00000000</t>
        </is>
      </c>
      <c r="F1142" s="13" t="n">
        <v>-778</v>
      </c>
      <c r="G1142" s="11" t="n">
        <v>25968304.37</v>
      </c>
    </row>
    <row r="1143">
      <c r="A1143" s="11" t="n">
        <v>1142</v>
      </c>
      <c r="B1143" s="12" t="n">
        <v>46042</v>
      </c>
      <c r="C1143" s="11" t="inlineStr">
        <is>
          <t>GRAVAMEN A MOVIMIENTO FINANCIERO</t>
        </is>
      </c>
      <c r="D1143" s="11" t="inlineStr">
        <is>
          <t>ORITO</t>
        </is>
      </c>
      <c r="E1143" s="11" t="inlineStr">
        <is>
          <t>00000000</t>
        </is>
      </c>
      <c r="F1143" s="13" t="n">
        <v>-3</v>
      </c>
      <c r="G1143" s="11" t="n">
        <v>25968301.37</v>
      </c>
    </row>
    <row r="1144">
      <c r="A1144" s="11" t="n">
        <v>1143</v>
      </c>
      <c r="B1144" s="12" t="n">
        <v>46042</v>
      </c>
      <c r="C1144" s="11" t="inlineStr">
        <is>
          <t>RETEFUENTE D E Y VOUCHER CREDIBANCO</t>
        </is>
      </c>
      <c r="D1144" s="11" t="inlineStr">
        <is>
          <t>ORITO</t>
        </is>
      </c>
      <c r="E1144" s="11" t="inlineStr">
        <is>
          <t>00000000</t>
        </is>
      </c>
      <c r="F1144" s="13" t="n">
        <v>-540</v>
      </c>
      <c r="G1144" s="11" t="n">
        <v>25967761.37</v>
      </c>
    </row>
    <row r="1145">
      <c r="A1145" s="11" t="n">
        <v>1144</v>
      </c>
      <c r="B1145" s="12" t="n">
        <v>46042</v>
      </c>
      <c r="C1145" s="11" t="inlineStr">
        <is>
          <t>GRAVAMEN A MOVIMIENTO FINANCIERO</t>
        </is>
      </c>
      <c r="D1145" s="11" t="inlineStr">
        <is>
          <t>ORITO</t>
        </is>
      </c>
      <c r="E1145" s="11" t="inlineStr">
        <is>
          <t>00000000</t>
        </is>
      </c>
      <c r="F1145" s="13" t="n">
        <v>-2</v>
      </c>
      <c r="G1145" s="11" t="n">
        <v>25967759.37</v>
      </c>
    </row>
    <row r="1146">
      <c r="A1146" s="11" t="n">
        <v>1145</v>
      </c>
      <c r="B1146" s="12" t="n">
        <v>46042</v>
      </c>
      <c r="C1146" s="11" t="inlineStr">
        <is>
          <t>CONSIGNACION CREDIBANCO D E</t>
        </is>
      </c>
      <c r="D1146" s="11" t="inlineStr">
        <is>
          <t>ORITO</t>
        </is>
      </c>
      <c r="E1146" s="11" t="inlineStr">
        <is>
          <t>00000000</t>
        </is>
      </c>
      <c r="F1146" s="13" t="n">
        <v>106000</v>
      </c>
      <c r="G1146" s="11" t="n">
        <v>26073759.37</v>
      </c>
    </row>
    <row r="1147">
      <c r="A1147" s="11" t="n">
        <v>1146</v>
      </c>
      <c r="B1147" s="12" t="n">
        <v>46042</v>
      </c>
      <c r="C1147" s="11" t="inlineStr">
        <is>
          <t>COBRO COMISION DEPOSITOS ELECTRONICOS</t>
        </is>
      </c>
      <c r="D1147" s="11" t="inlineStr">
        <is>
          <t>ORITO</t>
        </is>
      </c>
      <c r="E1147" s="11" t="inlineStr">
        <is>
          <t>00000000</t>
        </is>
      </c>
      <c r="F1147" s="13" t="n">
        <v>-2321</v>
      </c>
      <c r="G1147" s="11" t="n">
        <v>26071438.37</v>
      </c>
    </row>
    <row r="1148">
      <c r="A1148" s="11" t="n">
        <v>1147</v>
      </c>
      <c r="B1148" s="12" t="n">
        <v>46042</v>
      </c>
      <c r="C1148" s="11" t="inlineStr">
        <is>
          <t>GRAVAMEN A MOVIMIENTO FINANCIERO</t>
        </is>
      </c>
      <c r="D1148" s="11" t="inlineStr">
        <is>
          <t>ORITO</t>
        </is>
      </c>
      <c r="E1148" s="11" t="inlineStr">
        <is>
          <t>00000000</t>
        </is>
      </c>
      <c r="F1148" s="13" t="n">
        <v>-9</v>
      </c>
      <c r="G1148" s="11" t="n">
        <v>26071429.37</v>
      </c>
    </row>
    <row r="1149">
      <c r="A1149" s="11" t="n">
        <v>1148</v>
      </c>
      <c r="B1149" s="12" t="n">
        <v>46042</v>
      </c>
      <c r="C1149" s="11" t="inlineStr">
        <is>
          <t>RETEFUENTE D E Y VOUCHER CREDIBANCO</t>
        </is>
      </c>
      <c r="D1149" s="11" t="inlineStr">
        <is>
          <t>ORITO</t>
        </is>
      </c>
      <c r="E1149" s="11" t="inlineStr">
        <is>
          <t>00000000</t>
        </is>
      </c>
      <c r="F1149" s="13" t="n">
        <v>-1590</v>
      </c>
      <c r="G1149" s="11" t="n">
        <v>26069839.37</v>
      </c>
    </row>
    <row r="1150">
      <c r="A1150" s="11" t="n">
        <v>1149</v>
      </c>
      <c r="B1150" s="12" t="n">
        <v>46042</v>
      </c>
      <c r="C1150" s="11" t="inlineStr">
        <is>
          <t>GRAVAMEN A MOVIMIENTO FINANCIERO</t>
        </is>
      </c>
      <c r="D1150" s="11" t="inlineStr">
        <is>
          <t>ORITO</t>
        </is>
      </c>
      <c r="E1150" s="11" t="inlineStr">
        <is>
          <t>00000000</t>
        </is>
      </c>
      <c r="F1150" s="13" t="n">
        <v>-6</v>
      </c>
      <c r="G1150" s="11" t="n">
        <v>26069833.37</v>
      </c>
    </row>
    <row r="1151">
      <c r="A1151" s="11" t="n">
        <v>1150</v>
      </c>
      <c r="B1151" s="12" t="n">
        <v>46042</v>
      </c>
      <c r="C1151" s="11" t="inlineStr">
        <is>
          <t>CONSIGNACION CREDIBANCO D E</t>
        </is>
      </c>
      <c r="D1151" s="11" t="inlineStr">
        <is>
          <t>ORITO</t>
        </is>
      </c>
      <c r="E1151" s="11" t="inlineStr">
        <is>
          <t>00000000</t>
        </is>
      </c>
      <c r="F1151" s="13" t="n">
        <v>101800</v>
      </c>
      <c r="G1151" s="11" t="n">
        <v>26171633.37</v>
      </c>
    </row>
    <row r="1152">
      <c r="A1152" s="11" t="n">
        <v>1151</v>
      </c>
      <c r="B1152" s="12" t="n">
        <v>46042</v>
      </c>
      <c r="C1152" s="11" t="inlineStr">
        <is>
          <t>COBRO COMISION DEPOSITOS ELECTRONICOS</t>
        </is>
      </c>
      <c r="D1152" s="11" t="inlineStr">
        <is>
          <t>ORITO</t>
        </is>
      </c>
      <c r="E1152" s="11" t="inlineStr">
        <is>
          <t>00000000</t>
        </is>
      </c>
      <c r="F1152" s="13" t="n">
        <v>-2229</v>
      </c>
      <c r="G1152" s="11" t="n">
        <v>26169404.37</v>
      </c>
    </row>
    <row r="1153">
      <c r="A1153" s="11" t="n">
        <v>1152</v>
      </c>
      <c r="B1153" s="12" t="n">
        <v>46042</v>
      </c>
      <c r="C1153" s="11" t="inlineStr">
        <is>
          <t>GRAVAMEN A MOVIMIENTO FINANCIERO</t>
        </is>
      </c>
      <c r="D1153" s="11" t="inlineStr">
        <is>
          <t>ORITO</t>
        </is>
      </c>
      <c r="E1153" s="11" t="inlineStr">
        <is>
          <t>00000000</t>
        </is>
      </c>
      <c r="F1153" s="13" t="n">
        <v>-9</v>
      </c>
      <c r="G1153" s="11" t="n">
        <v>26169395.37</v>
      </c>
    </row>
    <row r="1154">
      <c r="A1154" s="11" t="n">
        <v>1153</v>
      </c>
      <c r="B1154" s="12" t="n">
        <v>46042</v>
      </c>
      <c r="C1154" s="11" t="inlineStr">
        <is>
          <t>RETEFUENTE D E Y VOUCHER CREDIBANCO</t>
        </is>
      </c>
      <c r="D1154" s="11" t="inlineStr">
        <is>
          <t>ORITO</t>
        </is>
      </c>
      <c r="E1154" s="11" t="inlineStr">
        <is>
          <t>00000000</t>
        </is>
      </c>
      <c r="F1154" s="13" t="n">
        <v>-1527</v>
      </c>
      <c r="G1154" s="11" t="n">
        <v>26167868.37</v>
      </c>
    </row>
    <row r="1155">
      <c r="A1155" s="11" t="n">
        <v>1154</v>
      </c>
      <c r="B1155" s="12" t="n">
        <v>46042</v>
      </c>
      <c r="C1155" s="11" t="inlineStr">
        <is>
          <t>GRAVAMEN A MOVIMIENTO FINANCIERO</t>
        </is>
      </c>
      <c r="D1155" s="11" t="inlineStr">
        <is>
          <t>ORITO</t>
        </is>
      </c>
      <c r="E1155" s="11" t="inlineStr">
        <is>
          <t>00000000</t>
        </is>
      </c>
      <c r="F1155" s="13" t="n">
        <v>-6</v>
      </c>
      <c r="G1155" s="11" t="n">
        <v>26167862.37</v>
      </c>
    </row>
    <row r="1156">
      <c r="A1156" s="11" t="n">
        <v>1155</v>
      </c>
      <c r="B1156" s="12" t="n">
        <v>46042</v>
      </c>
      <c r="C1156" s="11" t="inlineStr">
        <is>
          <t>CONSIGNACION CREDIBANCO D E</t>
        </is>
      </c>
      <c r="D1156" s="11" t="inlineStr">
        <is>
          <t>ORITO</t>
        </is>
      </c>
      <c r="E1156" s="11" t="inlineStr">
        <is>
          <t>00000000</t>
        </is>
      </c>
      <c r="F1156" s="13" t="n">
        <v>39400</v>
      </c>
      <c r="G1156" s="11" t="n">
        <v>26207262.37</v>
      </c>
    </row>
    <row r="1157">
      <c r="A1157" s="11" t="n">
        <v>1156</v>
      </c>
      <c r="B1157" s="12" t="n">
        <v>46042</v>
      </c>
      <c r="C1157" s="11" t="inlineStr">
        <is>
          <t>COBRO COMISION DEPOSITOS ELECTRONICOS</t>
        </is>
      </c>
      <c r="D1157" s="11" t="inlineStr">
        <is>
          <t>ORITO</t>
        </is>
      </c>
      <c r="E1157" s="11" t="inlineStr">
        <is>
          <t>00000000</t>
        </is>
      </c>
      <c r="F1157" s="13" t="n">
        <v>-863</v>
      </c>
      <c r="G1157" s="11" t="n">
        <v>26206399.37</v>
      </c>
    </row>
    <row r="1158">
      <c r="A1158" s="11" t="n">
        <v>1157</v>
      </c>
      <c r="B1158" s="12" t="n">
        <v>46042</v>
      </c>
      <c r="C1158" s="11" t="inlineStr">
        <is>
          <t>GRAVAMEN A MOVIMIENTO FINANCIERO</t>
        </is>
      </c>
      <c r="D1158" s="11" t="inlineStr">
        <is>
          <t>ORITO</t>
        </is>
      </c>
      <c r="E1158" s="11" t="inlineStr">
        <is>
          <t>00000000</t>
        </is>
      </c>
      <c r="F1158" s="13" t="n">
        <v>-3</v>
      </c>
      <c r="G1158" s="11" t="n">
        <v>26206396.37</v>
      </c>
    </row>
    <row r="1159">
      <c r="A1159" s="11" t="n">
        <v>1158</v>
      </c>
      <c r="B1159" s="12" t="n">
        <v>46042</v>
      </c>
      <c r="C1159" s="11" t="inlineStr">
        <is>
          <t>RETEFUENTE D E Y VOUCHER CREDIBANCO</t>
        </is>
      </c>
      <c r="D1159" s="11" t="inlineStr">
        <is>
          <t>ORITO</t>
        </is>
      </c>
      <c r="E1159" s="11" t="inlineStr">
        <is>
          <t>00000000</t>
        </is>
      </c>
      <c r="F1159" s="13" t="n">
        <v>-591</v>
      </c>
      <c r="G1159" s="11" t="n">
        <v>26205805.37</v>
      </c>
    </row>
    <row r="1160">
      <c r="A1160" s="11" t="n">
        <v>1159</v>
      </c>
      <c r="B1160" s="12" t="n">
        <v>46042</v>
      </c>
      <c r="C1160" s="11" t="inlineStr">
        <is>
          <t>GRAVAMEN A MOVIMIENTO FINANCIERO</t>
        </is>
      </c>
      <c r="D1160" s="11" t="inlineStr">
        <is>
          <t>ORITO</t>
        </is>
      </c>
      <c r="E1160" s="11" t="inlineStr">
        <is>
          <t>00000000</t>
        </is>
      </c>
      <c r="F1160" s="13" t="n">
        <v>-2</v>
      </c>
      <c r="G1160" s="11" t="n">
        <v>26205803.37</v>
      </c>
    </row>
    <row r="1161">
      <c r="A1161" s="11" t="n">
        <v>1160</v>
      </c>
      <c r="B1161" s="12" t="n">
        <v>46042</v>
      </c>
      <c r="C1161" s="11" t="inlineStr">
        <is>
          <t>CONSIGNACION CREDIBANCO D E</t>
        </is>
      </c>
      <c r="D1161" s="11" t="inlineStr">
        <is>
          <t>ORITO</t>
        </is>
      </c>
      <c r="E1161" s="11" t="inlineStr">
        <is>
          <t>00000000</t>
        </is>
      </c>
      <c r="F1161" s="13" t="n">
        <v>49700</v>
      </c>
      <c r="G1161" s="11" t="n">
        <v>26255503.37</v>
      </c>
    </row>
    <row r="1162">
      <c r="A1162" s="11" t="n">
        <v>1161</v>
      </c>
      <c r="B1162" s="12" t="n">
        <v>46042</v>
      </c>
      <c r="C1162" s="11" t="inlineStr">
        <is>
          <t>COBRO COMISION DEPOSITOS ELECTRONICOS</t>
        </is>
      </c>
      <c r="D1162" s="11" t="inlineStr">
        <is>
          <t>ORITO</t>
        </is>
      </c>
      <c r="E1162" s="11" t="inlineStr">
        <is>
          <t>00000000</t>
        </is>
      </c>
      <c r="F1162" s="13" t="n">
        <v>-1024</v>
      </c>
      <c r="G1162" s="11" t="n">
        <v>26254479.37</v>
      </c>
    </row>
    <row r="1163">
      <c r="A1163" s="11" t="n">
        <v>1162</v>
      </c>
      <c r="B1163" s="12" t="n">
        <v>46042</v>
      </c>
      <c r="C1163" s="11" t="inlineStr">
        <is>
          <t>GRAVAMEN A MOVIMIENTO FINANCIERO</t>
        </is>
      </c>
      <c r="D1163" s="11" t="inlineStr">
        <is>
          <t>ORITO</t>
        </is>
      </c>
      <c r="E1163" s="11" t="inlineStr">
        <is>
          <t>00000000</t>
        </is>
      </c>
      <c r="F1163" s="13" t="n">
        <v>-4</v>
      </c>
      <c r="G1163" s="11" t="n">
        <v>26254475.37</v>
      </c>
    </row>
    <row r="1164">
      <c r="A1164" s="11" t="n">
        <v>1163</v>
      </c>
      <c r="B1164" s="12" t="n">
        <v>46042</v>
      </c>
      <c r="C1164" s="11" t="inlineStr">
        <is>
          <t>RETEFUENTE D E Y VOUCHER CREDIBANCO</t>
        </is>
      </c>
      <c r="D1164" s="11" t="inlineStr">
        <is>
          <t>ORITO</t>
        </is>
      </c>
      <c r="E1164" s="11" t="inlineStr">
        <is>
          <t>00000000</t>
        </is>
      </c>
      <c r="F1164" s="13" t="n">
        <v>-746</v>
      </c>
      <c r="G1164" s="11" t="n">
        <v>26253729.37</v>
      </c>
    </row>
    <row r="1165">
      <c r="A1165" s="11" t="n">
        <v>1164</v>
      </c>
      <c r="B1165" s="12" t="n">
        <v>46042</v>
      </c>
      <c r="C1165" s="11" t="inlineStr">
        <is>
          <t>GRAVAMEN A MOVIMIENTO FINANCIERO</t>
        </is>
      </c>
      <c r="D1165" s="11" t="inlineStr">
        <is>
          <t>ORITO</t>
        </is>
      </c>
      <c r="E1165" s="11" t="inlineStr">
        <is>
          <t>00000000</t>
        </is>
      </c>
      <c r="F1165" s="13" t="n">
        <v>-3</v>
      </c>
      <c r="G1165" s="11" t="n">
        <v>26253726.37</v>
      </c>
    </row>
    <row r="1166">
      <c r="A1166" s="11" t="n">
        <v>1165</v>
      </c>
      <c r="B1166" s="12" t="n">
        <v>46042</v>
      </c>
      <c r="C1166" s="11" t="inlineStr">
        <is>
          <t>ND COMPRA POR PSE INTERNET</t>
        </is>
      </c>
      <c r="D1166" s="11" t="inlineStr">
        <is>
          <t>INTERNET BANCA</t>
        </is>
      </c>
      <c r="E1166" s="11" t="inlineStr">
        <is>
          <t>00000000</t>
        </is>
      </c>
      <c r="F1166" s="13" t="n">
        <v>-2592200</v>
      </c>
      <c r="G1166" s="11" t="n">
        <v>23661526.37</v>
      </c>
    </row>
    <row r="1167">
      <c r="A1167" s="11" t="n">
        <v>1166</v>
      </c>
      <c r="B1167" s="12" t="n">
        <v>46042</v>
      </c>
      <c r="C1167" s="11" t="inlineStr">
        <is>
          <t>GRAVAMEN A MOVIMIENTO FINANCIERO</t>
        </is>
      </c>
      <c r="D1167" s="11" t="inlineStr">
        <is>
          <t>INTERNET BANCA</t>
        </is>
      </c>
      <c r="E1167" s="11" t="inlineStr">
        <is>
          <t>00000000</t>
        </is>
      </c>
      <c r="F1167" s="13" t="n">
        <v>-10369</v>
      </c>
      <c r="G1167" s="11" t="n">
        <v>23651157.37</v>
      </c>
    </row>
    <row r="1168">
      <c r="A1168" s="11" t="n">
        <v>1167</v>
      </c>
      <c r="B1168" s="12" t="n">
        <v>46043</v>
      </c>
      <c r="C1168" s="11" t="inlineStr">
        <is>
          <t>CONSIGNACION CREDIBANCO D E</t>
        </is>
      </c>
      <c r="D1168" s="11" t="inlineStr">
        <is>
          <t>ORITO</t>
        </is>
      </c>
      <c r="E1168" s="11" t="inlineStr">
        <is>
          <t>00000000</t>
        </is>
      </c>
      <c r="F1168" s="13" t="n">
        <v>33800</v>
      </c>
      <c r="G1168" s="11" t="n">
        <v>23684957.37</v>
      </c>
    </row>
    <row r="1169">
      <c r="A1169" s="11" t="n">
        <v>1168</v>
      </c>
      <c r="B1169" s="12" t="n">
        <v>46043</v>
      </c>
      <c r="C1169" s="11" t="inlineStr">
        <is>
          <t>COBRO COMISION DEPOSITOS ELECTRONICOS</t>
        </is>
      </c>
      <c r="D1169" s="11" t="inlineStr">
        <is>
          <t>ORITO</t>
        </is>
      </c>
      <c r="E1169" s="11" t="inlineStr">
        <is>
          <t>00000000</t>
        </is>
      </c>
      <c r="F1169" s="13" t="n">
        <v>-696</v>
      </c>
      <c r="G1169" s="11" t="n">
        <v>23684261.37</v>
      </c>
    </row>
    <row r="1170">
      <c r="A1170" s="11" t="n">
        <v>1169</v>
      </c>
      <c r="B1170" s="12" t="n">
        <v>46043</v>
      </c>
      <c r="C1170" s="11" t="inlineStr">
        <is>
          <t>GRAVAMEN A MOVIMIENTO FINANCIERO</t>
        </is>
      </c>
      <c r="D1170" s="11" t="inlineStr">
        <is>
          <t>ORITO</t>
        </is>
      </c>
      <c r="E1170" s="11" t="inlineStr">
        <is>
          <t>00000000</t>
        </is>
      </c>
      <c r="F1170" s="13" t="n">
        <v>-3</v>
      </c>
      <c r="G1170" s="11" t="n">
        <v>23684258.37</v>
      </c>
    </row>
    <row r="1171">
      <c r="A1171" s="11" t="n">
        <v>1170</v>
      </c>
      <c r="B1171" s="12" t="n">
        <v>46043</v>
      </c>
      <c r="C1171" s="11" t="inlineStr">
        <is>
          <t>RETEFUENTE D E Y VOUCHER CREDIBANCO</t>
        </is>
      </c>
      <c r="D1171" s="11" t="inlineStr">
        <is>
          <t>ORITO</t>
        </is>
      </c>
      <c r="E1171" s="11" t="inlineStr">
        <is>
          <t>00000000</t>
        </is>
      </c>
      <c r="F1171" s="13" t="n">
        <v>-507</v>
      </c>
      <c r="G1171" s="11" t="n">
        <v>23683751.37</v>
      </c>
    </row>
    <row r="1172">
      <c r="A1172" s="11" t="n">
        <v>1171</v>
      </c>
      <c r="B1172" s="12" t="n">
        <v>46043</v>
      </c>
      <c r="C1172" s="11" t="inlineStr">
        <is>
          <t>GRAVAMEN A MOVIMIENTO FINANCIERO</t>
        </is>
      </c>
      <c r="D1172" s="11" t="inlineStr">
        <is>
          <t>ORITO</t>
        </is>
      </c>
      <c r="E1172" s="11" t="inlineStr">
        <is>
          <t>00000000</t>
        </is>
      </c>
      <c r="F1172" s="13" t="n">
        <v>-2</v>
      </c>
      <c r="G1172" s="11" t="n">
        <v>23683749.37</v>
      </c>
    </row>
    <row r="1173">
      <c r="A1173" s="11" t="n">
        <v>1172</v>
      </c>
      <c r="B1173" s="12" t="n">
        <v>46043</v>
      </c>
      <c r="C1173" s="11" t="inlineStr">
        <is>
          <t>CONSIGNACION CREDIBANCO D E</t>
        </is>
      </c>
      <c r="D1173" s="11" t="inlineStr">
        <is>
          <t>ORITO</t>
        </is>
      </c>
      <c r="E1173" s="11" t="inlineStr">
        <is>
          <t>00000000</t>
        </is>
      </c>
      <c r="F1173" s="13" t="n">
        <v>24800</v>
      </c>
      <c r="G1173" s="11" t="n">
        <v>23708549.37</v>
      </c>
    </row>
    <row r="1174">
      <c r="A1174" s="11" t="n">
        <v>1173</v>
      </c>
      <c r="B1174" s="12" t="n">
        <v>46043</v>
      </c>
      <c r="C1174" s="11" t="inlineStr">
        <is>
          <t>COBRO COMISION DEPOSITOS ELECTRONICOS</t>
        </is>
      </c>
      <c r="D1174" s="11" t="inlineStr">
        <is>
          <t>ORITO</t>
        </is>
      </c>
      <c r="E1174" s="11" t="inlineStr">
        <is>
          <t>00000000</t>
        </is>
      </c>
      <c r="F1174" s="13" t="n">
        <v>-536</v>
      </c>
      <c r="G1174" s="11" t="n">
        <v>23708013.37</v>
      </c>
    </row>
    <row r="1175">
      <c r="A1175" s="11" t="n">
        <v>1174</v>
      </c>
      <c r="B1175" s="12" t="n">
        <v>46043</v>
      </c>
      <c r="C1175" s="11" t="inlineStr">
        <is>
          <t>GRAVAMEN A MOVIMIENTO FINANCIERO</t>
        </is>
      </c>
      <c r="D1175" s="11" t="inlineStr">
        <is>
          <t>ORITO</t>
        </is>
      </c>
      <c r="E1175" s="11" t="inlineStr">
        <is>
          <t>00000000</t>
        </is>
      </c>
      <c r="F1175" s="13" t="n">
        <v>-2</v>
      </c>
      <c r="G1175" s="11" t="n">
        <v>23708011.37</v>
      </c>
    </row>
    <row r="1176">
      <c r="A1176" s="11" t="n">
        <v>1175</v>
      </c>
      <c r="B1176" s="12" t="n">
        <v>46043</v>
      </c>
      <c r="C1176" s="11" t="inlineStr">
        <is>
          <t>RETEFUENTE D E Y VOUCHER CREDIBANCO</t>
        </is>
      </c>
      <c r="D1176" s="11" t="inlineStr">
        <is>
          <t>ORITO</t>
        </is>
      </c>
      <c r="E1176" s="11" t="inlineStr">
        <is>
          <t>00000000</t>
        </is>
      </c>
      <c r="F1176" s="13" t="n">
        <v>-372</v>
      </c>
      <c r="G1176" s="11" t="n">
        <v>23707639.37</v>
      </c>
    </row>
    <row r="1177">
      <c r="A1177" s="11" t="n">
        <v>1176</v>
      </c>
      <c r="B1177" s="12" t="n">
        <v>46043</v>
      </c>
      <c r="C1177" s="11" t="inlineStr">
        <is>
          <t>GRAVAMEN A MOVIMIENTO FINANCIERO</t>
        </is>
      </c>
      <c r="D1177" s="11" t="inlineStr">
        <is>
          <t>ORITO</t>
        </is>
      </c>
      <c r="E1177" s="11" t="inlineStr">
        <is>
          <t>00000000</t>
        </is>
      </c>
      <c r="F1177" s="13" t="n">
        <v>-1</v>
      </c>
      <c r="G1177" s="11" t="n">
        <v>23707638.37</v>
      </c>
    </row>
    <row r="1178">
      <c r="A1178" s="11" t="n">
        <v>1177</v>
      </c>
      <c r="B1178" s="12" t="n">
        <v>46043</v>
      </c>
      <c r="C1178" s="11" t="inlineStr">
        <is>
          <t>CONSIGNACION CREDIBANCO D E</t>
        </is>
      </c>
      <c r="D1178" s="11" t="inlineStr">
        <is>
          <t>ORITO</t>
        </is>
      </c>
      <c r="E1178" s="11" t="inlineStr">
        <is>
          <t>00000000</t>
        </is>
      </c>
      <c r="F1178" s="13" t="n">
        <v>54700</v>
      </c>
      <c r="G1178" s="11" t="n">
        <v>23762338.37</v>
      </c>
    </row>
    <row r="1179">
      <c r="A1179" s="11" t="n">
        <v>1178</v>
      </c>
      <c r="B1179" s="12" t="n">
        <v>46043</v>
      </c>
      <c r="C1179" s="11" t="inlineStr">
        <is>
          <t>COBRO COMISION DEPOSITOS ELECTRONICOS</t>
        </is>
      </c>
      <c r="D1179" s="11" t="inlineStr">
        <is>
          <t>ORITO</t>
        </is>
      </c>
      <c r="E1179" s="11" t="inlineStr">
        <is>
          <t>00000000</t>
        </is>
      </c>
      <c r="F1179" s="13" t="n">
        <v>-1182</v>
      </c>
      <c r="G1179" s="11" t="n">
        <v>23761156.37</v>
      </c>
    </row>
    <row r="1180">
      <c r="A1180" s="11" t="n">
        <v>1179</v>
      </c>
      <c r="B1180" s="12" t="n">
        <v>46043</v>
      </c>
      <c r="C1180" s="11" t="inlineStr">
        <is>
          <t>GRAVAMEN A MOVIMIENTO FINANCIERO</t>
        </is>
      </c>
      <c r="D1180" s="11" t="inlineStr">
        <is>
          <t>ORITO</t>
        </is>
      </c>
      <c r="E1180" s="11" t="inlineStr">
        <is>
          <t>00000000</t>
        </is>
      </c>
      <c r="F1180" s="13" t="n">
        <v>-5</v>
      </c>
      <c r="G1180" s="11" t="n">
        <v>23761151.37</v>
      </c>
    </row>
    <row r="1181">
      <c r="A1181" s="11" t="n">
        <v>1180</v>
      </c>
      <c r="B1181" s="12" t="n">
        <v>46043</v>
      </c>
      <c r="C1181" s="11" t="inlineStr">
        <is>
          <t>RETEFUENTE D E Y VOUCHER CREDIBANCO</t>
        </is>
      </c>
      <c r="D1181" s="11" t="inlineStr">
        <is>
          <t>ORITO</t>
        </is>
      </c>
      <c r="E1181" s="11" t="inlineStr">
        <is>
          <t>00000000</t>
        </is>
      </c>
      <c r="F1181" s="13" t="n">
        <v>-821</v>
      </c>
      <c r="G1181" s="11" t="n">
        <v>23760330.37</v>
      </c>
    </row>
    <row r="1182">
      <c r="A1182" s="11" t="n">
        <v>1181</v>
      </c>
      <c r="B1182" s="12" t="n">
        <v>46043</v>
      </c>
      <c r="C1182" s="11" t="inlineStr">
        <is>
          <t>GRAVAMEN A MOVIMIENTO FINANCIERO</t>
        </is>
      </c>
      <c r="D1182" s="11" t="inlineStr">
        <is>
          <t>ORITO</t>
        </is>
      </c>
      <c r="E1182" s="11" t="inlineStr">
        <is>
          <t>00000000</t>
        </is>
      </c>
      <c r="F1182" s="13" t="n">
        <v>-3</v>
      </c>
      <c r="G1182" s="11" t="n">
        <v>23760327.37</v>
      </c>
    </row>
    <row r="1183">
      <c r="A1183" s="11" t="n">
        <v>1182</v>
      </c>
      <c r="B1183" s="12" t="n">
        <v>46043</v>
      </c>
      <c r="C1183" s="11" t="inlineStr">
        <is>
          <t>CONSIGNACION CREDIBANCO D E</t>
        </is>
      </c>
      <c r="D1183" s="11" t="inlineStr">
        <is>
          <t>ORITO</t>
        </is>
      </c>
      <c r="E1183" s="11" t="inlineStr">
        <is>
          <t>00000000</t>
        </is>
      </c>
      <c r="F1183" s="13" t="n">
        <v>394000</v>
      </c>
      <c r="G1183" s="11" t="n">
        <v>24154327.37</v>
      </c>
    </row>
    <row r="1184">
      <c r="A1184" s="11" t="n">
        <v>1183</v>
      </c>
      <c r="B1184" s="12" t="n">
        <v>46043</v>
      </c>
      <c r="C1184" s="11" t="inlineStr">
        <is>
          <t>COBRO COMISION DEPOSITOS ELECTRONICOS</t>
        </is>
      </c>
      <c r="D1184" s="11" t="inlineStr">
        <is>
          <t>ORITO</t>
        </is>
      </c>
      <c r="E1184" s="11" t="inlineStr">
        <is>
          <t>00000000</t>
        </is>
      </c>
      <c r="F1184" s="13" t="n">
        <v>-8629</v>
      </c>
      <c r="G1184" s="11" t="n">
        <v>24145698.37</v>
      </c>
    </row>
    <row r="1185">
      <c r="A1185" s="11" t="n">
        <v>1184</v>
      </c>
      <c r="B1185" s="12" t="n">
        <v>46043</v>
      </c>
      <c r="C1185" s="11" t="inlineStr">
        <is>
          <t>GRAVAMEN A MOVIMIENTO FINANCIERO</t>
        </is>
      </c>
      <c r="D1185" s="11" t="inlineStr">
        <is>
          <t>ORITO</t>
        </is>
      </c>
      <c r="E1185" s="11" t="inlineStr">
        <is>
          <t>00000000</t>
        </is>
      </c>
      <c r="F1185" s="13" t="n">
        <v>-35</v>
      </c>
      <c r="G1185" s="11" t="n">
        <v>24145663.37</v>
      </c>
    </row>
    <row r="1186">
      <c r="A1186" s="11" t="n">
        <v>1185</v>
      </c>
      <c r="B1186" s="12" t="n">
        <v>46043</v>
      </c>
      <c r="C1186" s="11" t="inlineStr">
        <is>
          <t>RETEFUENTE D E Y VOUCHER CREDIBANCO</t>
        </is>
      </c>
      <c r="D1186" s="11" t="inlineStr">
        <is>
          <t>ORITO</t>
        </is>
      </c>
      <c r="E1186" s="11" t="inlineStr">
        <is>
          <t>00000000</t>
        </is>
      </c>
      <c r="F1186" s="13" t="n">
        <v>-5910</v>
      </c>
      <c r="G1186" s="11" t="n">
        <v>24139753.37</v>
      </c>
    </row>
    <row r="1187">
      <c r="A1187" s="11" t="n">
        <v>1186</v>
      </c>
      <c r="B1187" s="12" t="n">
        <v>46043</v>
      </c>
      <c r="C1187" s="11" t="inlineStr">
        <is>
          <t>GRAVAMEN A MOVIMIENTO FINANCIERO</t>
        </is>
      </c>
      <c r="D1187" s="11" t="inlineStr">
        <is>
          <t>ORITO</t>
        </is>
      </c>
      <c r="E1187" s="11" t="inlineStr">
        <is>
          <t>00000000</t>
        </is>
      </c>
      <c r="F1187" s="13" t="n">
        <v>-24</v>
      </c>
      <c r="G1187" s="11" t="n">
        <v>24139729.37</v>
      </c>
    </row>
    <row r="1188">
      <c r="A1188" s="11" t="n">
        <v>1187</v>
      </c>
      <c r="B1188" s="12" t="n">
        <v>46043</v>
      </c>
      <c r="C1188" s="11" t="inlineStr">
        <is>
          <t>CONSIGNACION CREDIBANCO D E</t>
        </is>
      </c>
      <c r="D1188" s="11" t="inlineStr">
        <is>
          <t>ORITO</t>
        </is>
      </c>
      <c r="E1188" s="11" t="inlineStr">
        <is>
          <t>00000000</t>
        </is>
      </c>
      <c r="F1188" s="13" t="n">
        <v>78800</v>
      </c>
      <c r="G1188" s="11" t="n">
        <v>24218529.37</v>
      </c>
    </row>
    <row r="1189">
      <c r="A1189" s="11" t="n">
        <v>1188</v>
      </c>
      <c r="B1189" s="12" t="n">
        <v>46043</v>
      </c>
      <c r="C1189" s="11" t="inlineStr">
        <is>
          <t>COBRO COMISION DEPOSITOS ELECTRONICOS</t>
        </is>
      </c>
      <c r="D1189" s="11" t="inlineStr">
        <is>
          <t>ORITO</t>
        </is>
      </c>
      <c r="E1189" s="11" t="inlineStr">
        <is>
          <t>00000000</t>
        </is>
      </c>
      <c r="F1189" s="13" t="n">
        <v>-1702</v>
      </c>
      <c r="G1189" s="11" t="n">
        <v>24216827.37</v>
      </c>
    </row>
    <row r="1190">
      <c r="A1190" s="11" t="n">
        <v>1189</v>
      </c>
      <c r="B1190" s="12" t="n">
        <v>46043</v>
      </c>
      <c r="C1190" s="11" t="inlineStr">
        <is>
          <t>GRAVAMEN A MOVIMIENTO FINANCIERO</t>
        </is>
      </c>
      <c r="D1190" s="11" t="inlineStr">
        <is>
          <t>ORITO</t>
        </is>
      </c>
      <c r="E1190" s="11" t="inlineStr">
        <is>
          <t>00000000</t>
        </is>
      </c>
      <c r="F1190" s="13" t="n">
        <v>-7</v>
      </c>
      <c r="G1190" s="11" t="n">
        <v>24216820.37</v>
      </c>
    </row>
    <row r="1191">
      <c r="A1191" s="11" t="n">
        <v>1190</v>
      </c>
      <c r="B1191" s="12" t="n">
        <v>46043</v>
      </c>
      <c r="C1191" s="11" t="inlineStr">
        <is>
          <t>RETEFUENTE D E Y VOUCHER CREDIBANCO</t>
        </is>
      </c>
      <c r="D1191" s="11" t="inlineStr">
        <is>
          <t>ORITO</t>
        </is>
      </c>
      <c r="E1191" s="11" t="inlineStr">
        <is>
          <t>00000000</t>
        </is>
      </c>
      <c r="F1191" s="13" t="n">
        <v>-1182</v>
      </c>
      <c r="G1191" s="11" t="n">
        <v>24215638.37</v>
      </c>
    </row>
    <row r="1192">
      <c r="A1192" s="11" t="n">
        <v>1191</v>
      </c>
      <c r="B1192" s="12" t="n">
        <v>46043</v>
      </c>
      <c r="C1192" s="11" t="inlineStr">
        <is>
          <t>GRAVAMEN A MOVIMIENTO FINANCIERO</t>
        </is>
      </c>
      <c r="D1192" s="11" t="inlineStr">
        <is>
          <t>ORITO</t>
        </is>
      </c>
      <c r="E1192" s="11" t="inlineStr">
        <is>
          <t>00000000</t>
        </is>
      </c>
      <c r="F1192" s="13" t="n">
        <v>-5</v>
      </c>
      <c r="G1192" s="11" t="n">
        <v>24215633.37</v>
      </c>
    </row>
    <row r="1193">
      <c r="A1193" s="11" t="n">
        <v>1192</v>
      </c>
      <c r="B1193" s="12" t="n">
        <v>46044</v>
      </c>
      <c r="C1193" s="11" t="inlineStr">
        <is>
          <t>CONSIGNACION CREDIBANCO D E</t>
        </is>
      </c>
      <c r="D1193" s="11" t="inlineStr">
        <is>
          <t>ORITO</t>
        </is>
      </c>
      <c r="E1193" s="11" t="inlineStr">
        <is>
          <t>00000000</t>
        </is>
      </c>
      <c r="F1193" s="13" t="n">
        <v>22500</v>
      </c>
      <c r="G1193" s="11" t="n">
        <v>24238133.37</v>
      </c>
    </row>
    <row r="1194">
      <c r="A1194" s="11" t="n">
        <v>1193</v>
      </c>
      <c r="B1194" s="12" t="n">
        <v>46044</v>
      </c>
      <c r="C1194" s="11" t="inlineStr">
        <is>
          <t>COBRO COMISION DEPOSITOS ELECTRONICOS</t>
        </is>
      </c>
      <c r="D1194" s="11" t="inlineStr">
        <is>
          <t>ORITO</t>
        </is>
      </c>
      <c r="E1194" s="11" t="inlineStr">
        <is>
          <t>00000000</t>
        </is>
      </c>
      <c r="F1194" s="13" t="n">
        <v>-486</v>
      </c>
      <c r="G1194" s="11" t="n">
        <v>24237647.37</v>
      </c>
    </row>
    <row r="1195">
      <c r="A1195" s="11" t="n">
        <v>1194</v>
      </c>
      <c r="B1195" s="12" t="n">
        <v>46044</v>
      </c>
      <c r="C1195" s="11" t="inlineStr">
        <is>
          <t>GRAVAMEN A MOVIMIENTO FINANCIERO</t>
        </is>
      </c>
      <c r="D1195" s="11" t="inlineStr">
        <is>
          <t>ORITO</t>
        </is>
      </c>
      <c r="E1195" s="11" t="inlineStr">
        <is>
          <t>00000000</t>
        </is>
      </c>
      <c r="F1195" s="13" t="n">
        <v>-2</v>
      </c>
      <c r="G1195" s="11" t="n">
        <v>24237645.37</v>
      </c>
    </row>
    <row r="1196">
      <c r="A1196" s="11" t="n">
        <v>1195</v>
      </c>
      <c r="B1196" s="12" t="n">
        <v>46044</v>
      </c>
      <c r="C1196" s="11" t="inlineStr">
        <is>
          <t>RETEFUENTE D E Y VOUCHER CREDIBANCO</t>
        </is>
      </c>
      <c r="D1196" s="11" t="inlineStr">
        <is>
          <t>ORITO</t>
        </is>
      </c>
      <c r="E1196" s="11" t="inlineStr">
        <is>
          <t>00000000</t>
        </is>
      </c>
      <c r="F1196" s="13" t="n">
        <v>-338</v>
      </c>
      <c r="G1196" s="11" t="n">
        <v>24237307.37</v>
      </c>
    </row>
    <row r="1197">
      <c r="A1197" s="11" t="n">
        <v>1196</v>
      </c>
      <c r="B1197" s="12" t="n">
        <v>46044</v>
      </c>
      <c r="C1197" s="11" t="inlineStr">
        <is>
          <t>GRAVAMEN A MOVIMIENTO FINANCIERO</t>
        </is>
      </c>
      <c r="D1197" s="11" t="inlineStr">
        <is>
          <t>ORITO</t>
        </is>
      </c>
      <c r="E1197" s="11" t="inlineStr">
        <is>
          <t>00000000</t>
        </is>
      </c>
      <c r="F1197" s="13" t="n">
        <v>-1</v>
      </c>
      <c r="G1197" s="11" t="n">
        <v>24237306.37</v>
      </c>
    </row>
    <row r="1198">
      <c r="A1198" s="11" t="n">
        <v>1197</v>
      </c>
      <c r="B1198" s="12" t="n">
        <v>46044</v>
      </c>
      <c r="C1198" s="11" t="inlineStr">
        <is>
          <t>CONSIGNACION CREDIBANCO D E</t>
        </is>
      </c>
      <c r="D1198" s="11" t="inlineStr">
        <is>
          <t>ORITO</t>
        </is>
      </c>
      <c r="E1198" s="11" t="inlineStr">
        <is>
          <t>00000000</t>
        </is>
      </c>
      <c r="F1198" s="13" t="n">
        <v>80600</v>
      </c>
      <c r="G1198" s="11" t="n">
        <v>24317906.37</v>
      </c>
    </row>
    <row r="1199">
      <c r="A1199" s="11" t="n">
        <v>1198</v>
      </c>
      <c r="B1199" s="12" t="n">
        <v>46044</v>
      </c>
      <c r="C1199" s="11" t="inlineStr">
        <is>
          <t>COBRO COMISION DEPOSITOS ELECTRONICOS</t>
        </is>
      </c>
      <c r="D1199" s="11" t="inlineStr">
        <is>
          <t>ORITO</t>
        </is>
      </c>
      <c r="E1199" s="11" t="inlineStr">
        <is>
          <t>00000000</t>
        </is>
      </c>
      <c r="F1199" s="13" t="n">
        <v>-1741</v>
      </c>
      <c r="G1199" s="11" t="n">
        <v>24316165.37</v>
      </c>
    </row>
    <row r="1200">
      <c r="A1200" s="11" t="n">
        <v>1199</v>
      </c>
      <c r="B1200" s="12" t="n">
        <v>46044</v>
      </c>
      <c r="C1200" s="11" t="inlineStr">
        <is>
          <t>GRAVAMEN A MOVIMIENTO FINANCIERO</t>
        </is>
      </c>
      <c r="D1200" s="11" t="inlineStr">
        <is>
          <t>ORITO</t>
        </is>
      </c>
      <c r="E1200" s="11" t="inlineStr">
        <is>
          <t>00000000</t>
        </is>
      </c>
      <c r="F1200" s="13" t="n">
        <v>-7</v>
      </c>
      <c r="G1200" s="11" t="n">
        <v>24316158.37</v>
      </c>
    </row>
    <row r="1201">
      <c r="A1201" s="11" t="n">
        <v>1200</v>
      </c>
      <c r="B1201" s="12" t="n">
        <v>46044</v>
      </c>
      <c r="C1201" s="11" t="inlineStr">
        <is>
          <t>RETEFUENTE D E Y VOUCHER CREDIBANCO</t>
        </is>
      </c>
      <c r="D1201" s="11" t="inlineStr">
        <is>
          <t>ORITO</t>
        </is>
      </c>
      <c r="E1201" s="11" t="inlineStr">
        <is>
          <t>00000000</t>
        </is>
      </c>
      <c r="F1201" s="13" t="n">
        <v>-1209</v>
      </c>
      <c r="G1201" s="11" t="n">
        <v>24314949.37</v>
      </c>
    </row>
    <row r="1202">
      <c r="A1202" s="11" t="n">
        <v>1201</v>
      </c>
      <c r="B1202" s="12" t="n">
        <v>46044</v>
      </c>
      <c r="C1202" s="11" t="inlineStr">
        <is>
          <t>GRAVAMEN A MOVIMIENTO FINANCIERO</t>
        </is>
      </c>
      <c r="D1202" s="11" t="inlineStr">
        <is>
          <t>ORITO</t>
        </is>
      </c>
      <c r="E1202" s="11" t="inlineStr">
        <is>
          <t>00000000</t>
        </is>
      </c>
      <c r="F1202" s="13" t="n">
        <v>-5</v>
      </c>
      <c r="G1202" s="11" t="n">
        <v>24314944.37</v>
      </c>
    </row>
    <row r="1203">
      <c r="A1203" s="11" t="n">
        <v>1202</v>
      </c>
      <c r="B1203" s="12" t="n">
        <v>46044</v>
      </c>
      <c r="C1203" s="11" t="inlineStr">
        <is>
          <t>CONSIGNACION CREDIBANCO D E</t>
        </is>
      </c>
      <c r="D1203" s="11" t="inlineStr">
        <is>
          <t>ORITO</t>
        </is>
      </c>
      <c r="E1203" s="11" t="inlineStr">
        <is>
          <t>00000000</t>
        </is>
      </c>
      <c r="F1203" s="13" t="n">
        <v>38500</v>
      </c>
      <c r="G1203" s="11" t="n">
        <v>24353444.37</v>
      </c>
    </row>
    <row r="1204">
      <c r="A1204" s="11" t="n">
        <v>1203</v>
      </c>
      <c r="B1204" s="12" t="n">
        <v>46044</v>
      </c>
      <c r="C1204" s="11" t="inlineStr">
        <is>
          <t>COBRO COMISION DEPOSITOS ELECTRONICOS</t>
        </is>
      </c>
      <c r="D1204" s="11" t="inlineStr">
        <is>
          <t>ORITO</t>
        </is>
      </c>
      <c r="E1204" s="11" t="inlineStr">
        <is>
          <t>00000000</t>
        </is>
      </c>
      <c r="F1204" s="13" t="n">
        <v>-832</v>
      </c>
      <c r="G1204" s="11" t="n">
        <v>24352612.37</v>
      </c>
    </row>
    <row r="1205">
      <c r="A1205" s="11" t="n">
        <v>1204</v>
      </c>
      <c r="B1205" s="12" t="n">
        <v>46044</v>
      </c>
      <c r="C1205" s="11" t="inlineStr">
        <is>
          <t>GRAVAMEN A MOVIMIENTO FINANCIERO</t>
        </is>
      </c>
      <c r="D1205" s="11" t="inlineStr">
        <is>
          <t>ORITO</t>
        </is>
      </c>
      <c r="E1205" s="11" t="inlineStr">
        <is>
          <t>00000000</t>
        </is>
      </c>
      <c r="F1205" s="13" t="n">
        <v>-3</v>
      </c>
      <c r="G1205" s="11" t="n">
        <v>24352609.37</v>
      </c>
    </row>
    <row r="1206">
      <c r="A1206" s="11" t="n">
        <v>1205</v>
      </c>
      <c r="B1206" s="12" t="n">
        <v>46044</v>
      </c>
      <c r="C1206" s="11" t="inlineStr">
        <is>
          <t>RETEFUENTE D E Y VOUCHER CREDIBANCO</t>
        </is>
      </c>
      <c r="D1206" s="11" t="inlineStr">
        <is>
          <t>ORITO</t>
        </is>
      </c>
      <c r="E1206" s="11" t="inlineStr">
        <is>
          <t>00000000</t>
        </is>
      </c>
      <c r="F1206" s="13" t="n">
        <v>-578</v>
      </c>
      <c r="G1206" s="11" t="n">
        <v>24352031.37</v>
      </c>
    </row>
    <row r="1207">
      <c r="A1207" s="11" t="n">
        <v>1206</v>
      </c>
      <c r="B1207" s="12" t="n">
        <v>46044</v>
      </c>
      <c r="C1207" s="11" t="inlineStr">
        <is>
          <t>GRAVAMEN A MOVIMIENTO FINANCIERO</t>
        </is>
      </c>
      <c r="D1207" s="11" t="inlineStr">
        <is>
          <t>ORITO</t>
        </is>
      </c>
      <c r="E1207" s="11" t="inlineStr">
        <is>
          <t>00000000</t>
        </is>
      </c>
      <c r="F1207" s="13" t="n">
        <v>-2</v>
      </c>
      <c r="G1207" s="11" t="n">
        <v>24352029.37</v>
      </c>
    </row>
    <row r="1208">
      <c r="A1208" s="11" t="n">
        <v>1207</v>
      </c>
      <c r="B1208" s="12" t="n">
        <v>46044</v>
      </c>
      <c r="C1208" s="11" t="inlineStr">
        <is>
          <t>CONSIGNACION CREDIBANCO D E</t>
        </is>
      </c>
      <c r="D1208" s="11" t="inlineStr">
        <is>
          <t>ORITO</t>
        </is>
      </c>
      <c r="E1208" s="11" t="inlineStr">
        <is>
          <t>00000000</t>
        </is>
      </c>
      <c r="F1208" s="13" t="n">
        <v>90900</v>
      </c>
      <c r="G1208" s="11" t="n">
        <v>24442929.37</v>
      </c>
    </row>
    <row r="1209">
      <c r="A1209" s="11" t="n">
        <v>1208</v>
      </c>
      <c r="B1209" s="12" t="n">
        <v>46044</v>
      </c>
      <c r="C1209" s="11" t="inlineStr">
        <is>
          <t>COBRO COMISION DEPOSITOS ELECTRONICOS</t>
        </is>
      </c>
      <c r="D1209" s="11" t="inlineStr">
        <is>
          <t>ORITO</t>
        </is>
      </c>
      <c r="E1209" s="11" t="inlineStr">
        <is>
          <t>00000000</t>
        </is>
      </c>
      <c r="F1209" s="13" t="n">
        <v>-1963</v>
      </c>
      <c r="G1209" s="11" t="n">
        <v>24440966.37</v>
      </c>
    </row>
    <row r="1210">
      <c r="A1210" s="11" t="n">
        <v>1209</v>
      </c>
      <c r="B1210" s="12" t="n">
        <v>46044</v>
      </c>
      <c r="C1210" s="11" t="inlineStr">
        <is>
          <t>GRAVAMEN A MOVIMIENTO FINANCIERO</t>
        </is>
      </c>
      <c r="D1210" s="11" t="inlineStr">
        <is>
          <t>ORITO</t>
        </is>
      </c>
      <c r="E1210" s="11" t="inlineStr">
        <is>
          <t>00000000</t>
        </is>
      </c>
      <c r="F1210" s="13" t="n">
        <v>-8</v>
      </c>
      <c r="G1210" s="11" t="n">
        <v>24440958.37</v>
      </c>
    </row>
    <row r="1211">
      <c r="A1211" s="11" t="n">
        <v>1210</v>
      </c>
      <c r="B1211" s="12" t="n">
        <v>46044</v>
      </c>
      <c r="C1211" s="11" t="inlineStr">
        <is>
          <t>RETEFUENTE D E Y VOUCHER CREDIBANCO</t>
        </is>
      </c>
      <c r="D1211" s="11" t="inlineStr">
        <is>
          <t>ORITO</t>
        </is>
      </c>
      <c r="E1211" s="11" t="inlineStr">
        <is>
          <t>00000000</t>
        </is>
      </c>
      <c r="F1211" s="13" t="n">
        <v>-1364</v>
      </c>
      <c r="G1211" s="11" t="n">
        <v>24439594.37</v>
      </c>
    </row>
    <row r="1212">
      <c r="A1212" s="11" t="n">
        <v>1211</v>
      </c>
      <c r="B1212" s="12" t="n">
        <v>46044</v>
      </c>
      <c r="C1212" s="11" t="inlineStr">
        <is>
          <t>GRAVAMEN A MOVIMIENTO FINANCIERO</t>
        </is>
      </c>
      <c r="D1212" s="11" t="inlineStr">
        <is>
          <t>ORITO</t>
        </is>
      </c>
      <c r="E1212" s="11" t="inlineStr">
        <is>
          <t>00000000</t>
        </is>
      </c>
      <c r="F1212" s="13" t="n">
        <v>-5</v>
      </c>
      <c r="G1212" s="11" t="n">
        <v>24439589.37</v>
      </c>
    </row>
    <row r="1213">
      <c r="A1213" s="11" t="n">
        <v>1212</v>
      </c>
      <c r="B1213" s="12" t="n">
        <v>46044</v>
      </c>
      <c r="C1213" s="11" t="inlineStr">
        <is>
          <t>CONSIGNACION CREDIBANCO D E</t>
        </is>
      </c>
      <c r="D1213" s="11" t="inlineStr">
        <is>
          <t>ORITO</t>
        </is>
      </c>
      <c r="E1213" s="11" t="inlineStr">
        <is>
          <t>00000000</t>
        </is>
      </c>
      <c r="F1213" s="13" t="n">
        <v>58800</v>
      </c>
      <c r="G1213" s="11" t="n">
        <v>24498389.37</v>
      </c>
    </row>
    <row r="1214">
      <c r="A1214" s="11" t="n">
        <v>1213</v>
      </c>
      <c r="B1214" s="12" t="n">
        <v>46044</v>
      </c>
      <c r="C1214" s="11" t="inlineStr">
        <is>
          <t>COBRO COMISION DEPOSITOS ELECTRONICOS</t>
        </is>
      </c>
      <c r="D1214" s="11" t="inlineStr">
        <is>
          <t>ORITO</t>
        </is>
      </c>
      <c r="E1214" s="11" t="inlineStr">
        <is>
          <t>00000000</t>
        </is>
      </c>
      <c r="F1214" s="13" t="n">
        <v>-1288</v>
      </c>
      <c r="G1214" s="11" t="n">
        <v>24497101.37</v>
      </c>
    </row>
    <row r="1215">
      <c r="A1215" s="11" t="n">
        <v>1214</v>
      </c>
      <c r="B1215" s="12" t="n">
        <v>46044</v>
      </c>
      <c r="C1215" s="11" t="inlineStr">
        <is>
          <t>GRAVAMEN A MOVIMIENTO FINANCIERO</t>
        </is>
      </c>
      <c r="D1215" s="11" t="inlineStr">
        <is>
          <t>ORITO</t>
        </is>
      </c>
      <c r="E1215" s="11" t="inlineStr">
        <is>
          <t>00000000</t>
        </is>
      </c>
      <c r="F1215" s="13" t="n">
        <v>-5</v>
      </c>
      <c r="G1215" s="11" t="n">
        <v>24497096.37</v>
      </c>
    </row>
    <row r="1216">
      <c r="A1216" s="11" t="n">
        <v>1215</v>
      </c>
      <c r="B1216" s="12" t="n">
        <v>46044</v>
      </c>
      <c r="C1216" s="11" t="inlineStr">
        <is>
          <t>RETEFUENTE D E Y VOUCHER CREDIBANCO</t>
        </is>
      </c>
      <c r="D1216" s="11" t="inlineStr">
        <is>
          <t>ORITO</t>
        </is>
      </c>
      <c r="E1216" s="11" t="inlineStr">
        <is>
          <t>00000000</t>
        </is>
      </c>
      <c r="F1216" s="13" t="n">
        <v>-882</v>
      </c>
      <c r="G1216" s="11" t="n">
        <v>24496214.37</v>
      </c>
    </row>
    <row r="1217">
      <c r="A1217" s="11" t="n">
        <v>1216</v>
      </c>
      <c r="B1217" s="12" t="n">
        <v>46044</v>
      </c>
      <c r="C1217" s="11" t="inlineStr">
        <is>
          <t>GRAVAMEN A MOVIMIENTO FINANCIERO</t>
        </is>
      </c>
      <c r="D1217" s="11" t="inlineStr">
        <is>
          <t>ORITO</t>
        </is>
      </c>
      <c r="E1217" s="11" t="inlineStr">
        <is>
          <t>00000000</t>
        </is>
      </c>
      <c r="F1217" s="13" t="n">
        <v>-4</v>
      </c>
      <c r="G1217" s="11" t="n">
        <v>24496210.37</v>
      </c>
    </row>
    <row r="1218">
      <c r="A1218" s="11" t="n">
        <v>1217</v>
      </c>
      <c r="B1218" s="12" t="n">
        <v>46044</v>
      </c>
      <c r="C1218" s="11" t="inlineStr">
        <is>
          <t>DEPOSITOS ELECTRONICOS TRANSACCION MASTERCA</t>
        </is>
      </c>
      <c r="D1218" s="11" t="inlineStr">
        <is>
          <t>ORITO</t>
        </is>
      </c>
      <c r="E1218" s="11" t="inlineStr">
        <is>
          <t>00000000</t>
        </is>
      </c>
      <c r="F1218" s="13" t="n">
        <v>117600</v>
      </c>
      <c r="G1218" s="11" t="n">
        <v>24613810.37</v>
      </c>
    </row>
    <row r="1219">
      <c r="A1219" s="11" t="n">
        <v>1218</v>
      </c>
      <c r="B1219" s="12" t="n">
        <v>46044</v>
      </c>
      <c r="C1219" s="11" t="inlineStr">
        <is>
          <t>COMISION DEPOSITOS ELECTRONICOS MASTERCARD</t>
        </is>
      </c>
      <c r="D1219" s="11" t="inlineStr">
        <is>
          <t>ORITO</t>
        </is>
      </c>
      <c r="E1219" s="11" t="inlineStr">
        <is>
          <t>00000000</t>
        </is>
      </c>
      <c r="F1219" s="13" t="n">
        <v>-2234</v>
      </c>
      <c r="G1219" s="11" t="n">
        <v>24611576.37</v>
      </c>
    </row>
    <row r="1220">
      <c r="A1220" s="11" t="n">
        <v>1219</v>
      </c>
      <c r="B1220" s="12" t="n">
        <v>46044</v>
      </c>
      <c r="C1220" s="11" t="inlineStr">
        <is>
          <t>GRAVAMEN A MOVIMIENTO FINANCIERO</t>
        </is>
      </c>
      <c r="D1220" s="11" t="inlineStr">
        <is>
          <t>ORITO</t>
        </is>
      </c>
      <c r="E1220" s="11" t="inlineStr">
        <is>
          <t>00000000</t>
        </is>
      </c>
      <c r="F1220" s="13" t="n">
        <v>-9</v>
      </c>
      <c r="G1220" s="11" t="n">
        <v>24611567.37</v>
      </c>
    </row>
    <row r="1221">
      <c r="A1221" s="11" t="n">
        <v>1220</v>
      </c>
      <c r="B1221" s="12" t="n">
        <v>46044</v>
      </c>
      <c r="C1221" s="11" t="inlineStr">
        <is>
          <t>RETEFUENTE DEPOSITOS ELECTRONICOS MASTERCAR</t>
        </is>
      </c>
      <c r="D1221" s="11" t="inlineStr">
        <is>
          <t>ORITO</t>
        </is>
      </c>
      <c r="E1221" s="11" t="inlineStr">
        <is>
          <t>00000000</t>
        </is>
      </c>
      <c r="F1221" s="13" t="n">
        <v>-1764</v>
      </c>
      <c r="G1221" s="11" t="n">
        <v>24609803.37</v>
      </c>
    </row>
    <row r="1222">
      <c r="A1222" s="11" t="n">
        <v>1221</v>
      </c>
      <c r="B1222" s="12" t="n">
        <v>46044</v>
      </c>
      <c r="C1222" s="11" t="inlineStr">
        <is>
          <t>GRAVAMEN A MOVIMIENTO FINANCIERO</t>
        </is>
      </c>
      <c r="D1222" s="11" t="inlineStr">
        <is>
          <t>ORITO</t>
        </is>
      </c>
      <c r="E1222" s="11" t="inlineStr">
        <is>
          <t>00000000</t>
        </is>
      </c>
      <c r="F1222" s="13" t="n">
        <v>-7</v>
      </c>
      <c r="G1222" s="11" t="n">
        <v>24609796.37</v>
      </c>
    </row>
    <row r="1223">
      <c r="A1223" s="11" t="n">
        <v>1222</v>
      </c>
      <c r="B1223" s="12" t="n">
        <v>46045</v>
      </c>
      <c r="C1223" s="11" t="inlineStr">
        <is>
          <t>CONSIGNACION CREDIBANCO D E</t>
        </is>
      </c>
      <c r="D1223" s="11" t="inlineStr">
        <is>
          <t>ORITO</t>
        </is>
      </c>
      <c r="E1223" s="11" t="inlineStr">
        <is>
          <t>00000000</t>
        </is>
      </c>
      <c r="F1223" s="13" t="n">
        <v>40900</v>
      </c>
      <c r="G1223" s="11" t="n">
        <v>24650696.37</v>
      </c>
    </row>
    <row r="1224">
      <c r="A1224" s="11" t="n">
        <v>1223</v>
      </c>
      <c r="B1224" s="12" t="n">
        <v>46045</v>
      </c>
      <c r="C1224" s="11" t="inlineStr">
        <is>
          <t>COBRO COMISION DEPOSITOS ELECTRONICOS</t>
        </is>
      </c>
      <c r="D1224" s="11" t="inlineStr">
        <is>
          <t>ORITO</t>
        </is>
      </c>
      <c r="E1224" s="11" t="inlineStr">
        <is>
          <t>00000000</t>
        </is>
      </c>
      <c r="F1224" s="13" t="n">
        <v>-331</v>
      </c>
      <c r="G1224" s="11" t="n">
        <v>24650365.37</v>
      </c>
    </row>
    <row r="1225">
      <c r="A1225" s="11" t="n">
        <v>1224</v>
      </c>
      <c r="B1225" s="12" t="n">
        <v>46045</v>
      </c>
      <c r="C1225" s="11" t="inlineStr">
        <is>
          <t>GRAVAMEN A MOVIMIENTO FINANCIERO</t>
        </is>
      </c>
      <c r="D1225" s="11" t="inlineStr">
        <is>
          <t>ORITO</t>
        </is>
      </c>
      <c r="E1225" s="11" t="inlineStr">
        <is>
          <t>00000000</t>
        </is>
      </c>
      <c r="F1225" s="13" t="n">
        <v>-1</v>
      </c>
      <c r="G1225" s="11" t="n">
        <v>24650364.37</v>
      </c>
    </row>
    <row r="1226">
      <c r="A1226" s="11" t="n">
        <v>1225</v>
      </c>
      <c r="B1226" s="12" t="n">
        <v>46045</v>
      </c>
      <c r="C1226" s="11" t="inlineStr">
        <is>
          <t>RETEFUENTE D E Y VOUCHER CREDIBANCO</t>
        </is>
      </c>
      <c r="D1226" s="11" t="inlineStr">
        <is>
          <t>ORITO</t>
        </is>
      </c>
      <c r="E1226" s="11" t="inlineStr">
        <is>
          <t>00000000</t>
        </is>
      </c>
      <c r="F1226" s="13" t="n">
        <v>-614</v>
      </c>
      <c r="G1226" s="11" t="n">
        <v>24649750.37</v>
      </c>
    </row>
    <row r="1227">
      <c r="A1227" s="11" t="n">
        <v>1226</v>
      </c>
      <c r="B1227" s="12" t="n">
        <v>46045</v>
      </c>
      <c r="C1227" s="11" t="inlineStr">
        <is>
          <t>GRAVAMEN A MOVIMIENTO FINANCIERO</t>
        </is>
      </c>
      <c r="D1227" s="11" t="inlineStr">
        <is>
          <t>ORITO</t>
        </is>
      </c>
      <c r="E1227" s="11" t="inlineStr">
        <is>
          <t>00000000</t>
        </is>
      </c>
      <c r="F1227" s="13" t="n">
        <v>-2</v>
      </c>
      <c r="G1227" s="11" t="n">
        <v>24649748.37</v>
      </c>
    </row>
    <row r="1228">
      <c r="A1228" s="11" t="n">
        <v>1227</v>
      </c>
      <c r="B1228" s="12" t="n">
        <v>46045</v>
      </c>
      <c r="C1228" s="11" t="inlineStr">
        <is>
          <t>CONSIGNACION CREDIBANCO D E</t>
        </is>
      </c>
      <c r="D1228" s="11" t="inlineStr">
        <is>
          <t>ORITO</t>
        </is>
      </c>
      <c r="E1228" s="11" t="inlineStr">
        <is>
          <t>00000000</t>
        </is>
      </c>
      <c r="F1228" s="13" t="n">
        <v>53600</v>
      </c>
      <c r="G1228" s="11" t="n">
        <v>24703348.37</v>
      </c>
    </row>
    <row r="1229">
      <c r="A1229" s="11" t="n">
        <v>1228</v>
      </c>
      <c r="B1229" s="12" t="n">
        <v>46045</v>
      </c>
      <c r="C1229" s="11" t="inlineStr">
        <is>
          <t>COBRO COMISION DEPOSITOS ELECTRONICOS</t>
        </is>
      </c>
      <c r="D1229" s="11" t="inlineStr">
        <is>
          <t>ORITO</t>
        </is>
      </c>
      <c r="E1229" s="11" t="inlineStr">
        <is>
          <t>00000000</t>
        </is>
      </c>
      <c r="F1229" s="13" t="n">
        <v>-1104</v>
      </c>
      <c r="G1229" s="11" t="n">
        <v>24702244.37</v>
      </c>
    </row>
    <row r="1230">
      <c r="A1230" s="11" t="n">
        <v>1229</v>
      </c>
      <c r="B1230" s="12" t="n">
        <v>46045</v>
      </c>
      <c r="C1230" s="11" t="inlineStr">
        <is>
          <t>GRAVAMEN A MOVIMIENTO FINANCIERO</t>
        </is>
      </c>
      <c r="D1230" s="11" t="inlineStr">
        <is>
          <t>ORITO</t>
        </is>
      </c>
      <c r="E1230" s="11" t="inlineStr">
        <is>
          <t>00000000</t>
        </is>
      </c>
      <c r="F1230" s="13" t="n">
        <v>-4</v>
      </c>
      <c r="G1230" s="11" t="n">
        <v>24702240.37</v>
      </c>
    </row>
    <row r="1231">
      <c r="A1231" s="11" t="n">
        <v>1230</v>
      </c>
      <c r="B1231" s="12" t="n">
        <v>46045</v>
      </c>
      <c r="C1231" s="11" t="inlineStr">
        <is>
          <t>RETEFUENTE D E Y VOUCHER CREDIBANCO</t>
        </is>
      </c>
      <c r="D1231" s="11" t="inlineStr">
        <is>
          <t>ORITO</t>
        </is>
      </c>
      <c r="E1231" s="11" t="inlineStr">
        <is>
          <t>00000000</t>
        </is>
      </c>
      <c r="F1231" s="13" t="n">
        <v>-804</v>
      </c>
      <c r="G1231" s="11" t="n">
        <v>24701436.37</v>
      </c>
    </row>
    <row r="1232">
      <c r="A1232" s="11" t="n">
        <v>1231</v>
      </c>
      <c r="B1232" s="12" t="n">
        <v>46045</v>
      </c>
      <c r="C1232" s="11" t="inlineStr">
        <is>
          <t>GRAVAMEN A MOVIMIENTO FINANCIERO</t>
        </is>
      </c>
      <c r="D1232" s="11" t="inlineStr">
        <is>
          <t>ORITO</t>
        </is>
      </c>
      <c r="E1232" s="11" t="inlineStr">
        <is>
          <t>00000000</t>
        </is>
      </c>
      <c r="F1232" s="13" t="n">
        <v>-3</v>
      </c>
      <c r="G1232" s="11" t="n">
        <v>24701433.37</v>
      </c>
    </row>
    <row r="1233">
      <c r="A1233" s="11" t="n">
        <v>1232</v>
      </c>
      <c r="B1233" s="12" t="n">
        <v>46045</v>
      </c>
      <c r="C1233" s="11" t="inlineStr">
        <is>
          <t>CONSIGNACION CREDIBANCO D E</t>
        </is>
      </c>
      <c r="D1233" s="11" t="inlineStr">
        <is>
          <t>ORITO</t>
        </is>
      </c>
      <c r="E1233" s="11" t="inlineStr">
        <is>
          <t>00000000</t>
        </is>
      </c>
      <c r="F1233" s="13" t="n">
        <v>19000</v>
      </c>
      <c r="G1233" s="11" t="n">
        <v>24720433.37</v>
      </c>
    </row>
    <row r="1234">
      <c r="A1234" s="11" t="n">
        <v>1233</v>
      </c>
      <c r="B1234" s="12" t="n">
        <v>46045</v>
      </c>
      <c r="C1234" s="11" t="inlineStr">
        <is>
          <t>COBRO COMISION DEPOSITOS ELECTRONICOS</t>
        </is>
      </c>
      <c r="D1234" s="11" t="inlineStr">
        <is>
          <t>ORITO</t>
        </is>
      </c>
      <c r="E1234" s="11" t="inlineStr">
        <is>
          <t>00000000</t>
        </is>
      </c>
      <c r="F1234" s="13" t="n">
        <v>-416</v>
      </c>
      <c r="G1234" s="11" t="n">
        <v>24720017.37</v>
      </c>
    </row>
    <row r="1235">
      <c r="A1235" s="11" t="n">
        <v>1234</v>
      </c>
      <c r="B1235" s="12" t="n">
        <v>46045</v>
      </c>
      <c r="C1235" s="11" t="inlineStr">
        <is>
          <t>GRAVAMEN A MOVIMIENTO FINANCIERO</t>
        </is>
      </c>
      <c r="D1235" s="11" t="inlineStr">
        <is>
          <t>ORITO</t>
        </is>
      </c>
      <c r="E1235" s="11" t="inlineStr">
        <is>
          <t>00000000</t>
        </is>
      </c>
      <c r="F1235" s="13" t="n">
        <v>-2</v>
      </c>
      <c r="G1235" s="11" t="n">
        <v>24720015.37</v>
      </c>
    </row>
    <row r="1236">
      <c r="A1236" s="11" t="n">
        <v>1235</v>
      </c>
      <c r="B1236" s="12" t="n">
        <v>46045</v>
      </c>
      <c r="C1236" s="11" t="inlineStr">
        <is>
          <t>RETEFUENTE D E Y VOUCHER CREDIBANCO</t>
        </is>
      </c>
      <c r="D1236" s="11" t="inlineStr">
        <is>
          <t>ORITO</t>
        </is>
      </c>
      <c r="E1236" s="11" t="inlineStr">
        <is>
          <t>00000000</t>
        </is>
      </c>
      <c r="F1236" s="13" t="n">
        <v>-285</v>
      </c>
      <c r="G1236" s="11" t="n">
        <v>24719730.37</v>
      </c>
    </row>
    <row r="1237">
      <c r="A1237" s="11" t="n">
        <v>1236</v>
      </c>
      <c r="B1237" s="12" t="n">
        <v>46045</v>
      </c>
      <c r="C1237" s="11" t="inlineStr">
        <is>
          <t>GRAVAMEN A MOVIMIENTO FINANCIERO</t>
        </is>
      </c>
      <c r="D1237" s="11" t="inlineStr">
        <is>
          <t>ORITO</t>
        </is>
      </c>
      <c r="E1237" s="11" t="inlineStr">
        <is>
          <t>00000000</t>
        </is>
      </c>
      <c r="F1237" s="13" t="n">
        <v>-1</v>
      </c>
      <c r="G1237" s="11" t="n">
        <v>24719729.37</v>
      </c>
    </row>
    <row r="1238">
      <c r="A1238" s="11" t="n">
        <v>1237</v>
      </c>
      <c r="B1238" s="12" t="n">
        <v>46045</v>
      </c>
      <c r="C1238" s="11" t="inlineStr">
        <is>
          <t>CONSIGNACION CREDIBANCO D E</t>
        </is>
      </c>
      <c r="D1238" s="11" t="inlineStr">
        <is>
          <t>ORITO</t>
        </is>
      </c>
      <c r="E1238" s="11" t="inlineStr">
        <is>
          <t>00000000</t>
        </is>
      </c>
      <c r="F1238" s="13" t="n">
        <v>28800</v>
      </c>
      <c r="G1238" s="11" t="n">
        <v>24748529.37</v>
      </c>
    </row>
    <row r="1239">
      <c r="A1239" s="11" t="n">
        <v>1238</v>
      </c>
      <c r="B1239" s="12" t="n">
        <v>46045</v>
      </c>
      <c r="C1239" s="11" t="inlineStr">
        <is>
          <t>COBRO COMISION DEPOSITOS ELECTRONICOS</t>
        </is>
      </c>
      <c r="D1239" s="11" t="inlineStr">
        <is>
          <t>ORITO</t>
        </is>
      </c>
      <c r="E1239" s="11" t="inlineStr">
        <is>
          <t>00000000</t>
        </is>
      </c>
      <c r="F1239" s="13" t="n">
        <v>-593</v>
      </c>
      <c r="G1239" s="11" t="n">
        <v>24747936.37</v>
      </c>
    </row>
    <row r="1240">
      <c r="A1240" s="11" t="n">
        <v>1239</v>
      </c>
      <c r="B1240" s="12" t="n">
        <v>46045</v>
      </c>
      <c r="C1240" s="11" t="inlineStr">
        <is>
          <t>GRAVAMEN A MOVIMIENTO FINANCIERO</t>
        </is>
      </c>
      <c r="D1240" s="11" t="inlineStr">
        <is>
          <t>ORITO</t>
        </is>
      </c>
      <c r="E1240" s="11" t="inlineStr">
        <is>
          <t>00000000</t>
        </is>
      </c>
      <c r="F1240" s="13" t="n">
        <v>-2</v>
      </c>
      <c r="G1240" s="11" t="n">
        <v>24747934.37</v>
      </c>
    </row>
    <row r="1241">
      <c r="A1241" s="11" t="n">
        <v>1240</v>
      </c>
      <c r="B1241" s="12" t="n">
        <v>46045</v>
      </c>
      <c r="C1241" s="11" t="inlineStr">
        <is>
          <t>RETEFUENTE D E Y VOUCHER CREDIBANCO</t>
        </is>
      </c>
      <c r="D1241" s="11" t="inlineStr">
        <is>
          <t>ORITO</t>
        </is>
      </c>
      <c r="E1241" s="11" t="inlineStr">
        <is>
          <t>00000000</t>
        </is>
      </c>
      <c r="F1241" s="13" t="n">
        <v>-432</v>
      </c>
      <c r="G1241" s="11" t="n">
        <v>24747502.37</v>
      </c>
    </row>
    <row r="1242">
      <c r="A1242" s="11" t="n">
        <v>1241</v>
      </c>
      <c r="B1242" s="12" t="n">
        <v>46045</v>
      </c>
      <c r="C1242" s="11" t="inlineStr">
        <is>
          <t>GRAVAMEN A MOVIMIENTO FINANCIERO</t>
        </is>
      </c>
      <c r="D1242" s="11" t="inlineStr">
        <is>
          <t>ORITO</t>
        </is>
      </c>
      <c r="E1242" s="11" t="inlineStr">
        <is>
          <t>00000000</t>
        </is>
      </c>
      <c r="F1242" s="13" t="n">
        <v>-2</v>
      </c>
      <c r="G1242" s="11" t="n">
        <v>24747500.37</v>
      </c>
    </row>
    <row r="1243">
      <c r="A1243" s="11" t="n">
        <v>1242</v>
      </c>
      <c r="B1243" s="12" t="n">
        <v>46045</v>
      </c>
      <c r="C1243" s="11" t="inlineStr">
        <is>
          <t>DEPOSITOS ELECTRONICOS TRANSACCION MASTERCA</t>
        </is>
      </c>
      <c r="D1243" s="11" t="inlineStr">
        <is>
          <t>ORITO</t>
        </is>
      </c>
      <c r="E1243" s="11" t="inlineStr">
        <is>
          <t>00000000</t>
        </is>
      </c>
      <c r="F1243" s="13" t="n">
        <v>20300</v>
      </c>
      <c r="G1243" s="11" t="n">
        <v>24767800.37</v>
      </c>
    </row>
    <row r="1244">
      <c r="A1244" s="11" t="n">
        <v>1243</v>
      </c>
      <c r="B1244" s="12" t="n">
        <v>46045</v>
      </c>
      <c r="C1244" s="11" t="inlineStr">
        <is>
          <t>COMISION DEPOSITOS ELECTRONICOS MASTERCARD</t>
        </is>
      </c>
      <c r="D1244" s="11" t="inlineStr">
        <is>
          <t>ORITO</t>
        </is>
      </c>
      <c r="E1244" s="11" t="inlineStr">
        <is>
          <t>00000000</t>
        </is>
      </c>
      <c r="F1244" s="13" t="n">
        <v>-386</v>
      </c>
      <c r="G1244" s="11" t="n">
        <v>24767414.37</v>
      </c>
    </row>
    <row r="1245">
      <c r="A1245" s="11" t="n">
        <v>1244</v>
      </c>
      <c r="B1245" s="12" t="n">
        <v>46045</v>
      </c>
      <c r="C1245" s="11" t="inlineStr">
        <is>
          <t>GRAVAMEN A MOVIMIENTO FINANCIERO</t>
        </is>
      </c>
      <c r="D1245" s="11" t="inlineStr">
        <is>
          <t>ORITO</t>
        </is>
      </c>
      <c r="E1245" s="11" t="inlineStr">
        <is>
          <t>00000000</t>
        </is>
      </c>
      <c r="F1245" s="13" t="n">
        <v>-2</v>
      </c>
      <c r="G1245" s="11" t="n">
        <v>24767412.37</v>
      </c>
    </row>
    <row r="1246">
      <c r="A1246" s="11" t="n">
        <v>1245</v>
      </c>
      <c r="B1246" s="12" t="n">
        <v>46045</v>
      </c>
      <c r="C1246" s="11" t="inlineStr">
        <is>
          <t>RETEFUENTE DEPOSITOS ELECTRONICOS MASTERCAR</t>
        </is>
      </c>
      <c r="D1246" s="11" t="inlineStr">
        <is>
          <t>ORITO</t>
        </is>
      </c>
      <c r="E1246" s="11" t="inlineStr">
        <is>
          <t>00000000</t>
        </is>
      </c>
      <c r="F1246" s="13" t="n">
        <v>-305</v>
      </c>
      <c r="G1246" s="11" t="n">
        <v>24767107.37</v>
      </c>
    </row>
    <row r="1247">
      <c r="A1247" s="11" t="n">
        <v>1246</v>
      </c>
      <c r="B1247" s="12" t="n">
        <v>46045</v>
      </c>
      <c r="C1247" s="11" t="inlineStr">
        <is>
          <t>GRAVAMEN A MOVIMIENTO FINANCIERO</t>
        </is>
      </c>
      <c r="D1247" s="11" t="inlineStr">
        <is>
          <t>ORITO</t>
        </is>
      </c>
      <c r="E1247" s="11" t="inlineStr">
        <is>
          <t>00000000</t>
        </is>
      </c>
      <c r="F1247" s="13" t="n">
        <v>-1</v>
      </c>
      <c r="G1247" s="11" t="n">
        <v>24767106.37</v>
      </c>
    </row>
    <row r="1248">
      <c r="A1248" s="11" t="n">
        <v>1247</v>
      </c>
      <c r="B1248" s="12" t="n">
        <v>46045</v>
      </c>
      <c r="C1248" s="11" t="inlineStr">
        <is>
          <t>DEPOSITOS ELECTRONICOS TRANSACCION MASTERCA</t>
        </is>
      </c>
      <c r="D1248" s="11" t="inlineStr">
        <is>
          <t>ORITO</t>
        </is>
      </c>
      <c r="E1248" s="11" t="inlineStr">
        <is>
          <t>00000000</t>
        </is>
      </c>
      <c r="F1248" s="13" t="n">
        <v>70500</v>
      </c>
      <c r="G1248" s="11" t="n">
        <v>24837606.37</v>
      </c>
    </row>
    <row r="1249">
      <c r="A1249" s="11" t="n">
        <v>1248</v>
      </c>
      <c r="B1249" s="12" t="n">
        <v>46045</v>
      </c>
      <c r="C1249" s="11" t="inlineStr">
        <is>
          <t>COMISION DEPOSITOS ELECTRONICOS MASTERCARD</t>
        </is>
      </c>
      <c r="D1249" s="11" t="inlineStr">
        <is>
          <t>ORITO</t>
        </is>
      </c>
      <c r="E1249" s="11" t="inlineStr">
        <is>
          <t>00000000</t>
        </is>
      </c>
      <c r="F1249" s="13" t="n">
        <v>-1340</v>
      </c>
      <c r="G1249" s="11" t="n">
        <v>24836266.37</v>
      </c>
    </row>
    <row r="1250">
      <c r="A1250" s="11" t="n">
        <v>1249</v>
      </c>
      <c r="B1250" s="12" t="n">
        <v>46045</v>
      </c>
      <c r="C1250" s="11" t="inlineStr">
        <is>
          <t>GRAVAMEN A MOVIMIENTO FINANCIERO</t>
        </is>
      </c>
      <c r="D1250" s="11" t="inlineStr">
        <is>
          <t>ORITO</t>
        </is>
      </c>
      <c r="E1250" s="11" t="inlineStr">
        <is>
          <t>00000000</t>
        </is>
      </c>
      <c r="F1250" s="13" t="n">
        <v>-5</v>
      </c>
      <c r="G1250" s="11" t="n">
        <v>24836261.37</v>
      </c>
    </row>
    <row r="1251">
      <c r="A1251" s="11" t="n">
        <v>1250</v>
      </c>
      <c r="B1251" s="12" t="n">
        <v>46045</v>
      </c>
      <c r="C1251" s="11" t="inlineStr">
        <is>
          <t>RETEFUENTE DEPOSITOS ELECTRONICOS MASTERCAR</t>
        </is>
      </c>
      <c r="D1251" s="11" t="inlineStr">
        <is>
          <t>ORITO</t>
        </is>
      </c>
      <c r="E1251" s="11" t="inlineStr">
        <is>
          <t>00000000</t>
        </is>
      </c>
      <c r="F1251" s="13" t="n">
        <v>-1058</v>
      </c>
      <c r="G1251" s="11" t="n">
        <v>24835203.37</v>
      </c>
    </row>
    <row r="1252">
      <c r="A1252" s="11" t="n">
        <v>1251</v>
      </c>
      <c r="B1252" s="12" t="n">
        <v>46045</v>
      </c>
      <c r="C1252" s="11" t="inlineStr">
        <is>
          <t>GRAVAMEN A MOVIMIENTO FINANCIERO</t>
        </is>
      </c>
      <c r="D1252" s="11" t="inlineStr">
        <is>
          <t>ORITO</t>
        </is>
      </c>
      <c r="E1252" s="11" t="inlineStr">
        <is>
          <t>00000000</t>
        </is>
      </c>
      <c r="F1252" s="13" t="n">
        <v>-4</v>
      </c>
      <c r="G1252" s="11" t="n">
        <v>24835199.37</v>
      </c>
    </row>
    <row r="1253">
      <c r="A1253" s="11" t="n">
        <v>1252</v>
      </c>
      <c r="B1253" s="12" t="n">
        <v>46045</v>
      </c>
      <c r="C1253" s="11" t="inlineStr">
        <is>
          <t>DEPOSITOS ELECTRONICOS TRANSACCION MASTERCA</t>
        </is>
      </c>
      <c r="D1253" s="11" t="inlineStr">
        <is>
          <t>ORITO</t>
        </is>
      </c>
      <c r="E1253" s="11" t="inlineStr">
        <is>
          <t>00000000</t>
        </is>
      </c>
      <c r="F1253" s="13" t="n">
        <v>72700</v>
      </c>
      <c r="G1253" s="11" t="n">
        <v>24907899.37</v>
      </c>
    </row>
    <row r="1254">
      <c r="A1254" s="11" t="n">
        <v>1253</v>
      </c>
      <c r="B1254" s="12" t="n">
        <v>46045</v>
      </c>
      <c r="C1254" s="11" t="inlineStr">
        <is>
          <t>COMISION DEPOSITOS ELECTRONICOS MASTERCARD</t>
        </is>
      </c>
      <c r="D1254" s="11" t="inlineStr">
        <is>
          <t>ORITO</t>
        </is>
      </c>
      <c r="E1254" s="11" t="inlineStr">
        <is>
          <t>00000000</t>
        </is>
      </c>
      <c r="F1254" s="13" t="n">
        <v>-1381</v>
      </c>
      <c r="G1254" s="11" t="n">
        <v>24906518.37</v>
      </c>
    </row>
    <row r="1255">
      <c r="A1255" s="11" t="n">
        <v>1254</v>
      </c>
      <c r="B1255" s="12" t="n">
        <v>46045</v>
      </c>
      <c r="C1255" s="11" t="inlineStr">
        <is>
          <t>GRAVAMEN A MOVIMIENTO FINANCIERO</t>
        </is>
      </c>
      <c r="D1255" s="11" t="inlineStr">
        <is>
          <t>ORITO</t>
        </is>
      </c>
      <c r="E1255" s="11" t="inlineStr">
        <is>
          <t>00000000</t>
        </is>
      </c>
      <c r="F1255" s="13" t="n">
        <v>-6</v>
      </c>
      <c r="G1255" s="11" t="n">
        <v>24906512.37</v>
      </c>
    </row>
    <row r="1256">
      <c r="A1256" s="11" t="n">
        <v>1255</v>
      </c>
      <c r="B1256" s="12" t="n">
        <v>46045</v>
      </c>
      <c r="C1256" s="11" t="inlineStr">
        <is>
          <t>RETEFUENTE DEPOSITOS ELECTRONICOS MASTERCAR</t>
        </is>
      </c>
      <c r="D1256" s="11" t="inlineStr">
        <is>
          <t>ORITO</t>
        </is>
      </c>
      <c r="E1256" s="11" t="inlineStr">
        <is>
          <t>00000000</t>
        </is>
      </c>
      <c r="F1256" s="13" t="n">
        <v>-1091</v>
      </c>
      <c r="G1256" s="11" t="n">
        <v>24905421.37</v>
      </c>
    </row>
    <row r="1257">
      <c r="A1257" s="11" t="n">
        <v>1256</v>
      </c>
      <c r="B1257" s="12" t="n">
        <v>46045</v>
      </c>
      <c r="C1257" s="11" t="inlineStr">
        <is>
          <t>GRAVAMEN A MOVIMIENTO FINANCIERO</t>
        </is>
      </c>
      <c r="D1257" s="11" t="inlineStr">
        <is>
          <t>ORITO</t>
        </is>
      </c>
      <c r="E1257" s="11" t="inlineStr">
        <is>
          <t>00000000</t>
        </is>
      </c>
      <c r="F1257" s="13" t="n">
        <v>-4</v>
      </c>
      <c r="G1257" s="11" t="n">
        <v>24905417.37</v>
      </c>
    </row>
    <row r="1258">
      <c r="A1258" s="11" t="n">
        <v>1257</v>
      </c>
      <c r="B1258" s="12" t="n">
        <v>46045</v>
      </c>
      <c r="C1258" s="11" t="inlineStr">
        <is>
          <t>DEPOSITOS ELECTRONICOS TRANSACCION MASTERCA</t>
        </is>
      </c>
      <c r="D1258" s="11" t="inlineStr">
        <is>
          <t>ORITO</t>
        </is>
      </c>
      <c r="E1258" s="11" t="inlineStr">
        <is>
          <t>00000000</t>
        </is>
      </c>
      <c r="F1258" s="13" t="n">
        <v>36700</v>
      </c>
      <c r="G1258" s="11" t="n">
        <v>24942117.37</v>
      </c>
    </row>
    <row r="1259">
      <c r="A1259" s="11" t="n">
        <v>1258</v>
      </c>
      <c r="B1259" s="12" t="n">
        <v>46045</v>
      </c>
      <c r="C1259" s="11" t="inlineStr">
        <is>
          <t>COMISION DEPOSITOS ELECTRONICOS MASTERCARD</t>
        </is>
      </c>
      <c r="D1259" s="11" t="inlineStr">
        <is>
          <t>ORITO</t>
        </is>
      </c>
      <c r="E1259" s="11" t="inlineStr">
        <is>
          <t>00000000</t>
        </is>
      </c>
      <c r="F1259" s="13" t="n">
        <v>-697</v>
      </c>
      <c r="G1259" s="11" t="n">
        <v>24941420.37</v>
      </c>
    </row>
    <row r="1260">
      <c r="A1260" s="11" t="n">
        <v>1259</v>
      </c>
      <c r="B1260" s="12" t="n">
        <v>46045</v>
      </c>
      <c r="C1260" s="11" t="inlineStr">
        <is>
          <t>GRAVAMEN A MOVIMIENTO FINANCIERO</t>
        </is>
      </c>
      <c r="D1260" s="11" t="inlineStr">
        <is>
          <t>ORITO</t>
        </is>
      </c>
      <c r="E1260" s="11" t="inlineStr">
        <is>
          <t>00000000</t>
        </is>
      </c>
      <c r="F1260" s="13" t="n">
        <v>-3</v>
      </c>
      <c r="G1260" s="11" t="n">
        <v>24941417.37</v>
      </c>
    </row>
    <row r="1261">
      <c r="A1261" s="11" t="n">
        <v>1260</v>
      </c>
      <c r="B1261" s="12" t="n">
        <v>46045</v>
      </c>
      <c r="C1261" s="11" t="inlineStr">
        <is>
          <t>RETEFUENTE DEPOSITOS ELECTRONICOS MASTERCAR</t>
        </is>
      </c>
      <c r="D1261" s="11" t="inlineStr">
        <is>
          <t>ORITO</t>
        </is>
      </c>
      <c r="E1261" s="11" t="inlineStr">
        <is>
          <t>00000000</t>
        </is>
      </c>
      <c r="F1261" s="13" t="n">
        <v>-551</v>
      </c>
      <c r="G1261" s="11" t="n">
        <v>24940866.37</v>
      </c>
    </row>
    <row r="1262">
      <c r="A1262" s="11" t="n">
        <v>1261</v>
      </c>
      <c r="B1262" s="12" t="n">
        <v>46045</v>
      </c>
      <c r="C1262" s="11" t="inlineStr">
        <is>
          <t>GRAVAMEN A MOVIMIENTO FINANCIERO</t>
        </is>
      </c>
      <c r="D1262" s="11" t="inlineStr">
        <is>
          <t>ORITO</t>
        </is>
      </c>
      <c r="E1262" s="11" t="inlineStr">
        <is>
          <t>00000000</t>
        </is>
      </c>
      <c r="F1262" s="13" t="n">
        <v>-2</v>
      </c>
      <c r="G1262" s="11" t="n">
        <v>24940864.37</v>
      </c>
    </row>
    <row r="1263">
      <c r="A1263" s="11" t="n">
        <v>1262</v>
      </c>
      <c r="B1263" s="12" t="n">
        <v>46045</v>
      </c>
      <c r="C1263" s="11" t="inlineStr">
        <is>
          <t>DEPOSITOS ELECTRONICOS TRANSACCION MASTERCA</t>
        </is>
      </c>
      <c r="D1263" s="11" t="inlineStr">
        <is>
          <t>ORITO</t>
        </is>
      </c>
      <c r="E1263" s="11" t="inlineStr">
        <is>
          <t>00000000</t>
        </is>
      </c>
      <c r="F1263" s="13" t="n">
        <v>58100</v>
      </c>
      <c r="G1263" s="11" t="n">
        <v>24998964.37</v>
      </c>
    </row>
    <row r="1264">
      <c r="A1264" s="11" t="n">
        <v>1263</v>
      </c>
      <c r="B1264" s="12" t="n">
        <v>46045</v>
      </c>
      <c r="C1264" s="11" t="inlineStr">
        <is>
          <t>COMISION DEPOSITOS ELECTRONICOS MASTERCARD</t>
        </is>
      </c>
      <c r="D1264" s="11" t="inlineStr">
        <is>
          <t>ORITO</t>
        </is>
      </c>
      <c r="E1264" s="11" t="inlineStr">
        <is>
          <t>00000000</t>
        </is>
      </c>
      <c r="F1264" s="13" t="n">
        <v>-1104</v>
      </c>
      <c r="G1264" s="11" t="n">
        <v>24997860.37</v>
      </c>
    </row>
    <row r="1265">
      <c r="A1265" s="11" t="n">
        <v>1264</v>
      </c>
      <c r="B1265" s="12" t="n">
        <v>46045</v>
      </c>
      <c r="C1265" s="11" t="inlineStr">
        <is>
          <t>GRAVAMEN A MOVIMIENTO FINANCIERO</t>
        </is>
      </c>
      <c r="D1265" s="11" t="inlineStr">
        <is>
          <t>ORITO</t>
        </is>
      </c>
      <c r="E1265" s="11" t="inlineStr">
        <is>
          <t>00000000</t>
        </is>
      </c>
      <c r="F1265" s="13" t="n">
        <v>-4</v>
      </c>
      <c r="G1265" s="11" t="n">
        <v>24997856.37</v>
      </c>
    </row>
    <row r="1266">
      <c r="A1266" s="11" t="n">
        <v>1265</v>
      </c>
      <c r="B1266" s="12" t="n">
        <v>46045</v>
      </c>
      <c r="C1266" s="11" t="inlineStr">
        <is>
          <t>RETEFUENTE DEPOSITOS ELECTRONICOS MASTERCAR</t>
        </is>
      </c>
      <c r="D1266" s="11" t="inlineStr">
        <is>
          <t>ORITO</t>
        </is>
      </c>
      <c r="E1266" s="11" t="inlineStr">
        <is>
          <t>00000000</t>
        </is>
      </c>
      <c r="F1266" s="13" t="n">
        <v>-872</v>
      </c>
      <c r="G1266" s="11" t="n">
        <v>24996984.37</v>
      </c>
    </row>
    <row r="1267">
      <c r="A1267" s="11" t="n">
        <v>1266</v>
      </c>
      <c r="B1267" s="12" t="n">
        <v>46045</v>
      </c>
      <c r="C1267" s="11" t="inlineStr">
        <is>
          <t>GRAVAMEN A MOVIMIENTO FINANCIERO</t>
        </is>
      </c>
      <c r="D1267" s="11" t="inlineStr">
        <is>
          <t>ORITO</t>
        </is>
      </c>
      <c r="E1267" s="11" t="inlineStr">
        <is>
          <t>00000000</t>
        </is>
      </c>
      <c r="F1267" s="13" t="n">
        <v>-3</v>
      </c>
      <c r="G1267" s="11" t="n">
        <v>24996981.37</v>
      </c>
    </row>
    <row r="1268">
      <c r="A1268" s="11" t="n">
        <v>1267</v>
      </c>
      <c r="B1268" s="12" t="n">
        <v>46048</v>
      </c>
      <c r="C1268" s="11" t="inlineStr">
        <is>
          <t>CONSIGNACION CREDIBANCO D E</t>
        </is>
      </c>
      <c r="D1268" s="11" t="inlineStr">
        <is>
          <t>ORITO</t>
        </is>
      </c>
      <c r="E1268" s="11" t="inlineStr">
        <is>
          <t>00000000</t>
        </is>
      </c>
      <c r="F1268" s="13" t="n">
        <v>104100</v>
      </c>
      <c r="G1268" s="11" t="n">
        <v>25101081.37</v>
      </c>
    </row>
    <row r="1269">
      <c r="A1269" s="11" t="n">
        <v>1268</v>
      </c>
      <c r="B1269" s="12" t="n">
        <v>46048</v>
      </c>
      <c r="C1269" s="11" t="inlineStr">
        <is>
          <t>COBRO COMISION DEPOSITOS ELECTRONICOS</t>
        </is>
      </c>
      <c r="D1269" s="11" t="inlineStr">
        <is>
          <t>ORITO</t>
        </is>
      </c>
      <c r="E1269" s="11" t="inlineStr">
        <is>
          <t>00000000</t>
        </is>
      </c>
      <c r="F1269" s="13" t="n">
        <v>-843</v>
      </c>
      <c r="G1269" s="11" t="n">
        <v>25100238.37</v>
      </c>
    </row>
    <row r="1270">
      <c r="A1270" s="11" t="n">
        <v>1269</v>
      </c>
      <c r="B1270" s="12" t="n">
        <v>46048</v>
      </c>
      <c r="C1270" s="11" t="inlineStr">
        <is>
          <t>GRAVAMEN A MOVIMIENTO FINANCIERO</t>
        </is>
      </c>
      <c r="D1270" s="11" t="inlineStr">
        <is>
          <t>ORITO</t>
        </is>
      </c>
      <c r="E1270" s="11" t="inlineStr">
        <is>
          <t>00000000</t>
        </is>
      </c>
      <c r="F1270" s="13" t="n">
        <v>-3</v>
      </c>
      <c r="G1270" s="11" t="n">
        <v>25100235.37</v>
      </c>
    </row>
    <row r="1271">
      <c r="A1271" s="11" t="n">
        <v>1270</v>
      </c>
      <c r="B1271" s="12" t="n">
        <v>46048</v>
      </c>
      <c r="C1271" s="11" t="inlineStr">
        <is>
          <t>RETEFUENTE D E Y VOUCHER CREDIBANCO</t>
        </is>
      </c>
      <c r="D1271" s="11" t="inlineStr">
        <is>
          <t>ORITO</t>
        </is>
      </c>
      <c r="E1271" s="11" t="inlineStr">
        <is>
          <t>00000000</t>
        </is>
      </c>
      <c r="F1271" s="13" t="n">
        <v>-1562</v>
      </c>
      <c r="G1271" s="11" t="n">
        <v>25098673.37</v>
      </c>
    </row>
    <row r="1272">
      <c r="A1272" s="11" t="n">
        <v>1271</v>
      </c>
      <c r="B1272" s="12" t="n">
        <v>46048</v>
      </c>
      <c r="C1272" s="11" t="inlineStr">
        <is>
          <t>GRAVAMEN A MOVIMIENTO FINANCIERO</t>
        </is>
      </c>
      <c r="D1272" s="11" t="inlineStr">
        <is>
          <t>ORITO</t>
        </is>
      </c>
      <c r="E1272" s="11" t="inlineStr">
        <is>
          <t>00000000</t>
        </is>
      </c>
      <c r="F1272" s="13" t="n">
        <v>-6</v>
      </c>
      <c r="G1272" s="11" t="n">
        <v>25098667.37</v>
      </c>
    </row>
    <row r="1273">
      <c r="A1273" s="11" t="n">
        <v>1272</v>
      </c>
      <c r="B1273" s="12" t="n">
        <v>46048</v>
      </c>
      <c r="C1273" s="11" t="inlineStr">
        <is>
          <t>CONSIGNACION CREDIBANCO D E</t>
        </is>
      </c>
      <c r="D1273" s="11" t="inlineStr">
        <is>
          <t>ORITO</t>
        </is>
      </c>
      <c r="E1273" s="11" t="inlineStr">
        <is>
          <t>00000000</t>
        </is>
      </c>
      <c r="F1273" s="13" t="n">
        <v>68960</v>
      </c>
      <c r="G1273" s="11" t="n">
        <v>25167627.37</v>
      </c>
    </row>
    <row r="1274">
      <c r="A1274" s="11" t="n">
        <v>1273</v>
      </c>
      <c r="B1274" s="12" t="n">
        <v>46048</v>
      </c>
      <c r="C1274" s="11" t="inlineStr">
        <is>
          <t>COBRO COMISION DEPOSITOS ELECTRONICOS</t>
        </is>
      </c>
      <c r="D1274" s="11" t="inlineStr">
        <is>
          <t>ORITO</t>
        </is>
      </c>
      <c r="E1274" s="11" t="inlineStr">
        <is>
          <t>00000000</t>
        </is>
      </c>
      <c r="F1274" s="13" t="n">
        <v>-1490</v>
      </c>
      <c r="G1274" s="11" t="n">
        <v>25166137.37</v>
      </c>
    </row>
    <row r="1275">
      <c r="A1275" s="11" t="n">
        <v>1274</v>
      </c>
      <c r="B1275" s="12" t="n">
        <v>46048</v>
      </c>
      <c r="C1275" s="11" t="inlineStr">
        <is>
          <t>GRAVAMEN A MOVIMIENTO FINANCIERO</t>
        </is>
      </c>
      <c r="D1275" s="11" t="inlineStr">
        <is>
          <t>ORITO</t>
        </is>
      </c>
      <c r="E1275" s="11" t="inlineStr">
        <is>
          <t>00000000</t>
        </is>
      </c>
      <c r="F1275" s="13" t="n">
        <v>-6</v>
      </c>
      <c r="G1275" s="11" t="n">
        <v>25166131.37</v>
      </c>
    </row>
    <row r="1276">
      <c r="A1276" s="11" t="n">
        <v>1275</v>
      </c>
      <c r="B1276" s="12" t="n">
        <v>46048</v>
      </c>
      <c r="C1276" s="11" t="inlineStr">
        <is>
          <t>RETEFUENTE D E Y VOUCHER CREDIBANCO</t>
        </is>
      </c>
      <c r="D1276" s="11" t="inlineStr">
        <is>
          <t>ORITO</t>
        </is>
      </c>
      <c r="E1276" s="11" t="inlineStr">
        <is>
          <t>00000000</t>
        </is>
      </c>
      <c r="F1276" s="13" t="n">
        <v>-1034</v>
      </c>
      <c r="G1276" s="11" t="n">
        <v>25165097.37</v>
      </c>
    </row>
    <row r="1277">
      <c r="A1277" s="11" t="n">
        <v>1276</v>
      </c>
      <c r="B1277" s="12" t="n">
        <v>46048</v>
      </c>
      <c r="C1277" s="11" t="inlineStr">
        <is>
          <t>GRAVAMEN A MOVIMIENTO FINANCIERO</t>
        </is>
      </c>
      <c r="D1277" s="11" t="inlineStr">
        <is>
          <t>ORITO</t>
        </is>
      </c>
      <c r="E1277" s="11" t="inlineStr">
        <is>
          <t>00000000</t>
        </is>
      </c>
      <c r="F1277" s="13" t="n">
        <v>-4</v>
      </c>
      <c r="G1277" s="11" t="n">
        <v>25165093.37</v>
      </c>
    </row>
    <row r="1278">
      <c r="A1278" s="11" t="n">
        <v>1277</v>
      </c>
      <c r="B1278" s="12" t="n">
        <v>46048</v>
      </c>
      <c r="C1278" s="11" t="inlineStr">
        <is>
          <t>CONSIGNACION CREDIBANCO D E</t>
        </is>
      </c>
      <c r="D1278" s="11" t="inlineStr">
        <is>
          <t>ORITO</t>
        </is>
      </c>
      <c r="E1278" s="11" t="inlineStr">
        <is>
          <t>00000000</t>
        </is>
      </c>
      <c r="F1278" s="13" t="n">
        <v>28300</v>
      </c>
      <c r="G1278" s="11" t="n">
        <v>25193393.37</v>
      </c>
    </row>
    <row r="1279">
      <c r="A1279" s="11" t="n">
        <v>1278</v>
      </c>
      <c r="B1279" s="12" t="n">
        <v>46048</v>
      </c>
      <c r="C1279" s="11" t="inlineStr">
        <is>
          <t>COBRO COMISION DEPOSITOS ELECTRONICOS</t>
        </is>
      </c>
      <c r="D1279" s="11" t="inlineStr">
        <is>
          <t>ORITO</t>
        </is>
      </c>
      <c r="E1279" s="11" t="inlineStr">
        <is>
          <t>00000000</t>
        </is>
      </c>
      <c r="F1279" s="13" t="n">
        <v>-611</v>
      </c>
      <c r="G1279" s="11" t="n">
        <v>25192782.37</v>
      </c>
    </row>
    <row r="1280">
      <c r="A1280" s="11" t="n">
        <v>1279</v>
      </c>
      <c r="B1280" s="12" t="n">
        <v>46048</v>
      </c>
      <c r="C1280" s="11" t="inlineStr">
        <is>
          <t>GRAVAMEN A MOVIMIENTO FINANCIERO</t>
        </is>
      </c>
      <c r="D1280" s="11" t="inlineStr">
        <is>
          <t>ORITO</t>
        </is>
      </c>
      <c r="E1280" s="11" t="inlineStr">
        <is>
          <t>00000000</t>
        </is>
      </c>
      <c r="F1280" s="13" t="n">
        <v>-2</v>
      </c>
      <c r="G1280" s="11" t="n">
        <v>25192780.37</v>
      </c>
    </row>
    <row r="1281">
      <c r="A1281" s="11" t="n">
        <v>1280</v>
      </c>
      <c r="B1281" s="12" t="n">
        <v>46048</v>
      </c>
      <c r="C1281" s="11" t="inlineStr">
        <is>
          <t>RETEFUENTE D E Y VOUCHER CREDIBANCO</t>
        </is>
      </c>
      <c r="D1281" s="11" t="inlineStr">
        <is>
          <t>ORITO</t>
        </is>
      </c>
      <c r="E1281" s="11" t="inlineStr">
        <is>
          <t>00000000</t>
        </is>
      </c>
      <c r="F1281" s="13" t="n">
        <v>-425</v>
      </c>
      <c r="G1281" s="11" t="n">
        <v>25192355.37</v>
      </c>
    </row>
    <row r="1282">
      <c r="A1282" s="11" t="n">
        <v>1281</v>
      </c>
      <c r="B1282" s="12" t="n">
        <v>46048</v>
      </c>
      <c r="C1282" s="11" t="inlineStr">
        <is>
          <t>GRAVAMEN A MOVIMIENTO FINANCIERO</t>
        </is>
      </c>
      <c r="D1282" s="11" t="inlineStr">
        <is>
          <t>ORITO</t>
        </is>
      </c>
      <c r="E1282" s="11" t="inlineStr">
        <is>
          <t>00000000</t>
        </is>
      </c>
      <c r="F1282" s="13" t="n">
        <v>-2</v>
      </c>
      <c r="G1282" s="11" t="n">
        <v>25192353.37</v>
      </c>
    </row>
    <row r="1283">
      <c r="A1283" s="11" t="n">
        <v>1282</v>
      </c>
      <c r="B1283" s="12" t="n">
        <v>46048</v>
      </c>
      <c r="C1283" s="11" t="inlineStr">
        <is>
          <t>CONSIGNACION CREDIBANCO D E</t>
        </is>
      </c>
      <c r="D1283" s="11" t="inlineStr">
        <is>
          <t>ORITO</t>
        </is>
      </c>
      <c r="E1283" s="11" t="inlineStr">
        <is>
          <t>00000000</t>
        </is>
      </c>
      <c r="F1283" s="13" t="n">
        <v>35520</v>
      </c>
      <c r="G1283" s="11" t="n">
        <v>25227873.37</v>
      </c>
    </row>
    <row r="1284">
      <c r="A1284" s="11" t="n">
        <v>1283</v>
      </c>
      <c r="B1284" s="12" t="n">
        <v>46048</v>
      </c>
      <c r="C1284" s="11" t="inlineStr">
        <is>
          <t>COBRO COMISION DEPOSITOS ELECTRONICOS</t>
        </is>
      </c>
      <c r="D1284" s="11" t="inlineStr">
        <is>
          <t>ORITO</t>
        </is>
      </c>
      <c r="E1284" s="11" t="inlineStr">
        <is>
          <t>00000000</t>
        </is>
      </c>
      <c r="F1284" s="13" t="n">
        <v>-767</v>
      </c>
      <c r="G1284" s="11" t="n">
        <v>25227106.37</v>
      </c>
    </row>
    <row r="1285">
      <c r="A1285" s="11" t="n">
        <v>1284</v>
      </c>
      <c r="B1285" s="12" t="n">
        <v>46048</v>
      </c>
      <c r="C1285" s="11" t="inlineStr">
        <is>
          <t>GRAVAMEN A MOVIMIENTO FINANCIERO</t>
        </is>
      </c>
      <c r="D1285" s="11" t="inlineStr">
        <is>
          <t>ORITO</t>
        </is>
      </c>
      <c r="E1285" s="11" t="inlineStr">
        <is>
          <t>00000000</t>
        </is>
      </c>
      <c r="F1285" s="13" t="n">
        <v>-3</v>
      </c>
      <c r="G1285" s="11" t="n">
        <v>25227103.37</v>
      </c>
    </row>
    <row r="1286">
      <c r="A1286" s="11" t="n">
        <v>1285</v>
      </c>
      <c r="B1286" s="12" t="n">
        <v>46048</v>
      </c>
      <c r="C1286" s="11" t="inlineStr">
        <is>
          <t>RETEFUENTE D E Y VOUCHER CREDIBANCO</t>
        </is>
      </c>
      <c r="D1286" s="11" t="inlineStr">
        <is>
          <t>ORITO</t>
        </is>
      </c>
      <c r="E1286" s="11" t="inlineStr">
        <is>
          <t>00000000</t>
        </is>
      </c>
      <c r="F1286" s="13" t="n">
        <v>-533</v>
      </c>
      <c r="G1286" s="11" t="n">
        <v>25226570.37</v>
      </c>
    </row>
    <row r="1287">
      <c r="A1287" s="11" t="n">
        <v>1286</v>
      </c>
      <c r="B1287" s="12" t="n">
        <v>46048</v>
      </c>
      <c r="C1287" s="11" t="inlineStr">
        <is>
          <t>GRAVAMEN A MOVIMIENTO FINANCIERO</t>
        </is>
      </c>
      <c r="D1287" s="11" t="inlineStr">
        <is>
          <t>ORITO</t>
        </is>
      </c>
      <c r="E1287" s="11" t="inlineStr">
        <is>
          <t>00000000</t>
        </is>
      </c>
      <c r="F1287" s="13" t="n">
        <v>-2</v>
      </c>
      <c r="G1287" s="11" t="n">
        <v>25226568.37</v>
      </c>
    </row>
    <row r="1288">
      <c r="A1288" s="11" t="n">
        <v>1287</v>
      </c>
      <c r="B1288" s="12" t="n">
        <v>46048</v>
      </c>
      <c r="C1288" s="11" t="inlineStr">
        <is>
          <t>CONSIGNACION CREDIBANCO D E</t>
        </is>
      </c>
      <c r="D1288" s="11" t="inlineStr">
        <is>
          <t>ORITO</t>
        </is>
      </c>
      <c r="E1288" s="11" t="inlineStr">
        <is>
          <t>00000000</t>
        </is>
      </c>
      <c r="F1288" s="13" t="n">
        <v>48100</v>
      </c>
      <c r="G1288" s="11" t="n">
        <v>25274668.37</v>
      </c>
    </row>
    <row r="1289">
      <c r="A1289" s="11" t="n">
        <v>1288</v>
      </c>
      <c r="B1289" s="12" t="n">
        <v>46048</v>
      </c>
      <c r="C1289" s="11" t="inlineStr">
        <is>
          <t>COBRO COMISION DEPOSITOS ELECTRONICOS</t>
        </is>
      </c>
      <c r="D1289" s="11" t="inlineStr">
        <is>
          <t>ORITO</t>
        </is>
      </c>
      <c r="E1289" s="11" t="inlineStr">
        <is>
          <t>00000000</t>
        </is>
      </c>
      <c r="F1289" s="13" t="n">
        <v>-1039</v>
      </c>
      <c r="G1289" s="11" t="n">
        <v>25273629.37</v>
      </c>
    </row>
    <row r="1290">
      <c r="A1290" s="11" t="n">
        <v>1289</v>
      </c>
      <c r="B1290" s="12" t="n">
        <v>46048</v>
      </c>
      <c r="C1290" s="11" t="inlineStr">
        <is>
          <t>GRAVAMEN A MOVIMIENTO FINANCIERO</t>
        </is>
      </c>
      <c r="D1290" s="11" t="inlineStr">
        <is>
          <t>ORITO</t>
        </is>
      </c>
      <c r="E1290" s="11" t="inlineStr">
        <is>
          <t>00000000</t>
        </is>
      </c>
      <c r="F1290" s="13" t="n">
        <v>-4</v>
      </c>
      <c r="G1290" s="11" t="n">
        <v>25273625.37</v>
      </c>
    </row>
    <row r="1291">
      <c r="A1291" s="11" t="n">
        <v>1290</v>
      </c>
      <c r="B1291" s="12" t="n">
        <v>46048</v>
      </c>
      <c r="C1291" s="11" t="inlineStr">
        <is>
          <t>RETEFUENTE D E Y VOUCHER CREDIBANCO</t>
        </is>
      </c>
      <c r="D1291" s="11" t="inlineStr">
        <is>
          <t>ORITO</t>
        </is>
      </c>
      <c r="E1291" s="11" t="inlineStr">
        <is>
          <t>00000000</t>
        </is>
      </c>
      <c r="F1291" s="13" t="n">
        <v>-722</v>
      </c>
      <c r="G1291" s="11" t="n">
        <v>25272903.37</v>
      </c>
    </row>
    <row r="1292">
      <c r="A1292" s="11" t="n">
        <v>1291</v>
      </c>
      <c r="B1292" s="12" t="n">
        <v>46048</v>
      </c>
      <c r="C1292" s="11" t="inlineStr">
        <is>
          <t>GRAVAMEN A MOVIMIENTO FINANCIERO</t>
        </is>
      </c>
      <c r="D1292" s="11" t="inlineStr">
        <is>
          <t>ORITO</t>
        </is>
      </c>
      <c r="E1292" s="11" t="inlineStr">
        <is>
          <t>00000000</t>
        </is>
      </c>
      <c r="F1292" s="13" t="n">
        <v>-3</v>
      </c>
      <c r="G1292" s="11" t="n">
        <v>25272900.37</v>
      </c>
    </row>
    <row r="1293">
      <c r="A1293" s="11" t="n">
        <v>1292</v>
      </c>
      <c r="B1293" s="12" t="n">
        <v>46048</v>
      </c>
      <c r="C1293" s="11" t="inlineStr">
        <is>
          <t>CONSIGNACION CREDIBANCO D E</t>
        </is>
      </c>
      <c r="D1293" s="11" t="inlineStr">
        <is>
          <t>ORITO</t>
        </is>
      </c>
      <c r="E1293" s="11" t="inlineStr">
        <is>
          <t>00000000</t>
        </is>
      </c>
      <c r="F1293" s="13" t="n">
        <v>28000</v>
      </c>
      <c r="G1293" s="11" t="n">
        <v>25300900.37</v>
      </c>
    </row>
    <row r="1294">
      <c r="A1294" s="11" t="n">
        <v>1293</v>
      </c>
      <c r="B1294" s="12" t="n">
        <v>46048</v>
      </c>
      <c r="C1294" s="11" t="inlineStr">
        <is>
          <t>COBRO COMISION DEPOSITOS ELECTRONICOS</t>
        </is>
      </c>
      <c r="D1294" s="11" t="inlineStr">
        <is>
          <t>ORITO</t>
        </is>
      </c>
      <c r="E1294" s="11" t="inlineStr">
        <is>
          <t>00000000</t>
        </is>
      </c>
      <c r="F1294" s="13" t="n">
        <v>-605</v>
      </c>
      <c r="G1294" s="11" t="n">
        <v>25300295.37</v>
      </c>
    </row>
    <row r="1295">
      <c r="A1295" s="11" t="n">
        <v>1294</v>
      </c>
      <c r="B1295" s="12" t="n">
        <v>46048</v>
      </c>
      <c r="C1295" s="11" t="inlineStr">
        <is>
          <t>GRAVAMEN A MOVIMIENTO FINANCIERO</t>
        </is>
      </c>
      <c r="D1295" s="11" t="inlineStr">
        <is>
          <t>ORITO</t>
        </is>
      </c>
      <c r="E1295" s="11" t="inlineStr">
        <is>
          <t>00000000</t>
        </is>
      </c>
      <c r="F1295" s="13" t="n">
        <v>-2</v>
      </c>
      <c r="G1295" s="11" t="n">
        <v>25300293.37</v>
      </c>
    </row>
    <row r="1296">
      <c r="A1296" s="11" t="n">
        <v>1295</v>
      </c>
      <c r="B1296" s="12" t="n">
        <v>46048</v>
      </c>
      <c r="C1296" s="11" t="inlineStr">
        <is>
          <t>RETEFUENTE D E Y VOUCHER CREDIBANCO</t>
        </is>
      </c>
      <c r="D1296" s="11" t="inlineStr">
        <is>
          <t>ORITO</t>
        </is>
      </c>
      <c r="E1296" s="11" t="inlineStr">
        <is>
          <t>00000000</t>
        </is>
      </c>
      <c r="F1296" s="13" t="n">
        <v>-420</v>
      </c>
      <c r="G1296" s="11" t="n">
        <v>25299873.37</v>
      </c>
    </row>
    <row r="1297">
      <c r="A1297" s="11" t="n">
        <v>1296</v>
      </c>
      <c r="B1297" s="12" t="n">
        <v>46048</v>
      </c>
      <c r="C1297" s="11" t="inlineStr">
        <is>
          <t>GRAVAMEN A MOVIMIENTO FINANCIERO</t>
        </is>
      </c>
      <c r="D1297" s="11" t="inlineStr">
        <is>
          <t>ORITO</t>
        </is>
      </c>
      <c r="E1297" s="11" t="inlineStr">
        <is>
          <t>00000000</t>
        </is>
      </c>
      <c r="F1297" s="13" t="n">
        <v>-2</v>
      </c>
      <c r="G1297" s="11" t="n">
        <v>25299871.37</v>
      </c>
    </row>
    <row r="1298">
      <c r="A1298" s="11" t="n">
        <v>1297</v>
      </c>
      <c r="B1298" s="12" t="n">
        <v>46048</v>
      </c>
      <c r="C1298" s="11" t="inlineStr">
        <is>
          <t>CONSIGNACION CREDIBANCO D E</t>
        </is>
      </c>
      <c r="D1298" s="11" t="inlineStr">
        <is>
          <t>ORITO</t>
        </is>
      </c>
      <c r="E1298" s="11" t="inlineStr">
        <is>
          <t>00000000</t>
        </is>
      </c>
      <c r="F1298" s="13" t="n">
        <v>39900</v>
      </c>
      <c r="G1298" s="11" t="n">
        <v>25339771.37</v>
      </c>
    </row>
    <row r="1299">
      <c r="A1299" s="11" t="n">
        <v>1298</v>
      </c>
      <c r="B1299" s="12" t="n">
        <v>46048</v>
      </c>
      <c r="C1299" s="11" t="inlineStr">
        <is>
          <t>COBRO COMISION DEPOSITOS ELECTRONICOS</t>
        </is>
      </c>
      <c r="D1299" s="11" t="inlineStr">
        <is>
          <t>ORITO</t>
        </is>
      </c>
      <c r="E1299" s="11" t="inlineStr">
        <is>
          <t>00000000</t>
        </is>
      </c>
      <c r="F1299" s="13" t="n">
        <v>-822</v>
      </c>
      <c r="G1299" s="11" t="n">
        <v>25338949.37</v>
      </c>
    </row>
    <row r="1300">
      <c r="A1300" s="11" t="n">
        <v>1299</v>
      </c>
      <c r="B1300" s="12" t="n">
        <v>46048</v>
      </c>
      <c r="C1300" s="11" t="inlineStr">
        <is>
          <t>GRAVAMEN A MOVIMIENTO FINANCIERO</t>
        </is>
      </c>
      <c r="D1300" s="11" t="inlineStr">
        <is>
          <t>ORITO</t>
        </is>
      </c>
      <c r="E1300" s="11" t="inlineStr">
        <is>
          <t>00000000</t>
        </is>
      </c>
      <c r="F1300" s="13" t="n">
        <v>-3</v>
      </c>
      <c r="G1300" s="11" t="n">
        <v>25338946.37</v>
      </c>
    </row>
    <row r="1301">
      <c r="A1301" s="11" t="n">
        <v>1300</v>
      </c>
      <c r="B1301" s="12" t="n">
        <v>46048</v>
      </c>
      <c r="C1301" s="11" t="inlineStr">
        <is>
          <t>RETEFUENTE D E Y VOUCHER CREDIBANCO</t>
        </is>
      </c>
      <c r="D1301" s="11" t="inlineStr">
        <is>
          <t>ORITO</t>
        </is>
      </c>
      <c r="E1301" s="11" t="inlineStr">
        <is>
          <t>00000000</t>
        </is>
      </c>
      <c r="F1301" s="13" t="n">
        <v>-599</v>
      </c>
      <c r="G1301" s="11" t="n">
        <v>25338347.37</v>
      </c>
    </row>
    <row r="1302">
      <c r="A1302" s="11" t="n">
        <v>1301</v>
      </c>
      <c r="B1302" s="12" t="n">
        <v>46048</v>
      </c>
      <c r="C1302" s="11" t="inlineStr">
        <is>
          <t>GRAVAMEN A MOVIMIENTO FINANCIERO</t>
        </is>
      </c>
      <c r="D1302" s="11" t="inlineStr">
        <is>
          <t>ORITO</t>
        </is>
      </c>
      <c r="E1302" s="11" t="inlineStr">
        <is>
          <t>00000000</t>
        </is>
      </c>
      <c r="F1302" s="13" t="n">
        <v>-2</v>
      </c>
      <c r="G1302" s="11" t="n">
        <v>25338345.37</v>
      </c>
    </row>
    <row r="1303">
      <c r="A1303" s="11" t="n">
        <v>1302</v>
      </c>
      <c r="B1303" s="12" t="n">
        <v>46048</v>
      </c>
      <c r="C1303" s="11" t="inlineStr">
        <is>
          <t>CONSIGNACION CREDIBANCO D E</t>
        </is>
      </c>
      <c r="D1303" s="11" t="inlineStr">
        <is>
          <t>ORITO</t>
        </is>
      </c>
      <c r="E1303" s="11" t="inlineStr">
        <is>
          <t>00000000</t>
        </is>
      </c>
      <c r="F1303" s="13" t="n">
        <v>43500</v>
      </c>
      <c r="G1303" s="11" t="n">
        <v>25381845.37</v>
      </c>
    </row>
    <row r="1304">
      <c r="A1304" s="11" t="n">
        <v>1303</v>
      </c>
      <c r="B1304" s="12" t="n">
        <v>46048</v>
      </c>
      <c r="C1304" s="11" t="inlineStr">
        <is>
          <t>COBRO COMISION DEPOSITOS ELECTRONICOS</t>
        </is>
      </c>
      <c r="D1304" s="11" t="inlineStr">
        <is>
          <t>ORITO</t>
        </is>
      </c>
      <c r="E1304" s="11" t="inlineStr">
        <is>
          <t>00000000</t>
        </is>
      </c>
      <c r="F1304" s="13" t="n">
        <v>-896</v>
      </c>
      <c r="G1304" s="11" t="n">
        <v>25380949.37</v>
      </c>
    </row>
    <row r="1305">
      <c r="A1305" s="11" t="n">
        <v>1304</v>
      </c>
      <c r="B1305" s="12" t="n">
        <v>46048</v>
      </c>
      <c r="C1305" s="11" t="inlineStr">
        <is>
          <t>GRAVAMEN A MOVIMIENTO FINANCIERO</t>
        </is>
      </c>
      <c r="D1305" s="11" t="inlineStr">
        <is>
          <t>ORITO</t>
        </is>
      </c>
      <c r="E1305" s="11" t="inlineStr">
        <is>
          <t>00000000</t>
        </is>
      </c>
      <c r="F1305" s="13" t="n">
        <v>-4</v>
      </c>
      <c r="G1305" s="11" t="n">
        <v>25380945.37</v>
      </c>
    </row>
    <row r="1306">
      <c r="A1306" s="11" t="n">
        <v>1305</v>
      </c>
      <c r="B1306" s="12" t="n">
        <v>46048</v>
      </c>
      <c r="C1306" s="11" t="inlineStr">
        <is>
          <t>RETEFUENTE D E Y VOUCHER CREDIBANCO</t>
        </is>
      </c>
      <c r="D1306" s="11" t="inlineStr">
        <is>
          <t>ORITO</t>
        </is>
      </c>
      <c r="E1306" s="11" t="inlineStr">
        <is>
          <t>00000000</t>
        </is>
      </c>
      <c r="F1306" s="13" t="n">
        <v>-653</v>
      </c>
      <c r="G1306" s="11" t="n">
        <v>25380292.37</v>
      </c>
    </row>
    <row r="1307">
      <c r="A1307" s="11" t="n">
        <v>1306</v>
      </c>
      <c r="B1307" s="12" t="n">
        <v>46048</v>
      </c>
      <c r="C1307" s="11" t="inlineStr">
        <is>
          <t>GRAVAMEN A MOVIMIENTO FINANCIERO</t>
        </is>
      </c>
      <c r="D1307" s="11" t="inlineStr">
        <is>
          <t>ORITO</t>
        </is>
      </c>
      <c r="E1307" s="11" t="inlineStr">
        <is>
          <t>00000000</t>
        </is>
      </c>
      <c r="F1307" s="13" t="n">
        <v>-3</v>
      </c>
      <c r="G1307" s="11" t="n">
        <v>25380289.37</v>
      </c>
    </row>
    <row r="1308">
      <c r="A1308" s="11" t="n">
        <v>1307</v>
      </c>
      <c r="B1308" s="12" t="n">
        <v>46048</v>
      </c>
      <c r="C1308" s="11" t="inlineStr">
        <is>
          <t>CONSIGNACION CREDIBANCO D E</t>
        </is>
      </c>
      <c r="D1308" s="11" t="inlineStr">
        <is>
          <t>ORITO</t>
        </is>
      </c>
      <c r="E1308" s="11" t="inlineStr">
        <is>
          <t>00000000</t>
        </is>
      </c>
      <c r="F1308" s="13" t="n">
        <v>45600</v>
      </c>
      <c r="G1308" s="11" t="n">
        <v>25425889.37</v>
      </c>
    </row>
    <row r="1309">
      <c r="A1309" s="11" t="n">
        <v>1308</v>
      </c>
      <c r="B1309" s="12" t="n">
        <v>46048</v>
      </c>
      <c r="C1309" s="11" t="inlineStr">
        <is>
          <t>COBRO COMISION DEPOSITOS ELECTRONICOS</t>
        </is>
      </c>
      <c r="D1309" s="11" t="inlineStr">
        <is>
          <t>ORITO</t>
        </is>
      </c>
      <c r="E1309" s="11" t="inlineStr">
        <is>
          <t>00000000</t>
        </is>
      </c>
      <c r="F1309" s="13" t="n">
        <v>-939</v>
      </c>
      <c r="G1309" s="11" t="n">
        <v>25424950.37</v>
      </c>
    </row>
    <row r="1310">
      <c r="A1310" s="11" t="n">
        <v>1309</v>
      </c>
      <c r="B1310" s="12" t="n">
        <v>46048</v>
      </c>
      <c r="C1310" s="11" t="inlineStr">
        <is>
          <t>GRAVAMEN A MOVIMIENTO FINANCIERO</t>
        </is>
      </c>
      <c r="D1310" s="11" t="inlineStr">
        <is>
          <t>ORITO</t>
        </is>
      </c>
      <c r="E1310" s="11" t="inlineStr">
        <is>
          <t>00000000</t>
        </is>
      </c>
      <c r="F1310" s="13" t="n">
        <v>-4</v>
      </c>
      <c r="G1310" s="11" t="n">
        <v>25424946.37</v>
      </c>
    </row>
    <row r="1311">
      <c r="A1311" s="11" t="n">
        <v>1310</v>
      </c>
      <c r="B1311" s="12" t="n">
        <v>46048</v>
      </c>
      <c r="C1311" s="11" t="inlineStr">
        <is>
          <t>RETEFUENTE D E Y VOUCHER CREDIBANCO</t>
        </is>
      </c>
      <c r="D1311" s="11" t="inlineStr">
        <is>
          <t>ORITO</t>
        </is>
      </c>
      <c r="E1311" s="11" t="inlineStr">
        <is>
          <t>00000000</t>
        </is>
      </c>
      <c r="F1311" s="13" t="n">
        <v>-684</v>
      </c>
      <c r="G1311" s="11" t="n">
        <v>25424262.37</v>
      </c>
    </row>
    <row r="1312">
      <c r="A1312" s="11" t="n">
        <v>1311</v>
      </c>
      <c r="B1312" s="12" t="n">
        <v>46048</v>
      </c>
      <c r="C1312" s="11" t="inlineStr">
        <is>
          <t>GRAVAMEN A MOVIMIENTO FINANCIERO</t>
        </is>
      </c>
      <c r="D1312" s="11" t="inlineStr">
        <is>
          <t>ORITO</t>
        </is>
      </c>
      <c r="E1312" s="11" t="inlineStr">
        <is>
          <t>00000000</t>
        </is>
      </c>
      <c r="F1312" s="13" t="n">
        <v>-3</v>
      </c>
      <c r="G1312" s="11" t="n">
        <v>25424259.37</v>
      </c>
    </row>
    <row r="1313">
      <c r="A1313" s="11" t="n">
        <v>1312</v>
      </c>
      <c r="B1313" s="12" t="n">
        <v>46048</v>
      </c>
      <c r="C1313" s="11" t="inlineStr">
        <is>
          <t>CONSIGNACION CREDIBANCO D E</t>
        </is>
      </c>
      <c r="D1313" s="11" t="inlineStr">
        <is>
          <t>ORITO</t>
        </is>
      </c>
      <c r="E1313" s="11" t="inlineStr">
        <is>
          <t>00000000</t>
        </is>
      </c>
      <c r="F1313" s="13" t="n">
        <v>59500</v>
      </c>
      <c r="G1313" s="11" t="n">
        <v>25483759.37</v>
      </c>
    </row>
    <row r="1314">
      <c r="A1314" s="11" t="n">
        <v>1313</v>
      </c>
      <c r="B1314" s="12" t="n">
        <v>46048</v>
      </c>
      <c r="C1314" s="11" t="inlineStr">
        <is>
          <t>COBRO COMISION DEPOSITOS ELECTRONICOS</t>
        </is>
      </c>
      <c r="D1314" s="11" t="inlineStr">
        <is>
          <t>ORITO</t>
        </is>
      </c>
      <c r="E1314" s="11" t="inlineStr">
        <is>
          <t>00000000</t>
        </is>
      </c>
      <c r="F1314" s="13" t="n">
        <v>-1285</v>
      </c>
      <c r="G1314" s="11" t="n">
        <v>25482474.37</v>
      </c>
    </row>
    <row r="1315">
      <c r="A1315" s="11" t="n">
        <v>1314</v>
      </c>
      <c r="B1315" s="12" t="n">
        <v>46048</v>
      </c>
      <c r="C1315" s="11" t="inlineStr">
        <is>
          <t>GRAVAMEN A MOVIMIENTO FINANCIERO</t>
        </is>
      </c>
      <c r="D1315" s="11" t="inlineStr">
        <is>
          <t>ORITO</t>
        </is>
      </c>
      <c r="E1315" s="11" t="inlineStr">
        <is>
          <t>00000000</t>
        </is>
      </c>
      <c r="F1315" s="13" t="n">
        <v>-5</v>
      </c>
      <c r="G1315" s="11" t="n">
        <v>25482469.37</v>
      </c>
    </row>
    <row r="1316">
      <c r="A1316" s="11" t="n">
        <v>1315</v>
      </c>
      <c r="B1316" s="12" t="n">
        <v>46048</v>
      </c>
      <c r="C1316" s="11" t="inlineStr">
        <is>
          <t>RETEFUENTE D E Y VOUCHER CREDIBANCO</t>
        </is>
      </c>
      <c r="D1316" s="11" t="inlineStr">
        <is>
          <t>ORITO</t>
        </is>
      </c>
      <c r="E1316" s="11" t="inlineStr">
        <is>
          <t>00000000</t>
        </is>
      </c>
      <c r="F1316" s="13" t="n">
        <v>-893</v>
      </c>
      <c r="G1316" s="11" t="n">
        <v>25481576.37</v>
      </c>
    </row>
    <row r="1317">
      <c r="A1317" s="11" t="n">
        <v>1316</v>
      </c>
      <c r="B1317" s="12" t="n">
        <v>46048</v>
      </c>
      <c r="C1317" s="11" t="inlineStr">
        <is>
          <t>GRAVAMEN A MOVIMIENTO FINANCIERO</t>
        </is>
      </c>
      <c r="D1317" s="11" t="inlineStr">
        <is>
          <t>ORITO</t>
        </is>
      </c>
      <c r="E1317" s="11" t="inlineStr">
        <is>
          <t>00000000</t>
        </is>
      </c>
      <c r="F1317" s="13" t="n">
        <v>-4</v>
      </c>
      <c r="G1317" s="11" t="n">
        <v>25481572.37</v>
      </c>
    </row>
    <row r="1318">
      <c r="A1318" s="11" t="n">
        <v>1317</v>
      </c>
      <c r="B1318" s="12" t="n">
        <v>46048</v>
      </c>
      <c r="C1318" s="11" t="inlineStr">
        <is>
          <t>CONSIGNACION CREDIBANCO D E</t>
        </is>
      </c>
      <c r="D1318" s="11" t="inlineStr">
        <is>
          <t>ORITO</t>
        </is>
      </c>
      <c r="E1318" s="11" t="inlineStr">
        <is>
          <t>00000000</t>
        </is>
      </c>
      <c r="F1318" s="13" t="n">
        <v>31200</v>
      </c>
      <c r="G1318" s="11" t="n">
        <v>25512772.37</v>
      </c>
    </row>
    <row r="1319">
      <c r="A1319" s="11" t="n">
        <v>1318</v>
      </c>
      <c r="B1319" s="12" t="n">
        <v>46048</v>
      </c>
      <c r="C1319" s="11" t="inlineStr">
        <is>
          <t>COBRO COMISION DEPOSITOS ELECTRONICOS</t>
        </is>
      </c>
      <c r="D1319" s="11" t="inlineStr">
        <is>
          <t>ORITO</t>
        </is>
      </c>
      <c r="E1319" s="11" t="inlineStr">
        <is>
          <t>00000000</t>
        </is>
      </c>
      <c r="F1319" s="13" t="n">
        <v>-674</v>
      </c>
      <c r="G1319" s="11" t="n">
        <v>25512098.37</v>
      </c>
    </row>
    <row r="1320">
      <c r="A1320" s="11" t="n">
        <v>1319</v>
      </c>
      <c r="B1320" s="12" t="n">
        <v>46048</v>
      </c>
      <c r="C1320" s="11" t="inlineStr">
        <is>
          <t>GRAVAMEN A MOVIMIENTO FINANCIERO</t>
        </is>
      </c>
      <c r="D1320" s="11" t="inlineStr">
        <is>
          <t>ORITO</t>
        </is>
      </c>
      <c r="E1320" s="11" t="inlineStr">
        <is>
          <t>00000000</t>
        </is>
      </c>
      <c r="F1320" s="13" t="n">
        <v>-3</v>
      </c>
      <c r="G1320" s="11" t="n">
        <v>25512095.37</v>
      </c>
    </row>
    <row r="1321">
      <c r="A1321" s="11" t="n">
        <v>1320</v>
      </c>
      <c r="B1321" s="12" t="n">
        <v>46048</v>
      </c>
      <c r="C1321" s="11" t="inlineStr">
        <is>
          <t>RETEFUENTE D E Y VOUCHER CREDIBANCO</t>
        </is>
      </c>
      <c r="D1321" s="11" t="inlineStr">
        <is>
          <t>ORITO</t>
        </is>
      </c>
      <c r="E1321" s="11" t="inlineStr">
        <is>
          <t>00000000</t>
        </is>
      </c>
      <c r="F1321" s="13" t="n">
        <v>-468</v>
      </c>
      <c r="G1321" s="11" t="n">
        <v>25511627.37</v>
      </c>
    </row>
    <row r="1322">
      <c r="A1322" s="11" t="n">
        <v>1321</v>
      </c>
      <c r="B1322" s="12" t="n">
        <v>46048</v>
      </c>
      <c r="C1322" s="11" t="inlineStr">
        <is>
          <t>GRAVAMEN A MOVIMIENTO FINANCIERO</t>
        </is>
      </c>
      <c r="D1322" s="11" t="inlineStr">
        <is>
          <t>ORITO</t>
        </is>
      </c>
      <c r="E1322" s="11" t="inlineStr">
        <is>
          <t>00000000</t>
        </is>
      </c>
      <c r="F1322" s="13" t="n">
        <v>-2</v>
      </c>
      <c r="G1322" s="11" t="n">
        <v>25511625.37</v>
      </c>
    </row>
    <row r="1323">
      <c r="A1323" s="11" t="n">
        <v>1322</v>
      </c>
      <c r="B1323" s="12" t="n">
        <v>46048</v>
      </c>
      <c r="C1323" s="11" t="inlineStr">
        <is>
          <t>CONSIGNACION CREDIBANCO D E</t>
        </is>
      </c>
      <c r="D1323" s="11" t="inlineStr">
        <is>
          <t>ORITO</t>
        </is>
      </c>
      <c r="E1323" s="11" t="inlineStr">
        <is>
          <t>00000000</t>
        </is>
      </c>
      <c r="F1323" s="13" t="n">
        <v>45400</v>
      </c>
      <c r="G1323" s="11" t="n">
        <v>25557025.37</v>
      </c>
    </row>
    <row r="1324">
      <c r="A1324" s="11" t="n">
        <v>1323</v>
      </c>
      <c r="B1324" s="12" t="n">
        <v>46048</v>
      </c>
      <c r="C1324" s="11" t="inlineStr">
        <is>
          <t>COBRO COMISION DEPOSITOS ELECTRONICOS</t>
        </is>
      </c>
      <c r="D1324" s="11" t="inlineStr">
        <is>
          <t>ORITO</t>
        </is>
      </c>
      <c r="E1324" s="11" t="inlineStr">
        <is>
          <t>00000000</t>
        </is>
      </c>
      <c r="F1324" s="13" t="n">
        <v>-994</v>
      </c>
      <c r="G1324" s="11" t="n">
        <v>25556031.37</v>
      </c>
    </row>
    <row r="1325">
      <c r="A1325" s="11" t="n">
        <v>1324</v>
      </c>
      <c r="B1325" s="12" t="n">
        <v>46048</v>
      </c>
      <c r="C1325" s="11" t="inlineStr">
        <is>
          <t>GRAVAMEN A MOVIMIENTO FINANCIERO</t>
        </is>
      </c>
      <c r="D1325" s="11" t="inlineStr">
        <is>
          <t>ORITO</t>
        </is>
      </c>
      <c r="E1325" s="11" t="inlineStr">
        <is>
          <t>00000000</t>
        </is>
      </c>
      <c r="F1325" s="13" t="n">
        <v>-4</v>
      </c>
      <c r="G1325" s="11" t="n">
        <v>25556027.37</v>
      </c>
    </row>
    <row r="1326">
      <c r="A1326" s="11" t="n">
        <v>1325</v>
      </c>
      <c r="B1326" s="12" t="n">
        <v>46048</v>
      </c>
      <c r="C1326" s="11" t="inlineStr">
        <is>
          <t>RETEFUENTE D E Y VOUCHER CREDIBANCO</t>
        </is>
      </c>
      <c r="D1326" s="11" t="inlineStr">
        <is>
          <t>ORITO</t>
        </is>
      </c>
      <c r="E1326" s="11" t="inlineStr">
        <is>
          <t>00000000</t>
        </is>
      </c>
      <c r="F1326" s="13" t="n">
        <v>-681</v>
      </c>
      <c r="G1326" s="11" t="n">
        <v>25555346.37</v>
      </c>
    </row>
    <row r="1327">
      <c r="A1327" s="11" t="n">
        <v>1326</v>
      </c>
      <c r="B1327" s="12" t="n">
        <v>46048</v>
      </c>
      <c r="C1327" s="11" t="inlineStr">
        <is>
          <t>GRAVAMEN A MOVIMIENTO FINANCIERO</t>
        </is>
      </c>
      <c r="D1327" s="11" t="inlineStr">
        <is>
          <t>ORITO</t>
        </is>
      </c>
      <c r="E1327" s="11" t="inlineStr">
        <is>
          <t>00000000</t>
        </is>
      </c>
      <c r="F1327" s="13" t="n">
        <v>-3</v>
      </c>
      <c r="G1327" s="11" t="n">
        <v>25555343.37</v>
      </c>
    </row>
    <row r="1328">
      <c r="A1328" s="11" t="n">
        <v>1327</v>
      </c>
      <c r="B1328" s="12" t="n">
        <v>46048</v>
      </c>
      <c r="C1328" s="11" t="inlineStr">
        <is>
          <t>CONSIGNACION CREDIBANCO D E</t>
        </is>
      </c>
      <c r="D1328" s="11" t="inlineStr">
        <is>
          <t>ORITO</t>
        </is>
      </c>
      <c r="E1328" s="11" t="inlineStr">
        <is>
          <t>00000000</t>
        </is>
      </c>
      <c r="F1328" s="13" t="n">
        <v>30900</v>
      </c>
      <c r="G1328" s="11" t="n">
        <v>25586243.37</v>
      </c>
    </row>
    <row r="1329">
      <c r="A1329" s="11" t="n">
        <v>1328</v>
      </c>
      <c r="B1329" s="12" t="n">
        <v>46048</v>
      </c>
      <c r="C1329" s="11" t="inlineStr">
        <is>
          <t>COBRO COMISION DEPOSITOS ELECTRONICOS</t>
        </is>
      </c>
      <c r="D1329" s="11" t="inlineStr">
        <is>
          <t>ORITO</t>
        </is>
      </c>
      <c r="E1329" s="11" t="inlineStr">
        <is>
          <t>00000000</t>
        </is>
      </c>
      <c r="F1329" s="13" t="n">
        <v>-677</v>
      </c>
      <c r="G1329" s="11" t="n">
        <v>25585566.37</v>
      </c>
    </row>
    <row r="1330">
      <c r="A1330" s="11" t="n">
        <v>1329</v>
      </c>
      <c r="B1330" s="12" t="n">
        <v>46048</v>
      </c>
      <c r="C1330" s="11" t="inlineStr">
        <is>
          <t>GRAVAMEN A MOVIMIENTO FINANCIERO</t>
        </is>
      </c>
      <c r="D1330" s="11" t="inlineStr">
        <is>
          <t>ORITO</t>
        </is>
      </c>
      <c r="E1330" s="11" t="inlineStr">
        <is>
          <t>00000000</t>
        </is>
      </c>
      <c r="F1330" s="13" t="n">
        <v>-3</v>
      </c>
      <c r="G1330" s="11" t="n">
        <v>25585563.37</v>
      </c>
    </row>
    <row r="1331">
      <c r="A1331" s="11" t="n">
        <v>1330</v>
      </c>
      <c r="B1331" s="12" t="n">
        <v>46048</v>
      </c>
      <c r="C1331" s="11" t="inlineStr">
        <is>
          <t>RETEFUENTE D E Y VOUCHER CREDIBANCO</t>
        </is>
      </c>
      <c r="D1331" s="11" t="inlineStr">
        <is>
          <t>ORITO</t>
        </is>
      </c>
      <c r="E1331" s="11" t="inlineStr">
        <is>
          <t>00000000</t>
        </is>
      </c>
      <c r="F1331" s="13" t="n">
        <v>-464</v>
      </c>
      <c r="G1331" s="11" t="n">
        <v>25585099.37</v>
      </c>
    </row>
    <row r="1332">
      <c r="A1332" s="11" t="n">
        <v>1331</v>
      </c>
      <c r="B1332" s="12" t="n">
        <v>46048</v>
      </c>
      <c r="C1332" s="11" t="inlineStr">
        <is>
          <t>GRAVAMEN A MOVIMIENTO FINANCIERO</t>
        </is>
      </c>
      <c r="D1332" s="11" t="inlineStr">
        <is>
          <t>ORITO</t>
        </is>
      </c>
      <c r="E1332" s="11" t="inlineStr">
        <is>
          <t>00000000</t>
        </is>
      </c>
      <c r="F1332" s="13" t="n">
        <v>-2</v>
      </c>
      <c r="G1332" s="11" t="n">
        <v>25585097.37</v>
      </c>
    </row>
    <row r="1333">
      <c r="A1333" s="11" t="n">
        <v>1332</v>
      </c>
      <c r="B1333" s="12" t="n">
        <v>46048</v>
      </c>
      <c r="C1333" s="11" t="inlineStr">
        <is>
          <t>CONSIGNACION CREDIBANCO D E</t>
        </is>
      </c>
      <c r="D1333" s="11" t="inlineStr">
        <is>
          <t>ORITO</t>
        </is>
      </c>
      <c r="E1333" s="11" t="inlineStr">
        <is>
          <t>00000000</t>
        </is>
      </c>
      <c r="F1333" s="13" t="n">
        <v>117000</v>
      </c>
      <c r="G1333" s="11" t="n">
        <v>25702097.37</v>
      </c>
    </row>
    <row r="1334">
      <c r="A1334" s="11" t="n">
        <v>1333</v>
      </c>
      <c r="B1334" s="12" t="n">
        <v>46048</v>
      </c>
      <c r="C1334" s="11" t="inlineStr">
        <is>
          <t>COBRO COMISION DEPOSITOS ELECTRONICOS</t>
        </is>
      </c>
      <c r="D1334" s="11" t="inlineStr">
        <is>
          <t>ORITO</t>
        </is>
      </c>
      <c r="E1334" s="11" t="inlineStr">
        <is>
          <t>00000000</t>
        </is>
      </c>
      <c r="F1334" s="13" t="n">
        <v>-2410</v>
      </c>
      <c r="G1334" s="11" t="n">
        <v>25699687.37</v>
      </c>
    </row>
    <row r="1335">
      <c r="A1335" s="11" t="n">
        <v>1334</v>
      </c>
      <c r="B1335" s="12" t="n">
        <v>46048</v>
      </c>
      <c r="C1335" s="11" t="inlineStr">
        <is>
          <t>GRAVAMEN A MOVIMIENTO FINANCIERO</t>
        </is>
      </c>
      <c r="D1335" s="11" t="inlineStr">
        <is>
          <t>ORITO</t>
        </is>
      </c>
      <c r="E1335" s="11" t="inlineStr">
        <is>
          <t>00000000</t>
        </is>
      </c>
      <c r="F1335" s="13" t="n">
        <v>-10</v>
      </c>
      <c r="G1335" s="11" t="n">
        <v>25699677.37</v>
      </c>
    </row>
    <row r="1336">
      <c r="A1336" s="11" t="n">
        <v>1335</v>
      </c>
      <c r="B1336" s="12" t="n">
        <v>46048</v>
      </c>
      <c r="C1336" s="11" t="inlineStr">
        <is>
          <t>RETEFUENTE D E Y VOUCHER CREDIBANCO</t>
        </is>
      </c>
      <c r="D1336" s="11" t="inlineStr">
        <is>
          <t>ORITO</t>
        </is>
      </c>
      <c r="E1336" s="11" t="inlineStr">
        <is>
          <t>00000000</t>
        </is>
      </c>
      <c r="F1336" s="13" t="n">
        <v>-1755</v>
      </c>
      <c r="G1336" s="11" t="n">
        <v>25697922.37</v>
      </c>
    </row>
    <row r="1337">
      <c r="A1337" s="11" t="n">
        <v>1336</v>
      </c>
      <c r="B1337" s="12" t="n">
        <v>46048</v>
      </c>
      <c r="C1337" s="11" t="inlineStr">
        <is>
          <t>GRAVAMEN A MOVIMIENTO FINANCIERO</t>
        </is>
      </c>
      <c r="D1337" s="11" t="inlineStr">
        <is>
          <t>ORITO</t>
        </is>
      </c>
      <c r="E1337" s="11" t="inlineStr">
        <is>
          <t>00000000</t>
        </is>
      </c>
      <c r="F1337" s="13" t="n">
        <v>-7</v>
      </c>
      <c r="G1337" s="11" t="n">
        <v>25697915.37</v>
      </c>
    </row>
    <row r="1338">
      <c r="A1338" s="11" t="n">
        <v>1337</v>
      </c>
      <c r="B1338" s="12" t="n">
        <v>46048</v>
      </c>
      <c r="C1338" s="11" t="inlineStr">
        <is>
          <t>CONSIGNACION CREDIBANCO D E</t>
        </is>
      </c>
      <c r="D1338" s="11" t="inlineStr">
        <is>
          <t>ORITO</t>
        </is>
      </c>
      <c r="E1338" s="11" t="inlineStr">
        <is>
          <t>00000000</t>
        </is>
      </c>
      <c r="F1338" s="13" t="n">
        <v>144100</v>
      </c>
      <c r="G1338" s="11" t="n">
        <v>25842015.37</v>
      </c>
    </row>
    <row r="1339">
      <c r="A1339" s="11" t="n">
        <v>1338</v>
      </c>
      <c r="B1339" s="12" t="n">
        <v>46048</v>
      </c>
      <c r="C1339" s="11" t="inlineStr">
        <is>
          <t>COBRO COMISION DEPOSITOS ELECTRONICOS</t>
        </is>
      </c>
      <c r="D1339" s="11" t="inlineStr">
        <is>
          <t>ORITO</t>
        </is>
      </c>
      <c r="E1339" s="11" t="inlineStr">
        <is>
          <t>00000000</t>
        </is>
      </c>
      <c r="F1339" s="13" t="n">
        <v>-3113</v>
      </c>
      <c r="G1339" s="11" t="n">
        <v>25838902.37</v>
      </c>
    </row>
    <row r="1340">
      <c r="A1340" s="11" t="n">
        <v>1339</v>
      </c>
      <c r="B1340" s="12" t="n">
        <v>46048</v>
      </c>
      <c r="C1340" s="11" t="inlineStr">
        <is>
          <t>GRAVAMEN A MOVIMIENTO FINANCIERO</t>
        </is>
      </c>
      <c r="D1340" s="11" t="inlineStr">
        <is>
          <t>ORITO</t>
        </is>
      </c>
      <c r="E1340" s="11" t="inlineStr">
        <is>
          <t>00000000</t>
        </is>
      </c>
      <c r="F1340" s="13" t="n">
        <v>-12</v>
      </c>
      <c r="G1340" s="11" t="n">
        <v>25838890.37</v>
      </c>
    </row>
    <row r="1341">
      <c r="A1341" s="11" t="n">
        <v>1340</v>
      </c>
      <c r="B1341" s="12" t="n">
        <v>46048</v>
      </c>
      <c r="C1341" s="11" t="inlineStr">
        <is>
          <t>RETEFUENTE D E Y VOUCHER CREDIBANCO</t>
        </is>
      </c>
      <c r="D1341" s="11" t="inlineStr">
        <is>
          <t>ORITO</t>
        </is>
      </c>
      <c r="E1341" s="11" t="inlineStr">
        <is>
          <t>00000000</t>
        </is>
      </c>
      <c r="F1341" s="13" t="n">
        <v>-2162</v>
      </c>
      <c r="G1341" s="11" t="n">
        <v>25836728.37</v>
      </c>
    </row>
    <row r="1342">
      <c r="A1342" s="11" t="n">
        <v>1341</v>
      </c>
      <c r="B1342" s="12" t="n">
        <v>46048</v>
      </c>
      <c r="C1342" s="11" t="inlineStr">
        <is>
          <t>GRAVAMEN A MOVIMIENTO FINANCIERO</t>
        </is>
      </c>
      <c r="D1342" s="11" t="inlineStr">
        <is>
          <t>ORITO</t>
        </is>
      </c>
      <c r="E1342" s="11" t="inlineStr">
        <is>
          <t>00000000</t>
        </is>
      </c>
      <c r="F1342" s="13" t="n">
        <v>-9</v>
      </c>
      <c r="G1342" s="11" t="n">
        <v>25836719.37</v>
      </c>
    </row>
    <row r="1343">
      <c r="A1343" s="11" t="n">
        <v>1342</v>
      </c>
      <c r="B1343" s="12" t="n">
        <v>46048</v>
      </c>
      <c r="C1343" s="11" t="inlineStr">
        <is>
          <t>CONSIGNACION CREDIBANCO D E</t>
        </is>
      </c>
      <c r="D1343" s="11" t="inlineStr">
        <is>
          <t>ORITO</t>
        </is>
      </c>
      <c r="E1343" s="11" t="inlineStr">
        <is>
          <t>00000000</t>
        </is>
      </c>
      <c r="F1343" s="13" t="n">
        <v>31000</v>
      </c>
      <c r="G1343" s="11" t="n">
        <v>25867719.37</v>
      </c>
    </row>
    <row r="1344">
      <c r="A1344" s="11" t="n">
        <v>1343</v>
      </c>
      <c r="B1344" s="12" t="n">
        <v>46048</v>
      </c>
      <c r="C1344" s="11" t="inlineStr">
        <is>
          <t>COBRO COMISION DEPOSITOS ELECTRONICOS</t>
        </is>
      </c>
      <c r="D1344" s="11" t="inlineStr">
        <is>
          <t>ORITO</t>
        </is>
      </c>
      <c r="E1344" s="11" t="inlineStr">
        <is>
          <t>00000000</t>
        </is>
      </c>
      <c r="F1344" s="13" t="n">
        <v>-670</v>
      </c>
      <c r="G1344" s="11" t="n">
        <v>25867049.37</v>
      </c>
    </row>
    <row r="1345">
      <c r="A1345" s="11" t="n">
        <v>1344</v>
      </c>
      <c r="B1345" s="12" t="n">
        <v>46048</v>
      </c>
      <c r="C1345" s="11" t="inlineStr">
        <is>
          <t>GRAVAMEN A MOVIMIENTO FINANCIERO</t>
        </is>
      </c>
      <c r="D1345" s="11" t="inlineStr">
        <is>
          <t>ORITO</t>
        </is>
      </c>
      <c r="E1345" s="11" t="inlineStr">
        <is>
          <t>00000000</t>
        </is>
      </c>
      <c r="F1345" s="13" t="n">
        <v>-3</v>
      </c>
      <c r="G1345" s="11" t="n">
        <v>25867046.37</v>
      </c>
    </row>
    <row r="1346">
      <c r="A1346" s="11" t="n">
        <v>1345</v>
      </c>
      <c r="B1346" s="12" t="n">
        <v>46048</v>
      </c>
      <c r="C1346" s="11" t="inlineStr">
        <is>
          <t>RETEFUENTE D E Y VOUCHER CREDIBANCO</t>
        </is>
      </c>
      <c r="D1346" s="11" t="inlineStr">
        <is>
          <t>ORITO</t>
        </is>
      </c>
      <c r="E1346" s="11" t="inlineStr">
        <is>
          <t>00000000</t>
        </is>
      </c>
      <c r="F1346" s="13" t="n">
        <v>-465</v>
      </c>
      <c r="G1346" s="11" t="n">
        <v>25866581.37</v>
      </c>
    </row>
    <row r="1347">
      <c r="A1347" s="11" t="n">
        <v>1346</v>
      </c>
      <c r="B1347" s="12" t="n">
        <v>46048</v>
      </c>
      <c r="C1347" s="11" t="inlineStr">
        <is>
          <t>GRAVAMEN A MOVIMIENTO FINANCIERO</t>
        </is>
      </c>
      <c r="D1347" s="11" t="inlineStr">
        <is>
          <t>ORITO</t>
        </is>
      </c>
      <c r="E1347" s="11" t="inlineStr">
        <is>
          <t>00000000</t>
        </is>
      </c>
      <c r="F1347" s="13" t="n">
        <v>-2</v>
      </c>
      <c r="G1347" s="11" t="n">
        <v>25866579.37</v>
      </c>
    </row>
    <row r="1348">
      <c r="A1348" s="11" t="n">
        <v>1347</v>
      </c>
      <c r="B1348" s="12" t="n">
        <v>46048</v>
      </c>
      <c r="C1348" s="11" t="inlineStr">
        <is>
          <t>CONSIGNACION CREDIBANCO D E</t>
        </is>
      </c>
      <c r="D1348" s="11" t="inlineStr">
        <is>
          <t>ORITO</t>
        </is>
      </c>
      <c r="E1348" s="11" t="inlineStr">
        <is>
          <t>00000000</t>
        </is>
      </c>
      <c r="F1348" s="13" t="n">
        <v>66500</v>
      </c>
      <c r="G1348" s="11" t="n">
        <v>25933079.37</v>
      </c>
    </row>
    <row r="1349">
      <c r="A1349" s="11" t="n">
        <v>1348</v>
      </c>
      <c r="B1349" s="12" t="n">
        <v>46048</v>
      </c>
      <c r="C1349" s="11" t="inlineStr">
        <is>
          <t>COBRO COMISION DEPOSITOS ELECTRONICOS</t>
        </is>
      </c>
      <c r="D1349" s="11" t="inlineStr">
        <is>
          <t>ORITO</t>
        </is>
      </c>
      <c r="E1349" s="11" t="inlineStr">
        <is>
          <t>00000000</t>
        </is>
      </c>
      <c r="F1349" s="13" t="n">
        <v>-1370</v>
      </c>
      <c r="G1349" s="11" t="n">
        <v>25931709.37</v>
      </c>
    </row>
    <row r="1350">
      <c r="A1350" s="11" t="n">
        <v>1349</v>
      </c>
      <c r="B1350" s="12" t="n">
        <v>46048</v>
      </c>
      <c r="C1350" s="11" t="inlineStr">
        <is>
          <t>GRAVAMEN A MOVIMIENTO FINANCIERO</t>
        </is>
      </c>
      <c r="D1350" s="11" t="inlineStr">
        <is>
          <t>ORITO</t>
        </is>
      </c>
      <c r="E1350" s="11" t="inlineStr">
        <is>
          <t>00000000</t>
        </is>
      </c>
      <c r="F1350" s="13" t="n">
        <v>-5</v>
      </c>
      <c r="G1350" s="11" t="n">
        <v>25931704.37</v>
      </c>
    </row>
    <row r="1351">
      <c r="A1351" s="11" t="n">
        <v>1350</v>
      </c>
      <c r="B1351" s="12" t="n">
        <v>46048</v>
      </c>
      <c r="C1351" s="11" t="inlineStr">
        <is>
          <t>RETEFUENTE D E Y VOUCHER CREDIBANCO</t>
        </is>
      </c>
      <c r="D1351" s="11" t="inlineStr">
        <is>
          <t>ORITO</t>
        </is>
      </c>
      <c r="E1351" s="11" t="inlineStr">
        <is>
          <t>00000000</t>
        </is>
      </c>
      <c r="F1351" s="13" t="n">
        <v>-998</v>
      </c>
      <c r="G1351" s="11" t="n">
        <v>25930706.37</v>
      </c>
    </row>
    <row r="1352">
      <c r="A1352" s="11" t="n">
        <v>1351</v>
      </c>
      <c r="B1352" s="12" t="n">
        <v>46048</v>
      </c>
      <c r="C1352" s="11" t="inlineStr">
        <is>
          <t>GRAVAMEN A MOVIMIENTO FINANCIERO</t>
        </is>
      </c>
      <c r="D1352" s="11" t="inlineStr">
        <is>
          <t>ORITO</t>
        </is>
      </c>
      <c r="E1352" s="11" t="inlineStr">
        <is>
          <t>00000000</t>
        </is>
      </c>
      <c r="F1352" s="13" t="n">
        <v>-4</v>
      </c>
      <c r="G1352" s="11" t="n">
        <v>25930702.37</v>
      </c>
    </row>
    <row r="1353">
      <c r="A1353" s="11" t="n">
        <v>1352</v>
      </c>
      <c r="B1353" s="12" t="n">
        <v>46048</v>
      </c>
      <c r="C1353" s="11" t="inlineStr">
        <is>
          <t>CONSIGNACION CREDIBANCO D E</t>
        </is>
      </c>
      <c r="D1353" s="11" t="inlineStr">
        <is>
          <t>ORITO</t>
        </is>
      </c>
      <c r="E1353" s="11" t="inlineStr">
        <is>
          <t>00000000</t>
        </is>
      </c>
      <c r="F1353" s="13" t="n">
        <v>35918</v>
      </c>
      <c r="G1353" s="11" t="n">
        <v>25966620.37</v>
      </c>
    </row>
    <row r="1354">
      <c r="A1354" s="11" t="n">
        <v>1353</v>
      </c>
      <c r="B1354" s="12" t="n">
        <v>46048</v>
      </c>
      <c r="C1354" s="11" t="inlineStr">
        <is>
          <t>COBRO COMISION DEPOSITOS ELECTRONICOS</t>
        </is>
      </c>
      <c r="D1354" s="11" t="inlineStr">
        <is>
          <t>ORITO</t>
        </is>
      </c>
      <c r="E1354" s="11" t="inlineStr">
        <is>
          <t>00000000</t>
        </is>
      </c>
      <c r="F1354" s="13" t="n">
        <v>-776</v>
      </c>
      <c r="G1354" s="11" t="n">
        <v>25965844.37</v>
      </c>
    </row>
    <row r="1355">
      <c r="A1355" s="11" t="n">
        <v>1354</v>
      </c>
      <c r="B1355" s="12" t="n">
        <v>46048</v>
      </c>
      <c r="C1355" s="11" t="inlineStr">
        <is>
          <t>GRAVAMEN A MOVIMIENTO FINANCIERO</t>
        </is>
      </c>
      <c r="D1355" s="11" t="inlineStr">
        <is>
          <t>ORITO</t>
        </is>
      </c>
      <c r="E1355" s="11" t="inlineStr">
        <is>
          <t>00000000</t>
        </is>
      </c>
      <c r="F1355" s="13" t="n">
        <v>-3</v>
      </c>
      <c r="G1355" s="11" t="n">
        <v>25965841.37</v>
      </c>
    </row>
    <row r="1356">
      <c r="A1356" s="11" t="n">
        <v>1355</v>
      </c>
      <c r="B1356" s="12" t="n">
        <v>46048</v>
      </c>
      <c r="C1356" s="11" t="inlineStr">
        <is>
          <t>RETEFUENTE D E Y VOUCHER CREDIBANCO</t>
        </is>
      </c>
      <c r="D1356" s="11" t="inlineStr">
        <is>
          <t>ORITO</t>
        </is>
      </c>
      <c r="E1356" s="11" t="inlineStr">
        <is>
          <t>00000000</t>
        </is>
      </c>
      <c r="F1356" s="13" t="n">
        <v>-539</v>
      </c>
      <c r="G1356" s="11" t="n">
        <v>25965302.37</v>
      </c>
    </row>
    <row r="1357">
      <c r="A1357" s="11" t="n">
        <v>1356</v>
      </c>
      <c r="B1357" s="12" t="n">
        <v>46048</v>
      </c>
      <c r="C1357" s="11" t="inlineStr">
        <is>
          <t>GRAVAMEN A MOVIMIENTO FINANCIERO</t>
        </is>
      </c>
      <c r="D1357" s="11" t="inlineStr">
        <is>
          <t>ORITO</t>
        </is>
      </c>
      <c r="E1357" s="11" t="inlineStr">
        <is>
          <t>00000000</t>
        </is>
      </c>
      <c r="F1357" s="13" t="n">
        <v>-2</v>
      </c>
      <c r="G1357" s="11" t="n">
        <v>25965300.37</v>
      </c>
    </row>
    <row r="1358">
      <c r="A1358" s="11" t="n">
        <v>1357</v>
      </c>
      <c r="B1358" s="12" t="n">
        <v>46048</v>
      </c>
      <c r="C1358" s="11" t="inlineStr">
        <is>
          <t>CONSIGNACION CREDIBANCO D E</t>
        </is>
      </c>
      <c r="D1358" s="11" t="inlineStr">
        <is>
          <t>ORITO</t>
        </is>
      </c>
      <c r="E1358" s="11" t="inlineStr">
        <is>
          <t>00000000</t>
        </is>
      </c>
      <c r="F1358" s="13" t="n">
        <v>83100</v>
      </c>
      <c r="G1358" s="11" t="n">
        <v>26048400.37</v>
      </c>
    </row>
    <row r="1359">
      <c r="A1359" s="11" t="n">
        <v>1358</v>
      </c>
      <c r="B1359" s="12" t="n">
        <v>46048</v>
      </c>
      <c r="C1359" s="11" t="inlineStr">
        <is>
          <t>COBRO COMISION DEPOSITOS ELECTRONICOS</t>
        </is>
      </c>
      <c r="D1359" s="11" t="inlineStr">
        <is>
          <t>ORITO</t>
        </is>
      </c>
      <c r="E1359" s="11" t="inlineStr">
        <is>
          <t>00000000</t>
        </is>
      </c>
      <c r="F1359" s="13" t="n">
        <v>-1795</v>
      </c>
      <c r="G1359" s="11" t="n">
        <v>26046605.37</v>
      </c>
    </row>
    <row r="1360">
      <c r="A1360" s="11" t="n">
        <v>1359</v>
      </c>
      <c r="B1360" s="12" t="n">
        <v>46048</v>
      </c>
      <c r="C1360" s="11" t="inlineStr">
        <is>
          <t>GRAVAMEN A MOVIMIENTO FINANCIERO</t>
        </is>
      </c>
      <c r="D1360" s="11" t="inlineStr">
        <is>
          <t>ORITO</t>
        </is>
      </c>
      <c r="E1360" s="11" t="inlineStr">
        <is>
          <t>00000000</t>
        </is>
      </c>
      <c r="F1360" s="13" t="n">
        <v>-7</v>
      </c>
      <c r="G1360" s="11" t="n">
        <v>26046598.37</v>
      </c>
    </row>
    <row r="1361">
      <c r="A1361" s="11" t="n">
        <v>1360</v>
      </c>
      <c r="B1361" s="12" t="n">
        <v>46048</v>
      </c>
      <c r="C1361" s="11" t="inlineStr">
        <is>
          <t>RETEFUENTE D E Y VOUCHER CREDIBANCO</t>
        </is>
      </c>
      <c r="D1361" s="11" t="inlineStr">
        <is>
          <t>ORITO</t>
        </is>
      </c>
      <c r="E1361" s="11" t="inlineStr">
        <is>
          <t>00000000</t>
        </is>
      </c>
      <c r="F1361" s="13" t="n">
        <v>-1247</v>
      </c>
      <c r="G1361" s="11" t="n">
        <v>26045351.37</v>
      </c>
    </row>
    <row r="1362">
      <c r="A1362" s="11" t="n">
        <v>1361</v>
      </c>
      <c r="B1362" s="12" t="n">
        <v>46048</v>
      </c>
      <c r="C1362" s="11" t="inlineStr">
        <is>
          <t>GRAVAMEN A MOVIMIENTO FINANCIERO</t>
        </is>
      </c>
      <c r="D1362" s="11" t="inlineStr">
        <is>
          <t>ORITO</t>
        </is>
      </c>
      <c r="E1362" s="11" t="inlineStr">
        <is>
          <t>00000000</t>
        </is>
      </c>
      <c r="F1362" s="13" t="n">
        <v>-5</v>
      </c>
      <c r="G1362" s="11" t="n">
        <v>26045346.37</v>
      </c>
    </row>
    <row r="1363">
      <c r="A1363" s="11" t="n">
        <v>1362</v>
      </c>
      <c r="B1363" s="12" t="n">
        <v>46048</v>
      </c>
      <c r="C1363" s="11" t="inlineStr">
        <is>
          <t>CONSIGNACION CREDIBANCO D E</t>
        </is>
      </c>
      <c r="D1363" s="11" t="inlineStr">
        <is>
          <t>ORITO</t>
        </is>
      </c>
      <c r="E1363" s="11" t="inlineStr">
        <is>
          <t>00000000</t>
        </is>
      </c>
      <c r="F1363" s="13" t="n">
        <v>61800</v>
      </c>
      <c r="G1363" s="11" t="n">
        <v>26107146.37</v>
      </c>
    </row>
    <row r="1364">
      <c r="A1364" s="11" t="n">
        <v>1363</v>
      </c>
      <c r="B1364" s="12" t="n">
        <v>46048</v>
      </c>
      <c r="C1364" s="11" t="inlineStr">
        <is>
          <t>COBRO COMISION DEPOSITOS ELECTRONICOS</t>
        </is>
      </c>
      <c r="D1364" s="11" t="inlineStr">
        <is>
          <t>ORITO</t>
        </is>
      </c>
      <c r="E1364" s="11" t="inlineStr">
        <is>
          <t>00000000</t>
        </is>
      </c>
      <c r="F1364" s="13" t="n">
        <v>-1335</v>
      </c>
      <c r="G1364" s="11" t="n">
        <v>26105811.37</v>
      </c>
    </row>
    <row r="1365">
      <c r="A1365" s="11" t="n">
        <v>1364</v>
      </c>
      <c r="B1365" s="12" t="n">
        <v>46048</v>
      </c>
      <c r="C1365" s="11" t="inlineStr">
        <is>
          <t>GRAVAMEN A MOVIMIENTO FINANCIERO</t>
        </is>
      </c>
      <c r="D1365" s="11" t="inlineStr">
        <is>
          <t>ORITO</t>
        </is>
      </c>
      <c r="E1365" s="11" t="inlineStr">
        <is>
          <t>00000000</t>
        </is>
      </c>
      <c r="F1365" s="13" t="n">
        <v>-5</v>
      </c>
      <c r="G1365" s="11" t="n">
        <v>26105806.37</v>
      </c>
    </row>
    <row r="1366">
      <c r="A1366" s="11" t="n">
        <v>1365</v>
      </c>
      <c r="B1366" s="12" t="n">
        <v>46048</v>
      </c>
      <c r="C1366" s="11" t="inlineStr">
        <is>
          <t>RETEFUENTE D E Y VOUCHER CREDIBANCO</t>
        </is>
      </c>
      <c r="D1366" s="11" t="inlineStr">
        <is>
          <t>ORITO</t>
        </is>
      </c>
      <c r="E1366" s="11" t="inlineStr">
        <is>
          <t>00000000</t>
        </is>
      </c>
      <c r="F1366" s="13" t="n">
        <v>-927</v>
      </c>
      <c r="G1366" s="11" t="n">
        <v>26104879.37</v>
      </c>
    </row>
    <row r="1367">
      <c r="A1367" s="11" t="n">
        <v>1366</v>
      </c>
      <c r="B1367" s="12" t="n">
        <v>46048</v>
      </c>
      <c r="C1367" s="11" t="inlineStr">
        <is>
          <t>GRAVAMEN A MOVIMIENTO FINANCIERO</t>
        </is>
      </c>
      <c r="D1367" s="11" t="inlineStr">
        <is>
          <t>ORITO</t>
        </is>
      </c>
      <c r="E1367" s="11" t="inlineStr">
        <is>
          <t>00000000</t>
        </is>
      </c>
      <c r="F1367" s="13" t="n">
        <v>-4</v>
      </c>
      <c r="G1367" s="11" t="n">
        <v>26104875.37</v>
      </c>
    </row>
    <row r="1368">
      <c r="A1368" s="11" t="n">
        <v>1367</v>
      </c>
      <c r="B1368" s="12" t="n">
        <v>46048</v>
      </c>
      <c r="C1368" s="11" t="inlineStr">
        <is>
          <t>CONSIGNACION CREDIBANCO D E</t>
        </is>
      </c>
      <c r="D1368" s="11" t="inlineStr">
        <is>
          <t>ORITO</t>
        </is>
      </c>
      <c r="E1368" s="11" t="inlineStr">
        <is>
          <t>00000000</t>
        </is>
      </c>
      <c r="F1368" s="13" t="n">
        <v>34400</v>
      </c>
      <c r="G1368" s="11" t="n">
        <v>26139275.37</v>
      </c>
    </row>
    <row r="1369">
      <c r="A1369" s="11" t="n">
        <v>1368</v>
      </c>
      <c r="B1369" s="12" t="n">
        <v>46048</v>
      </c>
      <c r="C1369" s="11" t="inlineStr">
        <is>
          <t>COBRO COMISION DEPOSITOS ELECTRONICOS</t>
        </is>
      </c>
      <c r="D1369" s="11" t="inlineStr">
        <is>
          <t>ORITO</t>
        </is>
      </c>
      <c r="E1369" s="11" t="inlineStr">
        <is>
          <t>00000000</t>
        </is>
      </c>
      <c r="F1369" s="13" t="n">
        <v>-753</v>
      </c>
      <c r="G1369" s="11" t="n">
        <v>26138522.37</v>
      </c>
    </row>
    <row r="1370">
      <c r="A1370" s="11" t="n">
        <v>1369</v>
      </c>
      <c r="B1370" s="12" t="n">
        <v>46048</v>
      </c>
      <c r="C1370" s="11" t="inlineStr">
        <is>
          <t>GRAVAMEN A MOVIMIENTO FINANCIERO</t>
        </is>
      </c>
      <c r="D1370" s="11" t="inlineStr">
        <is>
          <t>ORITO</t>
        </is>
      </c>
      <c r="E1370" s="11" t="inlineStr">
        <is>
          <t>00000000</t>
        </is>
      </c>
      <c r="F1370" s="13" t="n">
        <v>-3</v>
      </c>
      <c r="G1370" s="11" t="n">
        <v>26138519.37</v>
      </c>
    </row>
    <row r="1371">
      <c r="A1371" s="11" t="n">
        <v>1370</v>
      </c>
      <c r="B1371" s="12" t="n">
        <v>46048</v>
      </c>
      <c r="C1371" s="11" t="inlineStr">
        <is>
          <t>RETEFUENTE D E Y VOUCHER CREDIBANCO</t>
        </is>
      </c>
      <c r="D1371" s="11" t="inlineStr">
        <is>
          <t>ORITO</t>
        </is>
      </c>
      <c r="E1371" s="11" t="inlineStr">
        <is>
          <t>00000000</t>
        </is>
      </c>
      <c r="F1371" s="13" t="n">
        <v>-516</v>
      </c>
      <c r="G1371" s="11" t="n">
        <v>26138003.37</v>
      </c>
    </row>
    <row r="1372">
      <c r="A1372" s="11" t="n">
        <v>1371</v>
      </c>
      <c r="B1372" s="12" t="n">
        <v>46048</v>
      </c>
      <c r="C1372" s="11" t="inlineStr">
        <is>
          <t>GRAVAMEN A MOVIMIENTO FINANCIERO</t>
        </is>
      </c>
      <c r="D1372" s="11" t="inlineStr">
        <is>
          <t>ORITO</t>
        </is>
      </c>
      <c r="E1372" s="11" t="inlineStr">
        <is>
          <t>00000000</t>
        </is>
      </c>
      <c r="F1372" s="13" t="n">
        <v>-2</v>
      </c>
      <c r="G1372" s="11" t="n">
        <v>26138001.37</v>
      </c>
    </row>
    <row r="1373">
      <c r="A1373" s="11" t="n">
        <v>1372</v>
      </c>
      <c r="B1373" s="12" t="n">
        <v>46048</v>
      </c>
      <c r="C1373" s="11" t="inlineStr">
        <is>
          <t>CONSIGNACION CREDIBANCO D E</t>
        </is>
      </c>
      <c r="D1373" s="11" t="inlineStr">
        <is>
          <t>ORITO</t>
        </is>
      </c>
      <c r="E1373" s="11" t="inlineStr">
        <is>
          <t>00000000</t>
        </is>
      </c>
      <c r="F1373" s="13" t="n">
        <v>93648</v>
      </c>
      <c r="G1373" s="11" t="n">
        <v>26231649.37</v>
      </c>
    </row>
    <row r="1374">
      <c r="A1374" s="11" t="n">
        <v>1373</v>
      </c>
      <c r="B1374" s="12" t="n">
        <v>46048</v>
      </c>
      <c r="C1374" s="11" t="inlineStr">
        <is>
          <t>COBRO COMISION DEPOSITOS ELECTRONICOS</t>
        </is>
      </c>
      <c r="D1374" s="11" t="inlineStr">
        <is>
          <t>ORITO</t>
        </is>
      </c>
      <c r="E1374" s="11" t="inlineStr">
        <is>
          <t>00000000</t>
        </is>
      </c>
      <c r="F1374" s="13" t="n">
        <v>-2051</v>
      </c>
      <c r="G1374" s="11" t="n">
        <v>26229598.37</v>
      </c>
    </row>
    <row r="1375">
      <c r="A1375" s="11" t="n">
        <v>1374</v>
      </c>
      <c r="B1375" s="12" t="n">
        <v>46048</v>
      </c>
      <c r="C1375" s="11" t="inlineStr">
        <is>
          <t>GRAVAMEN A MOVIMIENTO FINANCIERO</t>
        </is>
      </c>
      <c r="D1375" s="11" t="inlineStr">
        <is>
          <t>ORITO</t>
        </is>
      </c>
      <c r="E1375" s="11" t="inlineStr">
        <is>
          <t>00000000</t>
        </is>
      </c>
      <c r="F1375" s="13" t="n">
        <v>-8</v>
      </c>
      <c r="G1375" s="11" t="n">
        <v>26229590.37</v>
      </c>
    </row>
    <row r="1376">
      <c r="A1376" s="11" t="n">
        <v>1375</v>
      </c>
      <c r="B1376" s="12" t="n">
        <v>46048</v>
      </c>
      <c r="C1376" s="11" t="inlineStr">
        <is>
          <t>RETEFUENTE D E Y VOUCHER CREDIBANCO</t>
        </is>
      </c>
      <c r="D1376" s="11" t="inlineStr">
        <is>
          <t>ORITO</t>
        </is>
      </c>
      <c r="E1376" s="11" t="inlineStr">
        <is>
          <t>00000000</t>
        </is>
      </c>
      <c r="F1376" s="13" t="n">
        <v>-1405</v>
      </c>
      <c r="G1376" s="11" t="n">
        <v>26228185.37</v>
      </c>
    </row>
    <row r="1377">
      <c r="A1377" s="11" t="n">
        <v>1376</v>
      </c>
      <c r="B1377" s="12" t="n">
        <v>46048</v>
      </c>
      <c r="C1377" s="11" t="inlineStr">
        <is>
          <t>GRAVAMEN A MOVIMIENTO FINANCIERO</t>
        </is>
      </c>
      <c r="D1377" s="11" t="inlineStr">
        <is>
          <t>ORITO</t>
        </is>
      </c>
      <c r="E1377" s="11" t="inlineStr">
        <is>
          <t>00000000</t>
        </is>
      </c>
      <c r="F1377" s="13" t="n">
        <v>-6</v>
      </c>
      <c r="G1377" s="11" t="n">
        <v>26228179.37</v>
      </c>
    </row>
    <row r="1378">
      <c r="A1378" s="11" t="n">
        <v>1377</v>
      </c>
      <c r="B1378" s="12" t="n">
        <v>46048</v>
      </c>
      <c r="C1378" s="11" t="inlineStr">
        <is>
          <t>CONSIGNACION CREDIBANCO D E</t>
        </is>
      </c>
      <c r="D1378" s="11" t="inlineStr">
        <is>
          <t>ORITO</t>
        </is>
      </c>
      <c r="E1378" s="11" t="inlineStr">
        <is>
          <t>00000000</t>
        </is>
      </c>
      <c r="F1378" s="13" t="n">
        <v>77800</v>
      </c>
      <c r="G1378" s="11" t="n">
        <v>26305979.37</v>
      </c>
    </row>
    <row r="1379">
      <c r="A1379" s="11" t="n">
        <v>1378</v>
      </c>
      <c r="B1379" s="12" t="n">
        <v>46048</v>
      </c>
      <c r="C1379" s="11" t="inlineStr">
        <is>
          <t>COBRO COMISION DEPOSITOS ELECTRONICOS</t>
        </is>
      </c>
      <c r="D1379" s="11" t="inlineStr">
        <is>
          <t>ORITO</t>
        </is>
      </c>
      <c r="E1379" s="11" t="inlineStr">
        <is>
          <t>00000000</t>
        </is>
      </c>
      <c r="F1379" s="13" t="n">
        <v>-1603</v>
      </c>
      <c r="G1379" s="11" t="n">
        <v>26304376.37</v>
      </c>
    </row>
    <row r="1380">
      <c r="A1380" s="11" t="n">
        <v>1379</v>
      </c>
      <c r="B1380" s="12" t="n">
        <v>46048</v>
      </c>
      <c r="C1380" s="11" t="inlineStr">
        <is>
          <t>GRAVAMEN A MOVIMIENTO FINANCIERO</t>
        </is>
      </c>
      <c r="D1380" s="11" t="inlineStr">
        <is>
          <t>ORITO</t>
        </is>
      </c>
      <c r="E1380" s="11" t="inlineStr">
        <is>
          <t>00000000</t>
        </is>
      </c>
      <c r="F1380" s="13" t="n">
        <v>-6</v>
      </c>
      <c r="G1380" s="11" t="n">
        <v>26304370.37</v>
      </c>
    </row>
    <row r="1381">
      <c r="A1381" s="11" t="n">
        <v>1380</v>
      </c>
      <c r="B1381" s="12" t="n">
        <v>46048</v>
      </c>
      <c r="C1381" s="11" t="inlineStr">
        <is>
          <t>RETEFUENTE D E Y VOUCHER CREDIBANCO</t>
        </is>
      </c>
      <c r="D1381" s="11" t="inlineStr">
        <is>
          <t>ORITO</t>
        </is>
      </c>
      <c r="E1381" s="11" t="inlineStr">
        <is>
          <t>00000000</t>
        </is>
      </c>
      <c r="F1381" s="13" t="n">
        <v>-1167</v>
      </c>
      <c r="G1381" s="11" t="n">
        <v>26303203.37</v>
      </c>
    </row>
    <row r="1382">
      <c r="A1382" s="11" t="n">
        <v>1381</v>
      </c>
      <c r="B1382" s="12" t="n">
        <v>46048</v>
      </c>
      <c r="C1382" s="11" t="inlineStr">
        <is>
          <t>GRAVAMEN A MOVIMIENTO FINANCIERO</t>
        </is>
      </c>
      <c r="D1382" s="11" t="inlineStr">
        <is>
          <t>ORITO</t>
        </is>
      </c>
      <c r="E1382" s="11" t="inlineStr">
        <is>
          <t>00000000</t>
        </is>
      </c>
      <c r="F1382" s="13" t="n">
        <v>-5</v>
      </c>
      <c r="G1382" s="11" t="n">
        <v>26303198.37</v>
      </c>
    </row>
    <row r="1383">
      <c r="A1383" s="11" t="n">
        <v>1382</v>
      </c>
      <c r="B1383" s="12" t="n">
        <v>46048</v>
      </c>
      <c r="C1383" s="11" t="inlineStr">
        <is>
          <t>CONSIGNACION CREDIBANCO D E</t>
        </is>
      </c>
      <c r="D1383" s="11" t="inlineStr">
        <is>
          <t>ORITO</t>
        </is>
      </c>
      <c r="E1383" s="11" t="inlineStr">
        <is>
          <t>00000000</t>
        </is>
      </c>
      <c r="F1383" s="13" t="n">
        <v>131000</v>
      </c>
      <c r="G1383" s="11" t="n">
        <v>26434198.37</v>
      </c>
    </row>
    <row r="1384">
      <c r="A1384" s="11" t="n">
        <v>1383</v>
      </c>
      <c r="B1384" s="12" t="n">
        <v>46048</v>
      </c>
      <c r="C1384" s="11" t="inlineStr">
        <is>
          <t>COBRO COMISION DEPOSITOS ELECTRONICOS</t>
        </is>
      </c>
      <c r="D1384" s="11" t="inlineStr">
        <is>
          <t>ORITO</t>
        </is>
      </c>
      <c r="E1384" s="11" t="inlineStr">
        <is>
          <t>00000000</t>
        </is>
      </c>
      <c r="F1384" s="13" t="n">
        <v>-2830</v>
      </c>
      <c r="G1384" s="11" t="n">
        <v>26431368.37</v>
      </c>
    </row>
    <row r="1385">
      <c r="A1385" s="11" t="n">
        <v>1384</v>
      </c>
      <c r="B1385" s="12" t="n">
        <v>46048</v>
      </c>
      <c r="C1385" s="11" t="inlineStr">
        <is>
          <t>GRAVAMEN A MOVIMIENTO FINANCIERO</t>
        </is>
      </c>
      <c r="D1385" s="11" t="inlineStr">
        <is>
          <t>ORITO</t>
        </is>
      </c>
      <c r="E1385" s="11" t="inlineStr">
        <is>
          <t>00000000</t>
        </is>
      </c>
      <c r="F1385" s="13" t="n">
        <v>-11</v>
      </c>
      <c r="G1385" s="11" t="n">
        <v>26431357.37</v>
      </c>
    </row>
    <row r="1386">
      <c r="A1386" s="11" t="n">
        <v>1385</v>
      </c>
      <c r="B1386" s="12" t="n">
        <v>46048</v>
      </c>
      <c r="C1386" s="11" t="inlineStr">
        <is>
          <t>RETEFUENTE D E Y VOUCHER CREDIBANCO</t>
        </is>
      </c>
      <c r="D1386" s="11" t="inlineStr">
        <is>
          <t>ORITO</t>
        </is>
      </c>
      <c r="E1386" s="11" t="inlineStr">
        <is>
          <t>00000000</t>
        </is>
      </c>
      <c r="F1386" s="13" t="n">
        <v>-1965</v>
      </c>
      <c r="G1386" s="11" t="n">
        <v>26429392.37</v>
      </c>
    </row>
    <row r="1387">
      <c r="A1387" s="11" t="n">
        <v>1386</v>
      </c>
      <c r="B1387" s="12" t="n">
        <v>46048</v>
      </c>
      <c r="C1387" s="11" t="inlineStr">
        <is>
          <t>GRAVAMEN A MOVIMIENTO FINANCIERO</t>
        </is>
      </c>
      <c r="D1387" s="11" t="inlineStr">
        <is>
          <t>ORITO</t>
        </is>
      </c>
      <c r="E1387" s="11" t="inlineStr">
        <is>
          <t>00000000</t>
        </is>
      </c>
      <c r="F1387" s="13" t="n">
        <v>-8</v>
      </c>
      <c r="G1387" s="11" t="n">
        <v>26429384.37</v>
      </c>
    </row>
    <row r="1388">
      <c r="A1388" s="11" t="n">
        <v>1387</v>
      </c>
      <c r="B1388" s="12" t="n">
        <v>46048</v>
      </c>
      <c r="C1388" s="11" t="inlineStr">
        <is>
          <t>CONSIGNACION CREDIBANCO D E</t>
        </is>
      </c>
      <c r="D1388" s="11" t="inlineStr">
        <is>
          <t>ORITO</t>
        </is>
      </c>
      <c r="E1388" s="11" t="inlineStr">
        <is>
          <t>00000000</t>
        </is>
      </c>
      <c r="F1388" s="13" t="n">
        <v>29500</v>
      </c>
      <c r="G1388" s="11" t="n">
        <v>26458884.37</v>
      </c>
    </row>
    <row r="1389">
      <c r="A1389" s="11" t="n">
        <v>1388</v>
      </c>
      <c r="B1389" s="12" t="n">
        <v>46048</v>
      </c>
      <c r="C1389" s="11" t="inlineStr">
        <is>
          <t>COBRO COMISION DEPOSITOS ELECTRONICOS</t>
        </is>
      </c>
      <c r="D1389" s="11" t="inlineStr">
        <is>
          <t>ORITO</t>
        </is>
      </c>
      <c r="E1389" s="11" t="inlineStr">
        <is>
          <t>00000000</t>
        </is>
      </c>
      <c r="F1389" s="13" t="n">
        <v>-637</v>
      </c>
      <c r="G1389" s="11" t="n">
        <v>26458247.37</v>
      </c>
    </row>
    <row r="1390">
      <c r="A1390" s="11" t="n">
        <v>1389</v>
      </c>
      <c r="B1390" s="12" t="n">
        <v>46048</v>
      </c>
      <c r="C1390" s="11" t="inlineStr">
        <is>
          <t>GRAVAMEN A MOVIMIENTO FINANCIERO</t>
        </is>
      </c>
      <c r="D1390" s="11" t="inlineStr">
        <is>
          <t>ORITO</t>
        </is>
      </c>
      <c r="E1390" s="11" t="inlineStr">
        <is>
          <t>00000000</t>
        </is>
      </c>
      <c r="F1390" s="13" t="n">
        <v>-3</v>
      </c>
      <c r="G1390" s="11" t="n">
        <v>26458244.37</v>
      </c>
    </row>
    <row r="1391">
      <c r="A1391" s="11" t="n">
        <v>1390</v>
      </c>
      <c r="B1391" s="12" t="n">
        <v>46048</v>
      </c>
      <c r="C1391" s="11" t="inlineStr">
        <is>
          <t>RETEFUENTE D E Y VOUCHER CREDIBANCO</t>
        </is>
      </c>
      <c r="D1391" s="11" t="inlineStr">
        <is>
          <t>ORITO</t>
        </is>
      </c>
      <c r="E1391" s="11" t="inlineStr">
        <is>
          <t>00000000</t>
        </is>
      </c>
      <c r="F1391" s="13" t="n">
        <v>-443</v>
      </c>
      <c r="G1391" s="11" t="n">
        <v>26457801.37</v>
      </c>
    </row>
    <row r="1392">
      <c r="A1392" s="11" t="n">
        <v>1391</v>
      </c>
      <c r="B1392" s="12" t="n">
        <v>46048</v>
      </c>
      <c r="C1392" s="11" t="inlineStr">
        <is>
          <t>GRAVAMEN A MOVIMIENTO FINANCIERO</t>
        </is>
      </c>
      <c r="D1392" s="11" t="inlineStr">
        <is>
          <t>ORITO</t>
        </is>
      </c>
      <c r="E1392" s="11" t="inlineStr">
        <is>
          <t>00000000</t>
        </is>
      </c>
      <c r="F1392" s="13" t="n">
        <v>-2</v>
      </c>
      <c r="G1392" s="11" t="n">
        <v>26457799.37</v>
      </c>
    </row>
    <row r="1393">
      <c r="A1393" s="11" t="n">
        <v>1392</v>
      </c>
      <c r="B1393" s="12" t="n">
        <v>46048</v>
      </c>
      <c r="C1393" s="11" t="inlineStr">
        <is>
          <t>DEPOSITOS ELECTRONICOS TRANSACCION MASTERCA</t>
        </is>
      </c>
      <c r="D1393" s="11" t="inlineStr">
        <is>
          <t>ORITO</t>
        </is>
      </c>
      <c r="E1393" s="11" t="inlineStr">
        <is>
          <t>00000000</t>
        </is>
      </c>
      <c r="F1393" s="13" t="n">
        <v>41400</v>
      </c>
      <c r="G1393" s="11" t="n">
        <v>26499199.37</v>
      </c>
    </row>
    <row r="1394">
      <c r="A1394" s="11" t="n">
        <v>1393</v>
      </c>
      <c r="B1394" s="12" t="n">
        <v>46048</v>
      </c>
      <c r="C1394" s="11" t="inlineStr">
        <is>
          <t>COMISION DEPOSITOS ELECTRONICOS MASTERCARD</t>
        </is>
      </c>
      <c r="D1394" s="11" t="inlineStr">
        <is>
          <t>ORITO</t>
        </is>
      </c>
      <c r="E1394" s="11" t="inlineStr">
        <is>
          <t>00000000</t>
        </is>
      </c>
      <c r="F1394" s="13" t="n">
        <v>-973</v>
      </c>
      <c r="G1394" s="11" t="n">
        <v>26498226.37</v>
      </c>
    </row>
    <row r="1395">
      <c r="A1395" s="11" t="n">
        <v>1394</v>
      </c>
      <c r="B1395" s="12" t="n">
        <v>46048</v>
      </c>
      <c r="C1395" s="11" t="inlineStr">
        <is>
          <t>GRAVAMEN A MOVIMIENTO FINANCIERO</t>
        </is>
      </c>
      <c r="D1395" s="11" t="inlineStr">
        <is>
          <t>ORITO</t>
        </is>
      </c>
      <c r="E1395" s="11" t="inlineStr">
        <is>
          <t>00000000</t>
        </is>
      </c>
      <c r="F1395" s="13" t="n">
        <v>-4</v>
      </c>
      <c r="G1395" s="11" t="n">
        <v>26498222.37</v>
      </c>
    </row>
    <row r="1396">
      <c r="A1396" s="11" t="n">
        <v>1395</v>
      </c>
      <c r="B1396" s="12" t="n">
        <v>46048</v>
      </c>
      <c r="C1396" s="11" t="inlineStr">
        <is>
          <t>RETEFUENTE DEPOSITOS ELECTRONICOS MASTERCAR</t>
        </is>
      </c>
      <c r="D1396" s="11" t="inlineStr">
        <is>
          <t>ORITO</t>
        </is>
      </c>
      <c r="E1396" s="11" t="inlineStr">
        <is>
          <t>00000000</t>
        </is>
      </c>
      <c r="F1396" s="13" t="n">
        <v>-621</v>
      </c>
      <c r="G1396" s="11" t="n">
        <v>26497601.37</v>
      </c>
    </row>
    <row r="1397">
      <c r="A1397" s="11" t="n">
        <v>1396</v>
      </c>
      <c r="B1397" s="12" t="n">
        <v>46048</v>
      </c>
      <c r="C1397" s="11" t="inlineStr">
        <is>
          <t>GRAVAMEN A MOVIMIENTO FINANCIERO</t>
        </is>
      </c>
      <c r="D1397" s="11" t="inlineStr">
        <is>
          <t>ORITO</t>
        </is>
      </c>
      <c r="E1397" s="11" t="inlineStr">
        <is>
          <t>00000000</t>
        </is>
      </c>
      <c r="F1397" s="13" t="n">
        <v>-2</v>
      </c>
      <c r="G1397" s="11" t="n">
        <v>26497599.37</v>
      </c>
    </row>
    <row r="1398">
      <c r="A1398" s="11" t="n">
        <v>1397</v>
      </c>
      <c r="B1398" s="12" t="n">
        <v>46048</v>
      </c>
      <c r="C1398" s="11" t="inlineStr">
        <is>
          <t>DEPOSITOS ELECTRONICOS TRANSACCION MASTERCA</t>
        </is>
      </c>
      <c r="D1398" s="11" t="inlineStr">
        <is>
          <t>ORITO</t>
        </is>
      </c>
      <c r="E1398" s="11" t="inlineStr">
        <is>
          <t>00000000</t>
        </is>
      </c>
      <c r="F1398" s="13" t="n">
        <v>30000</v>
      </c>
      <c r="G1398" s="11" t="n">
        <v>26527599.37</v>
      </c>
    </row>
    <row r="1399">
      <c r="A1399" s="11" t="n">
        <v>1398</v>
      </c>
      <c r="B1399" s="12" t="n">
        <v>46048</v>
      </c>
      <c r="C1399" s="11" t="inlineStr">
        <is>
          <t>COMISION DEPOSITOS ELECTRONICOS MASTERCARD</t>
        </is>
      </c>
      <c r="D1399" s="11" t="inlineStr">
        <is>
          <t>ORITO</t>
        </is>
      </c>
      <c r="E1399" s="11" t="inlineStr">
        <is>
          <t>00000000</t>
        </is>
      </c>
      <c r="F1399" s="13" t="n">
        <v>-570</v>
      </c>
      <c r="G1399" s="11" t="n">
        <v>26527029.37</v>
      </c>
    </row>
    <row r="1400">
      <c r="A1400" s="11" t="n">
        <v>1399</v>
      </c>
      <c r="B1400" s="12" t="n">
        <v>46048</v>
      </c>
      <c r="C1400" s="11" t="inlineStr">
        <is>
          <t>GRAVAMEN A MOVIMIENTO FINANCIERO</t>
        </is>
      </c>
      <c r="D1400" s="11" t="inlineStr">
        <is>
          <t>ORITO</t>
        </is>
      </c>
      <c r="E1400" s="11" t="inlineStr">
        <is>
          <t>00000000</t>
        </is>
      </c>
      <c r="F1400" s="13" t="n">
        <v>-2</v>
      </c>
      <c r="G1400" s="11" t="n">
        <v>26527027.37</v>
      </c>
    </row>
    <row r="1401">
      <c r="A1401" s="11" t="n">
        <v>1400</v>
      </c>
      <c r="B1401" s="12" t="n">
        <v>46048</v>
      </c>
      <c r="C1401" s="11" t="inlineStr">
        <is>
          <t>RETEFUENTE DEPOSITOS ELECTRONICOS MASTERCAR</t>
        </is>
      </c>
      <c r="D1401" s="11" t="inlineStr">
        <is>
          <t>ORITO</t>
        </is>
      </c>
      <c r="E1401" s="11" t="inlineStr">
        <is>
          <t>00000000</t>
        </is>
      </c>
      <c r="F1401" s="13" t="n">
        <v>-450</v>
      </c>
      <c r="G1401" s="11" t="n">
        <v>26526577.37</v>
      </c>
    </row>
    <row r="1402">
      <c r="A1402" s="11" t="n">
        <v>1401</v>
      </c>
      <c r="B1402" s="12" t="n">
        <v>46048</v>
      </c>
      <c r="C1402" s="11" t="inlineStr">
        <is>
          <t>GRAVAMEN A MOVIMIENTO FINANCIERO</t>
        </is>
      </c>
      <c r="D1402" s="11" t="inlineStr">
        <is>
          <t>ORITO</t>
        </is>
      </c>
      <c r="E1402" s="11" t="inlineStr">
        <is>
          <t>00000000</t>
        </is>
      </c>
      <c r="F1402" s="13" t="n">
        <v>-2</v>
      </c>
      <c r="G1402" s="11" t="n">
        <v>26526575.37</v>
      </c>
    </row>
    <row r="1403">
      <c r="A1403" s="11" t="n">
        <v>1402</v>
      </c>
      <c r="B1403" s="12" t="n">
        <v>46048</v>
      </c>
      <c r="C1403" s="11" t="inlineStr">
        <is>
          <t>DEPOSITOS ELECTRONICOS TRANSACCION MASTERCA</t>
        </is>
      </c>
      <c r="D1403" s="11" t="inlineStr">
        <is>
          <t>ORITO</t>
        </is>
      </c>
      <c r="E1403" s="11" t="inlineStr">
        <is>
          <t>00000000</t>
        </is>
      </c>
      <c r="F1403" s="13" t="n">
        <v>144000</v>
      </c>
      <c r="G1403" s="11" t="n">
        <v>26670575.37</v>
      </c>
    </row>
    <row r="1404">
      <c r="A1404" s="11" t="n">
        <v>1403</v>
      </c>
      <c r="B1404" s="12" t="n">
        <v>46048</v>
      </c>
      <c r="C1404" s="11" t="inlineStr">
        <is>
          <t>COMISION DEPOSITOS ELECTRONICOS MASTERCARD</t>
        </is>
      </c>
      <c r="D1404" s="11" t="inlineStr">
        <is>
          <t>ORITO</t>
        </is>
      </c>
      <c r="E1404" s="11" t="inlineStr">
        <is>
          <t>00000000</t>
        </is>
      </c>
      <c r="F1404" s="13" t="n">
        <v>-2736</v>
      </c>
      <c r="G1404" s="11" t="n">
        <v>26667839.37</v>
      </c>
    </row>
    <row r="1405">
      <c r="A1405" s="11" t="n">
        <v>1404</v>
      </c>
      <c r="B1405" s="12" t="n">
        <v>46048</v>
      </c>
      <c r="C1405" s="11" t="inlineStr">
        <is>
          <t>GRAVAMEN A MOVIMIENTO FINANCIERO</t>
        </is>
      </c>
      <c r="D1405" s="11" t="inlineStr">
        <is>
          <t>ORITO</t>
        </is>
      </c>
      <c r="E1405" s="11" t="inlineStr">
        <is>
          <t>00000000</t>
        </is>
      </c>
      <c r="F1405" s="13" t="n">
        <v>-11</v>
      </c>
      <c r="G1405" s="11" t="n">
        <v>26667828.37</v>
      </c>
    </row>
    <row r="1406">
      <c r="A1406" s="11" t="n">
        <v>1405</v>
      </c>
      <c r="B1406" s="12" t="n">
        <v>46048</v>
      </c>
      <c r="C1406" s="11" t="inlineStr">
        <is>
          <t>RETEFUENTE DEPOSITOS ELECTRONICOS MASTERCAR</t>
        </is>
      </c>
      <c r="D1406" s="11" t="inlineStr">
        <is>
          <t>ORITO</t>
        </is>
      </c>
      <c r="E1406" s="11" t="inlineStr">
        <is>
          <t>00000000</t>
        </is>
      </c>
      <c r="F1406" s="13" t="n">
        <v>-2160</v>
      </c>
      <c r="G1406" s="11" t="n">
        <v>26665668.37</v>
      </c>
    </row>
    <row r="1407">
      <c r="A1407" s="11" t="n">
        <v>1406</v>
      </c>
      <c r="B1407" s="12" t="n">
        <v>46048</v>
      </c>
      <c r="C1407" s="11" t="inlineStr">
        <is>
          <t>GRAVAMEN A MOVIMIENTO FINANCIERO</t>
        </is>
      </c>
      <c r="D1407" s="11" t="inlineStr">
        <is>
          <t>ORITO</t>
        </is>
      </c>
      <c r="E1407" s="11" t="inlineStr">
        <is>
          <t>00000000</t>
        </is>
      </c>
      <c r="F1407" s="13" t="n">
        <v>-9</v>
      </c>
      <c r="G1407" s="11" t="n">
        <v>26665659.37</v>
      </c>
    </row>
    <row r="1408">
      <c r="A1408" s="11" t="n">
        <v>1407</v>
      </c>
      <c r="B1408" s="12" t="n">
        <v>46048</v>
      </c>
      <c r="C1408" s="11" t="inlineStr">
        <is>
          <t>DEPOSITOS ELECTRONICOS TRANSACCION MASTERCA</t>
        </is>
      </c>
      <c r="D1408" s="11" t="inlineStr">
        <is>
          <t>ORITO</t>
        </is>
      </c>
      <c r="E1408" s="11" t="inlineStr">
        <is>
          <t>00000000</t>
        </is>
      </c>
      <c r="F1408" s="13" t="n">
        <v>79900</v>
      </c>
      <c r="G1408" s="11" t="n">
        <v>26745559.37</v>
      </c>
    </row>
    <row r="1409">
      <c r="A1409" s="11" t="n">
        <v>1408</v>
      </c>
      <c r="B1409" s="12" t="n">
        <v>46048</v>
      </c>
      <c r="C1409" s="11" t="inlineStr">
        <is>
          <t>COMISION DEPOSITOS ELECTRONICOS MASTERCARD</t>
        </is>
      </c>
      <c r="D1409" s="11" t="inlineStr">
        <is>
          <t>ORITO</t>
        </is>
      </c>
      <c r="E1409" s="11" t="inlineStr">
        <is>
          <t>00000000</t>
        </is>
      </c>
      <c r="F1409" s="13" t="n">
        <v>-1878</v>
      </c>
      <c r="G1409" s="11" t="n">
        <v>26743681.37</v>
      </c>
    </row>
    <row r="1410">
      <c r="A1410" s="11" t="n">
        <v>1409</v>
      </c>
      <c r="B1410" s="12" t="n">
        <v>46048</v>
      </c>
      <c r="C1410" s="11" t="inlineStr">
        <is>
          <t>GRAVAMEN A MOVIMIENTO FINANCIERO</t>
        </is>
      </c>
      <c r="D1410" s="11" t="inlineStr">
        <is>
          <t>ORITO</t>
        </is>
      </c>
      <c r="E1410" s="11" t="inlineStr">
        <is>
          <t>00000000</t>
        </is>
      </c>
      <c r="F1410" s="13" t="n">
        <v>-8</v>
      </c>
      <c r="G1410" s="11" t="n">
        <v>26743673.37</v>
      </c>
    </row>
    <row r="1411">
      <c r="A1411" s="11" t="n">
        <v>1410</v>
      </c>
      <c r="B1411" s="12" t="n">
        <v>46048</v>
      </c>
      <c r="C1411" s="11" t="inlineStr">
        <is>
          <t>RETEFUENTE DEPOSITOS ELECTRONICOS MASTERCAR</t>
        </is>
      </c>
      <c r="D1411" s="11" t="inlineStr">
        <is>
          <t>ORITO</t>
        </is>
      </c>
      <c r="E1411" s="11" t="inlineStr">
        <is>
          <t>00000000</t>
        </is>
      </c>
      <c r="F1411" s="13" t="n">
        <v>-1199</v>
      </c>
      <c r="G1411" s="11" t="n">
        <v>26742474.37</v>
      </c>
    </row>
    <row r="1412">
      <c r="A1412" s="11" t="n">
        <v>1411</v>
      </c>
      <c r="B1412" s="12" t="n">
        <v>46048</v>
      </c>
      <c r="C1412" s="11" t="inlineStr">
        <is>
          <t>GRAVAMEN A MOVIMIENTO FINANCIERO</t>
        </is>
      </c>
      <c r="D1412" s="11" t="inlineStr">
        <is>
          <t>ORITO</t>
        </is>
      </c>
      <c r="E1412" s="11" t="inlineStr">
        <is>
          <t>00000000</t>
        </is>
      </c>
      <c r="F1412" s="13" t="n">
        <v>-5</v>
      </c>
      <c r="G1412" s="11" t="n">
        <v>26742469.37</v>
      </c>
    </row>
    <row r="1413">
      <c r="A1413" s="11" t="n">
        <v>1412</v>
      </c>
      <c r="B1413" s="12" t="n">
        <v>46048</v>
      </c>
      <c r="C1413" s="11" t="inlineStr">
        <is>
          <t>DEPOSITOS ELECTRONICOS TRANSACCION MASTERCA</t>
        </is>
      </c>
      <c r="D1413" s="11" t="inlineStr">
        <is>
          <t>ORITO</t>
        </is>
      </c>
      <c r="E1413" s="11" t="inlineStr">
        <is>
          <t>00000000</t>
        </is>
      </c>
      <c r="F1413" s="13" t="n">
        <v>135200</v>
      </c>
      <c r="G1413" s="11" t="n">
        <v>26877669.37</v>
      </c>
    </row>
    <row r="1414">
      <c r="A1414" s="11" t="n">
        <v>1413</v>
      </c>
      <c r="B1414" s="12" t="n">
        <v>46048</v>
      </c>
      <c r="C1414" s="11" t="inlineStr">
        <is>
          <t>COMISION DEPOSITOS ELECTRONICOS MASTERCARD</t>
        </is>
      </c>
      <c r="D1414" s="11" t="inlineStr">
        <is>
          <t>ORITO</t>
        </is>
      </c>
      <c r="E1414" s="11" t="inlineStr">
        <is>
          <t>00000000</t>
        </is>
      </c>
      <c r="F1414" s="13" t="n">
        <v>-3177</v>
      </c>
      <c r="G1414" s="11" t="n">
        <v>26874492.37</v>
      </c>
    </row>
    <row r="1415">
      <c r="A1415" s="11" t="n">
        <v>1414</v>
      </c>
      <c r="B1415" s="12" t="n">
        <v>46048</v>
      </c>
      <c r="C1415" s="11" t="inlineStr">
        <is>
          <t>GRAVAMEN A MOVIMIENTO FINANCIERO</t>
        </is>
      </c>
      <c r="D1415" s="11" t="inlineStr">
        <is>
          <t>ORITO</t>
        </is>
      </c>
      <c r="E1415" s="11" t="inlineStr">
        <is>
          <t>00000000</t>
        </is>
      </c>
      <c r="F1415" s="13" t="n">
        <v>-13</v>
      </c>
      <c r="G1415" s="11" t="n">
        <v>26874479.37</v>
      </c>
    </row>
    <row r="1416">
      <c r="A1416" s="11" t="n">
        <v>1415</v>
      </c>
      <c r="B1416" s="12" t="n">
        <v>46048</v>
      </c>
      <c r="C1416" s="11" t="inlineStr">
        <is>
          <t>RETEFUENTE DEPOSITOS ELECTRONICOS MASTERCAR</t>
        </is>
      </c>
      <c r="D1416" s="11" t="inlineStr">
        <is>
          <t>ORITO</t>
        </is>
      </c>
      <c r="E1416" s="11" t="inlineStr">
        <is>
          <t>00000000</t>
        </is>
      </c>
      <c r="F1416" s="13" t="n">
        <v>-2028</v>
      </c>
      <c r="G1416" s="11" t="n">
        <v>26872451.37</v>
      </c>
    </row>
    <row r="1417">
      <c r="A1417" s="11" t="n">
        <v>1416</v>
      </c>
      <c r="B1417" s="12" t="n">
        <v>46048</v>
      </c>
      <c r="C1417" s="11" t="inlineStr">
        <is>
          <t>GRAVAMEN A MOVIMIENTO FINANCIERO</t>
        </is>
      </c>
      <c r="D1417" s="11" t="inlineStr">
        <is>
          <t>ORITO</t>
        </is>
      </c>
      <c r="E1417" s="11" t="inlineStr">
        <is>
          <t>00000000</t>
        </is>
      </c>
      <c r="F1417" s="13" t="n">
        <v>-8</v>
      </c>
      <c r="G1417" s="11" t="n">
        <v>26872443.37</v>
      </c>
    </row>
    <row r="1418">
      <c r="A1418" s="11" t="n">
        <v>1417</v>
      </c>
      <c r="B1418" s="12" t="n">
        <v>46048</v>
      </c>
      <c r="C1418" s="11" t="inlineStr">
        <is>
          <t>DEPOSITOS ELECTRONICOS TRANSACCION MASTERCA</t>
        </is>
      </c>
      <c r="D1418" s="11" t="inlineStr">
        <is>
          <t>ORITO</t>
        </is>
      </c>
      <c r="E1418" s="11" t="inlineStr">
        <is>
          <t>00000000</t>
        </is>
      </c>
      <c r="F1418" s="13" t="n">
        <v>32700</v>
      </c>
      <c r="G1418" s="11" t="n">
        <v>26905143.37</v>
      </c>
    </row>
    <row r="1419">
      <c r="A1419" s="11" t="n">
        <v>1418</v>
      </c>
      <c r="B1419" s="12" t="n">
        <v>46048</v>
      </c>
      <c r="C1419" s="11" t="inlineStr">
        <is>
          <t>COMISION DEPOSITOS ELECTRONICOS MASTERCARD</t>
        </is>
      </c>
      <c r="D1419" s="11" t="inlineStr">
        <is>
          <t>ORITO</t>
        </is>
      </c>
      <c r="E1419" s="11" t="inlineStr">
        <is>
          <t>00000000</t>
        </is>
      </c>
      <c r="F1419" s="13" t="n">
        <v>-621</v>
      </c>
      <c r="G1419" s="11" t="n">
        <v>26904522.37</v>
      </c>
    </row>
    <row r="1420">
      <c r="A1420" s="11" t="n">
        <v>1419</v>
      </c>
      <c r="B1420" s="12" t="n">
        <v>46048</v>
      </c>
      <c r="C1420" s="11" t="inlineStr">
        <is>
          <t>GRAVAMEN A MOVIMIENTO FINANCIERO</t>
        </is>
      </c>
      <c r="D1420" s="11" t="inlineStr">
        <is>
          <t>ORITO</t>
        </is>
      </c>
      <c r="E1420" s="11" t="inlineStr">
        <is>
          <t>00000000</t>
        </is>
      </c>
      <c r="F1420" s="13" t="n">
        <v>-2</v>
      </c>
      <c r="G1420" s="11" t="n">
        <v>26904520.37</v>
      </c>
    </row>
    <row r="1421">
      <c r="A1421" s="11" t="n">
        <v>1420</v>
      </c>
      <c r="B1421" s="12" t="n">
        <v>46048</v>
      </c>
      <c r="C1421" s="11" t="inlineStr">
        <is>
          <t>RETEFUENTE DEPOSITOS ELECTRONICOS MASTERCAR</t>
        </is>
      </c>
      <c r="D1421" s="11" t="inlineStr">
        <is>
          <t>ORITO</t>
        </is>
      </c>
      <c r="E1421" s="11" t="inlineStr">
        <is>
          <t>00000000</t>
        </is>
      </c>
      <c r="F1421" s="13" t="n">
        <v>-491</v>
      </c>
      <c r="G1421" s="11" t="n">
        <v>26904029.37</v>
      </c>
    </row>
    <row r="1422">
      <c r="A1422" s="11" t="n">
        <v>1421</v>
      </c>
      <c r="B1422" s="12" t="n">
        <v>46048</v>
      </c>
      <c r="C1422" s="11" t="inlineStr">
        <is>
          <t>GRAVAMEN A MOVIMIENTO FINANCIERO</t>
        </is>
      </c>
      <c r="D1422" s="11" t="inlineStr">
        <is>
          <t>ORITO</t>
        </is>
      </c>
      <c r="E1422" s="11" t="inlineStr">
        <is>
          <t>00000000</t>
        </is>
      </c>
      <c r="F1422" s="13" t="n">
        <v>-2</v>
      </c>
      <c r="G1422" s="11" t="n">
        <v>26904027.37</v>
      </c>
    </row>
    <row r="1423">
      <c r="A1423" s="11" t="n">
        <v>1422</v>
      </c>
      <c r="B1423" s="12" t="n">
        <v>46048</v>
      </c>
      <c r="C1423" s="11" t="inlineStr">
        <is>
          <t>DEPOSITOS ELECTRONICOS TRANSACCION MASTERCA</t>
        </is>
      </c>
      <c r="D1423" s="11" t="inlineStr">
        <is>
          <t>ORITO</t>
        </is>
      </c>
      <c r="E1423" s="11" t="inlineStr">
        <is>
          <t>00000000</t>
        </is>
      </c>
      <c r="F1423" s="13" t="n">
        <v>160000</v>
      </c>
      <c r="G1423" s="11" t="n">
        <v>27064027.37</v>
      </c>
    </row>
    <row r="1424">
      <c r="A1424" s="11" t="n">
        <v>1423</v>
      </c>
      <c r="B1424" s="12" t="n">
        <v>46048</v>
      </c>
      <c r="C1424" s="11" t="inlineStr">
        <is>
          <t>COMISION DEPOSITOS ELECTRONICOS MASTERCARD</t>
        </is>
      </c>
      <c r="D1424" s="11" t="inlineStr">
        <is>
          <t>ORITO</t>
        </is>
      </c>
      <c r="E1424" s="11" t="inlineStr">
        <is>
          <t>00000000</t>
        </is>
      </c>
      <c r="F1424" s="13" t="n">
        <v>-3040</v>
      </c>
      <c r="G1424" s="11" t="n">
        <v>27060987.37</v>
      </c>
    </row>
    <row r="1425">
      <c r="A1425" s="11" t="n">
        <v>1424</v>
      </c>
      <c r="B1425" s="12" t="n">
        <v>46048</v>
      </c>
      <c r="C1425" s="11" t="inlineStr">
        <is>
          <t>GRAVAMEN A MOVIMIENTO FINANCIERO</t>
        </is>
      </c>
      <c r="D1425" s="11" t="inlineStr">
        <is>
          <t>ORITO</t>
        </is>
      </c>
      <c r="E1425" s="11" t="inlineStr">
        <is>
          <t>00000000</t>
        </is>
      </c>
      <c r="F1425" s="13" t="n">
        <v>-12</v>
      </c>
      <c r="G1425" s="11" t="n">
        <v>27060975.37</v>
      </c>
    </row>
    <row r="1426">
      <c r="A1426" s="11" t="n">
        <v>1425</v>
      </c>
      <c r="B1426" s="12" t="n">
        <v>46048</v>
      </c>
      <c r="C1426" s="11" t="inlineStr">
        <is>
          <t>RETEFUENTE DEPOSITOS ELECTRONICOS MASTERCAR</t>
        </is>
      </c>
      <c r="D1426" s="11" t="inlineStr">
        <is>
          <t>ORITO</t>
        </is>
      </c>
      <c r="E1426" s="11" t="inlineStr">
        <is>
          <t>00000000</t>
        </is>
      </c>
      <c r="F1426" s="13" t="n">
        <v>-2400</v>
      </c>
      <c r="G1426" s="11" t="n">
        <v>27058575.37</v>
      </c>
    </row>
    <row r="1427">
      <c r="A1427" s="11" t="n">
        <v>1426</v>
      </c>
      <c r="B1427" s="12" t="n">
        <v>46048</v>
      </c>
      <c r="C1427" s="11" t="inlineStr">
        <is>
          <t>GRAVAMEN A MOVIMIENTO FINANCIERO</t>
        </is>
      </c>
      <c r="D1427" s="11" t="inlineStr">
        <is>
          <t>ORITO</t>
        </is>
      </c>
      <c r="E1427" s="11" t="inlineStr">
        <is>
          <t>00000000</t>
        </is>
      </c>
      <c r="F1427" s="13" t="n">
        <v>-10</v>
      </c>
      <c r="G1427" s="11" t="n">
        <v>27058565.37</v>
      </c>
    </row>
    <row r="1428">
      <c r="A1428" s="11" t="n">
        <v>1427</v>
      </c>
      <c r="B1428" s="12" t="n">
        <v>46048</v>
      </c>
      <c r="C1428" s="11" t="inlineStr">
        <is>
          <t>DEPOSITOS ELECTRONICOS TRANSACCION MASTERCA</t>
        </is>
      </c>
      <c r="D1428" s="11" t="inlineStr">
        <is>
          <t>ORITO</t>
        </is>
      </c>
      <c r="E1428" s="11" t="inlineStr">
        <is>
          <t>00000000</t>
        </is>
      </c>
      <c r="F1428" s="13" t="n">
        <v>84000</v>
      </c>
      <c r="G1428" s="11" t="n">
        <v>27142565.37</v>
      </c>
    </row>
    <row r="1429">
      <c r="A1429" s="11" t="n">
        <v>1428</v>
      </c>
      <c r="B1429" s="12" t="n">
        <v>46048</v>
      </c>
      <c r="C1429" s="11" t="inlineStr">
        <is>
          <t>COMISION DEPOSITOS ELECTRONICOS MASTERCARD</t>
        </is>
      </c>
      <c r="D1429" s="11" t="inlineStr">
        <is>
          <t>ORITO</t>
        </is>
      </c>
      <c r="E1429" s="11" t="inlineStr">
        <is>
          <t>00000000</t>
        </is>
      </c>
      <c r="F1429" s="13" t="n">
        <v>-1596</v>
      </c>
      <c r="G1429" s="11" t="n">
        <v>27140969.37</v>
      </c>
    </row>
    <row r="1430">
      <c r="A1430" s="11" t="n">
        <v>1429</v>
      </c>
      <c r="B1430" s="12" t="n">
        <v>46048</v>
      </c>
      <c r="C1430" s="11" t="inlineStr">
        <is>
          <t>GRAVAMEN A MOVIMIENTO FINANCIERO</t>
        </is>
      </c>
      <c r="D1430" s="11" t="inlineStr">
        <is>
          <t>ORITO</t>
        </is>
      </c>
      <c r="E1430" s="11" t="inlineStr">
        <is>
          <t>00000000</t>
        </is>
      </c>
      <c r="F1430" s="13" t="n">
        <v>-6</v>
      </c>
      <c r="G1430" s="11" t="n">
        <v>27140963.37</v>
      </c>
    </row>
    <row r="1431">
      <c r="A1431" s="11" t="n">
        <v>1430</v>
      </c>
      <c r="B1431" s="12" t="n">
        <v>46048</v>
      </c>
      <c r="C1431" s="11" t="inlineStr">
        <is>
          <t>RETEFUENTE DEPOSITOS ELECTRONICOS MASTERCAR</t>
        </is>
      </c>
      <c r="D1431" s="11" t="inlineStr">
        <is>
          <t>ORITO</t>
        </is>
      </c>
      <c r="E1431" s="11" t="inlineStr">
        <is>
          <t>00000000</t>
        </is>
      </c>
      <c r="F1431" s="13" t="n">
        <v>-1260</v>
      </c>
      <c r="G1431" s="11" t="n">
        <v>27139703.37</v>
      </c>
    </row>
    <row r="1432">
      <c r="A1432" s="11" t="n">
        <v>1431</v>
      </c>
      <c r="B1432" s="12" t="n">
        <v>46048</v>
      </c>
      <c r="C1432" s="11" t="inlineStr">
        <is>
          <t>GRAVAMEN A MOVIMIENTO FINANCIERO</t>
        </is>
      </c>
      <c r="D1432" s="11" t="inlineStr">
        <is>
          <t>ORITO</t>
        </is>
      </c>
      <c r="E1432" s="11" t="inlineStr">
        <is>
          <t>00000000</t>
        </is>
      </c>
      <c r="F1432" s="13" t="n">
        <v>-5</v>
      </c>
      <c r="G1432" s="11" t="n">
        <v>27139698.37</v>
      </c>
    </row>
    <row r="1433">
      <c r="A1433" s="11" t="n">
        <v>1432</v>
      </c>
      <c r="B1433" s="12" t="n">
        <v>46049</v>
      </c>
      <c r="C1433" s="11" t="inlineStr">
        <is>
          <t>CONSIGNACION CREDIBANCO D E</t>
        </is>
      </c>
      <c r="D1433" s="11" t="inlineStr">
        <is>
          <t>ORITO</t>
        </is>
      </c>
      <c r="E1433" s="11" t="inlineStr">
        <is>
          <t>00000000</t>
        </is>
      </c>
      <c r="F1433" s="13" t="n">
        <v>223420</v>
      </c>
      <c r="G1433" s="11" t="n">
        <v>27363118.37</v>
      </c>
    </row>
    <row r="1434">
      <c r="A1434" s="11" t="n">
        <v>1433</v>
      </c>
      <c r="B1434" s="12" t="n">
        <v>46049</v>
      </c>
      <c r="C1434" s="11" t="inlineStr">
        <is>
          <t>COBRO COMISION DEPOSITOS ELECTRONICOS</t>
        </is>
      </c>
      <c r="D1434" s="11" t="inlineStr">
        <is>
          <t>ORITO</t>
        </is>
      </c>
      <c r="E1434" s="11" t="inlineStr">
        <is>
          <t>00000000</t>
        </is>
      </c>
      <c r="F1434" s="13" t="n">
        <v>-1810</v>
      </c>
      <c r="G1434" s="11" t="n">
        <v>27361308.37</v>
      </c>
    </row>
    <row r="1435">
      <c r="A1435" s="11" t="n">
        <v>1434</v>
      </c>
      <c r="B1435" s="12" t="n">
        <v>46049</v>
      </c>
      <c r="C1435" s="11" t="inlineStr">
        <is>
          <t>GRAVAMEN A MOVIMIENTO FINANCIERO</t>
        </is>
      </c>
      <c r="D1435" s="11" t="inlineStr">
        <is>
          <t>ORITO</t>
        </is>
      </c>
      <c r="E1435" s="11" t="inlineStr">
        <is>
          <t>00000000</t>
        </is>
      </c>
      <c r="F1435" s="13" t="n">
        <v>-7</v>
      </c>
      <c r="G1435" s="11" t="n">
        <v>27361301.37</v>
      </c>
    </row>
    <row r="1436">
      <c r="A1436" s="11" t="n">
        <v>1435</v>
      </c>
      <c r="B1436" s="12" t="n">
        <v>46049</v>
      </c>
      <c r="C1436" s="11" t="inlineStr">
        <is>
          <t>RETEFUENTE D E Y VOUCHER CREDIBANCO</t>
        </is>
      </c>
      <c r="D1436" s="11" t="inlineStr">
        <is>
          <t>ORITO</t>
        </is>
      </c>
      <c r="E1436" s="11" t="inlineStr">
        <is>
          <t>00000000</t>
        </is>
      </c>
      <c r="F1436" s="13" t="n">
        <v>-3351</v>
      </c>
      <c r="G1436" s="11" t="n">
        <v>27357950.37</v>
      </c>
    </row>
    <row r="1437">
      <c r="A1437" s="11" t="n">
        <v>1436</v>
      </c>
      <c r="B1437" s="12" t="n">
        <v>46049</v>
      </c>
      <c r="C1437" s="11" t="inlineStr">
        <is>
          <t>GRAVAMEN A MOVIMIENTO FINANCIERO</t>
        </is>
      </c>
      <c r="D1437" s="11" t="inlineStr">
        <is>
          <t>ORITO</t>
        </is>
      </c>
      <c r="E1437" s="11" t="inlineStr">
        <is>
          <t>00000000</t>
        </is>
      </c>
      <c r="F1437" s="13" t="n">
        <v>-13</v>
      </c>
      <c r="G1437" s="11" t="n">
        <v>27357937.37</v>
      </c>
    </row>
    <row r="1438">
      <c r="A1438" s="11" t="n">
        <v>1437</v>
      </c>
      <c r="B1438" s="12" t="n">
        <v>46049</v>
      </c>
      <c r="C1438" s="11" t="inlineStr">
        <is>
          <t>CONSIGNACION CREDIBANCO D E</t>
        </is>
      </c>
      <c r="D1438" s="11" t="inlineStr">
        <is>
          <t>ORITO</t>
        </is>
      </c>
      <c r="E1438" s="11" t="inlineStr">
        <is>
          <t>00000000</t>
        </is>
      </c>
      <c r="F1438" s="13" t="n">
        <v>28400</v>
      </c>
      <c r="G1438" s="11" t="n">
        <v>27386337.37</v>
      </c>
    </row>
    <row r="1439">
      <c r="A1439" s="11" t="n">
        <v>1438</v>
      </c>
      <c r="B1439" s="12" t="n">
        <v>46049</v>
      </c>
      <c r="C1439" s="11" t="inlineStr">
        <is>
          <t>COBRO COMISION DEPOSITOS ELECTRONICOS</t>
        </is>
      </c>
      <c r="D1439" s="11" t="inlineStr">
        <is>
          <t>ORITO</t>
        </is>
      </c>
      <c r="E1439" s="11" t="inlineStr">
        <is>
          <t>00000000</t>
        </is>
      </c>
      <c r="F1439" s="13" t="n">
        <v>-585</v>
      </c>
      <c r="G1439" s="11" t="n">
        <v>27385752.37</v>
      </c>
    </row>
    <row r="1440">
      <c r="A1440" s="11" t="n">
        <v>1439</v>
      </c>
      <c r="B1440" s="12" t="n">
        <v>46049</v>
      </c>
      <c r="C1440" s="11" t="inlineStr">
        <is>
          <t>GRAVAMEN A MOVIMIENTO FINANCIERO</t>
        </is>
      </c>
      <c r="D1440" s="11" t="inlineStr">
        <is>
          <t>ORITO</t>
        </is>
      </c>
      <c r="E1440" s="11" t="inlineStr">
        <is>
          <t>00000000</t>
        </is>
      </c>
      <c r="F1440" s="13" t="n">
        <v>-2</v>
      </c>
      <c r="G1440" s="11" t="n">
        <v>27385750.37</v>
      </c>
    </row>
    <row r="1441">
      <c r="A1441" s="11" t="n">
        <v>1440</v>
      </c>
      <c r="B1441" s="12" t="n">
        <v>46049</v>
      </c>
      <c r="C1441" s="11" t="inlineStr">
        <is>
          <t>RETEFUENTE D E Y VOUCHER CREDIBANCO</t>
        </is>
      </c>
      <c r="D1441" s="11" t="inlineStr">
        <is>
          <t>ORITO</t>
        </is>
      </c>
      <c r="E1441" s="11" t="inlineStr">
        <is>
          <t>00000000</t>
        </is>
      </c>
      <c r="F1441" s="13" t="n">
        <v>-426</v>
      </c>
      <c r="G1441" s="11" t="n">
        <v>27385324.37</v>
      </c>
    </row>
    <row r="1442">
      <c r="A1442" s="11" t="n">
        <v>1441</v>
      </c>
      <c r="B1442" s="12" t="n">
        <v>46049</v>
      </c>
      <c r="C1442" s="11" t="inlineStr">
        <is>
          <t>GRAVAMEN A MOVIMIENTO FINANCIERO</t>
        </is>
      </c>
      <c r="D1442" s="11" t="inlineStr">
        <is>
          <t>ORITO</t>
        </is>
      </c>
      <c r="E1442" s="11" t="inlineStr">
        <is>
          <t>00000000</t>
        </is>
      </c>
      <c r="F1442" s="13" t="n">
        <v>-2</v>
      </c>
      <c r="G1442" s="11" t="n">
        <v>27385322.37</v>
      </c>
    </row>
    <row r="1443">
      <c r="A1443" s="11" t="n">
        <v>1442</v>
      </c>
      <c r="B1443" s="12" t="n">
        <v>46049</v>
      </c>
      <c r="C1443" s="11" t="inlineStr">
        <is>
          <t>CONSIGNACION CREDIBANCO D E</t>
        </is>
      </c>
      <c r="D1443" s="11" t="inlineStr">
        <is>
          <t>ORITO</t>
        </is>
      </c>
      <c r="E1443" s="11" t="inlineStr">
        <is>
          <t>00000000</t>
        </is>
      </c>
      <c r="F1443" s="13" t="n">
        <v>40463</v>
      </c>
      <c r="G1443" s="11" t="n">
        <v>27425785.37</v>
      </c>
    </row>
    <row r="1444">
      <c r="A1444" s="11" t="n">
        <v>1443</v>
      </c>
      <c r="B1444" s="12" t="n">
        <v>46049</v>
      </c>
      <c r="C1444" s="11" t="inlineStr">
        <is>
          <t>COBRO COMISION DEPOSITOS ELECTRONICOS</t>
        </is>
      </c>
      <c r="D1444" s="11" t="inlineStr">
        <is>
          <t>ORITO</t>
        </is>
      </c>
      <c r="E1444" s="11" t="inlineStr">
        <is>
          <t>00000000</t>
        </is>
      </c>
      <c r="F1444" s="13" t="n">
        <v>-834</v>
      </c>
      <c r="G1444" s="11" t="n">
        <v>27424951.37</v>
      </c>
    </row>
    <row r="1445">
      <c r="A1445" s="11" t="n">
        <v>1444</v>
      </c>
      <c r="B1445" s="12" t="n">
        <v>46049</v>
      </c>
      <c r="C1445" s="11" t="inlineStr">
        <is>
          <t>GRAVAMEN A MOVIMIENTO FINANCIERO</t>
        </is>
      </c>
      <c r="D1445" s="11" t="inlineStr">
        <is>
          <t>ORITO</t>
        </is>
      </c>
      <c r="E1445" s="11" t="inlineStr">
        <is>
          <t>00000000</t>
        </is>
      </c>
      <c r="F1445" s="13" t="n">
        <v>-3</v>
      </c>
      <c r="G1445" s="11" t="n">
        <v>27424948.37</v>
      </c>
    </row>
    <row r="1446">
      <c r="A1446" s="11" t="n">
        <v>1445</v>
      </c>
      <c r="B1446" s="12" t="n">
        <v>46049</v>
      </c>
      <c r="C1446" s="11" t="inlineStr">
        <is>
          <t>RETEFUENTE D E Y VOUCHER CREDIBANCO</t>
        </is>
      </c>
      <c r="D1446" s="11" t="inlineStr">
        <is>
          <t>ORITO</t>
        </is>
      </c>
      <c r="E1446" s="11" t="inlineStr">
        <is>
          <t>00000000</t>
        </is>
      </c>
      <c r="F1446" s="13" t="n">
        <v>-607</v>
      </c>
      <c r="G1446" s="11" t="n">
        <v>27424341.37</v>
      </c>
    </row>
    <row r="1447">
      <c r="A1447" s="11" t="n">
        <v>1446</v>
      </c>
      <c r="B1447" s="12" t="n">
        <v>46049</v>
      </c>
      <c r="C1447" s="11" t="inlineStr">
        <is>
          <t>GRAVAMEN A MOVIMIENTO FINANCIERO</t>
        </is>
      </c>
      <c r="D1447" s="11" t="inlineStr">
        <is>
          <t>ORITO</t>
        </is>
      </c>
      <c r="E1447" s="11" t="inlineStr">
        <is>
          <t>00000000</t>
        </is>
      </c>
      <c r="F1447" s="13" t="n">
        <v>-2</v>
      </c>
      <c r="G1447" s="11" t="n">
        <v>27424339.37</v>
      </c>
    </row>
    <row r="1448">
      <c r="A1448" s="11" t="n">
        <v>1447</v>
      </c>
      <c r="B1448" s="12" t="n">
        <v>46049</v>
      </c>
      <c r="C1448" s="11" t="inlineStr">
        <is>
          <t>CONSIGNACION CREDIBANCO D E</t>
        </is>
      </c>
      <c r="D1448" s="11" t="inlineStr">
        <is>
          <t>ORITO</t>
        </is>
      </c>
      <c r="E1448" s="11" t="inlineStr">
        <is>
          <t>00000000</t>
        </is>
      </c>
      <c r="F1448" s="13" t="n">
        <v>53300</v>
      </c>
      <c r="G1448" s="11" t="n">
        <v>27477639.37</v>
      </c>
    </row>
    <row r="1449">
      <c r="A1449" s="11" t="n">
        <v>1448</v>
      </c>
      <c r="B1449" s="12" t="n">
        <v>46049</v>
      </c>
      <c r="C1449" s="11" t="inlineStr">
        <is>
          <t>COBRO COMISION DEPOSITOS ELECTRONICOS</t>
        </is>
      </c>
      <c r="D1449" s="11" t="inlineStr">
        <is>
          <t>ORITO</t>
        </is>
      </c>
      <c r="E1449" s="11" t="inlineStr">
        <is>
          <t>00000000</t>
        </is>
      </c>
      <c r="F1449" s="13" t="n">
        <v>-1151</v>
      </c>
      <c r="G1449" s="11" t="n">
        <v>27476488.37</v>
      </c>
    </row>
    <row r="1450">
      <c r="A1450" s="11" t="n">
        <v>1449</v>
      </c>
      <c r="B1450" s="12" t="n">
        <v>46049</v>
      </c>
      <c r="C1450" s="11" t="inlineStr">
        <is>
          <t>GRAVAMEN A MOVIMIENTO FINANCIERO</t>
        </is>
      </c>
      <c r="D1450" s="11" t="inlineStr">
        <is>
          <t>ORITO</t>
        </is>
      </c>
      <c r="E1450" s="11" t="inlineStr">
        <is>
          <t>00000000</t>
        </is>
      </c>
      <c r="F1450" s="13" t="n">
        <v>-5</v>
      </c>
      <c r="G1450" s="11" t="n">
        <v>27476483.37</v>
      </c>
    </row>
    <row r="1451">
      <c r="A1451" s="11" t="n">
        <v>1450</v>
      </c>
      <c r="B1451" s="12" t="n">
        <v>46049</v>
      </c>
      <c r="C1451" s="11" t="inlineStr">
        <is>
          <t>RETEFUENTE D E Y VOUCHER CREDIBANCO</t>
        </is>
      </c>
      <c r="D1451" s="11" t="inlineStr">
        <is>
          <t>ORITO</t>
        </is>
      </c>
      <c r="E1451" s="11" t="inlineStr">
        <is>
          <t>00000000</t>
        </is>
      </c>
      <c r="F1451" s="13" t="n">
        <v>-800</v>
      </c>
      <c r="G1451" s="11" t="n">
        <v>27475683.37</v>
      </c>
    </row>
    <row r="1452">
      <c r="A1452" s="11" t="n">
        <v>1451</v>
      </c>
      <c r="B1452" s="12" t="n">
        <v>46049</v>
      </c>
      <c r="C1452" s="11" t="inlineStr">
        <is>
          <t>GRAVAMEN A MOVIMIENTO FINANCIERO</t>
        </is>
      </c>
      <c r="D1452" s="11" t="inlineStr">
        <is>
          <t>ORITO</t>
        </is>
      </c>
      <c r="E1452" s="11" t="inlineStr">
        <is>
          <t>00000000</t>
        </is>
      </c>
      <c r="F1452" s="13" t="n">
        <v>-3</v>
      </c>
      <c r="G1452" s="11" t="n">
        <v>27475680.37</v>
      </c>
    </row>
    <row r="1453">
      <c r="A1453" s="11" t="n">
        <v>1452</v>
      </c>
      <c r="B1453" s="12" t="n">
        <v>46049</v>
      </c>
      <c r="C1453" s="11" t="inlineStr">
        <is>
          <t>CONSIGNACION CREDIBANCO D E</t>
        </is>
      </c>
      <c r="D1453" s="11" t="inlineStr">
        <is>
          <t>ORITO</t>
        </is>
      </c>
      <c r="E1453" s="11" t="inlineStr">
        <is>
          <t>00000000</t>
        </is>
      </c>
      <c r="F1453" s="13" t="n">
        <v>22500</v>
      </c>
      <c r="G1453" s="11" t="n">
        <v>27498180.37</v>
      </c>
    </row>
    <row r="1454">
      <c r="A1454" s="11" t="n">
        <v>1453</v>
      </c>
      <c r="B1454" s="12" t="n">
        <v>46049</v>
      </c>
      <c r="C1454" s="11" t="inlineStr">
        <is>
          <t>COBRO COMISION DEPOSITOS ELECTRONICOS</t>
        </is>
      </c>
      <c r="D1454" s="11" t="inlineStr">
        <is>
          <t>ORITO</t>
        </is>
      </c>
      <c r="E1454" s="11" t="inlineStr">
        <is>
          <t>00000000</t>
        </is>
      </c>
      <c r="F1454" s="13" t="n">
        <v>-486</v>
      </c>
      <c r="G1454" s="11" t="n">
        <v>27497694.37</v>
      </c>
    </row>
    <row r="1455">
      <c r="A1455" s="11" t="n">
        <v>1454</v>
      </c>
      <c r="B1455" s="12" t="n">
        <v>46049</v>
      </c>
      <c r="C1455" s="11" t="inlineStr">
        <is>
          <t>GRAVAMEN A MOVIMIENTO FINANCIERO</t>
        </is>
      </c>
      <c r="D1455" s="11" t="inlineStr">
        <is>
          <t>ORITO</t>
        </is>
      </c>
      <c r="E1455" s="11" t="inlineStr">
        <is>
          <t>00000000</t>
        </is>
      </c>
      <c r="F1455" s="13" t="n">
        <v>-2</v>
      </c>
      <c r="G1455" s="11" t="n">
        <v>27497692.37</v>
      </c>
    </row>
    <row r="1456">
      <c r="A1456" s="11" t="n">
        <v>1455</v>
      </c>
      <c r="B1456" s="12" t="n">
        <v>46049</v>
      </c>
      <c r="C1456" s="11" t="inlineStr">
        <is>
          <t>RETEFUENTE D E Y VOUCHER CREDIBANCO</t>
        </is>
      </c>
      <c r="D1456" s="11" t="inlineStr">
        <is>
          <t>ORITO</t>
        </is>
      </c>
      <c r="E1456" s="11" t="inlineStr">
        <is>
          <t>00000000</t>
        </is>
      </c>
      <c r="F1456" s="13" t="n">
        <v>-338</v>
      </c>
      <c r="G1456" s="11" t="n">
        <v>27497354.37</v>
      </c>
    </row>
    <row r="1457">
      <c r="A1457" s="11" t="n">
        <v>1456</v>
      </c>
      <c r="B1457" s="12" t="n">
        <v>46049</v>
      </c>
      <c r="C1457" s="11" t="inlineStr">
        <is>
          <t>GRAVAMEN A MOVIMIENTO FINANCIERO</t>
        </is>
      </c>
      <c r="D1457" s="11" t="inlineStr">
        <is>
          <t>ORITO</t>
        </is>
      </c>
      <c r="E1457" s="11" t="inlineStr">
        <is>
          <t>00000000</t>
        </is>
      </c>
      <c r="F1457" s="13" t="n">
        <v>-1</v>
      </c>
      <c r="G1457" s="11" t="n">
        <v>27497353.37</v>
      </c>
    </row>
    <row r="1458">
      <c r="A1458" s="11" t="n">
        <v>1457</v>
      </c>
      <c r="B1458" s="12" t="n">
        <v>46049</v>
      </c>
      <c r="C1458" s="11" t="inlineStr">
        <is>
          <t>CONSIGNACION CREDIBANCO D E</t>
        </is>
      </c>
      <c r="D1458" s="11" t="inlineStr">
        <is>
          <t>ORITO</t>
        </is>
      </c>
      <c r="E1458" s="11" t="inlineStr">
        <is>
          <t>00000000</t>
        </is>
      </c>
      <c r="F1458" s="13" t="n">
        <v>61300</v>
      </c>
      <c r="G1458" s="11" t="n">
        <v>27558653.37</v>
      </c>
    </row>
    <row r="1459">
      <c r="A1459" s="11" t="n">
        <v>1458</v>
      </c>
      <c r="B1459" s="12" t="n">
        <v>46049</v>
      </c>
      <c r="C1459" s="11" t="inlineStr">
        <is>
          <t>COBRO COMISION DEPOSITOS ELECTRONICOS</t>
        </is>
      </c>
      <c r="D1459" s="11" t="inlineStr">
        <is>
          <t>ORITO</t>
        </is>
      </c>
      <c r="E1459" s="11" t="inlineStr">
        <is>
          <t>00000000</t>
        </is>
      </c>
      <c r="F1459" s="13" t="n">
        <v>-1342</v>
      </c>
      <c r="G1459" s="11" t="n">
        <v>27557311.37</v>
      </c>
    </row>
    <row r="1460">
      <c r="A1460" s="11" t="n">
        <v>1459</v>
      </c>
      <c r="B1460" s="12" t="n">
        <v>46049</v>
      </c>
      <c r="C1460" s="11" t="inlineStr">
        <is>
          <t>GRAVAMEN A MOVIMIENTO FINANCIERO</t>
        </is>
      </c>
      <c r="D1460" s="11" t="inlineStr">
        <is>
          <t>ORITO</t>
        </is>
      </c>
      <c r="E1460" s="11" t="inlineStr">
        <is>
          <t>00000000</t>
        </is>
      </c>
      <c r="F1460" s="13" t="n">
        <v>-5</v>
      </c>
      <c r="G1460" s="11" t="n">
        <v>27557306.37</v>
      </c>
    </row>
    <row r="1461">
      <c r="A1461" s="11" t="n">
        <v>1460</v>
      </c>
      <c r="B1461" s="12" t="n">
        <v>46049</v>
      </c>
      <c r="C1461" s="11" t="inlineStr">
        <is>
          <t>RETEFUENTE D E Y VOUCHER CREDIBANCO</t>
        </is>
      </c>
      <c r="D1461" s="11" t="inlineStr">
        <is>
          <t>ORITO</t>
        </is>
      </c>
      <c r="E1461" s="11" t="inlineStr">
        <is>
          <t>00000000</t>
        </is>
      </c>
      <c r="F1461" s="13" t="n">
        <v>-920</v>
      </c>
      <c r="G1461" s="11" t="n">
        <v>27556386.37</v>
      </c>
    </row>
    <row r="1462">
      <c r="A1462" s="11" t="n">
        <v>1461</v>
      </c>
      <c r="B1462" s="12" t="n">
        <v>46049</v>
      </c>
      <c r="C1462" s="11" t="inlineStr">
        <is>
          <t>GRAVAMEN A MOVIMIENTO FINANCIERO</t>
        </is>
      </c>
      <c r="D1462" s="11" t="inlineStr">
        <is>
          <t>ORITO</t>
        </is>
      </c>
      <c r="E1462" s="11" t="inlineStr">
        <is>
          <t>00000000</t>
        </is>
      </c>
      <c r="F1462" s="13" t="n">
        <v>-4</v>
      </c>
      <c r="G1462" s="11" t="n">
        <v>27556382.37</v>
      </c>
    </row>
    <row r="1463">
      <c r="A1463" s="11" t="n">
        <v>1462</v>
      </c>
      <c r="B1463" s="12" t="n">
        <v>46049</v>
      </c>
      <c r="C1463" s="11" t="inlineStr">
        <is>
          <t>CONSIGNACION CREDIBANCO D E</t>
        </is>
      </c>
      <c r="D1463" s="11" t="inlineStr">
        <is>
          <t>ORITO</t>
        </is>
      </c>
      <c r="E1463" s="11" t="inlineStr">
        <is>
          <t>00000000</t>
        </is>
      </c>
      <c r="F1463" s="13" t="n">
        <v>40400</v>
      </c>
      <c r="G1463" s="11" t="n">
        <v>27596782.37</v>
      </c>
    </row>
    <row r="1464">
      <c r="A1464" s="11" t="n">
        <v>1463</v>
      </c>
      <c r="B1464" s="12" t="n">
        <v>46049</v>
      </c>
      <c r="C1464" s="11" t="inlineStr">
        <is>
          <t>COBRO COMISION DEPOSITOS ELECTRONICOS</t>
        </is>
      </c>
      <c r="D1464" s="11" t="inlineStr">
        <is>
          <t>ORITO</t>
        </is>
      </c>
      <c r="E1464" s="11" t="inlineStr">
        <is>
          <t>00000000</t>
        </is>
      </c>
      <c r="F1464" s="13" t="n">
        <v>-885</v>
      </c>
      <c r="G1464" s="11" t="n">
        <v>27595897.37</v>
      </c>
    </row>
    <row r="1465">
      <c r="A1465" s="11" t="n">
        <v>1464</v>
      </c>
      <c r="B1465" s="12" t="n">
        <v>46049</v>
      </c>
      <c r="C1465" s="11" t="inlineStr">
        <is>
          <t>GRAVAMEN A MOVIMIENTO FINANCIERO</t>
        </is>
      </c>
      <c r="D1465" s="11" t="inlineStr">
        <is>
          <t>ORITO</t>
        </is>
      </c>
      <c r="E1465" s="11" t="inlineStr">
        <is>
          <t>00000000</t>
        </is>
      </c>
      <c r="F1465" s="13" t="n">
        <v>-4</v>
      </c>
      <c r="G1465" s="11" t="n">
        <v>27595893.37</v>
      </c>
    </row>
    <row r="1466">
      <c r="A1466" s="11" t="n">
        <v>1465</v>
      </c>
      <c r="B1466" s="12" t="n">
        <v>46049</v>
      </c>
      <c r="C1466" s="11" t="inlineStr">
        <is>
          <t>RETEFUENTE D E Y VOUCHER CREDIBANCO</t>
        </is>
      </c>
      <c r="D1466" s="11" t="inlineStr">
        <is>
          <t>ORITO</t>
        </is>
      </c>
      <c r="E1466" s="11" t="inlineStr">
        <is>
          <t>00000000</t>
        </is>
      </c>
      <c r="F1466" s="13" t="n">
        <v>-606</v>
      </c>
      <c r="G1466" s="11" t="n">
        <v>27595287.37</v>
      </c>
    </row>
    <row r="1467">
      <c r="A1467" s="11" t="n">
        <v>1466</v>
      </c>
      <c r="B1467" s="12" t="n">
        <v>46049</v>
      </c>
      <c r="C1467" s="11" t="inlineStr">
        <is>
          <t>GRAVAMEN A MOVIMIENTO FINANCIERO</t>
        </is>
      </c>
      <c r="D1467" s="11" t="inlineStr">
        <is>
          <t>ORITO</t>
        </is>
      </c>
      <c r="E1467" s="11" t="inlineStr">
        <is>
          <t>00000000</t>
        </is>
      </c>
      <c r="F1467" s="13" t="n">
        <v>-2</v>
      </c>
      <c r="G1467" s="11" t="n">
        <v>27595285.37</v>
      </c>
    </row>
    <row r="1468">
      <c r="A1468" s="11" t="n">
        <v>1467</v>
      </c>
      <c r="B1468" s="12" t="n">
        <v>46049</v>
      </c>
      <c r="C1468" s="11" t="inlineStr">
        <is>
          <t>CONSIGNACION CREDIBANCO D E</t>
        </is>
      </c>
      <c r="D1468" s="11" t="inlineStr">
        <is>
          <t>ORITO</t>
        </is>
      </c>
      <c r="E1468" s="11" t="inlineStr">
        <is>
          <t>00000000</t>
        </is>
      </c>
      <c r="F1468" s="13" t="n">
        <v>48000</v>
      </c>
      <c r="G1468" s="11" t="n">
        <v>27643285.37</v>
      </c>
    </row>
    <row r="1469">
      <c r="A1469" s="11" t="n">
        <v>1468</v>
      </c>
      <c r="B1469" s="12" t="n">
        <v>46049</v>
      </c>
      <c r="C1469" s="11" t="inlineStr">
        <is>
          <t>COBRO COMISION DEPOSITOS ELECTRONICOS</t>
        </is>
      </c>
      <c r="D1469" s="11" t="inlineStr">
        <is>
          <t>ORITO</t>
        </is>
      </c>
      <c r="E1469" s="11" t="inlineStr">
        <is>
          <t>00000000</t>
        </is>
      </c>
      <c r="F1469" s="13" t="n">
        <v>-1051</v>
      </c>
      <c r="G1469" s="11" t="n">
        <v>27642234.37</v>
      </c>
    </row>
    <row r="1470">
      <c r="A1470" s="11" t="n">
        <v>1469</v>
      </c>
      <c r="B1470" s="12" t="n">
        <v>46049</v>
      </c>
      <c r="C1470" s="11" t="inlineStr">
        <is>
          <t>GRAVAMEN A MOVIMIENTO FINANCIERO</t>
        </is>
      </c>
      <c r="D1470" s="11" t="inlineStr">
        <is>
          <t>ORITO</t>
        </is>
      </c>
      <c r="E1470" s="11" t="inlineStr">
        <is>
          <t>00000000</t>
        </is>
      </c>
      <c r="F1470" s="13" t="n">
        <v>-4</v>
      </c>
      <c r="G1470" s="11" t="n">
        <v>27642230.37</v>
      </c>
    </row>
    <row r="1471">
      <c r="A1471" s="11" t="n">
        <v>1470</v>
      </c>
      <c r="B1471" s="12" t="n">
        <v>46049</v>
      </c>
      <c r="C1471" s="11" t="inlineStr">
        <is>
          <t>RETEFUENTE D E Y VOUCHER CREDIBANCO</t>
        </is>
      </c>
      <c r="D1471" s="11" t="inlineStr">
        <is>
          <t>ORITO</t>
        </is>
      </c>
      <c r="E1471" s="11" t="inlineStr">
        <is>
          <t>00000000</t>
        </is>
      </c>
      <c r="F1471" s="13" t="n">
        <v>-720</v>
      </c>
      <c r="G1471" s="11" t="n">
        <v>27641510.37</v>
      </c>
    </row>
    <row r="1472">
      <c r="A1472" s="11" t="n">
        <v>1471</v>
      </c>
      <c r="B1472" s="12" t="n">
        <v>46049</v>
      </c>
      <c r="C1472" s="11" t="inlineStr">
        <is>
          <t>GRAVAMEN A MOVIMIENTO FINANCIERO</t>
        </is>
      </c>
      <c r="D1472" s="11" t="inlineStr">
        <is>
          <t>ORITO</t>
        </is>
      </c>
      <c r="E1472" s="11" t="inlineStr">
        <is>
          <t>00000000</t>
        </is>
      </c>
      <c r="F1472" s="13" t="n">
        <v>-3</v>
      </c>
      <c r="G1472" s="11" t="n">
        <v>27641507.37</v>
      </c>
    </row>
    <row r="1473">
      <c r="A1473" s="11" t="n">
        <v>1472</v>
      </c>
      <c r="B1473" s="12" t="n">
        <v>46049</v>
      </c>
      <c r="C1473" s="11" t="inlineStr">
        <is>
          <t>CONSIGNACION CREDIBANCO D E</t>
        </is>
      </c>
      <c r="D1473" s="11" t="inlineStr">
        <is>
          <t>ORITO</t>
        </is>
      </c>
      <c r="E1473" s="11" t="inlineStr">
        <is>
          <t>00000000</t>
        </is>
      </c>
      <c r="F1473" s="13" t="n">
        <v>54200</v>
      </c>
      <c r="G1473" s="11" t="n">
        <v>27695707.37</v>
      </c>
    </row>
    <row r="1474">
      <c r="A1474" s="11" t="n">
        <v>1473</v>
      </c>
      <c r="B1474" s="12" t="n">
        <v>46049</v>
      </c>
      <c r="C1474" s="11" t="inlineStr">
        <is>
          <t>COBRO COMISION DEPOSITOS ELECTRONICOS</t>
        </is>
      </c>
      <c r="D1474" s="11" t="inlineStr">
        <is>
          <t>ORITO</t>
        </is>
      </c>
      <c r="E1474" s="11" t="inlineStr">
        <is>
          <t>00000000</t>
        </is>
      </c>
      <c r="F1474" s="13" t="n">
        <v>-1171</v>
      </c>
      <c r="G1474" s="11" t="n">
        <v>27694536.37</v>
      </c>
    </row>
    <row r="1475">
      <c r="A1475" s="11" t="n">
        <v>1474</v>
      </c>
      <c r="B1475" s="12" t="n">
        <v>46049</v>
      </c>
      <c r="C1475" s="11" t="inlineStr">
        <is>
          <t>GRAVAMEN A MOVIMIENTO FINANCIERO</t>
        </is>
      </c>
      <c r="D1475" s="11" t="inlineStr">
        <is>
          <t>ORITO</t>
        </is>
      </c>
      <c r="E1475" s="11" t="inlineStr">
        <is>
          <t>00000000</t>
        </is>
      </c>
      <c r="F1475" s="13" t="n">
        <v>-5</v>
      </c>
      <c r="G1475" s="11" t="n">
        <v>27694531.37</v>
      </c>
    </row>
    <row r="1476">
      <c r="A1476" s="11" t="n">
        <v>1475</v>
      </c>
      <c r="B1476" s="12" t="n">
        <v>46049</v>
      </c>
      <c r="C1476" s="11" t="inlineStr">
        <is>
          <t>RETEFUENTE D E Y VOUCHER CREDIBANCO</t>
        </is>
      </c>
      <c r="D1476" s="11" t="inlineStr">
        <is>
          <t>ORITO</t>
        </is>
      </c>
      <c r="E1476" s="11" t="inlineStr">
        <is>
          <t>00000000</t>
        </is>
      </c>
      <c r="F1476" s="13" t="n">
        <v>-813</v>
      </c>
      <c r="G1476" s="11" t="n">
        <v>27693718.37</v>
      </c>
    </row>
    <row r="1477">
      <c r="A1477" s="11" t="n">
        <v>1476</v>
      </c>
      <c r="B1477" s="12" t="n">
        <v>46049</v>
      </c>
      <c r="C1477" s="11" t="inlineStr">
        <is>
          <t>GRAVAMEN A MOVIMIENTO FINANCIERO</t>
        </is>
      </c>
      <c r="D1477" s="11" t="inlineStr">
        <is>
          <t>ORITO</t>
        </is>
      </c>
      <c r="E1477" s="11" t="inlineStr">
        <is>
          <t>00000000</t>
        </is>
      </c>
      <c r="F1477" s="13" t="n">
        <v>-3</v>
      </c>
      <c r="G1477" s="11" t="n">
        <v>27693715.37</v>
      </c>
    </row>
    <row r="1478">
      <c r="A1478" s="11" t="n">
        <v>1477</v>
      </c>
      <c r="B1478" s="12" t="n">
        <v>46049</v>
      </c>
      <c r="C1478" s="11" t="inlineStr">
        <is>
          <t>DEPOSITOS ELECTRONICOS TRANSACCION MASTERCA</t>
        </is>
      </c>
      <c r="D1478" s="11" t="inlineStr">
        <is>
          <t>ORITO</t>
        </is>
      </c>
      <c r="E1478" s="11" t="inlineStr">
        <is>
          <t>00000000</t>
        </is>
      </c>
      <c r="F1478" s="13" t="n">
        <v>29800</v>
      </c>
      <c r="G1478" s="11" t="n">
        <v>27723515.37</v>
      </c>
    </row>
    <row r="1479">
      <c r="A1479" s="11" t="n">
        <v>1478</v>
      </c>
      <c r="B1479" s="12" t="n">
        <v>46049</v>
      </c>
      <c r="C1479" s="11" t="inlineStr">
        <is>
          <t>COMISION DEPOSITOS ELECTRONICOS MASTERCARD</t>
        </is>
      </c>
      <c r="D1479" s="11" t="inlineStr">
        <is>
          <t>ORITO</t>
        </is>
      </c>
      <c r="E1479" s="11" t="inlineStr">
        <is>
          <t>00000000</t>
        </is>
      </c>
      <c r="F1479" s="13" t="n">
        <v>-566</v>
      </c>
      <c r="G1479" s="11" t="n">
        <v>27722949.37</v>
      </c>
    </row>
    <row r="1480">
      <c r="A1480" s="11" t="n">
        <v>1479</v>
      </c>
      <c r="B1480" s="12" t="n">
        <v>46049</v>
      </c>
      <c r="C1480" s="11" t="inlineStr">
        <is>
          <t>GRAVAMEN A MOVIMIENTO FINANCIERO</t>
        </is>
      </c>
      <c r="D1480" s="11" t="inlineStr">
        <is>
          <t>ORITO</t>
        </is>
      </c>
      <c r="E1480" s="11" t="inlineStr">
        <is>
          <t>00000000</t>
        </is>
      </c>
      <c r="F1480" s="13" t="n">
        <v>-2</v>
      </c>
      <c r="G1480" s="11" t="n">
        <v>27722947.37</v>
      </c>
    </row>
    <row r="1481">
      <c r="A1481" s="11" t="n">
        <v>1480</v>
      </c>
      <c r="B1481" s="12" t="n">
        <v>46049</v>
      </c>
      <c r="C1481" s="11" t="inlineStr">
        <is>
          <t>RETEFUENTE DEPOSITOS ELECTRONICOS MASTERCAR</t>
        </is>
      </c>
      <c r="D1481" s="11" t="inlineStr">
        <is>
          <t>ORITO</t>
        </is>
      </c>
      <c r="E1481" s="11" t="inlineStr">
        <is>
          <t>00000000</t>
        </is>
      </c>
      <c r="F1481" s="13" t="n">
        <v>-447</v>
      </c>
      <c r="G1481" s="11" t="n">
        <v>27722500.37</v>
      </c>
    </row>
    <row r="1482">
      <c r="A1482" s="11" t="n">
        <v>1481</v>
      </c>
      <c r="B1482" s="12" t="n">
        <v>46049</v>
      </c>
      <c r="C1482" s="11" t="inlineStr">
        <is>
          <t>GRAVAMEN A MOVIMIENTO FINANCIERO</t>
        </is>
      </c>
      <c r="D1482" s="11" t="inlineStr">
        <is>
          <t>ORITO</t>
        </is>
      </c>
      <c r="E1482" s="11" t="inlineStr">
        <is>
          <t>00000000</t>
        </is>
      </c>
      <c r="F1482" s="13" t="n">
        <v>-2</v>
      </c>
      <c r="G1482" s="11" t="n">
        <v>27722498.37</v>
      </c>
    </row>
    <row r="1483">
      <c r="A1483" s="11" t="n">
        <v>1482</v>
      </c>
      <c r="B1483" s="12" t="n">
        <v>46050</v>
      </c>
      <c r="C1483" s="11" t="inlineStr">
        <is>
          <t>CONSIGNACION CREDIBANCO D E</t>
        </is>
      </c>
      <c r="D1483" s="11" t="inlineStr">
        <is>
          <t>ORITO</t>
        </is>
      </c>
      <c r="E1483" s="11" t="inlineStr">
        <is>
          <t>00000000</t>
        </is>
      </c>
      <c r="F1483" s="13" t="n">
        <v>21200</v>
      </c>
      <c r="G1483" s="11" t="n">
        <v>27743698.37</v>
      </c>
    </row>
    <row r="1484">
      <c r="A1484" s="11" t="n">
        <v>1483</v>
      </c>
      <c r="B1484" s="12" t="n">
        <v>46050</v>
      </c>
      <c r="C1484" s="11" t="inlineStr">
        <is>
          <t>COBRO COMISION DEPOSITOS ELECTRONICOS</t>
        </is>
      </c>
      <c r="D1484" s="11" t="inlineStr">
        <is>
          <t>ORITO</t>
        </is>
      </c>
      <c r="E1484" s="11" t="inlineStr">
        <is>
          <t>00000000</t>
        </is>
      </c>
      <c r="F1484" s="13" t="n">
        <v>-437</v>
      </c>
      <c r="G1484" s="11" t="n">
        <v>27743261.37</v>
      </c>
    </row>
    <row r="1485">
      <c r="A1485" s="11" t="n">
        <v>1484</v>
      </c>
      <c r="B1485" s="12" t="n">
        <v>46050</v>
      </c>
      <c r="C1485" s="11" t="inlineStr">
        <is>
          <t>GRAVAMEN A MOVIMIENTO FINANCIERO</t>
        </is>
      </c>
      <c r="D1485" s="11" t="inlineStr">
        <is>
          <t>ORITO</t>
        </is>
      </c>
      <c r="E1485" s="11" t="inlineStr">
        <is>
          <t>00000000</t>
        </is>
      </c>
      <c r="F1485" s="13" t="n">
        <v>-2</v>
      </c>
      <c r="G1485" s="11" t="n">
        <v>27743259.37</v>
      </c>
    </row>
    <row r="1486">
      <c r="A1486" s="11" t="n">
        <v>1485</v>
      </c>
      <c r="B1486" s="12" t="n">
        <v>46050</v>
      </c>
      <c r="C1486" s="11" t="inlineStr">
        <is>
          <t>RETEFUENTE D E Y VOUCHER CREDIBANCO</t>
        </is>
      </c>
      <c r="D1486" s="11" t="inlineStr">
        <is>
          <t>ORITO</t>
        </is>
      </c>
      <c r="E1486" s="11" t="inlineStr">
        <is>
          <t>00000000</t>
        </is>
      </c>
      <c r="F1486" s="13" t="n">
        <v>-318</v>
      </c>
      <c r="G1486" s="11" t="n">
        <v>27742941.37</v>
      </c>
    </row>
    <row r="1487">
      <c r="A1487" s="11" t="n">
        <v>1486</v>
      </c>
      <c r="B1487" s="12" t="n">
        <v>46050</v>
      </c>
      <c r="C1487" s="11" t="inlineStr">
        <is>
          <t>GRAVAMEN A MOVIMIENTO FINANCIERO</t>
        </is>
      </c>
      <c r="D1487" s="11" t="inlineStr">
        <is>
          <t>ORITO</t>
        </is>
      </c>
      <c r="E1487" s="11" t="inlineStr">
        <is>
          <t>00000000</t>
        </is>
      </c>
      <c r="F1487" s="13" t="n">
        <v>-1</v>
      </c>
      <c r="G1487" s="11" t="n">
        <v>27742940.37</v>
      </c>
    </row>
    <row r="1488">
      <c r="A1488" s="11" t="n">
        <v>1487</v>
      </c>
      <c r="B1488" s="12" t="n">
        <v>46050</v>
      </c>
      <c r="C1488" s="11" t="inlineStr">
        <is>
          <t>CONSIGNACION CREDIBANCO D E</t>
        </is>
      </c>
      <c r="D1488" s="11" t="inlineStr">
        <is>
          <t>ORITO</t>
        </is>
      </c>
      <c r="E1488" s="11" t="inlineStr">
        <is>
          <t>00000000</t>
        </is>
      </c>
      <c r="F1488" s="13" t="n">
        <v>614400</v>
      </c>
      <c r="G1488" s="11" t="n">
        <v>28357340.37</v>
      </c>
    </row>
    <row r="1489">
      <c r="A1489" s="11" t="n">
        <v>1488</v>
      </c>
      <c r="B1489" s="12" t="n">
        <v>46050</v>
      </c>
      <c r="C1489" s="11" t="inlineStr">
        <is>
          <t>COBRO COMISION DEPOSITOS ELECTRONICOS</t>
        </is>
      </c>
      <c r="D1489" s="11" t="inlineStr">
        <is>
          <t>ORITO</t>
        </is>
      </c>
      <c r="E1489" s="11" t="inlineStr">
        <is>
          <t>00000000</t>
        </is>
      </c>
      <c r="F1489" s="13" t="n">
        <v>-13271</v>
      </c>
      <c r="G1489" s="11" t="n">
        <v>28344069.37</v>
      </c>
    </row>
    <row r="1490">
      <c r="A1490" s="11" t="n">
        <v>1489</v>
      </c>
      <c r="B1490" s="12" t="n">
        <v>46050</v>
      </c>
      <c r="C1490" s="11" t="inlineStr">
        <is>
          <t>GRAVAMEN A MOVIMIENTO FINANCIERO</t>
        </is>
      </c>
      <c r="D1490" s="11" t="inlineStr">
        <is>
          <t>ORITO</t>
        </is>
      </c>
      <c r="E1490" s="11" t="inlineStr">
        <is>
          <t>00000000</t>
        </is>
      </c>
      <c r="F1490" s="13" t="n">
        <v>-53</v>
      </c>
      <c r="G1490" s="11" t="n">
        <v>28344016.37</v>
      </c>
    </row>
    <row r="1491">
      <c r="A1491" s="11" t="n">
        <v>1490</v>
      </c>
      <c r="B1491" s="12" t="n">
        <v>46050</v>
      </c>
      <c r="C1491" s="11" t="inlineStr">
        <is>
          <t>RETEFUENTE D E Y VOUCHER CREDIBANCO</t>
        </is>
      </c>
      <c r="D1491" s="11" t="inlineStr">
        <is>
          <t>ORITO</t>
        </is>
      </c>
      <c r="E1491" s="11" t="inlineStr">
        <is>
          <t>00000000</t>
        </is>
      </c>
      <c r="F1491" s="13" t="n">
        <v>-9216</v>
      </c>
      <c r="G1491" s="11" t="n">
        <v>28334800.37</v>
      </c>
    </row>
    <row r="1492">
      <c r="A1492" s="11" t="n">
        <v>1491</v>
      </c>
      <c r="B1492" s="12" t="n">
        <v>46050</v>
      </c>
      <c r="C1492" s="11" t="inlineStr">
        <is>
          <t>GRAVAMEN A MOVIMIENTO FINANCIERO</t>
        </is>
      </c>
      <c r="D1492" s="11" t="inlineStr">
        <is>
          <t>ORITO</t>
        </is>
      </c>
      <c r="E1492" s="11" t="inlineStr">
        <is>
          <t>00000000</t>
        </is>
      </c>
      <c r="F1492" s="13" t="n">
        <v>-37</v>
      </c>
      <c r="G1492" s="11" t="n">
        <v>28334763.37</v>
      </c>
    </row>
    <row r="1493">
      <c r="A1493" s="11" t="n">
        <v>1492</v>
      </c>
      <c r="B1493" s="12" t="n">
        <v>46050</v>
      </c>
      <c r="C1493" s="11" t="inlineStr">
        <is>
          <t>CONSIGNACION CREDIBANCO D E</t>
        </is>
      </c>
      <c r="D1493" s="11" t="inlineStr">
        <is>
          <t>ORITO</t>
        </is>
      </c>
      <c r="E1493" s="11" t="inlineStr">
        <is>
          <t>00000000</t>
        </is>
      </c>
      <c r="F1493" s="13" t="n">
        <v>29900</v>
      </c>
      <c r="G1493" s="11" t="n">
        <v>28364663.37</v>
      </c>
    </row>
    <row r="1494">
      <c r="A1494" s="11" t="n">
        <v>1493</v>
      </c>
      <c r="B1494" s="12" t="n">
        <v>46050</v>
      </c>
      <c r="C1494" s="11" t="inlineStr">
        <is>
          <t>COBRO COMISION DEPOSITOS ELECTRONICOS</t>
        </is>
      </c>
      <c r="D1494" s="11" t="inlineStr">
        <is>
          <t>ORITO</t>
        </is>
      </c>
      <c r="E1494" s="11" t="inlineStr">
        <is>
          <t>00000000</t>
        </is>
      </c>
      <c r="F1494" s="13" t="n">
        <v>-646</v>
      </c>
      <c r="G1494" s="11" t="n">
        <v>28364017.37</v>
      </c>
    </row>
    <row r="1495">
      <c r="A1495" s="11" t="n">
        <v>1494</v>
      </c>
      <c r="B1495" s="12" t="n">
        <v>46050</v>
      </c>
      <c r="C1495" s="11" t="inlineStr">
        <is>
          <t>GRAVAMEN A MOVIMIENTO FINANCIERO</t>
        </is>
      </c>
      <c r="D1495" s="11" t="inlineStr">
        <is>
          <t>ORITO</t>
        </is>
      </c>
      <c r="E1495" s="11" t="inlineStr">
        <is>
          <t>00000000</t>
        </is>
      </c>
      <c r="F1495" s="13" t="n">
        <v>-3</v>
      </c>
      <c r="G1495" s="11" t="n">
        <v>28364014.37</v>
      </c>
    </row>
    <row r="1496">
      <c r="A1496" s="11" t="n">
        <v>1495</v>
      </c>
      <c r="B1496" s="12" t="n">
        <v>46050</v>
      </c>
      <c r="C1496" s="11" t="inlineStr">
        <is>
          <t>RETEFUENTE D E Y VOUCHER CREDIBANCO</t>
        </is>
      </c>
      <c r="D1496" s="11" t="inlineStr">
        <is>
          <t>ORITO</t>
        </is>
      </c>
      <c r="E1496" s="11" t="inlineStr">
        <is>
          <t>00000000</t>
        </is>
      </c>
      <c r="F1496" s="13" t="n">
        <v>-449</v>
      </c>
      <c r="G1496" s="11" t="n">
        <v>28363565.37</v>
      </c>
    </row>
    <row r="1497">
      <c r="A1497" s="11" t="n">
        <v>1496</v>
      </c>
      <c r="B1497" s="12" t="n">
        <v>46050</v>
      </c>
      <c r="C1497" s="11" t="inlineStr">
        <is>
          <t>GRAVAMEN A MOVIMIENTO FINANCIERO</t>
        </is>
      </c>
      <c r="D1497" s="11" t="inlineStr">
        <is>
          <t>ORITO</t>
        </is>
      </c>
      <c r="E1497" s="11" t="inlineStr">
        <is>
          <t>00000000</t>
        </is>
      </c>
      <c r="F1497" s="13" t="n">
        <v>-2</v>
      </c>
      <c r="G1497" s="11" t="n">
        <v>28363563.37</v>
      </c>
    </row>
    <row r="1498">
      <c r="A1498" s="11" t="n">
        <v>1497</v>
      </c>
      <c r="B1498" s="12" t="n">
        <v>46050</v>
      </c>
      <c r="C1498" s="11" t="inlineStr">
        <is>
          <t>CONSIGNACION CREDIBANCO D E</t>
        </is>
      </c>
      <c r="D1498" s="11" t="inlineStr">
        <is>
          <t>ORITO</t>
        </is>
      </c>
      <c r="E1498" s="11" t="inlineStr">
        <is>
          <t>00000000</t>
        </is>
      </c>
      <c r="F1498" s="13" t="n">
        <v>55000</v>
      </c>
      <c r="G1498" s="11" t="n">
        <v>28418563.37</v>
      </c>
    </row>
    <row r="1499">
      <c r="A1499" s="11" t="n">
        <v>1498</v>
      </c>
      <c r="B1499" s="12" t="n">
        <v>46050</v>
      </c>
      <c r="C1499" s="11" t="inlineStr">
        <is>
          <t>COBRO COMISION DEPOSITOS ELECTRONICOS</t>
        </is>
      </c>
      <c r="D1499" s="11" t="inlineStr">
        <is>
          <t>ORITO</t>
        </is>
      </c>
      <c r="E1499" s="11" t="inlineStr">
        <is>
          <t>00000000</t>
        </is>
      </c>
      <c r="F1499" s="13" t="n">
        <v>-1188</v>
      </c>
      <c r="G1499" s="11" t="n">
        <v>28417375.37</v>
      </c>
    </row>
    <row r="1500">
      <c r="A1500" s="11" t="n">
        <v>1499</v>
      </c>
      <c r="B1500" s="12" t="n">
        <v>46050</v>
      </c>
      <c r="C1500" s="11" t="inlineStr">
        <is>
          <t>GRAVAMEN A MOVIMIENTO FINANCIERO</t>
        </is>
      </c>
      <c r="D1500" s="11" t="inlineStr">
        <is>
          <t>ORITO</t>
        </is>
      </c>
      <c r="E1500" s="11" t="inlineStr">
        <is>
          <t>00000000</t>
        </is>
      </c>
      <c r="F1500" s="13" t="n">
        <v>-5</v>
      </c>
      <c r="G1500" s="11" t="n">
        <v>28417370.37</v>
      </c>
    </row>
    <row r="1501">
      <c r="A1501" s="11" t="n">
        <v>1500</v>
      </c>
      <c r="B1501" s="12" t="n">
        <v>46050</v>
      </c>
      <c r="C1501" s="11" t="inlineStr">
        <is>
          <t>RETEFUENTE D E Y VOUCHER CREDIBANCO</t>
        </is>
      </c>
      <c r="D1501" s="11" t="inlineStr">
        <is>
          <t>ORITO</t>
        </is>
      </c>
      <c r="E1501" s="11" t="inlineStr">
        <is>
          <t>00000000</t>
        </is>
      </c>
      <c r="F1501" s="13" t="n">
        <v>-825</v>
      </c>
      <c r="G1501" s="11" t="n">
        <v>28416545.37</v>
      </c>
    </row>
    <row r="1502">
      <c r="A1502" s="11" t="n">
        <v>1501</v>
      </c>
      <c r="B1502" s="12" t="n">
        <v>46050</v>
      </c>
      <c r="C1502" s="11" t="inlineStr">
        <is>
          <t>GRAVAMEN A MOVIMIENTO FINANCIERO</t>
        </is>
      </c>
      <c r="D1502" s="11" t="inlineStr">
        <is>
          <t>ORITO</t>
        </is>
      </c>
      <c r="E1502" s="11" t="inlineStr">
        <is>
          <t>00000000</t>
        </is>
      </c>
      <c r="F1502" s="13" t="n">
        <v>-3</v>
      </c>
      <c r="G1502" s="11" t="n">
        <v>28416542.37</v>
      </c>
    </row>
    <row r="1503">
      <c r="A1503" s="11" t="n">
        <v>1502</v>
      </c>
      <c r="B1503" s="12" t="n">
        <v>46050</v>
      </c>
      <c r="C1503" s="11" t="inlineStr">
        <is>
          <t>CONSIGNACION CREDIBANCO D E</t>
        </is>
      </c>
      <c r="D1503" s="11" t="inlineStr">
        <is>
          <t>ORITO</t>
        </is>
      </c>
      <c r="E1503" s="11" t="inlineStr">
        <is>
          <t>00000000</t>
        </is>
      </c>
      <c r="F1503" s="13" t="n">
        <v>356400</v>
      </c>
      <c r="G1503" s="11" t="n">
        <v>28772942.37</v>
      </c>
    </row>
    <row r="1504">
      <c r="A1504" s="11" t="n">
        <v>1503</v>
      </c>
      <c r="B1504" s="12" t="n">
        <v>46050</v>
      </c>
      <c r="C1504" s="11" t="inlineStr">
        <is>
          <t>COBRO COMISION DEPOSITOS ELECTRONICOS</t>
        </is>
      </c>
      <c r="D1504" s="11" t="inlineStr">
        <is>
          <t>ORITO</t>
        </is>
      </c>
      <c r="E1504" s="11" t="inlineStr">
        <is>
          <t>00000000</t>
        </is>
      </c>
      <c r="F1504" s="13" t="n">
        <v>-7698</v>
      </c>
      <c r="G1504" s="11" t="n">
        <v>28765244.37</v>
      </c>
    </row>
    <row r="1505">
      <c r="A1505" s="11" t="n">
        <v>1504</v>
      </c>
      <c r="B1505" s="12" t="n">
        <v>46050</v>
      </c>
      <c r="C1505" s="11" t="inlineStr">
        <is>
          <t>GRAVAMEN A MOVIMIENTO FINANCIERO</t>
        </is>
      </c>
      <c r="D1505" s="11" t="inlineStr">
        <is>
          <t>ORITO</t>
        </is>
      </c>
      <c r="E1505" s="11" t="inlineStr">
        <is>
          <t>00000000</t>
        </is>
      </c>
      <c r="F1505" s="13" t="n">
        <v>-31</v>
      </c>
      <c r="G1505" s="11" t="n">
        <v>28765213.37</v>
      </c>
    </row>
    <row r="1506">
      <c r="A1506" s="11" t="n">
        <v>1505</v>
      </c>
      <c r="B1506" s="12" t="n">
        <v>46050</v>
      </c>
      <c r="C1506" s="11" t="inlineStr">
        <is>
          <t>RETEFUENTE D E Y VOUCHER CREDIBANCO</t>
        </is>
      </c>
      <c r="D1506" s="11" t="inlineStr">
        <is>
          <t>ORITO</t>
        </is>
      </c>
      <c r="E1506" s="11" t="inlineStr">
        <is>
          <t>00000000</t>
        </is>
      </c>
      <c r="F1506" s="13" t="n">
        <v>-5346</v>
      </c>
      <c r="G1506" s="11" t="n">
        <v>28759867.37</v>
      </c>
    </row>
    <row r="1507">
      <c r="A1507" s="11" t="n">
        <v>1506</v>
      </c>
      <c r="B1507" s="12" t="n">
        <v>46050</v>
      </c>
      <c r="C1507" s="11" t="inlineStr">
        <is>
          <t>GRAVAMEN A MOVIMIENTO FINANCIERO</t>
        </is>
      </c>
      <c r="D1507" s="11" t="inlineStr">
        <is>
          <t>ORITO</t>
        </is>
      </c>
      <c r="E1507" s="11" t="inlineStr">
        <is>
          <t>00000000</t>
        </is>
      </c>
      <c r="F1507" s="13" t="n">
        <v>-21</v>
      </c>
      <c r="G1507" s="11" t="n">
        <v>28759846.37</v>
      </c>
    </row>
    <row r="1508">
      <c r="A1508" s="11" t="n">
        <v>1507</v>
      </c>
      <c r="B1508" s="12" t="n">
        <v>46050</v>
      </c>
      <c r="C1508" s="11" t="inlineStr">
        <is>
          <t>CONSIGNACION CREDIBANCO D E</t>
        </is>
      </c>
      <c r="D1508" s="11" t="inlineStr">
        <is>
          <t>ORITO</t>
        </is>
      </c>
      <c r="E1508" s="11" t="inlineStr">
        <is>
          <t>00000000</t>
        </is>
      </c>
      <c r="F1508" s="13" t="n">
        <v>60000</v>
      </c>
      <c r="G1508" s="11" t="n">
        <v>28819846.37</v>
      </c>
    </row>
    <row r="1509">
      <c r="A1509" s="11" t="n">
        <v>1508</v>
      </c>
      <c r="B1509" s="12" t="n">
        <v>46050</v>
      </c>
      <c r="C1509" s="11" t="inlineStr">
        <is>
          <t>COBRO COMISION DEPOSITOS ELECTRONICOS</t>
        </is>
      </c>
      <c r="D1509" s="11" t="inlineStr">
        <is>
          <t>ORITO</t>
        </is>
      </c>
      <c r="E1509" s="11" t="inlineStr">
        <is>
          <t>00000000</t>
        </is>
      </c>
      <c r="F1509" s="13" t="n">
        <v>-1296</v>
      </c>
      <c r="G1509" s="11" t="n">
        <v>28818550.37</v>
      </c>
    </row>
    <row r="1510">
      <c r="A1510" s="11" t="n">
        <v>1509</v>
      </c>
      <c r="B1510" s="12" t="n">
        <v>46050</v>
      </c>
      <c r="C1510" s="11" t="inlineStr">
        <is>
          <t>GRAVAMEN A MOVIMIENTO FINANCIERO</t>
        </is>
      </c>
      <c r="D1510" s="11" t="inlineStr">
        <is>
          <t>ORITO</t>
        </is>
      </c>
      <c r="E1510" s="11" t="inlineStr">
        <is>
          <t>00000000</t>
        </is>
      </c>
      <c r="F1510" s="13" t="n">
        <v>-5</v>
      </c>
      <c r="G1510" s="11" t="n">
        <v>28818545.37</v>
      </c>
    </row>
    <row r="1511">
      <c r="A1511" s="11" t="n">
        <v>1510</v>
      </c>
      <c r="B1511" s="12" t="n">
        <v>46050</v>
      </c>
      <c r="C1511" s="11" t="inlineStr">
        <is>
          <t>RETEFUENTE D E Y VOUCHER CREDIBANCO</t>
        </is>
      </c>
      <c r="D1511" s="11" t="inlineStr">
        <is>
          <t>ORITO</t>
        </is>
      </c>
      <c r="E1511" s="11" t="inlineStr">
        <is>
          <t>00000000</t>
        </is>
      </c>
      <c r="F1511" s="13" t="n">
        <v>-900</v>
      </c>
      <c r="G1511" s="11" t="n">
        <v>28817645.37</v>
      </c>
    </row>
    <row r="1512">
      <c r="A1512" s="11" t="n">
        <v>1511</v>
      </c>
      <c r="B1512" s="12" t="n">
        <v>46050</v>
      </c>
      <c r="C1512" s="11" t="inlineStr">
        <is>
          <t>GRAVAMEN A MOVIMIENTO FINANCIERO</t>
        </is>
      </c>
      <c r="D1512" s="11" t="inlineStr">
        <is>
          <t>ORITO</t>
        </is>
      </c>
      <c r="E1512" s="11" t="inlineStr">
        <is>
          <t>00000000</t>
        </is>
      </c>
      <c r="F1512" s="13" t="n">
        <v>-4</v>
      </c>
      <c r="G1512" s="11" t="n">
        <v>28817641.37</v>
      </c>
    </row>
    <row r="1513">
      <c r="A1513" s="11" t="n">
        <v>1512</v>
      </c>
      <c r="B1513" s="12" t="n">
        <v>46050</v>
      </c>
      <c r="C1513" s="11" t="inlineStr">
        <is>
          <t>INTERNET TRANSFERENCIAS ENTRE TERCEROS INTE</t>
        </is>
      </c>
      <c r="D1513" s="11" t="inlineStr">
        <is>
          <t>INTERNET BANCA</t>
        </is>
      </c>
      <c r="E1513" s="11" t="inlineStr">
        <is>
          <t>00000000</t>
        </is>
      </c>
      <c r="F1513" s="13" t="n">
        <v>-11807785</v>
      </c>
      <c r="G1513" s="11" t="n">
        <v>17009856.37</v>
      </c>
    </row>
    <row r="1514">
      <c r="A1514" s="11" t="n">
        <v>1513</v>
      </c>
      <c r="B1514" s="12" t="n">
        <v>46050</v>
      </c>
      <c r="C1514" s="11" t="inlineStr">
        <is>
          <t>GRAVAMEN A MOVIMIENTO FINANCIERO</t>
        </is>
      </c>
      <c r="D1514" s="11" t="inlineStr">
        <is>
          <t>INTERNET BANCA</t>
        </is>
      </c>
      <c r="E1514" s="11" t="inlineStr">
        <is>
          <t>00000000</t>
        </is>
      </c>
      <c r="F1514" s="13" t="n">
        <v>-47231</v>
      </c>
      <c r="G1514" s="11" t="n">
        <v>16962625.37</v>
      </c>
    </row>
    <row r="1515">
      <c r="A1515" s="11" t="n">
        <v>1514</v>
      </c>
      <c r="B1515" s="12" t="n">
        <v>46050</v>
      </c>
      <c r="C1515" s="11" t="inlineStr">
        <is>
          <t>INTERNET TRANSFERENCIAS ENTRE TERCEROS INTE</t>
        </is>
      </c>
      <c r="D1515" s="11" t="inlineStr">
        <is>
          <t>INTERNET BANCA</t>
        </is>
      </c>
      <c r="E1515" s="11" t="inlineStr">
        <is>
          <t>00000000</t>
        </is>
      </c>
      <c r="F1515" s="13" t="n">
        <v>-2125898</v>
      </c>
      <c r="G1515" s="11" t="n">
        <v>14836727.37</v>
      </c>
    </row>
    <row r="1516">
      <c r="A1516" s="11" t="n">
        <v>1515</v>
      </c>
      <c r="B1516" s="12" t="n">
        <v>46050</v>
      </c>
      <c r="C1516" s="11" t="inlineStr">
        <is>
          <t>GRAVAMEN A MOVIMIENTO FINANCIERO</t>
        </is>
      </c>
      <c r="D1516" s="11" t="inlineStr">
        <is>
          <t>INTERNET BANCA</t>
        </is>
      </c>
      <c r="E1516" s="11" t="inlineStr">
        <is>
          <t>00000000</t>
        </is>
      </c>
      <c r="F1516" s="13" t="n">
        <v>-8504</v>
      </c>
      <c r="G1516" s="11" t="n">
        <v>14828223.37</v>
      </c>
    </row>
    <row r="1517">
      <c r="A1517" s="11" t="n">
        <v>1516</v>
      </c>
      <c r="B1517" s="12" t="n">
        <v>46051</v>
      </c>
      <c r="C1517" s="11" t="inlineStr">
        <is>
          <t>CONSIGNACION CREDIBANCO D E</t>
        </is>
      </c>
      <c r="D1517" s="11" t="inlineStr">
        <is>
          <t>ORITO</t>
        </is>
      </c>
      <c r="E1517" s="11" t="inlineStr">
        <is>
          <t>00000000</t>
        </is>
      </c>
      <c r="F1517" s="13" t="n">
        <v>48500</v>
      </c>
      <c r="G1517" s="11" t="n">
        <v>14876723.37</v>
      </c>
    </row>
    <row r="1518">
      <c r="A1518" s="11" t="n">
        <v>1517</v>
      </c>
      <c r="B1518" s="12" t="n">
        <v>46051</v>
      </c>
      <c r="C1518" s="11" t="inlineStr">
        <is>
          <t>COBRO COMISION DEPOSITOS ELECTRONICOS</t>
        </is>
      </c>
      <c r="D1518" s="11" t="inlineStr">
        <is>
          <t>ORITO</t>
        </is>
      </c>
      <c r="E1518" s="11" t="inlineStr">
        <is>
          <t>00000000</t>
        </is>
      </c>
      <c r="F1518" s="13" t="n">
        <v>-999</v>
      </c>
      <c r="G1518" s="11" t="n">
        <v>14875724.37</v>
      </c>
    </row>
    <row r="1519">
      <c r="A1519" s="11" t="n">
        <v>1518</v>
      </c>
      <c r="B1519" s="12" t="n">
        <v>46051</v>
      </c>
      <c r="C1519" s="11" t="inlineStr">
        <is>
          <t>GRAVAMEN A MOVIMIENTO FINANCIERO</t>
        </is>
      </c>
      <c r="D1519" s="11" t="inlineStr">
        <is>
          <t>ORITO</t>
        </is>
      </c>
      <c r="E1519" s="11" t="inlineStr">
        <is>
          <t>00000000</t>
        </is>
      </c>
      <c r="F1519" s="13" t="n">
        <v>-4</v>
      </c>
      <c r="G1519" s="11" t="n">
        <v>14875720.37</v>
      </c>
    </row>
    <row r="1520">
      <c r="A1520" s="11" t="n">
        <v>1519</v>
      </c>
      <c r="B1520" s="12" t="n">
        <v>46051</v>
      </c>
      <c r="C1520" s="11" t="inlineStr">
        <is>
          <t>RETEFUENTE D E Y VOUCHER CREDIBANCO</t>
        </is>
      </c>
      <c r="D1520" s="11" t="inlineStr">
        <is>
          <t>ORITO</t>
        </is>
      </c>
      <c r="E1520" s="11" t="inlineStr">
        <is>
          <t>00000000</t>
        </is>
      </c>
      <c r="F1520" s="13" t="n">
        <v>-728</v>
      </c>
      <c r="G1520" s="11" t="n">
        <v>14874992.37</v>
      </c>
    </row>
    <row r="1521">
      <c r="A1521" s="11" t="n">
        <v>1520</v>
      </c>
      <c r="B1521" s="12" t="n">
        <v>46051</v>
      </c>
      <c r="C1521" s="11" t="inlineStr">
        <is>
          <t>GRAVAMEN A MOVIMIENTO FINANCIERO</t>
        </is>
      </c>
      <c r="D1521" s="11" t="inlineStr">
        <is>
          <t>ORITO</t>
        </is>
      </c>
      <c r="E1521" s="11" t="inlineStr">
        <is>
          <t>00000000</t>
        </is>
      </c>
      <c r="F1521" s="13" t="n">
        <v>-3</v>
      </c>
      <c r="G1521" s="11" t="n">
        <v>14874989.37</v>
      </c>
    </row>
    <row r="1522">
      <c r="A1522" s="11" t="n">
        <v>1521</v>
      </c>
      <c r="B1522" s="12" t="n">
        <v>46051</v>
      </c>
      <c r="C1522" s="11" t="inlineStr">
        <is>
          <t>CONSIGNACION CREDIBANCO D E</t>
        </is>
      </c>
      <c r="D1522" s="11" t="inlineStr">
        <is>
          <t>ORITO</t>
        </is>
      </c>
      <c r="E1522" s="11" t="inlineStr">
        <is>
          <t>00000000</t>
        </is>
      </c>
      <c r="F1522" s="13" t="n">
        <v>33900</v>
      </c>
      <c r="G1522" s="11" t="n">
        <v>14908889.37</v>
      </c>
    </row>
    <row r="1523">
      <c r="A1523" s="11" t="n">
        <v>1522</v>
      </c>
      <c r="B1523" s="12" t="n">
        <v>46051</v>
      </c>
      <c r="C1523" s="11" t="inlineStr">
        <is>
          <t>COBRO COMISION DEPOSITOS ELECTRONICOS</t>
        </is>
      </c>
      <c r="D1523" s="11" t="inlineStr">
        <is>
          <t>ORITO</t>
        </is>
      </c>
      <c r="E1523" s="11" t="inlineStr">
        <is>
          <t>00000000</t>
        </is>
      </c>
      <c r="F1523" s="13" t="n">
        <v>-698</v>
      </c>
      <c r="G1523" s="11" t="n">
        <v>14908191.37</v>
      </c>
    </row>
    <row r="1524">
      <c r="A1524" s="11" t="n">
        <v>1523</v>
      </c>
      <c r="B1524" s="12" t="n">
        <v>46051</v>
      </c>
      <c r="C1524" s="11" t="inlineStr">
        <is>
          <t>GRAVAMEN A MOVIMIENTO FINANCIERO</t>
        </is>
      </c>
      <c r="D1524" s="11" t="inlineStr">
        <is>
          <t>ORITO</t>
        </is>
      </c>
      <c r="E1524" s="11" t="inlineStr">
        <is>
          <t>00000000</t>
        </is>
      </c>
      <c r="F1524" s="13" t="n">
        <v>-3</v>
      </c>
      <c r="G1524" s="11" t="n">
        <v>14908188.37</v>
      </c>
    </row>
    <row r="1525">
      <c r="A1525" s="11" t="n">
        <v>1524</v>
      </c>
      <c r="B1525" s="12" t="n">
        <v>46051</v>
      </c>
      <c r="C1525" s="11" t="inlineStr">
        <is>
          <t>RETEFUENTE D E Y VOUCHER CREDIBANCO</t>
        </is>
      </c>
      <c r="D1525" s="11" t="inlineStr">
        <is>
          <t>ORITO</t>
        </is>
      </c>
      <c r="E1525" s="11" t="inlineStr">
        <is>
          <t>00000000</t>
        </is>
      </c>
      <c r="F1525" s="13" t="n">
        <v>-509</v>
      </c>
      <c r="G1525" s="11" t="n">
        <v>14907679.37</v>
      </c>
    </row>
    <row r="1526">
      <c r="A1526" s="11" t="n">
        <v>1525</v>
      </c>
      <c r="B1526" s="12" t="n">
        <v>46051</v>
      </c>
      <c r="C1526" s="11" t="inlineStr">
        <is>
          <t>GRAVAMEN A MOVIMIENTO FINANCIERO</t>
        </is>
      </c>
      <c r="D1526" s="11" t="inlineStr">
        <is>
          <t>ORITO</t>
        </is>
      </c>
      <c r="E1526" s="11" t="inlineStr">
        <is>
          <t>00000000</t>
        </is>
      </c>
      <c r="F1526" s="13" t="n">
        <v>-2</v>
      </c>
      <c r="G1526" s="11" t="n">
        <v>14907677.37</v>
      </c>
    </row>
    <row r="1527">
      <c r="A1527" s="11" t="n">
        <v>1526</v>
      </c>
      <c r="B1527" s="12" t="n">
        <v>46051</v>
      </c>
      <c r="C1527" s="11" t="inlineStr">
        <is>
          <t>CONSIGNACION CREDIBANCO D E</t>
        </is>
      </c>
      <c r="D1527" s="11" t="inlineStr">
        <is>
          <t>ORITO</t>
        </is>
      </c>
      <c r="E1527" s="11" t="inlineStr">
        <is>
          <t>00000000</t>
        </is>
      </c>
      <c r="F1527" s="13" t="n">
        <v>88080</v>
      </c>
      <c r="G1527" s="11" t="n">
        <v>14995757.37</v>
      </c>
    </row>
    <row r="1528">
      <c r="A1528" s="11" t="n">
        <v>1527</v>
      </c>
      <c r="B1528" s="12" t="n">
        <v>46051</v>
      </c>
      <c r="C1528" s="11" t="inlineStr">
        <is>
          <t>COBRO COMISION DEPOSITOS ELECTRONICOS</t>
        </is>
      </c>
      <c r="D1528" s="11" t="inlineStr">
        <is>
          <t>ORITO</t>
        </is>
      </c>
      <c r="E1528" s="11" t="inlineStr">
        <is>
          <t>00000000</t>
        </is>
      </c>
      <c r="F1528" s="13" t="n">
        <v>-1903</v>
      </c>
      <c r="G1528" s="11" t="n">
        <v>14993854.37</v>
      </c>
    </row>
    <row r="1529">
      <c r="A1529" s="11" t="n">
        <v>1528</v>
      </c>
      <c r="B1529" s="12" t="n">
        <v>46051</v>
      </c>
      <c r="C1529" s="11" t="inlineStr">
        <is>
          <t>GRAVAMEN A MOVIMIENTO FINANCIERO</t>
        </is>
      </c>
      <c r="D1529" s="11" t="inlineStr">
        <is>
          <t>ORITO</t>
        </is>
      </c>
      <c r="E1529" s="11" t="inlineStr">
        <is>
          <t>00000000</t>
        </is>
      </c>
      <c r="F1529" s="13" t="n">
        <v>-8</v>
      </c>
      <c r="G1529" s="11" t="n">
        <v>14993846.37</v>
      </c>
    </row>
    <row r="1530">
      <c r="A1530" s="11" t="n">
        <v>1529</v>
      </c>
      <c r="B1530" s="12" t="n">
        <v>46051</v>
      </c>
      <c r="C1530" s="11" t="inlineStr">
        <is>
          <t>RETEFUENTE D E Y VOUCHER CREDIBANCO</t>
        </is>
      </c>
      <c r="D1530" s="11" t="inlineStr">
        <is>
          <t>ORITO</t>
        </is>
      </c>
      <c r="E1530" s="11" t="inlineStr">
        <is>
          <t>00000000</t>
        </is>
      </c>
      <c r="F1530" s="13" t="n">
        <v>-1321</v>
      </c>
      <c r="G1530" s="11" t="n">
        <v>14992525.37</v>
      </c>
    </row>
    <row r="1531">
      <c r="A1531" s="11" t="n">
        <v>1530</v>
      </c>
      <c r="B1531" s="12" t="n">
        <v>46051</v>
      </c>
      <c r="C1531" s="11" t="inlineStr">
        <is>
          <t>GRAVAMEN A MOVIMIENTO FINANCIERO</t>
        </is>
      </c>
      <c r="D1531" s="11" t="inlineStr">
        <is>
          <t>ORITO</t>
        </is>
      </c>
      <c r="E1531" s="11" t="inlineStr">
        <is>
          <t>00000000</t>
        </is>
      </c>
      <c r="F1531" s="13" t="n">
        <v>-5</v>
      </c>
      <c r="G1531" s="11" t="n">
        <v>14992520.37</v>
      </c>
    </row>
    <row r="1532">
      <c r="A1532" s="11" t="n">
        <v>1531</v>
      </c>
      <c r="B1532" s="12" t="n">
        <v>46051</v>
      </c>
      <c r="C1532" s="11" t="inlineStr">
        <is>
          <t>CONSIGNACION CREDIBANCO D E</t>
        </is>
      </c>
      <c r="D1532" s="11" t="inlineStr">
        <is>
          <t>ORITO</t>
        </is>
      </c>
      <c r="E1532" s="11" t="inlineStr">
        <is>
          <t>00000000</t>
        </is>
      </c>
      <c r="F1532" s="13" t="n">
        <v>137900</v>
      </c>
      <c r="G1532" s="11" t="n">
        <v>15130420.37</v>
      </c>
    </row>
    <row r="1533">
      <c r="A1533" s="11" t="n">
        <v>1532</v>
      </c>
      <c r="B1533" s="12" t="n">
        <v>46051</v>
      </c>
      <c r="C1533" s="11" t="inlineStr">
        <is>
          <t>COBRO COMISION DEPOSITOS ELECTRONICOS</t>
        </is>
      </c>
      <c r="D1533" s="11" t="inlineStr">
        <is>
          <t>ORITO</t>
        </is>
      </c>
      <c r="E1533" s="11" t="inlineStr">
        <is>
          <t>00000000</t>
        </is>
      </c>
      <c r="F1533" s="13" t="n">
        <v>-2979</v>
      </c>
      <c r="G1533" s="11" t="n">
        <v>15127441.37</v>
      </c>
    </row>
    <row r="1534">
      <c r="A1534" s="11" t="n">
        <v>1533</v>
      </c>
      <c r="B1534" s="12" t="n">
        <v>46051</v>
      </c>
      <c r="C1534" s="11" t="inlineStr">
        <is>
          <t>GRAVAMEN A MOVIMIENTO FINANCIERO</t>
        </is>
      </c>
      <c r="D1534" s="11" t="inlineStr">
        <is>
          <t>ORITO</t>
        </is>
      </c>
      <c r="E1534" s="11" t="inlineStr">
        <is>
          <t>00000000</t>
        </is>
      </c>
      <c r="F1534" s="13" t="n">
        <v>-12</v>
      </c>
      <c r="G1534" s="11" t="n">
        <v>15127429.37</v>
      </c>
    </row>
    <row r="1535">
      <c r="A1535" s="11" t="n">
        <v>1534</v>
      </c>
      <c r="B1535" s="12" t="n">
        <v>46051</v>
      </c>
      <c r="C1535" s="11" t="inlineStr">
        <is>
          <t>RETEFUENTE D E Y VOUCHER CREDIBANCO</t>
        </is>
      </c>
      <c r="D1535" s="11" t="inlineStr">
        <is>
          <t>ORITO</t>
        </is>
      </c>
      <c r="E1535" s="11" t="inlineStr">
        <is>
          <t>00000000</t>
        </is>
      </c>
      <c r="F1535" s="13" t="n">
        <v>-2069</v>
      </c>
      <c r="G1535" s="11" t="n">
        <v>15125360.37</v>
      </c>
    </row>
    <row r="1536">
      <c r="A1536" s="11" t="n">
        <v>1535</v>
      </c>
      <c r="B1536" s="12" t="n">
        <v>46051</v>
      </c>
      <c r="C1536" s="11" t="inlineStr">
        <is>
          <t>GRAVAMEN A MOVIMIENTO FINANCIERO</t>
        </is>
      </c>
      <c r="D1536" s="11" t="inlineStr">
        <is>
          <t>ORITO</t>
        </is>
      </c>
      <c r="E1536" s="11" t="inlineStr">
        <is>
          <t>00000000</t>
        </is>
      </c>
      <c r="F1536" s="13" t="n">
        <v>-8</v>
      </c>
      <c r="G1536" s="11" t="n">
        <v>15125352.37</v>
      </c>
    </row>
    <row r="1537">
      <c r="A1537" s="11" t="n">
        <v>1536</v>
      </c>
      <c r="B1537" s="12" t="n">
        <v>46051</v>
      </c>
      <c r="C1537" s="11" t="inlineStr">
        <is>
          <t>CONSIGNACION CREDIBANCO D E</t>
        </is>
      </c>
      <c r="D1537" s="11" t="inlineStr">
        <is>
          <t>ORITO</t>
        </is>
      </c>
      <c r="E1537" s="11" t="inlineStr">
        <is>
          <t>00000000</t>
        </is>
      </c>
      <c r="F1537" s="13" t="n">
        <v>52200</v>
      </c>
      <c r="G1537" s="11" t="n">
        <v>15177552.37</v>
      </c>
    </row>
    <row r="1538">
      <c r="A1538" s="11" t="n">
        <v>1537</v>
      </c>
      <c r="B1538" s="12" t="n">
        <v>46051</v>
      </c>
      <c r="C1538" s="11" t="inlineStr">
        <is>
          <t>COBRO COMISION DEPOSITOS ELECTRONICOS</t>
        </is>
      </c>
      <c r="D1538" s="11" t="inlineStr">
        <is>
          <t>ORITO</t>
        </is>
      </c>
      <c r="E1538" s="11" t="inlineStr">
        <is>
          <t>00000000</t>
        </is>
      </c>
      <c r="F1538" s="13" t="n">
        <v>-1128</v>
      </c>
      <c r="G1538" s="11" t="n">
        <v>15176424.37</v>
      </c>
    </row>
    <row r="1539">
      <c r="A1539" s="11" t="n">
        <v>1538</v>
      </c>
      <c r="B1539" s="12" t="n">
        <v>46051</v>
      </c>
      <c r="C1539" s="11" t="inlineStr">
        <is>
          <t>GRAVAMEN A MOVIMIENTO FINANCIERO</t>
        </is>
      </c>
      <c r="D1539" s="11" t="inlineStr">
        <is>
          <t>ORITO</t>
        </is>
      </c>
      <c r="E1539" s="11" t="inlineStr">
        <is>
          <t>00000000</t>
        </is>
      </c>
      <c r="F1539" s="13" t="n">
        <v>-5</v>
      </c>
      <c r="G1539" s="11" t="n">
        <v>15176419.37</v>
      </c>
    </row>
    <row r="1540">
      <c r="A1540" s="11" t="n">
        <v>1539</v>
      </c>
      <c r="B1540" s="12" t="n">
        <v>46051</v>
      </c>
      <c r="C1540" s="11" t="inlineStr">
        <is>
          <t>RETEFUENTE D E Y VOUCHER CREDIBANCO</t>
        </is>
      </c>
      <c r="D1540" s="11" t="inlineStr">
        <is>
          <t>ORITO</t>
        </is>
      </c>
      <c r="E1540" s="11" t="inlineStr">
        <is>
          <t>00000000</t>
        </is>
      </c>
      <c r="F1540" s="13" t="n">
        <v>-783</v>
      </c>
      <c r="G1540" s="11" t="n">
        <v>15175636.37</v>
      </c>
    </row>
    <row r="1541">
      <c r="A1541" s="11" t="n">
        <v>1540</v>
      </c>
      <c r="B1541" s="12" t="n">
        <v>46051</v>
      </c>
      <c r="C1541" s="11" t="inlineStr">
        <is>
          <t>GRAVAMEN A MOVIMIENTO FINANCIERO</t>
        </is>
      </c>
      <c r="D1541" s="11" t="inlineStr">
        <is>
          <t>ORITO</t>
        </is>
      </c>
      <c r="E1541" s="11" t="inlineStr">
        <is>
          <t>00000000</t>
        </is>
      </c>
      <c r="F1541" s="13" t="n">
        <v>-3</v>
      </c>
      <c r="G1541" s="11" t="n">
        <v>15175633.37</v>
      </c>
    </row>
    <row r="1542">
      <c r="A1542" s="11" t="n">
        <v>1541</v>
      </c>
      <c r="B1542" s="12" t="n">
        <v>46051</v>
      </c>
      <c r="C1542" s="11" t="inlineStr">
        <is>
          <t>CONSIGNACION CREDIBANCO D E</t>
        </is>
      </c>
      <c r="D1542" s="11" t="inlineStr">
        <is>
          <t>ORITO</t>
        </is>
      </c>
      <c r="E1542" s="11" t="inlineStr">
        <is>
          <t>00000000</t>
        </is>
      </c>
      <c r="F1542" s="13" t="n">
        <v>26200</v>
      </c>
      <c r="G1542" s="11" t="n">
        <v>15201833.37</v>
      </c>
    </row>
    <row r="1543">
      <c r="A1543" s="11" t="n">
        <v>1542</v>
      </c>
      <c r="B1543" s="12" t="n">
        <v>46051</v>
      </c>
      <c r="C1543" s="11" t="inlineStr">
        <is>
          <t>COBRO COMISION DEPOSITOS ELECTRONICOS</t>
        </is>
      </c>
      <c r="D1543" s="11" t="inlineStr">
        <is>
          <t>ORITO</t>
        </is>
      </c>
      <c r="E1543" s="11" t="inlineStr">
        <is>
          <t>00000000</t>
        </is>
      </c>
      <c r="F1543" s="13" t="n">
        <v>-574</v>
      </c>
      <c r="G1543" s="11" t="n">
        <v>15201259.37</v>
      </c>
    </row>
    <row r="1544">
      <c r="A1544" s="11" t="n">
        <v>1543</v>
      </c>
      <c r="B1544" s="12" t="n">
        <v>46051</v>
      </c>
      <c r="C1544" s="11" t="inlineStr">
        <is>
          <t>GRAVAMEN A MOVIMIENTO FINANCIERO</t>
        </is>
      </c>
      <c r="D1544" s="11" t="inlineStr">
        <is>
          <t>ORITO</t>
        </is>
      </c>
      <c r="E1544" s="11" t="inlineStr">
        <is>
          <t>00000000</t>
        </is>
      </c>
      <c r="F1544" s="13" t="n">
        <v>-2</v>
      </c>
      <c r="G1544" s="11" t="n">
        <v>15201257.37</v>
      </c>
    </row>
    <row r="1545">
      <c r="A1545" s="11" t="n">
        <v>1544</v>
      </c>
      <c r="B1545" s="12" t="n">
        <v>46051</v>
      </c>
      <c r="C1545" s="11" t="inlineStr">
        <is>
          <t>RETEFUENTE D E Y VOUCHER CREDIBANCO</t>
        </is>
      </c>
      <c r="D1545" s="11" t="inlineStr">
        <is>
          <t>ORITO</t>
        </is>
      </c>
      <c r="E1545" s="11" t="inlineStr">
        <is>
          <t>00000000</t>
        </is>
      </c>
      <c r="F1545" s="13" t="n">
        <v>-393</v>
      </c>
      <c r="G1545" s="11" t="n">
        <v>15200864.37</v>
      </c>
    </row>
    <row r="1546">
      <c r="A1546" s="11" t="n">
        <v>1545</v>
      </c>
      <c r="B1546" s="12" t="n">
        <v>46051</v>
      </c>
      <c r="C1546" s="11" t="inlineStr">
        <is>
          <t>GRAVAMEN A MOVIMIENTO FINANCIERO</t>
        </is>
      </c>
      <c r="D1546" s="11" t="inlineStr">
        <is>
          <t>ORITO</t>
        </is>
      </c>
      <c r="E1546" s="11" t="inlineStr">
        <is>
          <t>00000000</t>
        </is>
      </c>
      <c r="F1546" s="13" t="n">
        <v>-2</v>
      </c>
      <c r="G1546" s="11" t="n">
        <v>15200862.37</v>
      </c>
    </row>
    <row r="1547">
      <c r="A1547" s="11" t="n">
        <v>1546</v>
      </c>
      <c r="B1547" s="12" t="n">
        <v>46051</v>
      </c>
      <c r="C1547" s="11" t="inlineStr">
        <is>
          <t>CONSIGNACION CREDIBANCO D E</t>
        </is>
      </c>
      <c r="D1547" s="11" t="inlineStr">
        <is>
          <t>ORITO</t>
        </is>
      </c>
      <c r="E1547" s="11" t="inlineStr">
        <is>
          <t>00000000</t>
        </is>
      </c>
      <c r="F1547" s="13" t="n">
        <v>102900</v>
      </c>
      <c r="G1547" s="11" t="n">
        <v>15303762.37</v>
      </c>
    </row>
    <row r="1548">
      <c r="A1548" s="11" t="n">
        <v>1547</v>
      </c>
      <c r="B1548" s="12" t="n">
        <v>46051</v>
      </c>
      <c r="C1548" s="11" t="inlineStr">
        <is>
          <t>COBRO COMISION DEPOSITOS ELECTRONICOS</t>
        </is>
      </c>
      <c r="D1548" s="11" t="inlineStr">
        <is>
          <t>ORITO</t>
        </is>
      </c>
      <c r="E1548" s="11" t="inlineStr">
        <is>
          <t>00000000</t>
        </is>
      </c>
      <c r="F1548" s="13" t="n">
        <v>-2120</v>
      </c>
      <c r="G1548" s="11" t="n">
        <v>15301642.37</v>
      </c>
    </row>
    <row r="1549">
      <c r="A1549" s="11" t="n">
        <v>1548</v>
      </c>
      <c r="B1549" s="12" t="n">
        <v>46051</v>
      </c>
      <c r="C1549" s="11" t="inlineStr">
        <is>
          <t>GRAVAMEN A MOVIMIENTO FINANCIERO</t>
        </is>
      </c>
      <c r="D1549" s="11" t="inlineStr">
        <is>
          <t>ORITO</t>
        </is>
      </c>
      <c r="E1549" s="11" t="inlineStr">
        <is>
          <t>00000000</t>
        </is>
      </c>
      <c r="F1549" s="13" t="n">
        <v>-8</v>
      </c>
      <c r="G1549" s="11" t="n">
        <v>15301634.37</v>
      </c>
    </row>
    <row r="1550">
      <c r="A1550" s="11" t="n">
        <v>1549</v>
      </c>
      <c r="B1550" s="12" t="n">
        <v>46051</v>
      </c>
      <c r="C1550" s="11" t="inlineStr">
        <is>
          <t>RETEFUENTE D E Y VOUCHER CREDIBANCO</t>
        </is>
      </c>
      <c r="D1550" s="11" t="inlineStr">
        <is>
          <t>ORITO</t>
        </is>
      </c>
      <c r="E1550" s="11" t="inlineStr">
        <is>
          <t>00000000</t>
        </is>
      </c>
      <c r="F1550" s="13" t="n">
        <v>-1544</v>
      </c>
      <c r="G1550" s="11" t="n">
        <v>15300090.37</v>
      </c>
    </row>
    <row r="1551">
      <c r="A1551" s="11" t="n">
        <v>1550</v>
      </c>
      <c r="B1551" s="12" t="n">
        <v>46051</v>
      </c>
      <c r="C1551" s="11" t="inlineStr">
        <is>
          <t>GRAVAMEN A MOVIMIENTO FINANCIERO</t>
        </is>
      </c>
      <c r="D1551" s="11" t="inlineStr">
        <is>
          <t>ORITO</t>
        </is>
      </c>
      <c r="E1551" s="11" t="inlineStr">
        <is>
          <t>00000000</t>
        </is>
      </c>
      <c r="F1551" s="13" t="n">
        <v>-6</v>
      </c>
      <c r="G1551" s="11" t="n">
        <v>15300084.37</v>
      </c>
    </row>
    <row r="1552">
      <c r="A1552" s="11" t="n">
        <v>1551</v>
      </c>
      <c r="B1552" s="12" t="n">
        <v>46051</v>
      </c>
      <c r="C1552" s="11" t="inlineStr">
        <is>
          <t>CONSIGNACION CREDIBANCO D E</t>
        </is>
      </c>
      <c r="D1552" s="11" t="inlineStr">
        <is>
          <t>ORITO</t>
        </is>
      </c>
      <c r="E1552" s="11" t="inlineStr">
        <is>
          <t>00000000</t>
        </is>
      </c>
      <c r="F1552" s="13" t="n">
        <v>91800</v>
      </c>
      <c r="G1552" s="11" t="n">
        <v>15391884.37</v>
      </c>
    </row>
    <row r="1553">
      <c r="A1553" s="11" t="n">
        <v>1552</v>
      </c>
      <c r="B1553" s="12" t="n">
        <v>46051</v>
      </c>
      <c r="C1553" s="11" t="inlineStr">
        <is>
          <t>COBRO COMISION DEPOSITOS ELECTRONICOS</t>
        </is>
      </c>
      <c r="D1553" s="11" t="inlineStr">
        <is>
          <t>ORITO</t>
        </is>
      </c>
      <c r="E1553" s="11" t="inlineStr">
        <is>
          <t>00000000</t>
        </is>
      </c>
      <c r="F1553" s="13" t="n">
        <v>-1891</v>
      </c>
      <c r="G1553" s="11" t="n">
        <v>15389993.37</v>
      </c>
    </row>
    <row r="1554">
      <c r="A1554" s="11" t="n">
        <v>1553</v>
      </c>
      <c r="B1554" s="12" t="n">
        <v>46051</v>
      </c>
      <c r="C1554" s="11" t="inlineStr">
        <is>
          <t>GRAVAMEN A MOVIMIENTO FINANCIERO</t>
        </is>
      </c>
      <c r="D1554" s="11" t="inlineStr">
        <is>
          <t>ORITO</t>
        </is>
      </c>
      <c r="E1554" s="11" t="inlineStr">
        <is>
          <t>00000000</t>
        </is>
      </c>
      <c r="F1554" s="13" t="n">
        <v>-8</v>
      </c>
      <c r="G1554" s="11" t="n">
        <v>15389985.37</v>
      </c>
    </row>
    <row r="1555">
      <c r="A1555" s="11" t="n">
        <v>1554</v>
      </c>
      <c r="B1555" s="12" t="n">
        <v>46051</v>
      </c>
      <c r="C1555" s="11" t="inlineStr">
        <is>
          <t>RETEFUENTE D E Y VOUCHER CREDIBANCO</t>
        </is>
      </c>
      <c r="D1555" s="11" t="inlineStr">
        <is>
          <t>ORITO</t>
        </is>
      </c>
      <c r="E1555" s="11" t="inlineStr">
        <is>
          <t>00000000</t>
        </is>
      </c>
      <c r="F1555" s="13" t="n">
        <v>-1377</v>
      </c>
      <c r="G1555" s="11" t="n">
        <v>15388608.37</v>
      </c>
    </row>
    <row r="1556">
      <c r="A1556" s="11" t="n">
        <v>1555</v>
      </c>
      <c r="B1556" s="12" t="n">
        <v>46051</v>
      </c>
      <c r="C1556" s="11" t="inlineStr">
        <is>
          <t>GRAVAMEN A MOVIMIENTO FINANCIERO</t>
        </is>
      </c>
      <c r="D1556" s="11" t="inlineStr">
        <is>
          <t>ORITO</t>
        </is>
      </c>
      <c r="E1556" s="11" t="inlineStr">
        <is>
          <t>00000000</t>
        </is>
      </c>
      <c r="F1556" s="13" t="n">
        <v>-6</v>
      </c>
      <c r="G1556" s="11" t="n">
        <v>15388602.37</v>
      </c>
    </row>
    <row r="1557">
      <c r="A1557" s="11" t="n">
        <v>1556</v>
      </c>
      <c r="B1557" s="12" t="n">
        <v>46051</v>
      </c>
      <c r="C1557" s="11" t="inlineStr">
        <is>
          <t>DEPOSITOS ELECTRONICOS TRANSACCION MASTERCA</t>
        </is>
      </c>
      <c r="D1557" s="11" t="inlineStr">
        <is>
          <t>ORITO</t>
        </is>
      </c>
      <c r="E1557" s="11" t="inlineStr">
        <is>
          <t>00000000</t>
        </is>
      </c>
      <c r="F1557" s="13" t="n">
        <v>23100</v>
      </c>
      <c r="G1557" s="11" t="n">
        <v>15411702.37</v>
      </c>
    </row>
    <row r="1558">
      <c r="A1558" s="11" t="n">
        <v>1557</v>
      </c>
      <c r="B1558" s="12" t="n">
        <v>46051</v>
      </c>
      <c r="C1558" s="11" t="inlineStr">
        <is>
          <t>COMISION DEPOSITOS ELECTRONICOS MASTERCARD</t>
        </is>
      </c>
      <c r="D1558" s="11" t="inlineStr">
        <is>
          <t>ORITO</t>
        </is>
      </c>
      <c r="E1558" s="11" t="inlineStr">
        <is>
          <t>00000000</t>
        </is>
      </c>
      <c r="F1558" s="13" t="n">
        <v>-439</v>
      </c>
      <c r="G1558" s="11" t="n">
        <v>15411263.37</v>
      </c>
    </row>
    <row r="1559">
      <c r="A1559" s="11" t="n">
        <v>1558</v>
      </c>
      <c r="B1559" s="12" t="n">
        <v>46051</v>
      </c>
      <c r="C1559" s="11" t="inlineStr">
        <is>
          <t>GRAVAMEN A MOVIMIENTO FINANCIERO</t>
        </is>
      </c>
      <c r="D1559" s="11" t="inlineStr">
        <is>
          <t>ORITO</t>
        </is>
      </c>
      <c r="E1559" s="11" t="inlineStr">
        <is>
          <t>00000000</t>
        </is>
      </c>
      <c r="F1559" s="13" t="n">
        <v>-2</v>
      </c>
      <c r="G1559" s="11" t="n">
        <v>15411261.37</v>
      </c>
    </row>
    <row r="1560">
      <c r="A1560" s="11" t="n">
        <v>1559</v>
      </c>
      <c r="B1560" s="12" t="n">
        <v>46051</v>
      </c>
      <c r="C1560" s="11" t="inlineStr">
        <is>
          <t>RETEFUENTE DEPOSITOS ELECTRONICOS MASTERCAR</t>
        </is>
      </c>
      <c r="D1560" s="11" t="inlineStr">
        <is>
          <t>ORITO</t>
        </is>
      </c>
      <c r="E1560" s="11" t="inlineStr">
        <is>
          <t>00000000</t>
        </is>
      </c>
      <c r="F1560" s="13" t="n">
        <v>-347</v>
      </c>
      <c r="G1560" s="11" t="n">
        <v>15410914.37</v>
      </c>
    </row>
    <row r="1561">
      <c r="A1561" s="11" t="n">
        <v>1560</v>
      </c>
      <c r="B1561" s="12" t="n">
        <v>46051</v>
      </c>
      <c r="C1561" s="11" t="inlineStr">
        <is>
          <t>GRAVAMEN A MOVIMIENTO FINANCIERO</t>
        </is>
      </c>
      <c r="D1561" s="11" t="inlineStr">
        <is>
          <t>ORITO</t>
        </is>
      </c>
      <c r="E1561" s="11" t="inlineStr">
        <is>
          <t>00000000</t>
        </is>
      </c>
      <c r="F1561" s="13" t="n">
        <v>-1</v>
      </c>
      <c r="G1561" s="11" t="n">
        <v>15410913.37</v>
      </c>
    </row>
    <row r="1562">
      <c r="A1562" s="11" t="n">
        <v>1561</v>
      </c>
      <c r="B1562" s="12" t="n">
        <v>46051</v>
      </c>
      <c r="C1562" s="11" t="inlineStr">
        <is>
          <t>DEPOSITOS ELECTRONICOS TRANSACCION MASTERCA</t>
        </is>
      </c>
      <c r="D1562" s="11" t="inlineStr">
        <is>
          <t>ORITO</t>
        </is>
      </c>
      <c r="E1562" s="11" t="inlineStr">
        <is>
          <t>00000000</t>
        </is>
      </c>
      <c r="F1562" s="13" t="n">
        <v>149100</v>
      </c>
      <c r="G1562" s="11" t="n">
        <v>15560013.37</v>
      </c>
    </row>
    <row r="1563">
      <c r="A1563" s="11" t="n">
        <v>1562</v>
      </c>
      <c r="B1563" s="12" t="n">
        <v>46051</v>
      </c>
      <c r="C1563" s="11" t="inlineStr">
        <is>
          <t>COMISION DEPOSITOS ELECTRONICOS MASTERCARD</t>
        </is>
      </c>
      <c r="D1563" s="11" t="inlineStr">
        <is>
          <t>ORITO</t>
        </is>
      </c>
      <c r="E1563" s="11" t="inlineStr">
        <is>
          <t>00000000</t>
        </is>
      </c>
      <c r="F1563" s="13" t="n">
        <v>-2833</v>
      </c>
      <c r="G1563" s="11" t="n">
        <v>15557180.37</v>
      </c>
    </row>
    <row r="1564">
      <c r="A1564" s="11" t="n">
        <v>1563</v>
      </c>
      <c r="B1564" s="12" t="n">
        <v>46051</v>
      </c>
      <c r="C1564" s="11" t="inlineStr">
        <is>
          <t>GRAVAMEN A MOVIMIENTO FINANCIERO</t>
        </is>
      </c>
      <c r="D1564" s="11" t="inlineStr">
        <is>
          <t>ORITO</t>
        </is>
      </c>
      <c r="E1564" s="11" t="inlineStr">
        <is>
          <t>00000000</t>
        </is>
      </c>
      <c r="F1564" s="13" t="n">
        <v>-11</v>
      </c>
      <c r="G1564" s="11" t="n">
        <v>15557169.37</v>
      </c>
    </row>
    <row r="1565">
      <c r="A1565" s="11" t="n">
        <v>1564</v>
      </c>
      <c r="B1565" s="12" t="n">
        <v>46051</v>
      </c>
      <c r="C1565" s="11" t="inlineStr">
        <is>
          <t>RETEFUENTE DEPOSITOS ELECTRONICOS MASTERCAR</t>
        </is>
      </c>
      <c r="D1565" s="11" t="inlineStr">
        <is>
          <t>ORITO</t>
        </is>
      </c>
      <c r="E1565" s="11" t="inlineStr">
        <is>
          <t>00000000</t>
        </is>
      </c>
      <c r="F1565" s="13" t="n">
        <v>-2237</v>
      </c>
      <c r="G1565" s="11" t="n">
        <v>15554932.37</v>
      </c>
    </row>
    <row r="1566">
      <c r="A1566" s="11" t="n">
        <v>1565</v>
      </c>
      <c r="B1566" s="12" t="n">
        <v>46051</v>
      </c>
      <c r="C1566" s="11" t="inlineStr">
        <is>
          <t>GRAVAMEN A MOVIMIENTO FINANCIERO</t>
        </is>
      </c>
      <c r="D1566" s="11" t="inlineStr">
        <is>
          <t>ORITO</t>
        </is>
      </c>
      <c r="E1566" s="11" t="inlineStr">
        <is>
          <t>00000000</t>
        </is>
      </c>
      <c r="F1566" s="13" t="n">
        <v>-9</v>
      </c>
      <c r="G1566" s="11" t="n">
        <v>15554923.37</v>
      </c>
    </row>
    <row r="1567">
      <c r="A1567" s="11" t="n">
        <v>1566</v>
      </c>
      <c r="B1567" s="12" t="n">
        <v>46051</v>
      </c>
      <c r="C1567" s="11" t="inlineStr">
        <is>
          <t>DEPOSITOS ELECTRONICOS TRANSACCION MASTERCA</t>
        </is>
      </c>
      <c r="D1567" s="11" t="inlineStr">
        <is>
          <t>ORITO</t>
        </is>
      </c>
      <c r="E1567" s="11" t="inlineStr">
        <is>
          <t>00000000</t>
        </is>
      </c>
      <c r="F1567" s="13" t="n">
        <v>229900</v>
      </c>
      <c r="G1567" s="11" t="n">
        <v>15784823.37</v>
      </c>
    </row>
    <row r="1568">
      <c r="A1568" s="11" t="n">
        <v>1567</v>
      </c>
      <c r="B1568" s="12" t="n">
        <v>46051</v>
      </c>
      <c r="C1568" s="11" t="inlineStr">
        <is>
          <t>COMISION DEPOSITOS ELECTRONICOS MASTERCARD</t>
        </is>
      </c>
      <c r="D1568" s="11" t="inlineStr">
        <is>
          <t>ORITO</t>
        </is>
      </c>
      <c r="E1568" s="11" t="inlineStr">
        <is>
          <t>00000000</t>
        </is>
      </c>
      <c r="F1568" s="13" t="n">
        <v>-4368</v>
      </c>
      <c r="G1568" s="11" t="n">
        <v>15780455.37</v>
      </c>
    </row>
    <row r="1569">
      <c r="A1569" s="11" t="n">
        <v>1568</v>
      </c>
      <c r="B1569" s="12" t="n">
        <v>46051</v>
      </c>
      <c r="C1569" s="11" t="inlineStr">
        <is>
          <t>GRAVAMEN A MOVIMIENTO FINANCIERO</t>
        </is>
      </c>
      <c r="D1569" s="11" t="inlineStr">
        <is>
          <t>ORITO</t>
        </is>
      </c>
      <c r="E1569" s="11" t="inlineStr">
        <is>
          <t>00000000</t>
        </is>
      </c>
      <c r="F1569" s="13" t="n">
        <v>-17</v>
      </c>
      <c r="G1569" s="11" t="n">
        <v>15780438.37</v>
      </c>
    </row>
    <row r="1570">
      <c r="A1570" s="11" t="n">
        <v>1569</v>
      </c>
      <c r="B1570" s="12" t="n">
        <v>46051</v>
      </c>
      <c r="C1570" s="11" t="inlineStr">
        <is>
          <t>RETEFUENTE DEPOSITOS ELECTRONICOS MASTERCAR</t>
        </is>
      </c>
      <c r="D1570" s="11" t="inlineStr">
        <is>
          <t>ORITO</t>
        </is>
      </c>
      <c r="E1570" s="11" t="inlineStr">
        <is>
          <t>00000000</t>
        </is>
      </c>
      <c r="F1570" s="13" t="n">
        <v>-3449</v>
      </c>
      <c r="G1570" s="11" t="n">
        <v>15776989.37</v>
      </c>
    </row>
    <row r="1571">
      <c r="A1571" s="11" t="n">
        <v>1570</v>
      </c>
      <c r="B1571" s="12" t="n">
        <v>46051</v>
      </c>
      <c r="C1571" s="11" t="inlineStr">
        <is>
          <t>GRAVAMEN A MOVIMIENTO FINANCIERO</t>
        </is>
      </c>
      <c r="D1571" s="11" t="inlineStr">
        <is>
          <t>ORITO</t>
        </is>
      </c>
      <c r="E1571" s="11" t="inlineStr">
        <is>
          <t>00000000</t>
        </is>
      </c>
      <c r="F1571" s="13" t="n">
        <v>-14</v>
      </c>
      <c r="G1571" s="11" t="n">
        <v>15776975.37</v>
      </c>
    </row>
    <row r="1572">
      <c r="A1572" s="11" t="n">
        <v>1571</v>
      </c>
      <c r="B1572" s="12" t="n">
        <v>46051</v>
      </c>
      <c r="C1572" s="11" t="inlineStr">
        <is>
          <t>DEPOSITOS ELECTRONICOS TRANSACCION MASTERCA</t>
        </is>
      </c>
      <c r="D1572" s="11" t="inlineStr">
        <is>
          <t>ORITO</t>
        </is>
      </c>
      <c r="E1572" s="11" t="inlineStr">
        <is>
          <t>00000000</t>
        </is>
      </c>
      <c r="F1572" s="13" t="n">
        <v>44050</v>
      </c>
      <c r="G1572" s="11" t="n">
        <v>15821025.37</v>
      </c>
    </row>
    <row r="1573">
      <c r="A1573" s="11" t="n">
        <v>1572</v>
      </c>
      <c r="B1573" s="12" t="n">
        <v>46051</v>
      </c>
      <c r="C1573" s="11" t="inlineStr">
        <is>
          <t>COMISION DEPOSITOS ELECTRONICOS MASTERCARD</t>
        </is>
      </c>
      <c r="D1573" s="11" t="inlineStr">
        <is>
          <t>ORITO</t>
        </is>
      </c>
      <c r="E1573" s="11" t="inlineStr">
        <is>
          <t>00000000</t>
        </is>
      </c>
      <c r="F1573" s="13" t="n">
        <v>-837</v>
      </c>
      <c r="G1573" s="11" t="n">
        <v>15820188.37</v>
      </c>
    </row>
    <row r="1574">
      <c r="A1574" s="11" t="n">
        <v>1573</v>
      </c>
      <c r="B1574" s="12" t="n">
        <v>46051</v>
      </c>
      <c r="C1574" s="11" t="inlineStr">
        <is>
          <t>GRAVAMEN A MOVIMIENTO FINANCIERO</t>
        </is>
      </c>
      <c r="D1574" s="11" t="inlineStr">
        <is>
          <t>ORITO</t>
        </is>
      </c>
      <c r="E1574" s="11" t="inlineStr">
        <is>
          <t>00000000</t>
        </is>
      </c>
      <c r="F1574" s="13" t="n">
        <v>-3</v>
      </c>
      <c r="G1574" s="11" t="n">
        <v>15820185.37</v>
      </c>
    </row>
    <row r="1575">
      <c r="A1575" s="11" t="n">
        <v>1574</v>
      </c>
      <c r="B1575" s="12" t="n">
        <v>46051</v>
      </c>
      <c r="C1575" s="11" t="inlineStr">
        <is>
          <t>RETEFUENTE DEPOSITOS ELECTRONICOS MASTERCAR</t>
        </is>
      </c>
      <c r="D1575" s="11" t="inlineStr">
        <is>
          <t>ORITO</t>
        </is>
      </c>
      <c r="E1575" s="11" t="inlineStr">
        <is>
          <t>00000000</t>
        </is>
      </c>
      <c r="F1575" s="13" t="n">
        <v>-661</v>
      </c>
      <c r="G1575" s="11" t="n">
        <v>15819524.37</v>
      </c>
    </row>
    <row r="1576">
      <c r="A1576" s="11" t="n">
        <v>1575</v>
      </c>
      <c r="B1576" s="12" t="n">
        <v>46051</v>
      </c>
      <c r="C1576" s="11" t="inlineStr">
        <is>
          <t>GRAVAMEN A MOVIMIENTO FINANCIERO</t>
        </is>
      </c>
      <c r="D1576" s="11" t="inlineStr">
        <is>
          <t>ORITO</t>
        </is>
      </c>
      <c r="E1576" s="11" t="inlineStr">
        <is>
          <t>00000000</t>
        </is>
      </c>
      <c r="F1576" s="13" t="n">
        <v>-3</v>
      </c>
      <c r="G1576" s="11" t="n">
        <v>15819521.37</v>
      </c>
    </row>
    <row r="1577">
      <c r="A1577" s="11" t="n">
        <v>1576</v>
      </c>
      <c r="B1577" s="12" t="n">
        <v>46051</v>
      </c>
      <c r="C1577" s="11" t="inlineStr">
        <is>
          <t>DEPOSITOS ELECTRONICOS TRANSACCION MASTERCA</t>
        </is>
      </c>
      <c r="D1577" s="11" t="inlineStr">
        <is>
          <t>ORITO</t>
        </is>
      </c>
      <c r="E1577" s="11" t="inlineStr">
        <is>
          <t>00000000</t>
        </is>
      </c>
      <c r="F1577" s="13" t="n">
        <v>17400</v>
      </c>
      <c r="G1577" s="11" t="n">
        <v>15836921.37</v>
      </c>
    </row>
    <row r="1578">
      <c r="A1578" s="11" t="n">
        <v>1577</v>
      </c>
      <c r="B1578" s="12" t="n">
        <v>46051</v>
      </c>
      <c r="C1578" s="11" t="inlineStr">
        <is>
          <t>COMISION DEPOSITOS ELECTRONICOS MASTERCARD</t>
        </is>
      </c>
      <c r="D1578" s="11" t="inlineStr">
        <is>
          <t>ORITO</t>
        </is>
      </c>
      <c r="E1578" s="11" t="inlineStr">
        <is>
          <t>00000000</t>
        </is>
      </c>
      <c r="F1578" s="13" t="n">
        <v>-331</v>
      </c>
      <c r="G1578" s="11" t="n">
        <v>15836590.37</v>
      </c>
    </row>
    <row r="1579">
      <c r="A1579" s="11" t="n">
        <v>1578</v>
      </c>
      <c r="B1579" s="12" t="n">
        <v>46051</v>
      </c>
      <c r="C1579" s="11" t="inlineStr">
        <is>
          <t>GRAVAMEN A MOVIMIENTO FINANCIERO</t>
        </is>
      </c>
      <c r="D1579" s="11" t="inlineStr">
        <is>
          <t>ORITO</t>
        </is>
      </c>
      <c r="E1579" s="11" t="inlineStr">
        <is>
          <t>00000000</t>
        </is>
      </c>
      <c r="F1579" s="13" t="n">
        <v>-1</v>
      </c>
      <c r="G1579" s="11" t="n">
        <v>15836589.37</v>
      </c>
    </row>
    <row r="1580">
      <c r="A1580" s="11" t="n">
        <v>1579</v>
      </c>
      <c r="B1580" s="12" t="n">
        <v>46051</v>
      </c>
      <c r="C1580" s="11" t="inlineStr">
        <is>
          <t>RETEFUENTE DEPOSITOS ELECTRONICOS MASTERCAR</t>
        </is>
      </c>
      <c r="D1580" s="11" t="inlineStr">
        <is>
          <t>ORITO</t>
        </is>
      </c>
      <c r="E1580" s="11" t="inlineStr">
        <is>
          <t>00000000</t>
        </is>
      </c>
      <c r="F1580" s="13" t="n">
        <v>-261</v>
      </c>
      <c r="G1580" s="11" t="n">
        <v>15836328.37</v>
      </c>
    </row>
    <row r="1581">
      <c r="A1581" s="11" t="n">
        <v>1580</v>
      </c>
      <c r="B1581" s="12" t="n">
        <v>46051</v>
      </c>
      <c r="C1581" s="11" t="inlineStr">
        <is>
          <t>GRAVAMEN A MOVIMIENTO FINANCIERO</t>
        </is>
      </c>
      <c r="D1581" s="11" t="inlineStr">
        <is>
          <t>ORITO</t>
        </is>
      </c>
      <c r="E1581" s="11" t="inlineStr">
        <is>
          <t>00000000</t>
        </is>
      </c>
      <c r="F1581" s="13" t="n">
        <v>-1</v>
      </c>
      <c r="G1581" s="11" t="n">
        <v>15836327.37</v>
      </c>
    </row>
    <row r="1582">
      <c r="A1582" s="11" t="n">
        <v>1581</v>
      </c>
      <c r="B1582" s="12" t="n">
        <v>46051</v>
      </c>
      <c r="C1582" s="11" t="inlineStr">
        <is>
          <t>DEPOSITOS ELECTRONICOS TRANSACCION MASTERCA</t>
        </is>
      </c>
      <c r="D1582" s="11" t="inlineStr">
        <is>
          <t>ORITO</t>
        </is>
      </c>
      <c r="E1582" s="11" t="inlineStr">
        <is>
          <t>00000000</t>
        </is>
      </c>
      <c r="F1582" s="13" t="n">
        <v>77500</v>
      </c>
      <c r="G1582" s="11" t="n">
        <v>15913827.37</v>
      </c>
    </row>
    <row r="1583">
      <c r="A1583" s="11" t="n">
        <v>1582</v>
      </c>
      <c r="B1583" s="12" t="n">
        <v>46051</v>
      </c>
      <c r="C1583" s="11" t="inlineStr">
        <is>
          <t>COMISION DEPOSITOS ELECTRONICOS MASTERCARD</t>
        </is>
      </c>
      <c r="D1583" s="11" t="inlineStr">
        <is>
          <t>ORITO</t>
        </is>
      </c>
      <c r="E1583" s="11" t="inlineStr">
        <is>
          <t>00000000</t>
        </is>
      </c>
      <c r="F1583" s="13" t="n">
        <v>-1473</v>
      </c>
      <c r="G1583" s="11" t="n">
        <v>15912354.37</v>
      </c>
    </row>
    <row r="1584">
      <c r="A1584" s="11" t="n">
        <v>1583</v>
      </c>
      <c r="B1584" s="12" t="n">
        <v>46051</v>
      </c>
      <c r="C1584" s="11" t="inlineStr">
        <is>
          <t>GRAVAMEN A MOVIMIENTO FINANCIERO</t>
        </is>
      </c>
      <c r="D1584" s="11" t="inlineStr">
        <is>
          <t>ORITO</t>
        </is>
      </c>
      <c r="E1584" s="11" t="inlineStr">
        <is>
          <t>00000000</t>
        </is>
      </c>
      <c r="F1584" s="13" t="n">
        <v>-6</v>
      </c>
      <c r="G1584" s="11" t="n">
        <v>15912348.37</v>
      </c>
    </row>
    <row r="1585">
      <c r="A1585" s="11" t="n">
        <v>1584</v>
      </c>
      <c r="B1585" s="12" t="n">
        <v>46051</v>
      </c>
      <c r="C1585" s="11" t="inlineStr">
        <is>
          <t>RETEFUENTE DEPOSITOS ELECTRONICOS MASTERCAR</t>
        </is>
      </c>
      <c r="D1585" s="11" t="inlineStr">
        <is>
          <t>ORITO</t>
        </is>
      </c>
      <c r="E1585" s="11" t="inlineStr">
        <is>
          <t>00000000</t>
        </is>
      </c>
      <c r="F1585" s="13" t="n">
        <v>-1163</v>
      </c>
      <c r="G1585" s="11" t="n">
        <v>15911185.37</v>
      </c>
    </row>
    <row r="1586">
      <c r="A1586" s="11" t="n">
        <v>1585</v>
      </c>
      <c r="B1586" s="12" t="n">
        <v>46051</v>
      </c>
      <c r="C1586" s="11" t="inlineStr">
        <is>
          <t>GRAVAMEN A MOVIMIENTO FINANCIERO</t>
        </is>
      </c>
      <c r="D1586" s="11" t="inlineStr">
        <is>
          <t>ORITO</t>
        </is>
      </c>
      <c r="E1586" s="11" t="inlineStr">
        <is>
          <t>00000000</t>
        </is>
      </c>
      <c r="F1586" s="13" t="n">
        <v>-5</v>
      </c>
      <c r="G1586" s="11" t="n">
        <v>15911180.37</v>
      </c>
    </row>
    <row r="1587">
      <c r="A1587" s="11" t="n">
        <v>1586</v>
      </c>
      <c r="B1587" s="12" t="n">
        <v>46051</v>
      </c>
      <c r="C1587" s="11" t="inlineStr">
        <is>
          <t>DEPOSITOS ELECTRONICOS TRANSACCION MASTERCA</t>
        </is>
      </c>
      <c r="D1587" s="11" t="inlineStr">
        <is>
          <t>ORITO</t>
        </is>
      </c>
      <c r="E1587" s="11" t="inlineStr">
        <is>
          <t>00000000</t>
        </is>
      </c>
      <c r="F1587" s="13" t="n">
        <v>150000</v>
      </c>
      <c r="G1587" s="11" t="n">
        <v>16061180.37</v>
      </c>
    </row>
    <row r="1588">
      <c r="A1588" s="11" t="n">
        <v>1587</v>
      </c>
      <c r="B1588" s="12" t="n">
        <v>46051</v>
      </c>
      <c r="C1588" s="11" t="inlineStr">
        <is>
          <t>COMISION DEPOSITOS ELECTRONICOS MASTERCARD</t>
        </is>
      </c>
      <c r="D1588" s="11" t="inlineStr">
        <is>
          <t>ORITO</t>
        </is>
      </c>
      <c r="E1588" s="11" t="inlineStr">
        <is>
          <t>00000000</t>
        </is>
      </c>
      <c r="F1588" s="13" t="n">
        <v>-2850</v>
      </c>
      <c r="G1588" s="11" t="n">
        <v>16058330.37</v>
      </c>
    </row>
    <row r="1589">
      <c r="A1589" s="11" t="n">
        <v>1588</v>
      </c>
      <c r="B1589" s="12" t="n">
        <v>46051</v>
      </c>
      <c r="C1589" s="11" t="inlineStr">
        <is>
          <t>GRAVAMEN A MOVIMIENTO FINANCIERO</t>
        </is>
      </c>
      <c r="D1589" s="11" t="inlineStr">
        <is>
          <t>ORITO</t>
        </is>
      </c>
      <c r="E1589" s="11" t="inlineStr">
        <is>
          <t>00000000</t>
        </is>
      </c>
      <c r="F1589" s="13" t="n">
        <v>-11</v>
      </c>
      <c r="G1589" s="11" t="n">
        <v>16058319.37</v>
      </c>
    </row>
    <row r="1590">
      <c r="A1590" s="11" t="n">
        <v>1589</v>
      </c>
      <c r="B1590" s="12" t="n">
        <v>46051</v>
      </c>
      <c r="C1590" s="11" t="inlineStr">
        <is>
          <t>RETEFUENTE DEPOSITOS ELECTRONICOS MASTERCAR</t>
        </is>
      </c>
      <c r="D1590" s="11" t="inlineStr">
        <is>
          <t>ORITO</t>
        </is>
      </c>
      <c r="E1590" s="11" t="inlineStr">
        <is>
          <t>00000000</t>
        </is>
      </c>
      <c r="F1590" s="13" t="n">
        <v>-2250</v>
      </c>
      <c r="G1590" s="11" t="n">
        <v>16056069.37</v>
      </c>
    </row>
    <row r="1591">
      <c r="A1591" s="11" t="n">
        <v>1590</v>
      </c>
      <c r="B1591" s="12" t="n">
        <v>46051</v>
      </c>
      <c r="C1591" s="11" t="inlineStr">
        <is>
          <t>GRAVAMEN A MOVIMIENTO FINANCIERO</t>
        </is>
      </c>
      <c r="D1591" s="11" t="inlineStr">
        <is>
          <t>ORITO</t>
        </is>
      </c>
      <c r="E1591" s="11" t="inlineStr">
        <is>
          <t>00000000</t>
        </is>
      </c>
      <c r="F1591" s="13" t="n">
        <v>-9</v>
      </c>
      <c r="G1591" s="11" t="n">
        <v>16056060.37</v>
      </c>
    </row>
    <row r="1592">
      <c r="A1592" s="11" t="n">
        <v>1591</v>
      </c>
      <c r="B1592" s="12" t="n">
        <v>46051</v>
      </c>
      <c r="C1592" s="11" t="inlineStr">
        <is>
          <t>DEPOSITOS ELECTRONICOS TRANSACCION MASTERCA</t>
        </is>
      </c>
      <c r="D1592" s="11" t="inlineStr">
        <is>
          <t>ORITO</t>
        </is>
      </c>
      <c r="E1592" s="11" t="inlineStr">
        <is>
          <t>00000000</t>
        </is>
      </c>
      <c r="F1592" s="13" t="n">
        <v>28700</v>
      </c>
      <c r="G1592" s="11" t="n">
        <v>16084760.37</v>
      </c>
    </row>
    <row r="1593">
      <c r="A1593" s="11" t="n">
        <v>1592</v>
      </c>
      <c r="B1593" s="12" t="n">
        <v>46051</v>
      </c>
      <c r="C1593" s="11" t="inlineStr">
        <is>
          <t>COMISION DEPOSITOS ELECTRONICOS MASTERCARD</t>
        </is>
      </c>
      <c r="D1593" s="11" t="inlineStr">
        <is>
          <t>ORITO</t>
        </is>
      </c>
      <c r="E1593" s="11" t="inlineStr">
        <is>
          <t>00000000</t>
        </is>
      </c>
      <c r="F1593" s="13" t="n">
        <v>-545</v>
      </c>
      <c r="G1593" s="11" t="n">
        <v>16084215.37</v>
      </c>
    </row>
    <row r="1594">
      <c r="A1594" s="11" t="n">
        <v>1593</v>
      </c>
      <c r="B1594" s="12" t="n">
        <v>46051</v>
      </c>
      <c r="C1594" s="11" t="inlineStr">
        <is>
          <t>GRAVAMEN A MOVIMIENTO FINANCIERO</t>
        </is>
      </c>
      <c r="D1594" s="11" t="inlineStr">
        <is>
          <t>ORITO</t>
        </is>
      </c>
      <c r="E1594" s="11" t="inlineStr">
        <is>
          <t>00000000</t>
        </is>
      </c>
      <c r="F1594" s="13" t="n">
        <v>-2</v>
      </c>
      <c r="G1594" s="11" t="n">
        <v>16084213.37</v>
      </c>
    </row>
    <row r="1595">
      <c r="A1595" s="11" t="n">
        <v>1594</v>
      </c>
      <c r="B1595" s="12" t="n">
        <v>46051</v>
      </c>
      <c r="C1595" s="11" t="inlineStr">
        <is>
          <t>RETEFUENTE DEPOSITOS ELECTRONICOS MASTERCAR</t>
        </is>
      </c>
      <c r="D1595" s="11" t="inlineStr">
        <is>
          <t>ORITO</t>
        </is>
      </c>
      <c r="E1595" s="11" t="inlineStr">
        <is>
          <t>00000000</t>
        </is>
      </c>
      <c r="F1595" s="13" t="n">
        <v>-431</v>
      </c>
      <c r="G1595" s="11" t="n">
        <v>16083782.37</v>
      </c>
    </row>
    <row r="1596">
      <c r="A1596" s="11" t="n">
        <v>1595</v>
      </c>
      <c r="B1596" s="12" t="n">
        <v>46051</v>
      </c>
      <c r="C1596" s="11" t="inlineStr">
        <is>
          <t>GRAVAMEN A MOVIMIENTO FINANCIERO</t>
        </is>
      </c>
      <c r="D1596" s="11" t="inlineStr">
        <is>
          <t>ORITO</t>
        </is>
      </c>
      <c r="E1596" s="11" t="inlineStr">
        <is>
          <t>00000000</t>
        </is>
      </c>
      <c r="F1596" s="13" t="n">
        <v>-2</v>
      </c>
      <c r="G1596" s="11" t="n">
        <v>16083780.37</v>
      </c>
    </row>
    <row r="1597">
      <c r="A1597" s="11" t="n">
        <v>1596</v>
      </c>
      <c r="B1597" s="12" t="n">
        <v>46051</v>
      </c>
      <c r="C1597" s="11" t="inlineStr">
        <is>
          <t>DEPOSITOS ELECTRONICOS TRANSACCION MASTERCA</t>
        </is>
      </c>
      <c r="D1597" s="11" t="inlineStr">
        <is>
          <t>ORITO</t>
        </is>
      </c>
      <c r="E1597" s="11" t="inlineStr">
        <is>
          <t>00000000</t>
        </is>
      </c>
      <c r="F1597" s="13" t="n">
        <v>23000</v>
      </c>
      <c r="G1597" s="11" t="n">
        <v>16106780.37</v>
      </c>
    </row>
    <row r="1598">
      <c r="A1598" s="11" t="n">
        <v>1597</v>
      </c>
      <c r="B1598" s="12" t="n">
        <v>46051</v>
      </c>
      <c r="C1598" s="11" t="inlineStr">
        <is>
          <t>COMISION DEPOSITOS ELECTRONICOS MASTERCARD</t>
        </is>
      </c>
      <c r="D1598" s="11" t="inlineStr">
        <is>
          <t>ORITO</t>
        </is>
      </c>
      <c r="E1598" s="11" t="inlineStr">
        <is>
          <t>00000000</t>
        </is>
      </c>
      <c r="F1598" s="13" t="n">
        <v>-437</v>
      </c>
      <c r="G1598" s="11" t="n">
        <v>16106343.37</v>
      </c>
    </row>
    <row r="1599">
      <c r="A1599" s="11" t="n">
        <v>1598</v>
      </c>
      <c r="B1599" s="12" t="n">
        <v>46051</v>
      </c>
      <c r="C1599" s="11" t="inlineStr">
        <is>
          <t>GRAVAMEN A MOVIMIENTO FINANCIERO</t>
        </is>
      </c>
      <c r="D1599" s="11" t="inlineStr">
        <is>
          <t>ORITO</t>
        </is>
      </c>
      <c r="E1599" s="11" t="inlineStr">
        <is>
          <t>00000000</t>
        </is>
      </c>
      <c r="F1599" s="13" t="n">
        <v>-2</v>
      </c>
      <c r="G1599" s="11" t="n">
        <v>16106341.37</v>
      </c>
    </row>
    <row r="1600">
      <c r="A1600" s="11" t="n">
        <v>1599</v>
      </c>
      <c r="B1600" s="12" t="n">
        <v>46051</v>
      </c>
      <c r="C1600" s="11" t="inlineStr">
        <is>
          <t>RETEFUENTE DEPOSITOS ELECTRONICOS MASTERCAR</t>
        </is>
      </c>
      <c r="D1600" s="11" t="inlineStr">
        <is>
          <t>ORITO</t>
        </is>
      </c>
      <c r="E1600" s="11" t="inlineStr">
        <is>
          <t>00000000</t>
        </is>
      </c>
      <c r="F1600" s="13" t="n">
        <v>-345</v>
      </c>
      <c r="G1600" s="11" t="n">
        <v>16105996.37</v>
      </c>
    </row>
    <row r="1601">
      <c r="A1601" s="11" t="n">
        <v>1600</v>
      </c>
      <c r="B1601" s="12" t="n">
        <v>46051</v>
      </c>
      <c r="C1601" s="11" t="inlineStr">
        <is>
          <t>GRAVAMEN A MOVIMIENTO FINANCIERO</t>
        </is>
      </c>
      <c r="D1601" s="11" t="inlineStr">
        <is>
          <t>ORITO</t>
        </is>
      </c>
      <c r="E1601" s="11" t="inlineStr">
        <is>
          <t>00000000</t>
        </is>
      </c>
      <c r="F1601" s="13" t="n">
        <v>-1</v>
      </c>
      <c r="G1601" s="11" t="n">
        <v>16105995.37</v>
      </c>
    </row>
    <row r="1602">
      <c r="A1602" s="11" t="n">
        <v>1601</v>
      </c>
      <c r="B1602" s="12" t="n">
        <v>46052</v>
      </c>
      <c r="C1602" s="11" t="inlineStr">
        <is>
          <t>CONSIGNACION CREDIBANCO D E</t>
        </is>
      </c>
      <c r="D1602" s="11" t="inlineStr">
        <is>
          <t>ORITO</t>
        </is>
      </c>
      <c r="E1602" s="11" t="inlineStr">
        <is>
          <t>00000000</t>
        </is>
      </c>
      <c r="F1602" s="13" t="n">
        <v>59300</v>
      </c>
      <c r="G1602" s="11" t="n">
        <v>16165295.37</v>
      </c>
    </row>
    <row r="1603">
      <c r="A1603" s="11" t="n">
        <v>1602</v>
      </c>
      <c r="B1603" s="12" t="n">
        <v>46052</v>
      </c>
      <c r="C1603" s="11" t="inlineStr">
        <is>
          <t>COBRO COMISION DEPOSITOS ELECTRONICOS</t>
        </is>
      </c>
      <c r="D1603" s="11" t="inlineStr">
        <is>
          <t>ORITO</t>
        </is>
      </c>
      <c r="E1603" s="11" t="inlineStr">
        <is>
          <t>00000000</t>
        </is>
      </c>
      <c r="F1603" s="13" t="n">
        <v>-1222</v>
      </c>
      <c r="G1603" s="11" t="n">
        <v>16164073.37</v>
      </c>
    </row>
    <row r="1604">
      <c r="A1604" s="11" t="n">
        <v>1603</v>
      </c>
      <c r="B1604" s="12" t="n">
        <v>46052</v>
      </c>
      <c r="C1604" s="11" t="inlineStr">
        <is>
          <t>GRAVAMEN A MOVIMIENTO FINANCIERO</t>
        </is>
      </c>
      <c r="D1604" s="11" t="inlineStr">
        <is>
          <t>ORITO</t>
        </is>
      </c>
      <c r="E1604" s="11" t="inlineStr">
        <is>
          <t>00000000</t>
        </is>
      </c>
      <c r="F1604" s="13" t="n">
        <v>-5</v>
      </c>
      <c r="G1604" s="11" t="n">
        <v>16164068.37</v>
      </c>
    </row>
    <row r="1605">
      <c r="A1605" s="11" t="n">
        <v>1604</v>
      </c>
      <c r="B1605" s="12" t="n">
        <v>46052</v>
      </c>
      <c r="C1605" s="11" t="inlineStr">
        <is>
          <t>RETEFUENTE D E Y VOUCHER CREDIBANCO</t>
        </is>
      </c>
      <c r="D1605" s="11" t="inlineStr">
        <is>
          <t>ORITO</t>
        </is>
      </c>
      <c r="E1605" s="11" t="inlineStr">
        <is>
          <t>00000000</t>
        </is>
      </c>
      <c r="F1605" s="13" t="n">
        <v>-890</v>
      </c>
      <c r="G1605" s="11" t="n">
        <v>16163178.37</v>
      </c>
    </row>
    <row r="1606">
      <c r="A1606" s="11" t="n">
        <v>1605</v>
      </c>
      <c r="B1606" s="12" t="n">
        <v>46052</v>
      </c>
      <c r="C1606" s="11" t="inlineStr">
        <is>
          <t>GRAVAMEN A MOVIMIENTO FINANCIERO</t>
        </is>
      </c>
      <c r="D1606" s="11" t="inlineStr">
        <is>
          <t>ORITO</t>
        </is>
      </c>
      <c r="E1606" s="11" t="inlineStr">
        <is>
          <t>00000000</t>
        </is>
      </c>
      <c r="F1606" s="13" t="n">
        <v>-4</v>
      </c>
      <c r="G1606" s="11" t="n">
        <v>16163174.37</v>
      </c>
    </row>
    <row r="1607">
      <c r="A1607" s="11" t="n">
        <v>1606</v>
      </c>
      <c r="B1607" s="12" t="n">
        <v>46052</v>
      </c>
      <c r="C1607" s="11" t="inlineStr">
        <is>
          <t>CONSIGNACION CREDIBANCO D E</t>
        </is>
      </c>
      <c r="D1607" s="11" t="inlineStr">
        <is>
          <t>ORITO</t>
        </is>
      </c>
      <c r="E1607" s="11" t="inlineStr">
        <is>
          <t>00000000</t>
        </is>
      </c>
      <c r="F1607" s="13" t="n">
        <v>134250</v>
      </c>
      <c r="G1607" s="11" t="n">
        <v>16297424.37</v>
      </c>
    </row>
    <row r="1608">
      <c r="A1608" s="11" t="n">
        <v>1607</v>
      </c>
      <c r="B1608" s="12" t="n">
        <v>46052</v>
      </c>
      <c r="C1608" s="11" t="inlineStr">
        <is>
          <t>COBRO COMISION DEPOSITOS ELECTRONICOS</t>
        </is>
      </c>
      <c r="D1608" s="11" t="inlineStr">
        <is>
          <t>ORITO</t>
        </is>
      </c>
      <c r="E1608" s="11" t="inlineStr">
        <is>
          <t>00000000</t>
        </is>
      </c>
      <c r="F1608" s="13" t="n">
        <v>-2900</v>
      </c>
      <c r="G1608" s="11" t="n">
        <v>16294524.37</v>
      </c>
    </row>
    <row r="1609">
      <c r="A1609" s="11" t="n">
        <v>1608</v>
      </c>
      <c r="B1609" s="12" t="n">
        <v>46052</v>
      </c>
      <c r="C1609" s="11" t="inlineStr">
        <is>
          <t>GRAVAMEN A MOVIMIENTO FINANCIERO</t>
        </is>
      </c>
      <c r="D1609" s="11" t="inlineStr">
        <is>
          <t>ORITO</t>
        </is>
      </c>
      <c r="E1609" s="11" t="inlineStr">
        <is>
          <t>00000000</t>
        </is>
      </c>
      <c r="F1609" s="13" t="n">
        <v>-12</v>
      </c>
      <c r="G1609" s="11" t="n">
        <v>16294512.37</v>
      </c>
    </row>
    <row r="1610">
      <c r="A1610" s="11" t="n">
        <v>1609</v>
      </c>
      <c r="B1610" s="12" t="n">
        <v>46052</v>
      </c>
      <c r="C1610" s="11" t="inlineStr">
        <is>
          <t>RETEFUENTE D E Y VOUCHER CREDIBANCO</t>
        </is>
      </c>
      <c r="D1610" s="11" t="inlineStr">
        <is>
          <t>ORITO</t>
        </is>
      </c>
      <c r="E1610" s="11" t="inlineStr">
        <is>
          <t>00000000</t>
        </is>
      </c>
      <c r="F1610" s="13" t="n">
        <v>-2014</v>
      </c>
      <c r="G1610" s="11" t="n">
        <v>16292498.37</v>
      </c>
    </row>
    <row r="1611">
      <c r="A1611" s="11" t="n">
        <v>1610</v>
      </c>
      <c r="B1611" s="12" t="n">
        <v>46052</v>
      </c>
      <c r="C1611" s="11" t="inlineStr">
        <is>
          <t>GRAVAMEN A MOVIMIENTO FINANCIERO</t>
        </is>
      </c>
      <c r="D1611" s="11" t="inlineStr">
        <is>
          <t>ORITO</t>
        </is>
      </c>
      <c r="E1611" s="11" t="inlineStr">
        <is>
          <t>00000000</t>
        </is>
      </c>
      <c r="F1611" s="13" t="n">
        <v>-8</v>
      </c>
      <c r="G1611" s="11" t="n">
        <v>16292490.37</v>
      </c>
    </row>
    <row r="1612">
      <c r="A1612" s="11" t="n">
        <v>1611</v>
      </c>
      <c r="B1612" s="12" t="n">
        <v>46052</v>
      </c>
      <c r="C1612" s="11" t="inlineStr">
        <is>
          <t>CONSIGNACION CREDIBANCO D E</t>
        </is>
      </c>
      <c r="D1612" s="11" t="inlineStr">
        <is>
          <t>ORITO</t>
        </is>
      </c>
      <c r="E1612" s="11" t="inlineStr">
        <is>
          <t>00000000</t>
        </is>
      </c>
      <c r="F1612" s="13" t="n">
        <v>68600</v>
      </c>
      <c r="G1612" s="11" t="n">
        <v>16361090.37</v>
      </c>
    </row>
    <row r="1613">
      <c r="A1613" s="11" t="n">
        <v>1612</v>
      </c>
      <c r="B1613" s="12" t="n">
        <v>46052</v>
      </c>
      <c r="C1613" s="11" t="inlineStr">
        <is>
          <t>COBRO COMISION DEPOSITOS ELECTRONICOS</t>
        </is>
      </c>
      <c r="D1613" s="11" t="inlineStr">
        <is>
          <t>ORITO</t>
        </is>
      </c>
      <c r="E1613" s="11" t="inlineStr">
        <is>
          <t>00000000</t>
        </is>
      </c>
      <c r="F1613" s="13" t="n">
        <v>-1482</v>
      </c>
      <c r="G1613" s="11" t="n">
        <v>16359608.37</v>
      </c>
    </row>
    <row r="1614">
      <c r="A1614" s="11" t="n">
        <v>1613</v>
      </c>
      <c r="B1614" s="12" t="n">
        <v>46052</v>
      </c>
      <c r="C1614" s="11" t="inlineStr">
        <is>
          <t>GRAVAMEN A MOVIMIENTO FINANCIERO</t>
        </is>
      </c>
      <c r="D1614" s="11" t="inlineStr">
        <is>
          <t>ORITO</t>
        </is>
      </c>
      <c r="E1614" s="11" t="inlineStr">
        <is>
          <t>00000000</t>
        </is>
      </c>
      <c r="F1614" s="13" t="n">
        <v>-6</v>
      </c>
      <c r="G1614" s="11" t="n">
        <v>16359602.37</v>
      </c>
    </row>
    <row r="1615">
      <c r="A1615" s="11" t="n">
        <v>1614</v>
      </c>
      <c r="B1615" s="12" t="n">
        <v>46052</v>
      </c>
      <c r="C1615" s="11" t="inlineStr">
        <is>
          <t>RETEFUENTE D E Y VOUCHER CREDIBANCO</t>
        </is>
      </c>
      <c r="D1615" s="11" t="inlineStr">
        <is>
          <t>ORITO</t>
        </is>
      </c>
      <c r="E1615" s="11" t="inlineStr">
        <is>
          <t>00000000</t>
        </is>
      </c>
      <c r="F1615" s="13" t="n">
        <v>-1029</v>
      </c>
      <c r="G1615" s="11" t="n">
        <v>16358573.37</v>
      </c>
    </row>
    <row r="1616">
      <c r="A1616" s="11" t="n">
        <v>1615</v>
      </c>
      <c r="B1616" s="12" t="n">
        <v>46052</v>
      </c>
      <c r="C1616" s="11" t="inlineStr">
        <is>
          <t>GRAVAMEN A MOVIMIENTO FINANCIERO</t>
        </is>
      </c>
      <c r="D1616" s="11" t="inlineStr">
        <is>
          <t>ORITO</t>
        </is>
      </c>
      <c r="E1616" s="11" t="inlineStr">
        <is>
          <t>00000000</t>
        </is>
      </c>
      <c r="F1616" s="13" t="n">
        <v>-4</v>
      </c>
      <c r="G1616" s="11" t="n">
        <v>16358569.37</v>
      </c>
    </row>
    <row r="1617">
      <c r="A1617" s="11" t="n">
        <v>1616</v>
      </c>
      <c r="B1617" s="12" t="n">
        <v>46052</v>
      </c>
      <c r="C1617" s="11" t="inlineStr">
        <is>
          <t>CONSIGNACION CREDIBANCO D E</t>
        </is>
      </c>
      <c r="D1617" s="11" t="inlineStr">
        <is>
          <t>ORITO</t>
        </is>
      </c>
      <c r="E1617" s="11" t="inlineStr">
        <is>
          <t>00000000</t>
        </is>
      </c>
      <c r="F1617" s="13" t="n">
        <v>28200</v>
      </c>
      <c r="G1617" s="11" t="n">
        <v>16386769.37</v>
      </c>
    </row>
    <row r="1618">
      <c r="A1618" s="11" t="n">
        <v>1617</v>
      </c>
      <c r="B1618" s="12" t="n">
        <v>46052</v>
      </c>
      <c r="C1618" s="11" t="inlineStr">
        <is>
          <t>COBRO COMISION DEPOSITOS ELECTRONICOS</t>
        </is>
      </c>
      <c r="D1618" s="11" t="inlineStr">
        <is>
          <t>ORITO</t>
        </is>
      </c>
      <c r="E1618" s="11" t="inlineStr">
        <is>
          <t>00000000</t>
        </is>
      </c>
      <c r="F1618" s="13" t="n">
        <v>-609</v>
      </c>
      <c r="G1618" s="11" t="n">
        <v>16386160.37</v>
      </c>
    </row>
    <row r="1619">
      <c r="A1619" s="11" t="n">
        <v>1618</v>
      </c>
      <c r="B1619" s="12" t="n">
        <v>46052</v>
      </c>
      <c r="C1619" s="11" t="inlineStr">
        <is>
          <t>GRAVAMEN A MOVIMIENTO FINANCIERO</t>
        </is>
      </c>
      <c r="D1619" s="11" t="inlineStr">
        <is>
          <t>ORITO</t>
        </is>
      </c>
      <c r="E1619" s="11" t="inlineStr">
        <is>
          <t>00000000</t>
        </is>
      </c>
      <c r="F1619" s="13" t="n">
        <v>-2</v>
      </c>
      <c r="G1619" s="11" t="n">
        <v>16386158.37</v>
      </c>
    </row>
    <row r="1620">
      <c r="A1620" s="11" t="n">
        <v>1619</v>
      </c>
      <c r="B1620" s="12" t="n">
        <v>46052</v>
      </c>
      <c r="C1620" s="11" t="inlineStr">
        <is>
          <t>RETEFUENTE D E Y VOUCHER CREDIBANCO</t>
        </is>
      </c>
      <c r="D1620" s="11" t="inlineStr">
        <is>
          <t>ORITO</t>
        </is>
      </c>
      <c r="E1620" s="11" t="inlineStr">
        <is>
          <t>00000000</t>
        </is>
      </c>
      <c r="F1620" s="13" t="n">
        <v>-423</v>
      </c>
      <c r="G1620" s="11" t="n">
        <v>16385735.37</v>
      </c>
    </row>
    <row r="1621">
      <c r="A1621" s="11" t="n">
        <v>1620</v>
      </c>
      <c r="B1621" s="12" t="n">
        <v>46052</v>
      </c>
      <c r="C1621" s="11" t="inlineStr">
        <is>
          <t>GRAVAMEN A MOVIMIENTO FINANCIERO</t>
        </is>
      </c>
      <c r="D1621" s="11" t="inlineStr">
        <is>
          <t>ORITO</t>
        </is>
      </c>
      <c r="E1621" s="11" t="inlineStr">
        <is>
          <t>00000000</t>
        </is>
      </c>
      <c r="F1621" s="13" t="n">
        <v>-2</v>
      </c>
      <c r="G1621" s="11" t="n">
        <v>16385733.37</v>
      </c>
    </row>
    <row r="1622">
      <c r="A1622" s="11" t="n">
        <v>1621</v>
      </c>
      <c r="B1622" s="12" t="n">
        <v>46052</v>
      </c>
      <c r="C1622" s="11" t="inlineStr">
        <is>
          <t>CONSIGNACION CREDIBANCO D E</t>
        </is>
      </c>
      <c r="D1622" s="11" t="inlineStr">
        <is>
          <t>ORITO</t>
        </is>
      </c>
      <c r="E1622" s="11" t="inlineStr">
        <is>
          <t>00000000</t>
        </is>
      </c>
      <c r="F1622" s="13" t="n">
        <v>75000</v>
      </c>
      <c r="G1622" s="11" t="n">
        <v>16460733.37</v>
      </c>
    </row>
    <row r="1623">
      <c r="A1623" s="11" t="n">
        <v>1622</v>
      </c>
      <c r="B1623" s="12" t="n">
        <v>46052</v>
      </c>
      <c r="C1623" s="11" t="inlineStr">
        <is>
          <t>COBRO COMISION DEPOSITOS ELECTRONICOS</t>
        </is>
      </c>
      <c r="D1623" s="11" t="inlineStr">
        <is>
          <t>ORITO</t>
        </is>
      </c>
      <c r="E1623" s="11" t="inlineStr">
        <is>
          <t>00000000</t>
        </is>
      </c>
      <c r="F1623" s="13" t="n">
        <v>-1643</v>
      </c>
      <c r="G1623" s="11" t="n">
        <v>16459090.37</v>
      </c>
    </row>
    <row r="1624">
      <c r="A1624" s="11" t="n">
        <v>1623</v>
      </c>
      <c r="B1624" s="12" t="n">
        <v>46052</v>
      </c>
      <c r="C1624" s="11" t="inlineStr">
        <is>
          <t>GRAVAMEN A MOVIMIENTO FINANCIERO</t>
        </is>
      </c>
      <c r="D1624" s="11" t="inlineStr">
        <is>
          <t>ORITO</t>
        </is>
      </c>
      <c r="E1624" s="11" t="inlineStr">
        <is>
          <t>00000000</t>
        </is>
      </c>
      <c r="F1624" s="13" t="n">
        <v>-7</v>
      </c>
      <c r="G1624" s="11" t="n">
        <v>16459083.37</v>
      </c>
    </row>
    <row r="1625">
      <c r="A1625" s="11" t="n">
        <v>1624</v>
      </c>
      <c r="B1625" s="12" t="n">
        <v>46052</v>
      </c>
      <c r="C1625" s="11" t="inlineStr">
        <is>
          <t>RETEFUENTE D E Y VOUCHER CREDIBANCO</t>
        </is>
      </c>
      <c r="D1625" s="11" t="inlineStr">
        <is>
          <t>ORITO</t>
        </is>
      </c>
      <c r="E1625" s="11" t="inlineStr">
        <is>
          <t>00000000</t>
        </is>
      </c>
      <c r="F1625" s="13" t="n">
        <v>-1125</v>
      </c>
      <c r="G1625" s="11" t="n">
        <v>16457958.37</v>
      </c>
    </row>
    <row r="1626">
      <c r="A1626" s="11" t="n">
        <v>1625</v>
      </c>
      <c r="B1626" s="12" t="n">
        <v>46052</v>
      </c>
      <c r="C1626" s="11" t="inlineStr">
        <is>
          <t>GRAVAMEN A MOVIMIENTO FINANCIERO</t>
        </is>
      </c>
      <c r="D1626" s="11" t="inlineStr">
        <is>
          <t>ORITO</t>
        </is>
      </c>
      <c r="E1626" s="11" t="inlineStr">
        <is>
          <t>00000000</t>
        </is>
      </c>
      <c r="F1626" s="13" t="n">
        <v>-5</v>
      </c>
      <c r="G1626" s="11" t="n">
        <v>16457953.37</v>
      </c>
    </row>
    <row r="1627">
      <c r="A1627" s="11" t="n">
        <v>1626</v>
      </c>
      <c r="B1627" s="12" t="n">
        <v>46052</v>
      </c>
      <c r="C1627" s="11" t="inlineStr">
        <is>
          <t>CONSIGNACION CREDIBANCO D E</t>
        </is>
      </c>
      <c r="D1627" s="11" t="inlineStr">
        <is>
          <t>ORITO</t>
        </is>
      </c>
      <c r="E1627" s="11" t="inlineStr">
        <is>
          <t>00000000</t>
        </is>
      </c>
      <c r="F1627" s="13" t="n">
        <v>97000</v>
      </c>
      <c r="G1627" s="11" t="n">
        <v>16554953.37</v>
      </c>
    </row>
    <row r="1628">
      <c r="A1628" s="11" t="n">
        <v>1627</v>
      </c>
      <c r="B1628" s="12" t="n">
        <v>46052</v>
      </c>
      <c r="C1628" s="11" t="inlineStr">
        <is>
          <t>COBRO COMISION DEPOSITOS ELECTRONICOS</t>
        </is>
      </c>
      <c r="D1628" s="11" t="inlineStr">
        <is>
          <t>ORITO</t>
        </is>
      </c>
      <c r="E1628" s="11" t="inlineStr">
        <is>
          <t>00000000</t>
        </is>
      </c>
      <c r="F1628" s="13" t="n">
        <v>-1998</v>
      </c>
      <c r="G1628" s="11" t="n">
        <v>16552955.37</v>
      </c>
    </row>
    <row r="1629">
      <c r="A1629" s="11" t="n">
        <v>1628</v>
      </c>
      <c r="B1629" s="12" t="n">
        <v>46052</v>
      </c>
      <c r="C1629" s="11" t="inlineStr">
        <is>
          <t>GRAVAMEN A MOVIMIENTO FINANCIERO</t>
        </is>
      </c>
      <c r="D1629" s="11" t="inlineStr">
        <is>
          <t>ORITO</t>
        </is>
      </c>
      <c r="E1629" s="11" t="inlineStr">
        <is>
          <t>00000000</t>
        </is>
      </c>
      <c r="F1629" s="13" t="n">
        <v>-8</v>
      </c>
      <c r="G1629" s="11" t="n">
        <v>16552947.37</v>
      </c>
    </row>
    <row r="1630">
      <c r="A1630" s="11" t="n">
        <v>1629</v>
      </c>
      <c r="B1630" s="12" t="n">
        <v>46052</v>
      </c>
      <c r="C1630" s="11" t="inlineStr">
        <is>
          <t>RETEFUENTE D E Y VOUCHER CREDIBANCO</t>
        </is>
      </c>
      <c r="D1630" s="11" t="inlineStr">
        <is>
          <t>ORITO</t>
        </is>
      </c>
      <c r="E1630" s="11" t="inlineStr">
        <is>
          <t>00000000</t>
        </is>
      </c>
      <c r="F1630" s="13" t="n">
        <v>-1455</v>
      </c>
      <c r="G1630" s="11" t="n">
        <v>16551492.37</v>
      </c>
    </row>
    <row r="1631">
      <c r="A1631" s="11" t="n">
        <v>1630</v>
      </c>
      <c r="B1631" s="12" t="n">
        <v>46052</v>
      </c>
      <c r="C1631" s="11" t="inlineStr">
        <is>
          <t>GRAVAMEN A MOVIMIENTO FINANCIERO</t>
        </is>
      </c>
      <c r="D1631" s="11" t="inlineStr">
        <is>
          <t>ORITO</t>
        </is>
      </c>
      <c r="E1631" s="11" t="inlineStr">
        <is>
          <t>00000000</t>
        </is>
      </c>
      <c r="F1631" s="13" t="n">
        <v>-6</v>
      </c>
      <c r="G1631" s="11" t="n">
        <v>16551486.37</v>
      </c>
    </row>
    <row r="1632">
      <c r="A1632" s="11" t="n">
        <v>1631</v>
      </c>
      <c r="B1632" s="12" t="n">
        <v>46052</v>
      </c>
      <c r="C1632" s="11" t="inlineStr">
        <is>
          <t>DEPOSITOS ELECTRONICOS TRANSACCION MASTERCA</t>
        </is>
      </c>
      <c r="D1632" s="11" t="inlineStr">
        <is>
          <t>ORITO</t>
        </is>
      </c>
      <c r="E1632" s="11" t="inlineStr">
        <is>
          <t>00000000</t>
        </is>
      </c>
      <c r="F1632" s="13" t="n">
        <v>74900</v>
      </c>
      <c r="G1632" s="11" t="n">
        <v>16626386.37</v>
      </c>
    </row>
    <row r="1633">
      <c r="A1633" s="11" t="n">
        <v>1632</v>
      </c>
      <c r="B1633" s="12" t="n">
        <v>46052</v>
      </c>
      <c r="C1633" s="11" t="inlineStr">
        <is>
          <t>COMISION DEPOSITOS ELECTRONICOS MASTERCARD</t>
        </is>
      </c>
      <c r="D1633" s="11" t="inlineStr">
        <is>
          <t>ORITO</t>
        </is>
      </c>
      <c r="E1633" s="11" t="inlineStr">
        <is>
          <t>00000000</t>
        </is>
      </c>
      <c r="F1633" s="13" t="n">
        <v>-1423</v>
      </c>
      <c r="G1633" s="11" t="n">
        <v>16624963.37</v>
      </c>
    </row>
    <row r="1634">
      <c r="A1634" s="11" t="n">
        <v>1633</v>
      </c>
      <c r="B1634" s="12" t="n">
        <v>46052</v>
      </c>
      <c r="C1634" s="11" t="inlineStr">
        <is>
          <t>GRAVAMEN A MOVIMIENTO FINANCIERO</t>
        </is>
      </c>
      <c r="D1634" s="11" t="inlineStr">
        <is>
          <t>ORITO</t>
        </is>
      </c>
      <c r="E1634" s="11" t="inlineStr">
        <is>
          <t>00000000</t>
        </is>
      </c>
      <c r="F1634" s="13" t="n">
        <v>-6</v>
      </c>
      <c r="G1634" s="11" t="n">
        <v>16624957.37</v>
      </c>
    </row>
    <row r="1635">
      <c r="A1635" s="11" t="n">
        <v>1634</v>
      </c>
      <c r="B1635" s="12" t="n">
        <v>46052</v>
      </c>
      <c r="C1635" s="11" t="inlineStr">
        <is>
          <t>RETEFUENTE DEPOSITOS ELECTRONICOS MASTERCAR</t>
        </is>
      </c>
      <c r="D1635" s="11" t="inlineStr">
        <is>
          <t>ORITO</t>
        </is>
      </c>
      <c r="E1635" s="11" t="inlineStr">
        <is>
          <t>00000000</t>
        </is>
      </c>
      <c r="F1635" s="13" t="n">
        <v>-1124</v>
      </c>
      <c r="G1635" s="11" t="n">
        <v>16623833.37</v>
      </c>
    </row>
    <row r="1636">
      <c r="A1636" s="11" t="n">
        <v>1635</v>
      </c>
      <c r="B1636" s="12" t="n">
        <v>46052</v>
      </c>
      <c r="C1636" s="11" t="inlineStr">
        <is>
          <t>GRAVAMEN A MOVIMIENTO FINANCIERO</t>
        </is>
      </c>
      <c r="D1636" s="11" t="inlineStr">
        <is>
          <t>ORITO</t>
        </is>
      </c>
      <c r="E1636" s="11" t="inlineStr">
        <is>
          <t>00000000</t>
        </is>
      </c>
      <c r="F1636" s="13" t="n">
        <v>-4</v>
      </c>
      <c r="G1636" s="11" t="n">
        <v>16623829.37</v>
      </c>
    </row>
    <row r="1637">
      <c r="A1637" s="11" t="n">
        <v>1636</v>
      </c>
      <c r="B1637" s="12" t="n">
        <v>46052</v>
      </c>
      <c r="C1637" s="11" t="inlineStr">
        <is>
          <t>INTERNET TRANSFERENCIAS ENTRE TERCEROS INTE</t>
        </is>
      </c>
      <c r="D1637" s="11" t="inlineStr">
        <is>
          <t>INTERNET BANCA</t>
        </is>
      </c>
      <c r="E1637" s="11" t="inlineStr">
        <is>
          <t>00000000</t>
        </is>
      </c>
      <c r="F1637" s="13" t="n">
        <v>-6009576</v>
      </c>
      <c r="G1637" s="11" t="n">
        <v>10614253.37</v>
      </c>
    </row>
    <row r="1638">
      <c r="A1638" s="11" t="n">
        <v>1637</v>
      </c>
      <c r="B1638" s="12" t="n">
        <v>46052</v>
      </c>
      <c r="C1638" s="11" t="inlineStr">
        <is>
          <t>GRAVAMEN A MOVIMIENTO FINANCIERO</t>
        </is>
      </c>
      <c r="D1638" s="11" t="inlineStr">
        <is>
          <t>INTERNET BANCA</t>
        </is>
      </c>
      <c r="E1638" s="11" t="inlineStr">
        <is>
          <t>00000000</t>
        </is>
      </c>
      <c r="F1638" s="13" t="n">
        <v>-24038</v>
      </c>
      <c r="G1638" s="11" t="n">
        <v>10590215.37</v>
      </c>
    </row>
  </sheetData>
  <autoFilter ref="A1:G16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3" customWidth="1" min="5" max="5"/>
    <col width="22" customWidth="1" min="6" max="6"/>
    <col width="12" customWidth="1" min="7" max="7"/>
    <col width="18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fecha</t>
        </is>
      </c>
      <c r="C1" s="8" t="inlineStr">
        <is>
          <t>doc</t>
        </is>
      </c>
      <c r="D1" s="8" t="inlineStr">
        <is>
          <t>numero</t>
        </is>
      </c>
      <c r="E1" s="8" t="inlineStr">
        <is>
          <t>tercero</t>
        </is>
      </c>
      <c r="F1" s="8" t="inlineStr">
        <is>
          <t>nombre_tercero</t>
        </is>
      </c>
      <c r="G1" s="8" t="inlineStr">
        <is>
          <t>doc_refer</t>
        </is>
      </c>
      <c r="H1" s="8" t="inlineStr">
        <is>
          <t>detalle</t>
        </is>
      </c>
      <c r="I1" s="8" t="inlineStr">
        <is>
          <t>debitos</t>
        </is>
      </c>
      <c r="J1" s="8" t="inlineStr">
        <is>
          <t>creditos</t>
        </is>
      </c>
    </row>
    <row r="2">
      <c r="A2" s="11" t="n">
        <v>1</v>
      </c>
      <c r="B2" s="12" t="n">
        <v>46024</v>
      </c>
      <c r="C2" s="11" t="inlineStr">
        <is>
          <t>INTF</t>
        </is>
      </c>
      <c r="D2" s="11" t="inlineStr">
        <is>
          <t>202601</t>
        </is>
      </c>
      <c r="E2" s="11" t="inlineStr">
        <is>
          <t>18144393</t>
        </is>
      </c>
      <c r="F2" s="11" t="inlineStr">
        <is>
          <t>GIRALDO MEDINA LUIS</t>
        </is>
      </c>
      <c r="G2" s="11" t="inlineStr"/>
      <c r="H2" s="11" t="inlineStr">
        <is>
          <t>INTERFACE P.O.S.</t>
        </is>
      </c>
      <c r="I2" s="11" t="n">
        <v>122600</v>
      </c>
      <c r="J2" s="11" t="inlineStr"/>
    </row>
    <row r="3">
      <c r="A3" s="11" t="n">
        <v>2</v>
      </c>
      <c r="B3" s="12" t="n">
        <v>46024</v>
      </c>
      <c r="C3" s="11" t="inlineStr">
        <is>
          <t>INTF</t>
        </is>
      </c>
      <c r="D3" s="11" t="inlineStr">
        <is>
          <t>202601</t>
        </is>
      </c>
      <c r="E3" s="11" t="inlineStr">
        <is>
          <t>1123321957</t>
        </is>
      </c>
      <c r="F3" s="11" t="inlineStr">
        <is>
          <t>CAICEDO GALINDO YANI</t>
        </is>
      </c>
      <c r="G3" s="11" t="inlineStr"/>
      <c r="H3" s="11" t="inlineStr">
        <is>
          <t>INTERFACE P.O.S.</t>
        </is>
      </c>
      <c r="I3" s="11" t="n">
        <v>80900</v>
      </c>
      <c r="J3" s="11" t="inlineStr"/>
    </row>
    <row r="4">
      <c r="A4" s="11" t="n">
        <v>3</v>
      </c>
      <c r="B4" s="12" t="n">
        <v>46024</v>
      </c>
      <c r="C4" s="11" t="inlineStr">
        <is>
          <t>INTF</t>
        </is>
      </c>
      <c r="D4" s="11" t="inlineStr">
        <is>
          <t>202601</t>
        </is>
      </c>
      <c r="E4" s="11" t="inlineStr">
        <is>
          <t>1193078944</t>
        </is>
      </c>
      <c r="F4" s="11" t="inlineStr">
        <is>
          <t>PACHUCAN LASO LINSAY</t>
        </is>
      </c>
      <c r="G4" s="11" t="inlineStr"/>
      <c r="H4" s="11" t="inlineStr">
        <is>
          <t>INTERFACE P.O.S.</t>
        </is>
      </c>
      <c r="I4" s="11" t="n">
        <v>43200</v>
      </c>
      <c r="J4" s="11" t="inlineStr"/>
    </row>
    <row r="5">
      <c r="A5" s="11" t="n">
        <v>4</v>
      </c>
      <c r="B5" s="12" t="n">
        <v>46024</v>
      </c>
      <c r="C5" s="11" t="inlineStr">
        <is>
          <t>INTF</t>
        </is>
      </c>
      <c r="D5" s="11" t="inlineStr">
        <is>
          <t>202601</t>
        </is>
      </c>
      <c r="E5" s="11" t="inlineStr">
        <is>
          <t>41107638</t>
        </is>
      </c>
      <c r="F5" s="11" t="inlineStr">
        <is>
          <t>RAMOS RUEDA PIEDAD L</t>
        </is>
      </c>
      <c r="G5" s="11" t="inlineStr"/>
      <c r="H5" s="11" t="inlineStr">
        <is>
          <t>INTERFACE P.O.S.</t>
        </is>
      </c>
      <c r="I5" s="11" t="n">
        <v>156300</v>
      </c>
      <c r="J5" s="11" t="inlineStr"/>
    </row>
    <row r="6">
      <c r="A6" s="11" t="n">
        <v>5</v>
      </c>
      <c r="B6" s="12" t="n">
        <v>46024</v>
      </c>
      <c r="C6" s="11" t="inlineStr">
        <is>
          <t>INTF</t>
        </is>
      </c>
      <c r="D6" s="11" t="inlineStr">
        <is>
          <t>202601</t>
        </is>
      </c>
      <c r="E6" s="11" t="inlineStr">
        <is>
          <t>1130144389</t>
        </is>
      </c>
      <c r="F6" s="11" t="inlineStr">
        <is>
          <t>RIVERA MEZA LILY EST</t>
        </is>
      </c>
      <c r="G6" s="11" t="inlineStr"/>
      <c r="H6" s="11" t="inlineStr">
        <is>
          <t>INTERFACE P.O.S.</t>
        </is>
      </c>
      <c r="I6" s="11" t="n">
        <v>223200</v>
      </c>
      <c r="J6" s="11" t="inlineStr"/>
    </row>
    <row r="7">
      <c r="A7" s="11" t="n">
        <v>6</v>
      </c>
      <c r="B7" s="12" t="n">
        <v>46024</v>
      </c>
      <c r="C7" s="11" t="inlineStr">
        <is>
          <t>INTF</t>
        </is>
      </c>
      <c r="D7" s="11" t="inlineStr">
        <is>
          <t>202601</t>
        </is>
      </c>
      <c r="E7" s="11" t="inlineStr">
        <is>
          <t>22222222222</t>
        </is>
      </c>
      <c r="F7" s="11" t="inlineStr">
        <is>
          <t>CONSUMIDOR FINAL</t>
        </is>
      </c>
      <c r="G7" s="11" t="inlineStr"/>
      <c r="H7" s="11" t="inlineStr">
        <is>
          <t>INTERFACE P.O.S.</t>
        </is>
      </c>
      <c r="I7" s="11" t="n">
        <v>180265</v>
      </c>
      <c r="J7" s="11" t="inlineStr"/>
    </row>
    <row r="8">
      <c r="A8" s="11" t="n">
        <v>7</v>
      </c>
      <c r="B8" s="12" t="n">
        <v>46024</v>
      </c>
      <c r="C8" s="11" t="inlineStr">
        <is>
          <t>INTF</t>
        </is>
      </c>
      <c r="D8" s="11" t="inlineStr">
        <is>
          <t>202601</t>
        </is>
      </c>
      <c r="E8" s="11" t="inlineStr">
        <is>
          <t>14476518</t>
        </is>
      </c>
      <c r="F8" s="11" t="inlineStr">
        <is>
          <t>ALOMIA RIASCOS BOLIV</t>
        </is>
      </c>
      <c r="G8" s="11" t="inlineStr"/>
      <c r="H8" s="11" t="inlineStr">
        <is>
          <t>INTERFACE P.O.S.</t>
        </is>
      </c>
      <c r="I8" s="11" t="n">
        <v>33300</v>
      </c>
      <c r="J8" s="11" t="inlineStr"/>
    </row>
    <row r="9">
      <c r="A9" s="11" t="n">
        <v>8</v>
      </c>
      <c r="B9" s="12" t="n">
        <v>46024</v>
      </c>
      <c r="C9" s="11" t="inlineStr">
        <is>
          <t>INTF</t>
        </is>
      </c>
      <c r="D9" s="11" t="inlineStr">
        <is>
          <t>202601</t>
        </is>
      </c>
      <c r="E9" s="11" t="inlineStr">
        <is>
          <t>1123325430</t>
        </is>
      </c>
      <c r="F9" s="11" t="inlineStr">
        <is>
          <t>RIASCO EDINSON</t>
        </is>
      </c>
      <c r="G9" s="11" t="inlineStr"/>
      <c r="H9" s="11" t="inlineStr">
        <is>
          <t>INTERFACE P.O.S.</t>
        </is>
      </c>
      <c r="I9" s="11" t="n">
        <v>75000</v>
      </c>
      <c r="J9" s="11" t="inlineStr"/>
    </row>
    <row r="10">
      <c r="A10" s="11" t="n">
        <v>9</v>
      </c>
      <c r="B10" s="12" t="n">
        <v>46024</v>
      </c>
      <c r="C10" s="11" t="inlineStr">
        <is>
          <t>INTF</t>
        </is>
      </c>
      <c r="D10" s="11" t="inlineStr">
        <is>
          <t>202601</t>
        </is>
      </c>
      <c r="E10" s="11" t="inlineStr">
        <is>
          <t>1123332546</t>
        </is>
      </c>
      <c r="F10" s="11" t="inlineStr">
        <is>
          <t>ANGULO RAYO SOFI YUL</t>
        </is>
      </c>
      <c r="G10" s="11" t="inlineStr"/>
      <c r="H10" s="11" t="inlineStr">
        <is>
          <t>INTERFACE P.O.S.</t>
        </is>
      </c>
      <c r="I10" s="11" t="n">
        <v>79955</v>
      </c>
      <c r="J10" s="11" t="inlineStr"/>
    </row>
    <row r="11">
      <c r="A11" s="11" t="n">
        <v>10</v>
      </c>
      <c r="B11" s="12" t="n">
        <v>46024</v>
      </c>
      <c r="C11" s="11" t="inlineStr">
        <is>
          <t>INTF</t>
        </is>
      </c>
      <c r="D11" s="11" t="inlineStr">
        <is>
          <t>202601</t>
        </is>
      </c>
      <c r="E11" s="11" t="inlineStr">
        <is>
          <t>1192713279</t>
        </is>
      </c>
      <c r="F11" s="11" t="inlineStr">
        <is>
          <t>ROSERO CRISTIAN</t>
        </is>
      </c>
      <c r="G11" s="11" t="inlineStr"/>
      <c r="H11" s="11" t="inlineStr">
        <is>
          <t>INTERFACE P.O.S.</t>
        </is>
      </c>
      <c r="I11" s="11" t="n">
        <v>88000</v>
      </c>
      <c r="J11" s="11" t="inlineStr"/>
    </row>
    <row r="12">
      <c r="A12" s="11" t="n">
        <v>11</v>
      </c>
      <c r="B12" s="12" t="n">
        <v>46024</v>
      </c>
      <c r="C12" s="11" t="inlineStr">
        <is>
          <t>INTF</t>
        </is>
      </c>
      <c r="D12" s="11" t="inlineStr">
        <is>
          <t>202601</t>
        </is>
      </c>
      <c r="E12" s="11" t="inlineStr">
        <is>
          <t>1112496412</t>
        </is>
      </c>
      <c r="F12" s="11" t="inlineStr">
        <is>
          <t>MEJIA ISABELA</t>
        </is>
      </c>
      <c r="G12" s="11" t="inlineStr"/>
      <c r="H12" s="11" t="inlineStr">
        <is>
          <t>INTERFACE P.O.S.</t>
        </is>
      </c>
      <c r="I12" s="11" t="n">
        <v>685700</v>
      </c>
      <c r="J12" s="11" t="inlineStr"/>
    </row>
    <row r="13">
      <c r="A13" s="11" t="n">
        <v>12</v>
      </c>
      <c r="B13" s="12" t="n">
        <v>46025</v>
      </c>
      <c r="C13" s="11" t="inlineStr">
        <is>
          <t>INTF</t>
        </is>
      </c>
      <c r="D13" s="11" t="inlineStr">
        <is>
          <t>202601</t>
        </is>
      </c>
      <c r="E13" s="11" t="inlineStr">
        <is>
          <t>41110276</t>
        </is>
      </c>
      <c r="F13" s="11" t="inlineStr">
        <is>
          <t>CORTEZ CAYCEDO HELID</t>
        </is>
      </c>
      <c r="G13" s="11" t="inlineStr"/>
      <c r="H13" s="11" t="inlineStr">
        <is>
          <t>INTERFACE P.O.S.</t>
        </is>
      </c>
      <c r="I13" s="11" t="n">
        <v>267200</v>
      </c>
      <c r="J13" s="11" t="inlineStr"/>
    </row>
    <row r="14">
      <c r="A14" s="11" t="n">
        <v>13</v>
      </c>
      <c r="B14" s="12" t="n">
        <v>46025</v>
      </c>
      <c r="C14" s="11" t="inlineStr">
        <is>
          <t>INTF</t>
        </is>
      </c>
      <c r="D14" s="11" t="inlineStr">
        <is>
          <t>202601</t>
        </is>
      </c>
      <c r="E14" s="11" t="inlineStr">
        <is>
          <t>1085907080</t>
        </is>
      </c>
      <c r="F14" s="11" t="inlineStr">
        <is>
          <t>DIAZ MENESES ANYELA</t>
        </is>
      </c>
      <c r="G14" s="11" t="inlineStr"/>
      <c r="H14" s="11" t="inlineStr">
        <is>
          <t>INTERFACE P.O.S.</t>
        </is>
      </c>
      <c r="I14" s="11" t="n">
        <v>28683</v>
      </c>
      <c r="J14" s="11" t="inlineStr"/>
    </row>
    <row r="15">
      <c r="A15" s="11" t="n">
        <v>14</v>
      </c>
      <c r="B15" s="12" t="n">
        <v>46025</v>
      </c>
      <c r="C15" s="11" t="inlineStr">
        <is>
          <t>INTF</t>
        </is>
      </c>
      <c r="D15" s="11" t="inlineStr">
        <is>
          <t>202601</t>
        </is>
      </c>
      <c r="E15" s="11" t="inlineStr">
        <is>
          <t>18145975</t>
        </is>
      </c>
      <c r="F15" s="11" t="inlineStr">
        <is>
          <t>BUELVAS DIAZ JOSE MI</t>
        </is>
      </c>
      <c r="G15" s="11" t="inlineStr"/>
      <c r="H15" s="11" t="inlineStr">
        <is>
          <t>INTERFACE P.O.S.</t>
        </is>
      </c>
      <c r="I15" s="11" t="n">
        <v>49900</v>
      </c>
      <c r="J15" s="11" t="inlineStr"/>
    </row>
    <row r="16">
      <c r="A16" s="11" t="n">
        <v>15</v>
      </c>
      <c r="B16" s="12" t="n">
        <v>46025</v>
      </c>
      <c r="C16" s="11" t="inlineStr">
        <is>
          <t>INTF</t>
        </is>
      </c>
      <c r="D16" s="11" t="inlineStr">
        <is>
          <t>202601</t>
        </is>
      </c>
      <c r="E16" s="11" t="inlineStr">
        <is>
          <t>1123328255</t>
        </is>
      </c>
      <c r="F16" s="11" t="inlineStr">
        <is>
          <t>ORDOÑEZ MOSQUERA DAY</t>
        </is>
      </c>
      <c r="G16" s="11" t="inlineStr"/>
      <c r="H16" s="11" t="inlineStr">
        <is>
          <t>INTERFACE P.O.S.</t>
        </is>
      </c>
      <c r="I16" s="11" t="n">
        <v>164300</v>
      </c>
      <c r="J16" s="11" t="inlineStr"/>
    </row>
    <row r="17">
      <c r="A17" s="11" t="n">
        <v>16</v>
      </c>
      <c r="B17" s="12" t="n">
        <v>46025</v>
      </c>
      <c r="C17" s="11" t="inlineStr">
        <is>
          <t>INTF</t>
        </is>
      </c>
      <c r="D17" s="11" t="inlineStr">
        <is>
          <t>202601</t>
        </is>
      </c>
      <c r="E17" s="11" t="inlineStr">
        <is>
          <t>34326361</t>
        </is>
      </c>
      <c r="F17" s="11" t="inlineStr">
        <is>
          <t>HUACA SAMBONY DIANA</t>
        </is>
      </c>
      <c r="G17" s="11" t="inlineStr"/>
      <c r="H17" s="11" t="inlineStr">
        <is>
          <t>INTERFACE P.O.S.</t>
        </is>
      </c>
      <c r="I17" s="11" t="n">
        <v>28300</v>
      </c>
      <c r="J17" s="11" t="inlineStr"/>
    </row>
    <row r="18">
      <c r="A18" s="11" t="n">
        <v>17</v>
      </c>
      <c r="B18" s="12" t="n">
        <v>46025</v>
      </c>
      <c r="C18" s="11" t="inlineStr">
        <is>
          <t>INTF</t>
        </is>
      </c>
      <c r="D18" s="11" t="inlineStr">
        <is>
          <t>202601</t>
        </is>
      </c>
      <c r="E18" s="11" t="inlineStr">
        <is>
          <t>72128266</t>
        </is>
      </c>
      <c r="F18" s="11" t="inlineStr">
        <is>
          <t>HERNANDEZ LEMA PEDRO</t>
        </is>
      </c>
      <c r="G18" s="11" t="inlineStr"/>
      <c r="H18" s="11" t="inlineStr">
        <is>
          <t>INTERFACE P.O.S.</t>
        </is>
      </c>
      <c r="I18" s="11" t="n">
        <v>59800</v>
      </c>
      <c r="J18" s="11" t="inlineStr"/>
    </row>
    <row r="19">
      <c r="A19" s="11" t="n">
        <v>18</v>
      </c>
      <c r="B19" s="12" t="n">
        <v>46025</v>
      </c>
      <c r="C19" s="11" t="inlineStr">
        <is>
          <t>INTF</t>
        </is>
      </c>
      <c r="D19" s="11" t="inlineStr">
        <is>
          <t>202601</t>
        </is>
      </c>
      <c r="E19" s="11" t="inlineStr">
        <is>
          <t>87064931</t>
        </is>
      </c>
      <c r="F19" s="11" t="inlineStr">
        <is>
          <t>MARTINEZ MUÑOZ WILLI</t>
        </is>
      </c>
      <c r="G19" s="11" t="inlineStr"/>
      <c r="H19" s="11" t="inlineStr">
        <is>
          <t>INTERFACE P.O.S.</t>
        </is>
      </c>
      <c r="I19" s="11" t="n">
        <v>63100</v>
      </c>
      <c r="J19" s="11" t="inlineStr"/>
    </row>
    <row r="20">
      <c r="A20" s="11" t="n">
        <v>19</v>
      </c>
      <c r="B20" s="12" t="n">
        <v>46025</v>
      </c>
      <c r="C20" s="11" t="inlineStr">
        <is>
          <t>INTF</t>
        </is>
      </c>
      <c r="D20" s="11" t="inlineStr">
        <is>
          <t>202601</t>
        </is>
      </c>
      <c r="E20" s="11" t="inlineStr">
        <is>
          <t>1124866995</t>
        </is>
      </c>
      <c r="F20" s="11" t="inlineStr">
        <is>
          <t>NARVAEZ BECERRA PAUL</t>
        </is>
      </c>
      <c r="G20" s="11" t="inlineStr"/>
      <c r="H20" s="11" t="inlineStr">
        <is>
          <t>INTERFACE P.O.S.</t>
        </is>
      </c>
      <c r="I20" s="11" t="n">
        <v>53200</v>
      </c>
      <c r="J20" s="11" t="inlineStr"/>
    </row>
    <row r="21">
      <c r="A21" s="11" t="n">
        <v>20</v>
      </c>
      <c r="B21" s="12" t="n">
        <v>46025</v>
      </c>
      <c r="C21" s="11" t="inlineStr">
        <is>
          <t>INTF</t>
        </is>
      </c>
      <c r="D21" s="11" t="inlineStr">
        <is>
          <t>202601</t>
        </is>
      </c>
      <c r="E21" s="11" t="inlineStr">
        <is>
          <t>22222222222</t>
        </is>
      </c>
      <c r="F21" s="11" t="inlineStr">
        <is>
          <t>CONSUMIDOR FINAL</t>
        </is>
      </c>
      <c r="G21" s="11" t="inlineStr"/>
      <c r="H21" s="11" t="inlineStr">
        <is>
          <t>INTERFACE P.O.S.</t>
        </is>
      </c>
      <c r="I21" s="11" t="n">
        <v>34000</v>
      </c>
      <c r="J21" s="11" t="inlineStr"/>
    </row>
    <row r="22">
      <c r="A22" s="11" t="n">
        <v>21</v>
      </c>
      <c r="B22" s="12" t="n">
        <v>46025</v>
      </c>
      <c r="C22" s="11" t="inlineStr">
        <is>
          <t>INTF</t>
        </is>
      </c>
      <c r="D22" s="11" t="inlineStr">
        <is>
          <t>202601</t>
        </is>
      </c>
      <c r="E22" s="11" t="inlineStr">
        <is>
          <t>1006848273</t>
        </is>
      </c>
      <c r="F22" s="11" t="inlineStr">
        <is>
          <t>RENDON JOSA GREGORY</t>
        </is>
      </c>
      <c r="G22" s="11" t="inlineStr"/>
      <c r="H22" s="11" t="inlineStr">
        <is>
          <t>INTERFACE P.O.S.</t>
        </is>
      </c>
      <c r="I22" s="11" t="n">
        <v>23700</v>
      </c>
      <c r="J22" s="11" t="inlineStr"/>
    </row>
    <row r="23">
      <c r="A23" s="11" t="n">
        <v>22</v>
      </c>
      <c r="B23" s="12" t="n">
        <v>46025</v>
      </c>
      <c r="C23" s="11" t="inlineStr">
        <is>
          <t>INTF</t>
        </is>
      </c>
      <c r="D23" s="11" t="inlineStr">
        <is>
          <t>202601</t>
        </is>
      </c>
      <c r="E23" s="11" t="inlineStr">
        <is>
          <t>1006847938</t>
        </is>
      </c>
      <c r="F23" s="11" t="inlineStr">
        <is>
          <t>PORTILLA JOEL</t>
        </is>
      </c>
      <c r="G23" s="11" t="inlineStr"/>
      <c r="H23" s="11" t="inlineStr">
        <is>
          <t>INTERFACE P.O.S.</t>
        </is>
      </c>
      <c r="I23" s="11" t="n">
        <v>21400</v>
      </c>
      <c r="J23" s="11" t="inlineStr"/>
    </row>
    <row r="24">
      <c r="A24" s="11" t="n">
        <v>23</v>
      </c>
      <c r="B24" s="12" t="n">
        <v>46025</v>
      </c>
      <c r="C24" s="11" t="inlineStr">
        <is>
          <t>INTF</t>
        </is>
      </c>
      <c r="D24" s="11" t="inlineStr">
        <is>
          <t>202601</t>
        </is>
      </c>
      <c r="E24" s="11" t="inlineStr">
        <is>
          <t>1123334342</t>
        </is>
      </c>
      <c r="F24" s="11" t="inlineStr">
        <is>
          <t>VILLAREAL JORDAN</t>
        </is>
      </c>
      <c r="G24" s="11" t="inlineStr"/>
      <c r="H24" s="11" t="inlineStr">
        <is>
          <t>INTERFACE P.O.S.</t>
        </is>
      </c>
      <c r="I24" s="11" t="n">
        <v>21800</v>
      </c>
      <c r="J24" s="11" t="inlineStr"/>
    </row>
    <row r="25">
      <c r="A25" s="11" t="n">
        <v>24</v>
      </c>
      <c r="B25" s="12" t="n">
        <v>46025</v>
      </c>
      <c r="C25" s="11" t="inlineStr">
        <is>
          <t>INTF</t>
        </is>
      </c>
      <c r="D25" s="11" t="inlineStr">
        <is>
          <t>202601</t>
        </is>
      </c>
      <c r="E25" s="11" t="inlineStr">
        <is>
          <t>3836682</t>
        </is>
      </c>
      <c r="F25" s="11" t="inlineStr">
        <is>
          <t>VARGAS VARGAS JOR</t>
        </is>
      </c>
      <c r="G25" s="11" t="inlineStr"/>
      <c r="H25" s="11" t="inlineStr">
        <is>
          <t>INTERFACE P.O.S.</t>
        </is>
      </c>
      <c r="I25" s="11" t="n">
        <v>20000</v>
      </c>
      <c r="J25" s="11" t="inlineStr"/>
    </row>
    <row r="26">
      <c r="A26" s="11" t="n">
        <v>25</v>
      </c>
      <c r="B26" s="12" t="n">
        <v>46025</v>
      </c>
      <c r="C26" s="11" t="inlineStr">
        <is>
          <t>INTF</t>
        </is>
      </c>
      <c r="D26" s="11" t="inlineStr">
        <is>
          <t>202601</t>
        </is>
      </c>
      <c r="E26" s="11" t="inlineStr">
        <is>
          <t>59679210</t>
        </is>
      </c>
      <c r="F26" s="11" t="inlineStr">
        <is>
          <t>COIME TORRES ANGE</t>
        </is>
      </c>
      <c r="G26" s="11" t="inlineStr"/>
      <c r="H26" s="11" t="inlineStr">
        <is>
          <t>INTERFACE P.O.S.</t>
        </is>
      </c>
      <c r="I26" s="11" t="n">
        <v>20500</v>
      </c>
      <c r="J26" s="11" t="inlineStr"/>
    </row>
    <row r="27">
      <c r="A27" s="11" t="n">
        <v>26</v>
      </c>
      <c r="B27" s="12" t="n">
        <v>46026</v>
      </c>
      <c r="C27" s="11" t="inlineStr">
        <is>
          <t>INTF</t>
        </is>
      </c>
      <c r="D27" s="11" t="inlineStr">
        <is>
          <t>202601</t>
        </is>
      </c>
      <c r="E27" s="11" t="inlineStr">
        <is>
          <t>6537670</t>
        </is>
      </c>
      <c r="F27" s="11" t="inlineStr">
        <is>
          <t>MONTILLA HERNANDEZ E</t>
        </is>
      </c>
      <c r="G27" s="11" t="inlineStr"/>
      <c r="H27" s="11" t="inlineStr">
        <is>
          <t>INTERFACE P.O.S.</t>
        </is>
      </c>
      <c r="I27" s="11" t="n">
        <v>133200</v>
      </c>
      <c r="J27" s="11" t="inlineStr"/>
    </row>
    <row r="28">
      <c r="A28" s="11" t="n">
        <v>27</v>
      </c>
      <c r="B28" s="12" t="n">
        <v>46026</v>
      </c>
      <c r="C28" s="11" t="inlineStr">
        <is>
          <t>INTF</t>
        </is>
      </c>
      <c r="D28" s="11" t="inlineStr">
        <is>
          <t>202601</t>
        </is>
      </c>
      <c r="E28" s="11" t="inlineStr">
        <is>
          <t>1075218255</t>
        </is>
      </c>
      <c r="F28" s="11" t="inlineStr">
        <is>
          <t>SILVA SALAZAR FERNAN</t>
        </is>
      </c>
      <c r="G28" s="11" t="inlineStr"/>
      <c r="H28" s="11" t="inlineStr">
        <is>
          <t>INTERFACE P.O.S.</t>
        </is>
      </c>
      <c r="I28" s="11" t="n">
        <v>85500</v>
      </c>
      <c r="J28" s="11" t="inlineStr"/>
    </row>
    <row r="29">
      <c r="A29" s="11" t="n">
        <v>28</v>
      </c>
      <c r="B29" s="12" t="n">
        <v>46026</v>
      </c>
      <c r="C29" s="11" t="inlineStr">
        <is>
          <t>INTF</t>
        </is>
      </c>
      <c r="D29" s="11" t="inlineStr">
        <is>
          <t>202601</t>
        </is>
      </c>
      <c r="E29" s="11" t="inlineStr">
        <is>
          <t>18147326</t>
        </is>
      </c>
      <c r="F29" s="11" t="inlineStr">
        <is>
          <t>GOMEZ JIMENEZ JOHN A</t>
        </is>
      </c>
      <c r="G29" s="11" t="inlineStr"/>
      <c r="H29" s="11" t="inlineStr">
        <is>
          <t>INTERFACE P.O.S.</t>
        </is>
      </c>
      <c r="I29" s="11" t="n">
        <v>359500</v>
      </c>
      <c r="J29" s="11" t="inlineStr"/>
    </row>
    <row r="30">
      <c r="A30" s="11" t="n">
        <v>29</v>
      </c>
      <c r="B30" s="12" t="n">
        <v>46026</v>
      </c>
      <c r="C30" s="11" t="inlineStr">
        <is>
          <t>INTF</t>
        </is>
      </c>
      <c r="D30" s="11" t="inlineStr">
        <is>
          <t>202601</t>
        </is>
      </c>
      <c r="E30" s="11" t="inlineStr">
        <is>
          <t>1123324326</t>
        </is>
      </c>
      <c r="F30" s="11" t="inlineStr">
        <is>
          <t>RODRIGUEZ MARTHA ELE</t>
        </is>
      </c>
      <c r="G30" s="11" t="inlineStr"/>
      <c r="H30" s="11" t="inlineStr">
        <is>
          <t>INTERFACE P.O.S.</t>
        </is>
      </c>
      <c r="I30" s="11" t="n">
        <v>29700</v>
      </c>
      <c r="J30" s="11" t="inlineStr"/>
    </row>
    <row r="31">
      <c r="A31" s="11" t="n">
        <v>30</v>
      </c>
      <c r="B31" s="12" t="n">
        <v>46026</v>
      </c>
      <c r="C31" s="11" t="inlineStr">
        <is>
          <t>INTF</t>
        </is>
      </c>
      <c r="D31" s="11" t="inlineStr">
        <is>
          <t>202601</t>
        </is>
      </c>
      <c r="E31" s="11" t="inlineStr">
        <is>
          <t>98380675</t>
        </is>
      </c>
      <c r="F31" s="11" t="inlineStr">
        <is>
          <t>CEBALLOS BLANDON LYN</t>
        </is>
      </c>
      <c r="G31" s="11" t="inlineStr"/>
      <c r="H31" s="11" t="inlineStr">
        <is>
          <t>INTERFACE P.O.S.</t>
        </is>
      </c>
      <c r="I31" s="11" t="n">
        <v>22200</v>
      </c>
      <c r="J31" s="11" t="inlineStr"/>
    </row>
    <row r="32">
      <c r="A32" s="11" t="n">
        <v>31</v>
      </c>
      <c r="B32" s="12" t="n">
        <v>46026</v>
      </c>
      <c r="C32" s="11" t="inlineStr">
        <is>
          <t>INTF</t>
        </is>
      </c>
      <c r="D32" s="11" t="inlineStr">
        <is>
          <t>202601</t>
        </is>
      </c>
      <c r="E32" s="11" t="inlineStr">
        <is>
          <t>1126444571</t>
        </is>
      </c>
      <c r="F32" s="11" t="inlineStr">
        <is>
          <t>ALVAREZ QUINTERO MON</t>
        </is>
      </c>
      <c r="G32" s="11" t="inlineStr"/>
      <c r="H32" s="11" t="inlineStr">
        <is>
          <t>INTERFACE P.O.S.</t>
        </is>
      </c>
      <c r="I32" s="11" t="n">
        <v>226100</v>
      </c>
      <c r="J32" s="11" t="inlineStr"/>
    </row>
    <row r="33">
      <c r="A33" s="11" t="n">
        <v>32</v>
      </c>
      <c r="B33" s="12" t="n">
        <v>46026</v>
      </c>
      <c r="C33" s="11" t="inlineStr">
        <is>
          <t>INTF</t>
        </is>
      </c>
      <c r="D33" s="11" t="inlineStr">
        <is>
          <t>202601</t>
        </is>
      </c>
      <c r="E33" s="11" t="inlineStr">
        <is>
          <t>87716215</t>
        </is>
      </c>
      <c r="F33" s="11" t="inlineStr">
        <is>
          <t>CORAL ROSERO JORGE L</t>
        </is>
      </c>
      <c r="G33" s="11" t="inlineStr"/>
      <c r="H33" s="11" t="inlineStr">
        <is>
          <t>INTERFACE P.O.S.</t>
        </is>
      </c>
      <c r="I33" s="11" t="n">
        <v>42300</v>
      </c>
      <c r="J33" s="11" t="inlineStr"/>
    </row>
    <row r="34">
      <c r="A34" s="11" t="n">
        <v>33</v>
      </c>
      <c r="B34" s="12" t="n">
        <v>46026</v>
      </c>
      <c r="C34" s="11" t="inlineStr">
        <is>
          <t>INTF</t>
        </is>
      </c>
      <c r="D34" s="11" t="inlineStr">
        <is>
          <t>202601</t>
        </is>
      </c>
      <c r="E34" s="11" t="inlineStr">
        <is>
          <t>1019137511</t>
        </is>
      </c>
      <c r="F34" s="11" t="inlineStr">
        <is>
          <t>MARTINEZ SEGURA PEDR</t>
        </is>
      </c>
      <c r="G34" s="11" t="inlineStr"/>
      <c r="H34" s="11" t="inlineStr">
        <is>
          <t>INTERFACE P.O.S.</t>
        </is>
      </c>
      <c r="I34" s="11" t="n">
        <v>36000</v>
      </c>
      <c r="J34" s="11" t="inlineStr"/>
    </row>
    <row r="35">
      <c r="A35" s="11" t="n">
        <v>34</v>
      </c>
      <c r="B35" s="12" t="n">
        <v>46026</v>
      </c>
      <c r="C35" s="11" t="inlineStr">
        <is>
          <t>INTF</t>
        </is>
      </c>
      <c r="D35" s="11" t="inlineStr">
        <is>
          <t>202601</t>
        </is>
      </c>
      <c r="E35" s="11" t="inlineStr">
        <is>
          <t>79535199</t>
        </is>
      </c>
      <c r="F35" s="11" t="inlineStr">
        <is>
          <t>ORTIZ ZAMBRANO ABELA</t>
        </is>
      </c>
      <c r="G35" s="11" t="inlineStr"/>
      <c r="H35" s="11" t="inlineStr">
        <is>
          <t>INTERFACE P.O.S.</t>
        </is>
      </c>
      <c r="I35" s="11" t="n">
        <v>69200</v>
      </c>
      <c r="J35" s="11" t="inlineStr"/>
    </row>
    <row r="36">
      <c r="A36" s="11" t="n">
        <v>35</v>
      </c>
      <c r="B36" s="12" t="n">
        <v>46026</v>
      </c>
      <c r="C36" s="11" t="inlineStr">
        <is>
          <t>INTF</t>
        </is>
      </c>
      <c r="D36" s="11" t="inlineStr">
        <is>
          <t>202601</t>
        </is>
      </c>
      <c r="E36" s="11" t="inlineStr">
        <is>
          <t>1123329576</t>
        </is>
      </c>
      <c r="F36" s="11" t="inlineStr">
        <is>
          <t>MATANBANCHOI FAUSTO</t>
        </is>
      </c>
      <c r="G36" s="11" t="inlineStr"/>
      <c r="H36" s="11" t="inlineStr">
        <is>
          <t>INTERFACE P.O.S.</t>
        </is>
      </c>
      <c r="I36" s="11" t="n">
        <v>32000</v>
      </c>
      <c r="J36" s="11" t="inlineStr"/>
    </row>
    <row r="37">
      <c r="A37" s="11" t="n">
        <v>36</v>
      </c>
      <c r="B37" s="12" t="n">
        <v>46026</v>
      </c>
      <c r="C37" s="11" t="inlineStr">
        <is>
          <t>INTF</t>
        </is>
      </c>
      <c r="D37" s="11" t="inlineStr">
        <is>
          <t>202601</t>
        </is>
      </c>
      <c r="E37" s="11" t="inlineStr">
        <is>
          <t>10195047</t>
        </is>
      </c>
      <c r="F37" s="11" t="inlineStr">
        <is>
          <t>VALENCIA HERNADEZ</t>
        </is>
      </c>
      <c r="G37" s="11" t="inlineStr"/>
      <c r="H37" s="11" t="inlineStr">
        <is>
          <t>INTERFACE P.O.S.</t>
        </is>
      </c>
      <c r="I37" s="11" t="n">
        <v>84100</v>
      </c>
      <c r="J37" s="11" t="inlineStr"/>
    </row>
    <row r="38">
      <c r="A38" s="11" t="n">
        <v>37</v>
      </c>
      <c r="B38" s="12" t="n">
        <v>46026</v>
      </c>
      <c r="C38" s="11" t="inlineStr">
        <is>
          <t>INTF</t>
        </is>
      </c>
      <c r="D38" s="11" t="inlineStr">
        <is>
          <t>202601</t>
        </is>
      </c>
      <c r="E38" s="11" t="inlineStr">
        <is>
          <t>1023980480</t>
        </is>
      </c>
      <c r="F38" s="11" t="inlineStr">
        <is>
          <t>MOSQUERA MAURICIO</t>
        </is>
      </c>
      <c r="G38" s="11" t="inlineStr"/>
      <c r="H38" s="11" t="inlineStr">
        <is>
          <t>INTERFACE P.O.S.</t>
        </is>
      </c>
      <c r="I38" s="11" t="n">
        <v>89700</v>
      </c>
      <c r="J38" s="11" t="inlineStr"/>
    </row>
    <row r="39">
      <c r="A39" s="11" t="n">
        <v>38</v>
      </c>
      <c r="B39" s="12" t="n">
        <v>46027</v>
      </c>
      <c r="C39" s="11" t="inlineStr">
        <is>
          <t>INTF</t>
        </is>
      </c>
      <c r="D39" s="11" t="inlineStr">
        <is>
          <t>202601</t>
        </is>
      </c>
      <c r="E39" s="11" t="inlineStr">
        <is>
          <t>14696001</t>
        </is>
      </c>
      <c r="F39" s="11" t="inlineStr">
        <is>
          <t>OSPINA CARDONA VICTO</t>
        </is>
      </c>
      <c r="G39" s="11" t="inlineStr"/>
      <c r="H39" s="11" t="inlineStr">
        <is>
          <t>INTERFACE P.O.S.</t>
        </is>
      </c>
      <c r="I39" s="11" t="n">
        <v>46100</v>
      </c>
      <c r="J39" s="11" t="inlineStr"/>
    </row>
    <row r="40">
      <c r="A40" s="11" t="n">
        <v>39</v>
      </c>
      <c r="B40" s="12" t="n">
        <v>46027</v>
      </c>
      <c r="C40" s="11" t="inlineStr">
        <is>
          <t>INTF</t>
        </is>
      </c>
      <c r="D40" s="11" t="inlineStr">
        <is>
          <t>202601</t>
        </is>
      </c>
      <c r="E40" s="11" t="inlineStr">
        <is>
          <t>1123321763</t>
        </is>
      </c>
      <c r="F40" s="11" t="inlineStr">
        <is>
          <t>MARTINEZ ROSERO LUCI</t>
        </is>
      </c>
      <c r="G40" s="11" t="inlineStr"/>
      <c r="H40" s="11" t="inlineStr">
        <is>
          <t>INTERFACE P.O.S.</t>
        </is>
      </c>
      <c r="I40" s="11" t="n">
        <v>27195</v>
      </c>
      <c r="J40" s="11" t="inlineStr"/>
    </row>
    <row r="41">
      <c r="A41" s="11" t="n">
        <v>40</v>
      </c>
      <c r="B41" s="12" t="n">
        <v>46027</v>
      </c>
      <c r="C41" s="11" t="inlineStr">
        <is>
          <t>INTF</t>
        </is>
      </c>
      <c r="D41" s="11" t="inlineStr">
        <is>
          <t>202601</t>
        </is>
      </c>
      <c r="E41" s="11" t="inlineStr">
        <is>
          <t>12750680</t>
        </is>
      </c>
      <c r="F41" s="11" t="inlineStr">
        <is>
          <t>CHINGUE CARLOSAMA YO</t>
        </is>
      </c>
      <c r="G41" s="11" t="inlineStr"/>
      <c r="H41" s="11" t="inlineStr">
        <is>
          <t>INTERFACE P.O.S.</t>
        </is>
      </c>
      <c r="I41" s="11" t="n">
        <v>128500</v>
      </c>
      <c r="J41" s="11" t="inlineStr"/>
    </row>
    <row r="42">
      <c r="A42" s="11" t="n">
        <v>41</v>
      </c>
      <c r="B42" s="12" t="n">
        <v>46027</v>
      </c>
      <c r="C42" s="11" t="inlineStr">
        <is>
          <t>INTF</t>
        </is>
      </c>
      <c r="D42" s="11" t="inlineStr">
        <is>
          <t>202601</t>
        </is>
      </c>
      <c r="E42" s="11" t="inlineStr">
        <is>
          <t>7717857</t>
        </is>
      </c>
      <c r="F42" s="11" t="inlineStr">
        <is>
          <t>ROJAS GUTIERREZ JUAN</t>
        </is>
      </c>
      <c r="G42" s="11" t="inlineStr"/>
      <c r="H42" s="11" t="inlineStr">
        <is>
          <t>INTERFACE P.O.S.</t>
        </is>
      </c>
      <c r="I42" s="11" t="n">
        <v>26000</v>
      </c>
      <c r="J42" s="11" t="inlineStr"/>
    </row>
    <row r="43">
      <c r="A43" s="11" t="n">
        <v>42</v>
      </c>
      <c r="B43" s="12" t="n">
        <v>46027</v>
      </c>
      <c r="C43" s="11" t="inlineStr">
        <is>
          <t>INTF</t>
        </is>
      </c>
      <c r="D43" s="11" t="inlineStr">
        <is>
          <t>202601</t>
        </is>
      </c>
      <c r="E43" s="11" t="inlineStr">
        <is>
          <t>1123329290</t>
        </is>
      </c>
      <c r="F43" s="11" t="inlineStr">
        <is>
          <t>CHAVES IMBACHI TATIA</t>
        </is>
      </c>
      <c r="G43" s="11" t="inlineStr"/>
      <c r="H43" s="11" t="inlineStr">
        <is>
          <t>INTERFACE P.O.S.</t>
        </is>
      </c>
      <c r="I43" s="11" t="n">
        <v>512225</v>
      </c>
      <c r="J43" s="11" t="inlineStr"/>
    </row>
    <row r="44">
      <c r="A44" s="11" t="n">
        <v>43</v>
      </c>
      <c r="B44" s="12" t="n">
        <v>46027</v>
      </c>
      <c r="C44" s="11" t="inlineStr">
        <is>
          <t>INTF</t>
        </is>
      </c>
      <c r="D44" s="11" t="inlineStr">
        <is>
          <t>202601</t>
        </is>
      </c>
      <c r="E44" s="11" t="inlineStr">
        <is>
          <t>80312295</t>
        </is>
      </c>
      <c r="F44" s="11" t="inlineStr">
        <is>
          <t>CASTAÑO RINCON JORGE</t>
        </is>
      </c>
      <c r="G44" s="11" t="inlineStr"/>
      <c r="H44" s="11" t="inlineStr">
        <is>
          <t>INTERFACE P.O.S.</t>
        </is>
      </c>
      <c r="I44" s="11" t="n">
        <v>1265266</v>
      </c>
      <c r="J44" s="11" t="inlineStr"/>
    </row>
    <row r="45">
      <c r="A45" s="11" t="n">
        <v>44</v>
      </c>
      <c r="B45" s="12" t="n">
        <v>46027</v>
      </c>
      <c r="C45" s="11" t="inlineStr">
        <is>
          <t>INTF</t>
        </is>
      </c>
      <c r="D45" s="11" t="inlineStr">
        <is>
          <t>202601</t>
        </is>
      </c>
      <c r="E45" s="11" t="inlineStr">
        <is>
          <t>18145591</t>
        </is>
      </c>
      <c r="F45" s="11" t="inlineStr">
        <is>
          <t>MEZA MEZA FRANCISCO</t>
        </is>
      </c>
      <c r="G45" s="11" t="inlineStr"/>
      <c r="H45" s="11" t="inlineStr">
        <is>
          <t>INTERFACE P.O.S.</t>
        </is>
      </c>
      <c r="I45" s="11" t="n">
        <v>90500</v>
      </c>
      <c r="J45" s="11" t="inlineStr"/>
    </row>
    <row r="46">
      <c r="A46" s="11" t="n">
        <v>45</v>
      </c>
      <c r="B46" s="12" t="n">
        <v>46027</v>
      </c>
      <c r="C46" s="11" t="inlineStr">
        <is>
          <t>INTF</t>
        </is>
      </c>
      <c r="D46" s="11" t="inlineStr">
        <is>
          <t>202601</t>
        </is>
      </c>
      <c r="E46" s="11" t="inlineStr">
        <is>
          <t>79505895</t>
        </is>
      </c>
      <c r="F46" s="11" t="inlineStr">
        <is>
          <t>VALVUENA JARAMILLO W</t>
        </is>
      </c>
      <c r="G46" s="11" t="inlineStr"/>
      <c r="H46" s="11" t="inlineStr">
        <is>
          <t>INTERFACE P.O.S.</t>
        </is>
      </c>
      <c r="I46" s="11" t="n">
        <v>38615</v>
      </c>
      <c r="J46" s="11" t="inlineStr"/>
    </row>
    <row r="47">
      <c r="A47" s="11" t="n">
        <v>46</v>
      </c>
      <c r="B47" s="12" t="n">
        <v>46027</v>
      </c>
      <c r="C47" s="11" t="inlineStr">
        <is>
          <t>INTF</t>
        </is>
      </c>
      <c r="D47" s="11" t="inlineStr">
        <is>
          <t>202601</t>
        </is>
      </c>
      <c r="E47" s="11" t="inlineStr">
        <is>
          <t>83040363</t>
        </is>
      </c>
      <c r="F47" s="11" t="inlineStr">
        <is>
          <t>TURCAN GUZMAN ROB</t>
        </is>
      </c>
      <c r="G47" s="11" t="inlineStr"/>
      <c r="H47" s="11" t="inlineStr">
        <is>
          <t>INTERFACE P.O.S.</t>
        </is>
      </c>
      <c r="I47" s="11" t="n">
        <v>63600</v>
      </c>
      <c r="J47" s="11" t="inlineStr"/>
    </row>
    <row r="48">
      <c r="A48" s="11" t="n">
        <v>47</v>
      </c>
      <c r="B48" s="12" t="n">
        <v>46028</v>
      </c>
      <c r="C48" s="11" t="inlineStr">
        <is>
          <t>INTF</t>
        </is>
      </c>
      <c r="D48" s="11" t="inlineStr">
        <is>
          <t>202601</t>
        </is>
      </c>
      <c r="E48" s="11" t="inlineStr">
        <is>
          <t>18143115</t>
        </is>
      </c>
      <c r="F48" s="11" t="inlineStr">
        <is>
          <t>CUACIALPUD HERNANDEZ</t>
        </is>
      </c>
      <c r="G48" s="11" t="inlineStr"/>
      <c r="H48" s="11" t="inlineStr">
        <is>
          <t>INTERFACE P.O.S.</t>
        </is>
      </c>
      <c r="I48" s="11" t="n">
        <v>108200</v>
      </c>
      <c r="J48" s="11" t="inlineStr"/>
    </row>
    <row r="49">
      <c r="A49" s="11" t="n">
        <v>48</v>
      </c>
      <c r="B49" s="12" t="n">
        <v>46028</v>
      </c>
      <c r="C49" s="11" t="inlineStr">
        <is>
          <t>INTF</t>
        </is>
      </c>
      <c r="D49" s="11" t="inlineStr">
        <is>
          <t>202601</t>
        </is>
      </c>
      <c r="E49" s="11" t="inlineStr">
        <is>
          <t>1057578977</t>
        </is>
      </c>
      <c r="F49" s="11" t="inlineStr">
        <is>
          <t>TERAN PALADINES DANN</t>
        </is>
      </c>
      <c r="G49" s="11" t="inlineStr"/>
      <c r="H49" s="11" t="inlineStr">
        <is>
          <t>INTERFACE P.O.S.</t>
        </is>
      </c>
      <c r="I49" s="11" t="n">
        <v>95800</v>
      </c>
      <c r="J49" s="11" t="inlineStr"/>
    </row>
    <row r="50">
      <c r="A50" s="11" t="n">
        <v>49</v>
      </c>
      <c r="B50" s="12" t="n">
        <v>46028</v>
      </c>
      <c r="C50" s="11" t="inlineStr">
        <is>
          <t>INTF</t>
        </is>
      </c>
      <c r="D50" s="11" t="inlineStr">
        <is>
          <t>202601</t>
        </is>
      </c>
      <c r="E50" s="11" t="inlineStr">
        <is>
          <t>1110455338</t>
        </is>
      </c>
      <c r="F50" s="11" t="inlineStr">
        <is>
          <t>GAVIRIA MUÑOZ JENITH</t>
        </is>
      </c>
      <c r="G50" s="11" t="inlineStr"/>
      <c r="H50" s="11" t="inlineStr">
        <is>
          <t>INTERFACE P.O.S.</t>
        </is>
      </c>
      <c r="I50" s="11" t="n">
        <v>30600</v>
      </c>
      <c r="J50" s="11" t="inlineStr"/>
    </row>
    <row r="51">
      <c r="A51" s="11" t="n">
        <v>50</v>
      </c>
      <c r="B51" s="12" t="n">
        <v>46028</v>
      </c>
      <c r="C51" s="11" t="inlineStr">
        <is>
          <t>INTF</t>
        </is>
      </c>
      <c r="D51" s="11" t="inlineStr">
        <is>
          <t>202601</t>
        </is>
      </c>
      <c r="E51" s="11" t="inlineStr">
        <is>
          <t>79998867</t>
        </is>
      </c>
      <c r="F51" s="11" t="inlineStr">
        <is>
          <t>CAICEDO JIMENEZ CAR</t>
        </is>
      </c>
      <c r="G51" s="11" t="inlineStr"/>
      <c r="H51" s="11" t="inlineStr">
        <is>
          <t>INTERFACE P.O.S.</t>
        </is>
      </c>
      <c r="I51" s="11" t="n">
        <v>474500</v>
      </c>
      <c r="J51" s="11" t="inlineStr"/>
    </row>
    <row r="52">
      <c r="A52" s="11" t="n">
        <v>51</v>
      </c>
      <c r="B52" s="12" t="n">
        <v>46028</v>
      </c>
      <c r="C52" s="11" t="inlineStr">
        <is>
          <t>INTF</t>
        </is>
      </c>
      <c r="D52" s="11" t="inlineStr">
        <is>
          <t>202601</t>
        </is>
      </c>
      <c r="E52" s="11" t="inlineStr">
        <is>
          <t>1123322642</t>
        </is>
      </c>
      <c r="F52" s="11" t="inlineStr">
        <is>
          <t>DIAZ ZANDOBAL CLAUDI</t>
        </is>
      </c>
      <c r="G52" s="11" t="inlineStr"/>
      <c r="H52" s="11" t="inlineStr">
        <is>
          <t>INTERFACE P.O.S.</t>
        </is>
      </c>
      <c r="I52" s="11" t="n">
        <v>405600</v>
      </c>
      <c r="J52" s="11" t="inlineStr"/>
    </row>
    <row r="53">
      <c r="A53" s="11" t="n">
        <v>52</v>
      </c>
      <c r="B53" s="12" t="n">
        <v>46028</v>
      </c>
      <c r="C53" s="11" t="inlineStr">
        <is>
          <t>INTF</t>
        </is>
      </c>
      <c r="D53" s="11" t="inlineStr">
        <is>
          <t>202601</t>
        </is>
      </c>
      <c r="E53" s="11" t="inlineStr">
        <is>
          <t>1075278733</t>
        </is>
      </c>
      <c r="F53" s="11" t="inlineStr">
        <is>
          <t>FLOREZ REYES DAYAN L</t>
        </is>
      </c>
      <c r="G53" s="11" t="inlineStr"/>
      <c r="H53" s="11" t="inlineStr">
        <is>
          <t>INTERFACE P.O.S.</t>
        </is>
      </c>
      <c r="I53" s="11" t="n">
        <v>55100</v>
      </c>
      <c r="J53" s="11" t="inlineStr"/>
    </row>
    <row r="54">
      <c r="A54" s="11" t="n">
        <v>53</v>
      </c>
      <c r="B54" s="12" t="n">
        <v>46028</v>
      </c>
      <c r="C54" s="11" t="inlineStr">
        <is>
          <t>INTF</t>
        </is>
      </c>
      <c r="D54" s="11" t="inlineStr">
        <is>
          <t>202601</t>
        </is>
      </c>
      <c r="E54" s="11" t="inlineStr">
        <is>
          <t>36953369</t>
        </is>
      </c>
      <c r="F54" s="11" t="inlineStr">
        <is>
          <t>ABELLA RINCON MARLEN</t>
        </is>
      </c>
      <c r="G54" s="11" t="inlineStr"/>
      <c r="H54" s="11" t="inlineStr">
        <is>
          <t>INTERFACE P.O.S.</t>
        </is>
      </c>
      <c r="I54" s="11" t="n">
        <v>32000</v>
      </c>
      <c r="J54" s="11" t="inlineStr"/>
    </row>
    <row r="55">
      <c r="A55" s="11" t="n">
        <v>54</v>
      </c>
      <c r="B55" s="12" t="n">
        <v>46028</v>
      </c>
      <c r="C55" s="11" t="inlineStr">
        <is>
          <t>INTF</t>
        </is>
      </c>
      <c r="D55" s="11" t="inlineStr">
        <is>
          <t>202601</t>
        </is>
      </c>
      <c r="E55" s="11" t="inlineStr">
        <is>
          <t>22222222222</t>
        </is>
      </c>
      <c r="F55" s="11" t="inlineStr">
        <is>
          <t>CONSUMIDOR FINAL</t>
        </is>
      </c>
      <c r="G55" s="11" t="inlineStr"/>
      <c r="H55" s="11" t="inlineStr">
        <is>
          <t>INTERFACE P.O.S.</t>
        </is>
      </c>
      <c r="I55" s="11" t="n">
        <v>162550</v>
      </c>
      <c r="J55" s="11" t="inlineStr"/>
    </row>
    <row r="56">
      <c r="A56" s="11" t="n">
        <v>55</v>
      </c>
      <c r="B56" s="12" t="n">
        <v>46028</v>
      </c>
      <c r="C56" s="11" t="inlineStr">
        <is>
          <t>INTF</t>
        </is>
      </c>
      <c r="D56" s="11" t="inlineStr">
        <is>
          <t>202601</t>
        </is>
      </c>
      <c r="E56" s="11" t="inlineStr">
        <is>
          <t>1123334927</t>
        </is>
      </c>
      <c r="F56" s="11" t="inlineStr">
        <is>
          <t>TRIBALDO SOUSA LENIN</t>
        </is>
      </c>
      <c r="G56" s="11" t="inlineStr"/>
      <c r="H56" s="11" t="inlineStr">
        <is>
          <t>INTERFACE P.O.S.</t>
        </is>
      </c>
      <c r="I56" s="11" t="n">
        <v>96500</v>
      </c>
      <c r="J56" s="11" t="inlineStr"/>
    </row>
    <row r="57">
      <c r="A57" s="11" t="n">
        <v>56</v>
      </c>
      <c r="B57" s="12" t="n">
        <v>46028</v>
      </c>
      <c r="C57" s="11" t="inlineStr">
        <is>
          <t>INTF</t>
        </is>
      </c>
      <c r="D57" s="11" t="inlineStr">
        <is>
          <t>202601</t>
        </is>
      </c>
      <c r="E57" s="11" t="inlineStr">
        <is>
          <t>1088037437</t>
        </is>
      </c>
      <c r="F57" s="11" t="inlineStr">
        <is>
          <t>YEPES TATIANA</t>
        </is>
      </c>
      <c r="G57" s="11" t="inlineStr"/>
      <c r="H57" s="11" t="inlineStr">
        <is>
          <t>INTERFACE P.O.S.</t>
        </is>
      </c>
      <c r="I57" s="11" t="n">
        <v>20000</v>
      </c>
      <c r="J57" s="11" t="inlineStr"/>
    </row>
    <row r="58">
      <c r="A58" s="11" t="n">
        <v>57</v>
      </c>
      <c r="B58" s="12" t="n">
        <v>46028</v>
      </c>
      <c r="C58" s="11" t="inlineStr">
        <is>
          <t>INTF</t>
        </is>
      </c>
      <c r="D58" s="11" t="inlineStr">
        <is>
          <t>202601</t>
        </is>
      </c>
      <c r="E58" s="11" t="inlineStr">
        <is>
          <t>1061811494</t>
        </is>
      </c>
      <c r="F58" s="11" t="inlineStr">
        <is>
          <t>LOPEZ ANDREA</t>
        </is>
      </c>
      <c r="G58" s="11" t="inlineStr"/>
      <c r="H58" s="11" t="inlineStr">
        <is>
          <t>INTERFACE P.O.S.</t>
        </is>
      </c>
      <c r="I58" s="11" t="n">
        <v>26600</v>
      </c>
      <c r="J58" s="11" t="inlineStr"/>
    </row>
    <row r="59">
      <c r="A59" s="11" t="n">
        <v>58</v>
      </c>
      <c r="B59" s="12" t="n">
        <v>46029</v>
      </c>
      <c r="C59" s="11" t="inlineStr">
        <is>
          <t>INTF</t>
        </is>
      </c>
      <c r="D59" s="11" t="inlineStr">
        <is>
          <t>202601</t>
        </is>
      </c>
      <c r="E59" s="11" t="inlineStr">
        <is>
          <t>16733148</t>
        </is>
      </c>
      <c r="F59" s="11" t="inlineStr">
        <is>
          <t>RAMOS MOSQUERA JORGE</t>
        </is>
      </c>
      <c r="G59" s="11" t="inlineStr"/>
      <c r="H59" s="11" t="inlineStr">
        <is>
          <t>INTERFACE P.O.S.</t>
        </is>
      </c>
      <c r="I59" s="11" t="n">
        <v>429310</v>
      </c>
      <c r="J59" s="11" t="inlineStr"/>
    </row>
    <row r="60">
      <c r="A60" s="11" t="n">
        <v>59</v>
      </c>
      <c r="B60" s="12" t="n">
        <v>46029</v>
      </c>
      <c r="C60" s="11" t="inlineStr">
        <is>
          <t>INTF</t>
        </is>
      </c>
      <c r="D60" s="11" t="inlineStr">
        <is>
          <t>202601</t>
        </is>
      </c>
      <c r="E60" s="11" t="inlineStr">
        <is>
          <t>27388989</t>
        </is>
      </c>
      <c r="F60" s="11" t="inlineStr">
        <is>
          <t>MARQUEZ NARVAEZ NANC</t>
        </is>
      </c>
      <c r="G60" s="11" t="inlineStr"/>
      <c r="H60" s="11" t="inlineStr">
        <is>
          <t>INTERFACE P.O.S.</t>
        </is>
      </c>
      <c r="I60" s="11" t="n">
        <v>28000</v>
      </c>
      <c r="J60" s="11" t="inlineStr"/>
    </row>
    <row r="61">
      <c r="A61" s="11" t="n">
        <v>60</v>
      </c>
      <c r="B61" s="12" t="n">
        <v>46029</v>
      </c>
      <c r="C61" s="11" t="inlineStr">
        <is>
          <t>INTF</t>
        </is>
      </c>
      <c r="D61" s="11" t="inlineStr">
        <is>
          <t>202601</t>
        </is>
      </c>
      <c r="E61" s="11" t="inlineStr">
        <is>
          <t>59166703</t>
        </is>
      </c>
      <c r="F61" s="11" t="inlineStr">
        <is>
          <t>MARTINEZ LEMUS PASTO</t>
        </is>
      </c>
      <c r="G61" s="11" t="inlineStr"/>
      <c r="H61" s="11" t="inlineStr">
        <is>
          <t>INTERFACE P.O.S.</t>
        </is>
      </c>
      <c r="I61" s="11" t="n">
        <v>52600</v>
      </c>
      <c r="J61" s="11" t="inlineStr"/>
    </row>
    <row r="62">
      <c r="A62" s="11" t="n">
        <v>61</v>
      </c>
      <c r="B62" s="12" t="n">
        <v>46029</v>
      </c>
      <c r="C62" s="11" t="inlineStr">
        <is>
          <t>INTF</t>
        </is>
      </c>
      <c r="D62" s="11" t="inlineStr">
        <is>
          <t>202601</t>
        </is>
      </c>
      <c r="E62" s="11" t="inlineStr">
        <is>
          <t>1010191725</t>
        </is>
      </c>
      <c r="F62" s="11" t="inlineStr">
        <is>
          <t>ROSERO ACOSTA JAIBER</t>
        </is>
      </c>
      <c r="G62" s="11" t="inlineStr"/>
      <c r="H62" s="11" t="inlineStr">
        <is>
          <t>INTERFACE P.O.S.</t>
        </is>
      </c>
      <c r="I62" s="11" t="n">
        <v>120400</v>
      </c>
      <c r="J62" s="11" t="inlineStr"/>
    </row>
    <row r="63">
      <c r="A63" s="11" t="n">
        <v>62</v>
      </c>
      <c r="B63" s="12" t="n">
        <v>46029</v>
      </c>
      <c r="C63" s="11" t="inlineStr">
        <is>
          <t>INTF</t>
        </is>
      </c>
      <c r="D63" s="11" t="inlineStr">
        <is>
          <t>202601</t>
        </is>
      </c>
      <c r="E63" s="11" t="inlineStr">
        <is>
          <t>18144393</t>
        </is>
      </c>
      <c r="F63" s="11" t="inlineStr">
        <is>
          <t>GIRALDO MEDINA LUIS</t>
        </is>
      </c>
      <c r="G63" s="11" t="inlineStr"/>
      <c r="H63" s="11" t="inlineStr">
        <is>
          <t>INTERFACE P.O.S.</t>
        </is>
      </c>
      <c r="I63" s="11" t="n">
        <v>110300</v>
      </c>
      <c r="J63" s="11" t="inlineStr"/>
    </row>
    <row r="64">
      <c r="A64" s="11" t="n">
        <v>63</v>
      </c>
      <c r="B64" s="12" t="n">
        <v>46029</v>
      </c>
      <c r="C64" s="11" t="inlineStr">
        <is>
          <t>INTF</t>
        </is>
      </c>
      <c r="D64" s="11" t="inlineStr">
        <is>
          <t>202601</t>
        </is>
      </c>
      <c r="E64" s="11" t="inlineStr">
        <is>
          <t>18145975</t>
        </is>
      </c>
      <c r="F64" s="11" t="inlineStr">
        <is>
          <t>BUELVAS DIAZ JOSE MI</t>
        </is>
      </c>
      <c r="G64" s="11" t="inlineStr"/>
      <c r="H64" s="11" t="inlineStr">
        <is>
          <t>INTERFACE P.O.S.</t>
        </is>
      </c>
      <c r="I64" s="11" t="n">
        <v>55800</v>
      </c>
      <c r="J64" s="11" t="inlineStr"/>
    </row>
    <row r="65">
      <c r="A65" s="11" t="n">
        <v>64</v>
      </c>
      <c r="B65" s="12" t="n">
        <v>46029</v>
      </c>
      <c r="C65" s="11" t="inlineStr">
        <is>
          <t>INTF</t>
        </is>
      </c>
      <c r="D65" s="11" t="inlineStr">
        <is>
          <t>202601</t>
        </is>
      </c>
      <c r="E65" s="11" t="inlineStr">
        <is>
          <t>7717857</t>
        </is>
      </c>
      <c r="F65" s="11" t="inlineStr">
        <is>
          <t>ROJAS GUTIERREZ JUAN</t>
        </is>
      </c>
      <c r="G65" s="11" t="inlineStr"/>
      <c r="H65" s="11" t="inlineStr">
        <is>
          <t>INTERFACE P.O.S.</t>
        </is>
      </c>
      <c r="I65" s="11" t="n">
        <v>45800</v>
      </c>
      <c r="J65" s="11" t="inlineStr"/>
    </row>
    <row r="66">
      <c r="A66" s="11" t="n">
        <v>65</v>
      </c>
      <c r="B66" s="12" t="n">
        <v>46029</v>
      </c>
      <c r="C66" s="11" t="inlineStr">
        <is>
          <t>INTF</t>
        </is>
      </c>
      <c r="D66" s="11" t="inlineStr">
        <is>
          <t>202601</t>
        </is>
      </c>
      <c r="E66" s="11" t="inlineStr">
        <is>
          <t>1123320535</t>
        </is>
      </c>
      <c r="F66" s="11" t="inlineStr">
        <is>
          <t>JURADO BASTIDAS EDI</t>
        </is>
      </c>
      <c r="G66" s="11" t="inlineStr"/>
      <c r="H66" s="11" t="inlineStr">
        <is>
          <t>INTERFACE P.O.S.</t>
        </is>
      </c>
      <c r="I66" s="11" t="n">
        <v>52800</v>
      </c>
      <c r="J66" s="11" t="inlineStr"/>
    </row>
    <row r="67">
      <c r="A67" s="11" t="n">
        <v>66</v>
      </c>
      <c r="B67" s="12" t="n">
        <v>46029</v>
      </c>
      <c r="C67" s="11" t="inlineStr">
        <is>
          <t>INTF</t>
        </is>
      </c>
      <c r="D67" s="11" t="inlineStr">
        <is>
          <t>202601</t>
        </is>
      </c>
      <c r="E67" s="11" t="inlineStr">
        <is>
          <t>91486684</t>
        </is>
      </c>
      <c r="F67" s="11" t="inlineStr">
        <is>
          <t>GONZALEZ SANTOS CIRO</t>
        </is>
      </c>
      <c r="G67" s="11" t="inlineStr"/>
      <c r="H67" s="11" t="inlineStr">
        <is>
          <t>INTERFACE P.O.S.</t>
        </is>
      </c>
      <c r="I67" s="11" t="n">
        <v>33200</v>
      </c>
      <c r="J67" s="11" t="inlineStr"/>
    </row>
    <row r="68">
      <c r="A68" s="11" t="n">
        <v>67</v>
      </c>
      <c r="B68" s="12" t="n">
        <v>46029</v>
      </c>
      <c r="C68" s="11" t="inlineStr">
        <is>
          <t>INTF</t>
        </is>
      </c>
      <c r="D68" s="11" t="inlineStr">
        <is>
          <t>202601</t>
        </is>
      </c>
      <c r="E68" s="11" t="inlineStr">
        <is>
          <t>1019043378</t>
        </is>
      </c>
      <c r="F68" s="11" t="inlineStr">
        <is>
          <t>ARAGON SALAZAR DIEGO</t>
        </is>
      </c>
      <c r="G68" s="11" t="inlineStr"/>
      <c r="H68" s="11" t="inlineStr">
        <is>
          <t>INTERFACE P.O.S.</t>
        </is>
      </c>
      <c r="I68" s="11" t="n">
        <v>80500</v>
      </c>
      <c r="J68" s="11" t="inlineStr"/>
    </row>
    <row r="69">
      <c r="A69" s="11" t="n">
        <v>68</v>
      </c>
      <c r="B69" s="12" t="n">
        <v>46030</v>
      </c>
      <c r="C69" s="11" t="inlineStr">
        <is>
          <t>INTF</t>
        </is>
      </c>
      <c r="D69" s="11" t="inlineStr">
        <is>
          <t>202601</t>
        </is>
      </c>
      <c r="E69" s="11" t="inlineStr">
        <is>
          <t>59166703</t>
        </is>
      </c>
      <c r="F69" s="11" t="inlineStr">
        <is>
          <t>MARTINEZ LEMUS PASTO</t>
        </is>
      </c>
      <c r="G69" s="11" t="inlineStr"/>
      <c r="H69" s="11" t="inlineStr">
        <is>
          <t>INTERFACE P.O.S.</t>
        </is>
      </c>
      <c r="I69" s="11" t="n">
        <v>31070</v>
      </c>
      <c r="J69" s="11" t="inlineStr"/>
    </row>
    <row r="70">
      <c r="A70" s="11" t="n">
        <v>69</v>
      </c>
      <c r="B70" s="12" t="n">
        <v>46030</v>
      </c>
      <c r="C70" s="11" t="inlineStr">
        <is>
          <t>INTF</t>
        </is>
      </c>
      <c r="D70" s="11" t="inlineStr">
        <is>
          <t>202601</t>
        </is>
      </c>
      <c r="E70" s="11" t="inlineStr">
        <is>
          <t>41110289</t>
        </is>
      </c>
      <c r="F70" s="11" t="inlineStr">
        <is>
          <t>ANGULO BENAVIDES YAD</t>
        </is>
      </c>
      <c r="G70" s="11" t="inlineStr"/>
      <c r="H70" s="11" t="inlineStr">
        <is>
          <t>INTERFACE P.O.S.</t>
        </is>
      </c>
      <c r="I70" s="11" t="n">
        <v>46400</v>
      </c>
      <c r="J70" s="11" t="inlineStr"/>
    </row>
    <row r="71">
      <c r="A71" s="11" t="n">
        <v>70</v>
      </c>
      <c r="B71" s="12" t="n">
        <v>46030</v>
      </c>
      <c r="C71" s="11" t="inlineStr">
        <is>
          <t>INTF</t>
        </is>
      </c>
      <c r="D71" s="11" t="inlineStr">
        <is>
          <t>202601</t>
        </is>
      </c>
      <c r="E71" s="11" t="inlineStr">
        <is>
          <t>1123204851</t>
        </is>
      </c>
      <c r="F71" s="11" t="inlineStr">
        <is>
          <t>GRIJALBA BASTIDAS AU</t>
        </is>
      </c>
      <c r="G71" s="11" t="inlineStr"/>
      <c r="H71" s="11" t="inlineStr">
        <is>
          <t>INTERFACE P.O.S.</t>
        </is>
      </c>
      <c r="I71" s="11" t="n">
        <v>61220</v>
      </c>
      <c r="J71" s="11" t="inlineStr"/>
    </row>
    <row r="72">
      <c r="A72" s="11" t="n">
        <v>71</v>
      </c>
      <c r="B72" s="12" t="n">
        <v>46030</v>
      </c>
      <c r="C72" s="11" t="inlineStr">
        <is>
          <t>INTF</t>
        </is>
      </c>
      <c r="D72" s="11" t="inlineStr">
        <is>
          <t>202601</t>
        </is>
      </c>
      <c r="E72" s="11" t="inlineStr">
        <is>
          <t>18145378</t>
        </is>
      </c>
      <c r="F72" s="11" t="inlineStr">
        <is>
          <t>GUERRERO BASTIDAS FA</t>
        </is>
      </c>
      <c r="G72" s="11" t="inlineStr"/>
      <c r="H72" s="11" t="inlineStr">
        <is>
          <t>INTERFACE P.O.S.</t>
        </is>
      </c>
      <c r="I72" s="11" t="n">
        <v>40000</v>
      </c>
      <c r="J72" s="11" t="inlineStr"/>
    </row>
    <row r="73">
      <c r="A73" s="11" t="n">
        <v>72</v>
      </c>
      <c r="B73" s="12" t="n">
        <v>46030</v>
      </c>
      <c r="C73" s="11" t="inlineStr">
        <is>
          <t>INTF</t>
        </is>
      </c>
      <c r="D73" s="11" t="inlineStr">
        <is>
          <t>202601</t>
        </is>
      </c>
      <c r="E73" s="11" t="inlineStr">
        <is>
          <t>1123332397</t>
        </is>
      </c>
      <c r="F73" s="11" t="inlineStr">
        <is>
          <t>CERON VILLOTA ANGHEL</t>
        </is>
      </c>
      <c r="G73" s="11" t="inlineStr"/>
      <c r="H73" s="11" t="inlineStr">
        <is>
          <t>INTERFACE P.O.S.</t>
        </is>
      </c>
      <c r="I73" s="11" t="n">
        <v>32300</v>
      </c>
      <c r="J73" s="11" t="inlineStr"/>
    </row>
    <row r="74">
      <c r="A74" s="11" t="n">
        <v>73</v>
      </c>
      <c r="B74" s="12" t="n">
        <v>46030</v>
      </c>
      <c r="C74" s="11" t="inlineStr">
        <is>
          <t>INTF</t>
        </is>
      </c>
      <c r="D74" s="11" t="inlineStr">
        <is>
          <t>202601</t>
        </is>
      </c>
      <c r="E74" s="11" t="inlineStr">
        <is>
          <t>1113687091</t>
        </is>
      </c>
      <c r="F74" s="11" t="inlineStr">
        <is>
          <t>HURTADO NOGUERA JHON</t>
        </is>
      </c>
      <c r="G74" s="11" t="inlineStr"/>
      <c r="H74" s="11" t="inlineStr">
        <is>
          <t>INTERFACE P.O.S.</t>
        </is>
      </c>
      <c r="I74" s="11" t="n">
        <v>63200</v>
      </c>
      <c r="J74" s="11" t="inlineStr"/>
    </row>
    <row r="75">
      <c r="A75" s="11" t="n">
        <v>74</v>
      </c>
      <c r="B75" s="12" t="n">
        <v>46030</v>
      </c>
      <c r="C75" s="11" t="inlineStr">
        <is>
          <t>INTF</t>
        </is>
      </c>
      <c r="D75" s="11" t="inlineStr">
        <is>
          <t>202601</t>
        </is>
      </c>
      <c r="E75" s="11" t="inlineStr">
        <is>
          <t>901557686</t>
        </is>
      </c>
      <c r="F75" s="11" t="inlineStr">
        <is>
          <t>SERVICIOS INTEGRALES</t>
        </is>
      </c>
      <c r="G75" s="11" t="inlineStr"/>
      <c r="H75" s="11" t="inlineStr">
        <is>
          <t>INTERFACE P.O.S.</t>
        </is>
      </c>
      <c r="I75" s="11" t="n">
        <v>64000</v>
      </c>
      <c r="J75" s="11" t="inlineStr"/>
    </row>
    <row r="76">
      <c r="A76" s="11" t="n">
        <v>75</v>
      </c>
      <c r="B76" s="12" t="n">
        <v>46030</v>
      </c>
      <c r="C76" s="11" t="inlineStr">
        <is>
          <t>INTF</t>
        </is>
      </c>
      <c r="D76" s="11" t="inlineStr">
        <is>
          <t>202601</t>
        </is>
      </c>
      <c r="E76" s="11" t="inlineStr">
        <is>
          <t>91486684</t>
        </is>
      </c>
      <c r="F76" s="11" t="inlineStr">
        <is>
          <t>GONZALEZ SANTOS CIRO</t>
        </is>
      </c>
      <c r="G76" s="11" t="inlineStr"/>
      <c r="H76" s="11" t="inlineStr">
        <is>
          <t>INTERFACE P.O.S.</t>
        </is>
      </c>
      <c r="I76" s="11" t="n">
        <v>20000</v>
      </c>
      <c r="J76" s="11" t="inlineStr"/>
    </row>
    <row r="77">
      <c r="A77" s="11" t="n">
        <v>76</v>
      </c>
      <c r="B77" s="12" t="n">
        <v>46030</v>
      </c>
      <c r="C77" s="11" t="inlineStr">
        <is>
          <t>INTF</t>
        </is>
      </c>
      <c r="D77" s="11" t="inlineStr">
        <is>
          <t>202601</t>
        </is>
      </c>
      <c r="E77" s="11" t="inlineStr">
        <is>
          <t>1124858581</t>
        </is>
      </c>
      <c r="F77" s="11" t="inlineStr">
        <is>
          <t>PINTO VIVEROS ANGIE</t>
        </is>
      </c>
      <c r="G77" s="11" t="inlineStr"/>
      <c r="H77" s="11" t="inlineStr">
        <is>
          <t>INTERFACE P.O.S.</t>
        </is>
      </c>
      <c r="I77" s="11" t="n">
        <v>33000</v>
      </c>
      <c r="J77" s="11" t="inlineStr"/>
    </row>
    <row r="78">
      <c r="A78" s="11" t="n">
        <v>77</v>
      </c>
      <c r="B78" s="12" t="n">
        <v>46030</v>
      </c>
      <c r="C78" s="11" t="inlineStr">
        <is>
          <t>INTF</t>
        </is>
      </c>
      <c r="D78" s="11" t="inlineStr">
        <is>
          <t>202601</t>
        </is>
      </c>
      <c r="E78" s="11" t="inlineStr">
        <is>
          <t>98393939</t>
        </is>
      </c>
      <c r="F78" s="11" t="inlineStr">
        <is>
          <t>HOYOS MARTINEZ HERMA</t>
        </is>
      </c>
      <c r="G78" s="11" t="inlineStr"/>
      <c r="H78" s="11" t="inlineStr">
        <is>
          <t>INTERFACE P.O.S.</t>
        </is>
      </c>
      <c r="I78" s="11" t="n">
        <v>29700</v>
      </c>
      <c r="J78" s="11" t="inlineStr"/>
    </row>
    <row r="79">
      <c r="A79" s="11" t="n">
        <v>78</v>
      </c>
      <c r="B79" s="12" t="n">
        <v>46030</v>
      </c>
      <c r="C79" s="11" t="inlineStr">
        <is>
          <t>INTF</t>
        </is>
      </c>
      <c r="D79" s="11" t="inlineStr">
        <is>
          <t>202601</t>
        </is>
      </c>
      <c r="E79" s="11" t="inlineStr">
        <is>
          <t>1144210181</t>
        </is>
      </c>
      <c r="F79" s="11" t="inlineStr">
        <is>
          <t>MELENDEZ ARENAS BRAY</t>
        </is>
      </c>
      <c r="G79" s="11" t="inlineStr"/>
      <c r="H79" s="11" t="inlineStr">
        <is>
          <t>INTERFACE P.O.S.</t>
        </is>
      </c>
      <c r="I79" s="11" t="n">
        <v>38900</v>
      </c>
      <c r="J79" s="11" t="inlineStr"/>
    </row>
    <row r="80">
      <c r="A80" s="11" t="n">
        <v>79</v>
      </c>
      <c r="B80" s="12" t="n">
        <v>46030</v>
      </c>
      <c r="C80" s="11" t="inlineStr">
        <is>
          <t>INTF</t>
        </is>
      </c>
      <c r="D80" s="11" t="inlineStr">
        <is>
          <t>202601</t>
        </is>
      </c>
      <c r="E80" s="11" t="inlineStr">
        <is>
          <t>5207773</t>
        </is>
      </c>
      <c r="F80" s="11" t="inlineStr">
        <is>
          <t>PANTOJA DONY NORVE</t>
        </is>
      </c>
      <c r="G80" s="11" t="inlineStr"/>
      <c r="H80" s="11" t="inlineStr">
        <is>
          <t>INTERFACE P.O.S.</t>
        </is>
      </c>
      <c r="I80" s="11" t="n">
        <v>97875</v>
      </c>
      <c r="J80" s="11" t="inlineStr"/>
    </row>
    <row r="81">
      <c r="A81" s="11" t="n">
        <v>80</v>
      </c>
      <c r="B81" s="12" t="n">
        <v>46030</v>
      </c>
      <c r="C81" s="11" t="inlineStr">
        <is>
          <t>INTF</t>
        </is>
      </c>
      <c r="D81" s="11" t="inlineStr">
        <is>
          <t>202601</t>
        </is>
      </c>
      <c r="E81" s="11" t="inlineStr">
        <is>
          <t>76270970</t>
        </is>
      </c>
      <c r="F81" s="11" t="inlineStr">
        <is>
          <t>MOSQUERA LUKUMI</t>
        </is>
      </c>
      <c r="G81" s="11" t="inlineStr"/>
      <c r="H81" s="11" t="inlineStr">
        <is>
          <t>INTERFACE P.O.S.</t>
        </is>
      </c>
      <c r="I81" s="11" t="n">
        <v>33200</v>
      </c>
      <c r="J81" s="11" t="inlineStr"/>
    </row>
    <row r="82">
      <c r="A82" s="11" t="n">
        <v>81</v>
      </c>
      <c r="B82" s="12" t="n">
        <v>46031</v>
      </c>
      <c r="C82" s="11" t="inlineStr">
        <is>
          <t>INTF</t>
        </is>
      </c>
      <c r="D82" s="11" t="inlineStr">
        <is>
          <t>202601</t>
        </is>
      </c>
      <c r="E82" s="11" t="inlineStr">
        <is>
          <t>80824880</t>
        </is>
      </c>
      <c r="F82" s="11" t="inlineStr">
        <is>
          <t>CORAL ROSERO HUGO FR</t>
        </is>
      </c>
      <c r="G82" s="11" t="inlineStr"/>
      <c r="H82" s="11" t="inlineStr">
        <is>
          <t>INTERFACE P.O.S.</t>
        </is>
      </c>
      <c r="I82" s="11" t="n">
        <v>45800</v>
      </c>
      <c r="J82" s="11" t="inlineStr"/>
    </row>
    <row r="83">
      <c r="A83" s="11" t="n">
        <v>82</v>
      </c>
      <c r="B83" s="12" t="n">
        <v>46031</v>
      </c>
      <c r="C83" s="11" t="inlineStr">
        <is>
          <t>INTF</t>
        </is>
      </c>
      <c r="D83" s="11" t="inlineStr">
        <is>
          <t>202601</t>
        </is>
      </c>
      <c r="E83" s="11" t="inlineStr">
        <is>
          <t>41108192</t>
        </is>
      </c>
      <c r="F83" s="11" t="inlineStr">
        <is>
          <t>ARANGO MEZA ALBA PAT</t>
        </is>
      </c>
      <c r="G83" s="11" t="inlineStr"/>
      <c r="H83" s="11" t="inlineStr">
        <is>
          <t>INTERFACE P.O.S.</t>
        </is>
      </c>
      <c r="I83" s="11" t="n">
        <v>124100</v>
      </c>
      <c r="J83" s="11" t="inlineStr"/>
    </row>
    <row r="84">
      <c r="A84" s="11" t="n">
        <v>83</v>
      </c>
      <c r="B84" s="12" t="n">
        <v>46031</v>
      </c>
      <c r="C84" s="11" t="inlineStr">
        <is>
          <t>INTF</t>
        </is>
      </c>
      <c r="D84" s="11" t="inlineStr">
        <is>
          <t>202601</t>
        </is>
      </c>
      <c r="E84" s="11" t="inlineStr">
        <is>
          <t>72215239</t>
        </is>
      </c>
      <c r="F84" s="11" t="inlineStr">
        <is>
          <t>DE LA HOZ SANMIGUEL</t>
        </is>
      </c>
      <c r="G84" s="11" t="inlineStr"/>
      <c r="H84" s="11" t="inlineStr">
        <is>
          <t>INTERFACE P.O.S.</t>
        </is>
      </c>
      <c r="I84" s="11" t="n">
        <v>44400</v>
      </c>
      <c r="J84" s="11" t="inlineStr"/>
    </row>
    <row r="85">
      <c r="A85" s="11" t="n">
        <v>84</v>
      </c>
      <c r="B85" s="12" t="n">
        <v>46031</v>
      </c>
      <c r="C85" s="11" t="inlineStr">
        <is>
          <t>INTF</t>
        </is>
      </c>
      <c r="D85" s="11" t="inlineStr">
        <is>
          <t>202601</t>
        </is>
      </c>
      <c r="E85" s="11" t="inlineStr">
        <is>
          <t>87064931</t>
        </is>
      </c>
      <c r="F85" s="11" t="inlineStr">
        <is>
          <t>MARTINEZ MUÑOZ WILLI</t>
        </is>
      </c>
      <c r="G85" s="11" t="inlineStr"/>
      <c r="H85" s="11" t="inlineStr">
        <is>
          <t>INTERFACE P.O.S.</t>
        </is>
      </c>
      <c r="I85" s="11" t="n">
        <v>47400</v>
      </c>
      <c r="J85" s="11" t="inlineStr"/>
    </row>
    <row r="86">
      <c r="A86" s="11" t="n">
        <v>85</v>
      </c>
      <c r="B86" s="12" t="n">
        <v>46031</v>
      </c>
      <c r="C86" s="11" t="inlineStr">
        <is>
          <t>INTF</t>
        </is>
      </c>
      <c r="D86" s="11" t="inlineStr">
        <is>
          <t>202601</t>
        </is>
      </c>
      <c r="E86" s="11" t="inlineStr">
        <is>
          <t>21548671</t>
        </is>
      </c>
      <c r="F86" s="11" t="inlineStr">
        <is>
          <t>TUBERQUIA CASTAÑO BL</t>
        </is>
      </c>
      <c r="G86" s="11" t="inlineStr"/>
      <c r="H86" s="11" t="inlineStr">
        <is>
          <t>INTERFACE P.O.S.</t>
        </is>
      </c>
      <c r="I86" s="11" t="n">
        <v>100200</v>
      </c>
      <c r="J86" s="11" t="inlineStr"/>
    </row>
    <row r="87">
      <c r="A87" s="11" t="n">
        <v>86</v>
      </c>
      <c r="B87" s="12" t="n">
        <v>46031</v>
      </c>
      <c r="C87" s="11" t="inlineStr">
        <is>
          <t>INTF</t>
        </is>
      </c>
      <c r="D87" s="11" t="inlineStr">
        <is>
          <t>202601</t>
        </is>
      </c>
      <c r="E87" s="11" t="inlineStr">
        <is>
          <t>41107536</t>
        </is>
      </c>
      <c r="F87" s="11" t="inlineStr">
        <is>
          <t>ACOSTA BERMEO DORIS</t>
        </is>
      </c>
      <c r="G87" s="11" t="inlineStr"/>
      <c r="H87" s="11" t="inlineStr">
        <is>
          <t>INTERFACE P.O.S.</t>
        </is>
      </c>
      <c r="I87" s="11" t="n">
        <v>30000</v>
      </c>
      <c r="J87" s="11" t="inlineStr"/>
    </row>
    <row r="88">
      <c r="A88" s="11" t="n">
        <v>87</v>
      </c>
      <c r="B88" s="12" t="n">
        <v>46031</v>
      </c>
      <c r="C88" s="11" t="inlineStr">
        <is>
          <t>INTF</t>
        </is>
      </c>
      <c r="D88" s="11" t="inlineStr">
        <is>
          <t>202601</t>
        </is>
      </c>
      <c r="E88" s="11" t="inlineStr">
        <is>
          <t>1144210181</t>
        </is>
      </c>
      <c r="F88" s="11" t="inlineStr">
        <is>
          <t>MELENDEZ ARENAS BRAY</t>
        </is>
      </c>
      <c r="G88" s="11" t="inlineStr"/>
      <c r="H88" s="11" t="inlineStr">
        <is>
          <t>INTERFACE P.O.S.</t>
        </is>
      </c>
      <c r="I88" s="11" t="n">
        <v>30600</v>
      </c>
      <c r="J88" s="11" t="inlineStr"/>
    </row>
    <row r="89">
      <c r="A89" s="11" t="n">
        <v>88</v>
      </c>
      <c r="B89" s="12" t="n">
        <v>46031</v>
      </c>
      <c r="C89" s="11" t="inlineStr">
        <is>
          <t>INTF</t>
        </is>
      </c>
      <c r="D89" s="11" t="inlineStr">
        <is>
          <t>202601</t>
        </is>
      </c>
      <c r="E89" s="11" t="inlineStr">
        <is>
          <t>1006851085</t>
        </is>
      </c>
      <c r="F89" s="11" t="inlineStr">
        <is>
          <t>CUARTAS CAMPAÑA D</t>
        </is>
      </c>
      <c r="G89" s="11" t="inlineStr"/>
      <c r="H89" s="11" t="inlineStr">
        <is>
          <t>INTERFACE P.O.S.</t>
        </is>
      </c>
      <c r="I89" s="11" t="n">
        <v>27900</v>
      </c>
      <c r="J89" s="11" t="inlineStr"/>
    </row>
    <row r="90">
      <c r="A90" s="11" t="n">
        <v>89</v>
      </c>
      <c r="B90" s="12" t="n">
        <v>46032</v>
      </c>
      <c r="C90" s="11" t="inlineStr">
        <is>
          <t>INTF</t>
        </is>
      </c>
      <c r="D90" s="11" t="inlineStr">
        <is>
          <t>202601</t>
        </is>
      </c>
      <c r="E90" s="11" t="inlineStr">
        <is>
          <t>18131293</t>
        </is>
      </c>
      <c r="F90" s="11" t="inlineStr">
        <is>
          <t>CAGUA GARCIA VENANCI</t>
        </is>
      </c>
      <c r="G90" s="11" t="inlineStr"/>
      <c r="H90" s="11" t="inlineStr">
        <is>
          <t>INTERFACE P.O.S.</t>
        </is>
      </c>
      <c r="I90" s="11" t="n">
        <v>92200</v>
      </c>
      <c r="J90" s="11" t="inlineStr"/>
    </row>
    <row r="91">
      <c r="A91" s="11" t="n">
        <v>90</v>
      </c>
      <c r="B91" s="12" t="n">
        <v>46032</v>
      </c>
      <c r="C91" s="11" t="inlineStr">
        <is>
          <t>INTF</t>
        </is>
      </c>
      <c r="D91" s="11" t="inlineStr">
        <is>
          <t>202601</t>
        </is>
      </c>
      <c r="E91" s="11" t="inlineStr">
        <is>
          <t>18144759</t>
        </is>
      </c>
      <c r="F91" s="11" t="inlineStr">
        <is>
          <t>ARANGO MEZA MARIO</t>
        </is>
      </c>
      <c r="G91" s="11" t="inlineStr"/>
      <c r="H91" s="11" t="inlineStr">
        <is>
          <t>INTERFACE P.O.S.</t>
        </is>
      </c>
      <c r="I91" s="11" t="n">
        <v>222700</v>
      </c>
      <c r="J91" s="11" t="inlineStr"/>
    </row>
    <row r="92">
      <c r="A92" s="11" t="n">
        <v>91</v>
      </c>
      <c r="B92" s="12" t="n">
        <v>46032</v>
      </c>
      <c r="C92" s="11" t="inlineStr">
        <is>
          <t>INTF</t>
        </is>
      </c>
      <c r="D92" s="11" t="inlineStr">
        <is>
          <t>202601</t>
        </is>
      </c>
      <c r="E92" s="11" t="inlineStr">
        <is>
          <t>1130844006</t>
        </is>
      </c>
      <c r="F92" s="11" t="inlineStr">
        <is>
          <t>ARIAS PORTILLA FABIA</t>
        </is>
      </c>
      <c r="G92" s="11" t="inlineStr"/>
      <c r="H92" s="11" t="inlineStr">
        <is>
          <t>INTERFACE P.O.S.</t>
        </is>
      </c>
      <c r="I92" s="11" t="n">
        <v>91500</v>
      </c>
      <c r="J92" s="11" t="inlineStr"/>
    </row>
    <row r="93">
      <c r="A93" s="11" t="n">
        <v>92</v>
      </c>
      <c r="B93" s="12" t="n">
        <v>46032</v>
      </c>
      <c r="C93" s="11" t="inlineStr">
        <is>
          <t>INTF</t>
        </is>
      </c>
      <c r="D93" s="11" t="inlineStr">
        <is>
          <t>202601</t>
        </is>
      </c>
      <c r="E93" s="11" t="inlineStr">
        <is>
          <t>1075218255</t>
        </is>
      </c>
      <c r="F93" s="11" t="inlineStr">
        <is>
          <t>SILVA SALAZAR FERNAN</t>
        </is>
      </c>
      <c r="G93" s="11" t="inlineStr"/>
      <c r="H93" s="11" t="inlineStr">
        <is>
          <t>INTERFACE P.O.S.</t>
        </is>
      </c>
      <c r="I93" s="11" t="n">
        <v>32400</v>
      </c>
      <c r="J93" s="11" t="inlineStr"/>
    </row>
    <row r="94">
      <c r="A94" s="11" t="n">
        <v>93</v>
      </c>
      <c r="B94" s="12" t="n">
        <v>46032</v>
      </c>
      <c r="C94" s="11" t="inlineStr">
        <is>
          <t>INTF</t>
        </is>
      </c>
      <c r="D94" s="11" t="inlineStr">
        <is>
          <t>202601</t>
        </is>
      </c>
      <c r="E94" s="11" t="inlineStr">
        <is>
          <t>16537912</t>
        </is>
      </c>
      <c r="F94" s="11" t="inlineStr">
        <is>
          <t>LASSO OTAYA HUGO HER</t>
        </is>
      </c>
      <c r="G94" s="11" t="inlineStr"/>
      <c r="H94" s="11" t="inlineStr">
        <is>
          <t>INTERFACE P.O.S.</t>
        </is>
      </c>
      <c r="I94" s="11" t="n">
        <v>109700</v>
      </c>
      <c r="J94" s="11" t="inlineStr"/>
    </row>
    <row r="95">
      <c r="A95" s="11" t="n">
        <v>94</v>
      </c>
      <c r="B95" s="12" t="n">
        <v>46032</v>
      </c>
      <c r="C95" s="11" t="inlineStr">
        <is>
          <t>INTF</t>
        </is>
      </c>
      <c r="D95" s="11" t="inlineStr">
        <is>
          <t>202601</t>
        </is>
      </c>
      <c r="E95" s="11" t="inlineStr">
        <is>
          <t>69027769</t>
        </is>
      </c>
      <c r="F95" s="11" t="inlineStr">
        <is>
          <t>ALEGRIA NARVAEZ MAGD</t>
        </is>
      </c>
      <c r="G95" s="11" t="inlineStr"/>
      <c r="H95" s="11" t="inlineStr">
        <is>
          <t>INTERFACE P.O.S.</t>
        </is>
      </c>
      <c r="I95" s="11" t="n">
        <v>82700</v>
      </c>
      <c r="J95" s="11" t="inlineStr"/>
    </row>
    <row r="96">
      <c r="A96" s="11" t="n">
        <v>95</v>
      </c>
      <c r="B96" s="12" t="n">
        <v>46032</v>
      </c>
      <c r="C96" s="11" t="inlineStr">
        <is>
          <t>INTF</t>
        </is>
      </c>
      <c r="D96" s="11" t="inlineStr">
        <is>
          <t>202601</t>
        </is>
      </c>
      <c r="E96" s="11" t="inlineStr">
        <is>
          <t>22222222222</t>
        </is>
      </c>
      <c r="F96" s="11" t="inlineStr">
        <is>
          <t>CONSUMIDOR FINAL</t>
        </is>
      </c>
      <c r="G96" s="11" t="inlineStr"/>
      <c r="H96" s="11" t="inlineStr">
        <is>
          <t>INTERFACE P.O.S.</t>
        </is>
      </c>
      <c r="I96" s="11" t="n">
        <v>47200</v>
      </c>
      <c r="J96" s="11" t="inlineStr"/>
    </row>
    <row r="97">
      <c r="A97" s="11" t="n">
        <v>96</v>
      </c>
      <c r="B97" s="12" t="n">
        <v>46032</v>
      </c>
      <c r="C97" s="11" t="inlineStr">
        <is>
          <t>INTF</t>
        </is>
      </c>
      <c r="D97" s="11" t="inlineStr">
        <is>
          <t>202601</t>
        </is>
      </c>
      <c r="E97" s="11" t="inlineStr">
        <is>
          <t>41106600</t>
        </is>
      </c>
      <c r="F97" s="11" t="inlineStr">
        <is>
          <t>SALAZAR PRADO MARIA</t>
        </is>
      </c>
      <c r="G97" s="11" t="inlineStr"/>
      <c r="H97" s="11" t="inlineStr">
        <is>
          <t>INTERFACE P.O.S.</t>
        </is>
      </c>
      <c r="I97" s="11" t="n">
        <v>83200</v>
      </c>
      <c r="J97" s="11" t="inlineStr"/>
    </row>
    <row r="98">
      <c r="A98" s="11" t="n">
        <v>97</v>
      </c>
      <c r="B98" s="12" t="n">
        <v>46032</v>
      </c>
      <c r="C98" s="11" t="inlineStr">
        <is>
          <t>INTF</t>
        </is>
      </c>
      <c r="D98" s="11" t="inlineStr">
        <is>
          <t>202601</t>
        </is>
      </c>
      <c r="E98" s="11" t="inlineStr">
        <is>
          <t>1117503829</t>
        </is>
      </c>
      <c r="F98" s="11" t="inlineStr">
        <is>
          <t>ZAMORA LEON SANDRA R</t>
        </is>
      </c>
      <c r="G98" s="11" t="inlineStr"/>
      <c r="H98" s="11" t="inlineStr">
        <is>
          <t>INTERFACE P.O.S.</t>
        </is>
      </c>
      <c r="I98" s="11" t="n">
        <v>475100</v>
      </c>
      <c r="J98" s="11" t="inlineStr"/>
    </row>
    <row r="99">
      <c r="A99" s="11" t="n">
        <v>98</v>
      </c>
      <c r="B99" s="12" t="n">
        <v>46032</v>
      </c>
      <c r="C99" s="11" t="inlineStr">
        <is>
          <t>INTF</t>
        </is>
      </c>
      <c r="D99" s="11" t="inlineStr">
        <is>
          <t>202601</t>
        </is>
      </c>
      <c r="E99" s="11" t="inlineStr">
        <is>
          <t>1138525269</t>
        </is>
      </c>
      <c r="F99" s="11" t="inlineStr">
        <is>
          <t>MORENO ORDOÑEZ MARIA</t>
        </is>
      </c>
      <c r="G99" s="11" t="inlineStr"/>
      <c r="H99" s="11" t="inlineStr">
        <is>
          <t>INTERFACE P.O.S.</t>
        </is>
      </c>
      <c r="I99" s="11" t="n">
        <v>90500</v>
      </c>
      <c r="J99" s="11" t="inlineStr"/>
    </row>
    <row r="100">
      <c r="A100" s="11" t="n">
        <v>99</v>
      </c>
      <c r="B100" s="12" t="n">
        <v>46032</v>
      </c>
      <c r="C100" s="11" t="inlineStr">
        <is>
          <t>INTF</t>
        </is>
      </c>
      <c r="D100" s="11" t="inlineStr">
        <is>
          <t>202601</t>
        </is>
      </c>
      <c r="E100" s="11" t="inlineStr">
        <is>
          <t>1123328101</t>
        </is>
      </c>
      <c r="F100" s="11" t="inlineStr">
        <is>
          <t>VARELA GARCIA ALEXA</t>
        </is>
      </c>
      <c r="G100" s="11" t="inlineStr"/>
      <c r="H100" s="11" t="inlineStr">
        <is>
          <t>INTERFACE P.O.S.</t>
        </is>
      </c>
      <c r="I100" s="11" t="n">
        <v>141450</v>
      </c>
      <c r="J100" s="11" t="inlineStr"/>
    </row>
    <row r="101">
      <c r="A101" s="11" t="n">
        <v>100</v>
      </c>
      <c r="B101" s="12" t="n">
        <v>46032</v>
      </c>
      <c r="C101" s="11" t="inlineStr">
        <is>
          <t>INTF</t>
        </is>
      </c>
      <c r="D101" s="11" t="inlineStr">
        <is>
          <t>202601</t>
        </is>
      </c>
      <c r="E101" s="11" t="inlineStr">
        <is>
          <t>1076983536</t>
        </is>
      </c>
      <c r="F101" s="11" t="inlineStr">
        <is>
          <t>SILVA HERNANDEZ JAID</t>
        </is>
      </c>
      <c r="G101" s="11" t="inlineStr"/>
      <c r="H101" s="11" t="inlineStr">
        <is>
          <t>INTERFACE P.O.S.</t>
        </is>
      </c>
      <c r="I101" s="11" t="n">
        <v>50200</v>
      </c>
      <c r="J101" s="11" t="inlineStr"/>
    </row>
    <row r="102">
      <c r="A102" s="11" t="n">
        <v>101</v>
      </c>
      <c r="B102" s="12" t="n">
        <v>46032</v>
      </c>
      <c r="C102" s="11" t="inlineStr">
        <is>
          <t>INTF</t>
        </is>
      </c>
      <c r="D102" s="11" t="inlineStr">
        <is>
          <t>202601</t>
        </is>
      </c>
      <c r="E102" s="11" t="inlineStr">
        <is>
          <t>14678823</t>
        </is>
      </c>
      <c r="F102" s="11" t="inlineStr">
        <is>
          <t>JARAMILLO JULIAN</t>
        </is>
      </c>
      <c r="G102" s="11" t="inlineStr"/>
      <c r="H102" s="11" t="inlineStr">
        <is>
          <t>INTERFACE P.O.S.</t>
        </is>
      </c>
      <c r="I102" s="11" t="n">
        <v>30000</v>
      </c>
      <c r="J102" s="11" t="inlineStr"/>
    </row>
    <row r="103">
      <c r="A103" s="11" t="n">
        <v>102</v>
      </c>
      <c r="B103" s="12" t="n">
        <v>46032</v>
      </c>
      <c r="C103" s="11" t="inlineStr">
        <is>
          <t>INTF</t>
        </is>
      </c>
      <c r="D103" s="11" t="inlineStr">
        <is>
          <t>202601</t>
        </is>
      </c>
      <c r="E103" s="11" t="inlineStr">
        <is>
          <t>112333457</t>
        </is>
      </c>
      <c r="F103" s="11" t="inlineStr">
        <is>
          <t>MOSQUERA ANGGIE</t>
        </is>
      </c>
      <c r="G103" s="11" t="inlineStr"/>
      <c r="H103" s="11" t="inlineStr">
        <is>
          <t>INTERFACE P.O.S.</t>
        </is>
      </c>
      <c r="I103" s="11" t="n">
        <v>103100</v>
      </c>
      <c r="J103" s="11" t="inlineStr"/>
    </row>
    <row r="104">
      <c r="A104" s="11" t="n">
        <v>103</v>
      </c>
      <c r="B104" s="12" t="n">
        <v>46033</v>
      </c>
      <c r="C104" s="11" t="inlineStr">
        <is>
          <t>INTF</t>
        </is>
      </c>
      <c r="D104" s="11" t="inlineStr">
        <is>
          <t>202601</t>
        </is>
      </c>
      <c r="E104" s="11" t="inlineStr">
        <is>
          <t>1123327257</t>
        </is>
      </c>
      <c r="F104" s="11" t="inlineStr">
        <is>
          <t>BASTIDAS BOLAÑOS PAO</t>
        </is>
      </c>
      <c r="G104" s="11" t="inlineStr"/>
      <c r="H104" s="11" t="inlineStr">
        <is>
          <t>INTERFACE P.O.S.</t>
        </is>
      </c>
      <c r="I104" s="11" t="n">
        <v>20300</v>
      </c>
      <c r="J104" s="11" t="inlineStr"/>
    </row>
    <row r="105">
      <c r="A105" s="11" t="n">
        <v>104</v>
      </c>
      <c r="B105" s="12" t="n">
        <v>46034</v>
      </c>
      <c r="C105" s="11" t="inlineStr">
        <is>
          <t>INTF</t>
        </is>
      </c>
      <c r="D105" s="11" t="inlineStr">
        <is>
          <t>202601</t>
        </is>
      </c>
      <c r="E105" s="11" t="inlineStr">
        <is>
          <t>1085907080</t>
        </is>
      </c>
      <c r="F105" s="11" t="inlineStr">
        <is>
          <t>DIAZ MENESES ANYELA</t>
        </is>
      </c>
      <c r="G105" s="11" t="inlineStr"/>
      <c r="H105" s="11" t="inlineStr">
        <is>
          <t>INTERFACE P.O.S.</t>
        </is>
      </c>
      <c r="I105" s="11" t="n">
        <v>23100</v>
      </c>
      <c r="J105" s="11" t="inlineStr"/>
    </row>
    <row r="106">
      <c r="A106" s="11" t="n">
        <v>105</v>
      </c>
      <c r="B106" s="12" t="n">
        <v>46034</v>
      </c>
      <c r="C106" s="11" t="inlineStr">
        <is>
          <t>INTF</t>
        </is>
      </c>
      <c r="D106" s="11" t="inlineStr">
        <is>
          <t>202601</t>
        </is>
      </c>
      <c r="E106" s="11" t="inlineStr">
        <is>
          <t>12987049</t>
        </is>
      </c>
      <c r="F106" s="11" t="inlineStr">
        <is>
          <t>ERASO MUÑOZ CLAUDIO</t>
        </is>
      </c>
      <c r="G106" s="11" t="inlineStr"/>
      <c r="H106" s="11" t="inlineStr">
        <is>
          <t>INTERFACE P.O.S.</t>
        </is>
      </c>
      <c r="I106" s="11" t="n">
        <v>40700</v>
      </c>
      <c r="J106" s="11" t="inlineStr"/>
    </row>
    <row r="107">
      <c r="A107" s="11" t="n">
        <v>106</v>
      </c>
      <c r="B107" s="12" t="n">
        <v>46034</v>
      </c>
      <c r="C107" s="11" t="inlineStr">
        <is>
          <t>INTF</t>
        </is>
      </c>
      <c r="D107" s="11" t="inlineStr">
        <is>
          <t>202601</t>
        </is>
      </c>
      <c r="E107" s="11" t="inlineStr">
        <is>
          <t>1123327257</t>
        </is>
      </c>
      <c r="F107" s="11" t="inlineStr">
        <is>
          <t>BASTIDAS BOLAÑOS PAO</t>
        </is>
      </c>
      <c r="G107" s="11" t="inlineStr"/>
      <c r="H107" s="11" t="inlineStr">
        <is>
          <t>INTERFACE P.O.S.</t>
        </is>
      </c>
      <c r="I107" s="11" t="n">
        <v>24245</v>
      </c>
      <c r="J107" s="11" t="inlineStr"/>
    </row>
    <row r="108">
      <c r="A108" s="11" t="n">
        <v>107</v>
      </c>
      <c r="B108" s="12" t="n">
        <v>46034</v>
      </c>
      <c r="C108" s="11" t="inlineStr">
        <is>
          <t>INTF</t>
        </is>
      </c>
      <c r="D108" s="11" t="inlineStr">
        <is>
          <t>202601</t>
        </is>
      </c>
      <c r="E108" s="11" t="inlineStr">
        <is>
          <t>1113687091</t>
        </is>
      </c>
      <c r="F108" s="11" t="inlineStr">
        <is>
          <t>HURTADO NOGUERA JHON</t>
        </is>
      </c>
      <c r="G108" s="11" t="inlineStr"/>
      <c r="H108" s="11" t="inlineStr">
        <is>
          <t>INTERFACE P.O.S.</t>
        </is>
      </c>
      <c r="I108" s="11" t="n">
        <v>28800</v>
      </c>
      <c r="J108" s="11" t="inlineStr"/>
    </row>
    <row r="109">
      <c r="A109" s="11" t="n">
        <v>108</v>
      </c>
      <c r="B109" s="12" t="n">
        <v>46034</v>
      </c>
      <c r="C109" s="11" t="inlineStr">
        <is>
          <t>INTF</t>
        </is>
      </c>
      <c r="D109" s="11" t="inlineStr">
        <is>
          <t>202601</t>
        </is>
      </c>
      <c r="E109" s="11" t="inlineStr">
        <is>
          <t>1075278733</t>
        </is>
      </c>
      <c r="F109" s="11" t="inlineStr">
        <is>
          <t>FLOREZ REYES DAYAN L</t>
        </is>
      </c>
      <c r="G109" s="11" t="inlineStr"/>
      <c r="H109" s="11" t="inlineStr">
        <is>
          <t>INTERFACE P.O.S.</t>
        </is>
      </c>
      <c r="I109" s="11" t="n">
        <v>81400</v>
      </c>
      <c r="J109" s="11" t="inlineStr"/>
    </row>
    <row r="110">
      <c r="A110" s="11" t="n">
        <v>109</v>
      </c>
      <c r="B110" s="12" t="n">
        <v>46034</v>
      </c>
      <c r="C110" s="11" t="inlineStr">
        <is>
          <t>INTF</t>
        </is>
      </c>
      <c r="D110" s="11" t="inlineStr">
        <is>
          <t>202601</t>
        </is>
      </c>
      <c r="E110" s="11" t="inlineStr">
        <is>
          <t>1123328314</t>
        </is>
      </c>
      <c r="F110" s="11" t="inlineStr">
        <is>
          <t>PALMA GALLARDO MARIL</t>
        </is>
      </c>
      <c r="G110" s="11" t="inlineStr"/>
      <c r="H110" s="11" t="inlineStr">
        <is>
          <t>INTERFACE P.O.S.</t>
        </is>
      </c>
      <c r="I110" s="11" t="n">
        <v>103900</v>
      </c>
      <c r="J110" s="11" t="inlineStr"/>
    </row>
    <row r="111">
      <c r="A111" s="11" t="n">
        <v>110</v>
      </c>
      <c r="B111" s="12" t="n">
        <v>46034</v>
      </c>
      <c r="C111" s="11" t="inlineStr">
        <is>
          <t>INTF</t>
        </is>
      </c>
      <c r="D111" s="11" t="inlineStr">
        <is>
          <t>202601</t>
        </is>
      </c>
      <c r="E111" s="11" t="inlineStr">
        <is>
          <t>14638579</t>
        </is>
      </c>
      <c r="F111" s="11" t="inlineStr">
        <is>
          <t>ENRIQUEZ YAGUAPAZ AL</t>
        </is>
      </c>
      <c r="G111" s="11" t="inlineStr"/>
      <c r="H111" s="11" t="inlineStr">
        <is>
          <t>INTERFACE P.O.S.</t>
        </is>
      </c>
      <c r="I111" s="11" t="n">
        <v>35656</v>
      </c>
      <c r="J111" s="11" t="inlineStr"/>
    </row>
    <row r="112">
      <c r="A112" s="11" t="n">
        <v>111</v>
      </c>
      <c r="B112" s="12" t="n">
        <v>46034</v>
      </c>
      <c r="C112" s="11" t="inlineStr">
        <is>
          <t>INTF</t>
        </is>
      </c>
      <c r="D112" s="11" t="inlineStr">
        <is>
          <t>202601</t>
        </is>
      </c>
      <c r="E112" s="11" t="inlineStr">
        <is>
          <t>1124857142</t>
        </is>
      </c>
      <c r="F112" s="11" t="inlineStr">
        <is>
          <t>LADINO MONTESUMA CAM</t>
        </is>
      </c>
      <c r="G112" s="11" t="inlineStr"/>
      <c r="H112" s="11" t="inlineStr">
        <is>
          <t>INTERFACE P.O.S.</t>
        </is>
      </c>
      <c r="I112" s="11" t="n">
        <v>80900</v>
      </c>
      <c r="J112" s="11" t="inlineStr"/>
    </row>
    <row r="113">
      <c r="A113" s="11" t="n">
        <v>112</v>
      </c>
      <c r="B113" s="12" t="n">
        <v>46034</v>
      </c>
      <c r="C113" s="11" t="inlineStr">
        <is>
          <t>INTF</t>
        </is>
      </c>
      <c r="D113" s="11" t="inlineStr">
        <is>
          <t>202601</t>
        </is>
      </c>
      <c r="E113" s="11" t="inlineStr">
        <is>
          <t>18147840</t>
        </is>
      </c>
      <c r="F113" s="11" t="inlineStr">
        <is>
          <t>RODRIGUEZ CASTAÑEDA</t>
        </is>
      </c>
      <c r="G113" s="11" t="inlineStr"/>
      <c r="H113" s="11" t="inlineStr">
        <is>
          <t>INTERFACE P.O.S.</t>
        </is>
      </c>
      <c r="I113" s="11" t="n">
        <v>16800</v>
      </c>
      <c r="J113" s="11" t="inlineStr"/>
    </row>
    <row r="114">
      <c r="A114" s="11" t="n">
        <v>113</v>
      </c>
      <c r="B114" s="12" t="n">
        <v>46034</v>
      </c>
      <c r="C114" s="11" t="inlineStr">
        <is>
          <t>INTF</t>
        </is>
      </c>
      <c r="D114" s="11" t="inlineStr">
        <is>
          <t>202601</t>
        </is>
      </c>
      <c r="E114" s="11" t="inlineStr">
        <is>
          <t>1124859582</t>
        </is>
      </c>
      <c r="F114" s="11" t="inlineStr">
        <is>
          <t>NARVAES CORREA NATA</t>
        </is>
      </c>
      <c r="G114" s="11" t="inlineStr"/>
      <c r="H114" s="11" t="inlineStr">
        <is>
          <t>INTERFACE P.O.S.</t>
        </is>
      </c>
      <c r="I114" s="11" t="n">
        <v>90900</v>
      </c>
      <c r="J114" s="11" t="inlineStr"/>
    </row>
    <row r="115">
      <c r="A115" s="11" t="n">
        <v>114</v>
      </c>
      <c r="B115" s="12" t="n">
        <v>46034</v>
      </c>
      <c r="C115" s="11" t="inlineStr">
        <is>
          <t>INTF</t>
        </is>
      </c>
      <c r="D115" s="11" t="inlineStr">
        <is>
          <t>202601</t>
        </is>
      </c>
      <c r="E115" s="11" t="inlineStr">
        <is>
          <t>1123332934</t>
        </is>
      </c>
      <c r="F115" s="11" t="inlineStr">
        <is>
          <t>MENESES YULIANA</t>
        </is>
      </c>
      <c r="G115" s="11" t="inlineStr"/>
      <c r="H115" s="11" t="inlineStr">
        <is>
          <t>INTERFACE P.O.S.</t>
        </is>
      </c>
      <c r="I115" s="11" t="n">
        <v>20000</v>
      </c>
      <c r="J115" s="11" t="inlineStr"/>
    </row>
    <row r="116">
      <c r="A116" s="11" t="n">
        <v>115</v>
      </c>
      <c r="B116" s="12" t="n">
        <v>46035</v>
      </c>
      <c r="C116" s="11" t="inlineStr">
        <is>
          <t>INTF</t>
        </is>
      </c>
      <c r="D116" s="11" t="inlineStr">
        <is>
          <t>202601</t>
        </is>
      </c>
      <c r="E116" s="11" t="inlineStr">
        <is>
          <t>27388989</t>
        </is>
      </c>
      <c r="F116" s="11" t="inlineStr">
        <is>
          <t>MARQUEZ NARVAEZ NANC</t>
        </is>
      </c>
      <c r="G116" s="11" t="inlineStr"/>
      <c r="H116" s="11" t="inlineStr">
        <is>
          <t>INTERFACE P.O.S.</t>
        </is>
      </c>
      <c r="I116" s="11" t="n">
        <v>29100</v>
      </c>
      <c r="J116" s="11" t="inlineStr"/>
    </row>
    <row r="117">
      <c r="A117" s="11" t="n">
        <v>116</v>
      </c>
      <c r="B117" s="12" t="n">
        <v>46035</v>
      </c>
      <c r="C117" s="11" t="inlineStr">
        <is>
          <t>INTF</t>
        </is>
      </c>
      <c r="D117" s="11" t="inlineStr">
        <is>
          <t>202601</t>
        </is>
      </c>
      <c r="E117" s="11" t="inlineStr">
        <is>
          <t>71114184</t>
        </is>
      </c>
      <c r="F117" s="11" t="inlineStr">
        <is>
          <t>HOYOS GIRALDO WELKER</t>
        </is>
      </c>
      <c r="G117" s="11" t="inlineStr"/>
      <c r="H117" s="11" t="inlineStr">
        <is>
          <t>INTERFACE P.O.S.</t>
        </is>
      </c>
      <c r="I117" s="11" t="n">
        <v>42100</v>
      </c>
      <c r="J117" s="11" t="inlineStr"/>
    </row>
    <row r="118">
      <c r="A118" s="11" t="n">
        <v>117</v>
      </c>
      <c r="B118" s="12" t="n">
        <v>46035</v>
      </c>
      <c r="C118" s="11" t="inlineStr">
        <is>
          <t>INTF</t>
        </is>
      </c>
      <c r="D118" s="11" t="inlineStr">
        <is>
          <t>202601</t>
        </is>
      </c>
      <c r="E118" s="11" t="inlineStr">
        <is>
          <t>1123321763</t>
        </is>
      </c>
      <c r="F118" s="11" t="inlineStr">
        <is>
          <t>MARTINEZ ROSERO LUCI</t>
        </is>
      </c>
      <c r="G118" s="11" t="inlineStr"/>
      <c r="H118" s="11" t="inlineStr">
        <is>
          <t>INTERFACE P.O.S.</t>
        </is>
      </c>
      <c r="I118" s="11" t="n">
        <v>81200</v>
      </c>
      <c r="J118" s="11" t="inlineStr"/>
    </row>
    <row r="119">
      <c r="A119" s="11" t="n">
        <v>118</v>
      </c>
      <c r="B119" s="12" t="n">
        <v>46035</v>
      </c>
      <c r="C119" s="11" t="inlineStr">
        <is>
          <t>INTF</t>
        </is>
      </c>
      <c r="D119" s="11" t="inlineStr">
        <is>
          <t>202601</t>
        </is>
      </c>
      <c r="E119" s="11" t="inlineStr">
        <is>
          <t>1123330005</t>
        </is>
      </c>
      <c r="F119" s="11" t="inlineStr">
        <is>
          <t>ARIAS ARBOLEDA LEIDY</t>
        </is>
      </c>
      <c r="G119" s="11" t="inlineStr"/>
      <c r="H119" s="11" t="inlineStr">
        <is>
          <t>INTERFACE P.O.S.</t>
        </is>
      </c>
      <c r="I119" s="11" t="n">
        <v>74000</v>
      </c>
      <c r="J119" s="11" t="inlineStr"/>
    </row>
    <row r="120">
      <c r="A120" s="11" t="n">
        <v>119</v>
      </c>
      <c r="B120" s="12" t="n">
        <v>46035</v>
      </c>
      <c r="C120" s="11" t="inlineStr">
        <is>
          <t>INTF</t>
        </is>
      </c>
      <c r="D120" s="11" t="inlineStr">
        <is>
          <t>202601</t>
        </is>
      </c>
      <c r="E120" s="11" t="inlineStr">
        <is>
          <t>18145975</t>
        </is>
      </c>
      <c r="F120" s="11" t="inlineStr">
        <is>
          <t>BUELVAS DIAZ JOSE MI</t>
        </is>
      </c>
      <c r="G120" s="11" t="inlineStr"/>
      <c r="H120" s="11" t="inlineStr">
        <is>
          <t>INTERFACE P.O.S.</t>
        </is>
      </c>
      <c r="I120" s="11" t="n">
        <v>66300</v>
      </c>
      <c r="J120" s="11" t="inlineStr"/>
    </row>
    <row r="121">
      <c r="A121" s="11" t="n">
        <v>120</v>
      </c>
      <c r="B121" s="12" t="n">
        <v>46035</v>
      </c>
      <c r="C121" s="11" t="inlineStr">
        <is>
          <t>INTF</t>
        </is>
      </c>
      <c r="D121" s="11" t="inlineStr">
        <is>
          <t>202601</t>
        </is>
      </c>
      <c r="E121" s="11" t="inlineStr">
        <is>
          <t>1123320007</t>
        </is>
      </c>
      <c r="F121" s="11" t="inlineStr">
        <is>
          <t>CORDOBA BASTIDAS YOL</t>
        </is>
      </c>
      <c r="G121" s="11" t="inlineStr"/>
      <c r="H121" s="11" t="inlineStr">
        <is>
          <t>INTERFACE P.O.S.</t>
        </is>
      </c>
      <c r="I121" s="11" t="n">
        <v>74000</v>
      </c>
      <c r="J121" s="11" t="inlineStr"/>
    </row>
    <row r="122">
      <c r="A122" s="11" t="n">
        <v>121</v>
      </c>
      <c r="B122" s="12" t="n">
        <v>46035</v>
      </c>
      <c r="C122" s="11" t="inlineStr">
        <is>
          <t>INTF</t>
        </is>
      </c>
      <c r="D122" s="11" t="inlineStr">
        <is>
          <t>202601</t>
        </is>
      </c>
      <c r="E122" s="11" t="inlineStr">
        <is>
          <t>1123331945</t>
        </is>
      </c>
      <c r="F122" s="11" t="inlineStr">
        <is>
          <t>MONTENEGRO GOMEZ SAN</t>
        </is>
      </c>
      <c r="G122" s="11" t="inlineStr"/>
      <c r="H122" s="11" t="inlineStr">
        <is>
          <t>INTERFACE P.O.S.</t>
        </is>
      </c>
      <c r="I122" s="11" t="n">
        <v>38600</v>
      </c>
      <c r="J122" s="11" t="inlineStr"/>
    </row>
    <row r="123">
      <c r="A123" s="11" t="n">
        <v>122</v>
      </c>
      <c r="B123" s="12" t="n">
        <v>46035</v>
      </c>
      <c r="C123" s="11" t="inlineStr">
        <is>
          <t>INTF</t>
        </is>
      </c>
      <c r="D123" s="11" t="inlineStr">
        <is>
          <t>202601</t>
        </is>
      </c>
      <c r="E123" s="11" t="inlineStr">
        <is>
          <t>91486684</t>
        </is>
      </c>
      <c r="F123" s="11" t="inlineStr">
        <is>
          <t>GONZALEZ SANTOS CIRO</t>
        </is>
      </c>
      <c r="G123" s="11" t="inlineStr"/>
      <c r="H123" s="11" t="inlineStr">
        <is>
          <t>INTERFACE P.O.S.</t>
        </is>
      </c>
      <c r="I123" s="11" t="n">
        <v>20000</v>
      </c>
      <c r="J123" s="11" t="inlineStr"/>
    </row>
    <row r="124">
      <c r="A124" s="11" t="n">
        <v>123</v>
      </c>
      <c r="B124" s="12" t="n">
        <v>46035</v>
      </c>
      <c r="C124" s="11" t="inlineStr">
        <is>
          <t>INTF</t>
        </is>
      </c>
      <c r="D124" s="11" t="inlineStr">
        <is>
          <t>202601</t>
        </is>
      </c>
      <c r="E124" s="11" t="inlineStr">
        <is>
          <t>27204266</t>
        </is>
      </c>
      <c r="F124" s="11" t="inlineStr">
        <is>
          <t>CANCHALA ARARA DOLOR</t>
        </is>
      </c>
      <c r="G124" s="11" t="inlineStr"/>
      <c r="H124" s="11" t="inlineStr">
        <is>
          <t>INTERFACE P.O.S.</t>
        </is>
      </c>
      <c r="I124" s="11" t="n">
        <v>110724</v>
      </c>
      <c r="J124" s="11" t="inlineStr"/>
    </row>
    <row r="125">
      <c r="A125" s="11" t="n">
        <v>124</v>
      </c>
      <c r="B125" s="12" t="n">
        <v>46035</v>
      </c>
      <c r="C125" s="11" t="inlineStr">
        <is>
          <t>INTF</t>
        </is>
      </c>
      <c r="D125" s="11" t="inlineStr">
        <is>
          <t>202601</t>
        </is>
      </c>
      <c r="E125" s="11" t="inlineStr">
        <is>
          <t>69005052</t>
        </is>
      </c>
      <c r="F125" s="11" t="inlineStr">
        <is>
          <t>ZAMBRANO MUÑOZ JOSEF</t>
        </is>
      </c>
      <c r="G125" s="11" t="inlineStr"/>
      <c r="H125" s="11" t="inlineStr">
        <is>
          <t>INTERFACE P.O.S.</t>
        </is>
      </c>
      <c r="I125" s="11" t="n">
        <v>24100</v>
      </c>
      <c r="J125" s="11" t="inlineStr"/>
    </row>
    <row r="126">
      <c r="A126" s="11" t="n">
        <v>125</v>
      </c>
      <c r="B126" s="12" t="n">
        <v>46035</v>
      </c>
      <c r="C126" s="11" t="inlineStr">
        <is>
          <t>INTF</t>
        </is>
      </c>
      <c r="D126" s="11" t="inlineStr">
        <is>
          <t>202601</t>
        </is>
      </c>
      <c r="E126" s="11" t="inlineStr">
        <is>
          <t>1085343554</t>
        </is>
      </c>
      <c r="F126" s="11" t="inlineStr">
        <is>
          <t>TREJO LOPEZ DAIRA AL</t>
        </is>
      </c>
      <c r="G126" s="11" t="inlineStr"/>
      <c r="H126" s="11" t="inlineStr">
        <is>
          <t>INTERFACE P.O.S.</t>
        </is>
      </c>
      <c r="I126" s="11" t="n">
        <v>73400</v>
      </c>
      <c r="J126" s="11" t="inlineStr"/>
    </row>
    <row r="127">
      <c r="A127" s="11" t="n">
        <v>126</v>
      </c>
      <c r="B127" s="12" t="n">
        <v>46035</v>
      </c>
      <c r="C127" s="11" t="inlineStr">
        <is>
          <t>INTF</t>
        </is>
      </c>
      <c r="D127" s="11" t="inlineStr">
        <is>
          <t>202601</t>
        </is>
      </c>
      <c r="E127" s="11" t="inlineStr">
        <is>
          <t>1123328101</t>
        </is>
      </c>
      <c r="F127" s="11" t="inlineStr">
        <is>
          <t>VARELA GARCIA ALEXA</t>
        </is>
      </c>
      <c r="G127" s="11" t="inlineStr"/>
      <c r="H127" s="11" t="inlineStr">
        <is>
          <t>INTERFACE P.O.S.</t>
        </is>
      </c>
      <c r="I127" s="11" t="n">
        <v>87100</v>
      </c>
      <c r="J127" s="11" t="inlineStr"/>
    </row>
    <row r="128">
      <c r="A128" s="11" t="n">
        <v>127</v>
      </c>
      <c r="B128" s="12" t="n">
        <v>46036</v>
      </c>
      <c r="C128" s="11" t="inlineStr">
        <is>
          <t>INTF</t>
        </is>
      </c>
      <c r="D128" s="11" t="inlineStr">
        <is>
          <t>202601</t>
        </is>
      </c>
      <c r="E128" s="11" t="inlineStr">
        <is>
          <t>52503369</t>
        </is>
      </c>
      <c r="F128" s="11" t="inlineStr">
        <is>
          <t>CARDONA DIAZ ALEJAND</t>
        </is>
      </c>
      <c r="G128" s="11" t="inlineStr"/>
      <c r="H128" s="11" t="inlineStr">
        <is>
          <t>INTERFACE P.O.S.</t>
        </is>
      </c>
      <c r="I128" s="11" t="n">
        <v>239700</v>
      </c>
      <c r="J128" s="11" t="inlineStr"/>
    </row>
    <row r="129">
      <c r="A129" s="11" t="n">
        <v>128</v>
      </c>
      <c r="B129" s="12" t="n">
        <v>46036</v>
      </c>
      <c r="C129" s="11" t="inlineStr">
        <is>
          <t>INTF</t>
        </is>
      </c>
      <c r="D129" s="11" t="inlineStr">
        <is>
          <t>202601</t>
        </is>
      </c>
      <c r="E129" s="11" t="inlineStr">
        <is>
          <t>16734589</t>
        </is>
      </c>
      <c r="F129" s="11" t="inlineStr">
        <is>
          <t>TOBON BUITRAGO LUIS</t>
        </is>
      </c>
      <c r="G129" s="11" t="inlineStr"/>
      <c r="H129" s="11" t="inlineStr">
        <is>
          <t>INTERFACE P.O.S.</t>
        </is>
      </c>
      <c r="I129" s="11" t="n">
        <v>79100</v>
      </c>
      <c r="J129" s="11" t="inlineStr"/>
    </row>
    <row r="130">
      <c r="A130" s="11" t="n">
        <v>129</v>
      </c>
      <c r="B130" s="12" t="n">
        <v>46036</v>
      </c>
      <c r="C130" s="11" t="inlineStr">
        <is>
          <t>INTF</t>
        </is>
      </c>
      <c r="D130" s="11" t="inlineStr">
        <is>
          <t>202601</t>
        </is>
      </c>
      <c r="E130" s="11" t="inlineStr">
        <is>
          <t>6537670</t>
        </is>
      </c>
      <c r="F130" s="11" t="inlineStr">
        <is>
          <t>MONTILLA HERNANDEZ E</t>
        </is>
      </c>
      <c r="G130" s="11" t="inlineStr"/>
      <c r="H130" s="11" t="inlineStr">
        <is>
          <t>INTERFACE P.O.S.</t>
        </is>
      </c>
      <c r="I130" s="11" t="n">
        <v>74500</v>
      </c>
      <c r="J130" s="11" t="inlineStr"/>
    </row>
    <row r="131">
      <c r="A131" s="11" t="n">
        <v>130</v>
      </c>
      <c r="B131" s="12" t="n">
        <v>46036</v>
      </c>
      <c r="C131" s="11" t="inlineStr">
        <is>
          <t>INTF</t>
        </is>
      </c>
      <c r="D131" s="11" t="inlineStr">
        <is>
          <t>202601</t>
        </is>
      </c>
      <c r="E131" s="11" t="inlineStr">
        <is>
          <t>1075243320</t>
        </is>
      </c>
      <c r="F131" s="11" t="inlineStr">
        <is>
          <t>CASAÑAS CAZAÑAS JAME</t>
        </is>
      </c>
      <c r="G131" s="11" t="inlineStr"/>
      <c r="H131" s="11" t="inlineStr">
        <is>
          <t>INTERFACE P.O.S.</t>
        </is>
      </c>
      <c r="I131" s="11" t="n">
        <v>106733</v>
      </c>
      <c r="J131" s="11" t="inlineStr"/>
    </row>
    <row r="132">
      <c r="A132" s="11" t="n">
        <v>131</v>
      </c>
      <c r="B132" s="12" t="n">
        <v>46036</v>
      </c>
      <c r="C132" s="11" t="inlineStr">
        <is>
          <t>INTF</t>
        </is>
      </c>
      <c r="D132" s="11" t="inlineStr">
        <is>
          <t>202601</t>
        </is>
      </c>
      <c r="E132" s="11" t="inlineStr">
        <is>
          <t>79998867</t>
        </is>
      </c>
      <c r="F132" s="11" t="inlineStr">
        <is>
          <t>CAICEDO JIMENEZ CAR</t>
        </is>
      </c>
      <c r="G132" s="11" t="inlineStr"/>
      <c r="H132" s="11" t="inlineStr">
        <is>
          <t>INTERFACE P.O.S.</t>
        </is>
      </c>
      <c r="I132" s="11" t="n">
        <v>180920</v>
      </c>
      <c r="J132" s="11" t="inlineStr"/>
    </row>
    <row r="133">
      <c r="A133" s="11" t="n">
        <v>132</v>
      </c>
      <c r="B133" s="12" t="n">
        <v>46036</v>
      </c>
      <c r="C133" s="11" t="inlineStr">
        <is>
          <t>INTF</t>
        </is>
      </c>
      <c r="D133" s="11" t="inlineStr">
        <is>
          <t>202601</t>
        </is>
      </c>
      <c r="E133" s="11" t="inlineStr">
        <is>
          <t>1075278733</t>
        </is>
      </c>
      <c r="F133" s="11" t="inlineStr">
        <is>
          <t>FLOREZ REYES DAYAN L</t>
        </is>
      </c>
      <c r="G133" s="11" t="inlineStr"/>
      <c r="H133" s="11" t="inlineStr">
        <is>
          <t>INTERFACE P.O.S.</t>
        </is>
      </c>
      <c r="I133" s="11" t="n">
        <v>46900</v>
      </c>
      <c r="J133" s="11" t="inlineStr"/>
    </row>
    <row r="134">
      <c r="A134" s="11" t="n">
        <v>133</v>
      </c>
      <c r="B134" s="12" t="n">
        <v>46036</v>
      </c>
      <c r="C134" s="11" t="inlineStr">
        <is>
          <t>INTF</t>
        </is>
      </c>
      <c r="D134" s="11" t="inlineStr">
        <is>
          <t>202601</t>
        </is>
      </c>
      <c r="E134" s="11" t="inlineStr">
        <is>
          <t>1126451889</t>
        </is>
      </c>
      <c r="F134" s="11" t="inlineStr">
        <is>
          <t>ROSALES MATA NUBIA M</t>
        </is>
      </c>
      <c r="G134" s="11" t="inlineStr"/>
      <c r="H134" s="11" t="inlineStr">
        <is>
          <t>INTERFACE P.O.S.</t>
        </is>
      </c>
      <c r="I134" s="11" t="n">
        <v>51300</v>
      </c>
      <c r="J134" s="11" t="inlineStr"/>
    </row>
    <row r="135">
      <c r="A135" s="11" t="n">
        <v>134</v>
      </c>
      <c r="B135" s="12" t="n">
        <v>46036</v>
      </c>
      <c r="C135" s="11" t="inlineStr">
        <is>
          <t>INTF</t>
        </is>
      </c>
      <c r="D135" s="11" t="inlineStr">
        <is>
          <t>202601</t>
        </is>
      </c>
      <c r="E135" s="11" t="inlineStr">
        <is>
          <t>18146604</t>
        </is>
      </c>
      <c r="F135" s="11" t="inlineStr">
        <is>
          <t>NOREÑA CISNEROS EDWI</t>
        </is>
      </c>
      <c r="G135" s="11" t="inlineStr"/>
      <c r="H135" s="11" t="inlineStr">
        <is>
          <t>INTERFACE P.O.S.</t>
        </is>
      </c>
      <c r="I135" s="11" t="n">
        <v>67000</v>
      </c>
      <c r="J135" s="11" t="inlineStr"/>
    </row>
    <row r="136">
      <c r="A136" s="11" t="n">
        <v>135</v>
      </c>
      <c r="B136" s="12" t="n">
        <v>46036</v>
      </c>
      <c r="C136" s="11" t="inlineStr">
        <is>
          <t>INTF</t>
        </is>
      </c>
      <c r="D136" s="11" t="inlineStr">
        <is>
          <t>202601</t>
        </is>
      </c>
      <c r="E136" s="11" t="inlineStr">
        <is>
          <t>69026353</t>
        </is>
      </c>
      <c r="F136" s="11" t="inlineStr">
        <is>
          <t>FAJARDO PEJENDINO ME</t>
        </is>
      </c>
      <c r="G136" s="11" t="inlineStr"/>
      <c r="H136" s="11" t="inlineStr">
        <is>
          <t>INTERFACE P.O.S.</t>
        </is>
      </c>
      <c r="I136" s="11" t="n">
        <v>54600</v>
      </c>
      <c r="J136" s="11" t="inlineStr"/>
    </row>
    <row r="137">
      <c r="A137" s="11" t="n">
        <v>136</v>
      </c>
      <c r="B137" s="12" t="n">
        <v>46036</v>
      </c>
      <c r="C137" s="11" t="inlineStr">
        <is>
          <t>INTF</t>
        </is>
      </c>
      <c r="D137" s="11" t="inlineStr">
        <is>
          <t>202601</t>
        </is>
      </c>
      <c r="E137" s="11" t="inlineStr">
        <is>
          <t>1123323186</t>
        </is>
      </c>
      <c r="F137" s="11" t="inlineStr">
        <is>
          <t>PAI GUANGA OMAR FRAN</t>
        </is>
      </c>
      <c r="G137" s="11" t="inlineStr"/>
      <c r="H137" s="11" t="inlineStr">
        <is>
          <t>INTERFACE P.O.S.</t>
        </is>
      </c>
      <c r="I137" s="11" t="n">
        <v>20000</v>
      </c>
      <c r="J137" s="11" t="inlineStr"/>
    </row>
    <row r="138">
      <c r="A138" s="11" t="n">
        <v>137</v>
      </c>
      <c r="B138" s="12" t="n">
        <v>46036</v>
      </c>
      <c r="C138" s="11" t="inlineStr">
        <is>
          <t>INTF</t>
        </is>
      </c>
      <c r="D138" s="11" t="inlineStr">
        <is>
          <t>202601</t>
        </is>
      </c>
      <c r="E138" s="11" t="inlineStr">
        <is>
          <t>18123474</t>
        </is>
      </c>
      <c r="F138" s="11" t="inlineStr">
        <is>
          <t>LOPEZ CALVACHE F</t>
        </is>
      </c>
      <c r="G138" s="11" t="inlineStr"/>
      <c r="H138" s="11" t="inlineStr">
        <is>
          <t>INTERFACE P.O.S.</t>
        </is>
      </c>
      <c r="I138" s="11" t="n">
        <v>104000</v>
      </c>
      <c r="J138" s="11" t="inlineStr"/>
    </row>
    <row r="139">
      <c r="A139" s="11" t="n">
        <v>138</v>
      </c>
      <c r="B139" s="12" t="n">
        <v>46037</v>
      </c>
      <c r="C139" s="11" t="inlineStr">
        <is>
          <t>INTF</t>
        </is>
      </c>
      <c r="D139" s="11" t="inlineStr">
        <is>
          <t>202601</t>
        </is>
      </c>
      <c r="E139" s="11" t="inlineStr">
        <is>
          <t>71114184</t>
        </is>
      </c>
      <c r="F139" s="11" t="inlineStr">
        <is>
          <t>HOYOS GIRALDO WELKER</t>
        </is>
      </c>
      <c r="G139" s="11" t="inlineStr"/>
      <c r="H139" s="11" t="inlineStr">
        <is>
          <t>INTERFACE P.O.S.</t>
        </is>
      </c>
      <c r="I139" s="11" t="n">
        <v>139800</v>
      </c>
      <c r="J139" s="11" t="inlineStr"/>
    </row>
    <row r="140">
      <c r="A140" s="11" t="n">
        <v>139</v>
      </c>
      <c r="B140" s="12" t="n">
        <v>46037</v>
      </c>
      <c r="C140" s="11" t="inlineStr">
        <is>
          <t>INTF</t>
        </is>
      </c>
      <c r="D140" s="11" t="inlineStr">
        <is>
          <t>202601</t>
        </is>
      </c>
      <c r="E140" s="11" t="inlineStr">
        <is>
          <t>98431092</t>
        </is>
      </c>
      <c r="F140" s="11" t="inlineStr">
        <is>
          <t>GALLON QUINONES MARI</t>
        </is>
      </c>
      <c r="G140" s="11" t="inlineStr"/>
      <c r="H140" s="11" t="inlineStr">
        <is>
          <t>INTERFACE P.O.S.</t>
        </is>
      </c>
      <c r="I140" s="11" t="n">
        <v>102500</v>
      </c>
      <c r="J140" s="11" t="inlineStr"/>
    </row>
    <row r="141">
      <c r="A141" s="11" t="n">
        <v>140</v>
      </c>
      <c r="B141" s="12" t="n">
        <v>46037</v>
      </c>
      <c r="C141" s="11" t="inlineStr">
        <is>
          <t>INTF</t>
        </is>
      </c>
      <c r="D141" s="11" t="inlineStr">
        <is>
          <t>202601</t>
        </is>
      </c>
      <c r="E141" s="11" t="inlineStr">
        <is>
          <t>1123322878</t>
        </is>
      </c>
      <c r="F141" s="11" t="inlineStr">
        <is>
          <t>CABRERA GUTIERREZ JE</t>
        </is>
      </c>
      <c r="G141" s="11" t="inlineStr"/>
      <c r="H141" s="11" t="inlineStr">
        <is>
          <t>INTERFACE P.O.S.</t>
        </is>
      </c>
      <c r="I141" s="11" t="n">
        <v>109600</v>
      </c>
      <c r="J141" s="11" t="inlineStr"/>
    </row>
    <row r="142">
      <c r="A142" s="11" t="n">
        <v>141</v>
      </c>
      <c r="B142" s="12" t="n">
        <v>46037</v>
      </c>
      <c r="C142" s="11" t="inlineStr">
        <is>
          <t>INTF</t>
        </is>
      </c>
      <c r="D142" s="11" t="inlineStr">
        <is>
          <t>202601</t>
        </is>
      </c>
      <c r="E142" s="11" t="inlineStr">
        <is>
          <t>98380675</t>
        </is>
      </c>
      <c r="F142" s="11" t="inlineStr">
        <is>
          <t>CEBALLOS BLANDON LYN</t>
        </is>
      </c>
      <c r="G142" s="11" t="inlineStr"/>
      <c r="H142" s="11" t="inlineStr">
        <is>
          <t>INTERFACE P.O.S.</t>
        </is>
      </c>
      <c r="I142" s="11" t="n">
        <v>26000</v>
      </c>
      <c r="J142" s="11" t="inlineStr"/>
    </row>
    <row r="143">
      <c r="A143" s="11" t="n">
        <v>142</v>
      </c>
      <c r="B143" s="12" t="n">
        <v>46037</v>
      </c>
      <c r="C143" s="11" t="inlineStr">
        <is>
          <t>INTF</t>
        </is>
      </c>
      <c r="D143" s="11" t="inlineStr">
        <is>
          <t>202601</t>
        </is>
      </c>
      <c r="E143" s="11" t="inlineStr">
        <is>
          <t>97472083</t>
        </is>
      </c>
      <c r="F143" s="11" t="inlineStr">
        <is>
          <t>LOPEZ BENAVIDES SIXT</t>
        </is>
      </c>
      <c r="G143" s="11" t="inlineStr"/>
      <c r="H143" s="11" t="inlineStr">
        <is>
          <t>INTERFACE P.O.S.</t>
        </is>
      </c>
      <c r="I143" s="11" t="n">
        <v>141400</v>
      </c>
      <c r="J143" s="11" t="inlineStr"/>
    </row>
    <row r="144">
      <c r="A144" s="11" t="n">
        <v>143</v>
      </c>
      <c r="B144" s="12" t="n">
        <v>46037</v>
      </c>
      <c r="C144" s="11" t="inlineStr">
        <is>
          <t>INTF</t>
        </is>
      </c>
      <c r="D144" s="11" t="inlineStr">
        <is>
          <t>202601</t>
        </is>
      </c>
      <c r="E144" s="11" t="inlineStr">
        <is>
          <t>1123326436</t>
        </is>
      </c>
      <c r="F144" s="11" t="inlineStr">
        <is>
          <t>NAVARRO LAVERDE LISE</t>
        </is>
      </c>
      <c r="G144" s="11" t="inlineStr"/>
      <c r="H144" s="11" t="inlineStr">
        <is>
          <t>INTERFACE P.O.S.</t>
        </is>
      </c>
      <c r="I144" s="11" t="n">
        <v>52100</v>
      </c>
      <c r="J144" s="11" t="inlineStr"/>
    </row>
    <row r="145">
      <c r="A145" s="11" t="n">
        <v>144</v>
      </c>
      <c r="B145" s="12" t="n">
        <v>46038</v>
      </c>
      <c r="C145" s="11" t="inlineStr">
        <is>
          <t>INTF</t>
        </is>
      </c>
      <c r="D145" s="11" t="inlineStr">
        <is>
          <t>202601</t>
        </is>
      </c>
      <c r="E145" s="11" t="inlineStr">
        <is>
          <t>1126451889</t>
        </is>
      </c>
      <c r="F145" s="11" t="inlineStr">
        <is>
          <t>ROSALES MATA NUBIA M</t>
        </is>
      </c>
      <c r="G145" s="11" t="inlineStr"/>
      <c r="H145" s="11" t="inlineStr">
        <is>
          <t>INTERFACE P.O.S.</t>
        </is>
      </c>
      <c r="I145" s="11" t="n">
        <v>37700</v>
      </c>
      <c r="J145" s="11" t="inlineStr"/>
    </row>
    <row r="146">
      <c r="A146" s="11" t="n">
        <v>145</v>
      </c>
      <c r="B146" s="12" t="n">
        <v>46038</v>
      </c>
      <c r="C146" s="11" t="inlineStr">
        <is>
          <t>INTF</t>
        </is>
      </c>
      <c r="D146" s="11" t="inlineStr">
        <is>
          <t>202601</t>
        </is>
      </c>
      <c r="E146" s="11" t="inlineStr">
        <is>
          <t>10486943</t>
        </is>
      </c>
      <c r="F146" s="11" t="inlineStr">
        <is>
          <t>GUEVARA BUSTOS LUIS</t>
        </is>
      </c>
      <c r="G146" s="11" t="inlineStr"/>
      <c r="H146" s="11" t="inlineStr">
        <is>
          <t>INTERFACE P.O.S.</t>
        </is>
      </c>
      <c r="I146" s="11" t="n">
        <v>52100</v>
      </c>
      <c r="J146" s="11" t="inlineStr"/>
    </row>
    <row r="147">
      <c r="A147" s="11" t="n">
        <v>146</v>
      </c>
      <c r="B147" s="12" t="n">
        <v>46038</v>
      </c>
      <c r="C147" s="11" t="inlineStr">
        <is>
          <t>INTF</t>
        </is>
      </c>
      <c r="D147" s="11" t="inlineStr">
        <is>
          <t>202601</t>
        </is>
      </c>
      <c r="E147" s="11" t="inlineStr">
        <is>
          <t>49767253</t>
        </is>
      </c>
      <c r="F147" s="11" t="inlineStr">
        <is>
          <t>ROMERO SOLANO FALCON</t>
        </is>
      </c>
      <c r="G147" s="11" t="inlineStr"/>
      <c r="H147" s="11" t="inlineStr">
        <is>
          <t>INTERFACE P.O.S.</t>
        </is>
      </c>
      <c r="I147" s="11" t="n">
        <v>99200</v>
      </c>
      <c r="J147" s="11" t="inlineStr"/>
    </row>
    <row r="148">
      <c r="A148" s="11" t="n">
        <v>147</v>
      </c>
      <c r="B148" s="12" t="n">
        <v>46038</v>
      </c>
      <c r="C148" s="11" t="inlineStr">
        <is>
          <t>INTF</t>
        </is>
      </c>
      <c r="D148" s="11" t="inlineStr">
        <is>
          <t>202601</t>
        </is>
      </c>
      <c r="E148" s="11" t="inlineStr">
        <is>
          <t>1006848777</t>
        </is>
      </c>
      <c r="F148" s="11" t="inlineStr">
        <is>
          <t>RUIZ TARAPUEZ LUIS D</t>
        </is>
      </c>
      <c r="G148" s="11" t="inlineStr"/>
      <c r="H148" s="11" t="inlineStr">
        <is>
          <t>INTERFACE P.O.S.</t>
        </is>
      </c>
      <c r="I148" s="11" t="n">
        <v>119200</v>
      </c>
      <c r="J148" s="11" t="inlineStr"/>
    </row>
    <row r="149">
      <c r="A149" s="11" t="n">
        <v>148</v>
      </c>
      <c r="B149" s="12" t="n">
        <v>46038</v>
      </c>
      <c r="C149" s="11" t="inlineStr">
        <is>
          <t>INTF</t>
        </is>
      </c>
      <c r="D149" s="11" t="inlineStr">
        <is>
          <t>202601</t>
        </is>
      </c>
      <c r="E149" s="11" t="inlineStr">
        <is>
          <t>1007651710</t>
        </is>
      </c>
      <c r="F149" s="11" t="inlineStr">
        <is>
          <t>ROMERO MORENO LUIS F</t>
        </is>
      </c>
      <c r="G149" s="11" t="inlineStr"/>
      <c r="H149" s="11" t="inlineStr">
        <is>
          <t>INTERFACE P.O.S.</t>
        </is>
      </c>
      <c r="I149" s="11" t="n">
        <v>22400</v>
      </c>
      <c r="J149" s="11" t="inlineStr"/>
    </row>
    <row r="150">
      <c r="A150" s="11" t="n">
        <v>149</v>
      </c>
      <c r="B150" s="12" t="n">
        <v>46038</v>
      </c>
      <c r="C150" s="11" t="inlineStr">
        <is>
          <t>INTF</t>
        </is>
      </c>
      <c r="D150" s="11" t="inlineStr">
        <is>
          <t>202601</t>
        </is>
      </c>
      <c r="E150" s="11" t="inlineStr">
        <is>
          <t>14135203</t>
        </is>
      </c>
      <c r="F150" s="11" t="inlineStr">
        <is>
          <t>ROMERO CARRILLO ADAL</t>
        </is>
      </c>
      <c r="G150" s="11" t="inlineStr"/>
      <c r="H150" s="11" t="inlineStr">
        <is>
          <t>INTERFACE P.O.S.</t>
        </is>
      </c>
      <c r="I150" s="11" t="n">
        <v>101600</v>
      </c>
      <c r="J150" s="11" t="inlineStr"/>
    </row>
    <row r="151">
      <c r="A151" s="11" t="n">
        <v>150</v>
      </c>
      <c r="B151" s="12" t="n">
        <v>46039</v>
      </c>
      <c r="C151" s="11" t="inlineStr">
        <is>
          <t>INTF</t>
        </is>
      </c>
      <c r="D151" s="11" t="inlineStr">
        <is>
          <t>202601</t>
        </is>
      </c>
      <c r="E151" s="11" t="inlineStr">
        <is>
          <t>18145975</t>
        </is>
      </c>
      <c r="F151" s="11" t="inlineStr">
        <is>
          <t>BUELVAS DIAZ JOSE MI</t>
        </is>
      </c>
      <c r="G151" s="11" t="inlineStr"/>
      <c r="H151" s="11" t="inlineStr">
        <is>
          <t>INTERFACE P.O.S.</t>
        </is>
      </c>
      <c r="I151" s="11" t="n">
        <v>150800</v>
      </c>
      <c r="J151" s="11" t="inlineStr"/>
    </row>
    <row r="152">
      <c r="A152" s="11" t="n">
        <v>151</v>
      </c>
      <c r="B152" s="12" t="n">
        <v>46039</v>
      </c>
      <c r="C152" s="11" t="inlineStr">
        <is>
          <t>INTF</t>
        </is>
      </c>
      <c r="D152" s="11" t="inlineStr">
        <is>
          <t>202601</t>
        </is>
      </c>
      <c r="E152" s="11" t="inlineStr">
        <is>
          <t>41106227</t>
        </is>
      </c>
      <c r="F152" s="11" t="inlineStr">
        <is>
          <t>PALADINES BOLAÑOS ST</t>
        </is>
      </c>
      <c r="G152" s="11" t="inlineStr"/>
      <c r="H152" s="11" t="inlineStr">
        <is>
          <t>INTERFACE P.O.S.</t>
        </is>
      </c>
      <c r="I152" s="11" t="n">
        <v>40000</v>
      </c>
      <c r="J152" s="11" t="inlineStr"/>
    </row>
    <row r="153">
      <c r="A153" s="11" t="n">
        <v>152</v>
      </c>
      <c r="B153" s="12" t="n">
        <v>46039</v>
      </c>
      <c r="C153" s="11" t="inlineStr">
        <is>
          <t>INTF</t>
        </is>
      </c>
      <c r="D153" s="11" t="inlineStr">
        <is>
          <t>202601</t>
        </is>
      </c>
      <c r="E153" s="11" t="inlineStr">
        <is>
          <t>39763553</t>
        </is>
      </c>
      <c r="F153" s="11" t="inlineStr">
        <is>
          <t>NOCOVE MUÑOZ LINA MA</t>
        </is>
      </c>
      <c r="G153" s="11" t="inlineStr"/>
      <c r="H153" s="11" t="inlineStr">
        <is>
          <t>INTERFACE P.O.S.</t>
        </is>
      </c>
      <c r="I153" s="11" t="n">
        <v>42900</v>
      </c>
      <c r="J153" s="11" t="inlineStr"/>
    </row>
    <row r="154">
      <c r="A154" s="11" t="n">
        <v>153</v>
      </c>
      <c r="B154" s="12" t="n">
        <v>46039</v>
      </c>
      <c r="C154" s="11" t="inlineStr">
        <is>
          <t>INTF</t>
        </is>
      </c>
      <c r="D154" s="11" t="inlineStr">
        <is>
          <t>202601</t>
        </is>
      </c>
      <c r="E154" s="11" t="inlineStr">
        <is>
          <t>7717857</t>
        </is>
      </c>
      <c r="F154" s="11" t="inlineStr">
        <is>
          <t>ROJAS GUTIERREZ JUAN</t>
        </is>
      </c>
      <c r="G154" s="11" t="inlineStr"/>
      <c r="H154" s="11" t="inlineStr">
        <is>
          <t>INTERFACE P.O.S.</t>
        </is>
      </c>
      <c r="I154" s="11" t="n">
        <v>26500</v>
      </c>
      <c r="J154" s="11" t="inlineStr"/>
    </row>
    <row r="155">
      <c r="A155" s="11" t="n">
        <v>154</v>
      </c>
      <c r="B155" s="12" t="n">
        <v>46039</v>
      </c>
      <c r="C155" s="11" t="inlineStr">
        <is>
          <t>INTF</t>
        </is>
      </c>
      <c r="D155" s="11" t="inlineStr">
        <is>
          <t>202601</t>
        </is>
      </c>
      <c r="E155" s="11" t="inlineStr">
        <is>
          <t>1085325055</t>
        </is>
      </c>
      <c r="F155" s="11" t="inlineStr">
        <is>
          <t>VARGAS CORDOBA DIEGO</t>
        </is>
      </c>
      <c r="G155" s="11" t="inlineStr"/>
      <c r="H155" s="11" t="inlineStr">
        <is>
          <t>INTERFACE P.O.S.</t>
        </is>
      </c>
      <c r="I155" s="11" t="n">
        <v>33000</v>
      </c>
      <c r="J155" s="11" t="inlineStr"/>
    </row>
    <row r="156">
      <c r="A156" s="11" t="n">
        <v>155</v>
      </c>
      <c r="B156" s="12" t="n">
        <v>46040</v>
      </c>
      <c r="C156" s="11" t="inlineStr">
        <is>
          <t>INTF</t>
        </is>
      </c>
      <c r="D156" s="11" t="inlineStr">
        <is>
          <t>202601</t>
        </is>
      </c>
      <c r="E156" s="11" t="inlineStr">
        <is>
          <t>1010191725</t>
        </is>
      </c>
      <c r="F156" s="11" t="inlineStr">
        <is>
          <t>ROSERO ACOSTA JAIBER</t>
        </is>
      </c>
      <c r="G156" s="11" t="inlineStr"/>
      <c r="H156" s="11" t="inlineStr">
        <is>
          <t>INTERFACE P.O.S.</t>
        </is>
      </c>
      <c r="I156" s="11" t="n">
        <v>204800</v>
      </c>
      <c r="J156" s="11" t="inlineStr"/>
    </row>
    <row r="157">
      <c r="A157" s="11" t="n">
        <v>156</v>
      </c>
      <c r="B157" s="12" t="n">
        <v>46040</v>
      </c>
      <c r="C157" s="11" t="inlineStr">
        <is>
          <t>INTF</t>
        </is>
      </c>
      <c r="D157" s="11" t="inlineStr">
        <is>
          <t>202601</t>
        </is>
      </c>
      <c r="E157" s="11" t="inlineStr">
        <is>
          <t>16072719</t>
        </is>
      </c>
      <c r="F157" s="11" t="inlineStr">
        <is>
          <t>FLOREZ LONDOÑO YESID</t>
        </is>
      </c>
      <c r="G157" s="11" t="inlineStr"/>
      <c r="H157" s="11" t="inlineStr">
        <is>
          <t>INTERFACE P.O.S.</t>
        </is>
      </c>
      <c r="I157" s="11" t="n">
        <v>25000</v>
      </c>
      <c r="J157" s="11" t="inlineStr"/>
    </row>
    <row r="158">
      <c r="A158" s="11" t="n">
        <v>157</v>
      </c>
      <c r="B158" s="12" t="n">
        <v>46040</v>
      </c>
      <c r="C158" s="11" t="inlineStr">
        <is>
          <t>INTF</t>
        </is>
      </c>
      <c r="D158" s="11" t="inlineStr">
        <is>
          <t>202601</t>
        </is>
      </c>
      <c r="E158" s="11" t="inlineStr">
        <is>
          <t>79570442</t>
        </is>
      </c>
      <c r="F158" s="11" t="inlineStr">
        <is>
          <t>GONZALEZ MORENO ADNE</t>
        </is>
      </c>
      <c r="G158" s="11" t="inlineStr"/>
      <c r="H158" s="11" t="inlineStr">
        <is>
          <t>INTERFACE P.O.S.</t>
        </is>
      </c>
      <c r="I158" s="11" t="n">
        <v>162800</v>
      </c>
      <c r="J158" s="11" t="inlineStr"/>
    </row>
    <row r="159">
      <c r="A159" s="11" t="n">
        <v>158</v>
      </c>
      <c r="B159" s="12" t="n">
        <v>46040</v>
      </c>
      <c r="C159" s="11" t="inlineStr">
        <is>
          <t>INTF</t>
        </is>
      </c>
      <c r="D159" s="11" t="inlineStr">
        <is>
          <t>202601</t>
        </is>
      </c>
      <c r="E159" s="11" t="inlineStr">
        <is>
          <t>18143004</t>
        </is>
      </c>
      <c r="F159" s="11" t="inlineStr">
        <is>
          <t>MESA ANGULO FRANCISC</t>
        </is>
      </c>
      <c r="G159" s="11" t="inlineStr"/>
      <c r="H159" s="11" t="inlineStr">
        <is>
          <t>INTERFACE P.O.S.</t>
        </is>
      </c>
      <c r="I159" s="11" t="n">
        <v>507000</v>
      </c>
      <c r="J159" s="11" t="inlineStr"/>
    </row>
    <row r="160">
      <c r="A160" s="11" t="n">
        <v>159</v>
      </c>
      <c r="B160" s="12" t="n">
        <v>46040</v>
      </c>
      <c r="C160" s="11" t="inlineStr">
        <is>
          <t>INTF</t>
        </is>
      </c>
      <c r="D160" s="11" t="inlineStr">
        <is>
          <t>202601</t>
        </is>
      </c>
      <c r="E160" s="11" t="inlineStr">
        <is>
          <t>1075538714</t>
        </is>
      </c>
      <c r="F160" s="11" t="inlineStr">
        <is>
          <t>SAENZ CABRERA LUIS F</t>
        </is>
      </c>
      <c r="G160" s="11" t="inlineStr"/>
      <c r="H160" s="11" t="inlineStr">
        <is>
          <t>INTERFACE P.O.S.</t>
        </is>
      </c>
      <c r="I160" s="11" t="n">
        <v>244000</v>
      </c>
      <c r="J160" s="11" t="inlineStr"/>
    </row>
    <row r="161">
      <c r="A161" s="11" t="n">
        <v>160</v>
      </c>
      <c r="B161" s="12" t="n">
        <v>46040</v>
      </c>
      <c r="C161" s="11" t="inlineStr">
        <is>
          <t>INTF</t>
        </is>
      </c>
      <c r="D161" s="11" t="inlineStr">
        <is>
          <t>202601</t>
        </is>
      </c>
      <c r="E161" s="11" t="inlineStr">
        <is>
          <t>1123328180</t>
        </is>
      </c>
      <c r="F161" s="11" t="inlineStr">
        <is>
          <t>MOLINA CEBALLOS TITO</t>
        </is>
      </c>
      <c r="G161" s="11" t="inlineStr"/>
      <c r="H161" s="11" t="inlineStr">
        <is>
          <t>INTERFACE P.O.S.</t>
        </is>
      </c>
      <c r="I161" s="11" t="n">
        <v>56608</v>
      </c>
      <c r="J161" s="11" t="inlineStr"/>
    </row>
    <row r="162">
      <c r="A162" s="11" t="n">
        <v>161</v>
      </c>
      <c r="B162" s="12" t="n">
        <v>46040</v>
      </c>
      <c r="C162" s="11" t="inlineStr">
        <is>
          <t>INTF</t>
        </is>
      </c>
      <c r="D162" s="11" t="inlineStr">
        <is>
          <t>202601</t>
        </is>
      </c>
      <c r="E162" s="11" t="inlineStr">
        <is>
          <t>18144676</t>
        </is>
      </c>
      <c r="F162" s="11" t="inlineStr">
        <is>
          <t>LASSO MELO JOSE DARI</t>
        </is>
      </c>
      <c r="G162" s="11" t="inlineStr"/>
      <c r="H162" s="11" t="inlineStr">
        <is>
          <t>INTERFACE P.O.S.</t>
        </is>
      </c>
      <c r="I162" s="11" t="n">
        <v>40000</v>
      </c>
      <c r="J162" s="11" t="inlineStr"/>
    </row>
    <row r="163">
      <c r="A163" s="11" t="n">
        <v>162</v>
      </c>
      <c r="B163" s="12" t="n">
        <v>46040</v>
      </c>
      <c r="C163" s="11" t="inlineStr">
        <is>
          <t>INTF</t>
        </is>
      </c>
      <c r="D163" s="11" t="inlineStr">
        <is>
          <t>202601</t>
        </is>
      </c>
      <c r="E163" s="11" t="inlineStr">
        <is>
          <t>1006849899</t>
        </is>
      </c>
      <c r="F163" s="11" t="inlineStr">
        <is>
          <t>MELO VILLARREAL LISS</t>
        </is>
      </c>
      <c r="G163" s="11" t="inlineStr"/>
      <c r="H163" s="11" t="inlineStr">
        <is>
          <t>INTERFACE P.O.S.</t>
        </is>
      </c>
      <c r="I163" s="11" t="n">
        <v>48700</v>
      </c>
      <c r="J163" s="11" t="inlineStr"/>
    </row>
    <row r="164">
      <c r="A164" s="11" t="n">
        <v>163</v>
      </c>
      <c r="B164" s="12" t="n">
        <v>46040</v>
      </c>
      <c r="C164" s="11" t="inlineStr">
        <is>
          <t>INTF</t>
        </is>
      </c>
      <c r="D164" s="11" t="inlineStr">
        <is>
          <t>202601</t>
        </is>
      </c>
      <c r="E164" s="11" t="inlineStr">
        <is>
          <t>1123333021</t>
        </is>
      </c>
      <c r="F164" s="11" t="inlineStr">
        <is>
          <t>PALMA VALLEJO DUVAN</t>
        </is>
      </c>
      <c r="G164" s="11" t="inlineStr"/>
      <c r="H164" s="11" t="inlineStr">
        <is>
          <t>INTERFACE P.O.S.</t>
        </is>
      </c>
      <c r="I164" s="11" t="n">
        <v>75000</v>
      </c>
      <c r="J164" s="11" t="inlineStr"/>
    </row>
    <row r="165">
      <c r="A165" s="11" t="n">
        <v>164</v>
      </c>
      <c r="B165" s="12" t="n">
        <v>46041</v>
      </c>
      <c r="C165" s="11" t="inlineStr">
        <is>
          <t>INTF</t>
        </is>
      </c>
      <c r="D165" s="11" t="inlineStr">
        <is>
          <t>202601</t>
        </is>
      </c>
      <c r="E165" s="11" t="inlineStr">
        <is>
          <t>81740699</t>
        </is>
      </c>
      <c r="F165" s="11" t="inlineStr">
        <is>
          <t>MARTIN CARDENAS CAMP</t>
        </is>
      </c>
      <c r="G165" s="11" t="inlineStr"/>
      <c r="H165" s="11" t="inlineStr">
        <is>
          <t>INTERFACE P.O.S.</t>
        </is>
      </c>
      <c r="I165" s="11" t="n">
        <v>106000</v>
      </c>
      <c r="J165" s="11" t="inlineStr"/>
    </row>
    <row r="166">
      <c r="A166" s="11" t="n">
        <v>165</v>
      </c>
      <c r="B166" s="12" t="n">
        <v>46041</v>
      </c>
      <c r="C166" s="11" t="inlineStr">
        <is>
          <t>INTF</t>
        </is>
      </c>
      <c r="D166" s="11" t="inlineStr">
        <is>
          <t>202601</t>
        </is>
      </c>
      <c r="E166" s="11" t="inlineStr">
        <is>
          <t>1088735287</t>
        </is>
      </c>
      <c r="F166" s="11" t="inlineStr">
        <is>
          <t>CAJIGAS GORDILLO KAR</t>
        </is>
      </c>
      <c r="G166" s="11" t="inlineStr"/>
      <c r="H166" s="11" t="inlineStr">
        <is>
          <t>INTERFACE P.O.S.</t>
        </is>
      </c>
      <c r="I166" s="11" t="n">
        <v>39400</v>
      </c>
      <c r="J166" s="11" t="inlineStr"/>
    </row>
    <row r="167">
      <c r="A167" s="11" t="n">
        <v>166</v>
      </c>
      <c r="B167" s="12" t="n">
        <v>46041</v>
      </c>
      <c r="C167" s="11" t="inlineStr">
        <is>
          <t>INTF</t>
        </is>
      </c>
      <c r="D167" s="11" t="inlineStr">
        <is>
          <t>202601</t>
        </is>
      </c>
      <c r="E167" s="11" t="inlineStr">
        <is>
          <t>1123324811</t>
        </is>
      </c>
      <c r="F167" s="11" t="inlineStr">
        <is>
          <t>MUESES SABI DIEGO AL</t>
        </is>
      </c>
      <c r="G167" s="11" t="inlineStr"/>
      <c r="H167" s="11" t="inlineStr">
        <is>
          <t>INTERFACE P.O.S.</t>
        </is>
      </c>
      <c r="I167" s="11" t="n">
        <v>84700</v>
      </c>
      <c r="J167" s="11" t="inlineStr"/>
    </row>
    <row r="168">
      <c r="A168" s="11" t="n">
        <v>167</v>
      </c>
      <c r="B168" s="12" t="n">
        <v>46041</v>
      </c>
      <c r="C168" s="11" t="inlineStr">
        <is>
          <t>INTF</t>
        </is>
      </c>
      <c r="D168" s="11" t="inlineStr">
        <is>
          <t>202601</t>
        </is>
      </c>
      <c r="E168" s="11" t="inlineStr">
        <is>
          <t>1123322878</t>
        </is>
      </c>
      <c r="F168" s="11" t="inlineStr">
        <is>
          <t>CABRERA GUTIERREZ JE</t>
        </is>
      </c>
      <c r="G168" s="11" t="inlineStr"/>
      <c r="H168" s="11" t="inlineStr">
        <is>
          <t>INTERFACE P.O.S.</t>
        </is>
      </c>
      <c r="I168" s="11" t="n">
        <v>47400</v>
      </c>
      <c r="J168" s="11" t="inlineStr"/>
    </row>
    <row r="169">
      <c r="A169" s="11" t="n">
        <v>168</v>
      </c>
      <c r="B169" s="12" t="n">
        <v>46041</v>
      </c>
      <c r="C169" s="11" t="inlineStr">
        <is>
          <t>INTF</t>
        </is>
      </c>
      <c r="D169" s="11" t="inlineStr">
        <is>
          <t>202601</t>
        </is>
      </c>
      <c r="E169" s="11" t="inlineStr">
        <is>
          <t>1123331945</t>
        </is>
      </c>
      <c r="F169" s="11" t="inlineStr">
        <is>
          <t>MONTENEGRO GOMEZ SAN</t>
        </is>
      </c>
      <c r="G169" s="11" t="inlineStr"/>
      <c r="H169" s="11" t="inlineStr">
        <is>
          <t>INTERFACE P.O.S.</t>
        </is>
      </c>
      <c r="I169" s="11" t="n">
        <v>26800</v>
      </c>
      <c r="J169" s="11" t="inlineStr"/>
    </row>
    <row r="170">
      <c r="A170" s="11" t="n">
        <v>169</v>
      </c>
      <c r="B170" s="12" t="n">
        <v>46041</v>
      </c>
      <c r="C170" s="11" t="inlineStr">
        <is>
          <t>INTF</t>
        </is>
      </c>
      <c r="D170" s="11" t="inlineStr">
        <is>
          <t>202601</t>
        </is>
      </c>
      <c r="E170" s="11" t="inlineStr">
        <is>
          <t>1075278733</t>
        </is>
      </c>
      <c r="F170" s="11" t="inlineStr">
        <is>
          <t>FLOREZ REYES DAYAN L</t>
        </is>
      </c>
      <c r="G170" s="11" t="inlineStr"/>
      <c r="H170" s="11" t="inlineStr">
        <is>
          <t>INTERFACE P.O.S.</t>
        </is>
      </c>
      <c r="I170" s="11" t="n">
        <v>101800</v>
      </c>
      <c r="J170" s="11" t="inlineStr"/>
    </row>
    <row r="171">
      <c r="A171" s="11" t="n">
        <v>170</v>
      </c>
      <c r="B171" s="12" t="n">
        <v>46041</v>
      </c>
      <c r="C171" s="11" t="inlineStr">
        <is>
          <t>INTF</t>
        </is>
      </c>
      <c r="D171" s="11" t="inlineStr">
        <is>
          <t>202601</t>
        </is>
      </c>
      <c r="E171" s="11" t="inlineStr">
        <is>
          <t>40078522</t>
        </is>
      </c>
      <c r="F171" s="11" t="inlineStr">
        <is>
          <t>CERQUERA MONTENEGRO</t>
        </is>
      </c>
      <c r="G171" s="11" t="inlineStr"/>
      <c r="H171" s="11" t="inlineStr">
        <is>
          <t>INTERFACE P.O.S.</t>
        </is>
      </c>
      <c r="I171" s="11" t="n">
        <v>21100</v>
      </c>
      <c r="J171" s="11" t="inlineStr"/>
    </row>
    <row r="172">
      <c r="A172" s="11" t="n">
        <v>171</v>
      </c>
      <c r="B172" s="12" t="n">
        <v>46041</v>
      </c>
      <c r="C172" s="11" t="inlineStr">
        <is>
          <t>INTF</t>
        </is>
      </c>
      <c r="D172" s="11" t="inlineStr">
        <is>
          <t>202601</t>
        </is>
      </c>
      <c r="E172" s="11" t="inlineStr">
        <is>
          <t>1075538714</t>
        </is>
      </c>
      <c r="F172" s="11" t="inlineStr">
        <is>
          <t>SAENZ CABRERA LUIS F</t>
        </is>
      </c>
      <c r="G172" s="11" t="inlineStr"/>
      <c r="H172" s="11" t="inlineStr">
        <is>
          <t>INTERFACE P.O.S.</t>
        </is>
      </c>
      <c r="I172" s="11" t="n">
        <v>216000</v>
      </c>
      <c r="J172" s="11" t="inlineStr"/>
    </row>
    <row r="173">
      <c r="A173" s="11" t="n">
        <v>172</v>
      </c>
      <c r="B173" s="12" t="n">
        <v>46041</v>
      </c>
      <c r="C173" s="11" t="inlineStr">
        <is>
          <t>INTF</t>
        </is>
      </c>
      <c r="D173" s="11" t="inlineStr">
        <is>
          <t>202601</t>
        </is>
      </c>
      <c r="E173" s="11" t="inlineStr">
        <is>
          <t>97472083</t>
        </is>
      </c>
      <c r="F173" s="11" t="inlineStr">
        <is>
          <t>LOPEZ BENAVIDES SIXT</t>
        </is>
      </c>
      <c r="G173" s="11" t="inlineStr"/>
      <c r="H173" s="11" t="inlineStr">
        <is>
          <t>INTERFACE P.O.S.</t>
        </is>
      </c>
      <c r="I173" s="11" t="n">
        <v>149800</v>
      </c>
      <c r="J173" s="11" t="inlineStr"/>
    </row>
    <row r="174">
      <c r="A174" s="11" t="n">
        <v>173</v>
      </c>
      <c r="B174" s="12" t="n">
        <v>46041</v>
      </c>
      <c r="C174" s="11" t="inlineStr">
        <is>
          <t>INTF</t>
        </is>
      </c>
      <c r="D174" s="11" t="inlineStr">
        <is>
          <t>202601</t>
        </is>
      </c>
      <c r="E174" s="11" t="inlineStr">
        <is>
          <t>1085325055</t>
        </is>
      </c>
      <c r="F174" s="11" t="inlineStr">
        <is>
          <t>VARGAS CORDOBA DIEGO</t>
        </is>
      </c>
      <c r="G174" s="11" t="inlineStr"/>
      <c r="H174" s="11" t="inlineStr">
        <is>
          <t>INTERFACE P.O.S.</t>
        </is>
      </c>
      <c r="I174" s="11" t="n">
        <v>49700</v>
      </c>
      <c r="J174" s="11" t="inlineStr"/>
    </row>
    <row r="175">
      <c r="A175" s="11" t="n">
        <v>174</v>
      </c>
      <c r="B175" s="12" t="n">
        <v>46041</v>
      </c>
      <c r="C175" s="11" t="inlineStr">
        <is>
          <t>INTF</t>
        </is>
      </c>
      <c r="D175" s="11" t="inlineStr">
        <is>
          <t>202601</t>
        </is>
      </c>
      <c r="E175" s="11" t="inlineStr">
        <is>
          <t>18186215</t>
        </is>
      </c>
      <c r="F175" s="11" t="inlineStr">
        <is>
          <t>BASTIDAS BETIN JOSE</t>
        </is>
      </c>
      <c r="G175" s="11" t="inlineStr"/>
      <c r="H175" s="11" t="inlineStr">
        <is>
          <t>INTERFACE P.O.S.</t>
        </is>
      </c>
      <c r="I175" s="11" t="n">
        <v>212800</v>
      </c>
      <c r="J175" s="11" t="inlineStr"/>
    </row>
    <row r="176">
      <c r="A176" s="11" t="n">
        <v>175</v>
      </c>
      <c r="B176" s="12" t="n">
        <v>46041</v>
      </c>
      <c r="C176" s="11" t="inlineStr">
        <is>
          <t>INTF</t>
        </is>
      </c>
      <c r="D176" s="11" t="inlineStr">
        <is>
          <t>202601</t>
        </is>
      </c>
      <c r="E176" s="11" t="inlineStr">
        <is>
          <t>1123322750</t>
        </is>
      </c>
      <c r="F176" s="11" t="inlineStr">
        <is>
          <t>PERDOMO RODRIGUEZ HE</t>
        </is>
      </c>
      <c r="G176" s="11" t="inlineStr"/>
      <c r="H176" s="11" t="inlineStr">
        <is>
          <t>INTERFACE P.O.S.</t>
        </is>
      </c>
      <c r="I176" s="11" t="n">
        <v>36000</v>
      </c>
      <c r="J176" s="11" t="inlineStr"/>
    </row>
    <row r="177">
      <c r="A177" s="11" t="n">
        <v>176</v>
      </c>
      <c r="B177" s="12" t="n">
        <v>46041</v>
      </c>
      <c r="C177" s="11" t="inlineStr">
        <is>
          <t>INTF</t>
        </is>
      </c>
      <c r="D177" s="11" t="inlineStr">
        <is>
          <t>202601</t>
        </is>
      </c>
      <c r="E177" s="11" t="inlineStr">
        <is>
          <t>901995053</t>
        </is>
      </c>
      <c r="F177" s="11" t="inlineStr">
        <is>
          <t>META INDUSTRIALES SA</t>
        </is>
      </c>
      <c r="G177" s="11" t="inlineStr"/>
      <c r="H177" s="11" t="inlineStr">
        <is>
          <t>INTERFACE P.O.S.</t>
        </is>
      </c>
      <c r="I177" s="11" t="n">
        <v>260900</v>
      </c>
      <c r="J177" s="11" t="inlineStr"/>
    </row>
    <row r="178">
      <c r="A178" s="11" t="n">
        <v>177</v>
      </c>
      <c r="B178" s="12" t="n">
        <v>46042</v>
      </c>
      <c r="C178" s="11" t="inlineStr">
        <is>
          <t>INTF</t>
        </is>
      </c>
      <c r="D178" s="11" t="inlineStr">
        <is>
          <t>202601</t>
        </is>
      </c>
      <c r="E178" s="11" t="inlineStr">
        <is>
          <t>1075243320</t>
        </is>
      </c>
      <c r="F178" s="11" t="inlineStr">
        <is>
          <t>CASAÑAS CAZAÑAS JAME</t>
        </is>
      </c>
      <c r="G178" s="11" t="inlineStr"/>
      <c r="H178" s="11" t="inlineStr">
        <is>
          <t>INTERFACE P.O.S.</t>
        </is>
      </c>
      <c r="I178" s="11" t="n">
        <v>78800</v>
      </c>
      <c r="J178" s="11" t="inlineStr"/>
    </row>
    <row r="179">
      <c r="A179" s="11" t="n">
        <v>178</v>
      </c>
      <c r="B179" s="12" t="n">
        <v>46042</v>
      </c>
      <c r="C179" s="11" t="inlineStr">
        <is>
          <t>INTF</t>
        </is>
      </c>
      <c r="D179" s="11" t="inlineStr">
        <is>
          <t>202601</t>
        </is>
      </c>
      <c r="E179" s="11" t="inlineStr">
        <is>
          <t>1123320007</t>
        </is>
      </c>
      <c r="F179" s="11" t="inlineStr">
        <is>
          <t>CORDOBA BASTIDAS YOL</t>
        </is>
      </c>
      <c r="G179" s="11" t="inlineStr"/>
      <c r="H179" s="11" t="inlineStr">
        <is>
          <t>INTERFACE P.O.S.</t>
        </is>
      </c>
      <c r="I179" s="11" t="n">
        <v>54700</v>
      </c>
      <c r="J179" s="11" t="inlineStr"/>
    </row>
    <row r="180">
      <c r="A180" s="11" t="n">
        <v>179</v>
      </c>
      <c r="B180" s="12" t="n">
        <v>46042</v>
      </c>
      <c r="C180" s="11" t="inlineStr">
        <is>
          <t>INTF</t>
        </is>
      </c>
      <c r="D180" s="11" t="inlineStr">
        <is>
          <t>202601</t>
        </is>
      </c>
      <c r="E180" s="11" t="inlineStr">
        <is>
          <t>1120217995</t>
        </is>
      </c>
      <c r="F180" s="11" t="inlineStr">
        <is>
          <t>CHAMORRO VIVAS ALEJA</t>
        </is>
      </c>
      <c r="G180" s="11" t="inlineStr"/>
      <c r="H180" s="11" t="inlineStr">
        <is>
          <t>INTERFACE P.O.S.</t>
        </is>
      </c>
      <c r="I180" s="11" t="n">
        <v>33800</v>
      </c>
      <c r="J180" s="11" t="inlineStr"/>
    </row>
    <row r="181">
      <c r="A181" s="11" t="n">
        <v>180</v>
      </c>
      <c r="B181" s="12" t="n">
        <v>46042</v>
      </c>
      <c r="C181" s="11" t="inlineStr">
        <is>
          <t>INTF</t>
        </is>
      </c>
      <c r="D181" s="11" t="inlineStr">
        <is>
          <t>202601</t>
        </is>
      </c>
      <c r="E181" s="11" t="inlineStr">
        <is>
          <t>5207773</t>
        </is>
      </c>
      <c r="F181" s="11" t="inlineStr">
        <is>
          <t>PANTOJA DONY NORVE</t>
        </is>
      </c>
      <c r="G181" s="11" t="inlineStr"/>
      <c r="H181" s="11" t="inlineStr">
        <is>
          <t>INTERFACE P.O.S.</t>
        </is>
      </c>
      <c r="I181" s="11" t="n">
        <v>24800</v>
      </c>
      <c r="J181" s="11" t="inlineStr"/>
    </row>
    <row r="182">
      <c r="A182" s="11" t="n">
        <v>181</v>
      </c>
      <c r="B182" s="12" t="n">
        <v>46042</v>
      </c>
      <c r="C182" s="11" t="inlineStr">
        <is>
          <t>RC</t>
        </is>
      </c>
      <c r="D182" s="11" t="inlineStr">
        <is>
          <t>4032</t>
        </is>
      </c>
      <c r="E182" s="11" t="inlineStr">
        <is>
          <t>87060133</t>
        </is>
      </c>
      <c r="F182" s="11" t="inlineStr">
        <is>
          <t>IMUES SANCHEZ OSCAR</t>
        </is>
      </c>
      <c r="G182" s="11" t="inlineStr">
        <is>
          <t>1610</t>
        </is>
      </c>
      <c r="H182" s="11" t="inlineStr">
        <is>
          <t>RC OSCAR</t>
        </is>
      </c>
      <c r="I182" s="11" t="n">
        <v>394000</v>
      </c>
      <c r="J182" s="11" t="inlineStr"/>
    </row>
    <row r="183">
      <c r="A183" s="11" t="n">
        <v>182</v>
      </c>
      <c r="B183" s="12" t="n">
        <v>46043</v>
      </c>
      <c r="C183" s="11" t="inlineStr">
        <is>
          <t>INTF</t>
        </is>
      </c>
      <c r="D183" s="11" t="inlineStr">
        <is>
          <t>202601</t>
        </is>
      </c>
      <c r="E183" s="11" t="inlineStr">
        <is>
          <t>1123321763</t>
        </is>
      </c>
      <c r="F183" s="11" t="inlineStr">
        <is>
          <t>MARTINEZ ROSERO LUCI</t>
        </is>
      </c>
      <c r="G183" s="11" t="inlineStr"/>
      <c r="H183" s="11" t="inlineStr">
        <is>
          <t>INTERFACE P.O.S.</t>
        </is>
      </c>
      <c r="I183" s="11" t="n">
        <v>90900</v>
      </c>
      <c r="J183" s="11" t="inlineStr"/>
    </row>
    <row r="184">
      <c r="A184" s="11" t="n">
        <v>183</v>
      </c>
      <c r="B184" s="12" t="n">
        <v>46043</v>
      </c>
      <c r="C184" s="11" t="inlineStr">
        <is>
          <t>INTF</t>
        </is>
      </c>
      <c r="D184" s="11" t="inlineStr">
        <is>
          <t>202601</t>
        </is>
      </c>
      <c r="E184" s="11" t="inlineStr">
        <is>
          <t>1122336249</t>
        </is>
      </c>
      <c r="F184" s="11" t="inlineStr">
        <is>
          <t>ORTEGA MELO MARIA SE</t>
        </is>
      </c>
      <c r="G184" s="11" t="inlineStr"/>
      <c r="H184" s="11" t="inlineStr">
        <is>
          <t>INTERFACE P.O.S.</t>
        </is>
      </c>
      <c r="I184" s="11" t="n">
        <v>80600</v>
      </c>
      <c r="J184" s="11" t="inlineStr"/>
    </row>
    <row r="185">
      <c r="A185" s="11" t="n">
        <v>184</v>
      </c>
      <c r="B185" s="12" t="n">
        <v>46043</v>
      </c>
      <c r="C185" s="11" t="inlineStr">
        <is>
          <t>INTF</t>
        </is>
      </c>
      <c r="D185" s="11" t="inlineStr">
        <is>
          <t>202601</t>
        </is>
      </c>
      <c r="E185" s="11" t="inlineStr">
        <is>
          <t>87064931</t>
        </is>
      </c>
      <c r="F185" s="11" t="inlineStr">
        <is>
          <t>MARTINEZ MUÑOZ WILLI</t>
        </is>
      </c>
      <c r="G185" s="11" t="inlineStr"/>
      <c r="H185" s="11" t="inlineStr">
        <is>
          <t>INTERFACE P.O.S.</t>
        </is>
      </c>
      <c r="I185" s="11" t="n">
        <v>58800</v>
      </c>
      <c r="J185" s="11" t="inlineStr"/>
    </row>
    <row r="186">
      <c r="A186" s="11" t="n">
        <v>185</v>
      </c>
      <c r="B186" s="12" t="n">
        <v>46043</v>
      </c>
      <c r="C186" s="11" t="inlineStr">
        <is>
          <t>INTF</t>
        </is>
      </c>
      <c r="D186" s="11" t="inlineStr">
        <is>
          <t>202601</t>
        </is>
      </c>
      <c r="E186" s="11" t="inlineStr">
        <is>
          <t>18147717</t>
        </is>
      </c>
      <c r="F186" s="11" t="inlineStr">
        <is>
          <t>ROJAS CARVAJAL JUAN</t>
        </is>
      </c>
      <c r="G186" s="11" t="inlineStr"/>
      <c r="H186" s="11" t="inlineStr">
        <is>
          <t>INTERFACE P.O.S.</t>
        </is>
      </c>
      <c r="I186" s="11" t="n">
        <v>117600</v>
      </c>
      <c r="J186" s="11" t="inlineStr"/>
    </row>
    <row r="187">
      <c r="A187" s="11" t="n">
        <v>186</v>
      </c>
      <c r="B187" s="12" t="n">
        <v>46043</v>
      </c>
      <c r="C187" s="11" t="inlineStr">
        <is>
          <t>INTF</t>
        </is>
      </c>
      <c r="D187" s="11" t="inlineStr">
        <is>
          <t>202601</t>
        </is>
      </c>
      <c r="E187" s="11" t="inlineStr">
        <is>
          <t>1123320594</t>
        </is>
      </c>
      <c r="F187" s="11" t="inlineStr">
        <is>
          <t>CUEVA PINTA WILSON B</t>
        </is>
      </c>
      <c r="G187" s="11" t="inlineStr"/>
      <c r="H187" s="11" t="inlineStr">
        <is>
          <t>INTERFACE P.O.S.</t>
        </is>
      </c>
      <c r="I187" s="11" t="n">
        <v>38500</v>
      </c>
      <c r="J187" s="11" t="inlineStr"/>
    </row>
    <row r="188">
      <c r="A188" s="11" t="n">
        <v>187</v>
      </c>
      <c r="B188" s="12" t="n">
        <v>46043</v>
      </c>
      <c r="C188" s="11" t="inlineStr">
        <is>
          <t>INTF</t>
        </is>
      </c>
      <c r="D188" s="11" t="inlineStr">
        <is>
          <t>202601</t>
        </is>
      </c>
      <c r="E188" s="11" t="inlineStr">
        <is>
          <t>5207773</t>
        </is>
      </c>
      <c r="F188" s="11" t="inlineStr">
        <is>
          <t>PANTOJA DONY NORVE</t>
        </is>
      </c>
      <c r="G188" s="11" t="inlineStr"/>
      <c r="H188" s="11" t="inlineStr">
        <is>
          <t>INTERFACE P.O.S.</t>
        </is>
      </c>
      <c r="I188" s="11" t="n">
        <v>22500</v>
      </c>
      <c r="J188" s="11" t="inlineStr"/>
    </row>
    <row r="189">
      <c r="A189" s="11" t="n">
        <v>188</v>
      </c>
      <c r="B189" s="12" t="n">
        <v>46044</v>
      </c>
      <c r="C189" s="11" t="inlineStr">
        <is>
          <t>CEG</t>
        </is>
      </c>
      <c r="D189" s="11" t="inlineStr">
        <is>
          <t>2022</t>
        </is>
      </c>
      <c r="E189" s="11" t="inlineStr">
        <is>
          <t>900147238</t>
        </is>
      </c>
      <c r="F189" s="11" t="inlineStr">
        <is>
          <t>APORTES EN LINEA S.</t>
        </is>
      </c>
      <c r="G189" s="11" t="inlineStr">
        <is>
          <t>PSE</t>
        </is>
      </c>
      <c r="H189" s="11" t="inlineStr">
        <is>
          <t>PG PLANILLA</t>
        </is>
      </c>
      <c r="I189" s="11" t="inlineStr"/>
      <c r="J189" s="11" t="n">
        <v>2592200</v>
      </c>
    </row>
    <row r="190">
      <c r="A190" s="11" t="n">
        <v>189</v>
      </c>
      <c r="B190" s="12" t="n">
        <v>46044</v>
      </c>
      <c r="C190" s="11" t="inlineStr">
        <is>
          <t>INTF</t>
        </is>
      </c>
      <c r="D190" s="11" t="inlineStr">
        <is>
          <t>202601</t>
        </is>
      </c>
      <c r="E190" s="11" t="inlineStr">
        <is>
          <t>27090928</t>
        </is>
      </c>
      <c r="F190" s="11" t="inlineStr">
        <is>
          <t>TROYA ARTEAGA AYDA M</t>
        </is>
      </c>
      <c r="G190" s="11" t="inlineStr"/>
      <c r="H190" s="11" t="inlineStr">
        <is>
          <t>INTERFACE P.O.S.</t>
        </is>
      </c>
      <c r="I190" s="11" t="n">
        <v>53600</v>
      </c>
      <c r="J190" s="11" t="inlineStr"/>
    </row>
    <row r="191">
      <c r="A191" s="11" t="n">
        <v>190</v>
      </c>
      <c r="B191" s="12" t="n">
        <v>46044</v>
      </c>
      <c r="C191" s="11" t="inlineStr">
        <is>
          <t>INTF</t>
        </is>
      </c>
      <c r="D191" s="11" t="inlineStr">
        <is>
          <t>202601</t>
        </is>
      </c>
      <c r="E191" s="11" t="inlineStr">
        <is>
          <t>41109695</t>
        </is>
      </c>
      <c r="F191" s="11" t="inlineStr">
        <is>
          <t>ALVAREZ QUINTERO YIS</t>
        </is>
      </c>
      <c r="G191" s="11" t="inlineStr"/>
      <c r="H191" s="11" t="inlineStr">
        <is>
          <t>INTERFACE P.O.S.</t>
        </is>
      </c>
      <c r="I191" s="11" t="n">
        <v>36700</v>
      </c>
      <c r="J191" s="11" t="inlineStr"/>
    </row>
    <row r="192">
      <c r="A192" s="11" t="n">
        <v>191</v>
      </c>
      <c r="B192" s="12" t="n">
        <v>46044</v>
      </c>
      <c r="C192" s="11" t="inlineStr">
        <is>
          <t>INTF</t>
        </is>
      </c>
      <c r="D192" s="11" t="inlineStr">
        <is>
          <t>202601</t>
        </is>
      </c>
      <c r="E192" s="11" t="inlineStr">
        <is>
          <t>1075243320</t>
        </is>
      </c>
      <c r="F192" s="11" t="inlineStr">
        <is>
          <t>CASAÑAS CAZAÑAS JAME</t>
        </is>
      </c>
      <c r="G192" s="11" t="inlineStr"/>
      <c r="H192" s="11" t="inlineStr">
        <is>
          <t>INTERFACE P.O.S.</t>
        </is>
      </c>
      <c r="I192" s="11" t="n">
        <v>143200</v>
      </c>
      <c r="J192" s="11" t="inlineStr"/>
    </row>
    <row r="193">
      <c r="A193" s="11" t="n">
        <v>192</v>
      </c>
      <c r="B193" s="12" t="n">
        <v>46044</v>
      </c>
      <c r="C193" s="11" t="inlineStr">
        <is>
          <t>INTF</t>
        </is>
      </c>
      <c r="D193" s="11" t="inlineStr">
        <is>
          <t>202601</t>
        </is>
      </c>
      <c r="E193" s="11" t="inlineStr">
        <is>
          <t>1123322642</t>
        </is>
      </c>
      <c r="F193" s="11" t="inlineStr">
        <is>
          <t>DIAZ ZANDOBAL CLAUDI</t>
        </is>
      </c>
      <c r="G193" s="11" t="inlineStr"/>
      <c r="H193" s="11" t="inlineStr">
        <is>
          <t>INTERFACE P.O.S.</t>
        </is>
      </c>
      <c r="I193" s="11" t="n">
        <v>40900</v>
      </c>
      <c r="J193" s="11" t="inlineStr"/>
    </row>
    <row r="194">
      <c r="A194" s="11" t="n">
        <v>193</v>
      </c>
      <c r="B194" s="12" t="n">
        <v>46044</v>
      </c>
      <c r="C194" s="11" t="inlineStr">
        <is>
          <t>INTF</t>
        </is>
      </c>
      <c r="D194" s="11" t="inlineStr">
        <is>
          <t>202601</t>
        </is>
      </c>
      <c r="E194" s="11" t="inlineStr">
        <is>
          <t>860030808</t>
        </is>
      </c>
      <c r="F194" s="11" t="inlineStr">
        <is>
          <t>CHAMPIONX DE COLOMBI</t>
        </is>
      </c>
      <c r="G194" s="11" t="inlineStr"/>
      <c r="H194" s="11" t="inlineStr">
        <is>
          <t>INTERFACE P.O.S.</t>
        </is>
      </c>
      <c r="I194" s="11" t="n">
        <v>19000</v>
      </c>
      <c r="J194" s="11" t="inlineStr"/>
    </row>
    <row r="195">
      <c r="A195" s="11" t="n">
        <v>194</v>
      </c>
      <c r="B195" s="12" t="n">
        <v>46044</v>
      </c>
      <c r="C195" s="11" t="inlineStr">
        <is>
          <t>INTF</t>
        </is>
      </c>
      <c r="D195" s="11" t="inlineStr">
        <is>
          <t>202601</t>
        </is>
      </c>
      <c r="E195" s="11" t="inlineStr">
        <is>
          <t>1123331260</t>
        </is>
      </c>
      <c r="F195" s="11" t="inlineStr">
        <is>
          <t>ROMO PALMA LINDA JOS</t>
        </is>
      </c>
      <c r="G195" s="11" t="inlineStr"/>
      <c r="H195" s="11" t="inlineStr">
        <is>
          <t>INTERFACE P.O.S.</t>
        </is>
      </c>
      <c r="I195" s="11" t="n">
        <v>20300</v>
      </c>
      <c r="J195" s="11" t="inlineStr"/>
    </row>
    <row r="196">
      <c r="A196" s="11" t="n">
        <v>195</v>
      </c>
      <c r="B196" s="12" t="n">
        <v>46044</v>
      </c>
      <c r="C196" s="11" t="inlineStr">
        <is>
          <t>INTF</t>
        </is>
      </c>
      <c r="D196" s="11" t="inlineStr">
        <is>
          <t>202601</t>
        </is>
      </c>
      <c r="E196" s="11" t="inlineStr">
        <is>
          <t>1102851952</t>
        </is>
      </c>
      <c r="F196" s="11" t="inlineStr">
        <is>
          <t>MARTINEZ URQUIJO JES</t>
        </is>
      </c>
      <c r="G196" s="11" t="inlineStr"/>
      <c r="H196" s="11" t="inlineStr">
        <is>
          <t>INTERFACE P.O.S.</t>
        </is>
      </c>
      <c r="I196" s="11" t="n">
        <v>58100</v>
      </c>
      <c r="J196" s="11" t="inlineStr"/>
    </row>
    <row r="197">
      <c r="A197" s="11" t="n">
        <v>196</v>
      </c>
      <c r="B197" s="12" t="n">
        <v>46044</v>
      </c>
      <c r="C197" s="11" t="inlineStr">
        <is>
          <t>INTF</t>
        </is>
      </c>
      <c r="D197" s="11" t="inlineStr">
        <is>
          <t>202601</t>
        </is>
      </c>
      <c r="E197" s="11" t="inlineStr">
        <is>
          <t>1233191968</t>
        </is>
      </c>
      <c r="F197" s="11" t="inlineStr">
        <is>
          <t>OBANDO ALDERETE DANI</t>
        </is>
      </c>
      <c r="G197" s="11" t="inlineStr"/>
      <c r="H197" s="11" t="inlineStr">
        <is>
          <t>INTERFACE P.O.S.</t>
        </is>
      </c>
      <c r="I197" s="11" t="n">
        <v>28800</v>
      </c>
      <c r="J197" s="11" t="inlineStr"/>
    </row>
    <row r="198">
      <c r="A198" s="11" t="n">
        <v>197</v>
      </c>
      <c r="B198" s="12" t="n">
        <v>46045</v>
      </c>
      <c r="C198" s="11" t="inlineStr">
        <is>
          <t>INTF</t>
        </is>
      </c>
      <c r="D198" s="11" t="inlineStr">
        <is>
          <t>202601</t>
        </is>
      </c>
      <c r="E198" s="11" t="inlineStr">
        <is>
          <t>18143115</t>
        </is>
      </c>
      <c r="F198" s="11" t="inlineStr">
        <is>
          <t>CUACIALPUD HERNANDEZ</t>
        </is>
      </c>
      <c r="G198" s="11" t="inlineStr"/>
      <c r="H198" s="11" t="inlineStr">
        <is>
          <t>INTERFACE P.O.S.</t>
        </is>
      </c>
      <c r="I198" s="11" t="n">
        <v>144000</v>
      </c>
      <c r="J198" s="11" t="inlineStr"/>
    </row>
    <row r="199">
      <c r="A199" s="11" t="n">
        <v>198</v>
      </c>
      <c r="B199" s="12" t="n">
        <v>46045</v>
      </c>
      <c r="C199" s="11" t="inlineStr">
        <is>
          <t>INTF</t>
        </is>
      </c>
      <c r="D199" s="11" t="inlineStr">
        <is>
          <t>202601</t>
        </is>
      </c>
      <c r="E199" s="11" t="inlineStr">
        <is>
          <t>16269400</t>
        </is>
      </c>
      <c r="F199" s="11" t="inlineStr">
        <is>
          <t>MAFLA PALACIOS CRIST</t>
        </is>
      </c>
      <c r="G199" s="11" t="inlineStr"/>
      <c r="H199" s="11" t="inlineStr">
        <is>
          <t>INTERFACE P.O.S.</t>
        </is>
      </c>
      <c r="I199" s="11" t="n">
        <v>45400</v>
      </c>
      <c r="J199" s="11" t="inlineStr"/>
    </row>
    <row r="200">
      <c r="A200" s="11" t="n">
        <v>199</v>
      </c>
      <c r="B200" s="12" t="n">
        <v>46045</v>
      </c>
      <c r="C200" s="11" t="inlineStr">
        <is>
          <t>INTF</t>
        </is>
      </c>
      <c r="D200" s="11" t="inlineStr">
        <is>
          <t>202601</t>
        </is>
      </c>
      <c r="E200" s="11" t="inlineStr">
        <is>
          <t>1123326340</t>
        </is>
      </c>
      <c r="F200" s="11" t="inlineStr">
        <is>
          <t>MARROQUIN PANTOJA EL</t>
        </is>
      </c>
      <c r="G200" s="11" t="inlineStr"/>
      <c r="H200" s="11" t="inlineStr">
        <is>
          <t>INTERFACE P.O.S.</t>
        </is>
      </c>
      <c r="I200" s="11" t="n">
        <v>30000</v>
      </c>
      <c r="J200" s="11" t="inlineStr"/>
    </row>
    <row r="201">
      <c r="A201" s="11" t="n">
        <v>200</v>
      </c>
      <c r="B201" s="12" t="n">
        <v>46045</v>
      </c>
      <c r="C201" s="11" t="inlineStr">
        <is>
          <t>INTF</t>
        </is>
      </c>
      <c r="D201" s="11" t="inlineStr">
        <is>
          <t>202601</t>
        </is>
      </c>
      <c r="E201" s="11" t="inlineStr">
        <is>
          <t>1123330360</t>
        </is>
      </c>
      <c r="F201" s="11" t="inlineStr">
        <is>
          <t>ORTEGA CAPERA INGRI</t>
        </is>
      </c>
      <c r="G201" s="11" t="inlineStr"/>
      <c r="H201" s="11" t="inlineStr">
        <is>
          <t>INTERFACE P.O.S.</t>
        </is>
      </c>
      <c r="I201" s="11" t="n">
        <v>31200</v>
      </c>
      <c r="J201" s="11" t="inlineStr"/>
    </row>
    <row r="202">
      <c r="A202" s="11" t="n">
        <v>201</v>
      </c>
      <c r="B202" s="12" t="n">
        <v>46045</v>
      </c>
      <c r="C202" s="11" t="inlineStr">
        <is>
          <t>INTF</t>
        </is>
      </c>
      <c r="D202" s="11" t="inlineStr">
        <is>
          <t>202601</t>
        </is>
      </c>
      <c r="E202" s="11" t="inlineStr">
        <is>
          <t>1123321005</t>
        </is>
      </c>
      <c r="F202" s="11" t="inlineStr">
        <is>
          <t>ZUÑIGA JESUS ANIBAL</t>
        </is>
      </c>
      <c r="G202" s="11" t="inlineStr"/>
      <c r="H202" s="11" t="inlineStr">
        <is>
          <t>INTERFACE P.O.S.</t>
        </is>
      </c>
      <c r="I202" s="11" t="n">
        <v>45600</v>
      </c>
      <c r="J202" s="11" t="inlineStr"/>
    </row>
    <row r="203">
      <c r="A203" s="11" t="n">
        <v>202</v>
      </c>
      <c r="B203" s="12" t="n">
        <v>46045</v>
      </c>
      <c r="C203" s="11" t="inlineStr">
        <is>
          <t>INTF</t>
        </is>
      </c>
      <c r="D203" s="11" t="inlineStr">
        <is>
          <t>202601</t>
        </is>
      </c>
      <c r="E203" s="11" t="inlineStr">
        <is>
          <t>21548671</t>
        </is>
      </c>
      <c r="F203" s="11" t="inlineStr">
        <is>
          <t>TUBERQUIA CASTAÑO BL</t>
        </is>
      </c>
      <c r="G203" s="11" t="inlineStr"/>
      <c r="H203" s="11" t="inlineStr">
        <is>
          <t>INTERFACE P.O.S.</t>
        </is>
      </c>
      <c r="I203" s="11" t="n">
        <v>117000</v>
      </c>
      <c r="J203" s="11" t="inlineStr"/>
    </row>
    <row r="204">
      <c r="A204" s="11" t="n">
        <v>203</v>
      </c>
      <c r="B204" s="12" t="n">
        <v>46045</v>
      </c>
      <c r="C204" s="11" t="inlineStr">
        <is>
          <t>INTF</t>
        </is>
      </c>
      <c r="D204" s="11" t="inlineStr">
        <is>
          <t>202601</t>
        </is>
      </c>
      <c r="E204" s="11" t="inlineStr">
        <is>
          <t>91486684</t>
        </is>
      </c>
      <c r="F204" s="11" t="inlineStr">
        <is>
          <t>GONZALEZ SANTOS CIRO</t>
        </is>
      </c>
      <c r="G204" s="11" t="inlineStr"/>
      <c r="H204" s="11" t="inlineStr">
        <is>
          <t>INTERFACE P.O.S.</t>
        </is>
      </c>
      <c r="I204" s="11" t="n">
        <v>43500</v>
      </c>
      <c r="J204" s="11" t="inlineStr"/>
    </row>
    <row r="205">
      <c r="A205" s="11" t="n">
        <v>204</v>
      </c>
      <c r="B205" s="12" t="n">
        <v>46045</v>
      </c>
      <c r="C205" s="11" t="inlineStr">
        <is>
          <t>INTF</t>
        </is>
      </c>
      <c r="D205" s="11" t="inlineStr">
        <is>
          <t>202601</t>
        </is>
      </c>
      <c r="E205" s="11" t="inlineStr">
        <is>
          <t>79535199</t>
        </is>
      </c>
      <c r="F205" s="11" t="inlineStr">
        <is>
          <t>ORTIZ ZAMBRANO ABELA</t>
        </is>
      </c>
      <c r="G205" s="11" t="inlineStr"/>
      <c r="H205" s="11" t="inlineStr">
        <is>
          <t>INTERFACE P.O.S.</t>
        </is>
      </c>
      <c r="I205" s="11" t="n">
        <v>59500</v>
      </c>
      <c r="J205" s="11" t="inlineStr"/>
    </row>
    <row r="206">
      <c r="A206" s="11" t="n">
        <v>205</v>
      </c>
      <c r="B206" s="12" t="n">
        <v>46045</v>
      </c>
      <c r="C206" s="11" t="inlineStr">
        <is>
          <t>INTF</t>
        </is>
      </c>
      <c r="D206" s="11" t="inlineStr">
        <is>
          <t>202601</t>
        </is>
      </c>
      <c r="E206" s="11" t="inlineStr">
        <is>
          <t>1005832116</t>
        </is>
      </c>
      <c r="F206" s="11" t="inlineStr">
        <is>
          <t>ANGULO ARTEAGA LIZET</t>
        </is>
      </c>
      <c r="G206" s="11" t="inlineStr"/>
      <c r="H206" s="11" t="inlineStr">
        <is>
          <t>INTERFACE P.O.S.</t>
        </is>
      </c>
      <c r="I206" s="11" t="n">
        <v>41400</v>
      </c>
      <c r="J206" s="11" t="inlineStr"/>
    </row>
    <row r="207">
      <c r="A207" s="11" t="n">
        <v>206</v>
      </c>
      <c r="B207" s="12" t="n">
        <v>46045</v>
      </c>
      <c r="C207" s="11" t="inlineStr">
        <is>
          <t>INTF</t>
        </is>
      </c>
      <c r="D207" s="11" t="inlineStr">
        <is>
          <t>202601</t>
        </is>
      </c>
      <c r="E207" s="11" t="inlineStr">
        <is>
          <t>98363546</t>
        </is>
      </c>
      <c r="F207" s="11" t="inlineStr">
        <is>
          <t>MELO LUIS EDUERDO</t>
        </is>
      </c>
      <c r="G207" s="11" t="inlineStr"/>
      <c r="H207" s="11" t="inlineStr">
        <is>
          <t>INTERFACE P.O.S.</t>
        </is>
      </c>
      <c r="I207" s="11" t="n">
        <v>30900</v>
      </c>
      <c r="J207" s="11" t="inlineStr"/>
    </row>
    <row r="208">
      <c r="A208" s="11" t="n">
        <v>207</v>
      </c>
      <c r="B208" s="12" t="n">
        <v>46046</v>
      </c>
      <c r="C208" s="11" t="inlineStr">
        <is>
          <t>INTF</t>
        </is>
      </c>
      <c r="D208" s="11" t="inlineStr">
        <is>
          <t>202601</t>
        </is>
      </c>
      <c r="E208" s="11" t="inlineStr">
        <is>
          <t>18143115</t>
        </is>
      </c>
      <c r="F208" s="11" t="inlineStr">
        <is>
          <t>CUACIALPUD HERNANDEZ</t>
        </is>
      </c>
      <c r="G208" s="11" t="inlineStr"/>
      <c r="H208" s="11" t="inlineStr">
        <is>
          <t>INTERFACE P.O.S.</t>
        </is>
      </c>
      <c r="I208" s="11" t="n">
        <v>160000</v>
      </c>
      <c r="J208" s="11" t="inlineStr"/>
    </row>
    <row r="209">
      <c r="A209" s="11" t="n">
        <v>208</v>
      </c>
      <c r="B209" s="12" t="n">
        <v>46046</v>
      </c>
      <c r="C209" s="11" t="inlineStr">
        <is>
          <t>INTF</t>
        </is>
      </c>
      <c r="D209" s="11" t="inlineStr">
        <is>
          <t>202601</t>
        </is>
      </c>
      <c r="E209" s="11" t="inlineStr">
        <is>
          <t>41106227</t>
        </is>
      </c>
      <c r="F209" s="11" t="inlineStr">
        <is>
          <t>PALADINES BOLAÑOS ST</t>
        </is>
      </c>
      <c r="G209" s="11" t="inlineStr"/>
      <c r="H209" s="11" t="inlineStr">
        <is>
          <t>INTERFACE P.O.S.</t>
        </is>
      </c>
      <c r="I209" s="11" t="n">
        <v>83100</v>
      </c>
      <c r="J209" s="11" t="inlineStr"/>
    </row>
    <row r="210">
      <c r="A210" s="11" t="n">
        <v>209</v>
      </c>
      <c r="B210" s="12" t="n">
        <v>46046</v>
      </c>
      <c r="C210" s="11" t="inlineStr">
        <is>
          <t>INTF</t>
        </is>
      </c>
      <c r="D210" s="11" t="inlineStr">
        <is>
          <t>202601</t>
        </is>
      </c>
      <c r="E210" s="11" t="inlineStr">
        <is>
          <t>1075243320</t>
        </is>
      </c>
      <c r="F210" s="11" t="inlineStr">
        <is>
          <t>CASAÑAS CAZAÑAS JAME</t>
        </is>
      </c>
      <c r="G210" s="11" t="inlineStr"/>
      <c r="H210" s="11" t="inlineStr">
        <is>
          <t>INTERFACE P.O.S.</t>
        </is>
      </c>
      <c r="I210" s="11" t="n">
        <v>160500</v>
      </c>
      <c r="J210" s="11" t="inlineStr"/>
    </row>
    <row r="211">
      <c r="A211" s="11" t="n">
        <v>210</v>
      </c>
      <c r="B211" s="12" t="n">
        <v>46046</v>
      </c>
      <c r="C211" s="11" t="inlineStr">
        <is>
          <t>INTF</t>
        </is>
      </c>
      <c r="D211" s="11" t="inlineStr">
        <is>
          <t>202601</t>
        </is>
      </c>
      <c r="E211" s="11" t="inlineStr">
        <is>
          <t>1123322878</t>
        </is>
      </c>
      <c r="F211" s="11" t="inlineStr">
        <is>
          <t>CABRERA GUTIERREZ JE</t>
        </is>
      </c>
      <c r="G211" s="11" t="inlineStr"/>
      <c r="H211" s="11" t="inlineStr">
        <is>
          <t>INTERFACE P.O.S.</t>
        </is>
      </c>
      <c r="I211" s="11" t="n">
        <v>66500</v>
      </c>
      <c r="J211" s="11" t="inlineStr"/>
    </row>
    <row r="212">
      <c r="A212" s="11" t="n">
        <v>211</v>
      </c>
      <c r="B212" s="12" t="n">
        <v>46046</v>
      </c>
      <c r="C212" s="11" t="inlineStr">
        <is>
          <t>INTF</t>
        </is>
      </c>
      <c r="D212" s="11" t="inlineStr">
        <is>
          <t>202601</t>
        </is>
      </c>
      <c r="E212" s="11" t="inlineStr">
        <is>
          <t>1123327257</t>
        </is>
      </c>
      <c r="F212" s="11" t="inlineStr">
        <is>
          <t>BASTIDAS BOLAÑOS PAO</t>
        </is>
      </c>
      <c r="G212" s="11" t="inlineStr"/>
      <c r="H212" s="11" t="inlineStr">
        <is>
          <t>INTERFACE P.O.S.</t>
        </is>
      </c>
      <c r="I212" s="11" t="n">
        <v>32700</v>
      </c>
      <c r="J212" s="11" t="inlineStr"/>
    </row>
    <row r="213">
      <c r="A213" s="11" t="n">
        <v>212</v>
      </c>
      <c r="B213" s="12" t="n">
        <v>46046</v>
      </c>
      <c r="C213" s="11" t="inlineStr">
        <is>
          <t>INTF</t>
        </is>
      </c>
      <c r="D213" s="11" t="inlineStr">
        <is>
          <t>202601</t>
        </is>
      </c>
      <c r="E213" s="11" t="inlineStr">
        <is>
          <t>79998867</t>
        </is>
      </c>
      <c r="F213" s="11" t="inlineStr">
        <is>
          <t>CAICEDO JIMENEZ CAR</t>
        </is>
      </c>
      <c r="G213" s="11" t="inlineStr"/>
      <c r="H213" s="11" t="inlineStr">
        <is>
          <t>INTERFACE P.O.S.</t>
        </is>
      </c>
      <c r="I213" s="11" t="n">
        <v>34400</v>
      </c>
      <c r="J213" s="11" t="inlineStr"/>
    </row>
    <row r="214">
      <c r="A214" s="11" t="n">
        <v>213</v>
      </c>
      <c r="B214" s="12" t="n">
        <v>46046</v>
      </c>
      <c r="C214" s="11" t="inlineStr">
        <is>
          <t>INTF</t>
        </is>
      </c>
      <c r="D214" s="11" t="inlineStr">
        <is>
          <t>202601</t>
        </is>
      </c>
      <c r="E214" s="11" t="inlineStr">
        <is>
          <t>72128266</t>
        </is>
      </c>
      <c r="F214" s="11" t="inlineStr">
        <is>
          <t>HERNANDEZ LEMA PEDRO</t>
        </is>
      </c>
      <c r="G214" s="11" t="inlineStr"/>
      <c r="H214" s="11" t="inlineStr">
        <is>
          <t>INTERFACE P.O.S.</t>
        </is>
      </c>
      <c r="I214" s="11" t="n">
        <v>79900</v>
      </c>
      <c r="J214" s="11" t="inlineStr"/>
    </row>
    <row r="215">
      <c r="A215" s="11" t="n">
        <v>214</v>
      </c>
      <c r="B215" s="12" t="n">
        <v>46046</v>
      </c>
      <c r="C215" s="11" t="inlineStr">
        <is>
          <t>INTF</t>
        </is>
      </c>
      <c r="D215" s="11" t="inlineStr">
        <is>
          <t>202601</t>
        </is>
      </c>
      <c r="E215" s="11" t="inlineStr">
        <is>
          <t>1061709233</t>
        </is>
      </c>
      <c r="F215" s="11" t="inlineStr">
        <is>
          <t>RODRIGUEZ ACOSTA FAB</t>
        </is>
      </c>
      <c r="G215" s="11" t="inlineStr"/>
      <c r="H215" s="11" t="inlineStr">
        <is>
          <t>INTERFACE P.O.S.</t>
        </is>
      </c>
      <c r="I215" s="11" t="n">
        <v>31000</v>
      </c>
      <c r="J215" s="11" t="inlineStr"/>
    </row>
    <row r="216">
      <c r="A216" s="11" t="n">
        <v>215</v>
      </c>
      <c r="B216" s="12" t="n">
        <v>46046</v>
      </c>
      <c r="C216" s="11" t="inlineStr">
        <is>
          <t>INTF</t>
        </is>
      </c>
      <c r="D216" s="11" t="inlineStr">
        <is>
          <t>202601</t>
        </is>
      </c>
      <c r="E216" s="11" t="inlineStr">
        <is>
          <t>97472083</t>
        </is>
      </c>
      <c r="F216" s="11" t="inlineStr">
        <is>
          <t>LOPEZ BENAVIDES SIXT</t>
        </is>
      </c>
      <c r="G216" s="11" t="inlineStr"/>
      <c r="H216" s="11" t="inlineStr">
        <is>
          <t>INTERFACE P.O.S.</t>
        </is>
      </c>
      <c r="I216" s="11" t="n">
        <v>144100</v>
      </c>
      <c r="J216" s="11" t="inlineStr"/>
    </row>
    <row r="217">
      <c r="A217" s="11" t="n">
        <v>216</v>
      </c>
      <c r="B217" s="12" t="n">
        <v>46046</v>
      </c>
      <c r="C217" s="11" t="inlineStr">
        <is>
          <t>INTF</t>
        </is>
      </c>
      <c r="D217" s="11" t="inlineStr">
        <is>
          <t>202601</t>
        </is>
      </c>
      <c r="E217" s="11" t="inlineStr">
        <is>
          <t>1077428041</t>
        </is>
      </c>
      <c r="F217" s="11" t="inlineStr">
        <is>
          <t>PARRA MURILLO CLAUDI</t>
        </is>
      </c>
      <c r="G217" s="11" t="inlineStr"/>
      <c r="H217" s="11" t="inlineStr">
        <is>
          <t>INTERFACE P.O.S.</t>
        </is>
      </c>
      <c r="I217" s="11" t="n">
        <v>61800</v>
      </c>
      <c r="J217" s="11" t="inlineStr"/>
    </row>
    <row r="218">
      <c r="A218" s="11" t="n">
        <v>217</v>
      </c>
      <c r="B218" s="12" t="n">
        <v>46046</v>
      </c>
      <c r="C218" s="11" t="inlineStr">
        <is>
          <t>INTF</t>
        </is>
      </c>
      <c r="D218" s="11" t="inlineStr">
        <is>
          <t>202601</t>
        </is>
      </c>
      <c r="E218" s="11" t="inlineStr">
        <is>
          <t>1061691407</t>
        </is>
      </c>
      <c r="F218" s="11" t="inlineStr">
        <is>
          <t>JARAMILLO CHAMORRO O</t>
        </is>
      </c>
      <c r="G218" s="11" t="inlineStr"/>
      <c r="H218" s="11" t="inlineStr">
        <is>
          <t>INTERFACE P.O.S.</t>
        </is>
      </c>
      <c r="I218" s="11" t="n">
        <v>84000</v>
      </c>
      <c r="J218" s="11" t="inlineStr"/>
    </row>
    <row r="219">
      <c r="A219" s="11" t="n">
        <v>218</v>
      </c>
      <c r="B219" s="12" t="n">
        <v>46046</v>
      </c>
      <c r="C219" s="11" t="inlineStr">
        <is>
          <t>INTF</t>
        </is>
      </c>
      <c r="D219" s="11" t="inlineStr">
        <is>
          <t>202601</t>
        </is>
      </c>
      <c r="E219" s="11" t="inlineStr">
        <is>
          <t>1123328179</t>
        </is>
      </c>
      <c r="F219" s="11" t="inlineStr">
        <is>
          <t>LOPEZ MELO ANGELICA</t>
        </is>
      </c>
      <c r="G219" s="11" t="inlineStr"/>
      <c r="H219" s="11" t="inlineStr">
        <is>
          <t>INTERFACE P.O.S.</t>
        </is>
      </c>
      <c r="I219" s="11" t="n">
        <v>77800</v>
      </c>
      <c r="J219" s="11" t="inlineStr"/>
    </row>
    <row r="220">
      <c r="A220" s="11" t="n">
        <v>219</v>
      </c>
      <c r="B220" s="12" t="n">
        <v>46046</v>
      </c>
      <c r="C220" s="11" t="inlineStr">
        <is>
          <t>INTF</t>
        </is>
      </c>
      <c r="D220" s="11" t="inlineStr">
        <is>
          <t>202601</t>
        </is>
      </c>
      <c r="E220" s="11" t="inlineStr">
        <is>
          <t>98398855</t>
        </is>
      </c>
      <c r="F220" s="11" t="inlineStr">
        <is>
          <t>SANCHEZ VARGAS LEONC</t>
        </is>
      </c>
      <c r="G220" s="11" t="inlineStr"/>
      <c r="H220" s="11" t="inlineStr">
        <is>
          <t>INTERFACE P.O.S.</t>
        </is>
      </c>
      <c r="I220" s="11" t="n">
        <v>135200</v>
      </c>
      <c r="J220" s="11" t="inlineStr"/>
    </row>
    <row r="221">
      <c r="A221" s="11" t="n">
        <v>220</v>
      </c>
      <c r="B221" s="12" t="n">
        <v>46046</v>
      </c>
      <c r="C221" s="11" t="inlineStr">
        <is>
          <t>INTF</t>
        </is>
      </c>
      <c r="D221" s="11" t="inlineStr">
        <is>
          <t>202601</t>
        </is>
      </c>
      <c r="E221" s="11" t="inlineStr">
        <is>
          <t>78998867</t>
        </is>
      </c>
      <c r="F221" s="11" t="inlineStr">
        <is>
          <t>CAICEDO JIMENEZ CA</t>
        </is>
      </c>
      <c r="G221" s="11" t="inlineStr"/>
      <c r="H221" s="11" t="inlineStr">
        <is>
          <t>INTERFACE P.O.S.</t>
        </is>
      </c>
      <c r="I221" s="11" t="n">
        <v>93648</v>
      </c>
      <c r="J221" s="11" t="inlineStr"/>
    </row>
    <row r="222">
      <c r="A222" s="11" t="n">
        <v>221</v>
      </c>
      <c r="B222" s="12" t="n">
        <v>46046</v>
      </c>
      <c r="C222" s="11" t="inlineStr">
        <is>
          <t>INTF</t>
        </is>
      </c>
      <c r="D222" s="11" t="inlineStr">
        <is>
          <t>202601</t>
        </is>
      </c>
      <c r="E222" s="11" t="inlineStr">
        <is>
          <t>111774188</t>
        </is>
      </c>
      <c r="F222" s="11" t="inlineStr">
        <is>
          <t>ANGULO SANCHEZ J</t>
        </is>
      </c>
      <c r="G222" s="11" t="inlineStr"/>
      <c r="H222" s="11" t="inlineStr">
        <is>
          <t>INTERFACE P.O.S.</t>
        </is>
      </c>
      <c r="I222" s="11" t="n">
        <v>35918</v>
      </c>
      <c r="J222" s="11" t="inlineStr"/>
    </row>
    <row r="223">
      <c r="A223" s="11" t="n">
        <v>222</v>
      </c>
      <c r="B223" s="12" t="n">
        <v>46047</v>
      </c>
      <c r="C223" s="11" t="inlineStr">
        <is>
          <t>INTF</t>
        </is>
      </c>
      <c r="D223" s="11" t="inlineStr">
        <is>
          <t>202601</t>
        </is>
      </c>
      <c r="E223" s="11" t="inlineStr">
        <is>
          <t>1061709233</t>
        </is>
      </c>
      <c r="F223" s="11" t="inlineStr">
        <is>
          <t>RODRIGUEZ ACOSTA FAB</t>
        </is>
      </c>
      <c r="G223" s="11" t="inlineStr"/>
      <c r="H223" s="11" t="inlineStr">
        <is>
          <t>INTERFACE P.O.S.</t>
        </is>
      </c>
      <c r="I223" s="11" t="n">
        <v>28300</v>
      </c>
      <c r="J223" s="11" t="inlineStr"/>
    </row>
    <row r="224">
      <c r="A224" s="11" t="n">
        <v>223</v>
      </c>
      <c r="B224" s="12" t="n">
        <v>46047</v>
      </c>
      <c r="C224" s="11" t="inlineStr">
        <is>
          <t>INTF</t>
        </is>
      </c>
      <c r="D224" s="11" t="inlineStr">
        <is>
          <t>202601</t>
        </is>
      </c>
      <c r="E224" s="11" t="inlineStr">
        <is>
          <t>97472083</t>
        </is>
      </c>
      <c r="F224" s="11" t="inlineStr">
        <is>
          <t>LOPEZ BENAVIDES SIXT</t>
        </is>
      </c>
      <c r="G224" s="11" t="inlineStr"/>
      <c r="H224" s="11" t="inlineStr">
        <is>
          <t>INTERFACE P.O.S.</t>
        </is>
      </c>
      <c r="I224" s="11" t="n">
        <v>68960</v>
      </c>
      <c r="J224" s="11" t="inlineStr"/>
    </row>
    <row r="225">
      <c r="A225" s="11" t="n">
        <v>224</v>
      </c>
      <c r="B225" s="12" t="n">
        <v>46047</v>
      </c>
      <c r="C225" s="11" t="inlineStr">
        <is>
          <t>INTF</t>
        </is>
      </c>
      <c r="D225" s="11" t="inlineStr">
        <is>
          <t>202601</t>
        </is>
      </c>
      <c r="E225" s="11" t="inlineStr">
        <is>
          <t>1085325055</t>
        </is>
      </c>
      <c r="F225" s="11" t="inlineStr">
        <is>
          <t>VARGAS CORDOBA DIEGO</t>
        </is>
      </c>
      <c r="G225" s="11" t="inlineStr"/>
      <c r="H225" s="11" t="inlineStr">
        <is>
          <t>INTERFACE P.O.S.</t>
        </is>
      </c>
      <c r="I225" s="11" t="n">
        <v>39900</v>
      </c>
      <c r="J225" s="11" t="inlineStr"/>
    </row>
    <row r="226">
      <c r="A226" s="11" t="n">
        <v>225</v>
      </c>
      <c r="B226" s="12" t="n">
        <v>46047</v>
      </c>
      <c r="C226" s="11" t="inlineStr">
        <is>
          <t>INTF</t>
        </is>
      </c>
      <c r="D226" s="11" t="inlineStr">
        <is>
          <t>202601</t>
        </is>
      </c>
      <c r="E226" s="11" t="inlineStr">
        <is>
          <t>69007017</t>
        </is>
      </c>
      <c r="F226" s="11" t="inlineStr">
        <is>
          <t>CRIOLLO MOJHANA SAND</t>
        </is>
      </c>
      <c r="G226" s="11" t="inlineStr"/>
      <c r="H226" s="11" t="inlineStr">
        <is>
          <t>INTERFACE P.O.S.</t>
        </is>
      </c>
      <c r="I226" s="11" t="n">
        <v>35520</v>
      </c>
      <c r="J226" s="11" t="inlineStr"/>
    </row>
    <row r="227">
      <c r="A227" s="11" t="n">
        <v>226</v>
      </c>
      <c r="B227" s="12" t="n">
        <v>46047</v>
      </c>
      <c r="C227" s="11" t="inlineStr">
        <is>
          <t>INTF</t>
        </is>
      </c>
      <c r="D227" s="11" t="inlineStr">
        <is>
          <t>202601</t>
        </is>
      </c>
      <c r="E227" s="11" t="inlineStr">
        <is>
          <t>27251383</t>
        </is>
      </c>
      <c r="F227" s="11" t="inlineStr">
        <is>
          <t>BETANCOURTH SALAZAR</t>
        </is>
      </c>
      <c r="G227" s="11" t="inlineStr"/>
      <c r="H227" s="11" t="inlineStr">
        <is>
          <t>INTERFACE P.O.S.</t>
        </is>
      </c>
      <c r="I227" s="11" t="n">
        <v>104100</v>
      </c>
      <c r="J227" s="11" t="inlineStr"/>
    </row>
    <row r="228">
      <c r="A228" s="11" t="n">
        <v>227</v>
      </c>
      <c r="B228" s="12" t="n">
        <v>46047</v>
      </c>
      <c r="C228" s="11" t="inlineStr">
        <is>
          <t>INTF</t>
        </is>
      </c>
      <c r="D228" s="11" t="inlineStr">
        <is>
          <t>202601</t>
        </is>
      </c>
      <c r="E228" s="11" t="inlineStr">
        <is>
          <t>1111774188</t>
        </is>
      </c>
      <c r="F228" s="11" t="inlineStr">
        <is>
          <t>ANGULO SANCHEZ JOSE</t>
        </is>
      </c>
      <c r="G228" s="11" t="inlineStr"/>
      <c r="H228" s="11" t="inlineStr">
        <is>
          <t>INTERFACE P.O.S.</t>
        </is>
      </c>
      <c r="I228" s="11" t="n">
        <v>76100</v>
      </c>
      <c r="J228" s="11" t="inlineStr"/>
    </row>
    <row r="229">
      <c r="A229" s="11" t="n">
        <v>228</v>
      </c>
      <c r="B229" s="12" t="n">
        <v>46048</v>
      </c>
      <c r="C229" s="11" t="inlineStr">
        <is>
          <t>INTF</t>
        </is>
      </c>
      <c r="D229" s="11" t="inlineStr">
        <is>
          <t>202601</t>
        </is>
      </c>
      <c r="E229" s="11" t="inlineStr">
        <is>
          <t>18143759</t>
        </is>
      </c>
      <c r="F229" s="11" t="inlineStr">
        <is>
          <t>DIAZ MUÑOZ CARLOS ED</t>
        </is>
      </c>
      <c r="G229" s="11" t="inlineStr"/>
      <c r="H229" s="11" t="inlineStr">
        <is>
          <t>INTERFACE P.O.S.</t>
        </is>
      </c>
      <c r="I229" s="11" t="n">
        <v>29800</v>
      </c>
      <c r="J229" s="11" t="inlineStr"/>
    </row>
    <row r="230">
      <c r="A230" s="11" t="n">
        <v>229</v>
      </c>
      <c r="B230" s="12" t="n">
        <v>46048</v>
      </c>
      <c r="C230" s="11" t="inlineStr">
        <is>
          <t>INTF</t>
        </is>
      </c>
      <c r="D230" s="11" t="inlineStr">
        <is>
          <t>202601</t>
        </is>
      </c>
      <c r="E230" s="11" t="inlineStr">
        <is>
          <t>18145094</t>
        </is>
      </c>
      <c r="F230" s="11" t="inlineStr">
        <is>
          <t>MUEPAZ USAMAG EDGAR</t>
        </is>
      </c>
      <c r="G230" s="11" t="inlineStr"/>
      <c r="H230" s="11" t="inlineStr">
        <is>
          <t>INTERFACE P.O.S.</t>
        </is>
      </c>
      <c r="I230" s="11" t="n">
        <v>223420</v>
      </c>
      <c r="J230" s="11" t="inlineStr"/>
    </row>
    <row r="231">
      <c r="A231" s="11" t="n">
        <v>230</v>
      </c>
      <c r="B231" s="12" t="n">
        <v>46048</v>
      </c>
      <c r="C231" s="11" t="inlineStr">
        <is>
          <t>INTF</t>
        </is>
      </c>
      <c r="D231" s="11" t="inlineStr">
        <is>
          <t>202601</t>
        </is>
      </c>
      <c r="E231" s="11" t="inlineStr">
        <is>
          <t>5203854</t>
        </is>
      </c>
      <c r="F231" s="11" t="inlineStr">
        <is>
          <t>TOBAR MELO HECTOR AU</t>
        </is>
      </c>
      <c r="G231" s="11" t="inlineStr"/>
      <c r="H231" s="11" t="inlineStr">
        <is>
          <t>INTERFACE P.O.S.</t>
        </is>
      </c>
      <c r="I231" s="11" t="n">
        <v>40400</v>
      </c>
      <c r="J231" s="11" t="inlineStr"/>
    </row>
    <row r="232">
      <c r="A232" s="11" t="n">
        <v>231</v>
      </c>
      <c r="B232" s="12" t="n">
        <v>46048</v>
      </c>
      <c r="C232" s="11" t="inlineStr">
        <is>
          <t>INTF</t>
        </is>
      </c>
      <c r="D232" s="11" t="inlineStr">
        <is>
          <t>202601</t>
        </is>
      </c>
      <c r="E232" s="11" t="inlineStr">
        <is>
          <t>91486684</t>
        </is>
      </c>
      <c r="F232" s="11" t="inlineStr">
        <is>
          <t>GONZALEZ SANTOS CIRO</t>
        </is>
      </c>
      <c r="G232" s="11" t="inlineStr"/>
      <c r="H232" s="11" t="inlineStr">
        <is>
          <t>INTERFACE P.O.S.</t>
        </is>
      </c>
      <c r="I232" s="11" t="n">
        <v>40463</v>
      </c>
      <c r="J232" s="11" t="inlineStr"/>
    </row>
    <row r="233">
      <c r="A233" s="11" t="n">
        <v>232</v>
      </c>
      <c r="B233" s="12" t="n">
        <v>46048</v>
      </c>
      <c r="C233" s="11" t="inlineStr">
        <is>
          <t>INTF</t>
        </is>
      </c>
      <c r="D233" s="11" t="inlineStr">
        <is>
          <t>202601</t>
        </is>
      </c>
      <c r="E233" s="11" t="inlineStr">
        <is>
          <t>52711380</t>
        </is>
      </c>
      <c r="F233" s="11" t="inlineStr">
        <is>
          <t>PONCE MONCAYO GINA M</t>
        </is>
      </c>
      <c r="G233" s="11" t="inlineStr"/>
      <c r="H233" s="11" t="inlineStr">
        <is>
          <t>INTERFACE P.O.S.</t>
        </is>
      </c>
      <c r="I233" s="11" t="n">
        <v>48000</v>
      </c>
      <c r="J233" s="11" t="inlineStr"/>
    </row>
    <row r="234">
      <c r="A234" s="11" t="n">
        <v>233</v>
      </c>
      <c r="B234" s="12" t="n">
        <v>46048</v>
      </c>
      <c r="C234" s="11" t="inlineStr">
        <is>
          <t>INTF</t>
        </is>
      </c>
      <c r="D234" s="11" t="inlineStr">
        <is>
          <t>202601</t>
        </is>
      </c>
      <c r="E234" s="11" t="inlineStr">
        <is>
          <t>69007017</t>
        </is>
      </c>
      <c r="F234" s="11" t="inlineStr">
        <is>
          <t>CRIOLLO MOJHANA SAND</t>
        </is>
      </c>
      <c r="G234" s="11" t="inlineStr"/>
      <c r="H234" s="11" t="inlineStr">
        <is>
          <t>INTERFACE P.O.S.</t>
        </is>
      </c>
      <c r="I234" s="11" t="n">
        <v>22500</v>
      </c>
      <c r="J234" s="11" t="inlineStr"/>
    </row>
    <row r="235">
      <c r="A235" s="11" t="n">
        <v>234</v>
      </c>
      <c r="B235" s="12" t="n">
        <v>46048</v>
      </c>
      <c r="C235" s="11" t="inlineStr">
        <is>
          <t>INTF</t>
        </is>
      </c>
      <c r="D235" s="11" t="inlineStr">
        <is>
          <t>202601</t>
        </is>
      </c>
      <c r="E235" s="11" t="inlineStr">
        <is>
          <t>1007620522</t>
        </is>
      </c>
      <c r="F235" s="11" t="inlineStr">
        <is>
          <t>CHAVARRO LARA LUISA</t>
        </is>
      </c>
      <c r="G235" s="11" t="inlineStr"/>
      <c r="H235" s="11" t="inlineStr">
        <is>
          <t>INTERFACE P.O.S.</t>
        </is>
      </c>
      <c r="I235" s="11" t="n">
        <v>54200</v>
      </c>
      <c r="J235" s="11" t="inlineStr"/>
    </row>
    <row r="236">
      <c r="A236" s="11" t="n">
        <v>235</v>
      </c>
      <c r="B236" s="12" t="n">
        <v>46048</v>
      </c>
      <c r="C236" s="11" t="inlineStr">
        <is>
          <t>INTF</t>
        </is>
      </c>
      <c r="D236" s="11" t="inlineStr">
        <is>
          <t>202601</t>
        </is>
      </c>
      <c r="E236" s="11" t="inlineStr">
        <is>
          <t>1123328912</t>
        </is>
      </c>
      <c r="F236" s="11" t="inlineStr">
        <is>
          <t>RIASCOS MOLINA LEIDY</t>
        </is>
      </c>
      <c r="G236" s="11" t="inlineStr"/>
      <c r="H236" s="11" t="inlineStr">
        <is>
          <t>INTERFACE P.O.S.</t>
        </is>
      </c>
      <c r="I236" s="11" t="n">
        <v>61300</v>
      </c>
      <c r="J236" s="11" t="inlineStr"/>
    </row>
    <row r="237">
      <c r="A237" s="11" t="n">
        <v>236</v>
      </c>
      <c r="B237" s="12" t="n">
        <v>46048</v>
      </c>
      <c r="C237" s="11" t="inlineStr">
        <is>
          <t>INTF</t>
        </is>
      </c>
      <c r="D237" s="11" t="inlineStr">
        <is>
          <t>202601</t>
        </is>
      </c>
      <c r="E237" s="11" t="inlineStr">
        <is>
          <t>18145550</t>
        </is>
      </c>
      <c r="F237" s="11" t="inlineStr">
        <is>
          <t>DELGADO DIAZ ALEX</t>
        </is>
      </c>
      <c r="G237" s="11" t="inlineStr"/>
      <c r="H237" s="11" t="inlineStr">
        <is>
          <t>INTERFACE P.O.S.</t>
        </is>
      </c>
      <c r="I237" s="11" t="n">
        <v>28400</v>
      </c>
      <c r="J237" s="11" t="inlineStr"/>
    </row>
    <row r="238">
      <c r="A238" s="11" t="n">
        <v>237</v>
      </c>
      <c r="B238" s="12" t="n">
        <v>46048</v>
      </c>
      <c r="C238" s="11" t="inlineStr">
        <is>
          <t>INTF</t>
        </is>
      </c>
      <c r="D238" s="11" t="inlineStr">
        <is>
          <t>202601</t>
        </is>
      </c>
      <c r="E238" s="11" t="inlineStr">
        <is>
          <t>1006948392</t>
        </is>
      </c>
      <c r="F238" s="11" t="inlineStr">
        <is>
          <t>REYES LOPEZ YAMILE</t>
        </is>
      </c>
      <c r="G238" s="11" t="inlineStr"/>
      <c r="H238" s="11" t="inlineStr">
        <is>
          <t>INTERFACE P.O.S.</t>
        </is>
      </c>
      <c r="I238" s="11" t="n">
        <v>53300</v>
      </c>
      <c r="J238" s="11" t="inlineStr"/>
    </row>
    <row r="239">
      <c r="A239" s="11" t="n">
        <v>238</v>
      </c>
      <c r="B239" s="12" t="n">
        <v>46049</v>
      </c>
      <c r="C239" s="11" t="inlineStr">
        <is>
          <t>INTF</t>
        </is>
      </c>
      <c r="D239" s="11" t="inlineStr">
        <is>
          <t>202601</t>
        </is>
      </c>
      <c r="E239" s="11" t="inlineStr">
        <is>
          <t>12987049</t>
        </is>
      </c>
      <c r="F239" s="11" t="inlineStr">
        <is>
          <t>ERASO MUÑOZ CLAUDIO</t>
        </is>
      </c>
      <c r="G239" s="11" t="inlineStr"/>
      <c r="H239" s="11" t="inlineStr">
        <is>
          <t>INTERFACE P.O.S.</t>
        </is>
      </c>
      <c r="I239" s="11" t="n">
        <v>356400</v>
      </c>
      <c r="J239" s="11" t="inlineStr"/>
    </row>
    <row r="240">
      <c r="A240" s="11" t="n">
        <v>239</v>
      </c>
      <c r="B240" s="12" t="n">
        <v>46049</v>
      </c>
      <c r="C240" s="11" t="inlineStr">
        <is>
          <t>INTF</t>
        </is>
      </c>
      <c r="D240" s="11" t="inlineStr">
        <is>
          <t>202601</t>
        </is>
      </c>
      <c r="E240" s="11" t="inlineStr">
        <is>
          <t>1123320007</t>
        </is>
      </c>
      <c r="F240" s="11" t="inlineStr">
        <is>
          <t>CORDOBA BASTIDAS YOL</t>
        </is>
      </c>
      <c r="G240" s="11" t="inlineStr"/>
      <c r="H240" s="11" t="inlineStr">
        <is>
          <t>INTERFACE P.O.S.</t>
        </is>
      </c>
      <c r="I240" s="11" t="n">
        <v>60000</v>
      </c>
      <c r="J240" s="11" t="inlineStr"/>
    </row>
    <row r="241">
      <c r="A241" s="11" t="n">
        <v>240</v>
      </c>
      <c r="B241" s="12" t="n">
        <v>46049</v>
      </c>
      <c r="C241" s="11" t="inlineStr">
        <is>
          <t>INTF</t>
        </is>
      </c>
      <c r="D241" s="11" t="inlineStr">
        <is>
          <t>202601</t>
        </is>
      </c>
      <c r="E241" s="11" t="inlineStr">
        <is>
          <t>41107910</t>
        </is>
      </c>
      <c r="F241" s="11" t="inlineStr">
        <is>
          <t>URQUIJO CHAVEZ ESMER</t>
        </is>
      </c>
      <c r="G241" s="11" t="inlineStr"/>
      <c r="H241" s="11" t="inlineStr">
        <is>
          <t>INTERFACE P.O.S.</t>
        </is>
      </c>
      <c r="I241" s="11" t="n">
        <v>614400</v>
      </c>
      <c r="J241" s="11" t="inlineStr"/>
    </row>
    <row r="242">
      <c r="A242" s="11" t="n">
        <v>241</v>
      </c>
      <c r="B242" s="12" t="n">
        <v>46049</v>
      </c>
      <c r="C242" s="11" t="inlineStr">
        <is>
          <t>INTF</t>
        </is>
      </c>
      <c r="D242" s="11" t="inlineStr">
        <is>
          <t>202601</t>
        </is>
      </c>
      <c r="E242" s="11" t="inlineStr">
        <is>
          <t>41106600</t>
        </is>
      </c>
      <c r="F242" s="11" t="inlineStr">
        <is>
          <t>SALAZAR PRADO MARIA</t>
        </is>
      </c>
      <c r="G242" s="11" t="inlineStr"/>
      <c r="H242" s="11" t="inlineStr">
        <is>
          <t>INTERFACE P.O.S.</t>
        </is>
      </c>
      <c r="I242" s="11" t="n">
        <v>29900</v>
      </c>
      <c r="J242" s="11" t="inlineStr"/>
    </row>
    <row r="243">
      <c r="A243" s="11" t="n">
        <v>242</v>
      </c>
      <c r="B243" s="12" t="n">
        <v>46049</v>
      </c>
      <c r="C243" s="11" t="inlineStr">
        <is>
          <t>INTF</t>
        </is>
      </c>
      <c r="D243" s="11" t="inlineStr">
        <is>
          <t>202601</t>
        </is>
      </c>
      <c r="E243" s="11" t="inlineStr">
        <is>
          <t>1123320594</t>
        </is>
      </c>
      <c r="F243" s="11" t="inlineStr">
        <is>
          <t>CUEVA PINTA WILSON B</t>
        </is>
      </c>
      <c r="G243" s="11" t="inlineStr"/>
      <c r="H243" s="11" t="inlineStr">
        <is>
          <t>INTERFACE P.O.S.</t>
        </is>
      </c>
      <c r="I243" s="11" t="n">
        <v>55000</v>
      </c>
      <c r="J243" s="11" t="inlineStr"/>
    </row>
    <row r="244">
      <c r="A244" s="11" t="n">
        <v>243</v>
      </c>
      <c r="B244" s="12" t="n">
        <v>46049</v>
      </c>
      <c r="C244" s="11" t="inlineStr">
        <is>
          <t>INTF</t>
        </is>
      </c>
      <c r="D244" s="11" t="inlineStr">
        <is>
          <t>202601</t>
        </is>
      </c>
      <c r="E244" s="11" t="inlineStr">
        <is>
          <t>1006848160</t>
        </is>
      </c>
      <c r="F244" s="11" t="inlineStr">
        <is>
          <t>MEZA MEZA ANA MARIA</t>
        </is>
      </c>
      <c r="G244" s="11" t="inlineStr"/>
      <c r="H244" s="11" t="inlineStr">
        <is>
          <t>INTERFACE P.O.S.</t>
        </is>
      </c>
      <c r="I244" s="11" t="n">
        <v>21200</v>
      </c>
      <c r="J244" s="11" t="inlineStr"/>
    </row>
    <row r="245">
      <c r="A245" s="11" t="n">
        <v>244</v>
      </c>
      <c r="B245" s="12" t="n">
        <v>46050</v>
      </c>
      <c r="C245" s="11" t="inlineStr">
        <is>
          <t>CE</t>
        </is>
      </c>
      <c r="D245" s="11" t="inlineStr">
        <is>
          <t>9269</t>
        </is>
      </c>
      <c r="E245" s="11" t="inlineStr">
        <is>
          <t>12960193</t>
        </is>
      </c>
      <c r="F245" s="11" t="inlineStr">
        <is>
          <t>GUERRA SANCHEZ CARLO</t>
        </is>
      </c>
      <c r="G245" s="11" t="inlineStr">
        <is>
          <t>399407</t>
        </is>
      </c>
      <c r="H245" s="11" t="inlineStr">
        <is>
          <t>PF EL DORADO</t>
        </is>
      </c>
      <c r="I245" s="11" t="inlineStr"/>
      <c r="J245" s="11" t="n">
        <v>11807785</v>
      </c>
    </row>
    <row r="246">
      <c r="A246" s="11" t="n">
        <v>245</v>
      </c>
      <c r="B246" s="12" t="n">
        <v>46050</v>
      </c>
      <c r="C246" s="11" t="inlineStr">
        <is>
          <t>CE</t>
        </is>
      </c>
      <c r="D246" s="11" t="inlineStr">
        <is>
          <t>9270</t>
        </is>
      </c>
      <c r="E246" s="11" t="inlineStr">
        <is>
          <t>901544280</t>
        </is>
      </c>
      <c r="F246" s="11" t="inlineStr">
        <is>
          <t>DISTRIBUCIONES CGS S</t>
        </is>
      </c>
      <c r="G246" s="11" t="inlineStr">
        <is>
          <t>75357</t>
        </is>
      </c>
      <c r="H246" s="11" t="inlineStr">
        <is>
          <t>PF CGS SAS</t>
        </is>
      </c>
      <c r="I246" s="11" t="inlineStr"/>
      <c r="J246" s="11" t="n">
        <v>2125898</v>
      </c>
    </row>
    <row r="247">
      <c r="A247" s="11" t="n">
        <v>246</v>
      </c>
      <c r="B247" s="12" t="n">
        <v>46050</v>
      </c>
      <c r="C247" s="11" t="inlineStr">
        <is>
          <t>INTF</t>
        </is>
      </c>
      <c r="D247" s="11" t="inlineStr">
        <is>
          <t>202601</t>
        </is>
      </c>
      <c r="E247" s="11" t="inlineStr">
        <is>
          <t>18143115</t>
        </is>
      </c>
      <c r="F247" s="11" t="inlineStr">
        <is>
          <t>CUACIALPUD HERNANDEZ</t>
        </is>
      </c>
      <c r="G247" s="11" t="inlineStr"/>
      <c r="H247" s="11" t="inlineStr">
        <is>
          <t>INTERFACE P.O.S.</t>
        </is>
      </c>
      <c r="I247" s="11" t="n">
        <v>227500</v>
      </c>
      <c r="J247" s="11" t="inlineStr"/>
    </row>
    <row r="248">
      <c r="A248" s="11" t="n">
        <v>247</v>
      </c>
      <c r="B248" s="12" t="n">
        <v>46050</v>
      </c>
      <c r="C248" s="11" t="inlineStr">
        <is>
          <t>INTF</t>
        </is>
      </c>
      <c r="D248" s="11" t="inlineStr">
        <is>
          <t>202601</t>
        </is>
      </c>
      <c r="E248" s="11" t="inlineStr">
        <is>
          <t>18131293</t>
        </is>
      </c>
      <c r="F248" s="11" t="inlineStr">
        <is>
          <t>CAGUA GARCIA VENANCI</t>
        </is>
      </c>
      <c r="G248" s="11" t="inlineStr"/>
      <c r="H248" s="11" t="inlineStr">
        <is>
          <t>INTERFACE P.O.S.</t>
        </is>
      </c>
      <c r="I248" s="11" t="n">
        <v>149100</v>
      </c>
      <c r="J248" s="11" t="inlineStr"/>
    </row>
    <row r="249">
      <c r="A249" s="11" t="n">
        <v>248</v>
      </c>
      <c r="B249" s="12" t="n">
        <v>46050</v>
      </c>
      <c r="C249" s="11" t="inlineStr">
        <is>
          <t>INTF</t>
        </is>
      </c>
      <c r="D249" s="11" t="inlineStr">
        <is>
          <t>202601</t>
        </is>
      </c>
      <c r="E249" s="11" t="inlineStr">
        <is>
          <t>41109695</t>
        </is>
      </c>
      <c r="F249" s="11" t="inlineStr">
        <is>
          <t>ALVAREZ QUINTERO YIS</t>
        </is>
      </c>
      <c r="G249" s="11" t="inlineStr"/>
      <c r="H249" s="11" t="inlineStr">
        <is>
          <t>INTERFACE P.O.S.</t>
        </is>
      </c>
      <c r="I249" s="11" t="n">
        <v>28700</v>
      </c>
      <c r="J249" s="11" t="inlineStr"/>
    </row>
    <row r="250">
      <c r="A250" s="11" t="n">
        <v>249</v>
      </c>
      <c r="B250" s="12" t="n">
        <v>46050</v>
      </c>
      <c r="C250" s="11" t="inlineStr">
        <is>
          <t>INTF</t>
        </is>
      </c>
      <c r="D250" s="11" t="inlineStr">
        <is>
          <t>202601</t>
        </is>
      </c>
      <c r="E250" s="11" t="inlineStr">
        <is>
          <t>1123327856</t>
        </is>
      </c>
      <c r="F250" s="11" t="inlineStr">
        <is>
          <t>BERNAL QUINTERO ANDR</t>
        </is>
      </c>
      <c r="G250" s="11" t="inlineStr"/>
      <c r="H250" s="11" t="inlineStr">
        <is>
          <t>INTERFACE P.O.S.</t>
        </is>
      </c>
      <c r="I250" s="11" t="n">
        <v>44050</v>
      </c>
      <c r="J250" s="11" t="inlineStr"/>
    </row>
    <row r="251">
      <c r="A251" s="11" t="n">
        <v>250</v>
      </c>
      <c r="B251" s="12" t="n">
        <v>46050</v>
      </c>
      <c r="C251" s="11" t="inlineStr">
        <is>
          <t>INTF</t>
        </is>
      </c>
      <c r="D251" s="11" t="inlineStr">
        <is>
          <t>202601</t>
        </is>
      </c>
      <c r="E251" s="11" t="inlineStr">
        <is>
          <t>79232697</t>
        </is>
      </c>
      <c r="F251" s="11" t="inlineStr">
        <is>
          <t>CASTILLO BAUTISTA RA</t>
        </is>
      </c>
      <c r="G251" s="11" t="inlineStr"/>
      <c r="H251" s="11" t="inlineStr">
        <is>
          <t>INTERFACE P.O.S.</t>
        </is>
      </c>
      <c r="I251" s="11" t="n">
        <v>23000</v>
      </c>
      <c r="J251" s="11" t="inlineStr"/>
    </row>
    <row r="252">
      <c r="A252" s="11" t="n">
        <v>251</v>
      </c>
      <c r="B252" s="12" t="n">
        <v>46050</v>
      </c>
      <c r="C252" s="11" t="inlineStr">
        <is>
          <t>INTF</t>
        </is>
      </c>
      <c r="D252" s="11" t="inlineStr">
        <is>
          <t>202601</t>
        </is>
      </c>
      <c r="E252" s="11" t="inlineStr">
        <is>
          <t>98380675</t>
        </is>
      </c>
      <c r="F252" s="11" t="inlineStr">
        <is>
          <t>CEBALLOS BLANDON LYN</t>
        </is>
      </c>
      <c r="G252" s="11" t="inlineStr"/>
      <c r="H252" s="11" t="inlineStr">
        <is>
          <t>INTERFACE P.O.S.</t>
        </is>
      </c>
      <c r="I252" s="11" t="n">
        <v>17400</v>
      </c>
      <c r="J252" s="11" t="inlineStr"/>
    </row>
    <row r="253">
      <c r="A253" s="11" t="n">
        <v>252</v>
      </c>
      <c r="B253" s="12" t="n">
        <v>46050</v>
      </c>
      <c r="C253" s="11" t="inlineStr">
        <is>
          <t>INTF</t>
        </is>
      </c>
      <c r="D253" s="11" t="inlineStr">
        <is>
          <t>202601</t>
        </is>
      </c>
      <c r="E253" s="11" t="inlineStr">
        <is>
          <t>41118377</t>
        </is>
      </c>
      <c r="F253" s="11" t="inlineStr">
        <is>
          <t>CADENA LAOS MONICA G</t>
        </is>
      </c>
      <c r="G253" s="11" t="inlineStr"/>
      <c r="H253" s="11" t="inlineStr">
        <is>
          <t>INTERFACE P.O.S.</t>
        </is>
      </c>
      <c r="I253" s="11" t="n">
        <v>137900</v>
      </c>
      <c r="J253" s="11" t="inlineStr"/>
    </row>
    <row r="254">
      <c r="A254" s="11" t="n">
        <v>253</v>
      </c>
      <c r="B254" s="12" t="n">
        <v>46050</v>
      </c>
      <c r="C254" s="11" t="inlineStr">
        <is>
          <t>INTF</t>
        </is>
      </c>
      <c r="D254" s="11" t="inlineStr">
        <is>
          <t>202601</t>
        </is>
      </c>
      <c r="E254" s="11" t="inlineStr">
        <is>
          <t>91486684</t>
        </is>
      </c>
      <c r="F254" s="11" t="inlineStr">
        <is>
          <t>GONZALEZ SANTOS CIRO</t>
        </is>
      </c>
      <c r="G254" s="11" t="inlineStr"/>
      <c r="H254" s="11" t="inlineStr">
        <is>
          <t>INTERFACE P.O.S.</t>
        </is>
      </c>
      <c r="I254" s="11" t="n">
        <v>48500</v>
      </c>
      <c r="J254" s="11" t="inlineStr"/>
    </row>
    <row r="255">
      <c r="A255" s="11" t="n">
        <v>254</v>
      </c>
      <c r="B255" s="12" t="n">
        <v>46050</v>
      </c>
      <c r="C255" s="11" t="inlineStr">
        <is>
          <t>INTF</t>
        </is>
      </c>
      <c r="D255" s="11" t="inlineStr">
        <is>
          <t>202601</t>
        </is>
      </c>
      <c r="E255" s="11" t="inlineStr">
        <is>
          <t>22222222222</t>
        </is>
      </c>
      <c r="F255" s="11" t="inlineStr">
        <is>
          <t>CONSUMIDOR FINAL</t>
        </is>
      </c>
      <c r="G255" s="11" t="inlineStr"/>
      <c r="H255" s="11" t="inlineStr">
        <is>
          <t>INTERFACE P.O.S.</t>
        </is>
      </c>
      <c r="I255" s="11" t="n">
        <v>197280</v>
      </c>
      <c r="J255" s="11" t="inlineStr"/>
    </row>
    <row r="256">
      <c r="A256" s="11" t="n">
        <v>255</v>
      </c>
      <c r="B256" s="12" t="n">
        <v>46050</v>
      </c>
      <c r="C256" s="11" t="inlineStr">
        <is>
          <t>INTF</t>
        </is>
      </c>
      <c r="D256" s="11" t="inlineStr">
        <is>
          <t>202601</t>
        </is>
      </c>
      <c r="E256" s="11" t="inlineStr">
        <is>
          <t>1123331414</t>
        </is>
      </c>
      <c r="F256" s="11" t="inlineStr">
        <is>
          <t>MONCAYO MARIA FERNAN</t>
        </is>
      </c>
      <c r="G256" s="11" t="inlineStr"/>
      <c r="H256" s="11" t="inlineStr">
        <is>
          <t>INTERFACE P.O.S.</t>
        </is>
      </c>
      <c r="I256" s="11" t="n">
        <v>102900</v>
      </c>
      <c r="J256" s="11" t="inlineStr"/>
    </row>
    <row r="257">
      <c r="A257" s="11" t="n">
        <v>256</v>
      </c>
      <c r="B257" s="12" t="n">
        <v>46050</v>
      </c>
      <c r="C257" s="11" t="inlineStr">
        <is>
          <t>INTF</t>
        </is>
      </c>
      <c r="D257" s="11" t="inlineStr">
        <is>
          <t>202601</t>
        </is>
      </c>
      <c r="E257" s="11" t="inlineStr">
        <is>
          <t>1134530623</t>
        </is>
      </c>
      <c r="F257" s="11" t="inlineStr">
        <is>
          <t>GUASALUSAN NASTACUAZ</t>
        </is>
      </c>
      <c r="G257" s="11" t="inlineStr"/>
      <c r="H257" s="11" t="inlineStr">
        <is>
          <t>INTERFACE P.O.S.</t>
        </is>
      </c>
      <c r="I257" s="11" t="n">
        <v>229900</v>
      </c>
      <c r="J257" s="11" t="inlineStr"/>
    </row>
    <row r="258">
      <c r="A258" s="11" t="n">
        <v>257</v>
      </c>
      <c r="B258" s="12" t="n">
        <v>46050</v>
      </c>
      <c r="C258" s="11" t="inlineStr">
        <is>
          <t>INTF</t>
        </is>
      </c>
      <c r="D258" s="11" t="inlineStr">
        <is>
          <t>202601</t>
        </is>
      </c>
      <c r="E258" s="11" t="inlineStr">
        <is>
          <t>1001820451</t>
        </is>
      </c>
      <c r="F258" s="11" t="inlineStr">
        <is>
          <t>HERNANDEZ JOSE</t>
        </is>
      </c>
      <c r="G258" s="11" t="inlineStr"/>
      <c r="H258" s="11" t="inlineStr">
        <is>
          <t>INTERFACE P.O.S.</t>
        </is>
      </c>
      <c r="I258" s="11" t="n">
        <v>91800</v>
      </c>
      <c r="J258" s="11" t="inlineStr"/>
    </row>
    <row r="259">
      <c r="A259" s="11" t="n">
        <v>258</v>
      </c>
      <c r="B259" s="12" t="n">
        <v>46050</v>
      </c>
      <c r="C259" s="11" t="inlineStr">
        <is>
          <t>INTF</t>
        </is>
      </c>
      <c r="D259" s="11" t="inlineStr">
        <is>
          <t>202601</t>
        </is>
      </c>
      <c r="E259" s="11" t="inlineStr">
        <is>
          <t>1002295345</t>
        </is>
      </c>
      <c r="F259" s="11" t="inlineStr">
        <is>
          <t>MADERA MOSCOTE GRABI</t>
        </is>
      </c>
      <c r="G259" s="11" t="inlineStr"/>
      <c r="H259" s="11" t="inlineStr">
        <is>
          <t>INTERFACE P.O.S.</t>
        </is>
      </c>
      <c r="I259" s="11" t="n">
        <v>26200</v>
      </c>
      <c r="J259" s="11" t="inlineStr"/>
    </row>
    <row r="260">
      <c r="A260" s="11" t="n">
        <v>259</v>
      </c>
      <c r="B260" s="12" t="n">
        <v>46051</v>
      </c>
      <c r="C260" s="11" t="inlineStr">
        <is>
          <t>INTF</t>
        </is>
      </c>
      <c r="D260" s="11" t="inlineStr">
        <is>
          <t>202601</t>
        </is>
      </c>
      <c r="E260" s="11" t="inlineStr">
        <is>
          <t>41110276</t>
        </is>
      </c>
      <c r="F260" s="11" t="inlineStr">
        <is>
          <t>CORTEZ CAYCEDO HELID</t>
        </is>
      </c>
      <c r="G260" s="11" t="inlineStr"/>
      <c r="H260" s="11" t="inlineStr">
        <is>
          <t>INTERFACE P.O.S.</t>
        </is>
      </c>
      <c r="I260" s="11" t="n">
        <v>28200</v>
      </c>
      <c r="J260" s="11" t="inlineStr"/>
    </row>
    <row r="261">
      <c r="A261" s="11" t="n">
        <v>260</v>
      </c>
      <c r="B261" s="12" t="n">
        <v>46051</v>
      </c>
      <c r="C261" s="11" t="inlineStr">
        <is>
          <t>INTF</t>
        </is>
      </c>
      <c r="D261" s="11" t="inlineStr">
        <is>
          <t>202601</t>
        </is>
      </c>
      <c r="E261" s="11" t="inlineStr">
        <is>
          <t>41109695</t>
        </is>
      </c>
      <c r="F261" s="11" t="inlineStr">
        <is>
          <t>ALVAREZ QUINTERO YIS</t>
        </is>
      </c>
      <c r="G261" s="11" t="inlineStr"/>
      <c r="H261" s="11" t="inlineStr">
        <is>
          <t>INTERFACE P.O.S.</t>
        </is>
      </c>
      <c r="I261" s="11" t="n">
        <v>74900</v>
      </c>
      <c r="J261" s="11" t="inlineStr"/>
    </row>
    <row r="262">
      <c r="A262" s="11" t="n">
        <v>261</v>
      </c>
      <c r="B262" s="12" t="n">
        <v>46051</v>
      </c>
      <c r="C262" s="11" t="inlineStr">
        <is>
          <t>INTF</t>
        </is>
      </c>
      <c r="D262" s="11" t="inlineStr">
        <is>
          <t>202601</t>
        </is>
      </c>
      <c r="E262" s="11" t="inlineStr">
        <is>
          <t>1107052419</t>
        </is>
      </c>
      <c r="F262" s="11" t="inlineStr">
        <is>
          <t>PEÑAFIEL PALMA NATHA</t>
        </is>
      </c>
      <c r="G262" s="11" t="inlineStr"/>
      <c r="H262" s="11" t="inlineStr">
        <is>
          <t>INTERFACE P.O.S.</t>
        </is>
      </c>
      <c r="I262" s="11" t="n">
        <v>75000</v>
      </c>
      <c r="J262" s="11" t="inlineStr"/>
    </row>
    <row r="263">
      <c r="A263" s="11" t="n">
        <v>262</v>
      </c>
      <c r="B263" s="12" t="n">
        <v>46051</v>
      </c>
      <c r="C263" s="11" t="inlineStr">
        <is>
          <t>INTF</t>
        </is>
      </c>
      <c r="D263" s="11" t="inlineStr">
        <is>
          <t>202601</t>
        </is>
      </c>
      <c r="E263" s="11" t="inlineStr">
        <is>
          <t>1123329290</t>
        </is>
      </c>
      <c r="F263" s="11" t="inlineStr">
        <is>
          <t>CHAVES IMBACHI TATIA</t>
        </is>
      </c>
      <c r="G263" s="11" t="inlineStr"/>
      <c r="H263" s="11" t="inlineStr">
        <is>
          <t>INTERFACE P.O.S.</t>
        </is>
      </c>
      <c r="I263" s="11" t="n">
        <v>134250</v>
      </c>
      <c r="J263" s="11" t="inlineStr"/>
    </row>
    <row r="264">
      <c r="A264" s="11" t="n">
        <v>263</v>
      </c>
      <c r="B264" s="12" t="n">
        <v>46051</v>
      </c>
      <c r="C264" s="11" t="inlineStr">
        <is>
          <t>INTF</t>
        </is>
      </c>
      <c r="D264" s="11" t="inlineStr">
        <is>
          <t>202601</t>
        </is>
      </c>
      <c r="E264" s="11" t="inlineStr">
        <is>
          <t>1140879841</t>
        </is>
      </c>
      <c r="F264" s="11" t="inlineStr">
        <is>
          <t>HERNANDEZ DIAZ BRIGE</t>
        </is>
      </c>
      <c r="G264" s="11" t="inlineStr"/>
      <c r="H264" s="11" t="inlineStr">
        <is>
          <t>INTERFACE P.O.S.</t>
        </is>
      </c>
      <c r="I264" s="11" t="n">
        <v>97000</v>
      </c>
      <c r="J264" s="11" t="inlineStr"/>
    </row>
    <row r="265">
      <c r="A265" s="11" t="n">
        <v>264</v>
      </c>
      <c r="B265" s="12" t="n">
        <v>46051</v>
      </c>
      <c r="C265" s="11" t="inlineStr">
        <is>
          <t>INTF</t>
        </is>
      </c>
      <c r="D265" s="11" t="inlineStr">
        <is>
          <t>202601</t>
        </is>
      </c>
      <c r="E265" s="11" t="inlineStr">
        <is>
          <t>22222222222</t>
        </is>
      </c>
      <c r="F265" s="11" t="inlineStr">
        <is>
          <t>CONSUMIDOR FINAL</t>
        </is>
      </c>
      <c r="G265" s="11" t="inlineStr"/>
      <c r="H265" s="11" t="inlineStr">
        <is>
          <t>INTERFACE P.O.S.</t>
        </is>
      </c>
      <c r="I265" s="11" t="n">
        <v>59300</v>
      </c>
      <c r="J265" s="11" t="inlineStr"/>
    </row>
    <row r="266">
      <c r="A266" s="11" t="n">
        <v>265</v>
      </c>
      <c r="B266" s="12" t="n">
        <v>46051</v>
      </c>
      <c r="C266" s="11" t="inlineStr">
        <is>
          <t>INTF</t>
        </is>
      </c>
      <c r="D266" s="11" t="inlineStr">
        <is>
          <t>202601</t>
        </is>
      </c>
      <c r="E266" s="11" t="inlineStr">
        <is>
          <t>30732731</t>
        </is>
      </c>
      <c r="F266" s="11" t="inlineStr">
        <is>
          <t>ACOSTA ORTEGA AIDA J</t>
        </is>
      </c>
      <c r="G266" s="11" t="inlineStr"/>
      <c r="H266" s="11" t="inlineStr">
        <is>
          <t>INTERFACE P.O.S.</t>
        </is>
      </c>
      <c r="I266" s="11" t="n">
        <v>68600</v>
      </c>
      <c r="J266" s="11" t="inlineStr"/>
    </row>
    <row r="267">
      <c r="A267" s="11" t="n">
        <v>266</v>
      </c>
      <c r="B267" s="12" t="n">
        <v>46052</v>
      </c>
      <c r="C267" s="11" t="inlineStr">
        <is>
          <t>CE</t>
        </is>
      </c>
      <c r="D267" s="11" t="inlineStr">
        <is>
          <t>9281</t>
        </is>
      </c>
      <c r="E267" s="11" t="inlineStr">
        <is>
          <t>800186960</t>
        </is>
      </c>
      <c r="F267" s="11" t="inlineStr">
        <is>
          <t>ALTIPAL S.A.S</t>
        </is>
      </c>
      <c r="G267" s="11" t="inlineStr">
        <is>
          <t>5958</t>
        </is>
      </c>
      <c r="H267" s="11" t="inlineStr">
        <is>
          <t>PF ALTIPAL</t>
        </is>
      </c>
      <c r="I267" s="11" t="inlineStr"/>
      <c r="J267" s="11" t="n">
        <v>6009576</v>
      </c>
    </row>
    <row r="268">
      <c r="A268" s="11" t="n">
        <v>267</v>
      </c>
      <c r="B268" s="12" t="n">
        <v>46052</v>
      </c>
      <c r="C268" s="11" t="inlineStr">
        <is>
          <t>INTF</t>
        </is>
      </c>
      <c r="D268" s="11" t="inlineStr">
        <is>
          <t>202601</t>
        </is>
      </c>
      <c r="E268" s="11" t="inlineStr">
        <is>
          <t>1123322878</t>
        </is>
      </c>
      <c r="F268" s="11" t="inlineStr">
        <is>
          <t>CABRERA GUTIERREZ JE</t>
        </is>
      </c>
      <c r="G268" s="11" t="inlineStr"/>
      <c r="H268" s="11" t="inlineStr">
        <is>
          <t>INTERFACE P.O.S.</t>
        </is>
      </c>
      <c r="I268" s="11" t="n">
        <v>149598</v>
      </c>
      <c r="J268" s="11" t="inlineStr"/>
    </row>
    <row r="269">
      <c r="A269" s="11" t="n">
        <v>268</v>
      </c>
      <c r="B269" s="12" t="n">
        <v>46052</v>
      </c>
      <c r="C269" s="11" t="inlineStr">
        <is>
          <t>INTF</t>
        </is>
      </c>
      <c r="D269" s="11" t="inlineStr">
        <is>
          <t>202601</t>
        </is>
      </c>
      <c r="E269" s="11" t="inlineStr">
        <is>
          <t>1089481032</t>
        </is>
      </c>
      <c r="F269" s="11" t="inlineStr">
        <is>
          <t>BURBANO ARBOLEDA OMA</t>
        </is>
      </c>
      <c r="G269" s="11" t="inlineStr"/>
      <c r="H269" s="11" t="inlineStr">
        <is>
          <t>INTERFACE P.O.S.</t>
        </is>
      </c>
      <c r="I269" s="11" t="n">
        <v>40640</v>
      </c>
      <c r="J269" s="11" t="inlineStr"/>
    </row>
    <row r="270">
      <c r="A270" s="11" t="n">
        <v>269</v>
      </c>
      <c r="B270" s="12" t="n">
        <v>46052</v>
      </c>
      <c r="C270" s="11" t="inlineStr">
        <is>
          <t>INTF</t>
        </is>
      </c>
      <c r="D270" s="11" t="inlineStr">
        <is>
          <t>202601</t>
        </is>
      </c>
      <c r="E270" s="11" t="inlineStr">
        <is>
          <t>1006848777</t>
        </is>
      </c>
      <c r="F270" s="11" t="inlineStr">
        <is>
          <t>RUIZ TARAPUEZ LUIS D</t>
        </is>
      </c>
      <c r="G270" s="11" t="inlineStr"/>
      <c r="H270" s="11" t="inlineStr">
        <is>
          <t>INTERFACE P.O.S.</t>
        </is>
      </c>
      <c r="I270" s="11" t="n">
        <v>79000</v>
      </c>
      <c r="J270" s="11" t="inlineStr"/>
    </row>
    <row r="271">
      <c r="A271" s="11" t="n">
        <v>270</v>
      </c>
      <c r="B271" s="12" t="n">
        <v>46052</v>
      </c>
      <c r="C271" s="11" t="inlineStr">
        <is>
          <t>INTF</t>
        </is>
      </c>
      <c r="D271" s="11" t="inlineStr">
        <is>
          <t>202601</t>
        </is>
      </c>
      <c r="E271" s="11" t="inlineStr">
        <is>
          <t>1106738578</t>
        </is>
      </c>
      <c r="F271" s="11" t="inlineStr">
        <is>
          <t>HORTUA GUZMAN VICTOR</t>
        </is>
      </c>
      <c r="G271" s="11" t="inlineStr"/>
      <c r="H271" s="11" t="inlineStr">
        <is>
          <t>INTERFACE P.O.S.</t>
        </is>
      </c>
      <c r="I271" s="11" t="n">
        <v>121700</v>
      </c>
      <c r="J271" s="11" t="inlineStr"/>
    </row>
    <row r="272">
      <c r="A272" s="11" t="n">
        <v>271</v>
      </c>
      <c r="B272" s="12" t="n">
        <v>46052</v>
      </c>
      <c r="C272" s="11" t="inlineStr">
        <is>
          <t>INTF</t>
        </is>
      </c>
      <c r="D272" s="11" t="inlineStr">
        <is>
          <t>202601</t>
        </is>
      </c>
      <c r="E272" s="11" t="inlineStr">
        <is>
          <t>5207773</t>
        </is>
      </c>
      <c r="F272" s="11" t="inlineStr">
        <is>
          <t>PANTOJA DONY NORVE</t>
        </is>
      </c>
      <c r="G272" s="11" t="inlineStr"/>
      <c r="H272" s="11" t="inlineStr">
        <is>
          <t>INTERFACE P.O.S.</t>
        </is>
      </c>
      <c r="I272" s="11" t="n">
        <v>23000</v>
      </c>
      <c r="J272" s="11" t="inlineStr"/>
    </row>
    <row r="273">
      <c r="A273" s="11" t="n">
        <v>272</v>
      </c>
      <c r="B273" s="12" t="n">
        <v>46053</v>
      </c>
      <c r="C273" s="11" t="inlineStr">
        <is>
          <t>GB</t>
        </is>
      </c>
      <c r="D273" s="11" t="inlineStr">
        <is>
          <t>87</t>
        </is>
      </c>
      <c r="E273" s="11" t="inlineStr">
        <is>
          <t>800037800</t>
        </is>
      </c>
      <c r="F273" s="11" t="inlineStr">
        <is>
          <t>BANCO AGRARIO DE COL</t>
        </is>
      </c>
      <c r="G273" s="11" t="inlineStr">
        <is>
          <t>87</t>
        </is>
      </c>
      <c r="H273" s="11" t="inlineStr"/>
      <c r="I273" s="11" t="inlineStr"/>
      <c r="J273" s="11" t="n">
        <v>1190512</v>
      </c>
    </row>
    <row r="274">
      <c r="A274" s="11" t="n">
        <v>273</v>
      </c>
      <c r="B274" s="12" t="n">
        <v>46053</v>
      </c>
      <c r="C274" s="11" t="inlineStr">
        <is>
          <t>GB</t>
        </is>
      </c>
      <c r="D274" s="11" t="inlineStr">
        <is>
          <t>87</t>
        </is>
      </c>
      <c r="E274" s="11" t="inlineStr">
        <is>
          <t>800037800</t>
        </is>
      </c>
      <c r="F274" s="11" t="inlineStr">
        <is>
          <t>BANCO AGRARIO DE COL</t>
        </is>
      </c>
      <c r="G274" s="11" t="inlineStr">
        <is>
          <t>87</t>
        </is>
      </c>
      <c r="H274" s="11" t="inlineStr">
        <is>
          <t>AJUSTE AL PESO</t>
        </is>
      </c>
      <c r="I274" s="11" t="n">
        <v>22</v>
      </c>
      <c r="J274" s="11" t="inlineStr"/>
    </row>
    <row r="275">
      <c r="A275" s="11" t="n">
        <v>274</v>
      </c>
      <c r="B275" s="12" t="n">
        <v>46053</v>
      </c>
      <c r="C275" s="11" t="inlineStr">
        <is>
          <t>INTF</t>
        </is>
      </c>
      <c r="D275" s="11" t="inlineStr">
        <is>
          <t>202601</t>
        </is>
      </c>
      <c r="E275" s="11" t="inlineStr">
        <is>
          <t>41110276</t>
        </is>
      </c>
      <c r="F275" s="11" t="inlineStr">
        <is>
          <t>CORTEZ CAYCEDO HELID</t>
        </is>
      </c>
      <c r="G275" s="11" t="inlineStr"/>
      <c r="H275" s="11" t="inlineStr">
        <is>
          <t>INTERFACE P.O.S.</t>
        </is>
      </c>
      <c r="I275" s="11" t="n">
        <v>360800</v>
      </c>
      <c r="J275" s="11" t="inlineStr"/>
    </row>
    <row r="276">
      <c r="A276" s="11" t="n">
        <v>275</v>
      </c>
      <c r="B276" s="12" t="n">
        <v>46053</v>
      </c>
      <c r="C276" s="11" t="inlineStr">
        <is>
          <t>INTF</t>
        </is>
      </c>
      <c r="D276" s="11" t="inlineStr">
        <is>
          <t>202601</t>
        </is>
      </c>
      <c r="E276" s="11" t="inlineStr">
        <is>
          <t>94061986</t>
        </is>
      </c>
      <c r="F276" s="11" t="inlineStr">
        <is>
          <t>CARRETERO DIAZ OSCAR</t>
        </is>
      </c>
      <c r="G276" s="11" t="inlineStr"/>
      <c r="H276" s="11" t="inlineStr">
        <is>
          <t>INTERFACE P.O.S.</t>
        </is>
      </c>
      <c r="I276" s="11" t="n">
        <v>356400</v>
      </c>
      <c r="J276" s="11" t="inlineStr"/>
    </row>
    <row r="277">
      <c r="A277" s="11" t="n">
        <v>276</v>
      </c>
      <c r="B277" s="12" t="n">
        <v>46053</v>
      </c>
      <c r="C277" s="11" t="inlineStr">
        <is>
          <t>INTF</t>
        </is>
      </c>
      <c r="D277" s="11" t="inlineStr">
        <is>
          <t>202601</t>
        </is>
      </c>
      <c r="E277" s="11" t="inlineStr">
        <is>
          <t>52703959</t>
        </is>
      </c>
      <c r="F277" s="11" t="inlineStr">
        <is>
          <t>ZULETA CRUZATE DIANA</t>
        </is>
      </c>
      <c r="G277" s="11" t="inlineStr"/>
      <c r="H277" s="11" t="inlineStr">
        <is>
          <t>INTERFACE P.O.S.</t>
        </is>
      </c>
      <c r="I277" s="11" t="n">
        <v>37600</v>
      </c>
      <c r="J277" s="11" t="inlineStr"/>
    </row>
    <row r="278">
      <c r="A278" s="11" t="n">
        <v>277</v>
      </c>
      <c r="B278" s="12" t="n">
        <v>46053</v>
      </c>
      <c r="C278" s="11" t="inlineStr">
        <is>
          <t>INTF</t>
        </is>
      </c>
      <c r="D278" s="11" t="inlineStr">
        <is>
          <t>202601</t>
        </is>
      </c>
      <c r="E278" s="11" t="inlineStr">
        <is>
          <t>79998867</t>
        </is>
      </c>
      <c r="F278" s="11" t="inlineStr">
        <is>
          <t>CAICEDO JIMENEZ CAR</t>
        </is>
      </c>
      <c r="G278" s="11" t="inlineStr"/>
      <c r="H278" s="11" t="inlineStr">
        <is>
          <t>INTERFACE P.O.S.</t>
        </is>
      </c>
      <c r="I278" s="11" t="n">
        <v>264360</v>
      </c>
      <c r="J278" s="11" t="inlineStr"/>
    </row>
    <row r="279">
      <c r="A279" s="11" t="n">
        <v>278</v>
      </c>
      <c r="B279" s="12" t="n">
        <v>46053</v>
      </c>
      <c r="C279" s="11" t="inlineStr">
        <is>
          <t>INTF</t>
        </is>
      </c>
      <c r="D279" s="11" t="inlineStr">
        <is>
          <t>202601</t>
        </is>
      </c>
      <c r="E279" s="11" t="inlineStr">
        <is>
          <t>41108192</t>
        </is>
      </c>
      <c r="F279" s="11" t="inlineStr">
        <is>
          <t>ARANGO MEZA ALBA PAT</t>
        </is>
      </c>
      <c r="G279" s="11" t="inlineStr"/>
      <c r="H279" s="11" t="inlineStr">
        <is>
          <t>INTERFACE P.O.S.</t>
        </is>
      </c>
      <c r="I279" s="11" t="n">
        <v>34900</v>
      </c>
      <c r="J279" s="11" t="inlineStr"/>
    </row>
    <row r="280">
      <c r="A280" s="11" t="n">
        <v>279</v>
      </c>
      <c r="B280" s="12" t="n">
        <v>46053</v>
      </c>
      <c r="C280" s="11" t="inlineStr">
        <is>
          <t>INTF</t>
        </is>
      </c>
      <c r="D280" s="11" t="inlineStr">
        <is>
          <t>202601</t>
        </is>
      </c>
      <c r="E280" s="11" t="inlineStr">
        <is>
          <t>38680249</t>
        </is>
      </c>
      <c r="F280" s="11" t="inlineStr">
        <is>
          <t>GRISALES MELO ZULMA</t>
        </is>
      </c>
      <c r="G280" s="11" t="inlineStr"/>
      <c r="H280" s="11" t="inlineStr">
        <is>
          <t>INTERFACE P.O.S.</t>
        </is>
      </c>
      <c r="I280" s="11" t="n">
        <v>27806</v>
      </c>
      <c r="J280" s="11" t="inlineStr"/>
    </row>
    <row r="281">
      <c r="A281" s="11" t="n">
        <v>280</v>
      </c>
      <c r="B281" s="12" t="n">
        <v>46053</v>
      </c>
      <c r="C281" s="11" t="inlineStr">
        <is>
          <t>INTF</t>
        </is>
      </c>
      <c r="D281" s="11" t="inlineStr">
        <is>
          <t>202601</t>
        </is>
      </c>
      <c r="E281" s="11" t="inlineStr">
        <is>
          <t>79535199</t>
        </is>
      </c>
      <c r="F281" s="11" t="inlineStr">
        <is>
          <t>ORTIZ ZAMBRANO ABELA</t>
        </is>
      </c>
      <c r="G281" s="11" t="inlineStr"/>
      <c r="H281" s="11" t="inlineStr">
        <is>
          <t>INTERFACE P.O.S.</t>
        </is>
      </c>
      <c r="I281" s="11" t="n">
        <v>138600</v>
      </c>
      <c r="J281" s="11" t="inlineStr"/>
    </row>
    <row r="282">
      <c r="A282" s="11" t="n">
        <v>281</v>
      </c>
      <c r="B282" s="12" t="n">
        <v>46053</v>
      </c>
      <c r="C282" s="11" t="inlineStr">
        <is>
          <t>INTF</t>
        </is>
      </c>
      <c r="D282" s="11" t="inlineStr">
        <is>
          <t>202601</t>
        </is>
      </c>
      <c r="E282" s="11" t="inlineStr">
        <is>
          <t>1086298475</t>
        </is>
      </c>
      <c r="F282" s="11" t="inlineStr">
        <is>
          <t>CUARAN CUARAN PABLO</t>
        </is>
      </c>
      <c r="G282" s="11" t="inlineStr"/>
      <c r="H282" s="11" t="inlineStr">
        <is>
          <t>INTERFACE P.O.S.</t>
        </is>
      </c>
      <c r="I282" s="11" t="n">
        <v>113200</v>
      </c>
      <c r="J282" s="11" t="inlineStr"/>
    </row>
  </sheetData>
  <autoFilter ref="A1:J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2026-06-03T22:55:50Z</dcterms:created>
  <dcterms:modified xmlns:dcterms="http://purl.org/dc/terms/" xmlns:xsi="http://www.w3.org/2001/XMLSchema-instance" xsi:type="dcterms:W3CDTF">2026-06-03T22:55:57Z</dcterms:modified>
</cp:coreProperties>
</file>