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 auxiliar vs banco" sheetId="1" state="visible" r:id="rId1"/>
    <sheet xmlns:r="http://schemas.openxmlformats.org/officeDocument/2006/relationships" name="Conciliacion de compuestos" sheetId="2" state="visible" r:id="rId2"/>
    <sheet xmlns:r="http://schemas.openxmlformats.org/officeDocument/2006/relationships" name="Registros pendientes del banco" sheetId="3" state="visible" r:id="rId3"/>
    <sheet xmlns:r="http://schemas.openxmlformats.org/officeDocument/2006/relationships" name="Conceptos bancarios" sheetId="4" state="visible" r:id="rId4"/>
  </sheets>
  <definedNames>
    <definedName name="_xlnm._FilterDatabase" localSheetId="0" hidden="1">'Libro auxiliar vs banco'!$A$3:$H$397</definedName>
    <definedName name="_xlnm._FilterDatabase" localSheetId="1" hidden="1">'Conciliacion de compuestos'!$A$1:$O$48</definedName>
    <definedName name="_xlnm._FilterDatabase" localSheetId="2" hidden="1">'Registros pendientes del banco'!$A$2:$E$1933</definedName>
    <definedName name="_xlnm._FilterDatabase" localSheetId="3" hidden="1">'Conceptos bancarios'!$A$1:$D$1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i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A64D79"/>
        <bgColor rgb="00A64D79"/>
      </patternFill>
    </fill>
    <fill>
      <patternFill patternType="solid">
        <fgColor rgb="003C78D8"/>
        <bgColor rgb="003C78D8"/>
      </patternFill>
    </fill>
    <fill>
      <patternFill patternType="solid">
        <fgColor rgb="00BF9000"/>
        <bgColor rgb="00BF90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64" fontId="0" fillId="0" borderId="1" pivotButton="0" quotePrefix="0" xfId="0"/>
    <xf numFmtId="4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Conciliacion</author>
  </authors>
  <commentList>
    <comment ref="H3" authorId="0" shapeId="0">
      <text>
        <t>Podrías usar un formato así:
ID / dd-mm-yyyy / nombre / valor
ID / dd-mm-yyyy / nombre / valor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14" customWidth="1" min="4" max="4"/>
    <col width="14" customWidth="1" min="5" max="5"/>
    <col width="55" customWidth="1" min="6" max="6"/>
    <col width="14" customWidth="1" min="7" max="7"/>
    <col width="55" customWidth="1" min="8" max="8"/>
    <col hidden="1" width="13" customWidth="1" min="9" max="9"/>
  </cols>
  <sheetData>
    <row r="1">
      <c r="A1" s="1" t="inlineStr">
        <is>
          <t>Conciliacion Bancaria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Libro Auxiliar</t>
        </is>
      </c>
      <c r="B2" s="4" t="n"/>
      <c r="C2" s="2" t="n"/>
      <c r="D2" s="5" t="n"/>
      <c r="E2" s="6" t="inlineStr">
        <is>
          <t>Conciliacion Automatica</t>
        </is>
      </c>
      <c r="F2" s="2" t="n"/>
      <c r="G2" s="7" t="inlineStr">
        <is>
          <t>Conciliacion manual</t>
        </is>
      </c>
      <c r="H2" s="2" t="n"/>
      <c r="I2" s="2" t="n"/>
    </row>
    <row r="3">
      <c r="A3" s="8" t="inlineStr">
        <is>
          <t>ID</t>
        </is>
      </c>
      <c r="B3" s="9" t="inlineStr">
        <is>
          <t>Fecha</t>
        </is>
      </c>
      <c r="C3" s="8" t="inlineStr">
        <is>
          <t>Nombre</t>
        </is>
      </c>
      <c r="D3" s="10" t="inlineStr">
        <is>
          <t>Valor</t>
        </is>
      </c>
      <c r="E3" s="8" t="inlineStr">
        <is>
          <t>Estado</t>
        </is>
      </c>
      <c r="F3" s="8" t="inlineStr">
        <is>
          <t>Conciliado del banco con registros:</t>
        </is>
      </c>
      <c r="G3" s="8" t="inlineStr">
        <is>
          <t>Estado</t>
        </is>
      </c>
      <c r="H3" s="8" t="inlineStr">
        <is>
          <t>Conciliado del banco con registros:</t>
        </is>
      </c>
      <c r="I3" s="8" t="inlineStr">
        <is>
          <t>Estado automatico base</t>
        </is>
      </c>
    </row>
    <row r="4">
      <c r="A4" s="11" t="n">
        <v>366</v>
      </c>
      <c r="B4" s="12" t="n">
        <v>46021</v>
      </c>
      <c r="C4" s="11" t="inlineStr">
        <is>
          <t>barrera garcia harol</t>
        </is>
      </c>
      <c r="D4" s="13" t="n">
        <v>21300</v>
      </c>
      <c r="E4" s="11">
        <f>IF(G4="conciliado","conciliado",I4)</f>
        <v/>
      </c>
      <c r="F4" s="11">
        <f>IF(SUM(COUNTIFS('Conciliacion de compuestos'!$D$2:$D$48,"conciliado",'Conciliacion de compuestos'!$E$2:$E$48,"OK",'Conciliacion de compuestos'!$M$2:$M$48,A4),COUNTIFS('Conciliacion de compuestos'!$D$2:$D$48,"conciliado",'Conciliacion de compuestos'!$E$2:$E$48,"OK",'Conciliacion de compuestos'!$N$2:$N$48,A4),COUNTIFS('Conciliacion de compuestos'!$D$2:$D$48,"conciliado",'Conciliacion de compuestos'!$E$2:$E$48,"OK",'Conciliacion de compuestos'!$O$2:$O$48,A4))&gt;0,IFERROR(TEXTJOIN(CHAR(10),TRUE,FILTER('Conciliacion de compuestos'!$A$2:$A$48,('Conciliacion de compuestos'!$D$2:$D$48="conciliado")*('Conciliacion de compuestos'!$E$2:$E$48="OK")*((('Conciliacion de compuestos'!$M$2:$M$48=A4)+('Conciliacion de compuestos'!$N$2:$N$48=A4)+('Conciliacion de compuestos'!$O$2:$O$48=A4))&gt;0))),""),"")</f>
        <v/>
      </c>
      <c r="G4" s="11">
        <f>IF(I4="conciliado","conciliado","por revisar")</f>
        <v/>
      </c>
      <c r="H4" s="11" t="inlineStr"/>
      <c r="I4" s="11">
        <f>IF(SUM(COUNTIFS('Conciliacion de compuestos'!$D$2:$D$48,"conciliado",'Conciliacion de compuestos'!$E$2:$E$48,"OK",'Conciliacion de compuestos'!$M$2:$M$48,A4),COUNTIFS('Conciliacion de compuestos'!$D$2:$D$48,"conciliado",'Conciliacion de compuestos'!$E$2:$E$48,"OK",'Conciliacion de compuestos'!$N$2:$N$48,A4),COUNTIFS('Conciliacion de compuestos'!$D$2:$D$48,"conciliado",'Conciliacion de compuestos'!$E$2:$E$48,"OK",'Conciliacion de compuestos'!$O$2:$O$48,A4))&gt;0,"conciliado","por revisar")</f>
        <v/>
      </c>
    </row>
    <row r="5">
      <c r="A5" s="11" t="n">
        <v>213</v>
      </c>
      <c r="B5" s="12" t="n">
        <v>46011</v>
      </c>
      <c r="C5" s="11" t="inlineStr">
        <is>
          <t>barrera garcia harol</t>
        </is>
      </c>
      <c r="D5" s="13" t="n">
        <v>20900</v>
      </c>
      <c r="E5" s="11">
        <f>IF(G5="conciliado","conciliado",I5)</f>
        <v/>
      </c>
      <c r="F5" s="11">
        <f>IF(SUM(COUNTIFS('Conciliacion de compuestos'!$D$2:$D$48,"conciliado",'Conciliacion de compuestos'!$E$2:$E$48,"OK",'Conciliacion de compuestos'!$M$2:$M$48,A5),COUNTIFS('Conciliacion de compuestos'!$D$2:$D$48,"conciliado",'Conciliacion de compuestos'!$E$2:$E$48,"OK",'Conciliacion de compuestos'!$N$2:$N$48,A5),COUNTIFS('Conciliacion de compuestos'!$D$2:$D$48,"conciliado",'Conciliacion de compuestos'!$E$2:$E$48,"OK",'Conciliacion de compuestos'!$O$2:$O$48,A5))&gt;0,IFERROR(TEXTJOIN(CHAR(10),TRUE,FILTER('Conciliacion de compuestos'!$A$2:$A$48,('Conciliacion de compuestos'!$D$2:$D$48="conciliado")*('Conciliacion de compuestos'!$E$2:$E$48="OK")*((('Conciliacion de compuestos'!$M$2:$M$48=A5)+('Conciliacion de compuestos'!$N$2:$N$48=A5)+('Conciliacion de compuestos'!$O$2:$O$48=A5))&gt;0))),""),"")</f>
        <v/>
      </c>
      <c r="G5" s="11">
        <f>IF(I5="conciliado","conciliado","por revisar")</f>
        <v/>
      </c>
      <c r="H5" s="11" t="inlineStr"/>
      <c r="I5" s="11">
        <f>IF(SUM(COUNTIFS('Conciliacion de compuestos'!$D$2:$D$48,"conciliado",'Conciliacion de compuestos'!$E$2:$E$48,"OK",'Conciliacion de compuestos'!$M$2:$M$48,A5),COUNTIFS('Conciliacion de compuestos'!$D$2:$D$48,"conciliado",'Conciliacion de compuestos'!$E$2:$E$48,"OK",'Conciliacion de compuestos'!$N$2:$N$48,A5),COUNTIFS('Conciliacion de compuestos'!$D$2:$D$48,"conciliado",'Conciliacion de compuestos'!$E$2:$E$48,"OK",'Conciliacion de compuestos'!$O$2:$O$48,A5))&gt;0,"conciliado","por revisar")</f>
        <v/>
      </c>
    </row>
    <row r="6">
      <c r="A6" s="11" t="n">
        <v>389</v>
      </c>
      <c r="B6" s="12" t="n">
        <v>46022</v>
      </c>
      <c r="C6" s="11" t="inlineStr">
        <is>
          <t>lui munoz pantoja</t>
        </is>
      </c>
      <c r="D6" s="13" t="n">
        <v>22400</v>
      </c>
      <c r="E6" s="11">
        <f>IF(G6="conciliado","conciliado",I6)</f>
        <v/>
      </c>
      <c r="F6" s="11">
        <f>IF(SUM(COUNTIFS('Conciliacion de compuestos'!$D$2:$D$48,"conciliado",'Conciliacion de compuestos'!$E$2:$E$48,"OK",'Conciliacion de compuestos'!$M$2:$M$48,A6),COUNTIFS('Conciliacion de compuestos'!$D$2:$D$48,"conciliado",'Conciliacion de compuestos'!$E$2:$E$48,"OK",'Conciliacion de compuestos'!$N$2:$N$48,A6),COUNTIFS('Conciliacion de compuestos'!$D$2:$D$48,"conciliado",'Conciliacion de compuestos'!$E$2:$E$48,"OK",'Conciliacion de compuestos'!$O$2:$O$48,A6))&gt;0,IFERROR(TEXTJOIN(CHAR(10),TRUE,FILTER('Conciliacion de compuestos'!$A$2:$A$48,('Conciliacion de compuestos'!$D$2:$D$48="conciliado")*('Conciliacion de compuestos'!$E$2:$E$48="OK")*((('Conciliacion de compuestos'!$M$2:$M$48=A6)+('Conciliacion de compuestos'!$N$2:$N$48=A6)+('Conciliacion de compuestos'!$O$2:$O$48=A6))&gt;0))),""),"")</f>
        <v/>
      </c>
      <c r="G6" s="11">
        <f>IF(I6="conciliado","conciliado","por revisar")</f>
        <v/>
      </c>
      <c r="H6" s="11" t="inlineStr"/>
      <c r="I6" s="11">
        <f>IF(SUM(COUNTIFS('Conciliacion de compuestos'!$D$2:$D$48,"conciliado",'Conciliacion de compuestos'!$E$2:$E$48,"OK",'Conciliacion de compuestos'!$M$2:$M$48,A6),COUNTIFS('Conciliacion de compuestos'!$D$2:$D$48,"conciliado",'Conciliacion de compuestos'!$E$2:$E$48,"OK",'Conciliacion de compuestos'!$N$2:$N$48,A6),COUNTIFS('Conciliacion de compuestos'!$D$2:$D$48,"conciliado",'Conciliacion de compuestos'!$E$2:$E$48,"OK",'Conciliacion de compuestos'!$O$2:$O$48,A6))&gt;0,"conciliado","por revisar")</f>
        <v/>
      </c>
    </row>
    <row r="7">
      <c r="A7" s="11" t="n">
        <v>180</v>
      </c>
      <c r="B7" s="12" t="n">
        <v>46009</v>
      </c>
      <c r="C7" s="11" t="inlineStr">
        <is>
          <t>carabali herna ocoro</t>
        </is>
      </c>
      <c r="D7" s="13" t="n">
        <v>22000</v>
      </c>
      <c r="E7" s="11">
        <f>IF(G7="conciliado","conciliado",I7)</f>
        <v/>
      </c>
      <c r="F7" s="11">
        <f>IF(SUM(COUNTIFS('Conciliacion de compuestos'!$D$2:$D$48,"conciliado",'Conciliacion de compuestos'!$E$2:$E$48,"OK",'Conciliacion de compuestos'!$M$2:$M$48,A7),COUNTIFS('Conciliacion de compuestos'!$D$2:$D$48,"conciliado",'Conciliacion de compuestos'!$E$2:$E$48,"OK",'Conciliacion de compuestos'!$N$2:$N$48,A7),COUNTIFS('Conciliacion de compuestos'!$D$2:$D$48,"conciliado",'Conciliacion de compuestos'!$E$2:$E$48,"OK",'Conciliacion de compuestos'!$O$2:$O$48,A7))&gt;0,IFERROR(TEXTJOIN(CHAR(10),TRUE,FILTER('Conciliacion de compuestos'!$A$2:$A$48,('Conciliacion de compuestos'!$D$2:$D$48="conciliado")*('Conciliacion de compuestos'!$E$2:$E$48="OK")*((('Conciliacion de compuestos'!$M$2:$M$48=A7)+('Conciliacion de compuestos'!$N$2:$N$48=A7)+('Conciliacion de compuestos'!$O$2:$O$48=A7))&gt;0))),""),"")</f>
        <v/>
      </c>
      <c r="G7" s="11">
        <f>IF(I7="conciliado","conciliado","por revisar")</f>
        <v/>
      </c>
      <c r="H7" s="11" t="inlineStr"/>
      <c r="I7" s="11">
        <f>IF(SUM(COUNTIFS('Conciliacion de compuestos'!$D$2:$D$48,"conciliado",'Conciliacion de compuestos'!$E$2:$E$48,"OK",'Conciliacion de compuestos'!$M$2:$M$48,A7),COUNTIFS('Conciliacion de compuestos'!$D$2:$D$48,"conciliado",'Conciliacion de compuestos'!$E$2:$E$48,"OK",'Conciliacion de compuestos'!$N$2:$N$48,A7),COUNTIFS('Conciliacion de compuestos'!$D$2:$D$48,"conciliado",'Conciliacion de compuestos'!$E$2:$E$48,"OK",'Conciliacion de compuestos'!$O$2:$O$48,A7))&gt;0,"conciliado","por revisar")</f>
        <v/>
      </c>
    </row>
    <row r="8">
      <c r="A8" s="11" t="n">
        <v>64</v>
      </c>
      <c r="B8" s="12" t="n">
        <v>45998</v>
      </c>
      <c r="C8" s="11" t="inlineStr">
        <is>
          <t>imues oscar sanchez</t>
        </is>
      </c>
      <c r="D8" s="13" t="n">
        <v>32200</v>
      </c>
      <c r="E8" s="11">
        <f>IF(G8="conciliado","conciliado",I8)</f>
        <v/>
      </c>
      <c r="F8" s="11">
        <f>IF(SUM(COUNTIFS('Conciliacion de compuestos'!$D$2:$D$48,"conciliado",'Conciliacion de compuestos'!$E$2:$E$48,"OK",'Conciliacion de compuestos'!$M$2:$M$48,A8),COUNTIFS('Conciliacion de compuestos'!$D$2:$D$48,"conciliado",'Conciliacion de compuestos'!$E$2:$E$48,"OK",'Conciliacion de compuestos'!$N$2:$N$48,A8),COUNTIFS('Conciliacion de compuestos'!$D$2:$D$48,"conciliado",'Conciliacion de compuestos'!$E$2:$E$48,"OK",'Conciliacion de compuestos'!$O$2:$O$48,A8))&gt;0,IFERROR(TEXTJOIN(CHAR(10),TRUE,FILTER('Conciliacion de compuestos'!$A$2:$A$48,('Conciliacion de compuestos'!$D$2:$D$48="conciliado")*('Conciliacion de compuestos'!$E$2:$E$48="OK")*((('Conciliacion de compuestos'!$M$2:$M$48=A8)+('Conciliacion de compuestos'!$N$2:$N$48=A8)+('Conciliacion de compuestos'!$O$2:$O$48=A8))&gt;0))),""),"")</f>
        <v/>
      </c>
      <c r="G8" s="11">
        <f>IF(I8="conciliado","conciliado","por revisar")</f>
        <v/>
      </c>
      <c r="H8" s="11" t="inlineStr"/>
      <c r="I8" s="11">
        <f>IF(SUM(COUNTIFS('Conciliacion de compuestos'!$D$2:$D$48,"conciliado",'Conciliacion de compuestos'!$E$2:$E$48,"OK",'Conciliacion de compuestos'!$M$2:$M$48,A8),COUNTIFS('Conciliacion de compuestos'!$D$2:$D$48,"conciliado",'Conciliacion de compuestos'!$E$2:$E$48,"OK",'Conciliacion de compuestos'!$N$2:$N$48,A8),COUNTIFS('Conciliacion de compuestos'!$D$2:$D$48,"conciliado",'Conciliacion de compuestos'!$E$2:$E$48,"OK",'Conciliacion de compuestos'!$O$2:$O$48,A8))&gt;0,"conciliado","por revisar")</f>
        <v/>
      </c>
    </row>
    <row r="9">
      <c r="A9" s="11" t="n">
        <v>8</v>
      </c>
      <c r="B9" s="12" t="n">
        <v>45992</v>
      </c>
      <c r="C9" s="11" t="inlineStr">
        <is>
          <t>car luis orozco uran</t>
        </is>
      </c>
      <c r="D9" s="13" t="n">
        <v>282550</v>
      </c>
      <c r="E9" s="11">
        <f>IF(G9="conciliado","conciliado",I9)</f>
        <v/>
      </c>
      <c r="F9" s="11">
        <f>IF(SUM(COUNTIFS('Conciliacion de compuestos'!$D$2:$D$48,"conciliado",'Conciliacion de compuestos'!$E$2:$E$48,"OK",'Conciliacion de compuestos'!$M$2:$M$48,A9),COUNTIFS('Conciliacion de compuestos'!$D$2:$D$48,"conciliado",'Conciliacion de compuestos'!$E$2:$E$48,"OK",'Conciliacion de compuestos'!$N$2:$N$48,A9),COUNTIFS('Conciliacion de compuestos'!$D$2:$D$48,"conciliado",'Conciliacion de compuestos'!$E$2:$E$48,"OK",'Conciliacion de compuestos'!$O$2:$O$48,A9))&gt;0,IFERROR(TEXTJOIN(CHAR(10),TRUE,FILTER('Conciliacion de compuestos'!$A$2:$A$48,('Conciliacion de compuestos'!$D$2:$D$48="conciliado")*('Conciliacion de compuestos'!$E$2:$E$48="OK")*((('Conciliacion de compuestos'!$M$2:$M$48=A9)+('Conciliacion de compuestos'!$N$2:$N$48=A9)+('Conciliacion de compuestos'!$O$2:$O$48=A9))&gt;0))),""),"")</f>
        <v/>
      </c>
      <c r="G9" s="11">
        <f>IF(I9="conciliado","conciliado","por revisar")</f>
        <v/>
      </c>
      <c r="H9" s="11" t="inlineStr"/>
      <c r="I9" s="11">
        <f>IF(SUM(COUNTIFS('Conciliacion de compuestos'!$D$2:$D$48,"conciliado",'Conciliacion de compuestos'!$E$2:$E$48,"OK",'Conciliacion de compuestos'!$M$2:$M$48,A9),COUNTIFS('Conciliacion de compuestos'!$D$2:$D$48,"conciliado",'Conciliacion de compuestos'!$E$2:$E$48,"OK",'Conciliacion de compuestos'!$N$2:$N$48,A9),COUNTIFS('Conciliacion de compuestos'!$D$2:$D$48,"conciliado",'Conciliacion de compuestos'!$E$2:$E$48,"OK",'Conciliacion de compuestos'!$O$2:$O$48,A9))&gt;0,"conciliado","por revisar")</f>
        <v/>
      </c>
    </row>
    <row r="10">
      <c r="A10" s="11" t="n">
        <v>4</v>
      </c>
      <c r="B10" s="12" t="n">
        <v>45992</v>
      </c>
      <c r="C10" s="11" t="inlineStr">
        <is>
          <t>bolanos paladines st</t>
        </is>
      </c>
      <c r="D10" s="13" t="n">
        <v>504500</v>
      </c>
      <c r="E10" s="11">
        <f>IF(G10="conciliado","conciliado",I10)</f>
        <v/>
      </c>
      <c r="F10" s="11">
        <f>IF(SUM(COUNTIFS('Conciliacion de compuestos'!$D$2:$D$48,"conciliado",'Conciliacion de compuestos'!$E$2:$E$48,"OK",'Conciliacion de compuestos'!$M$2:$M$48,A10),COUNTIFS('Conciliacion de compuestos'!$D$2:$D$48,"conciliado",'Conciliacion de compuestos'!$E$2:$E$48,"OK",'Conciliacion de compuestos'!$N$2:$N$48,A10),COUNTIFS('Conciliacion de compuestos'!$D$2:$D$48,"conciliado",'Conciliacion de compuestos'!$E$2:$E$48,"OK",'Conciliacion de compuestos'!$O$2:$O$48,A10))&gt;0,IFERROR(TEXTJOIN(CHAR(10),TRUE,FILTER('Conciliacion de compuestos'!$A$2:$A$48,('Conciliacion de compuestos'!$D$2:$D$48="conciliado")*('Conciliacion de compuestos'!$E$2:$E$48="OK")*((('Conciliacion de compuestos'!$M$2:$M$48=A10)+('Conciliacion de compuestos'!$N$2:$N$48=A10)+('Conciliacion de compuestos'!$O$2:$O$48=A10))&gt;0))),""),"")</f>
        <v/>
      </c>
      <c r="G10" s="11">
        <f>IF(I10="conciliado","conciliado","por revisar")</f>
        <v/>
      </c>
      <c r="H10" s="11" t="inlineStr"/>
      <c r="I10" s="11">
        <f>IF(SUM(COUNTIFS('Conciliacion de compuestos'!$D$2:$D$48,"conciliado",'Conciliacion de compuestos'!$E$2:$E$48,"OK",'Conciliacion de compuestos'!$M$2:$M$48,A10),COUNTIFS('Conciliacion de compuestos'!$D$2:$D$48,"conciliado",'Conciliacion de compuestos'!$E$2:$E$48,"OK",'Conciliacion de compuestos'!$N$2:$N$48,A10),COUNTIFS('Conciliacion de compuestos'!$D$2:$D$48,"conciliado",'Conciliacion de compuestos'!$E$2:$E$48,"OK",'Conciliacion de compuestos'!$O$2:$O$48,A10))&gt;0,"conciliado","por revisar")</f>
        <v/>
      </c>
    </row>
    <row r="11">
      <c r="A11" s="11" t="n">
        <v>1</v>
      </c>
      <c r="B11" s="12" t="n">
        <v>45992</v>
      </c>
      <c r="C11" s="11" t="inlineStr">
        <is>
          <t>carretero diaz oscar</t>
        </is>
      </c>
      <c r="D11" s="13" t="n">
        <v>66200</v>
      </c>
      <c r="E11" s="11">
        <f>IF(G11="conciliado","conciliado",I11)</f>
        <v/>
      </c>
      <c r="F11" s="11">
        <f>IF(SUM(COUNTIFS('Conciliacion de compuestos'!$D$2:$D$48,"conciliado",'Conciliacion de compuestos'!$E$2:$E$48,"OK",'Conciliacion de compuestos'!$M$2:$M$48,A11),COUNTIFS('Conciliacion de compuestos'!$D$2:$D$48,"conciliado",'Conciliacion de compuestos'!$E$2:$E$48,"OK",'Conciliacion de compuestos'!$N$2:$N$48,A11),COUNTIFS('Conciliacion de compuestos'!$D$2:$D$48,"conciliado",'Conciliacion de compuestos'!$E$2:$E$48,"OK",'Conciliacion de compuestos'!$O$2:$O$48,A11))&gt;0,IFERROR(TEXTJOIN(CHAR(10),TRUE,FILTER('Conciliacion de compuestos'!$A$2:$A$48,('Conciliacion de compuestos'!$D$2:$D$48="conciliado")*('Conciliacion de compuestos'!$E$2:$E$48="OK")*((('Conciliacion de compuestos'!$M$2:$M$48=A11)+('Conciliacion de compuestos'!$N$2:$N$48=A11)+('Conciliacion de compuestos'!$O$2:$O$48=A11))&gt;0))),""),"")</f>
        <v/>
      </c>
      <c r="G11" s="11">
        <f>IF(I11="conciliado","conciliado","por revisar")</f>
        <v/>
      </c>
      <c r="H11" s="11" t="inlineStr"/>
      <c r="I11" s="11">
        <f>IF(SUM(COUNTIFS('Conciliacion de compuestos'!$D$2:$D$48,"conciliado",'Conciliacion de compuestos'!$E$2:$E$48,"OK",'Conciliacion de compuestos'!$M$2:$M$48,A11),COUNTIFS('Conciliacion de compuestos'!$D$2:$D$48,"conciliado",'Conciliacion de compuestos'!$E$2:$E$48,"OK",'Conciliacion de compuestos'!$N$2:$N$48,A11),COUNTIFS('Conciliacion de compuestos'!$D$2:$D$48,"conciliado",'Conciliacion de compuestos'!$E$2:$E$48,"OK",'Conciliacion de compuestos'!$O$2:$O$48,A11))&gt;0,"conciliado","por revisar")</f>
        <v/>
      </c>
    </row>
    <row r="12">
      <c r="A12" s="11" t="n">
        <v>6</v>
      </c>
      <c r="B12" s="12" t="n">
        <v>45992</v>
      </c>
      <c r="C12" s="11" t="inlineStr">
        <is>
          <t>gomez rene roque</t>
        </is>
      </c>
      <c r="D12" s="13" t="n">
        <v>42765</v>
      </c>
      <c r="E12" s="11">
        <f>IF(G12="conciliado","conciliado",I12)</f>
        <v/>
      </c>
      <c r="F12" s="11">
        <f>IF(SUM(COUNTIFS('Conciliacion de compuestos'!$D$2:$D$48,"conciliado",'Conciliacion de compuestos'!$E$2:$E$48,"OK",'Conciliacion de compuestos'!$M$2:$M$48,A12),COUNTIFS('Conciliacion de compuestos'!$D$2:$D$48,"conciliado",'Conciliacion de compuestos'!$E$2:$E$48,"OK",'Conciliacion de compuestos'!$N$2:$N$48,A12),COUNTIFS('Conciliacion de compuestos'!$D$2:$D$48,"conciliado",'Conciliacion de compuestos'!$E$2:$E$48,"OK",'Conciliacion de compuestos'!$O$2:$O$48,A12))&gt;0,IFERROR(TEXTJOIN(CHAR(10),TRUE,FILTER('Conciliacion de compuestos'!$A$2:$A$48,('Conciliacion de compuestos'!$D$2:$D$48="conciliado")*('Conciliacion de compuestos'!$E$2:$E$48="OK")*((('Conciliacion de compuestos'!$M$2:$M$48=A12)+('Conciliacion de compuestos'!$N$2:$N$48=A12)+('Conciliacion de compuestos'!$O$2:$O$48=A12))&gt;0))),""),"")</f>
        <v/>
      </c>
      <c r="G12" s="11">
        <f>IF(I12="conciliado","conciliado","por revisar")</f>
        <v/>
      </c>
      <c r="H12" s="11" t="inlineStr"/>
      <c r="I12" s="11">
        <f>IF(SUM(COUNTIFS('Conciliacion de compuestos'!$D$2:$D$48,"conciliado",'Conciliacion de compuestos'!$E$2:$E$48,"OK",'Conciliacion de compuestos'!$M$2:$M$48,A12),COUNTIFS('Conciliacion de compuestos'!$D$2:$D$48,"conciliado",'Conciliacion de compuestos'!$E$2:$E$48,"OK",'Conciliacion de compuestos'!$N$2:$N$48,A12),COUNTIFS('Conciliacion de compuestos'!$D$2:$D$48,"conciliado",'Conciliacion de compuestos'!$E$2:$E$48,"OK",'Conciliacion de compuestos'!$O$2:$O$48,A12))&gt;0,"conciliado","por revisar")</f>
        <v/>
      </c>
    </row>
    <row r="13">
      <c r="A13" s="11" t="n">
        <v>7</v>
      </c>
      <c r="B13" s="12" t="n">
        <v>45992</v>
      </c>
      <c r="C13" s="11" t="inlineStr">
        <is>
          <t>ca caicedo jimenez</t>
        </is>
      </c>
      <c r="D13" s="13" t="n">
        <v>62000</v>
      </c>
      <c r="E13" s="11">
        <f>IF(G13="conciliado","conciliado",I13)</f>
        <v/>
      </c>
      <c r="F13" s="11">
        <f>IF(SUM(COUNTIFS('Conciliacion de compuestos'!$D$2:$D$48,"conciliado",'Conciliacion de compuestos'!$E$2:$E$48,"OK",'Conciliacion de compuestos'!$M$2:$M$48,A13),COUNTIFS('Conciliacion de compuestos'!$D$2:$D$48,"conciliado",'Conciliacion de compuestos'!$E$2:$E$48,"OK",'Conciliacion de compuestos'!$N$2:$N$48,A13),COUNTIFS('Conciliacion de compuestos'!$D$2:$D$48,"conciliado",'Conciliacion de compuestos'!$E$2:$E$48,"OK",'Conciliacion de compuestos'!$O$2:$O$48,A13))&gt;0,IFERROR(TEXTJOIN(CHAR(10),TRUE,FILTER('Conciliacion de compuestos'!$A$2:$A$48,('Conciliacion de compuestos'!$D$2:$D$48="conciliado")*('Conciliacion de compuestos'!$E$2:$E$48="OK")*((('Conciliacion de compuestos'!$M$2:$M$48=A13)+('Conciliacion de compuestos'!$N$2:$N$48=A13)+('Conciliacion de compuestos'!$O$2:$O$48=A13))&gt;0))),""),"")</f>
        <v/>
      </c>
      <c r="G13" s="11">
        <f>IF(I13="conciliado","conciliado","por revisar")</f>
        <v/>
      </c>
      <c r="H13" s="11" t="inlineStr"/>
      <c r="I13" s="11">
        <f>IF(SUM(COUNTIFS('Conciliacion de compuestos'!$D$2:$D$48,"conciliado",'Conciliacion de compuestos'!$E$2:$E$48,"OK",'Conciliacion de compuestos'!$M$2:$M$48,A13),COUNTIFS('Conciliacion de compuestos'!$D$2:$D$48,"conciliado",'Conciliacion de compuestos'!$E$2:$E$48,"OK",'Conciliacion de compuestos'!$N$2:$N$48,A13),COUNTIFS('Conciliacion de compuestos'!$D$2:$D$48,"conciliado",'Conciliacion de compuestos'!$E$2:$E$48,"OK",'Conciliacion de compuestos'!$O$2:$O$48,A13))&gt;0,"conciliado","por revisar")</f>
        <v/>
      </c>
    </row>
    <row r="14">
      <c r="A14" s="11" t="n">
        <v>2</v>
      </c>
      <c r="B14" s="12" t="n">
        <v>45992</v>
      </c>
      <c r="C14" s="11" t="inlineStr">
        <is>
          <t>gomez jimenez judith</t>
        </is>
      </c>
      <c r="D14" s="13" t="n">
        <v>44880</v>
      </c>
      <c r="E14" s="11">
        <f>IF(G14="conciliado","conciliado",I14)</f>
        <v/>
      </c>
      <c r="F14" s="11">
        <f>IF(SUM(COUNTIFS('Conciliacion de compuestos'!$D$2:$D$48,"conciliado",'Conciliacion de compuestos'!$E$2:$E$48,"OK",'Conciliacion de compuestos'!$M$2:$M$48,A14),COUNTIFS('Conciliacion de compuestos'!$D$2:$D$48,"conciliado",'Conciliacion de compuestos'!$E$2:$E$48,"OK",'Conciliacion de compuestos'!$N$2:$N$48,A14),COUNTIFS('Conciliacion de compuestos'!$D$2:$D$48,"conciliado",'Conciliacion de compuestos'!$E$2:$E$48,"OK",'Conciliacion de compuestos'!$O$2:$O$48,A14))&gt;0,IFERROR(TEXTJOIN(CHAR(10),TRUE,FILTER('Conciliacion de compuestos'!$A$2:$A$48,('Conciliacion de compuestos'!$D$2:$D$48="conciliado")*('Conciliacion de compuestos'!$E$2:$E$48="OK")*((('Conciliacion de compuestos'!$M$2:$M$48=A14)+('Conciliacion de compuestos'!$N$2:$N$48=A14)+('Conciliacion de compuestos'!$O$2:$O$48=A14))&gt;0))),""),"")</f>
        <v/>
      </c>
      <c r="G14" s="11">
        <f>IF(I14="conciliado","conciliado","por revisar")</f>
        <v/>
      </c>
      <c r="H14" s="11" t="inlineStr"/>
      <c r="I14" s="11">
        <f>IF(SUM(COUNTIFS('Conciliacion de compuestos'!$D$2:$D$48,"conciliado",'Conciliacion de compuestos'!$E$2:$E$48,"OK",'Conciliacion de compuestos'!$M$2:$M$48,A14),COUNTIFS('Conciliacion de compuestos'!$D$2:$D$48,"conciliado",'Conciliacion de compuestos'!$E$2:$E$48,"OK",'Conciliacion de compuestos'!$N$2:$N$48,A14),COUNTIFS('Conciliacion de compuestos'!$D$2:$D$48,"conciliado",'Conciliacion de compuestos'!$E$2:$E$48,"OK",'Conciliacion de compuestos'!$O$2:$O$48,A14))&gt;0,"conciliado","por revisar")</f>
        <v/>
      </c>
    </row>
    <row r="15">
      <c r="A15" s="11" t="n">
        <v>3</v>
      </c>
      <c r="B15" s="12" t="n">
        <v>45992</v>
      </c>
      <c r="C15" s="11" t="inlineStr">
        <is>
          <t>buelvas diaz jose mi</t>
        </is>
      </c>
      <c r="D15" s="13" t="n">
        <v>68800</v>
      </c>
      <c r="E15" s="11">
        <f>IF(G15="conciliado","conciliado",I15)</f>
        <v/>
      </c>
      <c r="F15" s="11">
        <f>IF(SUM(COUNTIFS('Conciliacion de compuestos'!$D$2:$D$48,"conciliado",'Conciliacion de compuestos'!$E$2:$E$48,"OK",'Conciliacion de compuestos'!$M$2:$M$48,A15),COUNTIFS('Conciliacion de compuestos'!$D$2:$D$48,"conciliado",'Conciliacion de compuestos'!$E$2:$E$48,"OK",'Conciliacion de compuestos'!$N$2:$N$48,A15),COUNTIFS('Conciliacion de compuestos'!$D$2:$D$48,"conciliado",'Conciliacion de compuestos'!$E$2:$E$48,"OK",'Conciliacion de compuestos'!$O$2:$O$48,A15))&gt;0,IFERROR(TEXTJOIN(CHAR(10),TRUE,FILTER('Conciliacion de compuestos'!$A$2:$A$48,('Conciliacion de compuestos'!$D$2:$D$48="conciliado")*('Conciliacion de compuestos'!$E$2:$E$48="OK")*((('Conciliacion de compuestos'!$M$2:$M$48=A15)+('Conciliacion de compuestos'!$N$2:$N$48=A15)+('Conciliacion de compuestos'!$O$2:$O$48=A15))&gt;0))),""),"")</f>
        <v/>
      </c>
      <c r="G15" s="11">
        <f>IF(I15="conciliado","conciliado","por revisar")</f>
        <v/>
      </c>
      <c r="H15" s="11" t="inlineStr"/>
      <c r="I15" s="11">
        <f>IF(SUM(COUNTIFS('Conciliacion de compuestos'!$D$2:$D$48,"conciliado",'Conciliacion de compuestos'!$E$2:$E$48,"OK",'Conciliacion de compuestos'!$M$2:$M$48,A15),COUNTIFS('Conciliacion de compuestos'!$D$2:$D$48,"conciliado",'Conciliacion de compuestos'!$E$2:$E$48,"OK",'Conciliacion de compuestos'!$N$2:$N$48,A15),COUNTIFS('Conciliacion de compuestos'!$D$2:$D$48,"conciliado",'Conciliacion de compuestos'!$E$2:$E$48,"OK",'Conciliacion de compuestos'!$O$2:$O$48,A15))&gt;0,"conciliado","por revisar")</f>
        <v/>
      </c>
    </row>
    <row r="16">
      <c r="A16" s="11" t="n">
        <v>5</v>
      </c>
      <c r="B16" s="12" t="n">
        <v>45992</v>
      </c>
      <c r="C16" s="11" t="inlineStr">
        <is>
          <t>citelly frank molano</t>
        </is>
      </c>
      <c r="D16" s="13" t="n">
        <v>26000</v>
      </c>
      <c r="E16" s="11">
        <f>IF(G16="conciliado","conciliado",I16)</f>
        <v/>
      </c>
      <c r="F16" s="11">
        <f>IF(SUM(COUNTIFS('Conciliacion de compuestos'!$D$2:$D$48,"conciliado",'Conciliacion de compuestos'!$E$2:$E$48,"OK",'Conciliacion de compuestos'!$M$2:$M$48,A16),COUNTIFS('Conciliacion de compuestos'!$D$2:$D$48,"conciliado",'Conciliacion de compuestos'!$E$2:$E$48,"OK",'Conciliacion de compuestos'!$N$2:$N$48,A16),COUNTIFS('Conciliacion de compuestos'!$D$2:$D$48,"conciliado",'Conciliacion de compuestos'!$E$2:$E$48,"OK",'Conciliacion de compuestos'!$O$2:$O$48,A16))&gt;0,IFERROR(TEXTJOIN(CHAR(10),TRUE,FILTER('Conciliacion de compuestos'!$A$2:$A$48,('Conciliacion de compuestos'!$D$2:$D$48="conciliado")*('Conciliacion de compuestos'!$E$2:$E$48="OK")*((('Conciliacion de compuestos'!$M$2:$M$48=A16)+('Conciliacion de compuestos'!$N$2:$N$48=A16)+('Conciliacion de compuestos'!$O$2:$O$48=A16))&gt;0))),""),"")</f>
        <v/>
      </c>
      <c r="G16" s="11">
        <f>IF(I16="conciliado","conciliado","por revisar")</f>
        <v/>
      </c>
      <c r="H16" s="11" t="inlineStr"/>
      <c r="I16" s="11">
        <f>IF(SUM(COUNTIFS('Conciliacion de compuestos'!$D$2:$D$48,"conciliado",'Conciliacion de compuestos'!$E$2:$E$48,"OK",'Conciliacion de compuestos'!$M$2:$M$48,A16),COUNTIFS('Conciliacion de compuestos'!$D$2:$D$48,"conciliado",'Conciliacion de compuestos'!$E$2:$E$48,"OK",'Conciliacion de compuestos'!$N$2:$N$48,A16),COUNTIFS('Conciliacion de compuestos'!$D$2:$D$48,"conciliado",'Conciliacion de compuestos'!$E$2:$E$48,"OK",'Conciliacion de compuestos'!$O$2:$O$48,A16))&gt;0,"conciliado","por revisar")</f>
        <v/>
      </c>
    </row>
    <row r="17">
      <c r="A17" s="11" t="n">
        <v>13</v>
      </c>
      <c r="B17" s="12" t="n">
        <v>45993</v>
      </c>
      <c r="C17" s="11" t="inlineStr">
        <is>
          <t>cristi nastacuas pai</t>
        </is>
      </c>
      <c r="D17" s="13" t="n">
        <v>43400</v>
      </c>
      <c r="E17" s="11">
        <f>IF(G17="conciliado","conciliado",I17)</f>
        <v/>
      </c>
      <c r="F17" s="11">
        <f>IF(SUM(COUNTIFS('Conciliacion de compuestos'!$D$2:$D$48,"conciliado",'Conciliacion de compuestos'!$E$2:$E$48,"OK",'Conciliacion de compuestos'!$M$2:$M$48,A17),COUNTIFS('Conciliacion de compuestos'!$D$2:$D$48,"conciliado",'Conciliacion de compuestos'!$E$2:$E$48,"OK",'Conciliacion de compuestos'!$N$2:$N$48,A17),COUNTIFS('Conciliacion de compuestos'!$D$2:$D$48,"conciliado",'Conciliacion de compuestos'!$E$2:$E$48,"OK",'Conciliacion de compuestos'!$O$2:$O$48,A17))&gt;0,IFERROR(TEXTJOIN(CHAR(10),TRUE,FILTER('Conciliacion de compuestos'!$A$2:$A$48,('Conciliacion de compuestos'!$D$2:$D$48="conciliado")*('Conciliacion de compuestos'!$E$2:$E$48="OK")*((('Conciliacion de compuestos'!$M$2:$M$48=A17)+('Conciliacion de compuestos'!$N$2:$N$48=A17)+('Conciliacion de compuestos'!$O$2:$O$48=A17))&gt;0))),""),"")</f>
        <v/>
      </c>
      <c r="G17" s="11">
        <f>IF(I17="conciliado","conciliado","por revisar")</f>
        <v/>
      </c>
      <c r="H17" s="11" t="inlineStr"/>
      <c r="I17" s="11">
        <f>IF(SUM(COUNTIFS('Conciliacion de compuestos'!$D$2:$D$48,"conciliado",'Conciliacion de compuestos'!$E$2:$E$48,"OK",'Conciliacion de compuestos'!$M$2:$M$48,A17),COUNTIFS('Conciliacion de compuestos'!$D$2:$D$48,"conciliado",'Conciliacion de compuestos'!$E$2:$E$48,"OK",'Conciliacion de compuestos'!$N$2:$N$48,A17),COUNTIFS('Conciliacion de compuestos'!$D$2:$D$48,"conciliado",'Conciliacion de compuestos'!$E$2:$E$48,"OK",'Conciliacion de compuestos'!$O$2:$O$48,A17))&gt;0,"conciliado","por revisar")</f>
        <v/>
      </c>
    </row>
    <row r="18">
      <c r="A18" s="11" t="n">
        <v>11</v>
      </c>
      <c r="B18" s="12" t="n">
        <v>45993</v>
      </c>
      <c r="C18" s="11" t="inlineStr">
        <is>
          <t>l piedad ramos rueda</t>
        </is>
      </c>
      <c r="D18" s="13" t="n">
        <v>95200</v>
      </c>
      <c r="E18" s="11">
        <f>IF(G18="conciliado","conciliado",I18)</f>
        <v/>
      </c>
      <c r="F18" s="11">
        <f>IF(SUM(COUNTIFS('Conciliacion de compuestos'!$D$2:$D$48,"conciliado",'Conciliacion de compuestos'!$E$2:$E$48,"OK",'Conciliacion de compuestos'!$M$2:$M$48,A18),COUNTIFS('Conciliacion de compuestos'!$D$2:$D$48,"conciliado",'Conciliacion de compuestos'!$E$2:$E$48,"OK",'Conciliacion de compuestos'!$N$2:$N$48,A18),COUNTIFS('Conciliacion de compuestos'!$D$2:$D$48,"conciliado",'Conciliacion de compuestos'!$E$2:$E$48,"OK",'Conciliacion de compuestos'!$O$2:$O$48,A18))&gt;0,IFERROR(TEXTJOIN(CHAR(10),TRUE,FILTER('Conciliacion de compuestos'!$A$2:$A$48,('Conciliacion de compuestos'!$D$2:$D$48="conciliado")*('Conciliacion de compuestos'!$E$2:$E$48="OK")*((('Conciliacion de compuestos'!$M$2:$M$48=A18)+('Conciliacion de compuestos'!$N$2:$N$48=A18)+('Conciliacion de compuestos'!$O$2:$O$48=A18))&gt;0))),""),"")</f>
        <v/>
      </c>
      <c r="G18" s="11">
        <f>IF(I18="conciliado","conciliado","por revisar")</f>
        <v/>
      </c>
      <c r="H18" s="11" t="inlineStr"/>
      <c r="I18" s="11">
        <f>IF(SUM(COUNTIFS('Conciliacion de compuestos'!$D$2:$D$48,"conciliado",'Conciliacion de compuestos'!$E$2:$E$48,"OK",'Conciliacion de compuestos'!$M$2:$M$48,A18),COUNTIFS('Conciliacion de compuestos'!$D$2:$D$48,"conciliado",'Conciliacion de compuestos'!$E$2:$E$48,"OK",'Conciliacion de compuestos'!$N$2:$N$48,A18),COUNTIFS('Conciliacion de compuestos'!$D$2:$D$48,"conciliado",'Conciliacion de compuestos'!$E$2:$E$48,"OK",'Conciliacion de compuestos'!$O$2:$O$48,A18))&gt;0,"conciliado","por revisar")</f>
        <v/>
      </c>
    </row>
    <row r="19">
      <c r="A19" s="11" t="n">
        <v>12</v>
      </c>
      <c r="B19" s="12" t="n">
        <v>45993</v>
      </c>
      <c r="C19" s="11" t="inlineStr">
        <is>
          <t>guzman hortua victor</t>
        </is>
      </c>
      <c r="D19" s="13" t="n">
        <v>52220</v>
      </c>
      <c r="E19" s="11">
        <f>IF(G19="conciliado","conciliado",I19)</f>
        <v/>
      </c>
      <c r="F19" s="11">
        <f>IF(SUM(COUNTIFS('Conciliacion de compuestos'!$D$2:$D$48,"conciliado",'Conciliacion de compuestos'!$E$2:$E$48,"OK",'Conciliacion de compuestos'!$M$2:$M$48,A19),COUNTIFS('Conciliacion de compuestos'!$D$2:$D$48,"conciliado",'Conciliacion de compuestos'!$E$2:$E$48,"OK",'Conciliacion de compuestos'!$N$2:$N$48,A19),COUNTIFS('Conciliacion de compuestos'!$D$2:$D$48,"conciliado",'Conciliacion de compuestos'!$E$2:$E$48,"OK",'Conciliacion de compuestos'!$O$2:$O$48,A19))&gt;0,IFERROR(TEXTJOIN(CHAR(10),TRUE,FILTER('Conciliacion de compuestos'!$A$2:$A$48,('Conciliacion de compuestos'!$D$2:$D$48="conciliado")*('Conciliacion de compuestos'!$E$2:$E$48="OK")*((('Conciliacion de compuestos'!$M$2:$M$48=A19)+('Conciliacion de compuestos'!$N$2:$N$48=A19)+('Conciliacion de compuestos'!$O$2:$O$48=A19))&gt;0))),""),"")</f>
        <v/>
      </c>
      <c r="G19" s="11">
        <f>IF(I19="conciliado","conciliado","por revisar")</f>
        <v/>
      </c>
      <c r="H19" s="11" t="inlineStr"/>
      <c r="I19" s="11">
        <f>IF(SUM(COUNTIFS('Conciliacion de compuestos'!$D$2:$D$48,"conciliado",'Conciliacion de compuestos'!$E$2:$E$48,"OK",'Conciliacion de compuestos'!$M$2:$M$48,A19),COUNTIFS('Conciliacion de compuestos'!$D$2:$D$48,"conciliado",'Conciliacion de compuestos'!$E$2:$E$48,"OK",'Conciliacion de compuestos'!$N$2:$N$48,A19),COUNTIFS('Conciliacion de compuestos'!$D$2:$D$48,"conciliado",'Conciliacion de compuestos'!$E$2:$E$48,"OK",'Conciliacion de compuestos'!$O$2:$O$48,A19))&gt;0,"conciliado","por revisar")</f>
        <v/>
      </c>
    </row>
    <row r="20">
      <c r="A20" s="11" t="n">
        <v>10</v>
      </c>
      <c r="B20" s="12" t="n">
        <v>45993</v>
      </c>
      <c r="C20" s="11" t="inlineStr">
        <is>
          <t>andrea nathaly tacan</t>
        </is>
      </c>
      <c r="D20" s="13" t="n">
        <v>31500</v>
      </c>
      <c r="E20" s="11">
        <f>IF(G20="conciliado","conciliado",I20)</f>
        <v/>
      </c>
      <c r="F20" s="11">
        <f>IF(SUM(COUNTIFS('Conciliacion de compuestos'!$D$2:$D$48,"conciliado",'Conciliacion de compuestos'!$E$2:$E$48,"OK",'Conciliacion de compuestos'!$M$2:$M$48,A20),COUNTIFS('Conciliacion de compuestos'!$D$2:$D$48,"conciliado",'Conciliacion de compuestos'!$E$2:$E$48,"OK",'Conciliacion de compuestos'!$N$2:$N$48,A20),COUNTIFS('Conciliacion de compuestos'!$D$2:$D$48,"conciliado",'Conciliacion de compuestos'!$E$2:$E$48,"OK",'Conciliacion de compuestos'!$O$2:$O$48,A20))&gt;0,IFERROR(TEXTJOIN(CHAR(10),TRUE,FILTER('Conciliacion de compuestos'!$A$2:$A$48,('Conciliacion de compuestos'!$D$2:$D$48="conciliado")*('Conciliacion de compuestos'!$E$2:$E$48="OK")*((('Conciliacion de compuestos'!$M$2:$M$48=A20)+('Conciliacion de compuestos'!$N$2:$N$48=A20)+('Conciliacion de compuestos'!$O$2:$O$48=A20))&gt;0))),""),"")</f>
        <v/>
      </c>
      <c r="G20" s="11">
        <f>IF(I20="conciliado","conciliado","por revisar")</f>
        <v/>
      </c>
      <c r="H20" s="11" t="inlineStr"/>
      <c r="I20" s="11">
        <f>IF(SUM(COUNTIFS('Conciliacion de compuestos'!$D$2:$D$48,"conciliado",'Conciliacion de compuestos'!$E$2:$E$48,"OK",'Conciliacion de compuestos'!$M$2:$M$48,A20),COUNTIFS('Conciliacion de compuestos'!$D$2:$D$48,"conciliado",'Conciliacion de compuestos'!$E$2:$E$48,"OK",'Conciliacion de compuestos'!$N$2:$N$48,A20),COUNTIFS('Conciliacion de compuestos'!$D$2:$D$48,"conciliado",'Conciliacion de compuestos'!$E$2:$E$48,"OK",'Conciliacion de compuestos'!$O$2:$O$48,A20))&gt;0,"conciliado","por revisar")</f>
        <v/>
      </c>
    </row>
    <row r="21">
      <c r="A21" s="11" t="n">
        <v>9</v>
      </c>
      <c r="B21" s="12" t="n">
        <v>45993</v>
      </c>
      <c r="C21" s="11" t="inlineStr">
        <is>
          <t>acosta jaiber rosero</t>
        </is>
      </c>
      <c r="D21" s="13" t="n">
        <v>196000</v>
      </c>
      <c r="E21" s="11">
        <f>IF(G21="conciliado","conciliado",I21)</f>
        <v/>
      </c>
      <c r="F21" s="11">
        <f>IF(SUM(COUNTIFS('Conciliacion de compuestos'!$D$2:$D$48,"conciliado",'Conciliacion de compuestos'!$E$2:$E$48,"OK",'Conciliacion de compuestos'!$M$2:$M$48,A21),COUNTIFS('Conciliacion de compuestos'!$D$2:$D$48,"conciliado",'Conciliacion de compuestos'!$E$2:$E$48,"OK",'Conciliacion de compuestos'!$N$2:$N$48,A21),COUNTIFS('Conciliacion de compuestos'!$D$2:$D$48,"conciliado",'Conciliacion de compuestos'!$E$2:$E$48,"OK",'Conciliacion de compuestos'!$O$2:$O$48,A21))&gt;0,IFERROR(TEXTJOIN(CHAR(10),TRUE,FILTER('Conciliacion de compuestos'!$A$2:$A$48,('Conciliacion de compuestos'!$D$2:$D$48="conciliado")*('Conciliacion de compuestos'!$E$2:$E$48="OK")*((('Conciliacion de compuestos'!$M$2:$M$48=A21)+('Conciliacion de compuestos'!$N$2:$N$48=A21)+('Conciliacion de compuestos'!$O$2:$O$48=A21))&gt;0))),""),"")</f>
        <v/>
      </c>
      <c r="G21" s="11">
        <f>IF(I21="conciliado","conciliado","por revisar")</f>
        <v/>
      </c>
      <c r="H21" s="11" t="inlineStr"/>
      <c r="I21" s="11">
        <f>IF(SUM(COUNTIFS('Conciliacion de compuestos'!$D$2:$D$48,"conciliado",'Conciliacion de compuestos'!$E$2:$E$48,"OK",'Conciliacion de compuestos'!$M$2:$M$48,A21),COUNTIFS('Conciliacion de compuestos'!$D$2:$D$48,"conciliado",'Conciliacion de compuestos'!$E$2:$E$48,"OK",'Conciliacion de compuestos'!$N$2:$N$48,A21),COUNTIFS('Conciliacion de compuestos'!$D$2:$D$48,"conciliado",'Conciliacion de compuestos'!$E$2:$E$48,"OK",'Conciliacion de compuestos'!$O$2:$O$48,A21))&gt;0,"conciliado","por revisar")</f>
        <v/>
      </c>
    </row>
    <row r="22">
      <c r="A22" s="11" t="n">
        <v>14</v>
      </c>
      <c r="B22" s="12" t="n">
        <v>45994</v>
      </c>
      <c r="C22" s="11" t="inlineStr">
        <is>
          <t>a altipal s s</t>
        </is>
      </c>
      <c r="D22" s="13" t="n">
        <v>-1421972</v>
      </c>
      <c r="E22" s="11">
        <f>IF(G22="conciliado","conciliado",I22)</f>
        <v/>
      </c>
      <c r="F22" s="11" t="inlineStr">
        <is>
          <t>191 | 2025-12-03 | -1,421,972 | entre inte internet terceros transferencias</t>
        </is>
      </c>
      <c r="G22" s="11">
        <f>IF(I22="conciliado","conciliado","por revisar")</f>
        <v/>
      </c>
      <c r="H22" s="11" t="inlineStr"/>
      <c r="I22" s="11" t="inlineStr">
        <is>
          <t>conciliado</t>
        </is>
      </c>
    </row>
    <row r="23">
      <c r="A23" s="11" t="n">
        <v>15</v>
      </c>
      <c r="B23" s="12" t="n">
        <v>45994</v>
      </c>
      <c r="C23" s="11" t="inlineStr">
        <is>
          <t>ltda neiva ventas</t>
        </is>
      </c>
      <c r="D23" s="13" t="n">
        <v>-2357032</v>
      </c>
      <c r="E23" s="11">
        <f>IF(G23="conciliado","conciliado",I23)</f>
        <v/>
      </c>
      <c r="F23" s="11" t="inlineStr">
        <is>
          <t>193 | 2025-12-03 | -2,357,032 | entre inte internet terceros transferencias</t>
        </is>
      </c>
      <c r="G23" s="11">
        <f>IF(I23="conciliado","conciliado","por revisar")</f>
        <v/>
      </c>
      <c r="H23" s="11" t="inlineStr"/>
      <c r="I23" s="11" t="inlineStr">
        <is>
          <t>conciliado</t>
        </is>
      </c>
    </row>
    <row r="24">
      <c r="A24" s="11" t="n">
        <v>17</v>
      </c>
      <c r="B24" s="12" t="n">
        <v>45994</v>
      </c>
      <c r="C24" s="11" t="inlineStr">
        <is>
          <t>jaramillo leid ramos</t>
        </is>
      </c>
      <c r="D24" s="13" t="n">
        <v>52800</v>
      </c>
      <c r="E24" s="11">
        <f>IF(G24="conciliado","conciliado",I24)</f>
        <v/>
      </c>
      <c r="F24" s="11">
        <f>IF(SUM(COUNTIFS('Conciliacion de compuestos'!$D$2:$D$48,"conciliado",'Conciliacion de compuestos'!$E$2:$E$48,"OK",'Conciliacion de compuestos'!$M$2:$M$48,A24),COUNTIFS('Conciliacion de compuestos'!$D$2:$D$48,"conciliado",'Conciliacion de compuestos'!$E$2:$E$48,"OK",'Conciliacion de compuestos'!$N$2:$N$48,A24),COUNTIFS('Conciliacion de compuestos'!$D$2:$D$48,"conciliado",'Conciliacion de compuestos'!$E$2:$E$48,"OK",'Conciliacion de compuestos'!$O$2:$O$48,A24))&gt;0,IFERROR(TEXTJOIN(CHAR(10),TRUE,FILTER('Conciliacion de compuestos'!$A$2:$A$48,('Conciliacion de compuestos'!$D$2:$D$48="conciliado")*('Conciliacion de compuestos'!$E$2:$E$48="OK")*((('Conciliacion de compuestos'!$M$2:$M$48=A24)+('Conciliacion de compuestos'!$N$2:$N$48=A24)+('Conciliacion de compuestos'!$O$2:$O$48=A24))&gt;0))),""),"")</f>
        <v/>
      </c>
      <c r="G24" s="11">
        <f>IF(I24="conciliado","conciliado","por revisar")</f>
        <v/>
      </c>
      <c r="H24" s="11" t="inlineStr"/>
      <c r="I24" s="11">
        <f>IF(SUM(COUNTIFS('Conciliacion de compuestos'!$D$2:$D$48,"conciliado",'Conciliacion de compuestos'!$E$2:$E$48,"OK",'Conciliacion de compuestos'!$M$2:$M$48,A24),COUNTIFS('Conciliacion de compuestos'!$D$2:$D$48,"conciliado",'Conciliacion de compuestos'!$E$2:$E$48,"OK",'Conciliacion de compuestos'!$N$2:$N$48,A24),COUNTIFS('Conciliacion de compuestos'!$D$2:$D$48,"conciliado",'Conciliacion de compuestos'!$E$2:$E$48,"OK",'Conciliacion de compuestos'!$O$2:$O$48,A24))&gt;0,"conciliado","por revisar")</f>
        <v/>
      </c>
    </row>
    <row r="25">
      <c r="A25" s="11" t="n">
        <v>16</v>
      </c>
      <c r="B25" s="12" t="n">
        <v>45994</v>
      </c>
      <c r="C25" s="11" t="inlineStr">
        <is>
          <t>arteaga ayda m troya</t>
        </is>
      </c>
      <c r="D25" s="13" t="n">
        <v>38200</v>
      </c>
      <c r="E25" s="11">
        <f>IF(G25="conciliado","conciliado",I25)</f>
        <v/>
      </c>
      <c r="F25" s="11">
        <f>IF(SUM(COUNTIFS('Conciliacion de compuestos'!$D$2:$D$48,"conciliado",'Conciliacion de compuestos'!$E$2:$E$48,"OK",'Conciliacion de compuestos'!$M$2:$M$48,A25),COUNTIFS('Conciliacion de compuestos'!$D$2:$D$48,"conciliado",'Conciliacion de compuestos'!$E$2:$E$48,"OK",'Conciliacion de compuestos'!$N$2:$N$48,A25),COUNTIFS('Conciliacion de compuestos'!$D$2:$D$48,"conciliado",'Conciliacion de compuestos'!$E$2:$E$48,"OK",'Conciliacion de compuestos'!$O$2:$O$48,A25))&gt;0,IFERROR(TEXTJOIN(CHAR(10),TRUE,FILTER('Conciliacion de compuestos'!$A$2:$A$48,('Conciliacion de compuestos'!$D$2:$D$48="conciliado")*('Conciliacion de compuestos'!$E$2:$E$48="OK")*((('Conciliacion de compuestos'!$M$2:$M$48=A25)+('Conciliacion de compuestos'!$N$2:$N$48=A25)+('Conciliacion de compuestos'!$O$2:$O$48=A25))&gt;0))),""),"")</f>
        <v/>
      </c>
      <c r="G25" s="11">
        <f>IF(I25="conciliado","conciliado","por revisar")</f>
        <v/>
      </c>
      <c r="H25" s="11" t="inlineStr"/>
      <c r="I25" s="11">
        <f>IF(SUM(COUNTIFS('Conciliacion de compuestos'!$D$2:$D$48,"conciliado",'Conciliacion de compuestos'!$E$2:$E$48,"OK",'Conciliacion de compuestos'!$M$2:$M$48,A25),COUNTIFS('Conciliacion de compuestos'!$D$2:$D$48,"conciliado",'Conciliacion de compuestos'!$E$2:$E$48,"OK",'Conciliacion de compuestos'!$N$2:$N$48,A25),COUNTIFS('Conciliacion de compuestos'!$D$2:$D$48,"conciliado",'Conciliacion de compuestos'!$E$2:$E$48,"OK",'Conciliacion de compuestos'!$O$2:$O$48,A25))&gt;0,"conciliado","por revisar")</f>
        <v/>
      </c>
    </row>
    <row r="26">
      <c r="A26" s="11" t="n">
        <v>20</v>
      </c>
      <c r="B26" s="12" t="n">
        <v>45994</v>
      </c>
      <c r="C26" s="11" t="inlineStr">
        <is>
          <t>al enriquez yaguapaz</t>
        </is>
      </c>
      <c r="D26" s="13" t="n">
        <v>23564</v>
      </c>
      <c r="E26" s="11">
        <f>IF(G26="conciliado","conciliado",I26)</f>
        <v/>
      </c>
      <c r="F26" s="11">
        <f>IF(SUM(COUNTIFS('Conciliacion de compuestos'!$D$2:$D$48,"conciliado",'Conciliacion de compuestos'!$E$2:$E$48,"OK",'Conciliacion de compuestos'!$M$2:$M$48,A26),COUNTIFS('Conciliacion de compuestos'!$D$2:$D$48,"conciliado",'Conciliacion de compuestos'!$E$2:$E$48,"OK",'Conciliacion de compuestos'!$N$2:$N$48,A26),COUNTIFS('Conciliacion de compuestos'!$D$2:$D$48,"conciliado",'Conciliacion de compuestos'!$E$2:$E$48,"OK",'Conciliacion de compuestos'!$O$2:$O$48,A26))&gt;0,IFERROR(TEXTJOIN(CHAR(10),TRUE,FILTER('Conciliacion de compuestos'!$A$2:$A$48,('Conciliacion de compuestos'!$D$2:$D$48="conciliado")*('Conciliacion de compuestos'!$E$2:$E$48="OK")*((('Conciliacion de compuestos'!$M$2:$M$48=A26)+('Conciliacion de compuestos'!$N$2:$N$48=A26)+('Conciliacion de compuestos'!$O$2:$O$48=A26))&gt;0))),""),"")</f>
        <v/>
      </c>
      <c r="G26" s="11">
        <f>IF(I26="conciliado","conciliado","por revisar")</f>
        <v/>
      </c>
      <c r="H26" s="11" t="inlineStr"/>
      <c r="I26" s="11">
        <f>IF(SUM(COUNTIFS('Conciliacion de compuestos'!$D$2:$D$48,"conciliado",'Conciliacion de compuestos'!$E$2:$E$48,"OK",'Conciliacion de compuestos'!$M$2:$M$48,A26),COUNTIFS('Conciliacion de compuestos'!$D$2:$D$48,"conciliado",'Conciliacion de compuestos'!$E$2:$E$48,"OK",'Conciliacion de compuestos'!$N$2:$N$48,A26),COUNTIFS('Conciliacion de compuestos'!$D$2:$D$48,"conciliado",'Conciliacion de compuestos'!$E$2:$E$48,"OK",'Conciliacion de compuestos'!$O$2:$O$48,A26))&gt;0,"conciliado","por revisar")</f>
        <v/>
      </c>
    </row>
    <row r="27">
      <c r="A27" s="11" t="n">
        <v>21</v>
      </c>
      <c r="B27" s="12" t="n">
        <v>45994</v>
      </c>
      <c r="C27" s="11" t="inlineStr">
        <is>
          <t>arteaga j jeins ruiz</t>
        </is>
      </c>
      <c r="D27" s="13" t="n">
        <v>20300</v>
      </c>
      <c r="E27" s="11">
        <f>IF(G27="conciliado","conciliado",I27)</f>
        <v/>
      </c>
      <c r="F27" s="11">
        <f>IF(SUM(COUNTIFS('Conciliacion de compuestos'!$D$2:$D$48,"conciliado",'Conciliacion de compuestos'!$E$2:$E$48,"OK",'Conciliacion de compuestos'!$M$2:$M$48,A27),COUNTIFS('Conciliacion de compuestos'!$D$2:$D$48,"conciliado",'Conciliacion de compuestos'!$E$2:$E$48,"OK",'Conciliacion de compuestos'!$N$2:$N$48,A27),COUNTIFS('Conciliacion de compuestos'!$D$2:$D$48,"conciliado",'Conciliacion de compuestos'!$E$2:$E$48,"OK",'Conciliacion de compuestos'!$O$2:$O$48,A27))&gt;0,IFERROR(TEXTJOIN(CHAR(10),TRUE,FILTER('Conciliacion de compuestos'!$A$2:$A$48,('Conciliacion de compuestos'!$D$2:$D$48="conciliado")*('Conciliacion de compuestos'!$E$2:$E$48="OK")*((('Conciliacion de compuestos'!$M$2:$M$48=A27)+('Conciliacion de compuestos'!$N$2:$N$48=A27)+('Conciliacion de compuestos'!$O$2:$O$48=A27))&gt;0))),""),"")</f>
        <v/>
      </c>
      <c r="G27" s="11">
        <f>IF(I27="conciliado","conciliado","por revisar")</f>
        <v/>
      </c>
      <c r="H27" s="11" t="inlineStr"/>
      <c r="I27" s="11">
        <f>IF(SUM(COUNTIFS('Conciliacion de compuestos'!$D$2:$D$48,"conciliado",'Conciliacion de compuestos'!$E$2:$E$48,"OK",'Conciliacion de compuestos'!$M$2:$M$48,A27),COUNTIFS('Conciliacion de compuestos'!$D$2:$D$48,"conciliado",'Conciliacion de compuestos'!$E$2:$E$48,"OK",'Conciliacion de compuestos'!$N$2:$N$48,A27),COUNTIFS('Conciliacion de compuestos'!$D$2:$D$48,"conciliado",'Conciliacion de compuestos'!$E$2:$E$48,"OK",'Conciliacion de compuestos'!$O$2:$O$48,A27))&gt;0,"conciliado","por revisar")</f>
        <v/>
      </c>
    </row>
    <row r="28">
      <c r="A28" s="11" t="n">
        <v>23</v>
      </c>
      <c r="B28" s="12" t="n">
        <v>45995</v>
      </c>
      <c r="C28" s="11" t="inlineStr">
        <is>
          <t>del tolima ventas</t>
        </is>
      </c>
      <c r="D28" s="13" t="n">
        <v>-3751132</v>
      </c>
      <c r="E28" s="11">
        <f>IF(G28="conciliado","conciliado",I28)</f>
        <v/>
      </c>
      <c r="F28" s="11" t="inlineStr">
        <is>
          <t>225 | 2025-12-04 | -3,751,132 | entre inte internet terceros transferencias</t>
        </is>
      </c>
      <c r="G28" s="11">
        <f>IF(I28="conciliado","conciliado","por revisar")</f>
        <v/>
      </c>
      <c r="H28" s="11" t="inlineStr"/>
      <c r="I28" s="11" t="inlineStr">
        <is>
          <t>conciliado</t>
        </is>
      </c>
    </row>
    <row r="29">
      <c r="A29" s="11" t="n">
        <v>24</v>
      </c>
      <c r="B29" s="12" t="n">
        <v>45995</v>
      </c>
      <c r="C29" s="11" t="inlineStr">
        <is>
          <t>distrilineas sas ysc</t>
        </is>
      </c>
      <c r="D29" s="13" t="n">
        <v>-4362465</v>
      </c>
      <c r="E29" s="11">
        <f>IF(G29="conciliado","conciliado",I29)</f>
        <v/>
      </c>
      <c r="F29" s="11" t="inlineStr">
        <is>
          <t>227 | 2025-12-04 | -4,362,465 | entre inte internet terceros transferencias</t>
        </is>
      </c>
      <c r="G29" s="11">
        <f>IF(I29="conciliado","conciliado","por revisar")</f>
        <v/>
      </c>
      <c r="H29" s="11" t="inlineStr"/>
      <c r="I29" s="11" t="inlineStr">
        <is>
          <t>conciliado</t>
        </is>
      </c>
    </row>
    <row r="30">
      <c r="A30" s="11" t="n">
        <v>22</v>
      </c>
      <c r="B30" s="12" t="n">
        <v>45995</v>
      </c>
      <c r="C30" s="11" t="inlineStr">
        <is>
          <t>c d distribuciones s</t>
        </is>
      </c>
      <c r="D30" s="13" t="n">
        <v>-4510389</v>
      </c>
      <c r="E30" s="11">
        <f>IF(G30="conciliado","conciliado",I30)</f>
        <v/>
      </c>
      <c r="F30" s="11" t="inlineStr">
        <is>
          <t>229 | 2025-12-04 | -4,510,389 | entre inte internet terceros transferencias</t>
        </is>
      </c>
      <c r="G30" s="11">
        <f>IF(I30="conciliado","conciliado","por revisar")</f>
        <v/>
      </c>
      <c r="H30" s="11" t="inlineStr"/>
      <c r="I30" s="11" t="inlineStr">
        <is>
          <t>conciliado</t>
        </is>
      </c>
    </row>
    <row r="31">
      <c r="A31" s="11" t="n">
        <v>27</v>
      </c>
      <c r="B31" s="12" t="n">
        <v>45995</v>
      </c>
      <c r="C31" s="11" t="inlineStr">
        <is>
          <t>castillo fre velazco</t>
        </is>
      </c>
      <c r="D31" s="13" t="n">
        <v>27500</v>
      </c>
      <c r="E31" s="11">
        <f>IF(G31="conciliado","conciliado",I31)</f>
        <v/>
      </c>
      <c r="F31" s="11">
        <f>IF(SUM(COUNTIFS('Conciliacion de compuestos'!$D$2:$D$48,"conciliado",'Conciliacion de compuestos'!$E$2:$E$48,"OK",'Conciliacion de compuestos'!$M$2:$M$48,A31),COUNTIFS('Conciliacion de compuestos'!$D$2:$D$48,"conciliado",'Conciliacion de compuestos'!$E$2:$E$48,"OK",'Conciliacion de compuestos'!$N$2:$N$48,A31),COUNTIFS('Conciliacion de compuestos'!$D$2:$D$48,"conciliado",'Conciliacion de compuestos'!$E$2:$E$48,"OK",'Conciliacion de compuestos'!$O$2:$O$48,A31))&gt;0,IFERROR(TEXTJOIN(CHAR(10),TRUE,FILTER('Conciliacion de compuestos'!$A$2:$A$48,('Conciliacion de compuestos'!$D$2:$D$48="conciliado")*('Conciliacion de compuestos'!$E$2:$E$48="OK")*((('Conciliacion de compuestos'!$M$2:$M$48=A31)+('Conciliacion de compuestos'!$N$2:$N$48=A31)+('Conciliacion de compuestos'!$O$2:$O$48=A31))&gt;0))),""),"")</f>
        <v/>
      </c>
      <c r="G31" s="11">
        <f>IF(I31="conciliado","conciliado","por revisar")</f>
        <v/>
      </c>
      <c r="H31" s="11" t="inlineStr"/>
      <c r="I31" s="11">
        <f>IF(SUM(COUNTIFS('Conciliacion de compuestos'!$D$2:$D$48,"conciliado",'Conciliacion de compuestos'!$E$2:$E$48,"OK",'Conciliacion de compuestos'!$M$2:$M$48,A31),COUNTIFS('Conciliacion de compuestos'!$D$2:$D$48,"conciliado",'Conciliacion de compuestos'!$E$2:$E$48,"OK",'Conciliacion de compuestos'!$N$2:$N$48,A31),COUNTIFS('Conciliacion de compuestos'!$D$2:$D$48,"conciliado",'Conciliacion de compuestos'!$E$2:$E$48,"OK",'Conciliacion de compuestos'!$O$2:$O$48,A31))&gt;0,"conciliado","por revisar")</f>
        <v/>
      </c>
    </row>
    <row r="32">
      <c r="A32" s="11" t="n">
        <v>26</v>
      </c>
      <c r="B32" s="12" t="n">
        <v>45995</v>
      </c>
      <c r="C32" s="11" t="inlineStr">
        <is>
          <t>eugen german vallejo</t>
        </is>
      </c>
      <c r="D32" s="13" t="n">
        <v>239000</v>
      </c>
      <c r="E32" s="11">
        <f>IF(G32="conciliado","conciliado",I32)</f>
        <v/>
      </c>
      <c r="F32" s="11">
        <f>IF(SUM(COUNTIFS('Conciliacion de compuestos'!$D$2:$D$48,"conciliado",'Conciliacion de compuestos'!$E$2:$E$48,"OK",'Conciliacion de compuestos'!$M$2:$M$48,A32),COUNTIFS('Conciliacion de compuestos'!$D$2:$D$48,"conciliado",'Conciliacion de compuestos'!$E$2:$E$48,"OK",'Conciliacion de compuestos'!$N$2:$N$48,A32),COUNTIFS('Conciliacion de compuestos'!$D$2:$D$48,"conciliado",'Conciliacion de compuestos'!$E$2:$E$48,"OK",'Conciliacion de compuestos'!$O$2:$O$48,A32))&gt;0,IFERROR(TEXTJOIN(CHAR(10),TRUE,FILTER('Conciliacion de compuestos'!$A$2:$A$48,('Conciliacion de compuestos'!$D$2:$D$48="conciliado")*('Conciliacion de compuestos'!$E$2:$E$48="OK")*((('Conciliacion de compuestos'!$M$2:$M$48=A32)+('Conciliacion de compuestos'!$N$2:$N$48=A32)+('Conciliacion de compuestos'!$O$2:$O$48=A32))&gt;0))),""),"")</f>
        <v/>
      </c>
      <c r="G32" s="11">
        <f>IF(I32="conciliado","conciliado","por revisar")</f>
        <v/>
      </c>
      <c r="H32" s="11" t="inlineStr"/>
      <c r="I32" s="11">
        <f>IF(SUM(COUNTIFS('Conciliacion de compuestos'!$D$2:$D$48,"conciliado",'Conciliacion de compuestos'!$E$2:$E$48,"OK",'Conciliacion de compuestos'!$M$2:$M$48,A32),COUNTIFS('Conciliacion de compuestos'!$D$2:$D$48,"conciliado",'Conciliacion de compuestos'!$E$2:$E$48,"OK",'Conciliacion de compuestos'!$N$2:$N$48,A32),COUNTIFS('Conciliacion de compuestos'!$D$2:$D$48,"conciliado",'Conciliacion de compuestos'!$E$2:$E$48,"OK",'Conciliacion de compuestos'!$O$2:$O$48,A32))&gt;0,"conciliado","por revisar")</f>
        <v/>
      </c>
    </row>
    <row r="33">
      <c r="A33" s="11" t="n">
        <v>28</v>
      </c>
      <c r="B33" s="12" t="n">
        <v>45995</v>
      </c>
      <c r="C33" s="11" t="inlineStr">
        <is>
          <t>al enriquez yaguapaz</t>
        </is>
      </c>
      <c r="D33" s="13" t="n">
        <v>35900</v>
      </c>
      <c r="E33" s="11">
        <f>IF(G33="conciliado","conciliado",I33)</f>
        <v/>
      </c>
      <c r="F33" s="11">
        <f>IF(SUM(COUNTIFS('Conciliacion de compuestos'!$D$2:$D$48,"conciliado",'Conciliacion de compuestos'!$E$2:$E$48,"OK",'Conciliacion de compuestos'!$M$2:$M$48,A33),COUNTIFS('Conciliacion de compuestos'!$D$2:$D$48,"conciliado",'Conciliacion de compuestos'!$E$2:$E$48,"OK",'Conciliacion de compuestos'!$N$2:$N$48,A33),COUNTIFS('Conciliacion de compuestos'!$D$2:$D$48,"conciliado",'Conciliacion de compuestos'!$E$2:$E$48,"OK",'Conciliacion de compuestos'!$O$2:$O$48,A33))&gt;0,IFERROR(TEXTJOIN(CHAR(10),TRUE,FILTER('Conciliacion de compuestos'!$A$2:$A$48,('Conciliacion de compuestos'!$D$2:$D$48="conciliado")*('Conciliacion de compuestos'!$E$2:$E$48="OK")*((('Conciliacion de compuestos'!$M$2:$M$48=A33)+('Conciliacion de compuestos'!$N$2:$N$48=A33)+('Conciliacion de compuestos'!$O$2:$O$48=A33))&gt;0))),""),"")</f>
        <v/>
      </c>
      <c r="G33" s="11">
        <f>IF(I33="conciliado","conciliado","por revisar")</f>
        <v/>
      </c>
      <c r="H33" s="11" t="inlineStr"/>
      <c r="I33" s="11">
        <f>IF(SUM(COUNTIFS('Conciliacion de compuestos'!$D$2:$D$48,"conciliado",'Conciliacion de compuestos'!$E$2:$E$48,"OK",'Conciliacion de compuestos'!$M$2:$M$48,A33),COUNTIFS('Conciliacion de compuestos'!$D$2:$D$48,"conciliado",'Conciliacion de compuestos'!$E$2:$E$48,"OK",'Conciliacion de compuestos'!$N$2:$N$48,A33),COUNTIFS('Conciliacion de compuestos'!$D$2:$D$48,"conciliado",'Conciliacion de compuestos'!$E$2:$E$48,"OK",'Conciliacion de compuestos'!$O$2:$O$48,A33))&gt;0,"conciliado","por revisar")</f>
        <v/>
      </c>
    </row>
    <row r="34">
      <c r="A34" s="11" t="n">
        <v>29</v>
      </c>
      <c r="B34" s="12" t="n">
        <v>45995</v>
      </c>
      <c r="C34" s="11" t="inlineStr">
        <is>
          <t>aldana joha renteria</t>
        </is>
      </c>
      <c r="D34" s="13" t="n">
        <v>36000</v>
      </c>
      <c r="E34" s="11">
        <f>IF(G34="conciliado","conciliado",I34)</f>
        <v/>
      </c>
      <c r="F34" s="11">
        <f>IF(SUM(COUNTIFS('Conciliacion de compuestos'!$D$2:$D$48,"conciliado",'Conciliacion de compuestos'!$E$2:$E$48,"OK",'Conciliacion de compuestos'!$M$2:$M$48,A34),COUNTIFS('Conciliacion de compuestos'!$D$2:$D$48,"conciliado",'Conciliacion de compuestos'!$E$2:$E$48,"OK",'Conciliacion de compuestos'!$N$2:$N$48,A34),COUNTIFS('Conciliacion de compuestos'!$D$2:$D$48,"conciliado",'Conciliacion de compuestos'!$E$2:$E$48,"OK",'Conciliacion de compuestos'!$O$2:$O$48,A34))&gt;0,IFERROR(TEXTJOIN(CHAR(10),TRUE,FILTER('Conciliacion de compuestos'!$A$2:$A$48,('Conciliacion de compuestos'!$D$2:$D$48="conciliado")*('Conciliacion de compuestos'!$E$2:$E$48="OK")*((('Conciliacion de compuestos'!$M$2:$M$48=A34)+('Conciliacion de compuestos'!$N$2:$N$48=A34)+('Conciliacion de compuestos'!$O$2:$O$48=A34))&gt;0))),""),"")</f>
        <v/>
      </c>
      <c r="G34" s="11">
        <f>IF(I34="conciliado","conciliado","por revisar")</f>
        <v/>
      </c>
      <c r="H34" s="11" t="inlineStr"/>
      <c r="I34" s="11">
        <f>IF(SUM(COUNTIFS('Conciliacion de compuestos'!$D$2:$D$48,"conciliado",'Conciliacion de compuestos'!$E$2:$E$48,"OK",'Conciliacion de compuestos'!$M$2:$M$48,A34),COUNTIFS('Conciliacion de compuestos'!$D$2:$D$48,"conciliado",'Conciliacion de compuestos'!$E$2:$E$48,"OK",'Conciliacion de compuestos'!$N$2:$N$48,A34),COUNTIFS('Conciliacion de compuestos'!$D$2:$D$48,"conciliado",'Conciliacion de compuestos'!$E$2:$E$48,"OK",'Conciliacion de compuestos'!$O$2:$O$48,A34))&gt;0,"conciliado","por revisar")</f>
        <v/>
      </c>
    </row>
    <row r="35">
      <c r="A35" s="11" t="n">
        <v>25</v>
      </c>
      <c r="B35" s="12" t="n">
        <v>45995</v>
      </c>
      <c r="C35" s="11" t="inlineStr">
        <is>
          <t>ceron fre gomez john</t>
        </is>
      </c>
      <c r="D35" s="13" t="n">
        <v>92500</v>
      </c>
      <c r="E35" s="11">
        <f>IF(G35="conciliado","conciliado",I35)</f>
        <v/>
      </c>
      <c r="F35" s="11">
        <f>IF(SUM(COUNTIFS('Conciliacion de compuestos'!$D$2:$D$48,"conciliado",'Conciliacion de compuestos'!$E$2:$E$48,"OK",'Conciliacion de compuestos'!$M$2:$M$48,A35),COUNTIFS('Conciliacion de compuestos'!$D$2:$D$48,"conciliado",'Conciliacion de compuestos'!$E$2:$E$48,"OK",'Conciliacion de compuestos'!$N$2:$N$48,A35),COUNTIFS('Conciliacion de compuestos'!$D$2:$D$48,"conciliado",'Conciliacion de compuestos'!$E$2:$E$48,"OK",'Conciliacion de compuestos'!$O$2:$O$48,A35))&gt;0,IFERROR(TEXTJOIN(CHAR(10),TRUE,FILTER('Conciliacion de compuestos'!$A$2:$A$48,('Conciliacion de compuestos'!$D$2:$D$48="conciliado")*('Conciliacion de compuestos'!$E$2:$E$48="OK")*((('Conciliacion de compuestos'!$M$2:$M$48=A35)+('Conciliacion de compuestos'!$N$2:$N$48=A35)+('Conciliacion de compuestos'!$O$2:$O$48=A35))&gt;0))),""),"")</f>
        <v/>
      </c>
      <c r="G35" s="11">
        <f>IF(I35="conciliado","conciliado","por revisar")</f>
        <v/>
      </c>
      <c r="H35" s="11" t="inlineStr"/>
      <c r="I35" s="11">
        <f>IF(SUM(COUNTIFS('Conciliacion de compuestos'!$D$2:$D$48,"conciliado",'Conciliacion de compuestos'!$E$2:$E$48,"OK",'Conciliacion de compuestos'!$M$2:$M$48,A35),COUNTIFS('Conciliacion de compuestos'!$D$2:$D$48,"conciliado",'Conciliacion de compuestos'!$E$2:$E$48,"OK",'Conciliacion de compuestos'!$N$2:$N$48,A35),COUNTIFS('Conciliacion de compuestos'!$D$2:$D$48,"conciliado",'Conciliacion de compuestos'!$E$2:$E$48,"OK",'Conciliacion de compuestos'!$O$2:$O$48,A35))&gt;0,"conciliado","por revisar")</f>
        <v/>
      </c>
    </row>
    <row r="36">
      <c r="A36" s="11" t="n">
        <v>79</v>
      </c>
      <c r="B36" s="12" t="n">
        <v>45999</v>
      </c>
      <c r="C36" s="11" t="inlineStr">
        <is>
          <t>garcia ma montenegro</t>
        </is>
      </c>
      <c r="D36" s="13" t="n">
        <v>65600</v>
      </c>
      <c r="E36" s="11">
        <f>IF(G36="conciliado","conciliado",I36)</f>
        <v/>
      </c>
      <c r="F36" s="11">
        <f>IF(SUM(COUNTIFS('Conciliacion de compuestos'!$D$2:$D$48,"conciliado",'Conciliacion de compuestos'!$E$2:$E$48,"OK",'Conciliacion de compuestos'!$M$2:$M$48,A36),COUNTIFS('Conciliacion de compuestos'!$D$2:$D$48,"conciliado",'Conciliacion de compuestos'!$E$2:$E$48,"OK",'Conciliacion de compuestos'!$N$2:$N$48,A36),COUNTIFS('Conciliacion de compuestos'!$D$2:$D$48,"conciliado",'Conciliacion de compuestos'!$E$2:$E$48,"OK",'Conciliacion de compuestos'!$O$2:$O$48,A36))&gt;0,IFERROR(TEXTJOIN(CHAR(10),TRUE,FILTER('Conciliacion de compuestos'!$A$2:$A$48,('Conciliacion de compuestos'!$D$2:$D$48="conciliado")*('Conciliacion de compuestos'!$E$2:$E$48="OK")*((('Conciliacion de compuestos'!$M$2:$M$48=A36)+('Conciliacion de compuestos'!$N$2:$N$48=A36)+('Conciliacion de compuestos'!$O$2:$O$48=A36))&gt;0))),""),"")</f>
        <v/>
      </c>
      <c r="G36" s="11">
        <f>IF(I36="conciliado","conciliado","por revisar")</f>
        <v/>
      </c>
      <c r="H36" s="11" t="inlineStr"/>
      <c r="I36" s="11">
        <f>IF(SUM(COUNTIFS('Conciliacion de compuestos'!$D$2:$D$48,"conciliado",'Conciliacion de compuestos'!$E$2:$E$48,"OK",'Conciliacion de compuestos'!$M$2:$M$48,A36),COUNTIFS('Conciliacion de compuestos'!$D$2:$D$48,"conciliado",'Conciliacion de compuestos'!$E$2:$E$48,"OK",'Conciliacion de compuestos'!$N$2:$N$48,A36),COUNTIFS('Conciliacion de compuestos'!$D$2:$D$48,"conciliado",'Conciliacion de compuestos'!$E$2:$E$48,"OK",'Conciliacion de compuestos'!$O$2:$O$48,A36))&gt;0,"conciliado","por revisar")</f>
        <v/>
      </c>
    </row>
    <row r="37">
      <c r="A37" s="11" t="n">
        <v>82</v>
      </c>
      <c r="B37" s="12" t="n">
        <v>45999</v>
      </c>
      <c r="C37" s="11" t="inlineStr">
        <is>
          <t>nequirucama yagarin</t>
        </is>
      </c>
      <c r="D37" s="13" t="n">
        <v>60700</v>
      </c>
      <c r="E37" s="11">
        <f>IF(G37="conciliado","conciliado",I37)</f>
        <v/>
      </c>
      <c r="F37" s="11">
        <f>IF(SUM(COUNTIFS('Conciliacion de compuestos'!$D$2:$D$48,"conciliado",'Conciliacion de compuestos'!$E$2:$E$48,"OK",'Conciliacion de compuestos'!$M$2:$M$48,A37),COUNTIFS('Conciliacion de compuestos'!$D$2:$D$48,"conciliado",'Conciliacion de compuestos'!$E$2:$E$48,"OK",'Conciliacion de compuestos'!$N$2:$N$48,A37),COUNTIFS('Conciliacion de compuestos'!$D$2:$D$48,"conciliado",'Conciliacion de compuestos'!$E$2:$E$48,"OK",'Conciliacion de compuestos'!$O$2:$O$48,A37))&gt;0,IFERROR(TEXTJOIN(CHAR(10),TRUE,FILTER('Conciliacion de compuestos'!$A$2:$A$48,('Conciliacion de compuestos'!$D$2:$D$48="conciliado")*('Conciliacion de compuestos'!$E$2:$E$48="OK")*((('Conciliacion de compuestos'!$M$2:$M$48=A37)+('Conciliacion de compuestos'!$N$2:$N$48=A37)+('Conciliacion de compuestos'!$O$2:$O$48=A37))&gt;0))),""),"")</f>
        <v/>
      </c>
      <c r="G37" s="11">
        <f>IF(I37="conciliado","conciliado","por revisar")</f>
        <v/>
      </c>
      <c r="H37" s="11" t="inlineStr"/>
      <c r="I37" s="11">
        <f>IF(SUM(COUNTIFS('Conciliacion de compuestos'!$D$2:$D$48,"conciliado",'Conciliacion de compuestos'!$E$2:$E$48,"OK",'Conciliacion de compuestos'!$M$2:$M$48,A37),COUNTIFS('Conciliacion de compuestos'!$D$2:$D$48,"conciliado",'Conciliacion de compuestos'!$E$2:$E$48,"OK",'Conciliacion de compuestos'!$N$2:$N$48,A37),COUNTIFS('Conciliacion de compuestos'!$D$2:$D$48,"conciliado",'Conciliacion de compuestos'!$E$2:$E$48,"OK",'Conciliacion de compuestos'!$O$2:$O$48,A37))&gt;0,"conciliado","por revisar")</f>
        <v/>
      </c>
    </row>
    <row r="38">
      <c r="A38" s="11" t="n">
        <v>76</v>
      </c>
      <c r="B38" s="12" t="n">
        <v>45999</v>
      </c>
      <c r="C38" s="11" t="inlineStr">
        <is>
          <t>benavides lopez sixt</t>
        </is>
      </c>
      <c r="D38" s="13" t="n">
        <v>151800</v>
      </c>
      <c r="E38" s="11">
        <f>IF(G38="conciliado","conciliado",I38)</f>
        <v/>
      </c>
      <c r="F38" s="11">
        <f>IF(SUM(COUNTIFS('Conciliacion de compuestos'!$D$2:$D$48,"conciliado",'Conciliacion de compuestos'!$E$2:$E$48,"OK",'Conciliacion de compuestos'!$M$2:$M$48,A38),COUNTIFS('Conciliacion de compuestos'!$D$2:$D$48,"conciliado",'Conciliacion de compuestos'!$E$2:$E$48,"OK",'Conciliacion de compuestos'!$N$2:$N$48,A38),COUNTIFS('Conciliacion de compuestos'!$D$2:$D$48,"conciliado",'Conciliacion de compuestos'!$E$2:$E$48,"OK",'Conciliacion de compuestos'!$O$2:$O$48,A38))&gt;0,IFERROR(TEXTJOIN(CHAR(10),TRUE,FILTER('Conciliacion de compuestos'!$A$2:$A$48,('Conciliacion de compuestos'!$D$2:$D$48="conciliado")*('Conciliacion de compuestos'!$E$2:$E$48="OK")*((('Conciliacion de compuestos'!$M$2:$M$48=A38)+('Conciliacion de compuestos'!$N$2:$N$48=A38)+('Conciliacion de compuestos'!$O$2:$O$48=A38))&gt;0))),""),"")</f>
        <v/>
      </c>
      <c r="G38" s="11">
        <f>IF(I38="conciliado","conciliado","por revisar")</f>
        <v/>
      </c>
      <c r="H38" s="11" t="inlineStr"/>
      <c r="I38" s="11">
        <f>IF(SUM(COUNTIFS('Conciliacion de compuestos'!$D$2:$D$48,"conciliado",'Conciliacion de compuestos'!$E$2:$E$48,"OK",'Conciliacion de compuestos'!$M$2:$M$48,A38),COUNTIFS('Conciliacion de compuestos'!$D$2:$D$48,"conciliado",'Conciliacion de compuestos'!$E$2:$E$48,"OK",'Conciliacion de compuestos'!$N$2:$N$48,A38),COUNTIFS('Conciliacion de compuestos'!$D$2:$D$48,"conciliado",'Conciliacion de compuestos'!$E$2:$E$48,"OK",'Conciliacion de compuestos'!$O$2:$O$48,A38))&gt;0,"conciliado","por revisar")</f>
        <v/>
      </c>
    </row>
    <row r="39">
      <c r="A39" s="11" t="n">
        <v>78</v>
      </c>
      <c r="B39" s="12" t="n">
        <v>45999</v>
      </c>
      <c r="C39" s="11" t="inlineStr">
        <is>
          <t>cabrera enar narvaez</t>
        </is>
      </c>
      <c r="D39" s="13" t="n">
        <v>28300</v>
      </c>
      <c r="E39" s="11">
        <f>IF(G39="conciliado","conciliado",I39)</f>
        <v/>
      </c>
      <c r="F39" s="11">
        <f>IF(SUM(COUNTIFS('Conciliacion de compuestos'!$D$2:$D$48,"conciliado",'Conciliacion de compuestos'!$E$2:$E$48,"OK",'Conciliacion de compuestos'!$M$2:$M$48,A39),COUNTIFS('Conciliacion de compuestos'!$D$2:$D$48,"conciliado",'Conciliacion de compuestos'!$E$2:$E$48,"OK",'Conciliacion de compuestos'!$N$2:$N$48,A39),COUNTIFS('Conciliacion de compuestos'!$D$2:$D$48,"conciliado",'Conciliacion de compuestos'!$E$2:$E$48,"OK",'Conciliacion de compuestos'!$O$2:$O$48,A39))&gt;0,IFERROR(TEXTJOIN(CHAR(10),TRUE,FILTER('Conciliacion de compuestos'!$A$2:$A$48,('Conciliacion de compuestos'!$D$2:$D$48="conciliado")*('Conciliacion de compuestos'!$E$2:$E$48="OK")*((('Conciliacion de compuestos'!$M$2:$M$48=A39)+('Conciliacion de compuestos'!$N$2:$N$48=A39)+('Conciliacion de compuestos'!$O$2:$O$48=A39))&gt;0))),""),"")</f>
        <v/>
      </c>
      <c r="G39" s="11">
        <f>IF(I39="conciliado","conciliado","por revisar")</f>
        <v/>
      </c>
      <c r="H39" s="11" t="inlineStr"/>
      <c r="I39" s="11">
        <f>IF(SUM(COUNTIFS('Conciliacion de compuestos'!$D$2:$D$48,"conciliado",'Conciliacion de compuestos'!$E$2:$E$48,"OK",'Conciliacion de compuestos'!$M$2:$M$48,A39),COUNTIFS('Conciliacion de compuestos'!$D$2:$D$48,"conciliado",'Conciliacion de compuestos'!$E$2:$E$48,"OK",'Conciliacion de compuestos'!$N$2:$N$48,A39),COUNTIFS('Conciliacion de compuestos'!$D$2:$D$48,"conciliado",'Conciliacion de compuestos'!$E$2:$E$48,"OK",'Conciliacion de compuestos'!$O$2:$O$48,A39))&gt;0,"conciliado","por revisar")</f>
        <v/>
      </c>
    </row>
    <row r="40">
      <c r="A40" s="11" t="n">
        <v>68</v>
      </c>
      <c r="B40" s="12" t="n">
        <v>45999</v>
      </c>
      <c r="C40" s="11" t="inlineStr">
        <is>
          <t>arias diego valencia</t>
        </is>
      </c>
      <c r="D40" s="13" t="n">
        <v>67800</v>
      </c>
      <c r="E40" s="11">
        <f>IF(G40="conciliado","conciliado",I40)</f>
        <v/>
      </c>
      <c r="F40" s="11">
        <f>IF(SUM(COUNTIFS('Conciliacion de compuestos'!$D$2:$D$48,"conciliado",'Conciliacion de compuestos'!$E$2:$E$48,"OK",'Conciliacion de compuestos'!$M$2:$M$48,A40),COUNTIFS('Conciliacion de compuestos'!$D$2:$D$48,"conciliado",'Conciliacion de compuestos'!$E$2:$E$48,"OK",'Conciliacion de compuestos'!$N$2:$N$48,A40),COUNTIFS('Conciliacion de compuestos'!$D$2:$D$48,"conciliado",'Conciliacion de compuestos'!$E$2:$E$48,"OK",'Conciliacion de compuestos'!$O$2:$O$48,A40))&gt;0,IFERROR(TEXTJOIN(CHAR(10),TRUE,FILTER('Conciliacion de compuestos'!$A$2:$A$48,('Conciliacion de compuestos'!$D$2:$D$48="conciliado")*('Conciliacion de compuestos'!$E$2:$E$48="OK")*((('Conciliacion de compuestos'!$M$2:$M$48=A40)+('Conciliacion de compuestos'!$N$2:$N$48=A40)+('Conciliacion de compuestos'!$O$2:$O$48=A40))&gt;0))),""),"")</f>
        <v/>
      </c>
      <c r="G40" s="11">
        <f>IF(I40="conciliado","conciliado","por revisar")</f>
        <v/>
      </c>
      <c r="H40" s="11" t="inlineStr"/>
      <c r="I40" s="11">
        <f>IF(SUM(COUNTIFS('Conciliacion de compuestos'!$D$2:$D$48,"conciliado",'Conciliacion de compuestos'!$E$2:$E$48,"OK",'Conciliacion de compuestos'!$M$2:$M$48,A40),COUNTIFS('Conciliacion de compuestos'!$D$2:$D$48,"conciliado",'Conciliacion de compuestos'!$E$2:$E$48,"OK",'Conciliacion de compuestos'!$N$2:$N$48,A40),COUNTIFS('Conciliacion de compuestos'!$D$2:$D$48,"conciliado",'Conciliacion de compuestos'!$E$2:$E$48,"OK",'Conciliacion de compuestos'!$O$2:$O$48,A40))&gt;0,"conciliado","por revisar")</f>
        <v/>
      </c>
    </row>
    <row r="41">
      <c r="A41" s="11" t="n">
        <v>70</v>
      </c>
      <c r="B41" s="12" t="n">
        <v>45999</v>
      </c>
      <c r="C41" s="11" t="inlineStr">
        <is>
          <t>arboleda arias leidy</t>
        </is>
      </c>
      <c r="D41" s="13" t="n">
        <v>43958</v>
      </c>
      <c r="E41" s="11">
        <f>IF(G41="conciliado","conciliado",I41)</f>
        <v/>
      </c>
      <c r="F41" s="11">
        <f>IF(SUM(COUNTIFS('Conciliacion de compuestos'!$D$2:$D$48,"conciliado",'Conciliacion de compuestos'!$E$2:$E$48,"OK",'Conciliacion de compuestos'!$M$2:$M$48,A41),COUNTIFS('Conciliacion de compuestos'!$D$2:$D$48,"conciliado",'Conciliacion de compuestos'!$E$2:$E$48,"OK",'Conciliacion de compuestos'!$N$2:$N$48,A41),COUNTIFS('Conciliacion de compuestos'!$D$2:$D$48,"conciliado",'Conciliacion de compuestos'!$E$2:$E$48,"OK",'Conciliacion de compuestos'!$O$2:$O$48,A41))&gt;0,IFERROR(TEXTJOIN(CHAR(10),TRUE,FILTER('Conciliacion de compuestos'!$A$2:$A$48,('Conciliacion de compuestos'!$D$2:$D$48="conciliado")*('Conciliacion de compuestos'!$E$2:$E$48="OK")*((('Conciliacion de compuestos'!$M$2:$M$48=A41)+('Conciliacion de compuestos'!$N$2:$N$48=A41)+('Conciliacion de compuestos'!$O$2:$O$48=A41))&gt;0))),""),"")</f>
        <v/>
      </c>
      <c r="G41" s="11">
        <f>IF(I41="conciliado","conciliado","por revisar")</f>
        <v/>
      </c>
      <c r="H41" s="11" t="inlineStr"/>
      <c r="I41" s="11">
        <f>IF(SUM(COUNTIFS('Conciliacion de compuestos'!$D$2:$D$48,"conciliado",'Conciliacion de compuestos'!$E$2:$E$48,"OK",'Conciliacion de compuestos'!$M$2:$M$48,A41),COUNTIFS('Conciliacion de compuestos'!$D$2:$D$48,"conciliado",'Conciliacion de compuestos'!$E$2:$E$48,"OK",'Conciliacion de compuestos'!$N$2:$N$48,A41),COUNTIFS('Conciliacion de compuestos'!$D$2:$D$48,"conciliado",'Conciliacion de compuestos'!$E$2:$E$48,"OK",'Conciliacion de compuestos'!$O$2:$O$48,A41))&gt;0,"conciliado","por revisar")</f>
        <v/>
      </c>
    </row>
    <row r="42">
      <c r="A42" s="11" t="n">
        <v>72</v>
      </c>
      <c r="B42" s="12" t="n">
        <v>45999</v>
      </c>
      <c r="C42" s="11" t="inlineStr">
        <is>
          <t>fernan salazar silva</t>
        </is>
      </c>
      <c r="D42" s="13" t="n">
        <v>62750</v>
      </c>
      <c r="E42" s="11">
        <f>IF(G42="conciliado","conciliado",I42)</f>
        <v/>
      </c>
      <c r="F42" s="11">
        <f>IF(SUM(COUNTIFS('Conciliacion de compuestos'!$D$2:$D$48,"conciliado",'Conciliacion de compuestos'!$E$2:$E$48,"OK",'Conciliacion de compuestos'!$M$2:$M$48,A42),COUNTIFS('Conciliacion de compuestos'!$D$2:$D$48,"conciliado",'Conciliacion de compuestos'!$E$2:$E$48,"OK",'Conciliacion de compuestos'!$N$2:$N$48,A42),COUNTIFS('Conciliacion de compuestos'!$D$2:$D$48,"conciliado",'Conciliacion de compuestos'!$E$2:$E$48,"OK",'Conciliacion de compuestos'!$O$2:$O$48,A42))&gt;0,IFERROR(TEXTJOIN(CHAR(10),TRUE,FILTER('Conciliacion de compuestos'!$A$2:$A$48,('Conciliacion de compuestos'!$D$2:$D$48="conciliado")*('Conciliacion de compuestos'!$E$2:$E$48="OK")*((('Conciliacion de compuestos'!$M$2:$M$48=A42)+('Conciliacion de compuestos'!$N$2:$N$48=A42)+('Conciliacion de compuestos'!$O$2:$O$48=A42))&gt;0))),""),"")</f>
        <v/>
      </c>
      <c r="G42" s="11">
        <f>IF(I42="conciliado","conciliado","por revisar")</f>
        <v/>
      </c>
      <c r="H42" s="11" t="inlineStr"/>
      <c r="I42" s="11">
        <f>IF(SUM(COUNTIFS('Conciliacion de compuestos'!$D$2:$D$48,"conciliado",'Conciliacion de compuestos'!$E$2:$E$48,"OK",'Conciliacion de compuestos'!$M$2:$M$48,A42),COUNTIFS('Conciliacion de compuestos'!$D$2:$D$48,"conciliado",'Conciliacion de compuestos'!$E$2:$E$48,"OK",'Conciliacion de compuestos'!$N$2:$N$48,A42),COUNTIFS('Conciliacion de compuestos'!$D$2:$D$48,"conciliado",'Conciliacion de compuestos'!$E$2:$E$48,"OK",'Conciliacion de compuestos'!$O$2:$O$48,A42))&gt;0,"conciliado","por revisar")</f>
        <v/>
      </c>
    </row>
    <row r="43">
      <c r="A43" s="11" t="n">
        <v>74</v>
      </c>
      <c r="B43" s="12" t="n">
        <v>45999</v>
      </c>
      <c r="C43" s="11" t="inlineStr">
        <is>
          <t>ciro daniela f leiva</t>
        </is>
      </c>
      <c r="D43" s="13" t="n">
        <v>249500</v>
      </c>
      <c r="E43" s="11">
        <f>IF(G43="conciliado","conciliado",I43)</f>
        <v/>
      </c>
      <c r="F43" s="11">
        <f>IF(SUM(COUNTIFS('Conciliacion de compuestos'!$D$2:$D$48,"conciliado",'Conciliacion de compuestos'!$E$2:$E$48,"OK",'Conciliacion de compuestos'!$M$2:$M$48,A43),COUNTIFS('Conciliacion de compuestos'!$D$2:$D$48,"conciliado",'Conciliacion de compuestos'!$E$2:$E$48,"OK",'Conciliacion de compuestos'!$N$2:$N$48,A43),COUNTIFS('Conciliacion de compuestos'!$D$2:$D$48,"conciliado",'Conciliacion de compuestos'!$E$2:$E$48,"OK",'Conciliacion de compuestos'!$O$2:$O$48,A43))&gt;0,IFERROR(TEXTJOIN(CHAR(10),TRUE,FILTER('Conciliacion de compuestos'!$A$2:$A$48,('Conciliacion de compuestos'!$D$2:$D$48="conciliado")*('Conciliacion de compuestos'!$E$2:$E$48="OK")*((('Conciliacion de compuestos'!$M$2:$M$48=A43)+('Conciliacion de compuestos'!$N$2:$N$48=A43)+('Conciliacion de compuestos'!$O$2:$O$48=A43))&gt;0))),""),"")</f>
        <v/>
      </c>
      <c r="G43" s="11">
        <f>IF(I43="conciliado","conciliado","por revisar")</f>
        <v/>
      </c>
      <c r="H43" s="11" t="inlineStr"/>
      <c r="I43" s="11">
        <f>IF(SUM(COUNTIFS('Conciliacion de compuestos'!$D$2:$D$48,"conciliado",'Conciliacion de compuestos'!$E$2:$E$48,"OK",'Conciliacion de compuestos'!$M$2:$M$48,A43),COUNTIFS('Conciliacion de compuestos'!$D$2:$D$48,"conciliado",'Conciliacion de compuestos'!$E$2:$E$48,"OK",'Conciliacion de compuestos'!$N$2:$N$48,A43),COUNTIFS('Conciliacion de compuestos'!$D$2:$D$48,"conciliado",'Conciliacion de compuestos'!$E$2:$E$48,"OK",'Conciliacion de compuestos'!$O$2:$O$48,A43))&gt;0,"conciliado","por revisar")</f>
        <v/>
      </c>
    </row>
    <row r="44">
      <c r="A44" s="11" t="n">
        <v>77</v>
      </c>
      <c r="B44" s="12" t="n">
        <v>45999</v>
      </c>
      <c r="C44" s="11" t="inlineStr">
        <is>
          <t>alvarez mon quintero</t>
        </is>
      </c>
      <c r="D44" s="13" t="n">
        <v>234200</v>
      </c>
      <c r="E44" s="11">
        <f>IF(G44="conciliado","conciliado",I44)</f>
        <v/>
      </c>
      <c r="F44" s="11">
        <f>IF(SUM(COUNTIFS('Conciliacion de compuestos'!$D$2:$D$48,"conciliado",'Conciliacion de compuestos'!$E$2:$E$48,"OK",'Conciliacion de compuestos'!$M$2:$M$48,A44),COUNTIFS('Conciliacion de compuestos'!$D$2:$D$48,"conciliado",'Conciliacion de compuestos'!$E$2:$E$48,"OK",'Conciliacion de compuestos'!$N$2:$N$48,A44),COUNTIFS('Conciliacion de compuestos'!$D$2:$D$48,"conciliado",'Conciliacion de compuestos'!$E$2:$E$48,"OK",'Conciliacion de compuestos'!$O$2:$O$48,A44))&gt;0,IFERROR(TEXTJOIN(CHAR(10),TRUE,FILTER('Conciliacion de compuestos'!$A$2:$A$48,('Conciliacion de compuestos'!$D$2:$D$48="conciliado")*('Conciliacion de compuestos'!$E$2:$E$48="OK")*((('Conciliacion de compuestos'!$M$2:$M$48=A44)+('Conciliacion de compuestos'!$N$2:$N$48=A44)+('Conciliacion de compuestos'!$O$2:$O$48=A44))&gt;0))),""),"")</f>
        <v/>
      </c>
      <c r="G44" s="11">
        <f>IF(I44="conciliado","conciliado","por revisar")</f>
        <v/>
      </c>
      <c r="H44" s="11" t="inlineStr"/>
      <c r="I44" s="11">
        <f>IF(SUM(COUNTIFS('Conciliacion de compuestos'!$D$2:$D$48,"conciliado",'Conciliacion de compuestos'!$E$2:$E$48,"OK",'Conciliacion de compuestos'!$M$2:$M$48,A44),COUNTIFS('Conciliacion de compuestos'!$D$2:$D$48,"conciliado",'Conciliacion de compuestos'!$E$2:$E$48,"OK",'Conciliacion de compuestos'!$N$2:$N$48,A44),COUNTIFS('Conciliacion de compuestos'!$D$2:$D$48,"conciliado",'Conciliacion de compuestos'!$E$2:$E$48,"OK",'Conciliacion de compuestos'!$O$2:$O$48,A44))&gt;0,"conciliado","por revisar")</f>
        <v/>
      </c>
    </row>
    <row r="45">
      <c r="A45" s="11" t="n">
        <v>69</v>
      </c>
      <c r="B45" s="12" t="n">
        <v>45999</v>
      </c>
      <c r="C45" s="11" t="inlineStr">
        <is>
          <t>anyela diaz meneses</t>
        </is>
      </c>
      <c r="D45" s="13" t="n">
        <v>77000</v>
      </c>
      <c r="E45" s="11">
        <f>IF(G45="conciliado","conciliado",I45)</f>
        <v/>
      </c>
      <c r="F45" s="11">
        <f>IF(SUM(COUNTIFS('Conciliacion de compuestos'!$D$2:$D$48,"conciliado",'Conciliacion de compuestos'!$E$2:$E$48,"OK",'Conciliacion de compuestos'!$M$2:$M$48,A45),COUNTIFS('Conciliacion de compuestos'!$D$2:$D$48,"conciliado",'Conciliacion de compuestos'!$E$2:$E$48,"OK",'Conciliacion de compuestos'!$N$2:$N$48,A45),COUNTIFS('Conciliacion de compuestos'!$D$2:$D$48,"conciliado",'Conciliacion de compuestos'!$E$2:$E$48,"OK",'Conciliacion de compuestos'!$O$2:$O$48,A45))&gt;0,IFERROR(TEXTJOIN(CHAR(10),TRUE,FILTER('Conciliacion de compuestos'!$A$2:$A$48,('Conciliacion de compuestos'!$D$2:$D$48="conciliado")*('Conciliacion de compuestos'!$E$2:$E$48="OK")*((('Conciliacion de compuestos'!$M$2:$M$48=A45)+('Conciliacion de compuestos'!$N$2:$N$48=A45)+('Conciliacion de compuestos'!$O$2:$O$48=A45))&gt;0))),""),"")</f>
        <v/>
      </c>
      <c r="G45" s="11">
        <f>IF(I45="conciliado","conciliado","por revisar")</f>
        <v/>
      </c>
      <c r="H45" s="11" t="inlineStr"/>
      <c r="I45" s="11">
        <f>IF(SUM(COUNTIFS('Conciliacion de compuestos'!$D$2:$D$48,"conciliado",'Conciliacion de compuestos'!$E$2:$E$48,"OK",'Conciliacion de compuestos'!$M$2:$M$48,A45),COUNTIFS('Conciliacion de compuestos'!$D$2:$D$48,"conciliado",'Conciliacion de compuestos'!$E$2:$E$48,"OK",'Conciliacion de compuestos'!$N$2:$N$48,A45),COUNTIFS('Conciliacion de compuestos'!$D$2:$D$48,"conciliado",'Conciliacion de compuestos'!$E$2:$E$48,"OK",'Conciliacion de compuestos'!$O$2:$O$48,A45))&gt;0,"conciliado","por revisar")</f>
        <v/>
      </c>
    </row>
    <row r="46">
      <c r="A46" s="11" t="n">
        <v>71</v>
      </c>
      <c r="B46" s="12" t="n">
        <v>45999</v>
      </c>
      <c r="C46" s="11" t="inlineStr">
        <is>
          <t>camacho diana erazo</t>
        </is>
      </c>
      <c r="D46" s="13" t="n">
        <v>68093</v>
      </c>
      <c r="E46" s="11">
        <f>IF(G46="conciliado","conciliado",I46)</f>
        <v/>
      </c>
      <c r="F46" s="11">
        <f>IF(SUM(COUNTIFS('Conciliacion de compuestos'!$D$2:$D$48,"conciliado",'Conciliacion de compuestos'!$E$2:$E$48,"OK",'Conciliacion de compuestos'!$M$2:$M$48,A46),COUNTIFS('Conciliacion de compuestos'!$D$2:$D$48,"conciliado",'Conciliacion de compuestos'!$E$2:$E$48,"OK",'Conciliacion de compuestos'!$N$2:$N$48,A46),COUNTIFS('Conciliacion de compuestos'!$D$2:$D$48,"conciliado",'Conciliacion de compuestos'!$E$2:$E$48,"OK",'Conciliacion de compuestos'!$O$2:$O$48,A46))&gt;0,IFERROR(TEXTJOIN(CHAR(10),TRUE,FILTER('Conciliacion de compuestos'!$A$2:$A$48,('Conciliacion de compuestos'!$D$2:$D$48="conciliado")*('Conciliacion de compuestos'!$E$2:$E$48="OK")*((('Conciliacion de compuestos'!$M$2:$M$48=A46)+('Conciliacion de compuestos'!$N$2:$N$48=A46)+('Conciliacion de compuestos'!$O$2:$O$48=A46))&gt;0))),""),"")</f>
        <v/>
      </c>
      <c r="G46" s="11">
        <f>IF(I46="conciliado","conciliado","por revisar")</f>
        <v/>
      </c>
      <c r="H46" s="11" t="inlineStr"/>
      <c r="I46" s="11">
        <f>IF(SUM(COUNTIFS('Conciliacion de compuestos'!$D$2:$D$48,"conciliado",'Conciliacion de compuestos'!$E$2:$E$48,"OK",'Conciliacion de compuestos'!$M$2:$M$48,A46),COUNTIFS('Conciliacion de compuestos'!$D$2:$D$48,"conciliado",'Conciliacion de compuestos'!$E$2:$E$48,"OK",'Conciliacion de compuestos'!$N$2:$N$48,A46),COUNTIFS('Conciliacion de compuestos'!$D$2:$D$48,"conciliado",'Conciliacion de compuestos'!$E$2:$E$48,"OK",'Conciliacion de compuestos'!$O$2:$O$48,A46))&gt;0,"conciliado","por revisar")</f>
        <v/>
      </c>
    </row>
    <row r="47">
      <c r="A47" s="11" t="n">
        <v>67</v>
      </c>
      <c r="B47" s="12" t="n">
        <v>45999</v>
      </c>
      <c r="C47" s="11" t="inlineStr">
        <is>
          <t>cr leidy mafla salas</t>
        </is>
      </c>
      <c r="D47" s="13" t="n">
        <v>35400</v>
      </c>
      <c r="E47" s="11">
        <f>IF(G47="conciliado","conciliado",I47)</f>
        <v/>
      </c>
      <c r="F47" s="11">
        <f>IF(SUM(COUNTIFS('Conciliacion de compuestos'!$D$2:$D$48,"conciliado",'Conciliacion de compuestos'!$E$2:$E$48,"OK",'Conciliacion de compuestos'!$M$2:$M$48,A47),COUNTIFS('Conciliacion de compuestos'!$D$2:$D$48,"conciliado",'Conciliacion de compuestos'!$E$2:$E$48,"OK",'Conciliacion de compuestos'!$N$2:$N$48,A47),COUNTIFS('Conciliacion de compuestos'!$D$2:$D$48,"conciliado",'Conciliacion de compuestos'!$E$2:$E$48,"OK",'Conciliacion de compuestos'!$O$2:$O$48,A47))&gt;0,IFERROR(TEXTJOIN(CHAR(10),TRUE,FILTER('Conciliacion de compuestos'!$A$2:$A$48,('Conciliacion de compuestos'!$D$2:$D$48="conciliado")*('Conciliacion de compuestos'!$E$2:$E$48="OK")*((('Conciliacion de compuestos'!$M$2:$M$48=A47)+('Conciliacion de compuestos'!$N$2:$N$48=A47)+('Conciliacion de compuestos'!$O$2:$O$48=A47))&gt;0))),""),"")</f>
        <v/>
      </c>
      <c r="G47" s="11">
        <f>IF(I47="conciliado","conciliado","por revisar")</f>
        <v/>
      </c>
      <c r="H47" s="11" t="inlineStr"/>
      <c r="I47" s="11">
        <f>IF(SUM(COUNTIFS('Conciliacion de compuestos'!$D$2:$D$48,"conciliado",'Conciliacion de compuestos'!$E$2:$E$48,"OK",'Conciliacion de compuestos'!$M$2:$M$48,A47),COUNTIFS('Conciliacion de compuestos'!$D$2:$D$48,"conciliado",'Conciliacion de compuestos'!$E$2:$E$48,"OK",'Conciliacion de compuestos'!$N$2:$N$48,A47),COUNTIFS('Conciliacion de compuestos'!$D$2:$D$48,"conciliado",'Conciliacion de compuestos'!$E$2:$E$48,"OK",'Conciliacion de compuestos'!$O$2:$O$48,A47))&gt;0,"conciliado","por revisar")</f>
        <v/>
      </c>
    </row>
    <row r="48">
      <c r="A48" s="11" t="n">
        <v>75</v>
      </c>
      <c r="B48" s="12" t="n">
        <v>45999</v>
      </c>
      <c r="C48" s="11" t="inlineStr">
        <is>
          <t>burbano monica ossa</t>
        </is>
      </c>
      <c r="D48" s="13" t="n">
        <v>60800</v>
      </c>
      <c r="E48" s="11">
        <f>IF(G48="conciliado","conciliado",I48)</f>
        <v/>
      </c>
      <c r="F48" s="11">
        <f>IF(SUM(COUNTIFS('Conciliacion de compuestos'!$D$2:$D$48,"conciliado",'Conciliacion de compuestos'!$E$2:$E$48,"OK",'Conciliacion de compuestos'!$M$2:$M$48,A48),COUNTIFS('Conciliacion de compuestos'!$D$2:$D$48,"conciliado",'Conciliacion de compuestos'!$E$2:$E$48,"OK",'Conciliacion de compuestos'!$N$2:$N$48,A48),COUNTIFS('Conciliacion de compuestos'!$D$2:$D$48,"conciliado",'Conciliacion de compuestos'!$E$2:$E$48,"OK",'Conciliacion de compuestos'!$O$2:$O$48,A48))&gt;0,IFERROR(TEXTJOIN(CHAR(10),TRUE,FILTER('Conciliacion de compuestos'!$A$2:$A$48,('Conciliacion de compuestos'!$D$2:$D$48="conciliado")*('Conciliacion de compuestos'!$E$2:$E$48="OK")*((('Conciliacion de compuestos'!$M$2:$M$48=A48)+('Conciliacion de compuestos'!$N$2:$N$48=A48)+('Conciliacion de compuestos'!$O$2:$O$48=A48))&gt;0))),""),"")</f>
        <v/>
      </c>
      <c r="G48" s="11">
        <f>IF(I48="conciliado","conciliado","por revisar")</f>
        <v/>
      </c>
      <c r="H48" s="11" t="inlineStr"/>
      <c r="I48" s="11">
        <f>IF(SUM(COUNTIFS('Conciliacion de compuestos'!$D$2:$D$48,"conciliado",'Conciliacion de compuestos'!$E$2:$E$48,"OK",'Conciliacion de compuestos'!$M$2:$M$48,A48),COUNTIFS('Conciliacion de compuestos'!$D$2:$D$48,"conciliado",'Conciliacion de compuestos'!$E$2:$E$48,"OK",'Conciliacion de compuestos'!$N$2:$N$48,A48),COUNTIFS('Conciliacion de compuestos'!$D$2:$D$48,"conciliado",'Conciliacion de compuestos'!$E$2:$E$48,"OK",'Conciliacion de compuestos'!$O$2:$O$48,A48))&gt;0,"conciliado","por revisar")</f>
        <v/>
      </c>
    </row>
    <row r="49">
      <c r="A49" s="11" t="n">
        <v>30</v>
      </c>
      <c r="B49" s="12" t="n">
        <v>45996</v>
      </c>
      <c r="C49" s="11" t="inlineStr">
        <is>
          <t>eli guevara mosquera</t>
        </is>
      </c>
      <c r="D49" s="13" t="n">
        <v>48748</v>
      </c>
      <c r="E49" s="11">
        <f>IF(G49="conciliado","conciliado",I49)</f>
        <v/>
      </c>
      <c r="F49" s="11">
        <f>IF(SUM(COUNTIFS('Conciliacion de compuestos'!$D$2:$D$48,"conciliado",'Conciliacion de compuestos'!$E$2:$E$48,"OK",'Conciliacion de compuestos'!$M$2:$M$48,A49),COUNTIFS('Conciliacion de compuestos'!$D$2:$D$48,"conciliado",'Conciliacion de compuestos'!$E$2:$E$48,"OK",'Conciliacion de compuestos'!$N$2:$N$48,A49),COUNTIFS('Conciliacion de compuestos'!$D$2:$D$48,"conciliado",'Conciliacion de compuestos'!$E$2:$E$48,"OK",'Conciliacion de compuestos'!$O$2:$O$48,A49))&gt;0,IFERROR(TEXTJOIN(CHAR(10),TRUE,FILTER('Conciliacion de compuestos'!$A$2:$A$48,('Conciliacion de compuestos'!$D$2:$D$48="conciliado")*('Conciliacion de compuestos'!$E$2:$E$48="OK")*((('Conciliacion de compuestos'!$M$2:$M$48=A49)+('Conciliacion de compuestos'!$N$2:$N$48=A49)+('Conciliacion de compuestos'!$O$2:$O$48=A49))&gt;0))),""),"")</f>
        <v/>
      </c>
      <c r="G49" s="11">
        <f>IF(I49="conciliado","conciliado","por revisar")</f>
        <v/>
      </c>
      <c r="H49" s="11" t="inlineStr"/>
      <c r="I49" s="11">
        <f>IF(SUM(COUNTIFS('Conciliacion de compuestos'!$D$2:$D$48,"conciliado",'Conciliacion de compuestos'!$E$2:$E$48,"OK",'Conciliacion de compuestos'!$M$2:$M$48,A49),COUNTIFS('Conciliacion de compuestos'!$D$2:$D$48,"conciliado",'Conciliacion de compuestos'!$E$2:$E$48,"OK",'Conciliacion de compuestos'!$N$2:$N$48,A49),COUNTIFS('Conciliacion de compuestos'!$D$2:$D$48,"conciliado",'Conciliacion de compuestos'!$E$2:$E$48,"OK",'Conciliacion de compuestos'!$O$2:$O$48,A49))&gt;0,"conciliado","por revisar")</f>
        <v/>
      </c>
    </row>
    <row r="50">
      <c r="A50" s="11" t="n">
        <v>31</v>
      </c>
      <c r="B50" s="12" t="n">
        <v>45996</v>
      </c>
      <c r="C50" s="11" t="inlineStr">
        <is>
          <t>chaves imbachi tatia</t>
        </is>
      </c>
      <c r="D50" s="13" t="n">
        <v>450673</v>
      </c>
      <c r="E50" s="11">
        <f>IF(G50="conciliado","conciliado",I50)</f>
        <v/>
      </c>
      <c r="F50" s="11">
        <f>IF(SUM(COUNTIFS('Conciliacion de compuestos'!$D$2:$D$48,"conciliado",'Conciliacion de compuestos'!$E$2:$E$48,"OK",'Conciliacion de compuestos'!$M$2:$M$48,A50),COUNTIFS('Conciliacion de compuestos'!$D$2:$D$48,"conciliado",'Conciliacion de compuestos'!$E$2:$E$48,"OK",'Conciliacion de compuestos'!$N$2:$N$48,A50),COUNTIFS('Conciliacion de compuestos'!$D$2:$D$48,"conciliado",'Conciliacion de compuestos'!$E$2:$E$48,"OK",'Conciliacion de compuestos'!$O$2:$O$48,A50))&gt;0,IFERROR(TEXTJOIN(CHAR(10),TRUE,FILTER('Conciliacion de compuestos'!$A$2:$A$48,('Conciliacion de compuestos'!$D$2:$D$48="conciliado")*('Conciliacion de compuestos'!$E$2:$E$48="OK")*((('Conciliacion de compuestos'!$M$2:$M$48=A50)+('Conciliacion de compuestos'!$N$2:$N$48=A50)+('Conciliacion de compuestos'!$O$2:$O$48=A50))&gt;0))),""),"")</f>
        <v/>
      </c>
      <c r="G50" s="11">
        <f>IF(I50="conciliado","conciliado","por revisar")</f>
        <v/>
      </c>
      <c r="H50" s="11" t="inlineStr"/>
      <c r="I50" s="11">
        <f>IF(SUM(COUNTIFS('Conciliacion de compuestos'!$D$2:$D$48,"conciliado",'Conciliacion de compuestos'!$E$2:$E$48,"OK",'Conciliacion de compuestos'!$M$2:$M$48,A50),COUNTIFS('Conciliacion de compuestos'!$D$2:$D$48,"conciliado",'Conciliacion de compuestos'!$E$2:$E$48,"OK",'Conciliacion de compuestos'!$N$2:$N$48,A50),COUNTIFS('Conciliacion de compuestos'!$D$2:$D$48,"conciliado",'Conciliacion de compuestos'!$E$2:$E$48,"OK",'Conciliacion de compuestos'!$O$2:$O$48,A50))&gt;0,"conciliado","por revisar")</f>
        <v/>
      </c>
    </row>
    <row r="51">
      <c r="A51" s="11" t="n">
        <v>32</v>
      </c>
      <c r="B51" s="12" t="n">
        <v>45996</v>
      </c>
      <c r="C51" s="11" t="inlineStr">
        <is>
          <t>marth ramos valencia</t>
        </is>
      </c>
      <c r="D51" s="13" t="n">
        <v>38820</v>
      </c>
      <c r="E51" s="11">
        <f>IF(G51="conciliado","conciliado",I51)</f>
        <v/>
      </c>
      <c r="F51" s="11">
        <f>IF(SUM(COUNTIFS('Conciliacion de compuestos'!$D$2:$D$48,"conciliado",'Conciliacion de compuestos'!$E$2:$E$48,"OK",'Conciliacion de compuestos'!$M$2:$M$48,A51),COUNTIFS('Conciliacion de compuestos'!$D$2:$D$48,"conciliado",'Conciliacion de compuestos'!$E$2:$E$48,"OK",'Conciliacion de compuestos'!$N$2:$N$48,A51),COUNTIFS('Conciliacion de compuestos'!$D$2:$D$48,"conciliado",'Conciliacion de compuestos'!$E$2:$E$48,"OK",'Conciliacion de compuestos'!$O$2:$O$48,A51))&gt;0,IFERROR(TEXTJOIN(CHAR(10),TRUE,FILTER('Conciliacion de compuestos'!$A$2:$A$48,('Conciliacion de compuestos'!$D$2:$D$48="conciliado")*('Conciliacion de compuestos'!$E$2:$E$48="OK")*((('Conciliacion de compuestos'!$M$2:$M$48=A51)+('Conciliacion de compuestos'!$N$2:$N$48=A51)+('Conciliacion de compuestos'!$O$2:$O$48=A51))&gt;0))),""),"")</f>
        <v/>
      </c>
      <c r="G51" s="11">
        <f>IF(I51="conciliado","conciliado","por revisar")</f>
        <v/>
      </c>
      <c r="H51" s="11" t="inlineStr"/>
      <c r="I51" s="11">
        <f>IF(SUM(COUNTIFS('Conciliacion de compuestos'!$D$2:$D$48,"conciliado",'Conciliacion de compuestos'!$E$2:$E$48,"OK",'Conciliacion de compuestos'!$M$2:$M$48,A51),COUNTIFS('Conciliacion de compuestos'!$D$2:$D$48,"conciliado",'Conciliacion de compuestos'!$E$2:$E$48,"OK",'Conciliacion de compuestos'!$N$2:$N$48,A51),COUNTIFS('Conciliacion de compuestos'!$D$2:$D$48,"conciliado",'Conciliacion de compuestos'!$E$2:$E$48,"OK",'Conciliacion de compuestos'!$O$2:$O$48,A51))&gt;0,"conciliado","por revisar")</f>
        <v/>
      </c>
    </row>
    <row r="52">
      <c r="A52" s="11" t="n">
        <v>38</v>
      </c>
      <c r="B52" s="12" t="n">
        <v>45996</v>
      </c>
      <c r="C52" s="11" t="inlineStr">
        <is>
          <t>dobigama guasiruma m</t>
        </is>
      </c>
      <c r="D52" s="13" t="n">
        <v>46100</v>
      </c>
      <c r="E52" s="11">
        <f>IF(G52="conciliado","conciliado",I52)</f>
        <v/>
      </c>
      <c r="F52" s="11">
        <f>IF(SUM(COUNTIFS('Conciliacion de compuestos'!$D$2:$D$48,"conciliado",'Conciliacion de compuestos'!$E$2:$E$48,"OK",'Conciliacion de compuestos'!$M$2:$M$48,A52),COUNTIFS('Conciliacion de compuestos'!$D$2:$D$48,"conciliado",'Conciliacion de compuestos'!$E$2:$E$48,"OK",'Conciliacion de compuestos'!$N$2:$N$48,A52),COUNTIFS('Conciliacion de compuestos'!$D$2:$D$48,"conciliado",'Conciliacion de compuestos'!$E$2:$E$48,"OK",'Conciliacion de compuestos'!$O$2:$O$48,A52))&gt;0,IFERROR(TEXTJOIN(CHAR(10),TRUE,FILTER('Conciliacion de compuestos'!$A$2:$A$48,('Conciliacion de compuestos'!$D$2:$D$48="conciliado")*('Conciliacion de compuestos'!$E$2:$E$48="OK")*((('Conciliacion de compuestos'!$M$2:$M$48=A52)+('Conciliacion de compuestos'!$N$2:$N$48=A52)+('Conciliacion de compuestos'!$O$2:$O$48=A52))&gt;0))),""),"")</f>
        <v/>
      </c>
      <c r="G52" s="11">
        <f>IF(I52="conciliado","conciliado","por revisar")</f>
        <v/>
      </c>
      <c r="H52" s="11" t="inlineStr"/>
      <c r="I52" s="11">
        <f>IF(SUM(COUNTIFS('Conciliacion de compuestos'!$D$2:$D$48,"conciliado",'Conciliacion de compuestos'!$E$2:$E$48,"OK",'Conciliacion de compuestos'!$M$2:$M$48,A52),COUNTIFS('Conciliacion de compuestos'!$D$2:$D$48,"conciliado",'Conciliacion de compuestos'!$E$2:$E$48,"OK",'Conciliacion de compuestos'!$N$2:$N$48,A52),COUNTIFS('Conciliacion de compuestos'!$D$2:$D$48,"conciliado",'Conciliacion de compuestos'!$E$2:$E$48,"OK",'Conciliacion de compuestos'!$O$2:$O$48,A52))&gt;0,"conciliado","por revisar")</f>
        <v/>
      </c>
    </row>
    <row r="53">
      <c r="A53" s="11" t="n">
        <v>37</v>
      </c>
      <c r="B53" s="12" t="n">
        <v>45996</v>
      </c>
      <c r="C53" s="11" t="inlineStr">
        <is>
          <t>diaz eric pantoja</t>
        </is>
      </c>
      <c r="D53" s="13" t="n">
        <v>21200</v>
      </c>
      <c r="E53" s="11">
        <f>IF(G53="conciliado","conciliado",I53)</f>
        <v/>
      </c>
      <c r="F53" s="11">
        <f>IF(SUM(COUNTIFS('Conciliacion de compuestos'!$D$2:$D$48,"conciliado",'Conciliacion de compuestos'!$E$2:$E$48,"OK",'Conciliacion de compuestos'!$M$2:$M$48,A53),COUNTIFS('Conciliacion de compuestos'!$D$2:$D$48,"conciliado",'Conciliacion de compuestos'!$E$2:$E$48,"OK",'Conciliacion de compuestos'!$N$2:$N$48,A53),COUNTIFS('Conciliacion de compuestos'!$D$2:$D$48,"conciliado",'Conciliacion de compuestos'!$E$2:$E$48,"OK",'Conciliacion de compuestos'!$O$2:$O$48,A53))&gt;0,IFERROR(TEXTJOIN(CHAR(10),TRUE,FILTER('Conciliacion de compuestos'!$A$2:$A$48,('Conciliacion de compuestos'!$D$2:$D$48="conciliado")*('Conciliacion de compuestos'!$E$2:$E$48="OK")*((('Conciliacion de compuestos'!$M$2:$M$48=A53)+('Conciliacion de compuestos'!$N$2:$N$48=A53)+('Conciliacion de compuestos'!$O$2:$O$48=A53))&gt;0))),""),"")</f>
        <v/>
      </c>
      <c r="G53" s="11">
        <f>IF(I53="conciliado","conciliado","por revisar")</f>
        <v/>
      </c>
      <c r="H53" s="11" t="inlineStr"/>
      <c r="I53" s="11">
        <f>IF(SUM(COUNTIFS('Conciliacion de compuestos'!$D$2:$D$48,"conciliado",'Conciliacion de compuestos'!$E$2:$E$48,"OK",'Conciliacion de compuestos'!$M$2:$M$48,A53),COUNTIFS('Conciliacion de compuestos'!$D$2:$D$48,"conciliado",'Conciliacion de compuestos'!$E$2:$E$48,"OK",'Conciliacion de compuestos'!$N$2:$N$48,A53),COUNTIFS('Conciliacion de compuestos'!$D$2:$D$48,"conciliado",'Conciliacion de compuestos'!$E$2:$E$48,"OK",'Conciliacion de compuestos'!$O$2:$O$48,A53))&gt;0,"conciliado","por revisar")</f>
        <v/>
      </c>
    </row>
    <row r="54">
      <c r="A54" s="11" t="n">
        <v>34</v>
      </c>
      <c r="B54" s="12" t="n">
        <v>45996</v>
      </c>
      <c r="C54" s="11" t="inlineStr">
        <is>
          <t>grisales melo zulma</t>
        </is>
      </c>
      <c r="D54" s="13" t="n">
        <v>36400</v>
      </c>
      <c r="E54" s="11">
        <f>IF(G54="conciliado","conciliado",I54)</f>
        <v/>
      </c>
      <c r="F54" s="11">
        <f>IF(SUM(COUNTIFS('Conciliacion de compuestos'!$D$2:$D$48,"conciliado",'Conciliacion de compuestos'!$E$2:$E$48,"OK",'Conciliacion de compuestos'!$M$2:$M$48,A54),COUNTIFS('Conciliacion de compuestos'!$D$2:$D$48,"conciliado",'Conciliacion de compuestos'!$E$2:$E$48,"OK",'Conciliacion de compuestos'!$N$2:$N$48,A54),COUNTIFS('Conciliacion de compuestos'!$D$2:$D$48,"conciliado",'Conciliacion de compuestos'!$E$2:$E$48,"OK",'Conciliacion de compuestos'!$O$2:$O$48,A54))&gt;0,IFERROR(TEXTJOIN(CHAR(10),TRUE,FILTER('Conciliacion de compuestos'!$A$2:$A$48,('Conciliacion de compuestos'!$D$2:$D$48="conciliado")*('Conciliacion de compuestos'!$E$2:$E$48="OK")*((('Conciliacion de compuestos'!$M$2:$M$48=A54)+('Conciliacion de compuestos'!$N$2:$N$48=A54)+('Conciliacion de compuestos'!$O$2:$O$48=A54))&gt;0))),""),"")</f>
        <v/>
      </c>
      <c r="G54" s="11">
        <f>IF(I54="conciliado","conciliado","por revisar")</f>
        <v/>
      </c>
      <c r="H54" s="11" t="inlineStr"/>
      <c r="I54" s="11">
        <f>IF(SUM(COUNTIFS('Conciliacion de compuestos'!$D$2:$D$48,"conciliado",'Conciliacion de compuestos'!$E$2:$E$48,"OK",'Conciliacion de compuestos'!$M$2:$M$48,A54),COUNTIFS('Conciliacion de compuestos'!$D$2:$D$48,"conciliado",'Conciliacion de compuestos'!$E$2:$E$48,"OK",'Conciliacion de compuestos'!$N$2:$N$48,A54),COUNTIFS('Conciliacion de compuestos'!$D$2:$D$48,"conciliado",'Conciliacion de compuestos'!$E$2:$E$48,"OK",'Conciliacion de compuestos'!$O$2:$O$48,A54))&gt;0,"conciliado","por revisar")</f>
        <v/>
      </c>
    </row>
    <row r="55">
      <c r="A55" s="11" t="n">
        <v>33</v>
      </c>
      <c r="B55" s="12" t="n">
        <v>45996</v>
      </c>
      <c r="C55" s="11" t="inlineStr">
        <is>
          <t>bl castano tuberquia</t>
        </is>
      </c>
      <c r="D55" s="13" t="n">
        <v>66300</v>
      </c>
      <c r="E55" s="11">
        <f>IF(G55="conciliado","conciliado",I55)</f>
        <v/>
      </c>
      <c r="F55" s="11">
        <f>IF(SUM(COUNTIFS('Conciliacion de compuestos'!$D$2:$D$48,"conciliado",'Conciliacion de compuestos'!$E$2:$E$48,"OK",'Conciliacion de compuestos'!$M$2:$M$48,A55),COUNTIFS('Conciliacion de compuestos'!$D$2:$D$48,"conciliado",'Conciliacion de compuestos'!$E$2:$E$48,"OK",'Conciliacion de compuestos'!$N$2:$N$48,A55),COUNTIFS('Conciliacion de compuestos'!$D$2:$D$48,"conciliado",'Conciliacion de compuestos'!$E$2:$E$48,"OK",'Conciliacion de compuestos'!$O$2:$O$48,A55))&gt;0,IFERROR(TEXTJOIN(CHAR(10),TRUE,FILTER('Conciliacion de compuestos'!$A$2:$A$48,('Conciliacion de compuestos'!$D$2:$D$48="conciliado")*('Conciliacion de compuestos'!$E$2:$E$48="OK")*((('Conciliacion de compuestos'!$M$2:$M$48=A55)+('Conciliacion de compuestos'!$N$2:$N$48=A55)+('Conciliacion de compuestos'!$O$2:$O$48=A55))&gt;0))),""),"")</f>
        <v/>
      </c>
      <c r="G55" s="11">
        <f>IF(I55="conciliado","conciliado","por revisar")</f>
        <v/>
      </c>
      <c r="H55" s="11" t="inlineStr"/>
      <c r="I55" s="11">
        <f>IF(SUM(COUNTIFS('Conciliacion de compuestos'!$D$2:$D$48,"conciliado",'Conciliacion de compuestos'!$E$2:$E$48,"OK",'Conciliacion de compuestos'!$M$2:$M$48,A55),COUNTIFS('Conciliacion de compuestos'!$D$2:$D$48,"conciliado",'Conciliacion de compuestos'!$E$2:$E$48,"OK",'Conciliacion de compuestos'!$N$2:$N$48,A55),COUNTIFS('Conciliacion de compuestos'!$D$2:$D$48,"conciliado",'Conciliacion de compuestos'!$E$2:$E$48,"OK",'Conciliacion de compuestos'!$O$2:$O$48,A55))&gt;0,"conciliado","por revisar")</f>
        <v/>
      </c>
    </row>
    <row r="56">
      <c r="A56" s="11" t="n">
        <v>39</v>
      </c>
      <c r="B56" s="12" t="n">
        <v>45997</v>
      </c>
      <c r="C56" s="11" t="inlineStr">
        <is>
          <t>cagua garcia venanci</t>
        </is>
      </c>
      <c r="D56" s="13" t="n">
        <v>57415</v>
      </c>
      <c r="E56" s="11">
        <f>IF(G56="conciliado","conciliado",I56)</f>
        <v/>
      </c>
      <c r="F56" s="11">
        <f>IF(SUM(COUNTIFS('Conciliacion de compuestos'!$D$2:$D$48,"conciliado",'Conciliacion de compuestos'!$E$2:$E$48,"OK",'Conciliacion de compuestos'!$M$2:$M$48,A56),COUNTIFS('Conciliacion de compuestos'!$D$2:$D$48,"conciliado",'Conciliacion de compuestos'!$E$2:$E$48,"OK",'Conciliacion de compuestos'!$N$2:$N$48,A56),COUNTIFS('Conciliacion de compuestos'!$D$2:$D$48,"conciliado",'Conciliacion de compuestos'!$E$2:$E$48,"OK",'Conciliacion de compuestos'!$O$2:$O$48,A56))&gt;0,IFERROR(TEXTJOIN(CHAR(10),TRUE,FILTER('Conciliacion de compuestos'!$A$2:$A$48,('Conciliacion de compuestos'!$D$2:$D$48="conciliado")*('Conciliacion de compuestos'!$E$2:$E$48="OK")*((('Conciliacion de compuestos'!$M$2:$M$48=A56)+('Conciliacion de compuestos'!$N$2:$N$48=A56)+('Conciliacion de compuestos'!$O$2:$O$48=A56))&gt;0))),""),"")</f>
        <v/>
      </c>
      <c r="G56" s="11">
        <f>IF(I56="conciliado","conciliado","por revisar")</f>
        <v/>
      </c>
      <c r="H56" s="11" t="inlineStr"/>
      <c r="I56" s="11">
        <f>IF(SUM(COUNTIFS('Conciliacion de compuestos'!$D$2:$D$48,"conciliado",'Conciliacion de compuestos'!$E$2:$E$48,"OK",'Conciliacion de compuestos'!$M$2:$M$48,A56),COUNTIFS('Conciliacion de compuestos'!$D$2:$D$48,"conciliado",'Conciliacion de compuestos'!$E$2:$E$48,"OK",'Conciliacion de compuestos'!$N$2:$N$48,A56),COUNTIFS('Conciliacion de compuestos'!$D$2:$D$48,"conciliado",'Conciliacion de compuestos'!$E$2:$E$48,"OK",'Conciliacion de compuestos'!$O$2:$O$48,A56))&gt;0,"conciliado","por revisar")</f>
        <v/>
      </c>
    </row>
    <row r="57">
      <c r="A57" s="11" t="n">
        <v>43</v>
      </c>
      <c r="B57" s="12" t="n">
        <v>45997</v>
      </c>
      <c r="C57" s="11" t="inlineStr">
        <is>
          <t>chavez esmer urquijo</t>
        </is>
      </c>
      <c r="D57" s="13" t="n">
        <v>222700</v>
      </c>
      <c r="E57" s="11">
        <f>IF(G57="conciliado","conciliado",I57)</f>
        <v/>
      </c>
      <c r="F57" s="11">
        <f>IF(SUM(COUNTIFS('Conciliacion de compuestos'!$D$2:$D$48,"conciliado",'Conciliacion de compuestos'!$E$2:$E$48,"OK",'Conciliacion de compuestos'!$M$2:$M$48,A57),COUNTIFS('Conciliacion de compuestos'!$D$2:$D$48,"conciliado",'Conciliacion de compuestos'!$E$2:$E$48,"OK",'Conciliacion de compuestos'!$N$2:$N$48,A57),COUNTIFS('Conciliacion de compuestos'!$D$2:$D$48,"conciliado",'Conciliacion de compuestos'!$E$2:$E$48,"OK",'Conciliacion de compuestos'!$O$2:$O$48,A57))&gt;0,IFERROR(TEXTJOIN(CHAR(10),TRUE,FILTER('Conciliacion de compuestos'!$A$2:$A$48,('Conciliacion de compuestos'!$D$2:$D$48="conciliado")*('Conciliacion de compuestos'!$E$2:$E$48="OK")*((('Conciliacion de compuestos'!$M$2:$M$48=A57)+('Conciliacion de compuestos'!$N$2:$N$48=A57)+('Conciliacion de compuestos'!$O$2:$O$48=A57))&gt;0))),""),"")</f>
        <v/>
      </c>
      <c r="G57" s="11">
        <f>IF(I57="conciliado","conciliado","por revisar")</f>
        <v/>
      </c>
      <c r="H57" s="11" t="inlineStr"/>
      <c r="I57" s="11">
        <f>IF(SUM(COUNTIFS('Conciliacion de compuestos'!$D$2:$D$48,"conciliado",'Conciliacion de compuestos'!$E$2:$E$48,"OK",'Conciliacion de compuestos'!$M$2:$M$48,A57),COUNTIFS('Conciliacion de compuestos'!$D$2:$D$48,"conciliado",'Conciliacion de compuestos'!$E$2:$E$48,"OK",'Conciliacion de compuestos'!$N$2:$N$48,A57),COUNTIFS('Conciliacion de compuestos'!$D$2:$D$48,"conciliado",'Conciliacion de compuestos'!$E$2:$E$48,"OK",'Conciliacion de compuestos'!$O$2:$O$48,A57))&gt;0,"conciliado","por revisar")</f>
        <v/>
      </c>
    </row>
    <row r="58">
      <c r="A58" s="11" t="n">
        <v>88</v>
      </c>
      <c r="B58" s="12" t="n">
        <v>46000</v>
      </c>
      <c r="C58" s="11" t="inlineStr">
        <is>
          <t>norvey pantoja</t>
        </is>
      </c>
      <c r="D58" s="13" t="n">
        <v>20000</v>
      </c>
      <c r="E58" s="11">
        <f>IF(G58="conciliado","conciliado",I58)</f>
        <v/>
      </c>
      <c r="F58" s="11" t="inlineStr">
        <is>
          <t>381 | 2025-12-09 | 20,000 | consignacion credibanco d e</t>
        </is>
      </c>
      <c r="G58" s="11">
        <f>IF(I58="conciliado","conciliado","por revisar")</f>
        <v/>
      </c>
      <c r="H58" s="11" t="inlineStr"/>
      <c r="I58" s="11" t="inlineStr">
        <is>
          <t>conciliado</t>
        </is>
      </c>
    </row>
    <row r="59">
      <c r="A59" s="11" t="n">
        <v>42</v>
      </c>
      <c r="B59" s="12" t="n">
        <v>45997</v>
      </c>
      <c r="C59" s="11" t="inlineStr">
        <is>
          <t>a delgado diaz edith</t>
        </is>
      </c>
      <c r="D59" s="13" t="n">
        <v>39000</v>
      </c>
      <c r="E59" s="11">
        <f>IF(G59="conciliado","conciliado",I59)</f>
        <v/>
      </c>
      <c r="F59" s="11">
        <f>IF(SUM(COUNTIFS('Conciliacion de compuestos'!$D$2:$D$48,"conciliado",'Conciliacion de compuestos'!$E$2:$E$48,"OK",'Conciliacion de compuestos'!$M$2:$M$48,A59),COUNTIFS('Conciliacion de compuestos'!$D$2:$D$48,"conciliado",'Conciliacion de compuestos'!$E$2:$E$48,"OK",'Conciliacion de compuestos'!$N$2:$N$48,A59),COUNTIFS('Conciliacion de compuestos'!$D$2:$D$48,"conciliado",'Conciliacion de compuestos'!$E$2:$E$48,"OK",'Conciliacion de compuestos'!$O$2:$O$48,A59))&gt;0,IFERROR(TEXTJOIN(CHAR(10),TRUE,FILTER('Conciliacion de compuestos'!$A$2:$A$48,('Conciliacion de compuestos'!$D$2:$D$48="conciliado")*('Conciliacion de compuestos'!$E$2:$E$48="OK")*((('Conciliacion de compuestos'!$M$2:$M$48=A59)+('Conciliacion de compuestos'!$N$2:$N$48=A59)+('Conciliacion de compuestos'!$O$2:$O$48=A59))&gt;0))),""),"")</f>
        <v/>
      </c>
      <c r="G59" s="11">
        <f>IF(I59="conciliado","conciliado","por revisar")</f>
        <v/>
      </c>
      <c r="H59" s="11" t="inlineStr"/>
      <c r="I59" s="11">
        <f>IF(SUM(COUNTIFS('Conciliacion de compuestos'!$D$2:$D$48,"conciliado",'Conciliacion de compuestos'!$E$2:$E$48,"OK",'Conciliacion de compuestos'!$M$2:$M$48,A59),COUNTIFS('Conciliacion de compuestos'!$D$2:$D$48,"conciliado",'Conciliacion de compuestos'!$E$2:$E$48,"OK",'Conciliacion de compuestos'!$N$2:$N$48,A59),COUNTIFS('Conciliacion de compuestos'!$D$2:$D$48,"conciliado",'Conciliacion de compuestos'!$E$2:$E$48,"OK",'Conciliacion de compuestos'!$O$2:$O$48,A59))&gt;0,"conciliado","por revisar")</f>
        <v/>
      </c>
    </row>
    <row r="60">
      <c r="A60" s="11" t="n">
        <v>55</v>
      </c>
      <c r="B60" s="12" t="n">
        <v>45998</v>
      </c>
      <c r="C60" s="11" t="inlineStr">
        <is>
          <t>benitez moni velazco</t>
        </is>
      </c>
      <c r="D60" s="13" t="n">
        <v>114700</v>
      </c>
      <c r="E60" s="11">
        <f>IF(G60="conciliado","conciliado",I60)</f>
        <v/>
      </c>
      <c r="F60" s="11">
        <f>IF(SUM(COUNTIFS('Conciliacion de compuestos'!$D$2:$D$48,"conciliado",'Conciliacion de compuestos'!$E$2:$E$48,"OK",'Conciliacion de compuestos'!$M$2:$M$48,A60),COUNTIFS('Conciliacion de compuestos'!$D$2:$D$48,"conciliado",'Conciliacion de compuestos'!$E$2:$E$48,"OK",'Conciliacion de compuestos'!$N$2:$N$48,A60),COUNTIFS('Conciliacion de compuestos'!$D$2:$D$48,"conciliado",'Conciliacion de compuestos'!$E$2:$E$48,"OK",'Conciliacion de compuestos'!$O$2:$O$48,A60))&gt;0,IFERROR(TEXTJOIN(CHAR(10),TRUE,FILTER('Conciliacion de compuestos'!$A$2:$A$48,('Conciliacion de compuestos'!$D$2:$D$48="conciliado")*('Conciliacion de compuestos'!$E$2:$E$48="OK")*((('Conciliacion de compuestos'!$M$2:$M$48=A60)+('Conciliacion de compuestos'!$N$2:$N$48=A60)+('Conciliacion de compuestos'!$O$2:$O$48=A60))&gt;0))),""),"")</f>
        <v/>
      </c>
      <c r="G60" s="11">
        <f>IF(I60="conciliado","conciliado","por revisar")</f>
        <v/>
      </c>
      <c r="H60" s="11" t="inlineStr"/>
      <c r="I60" s="11">
        <f>IF(SUM(COUNTIFS('Conciliacion de compuestos'!$D$2:$D$48,"conciliado",'Conciliacion de compuestos'!$E$2:$E$48,"OK",'Conciliacion de compuestos'!$M$2:$M$48,A60),COUNTIFS('Conciliacion de compuestos'!$D$2:$D$48,"conciliado",'Conciliacion de compuestos'!$E$2:$E$48,"OK",'Conciliacion de compuestos'!$N$2:$N$48,A60),COUNTIFS('Conciliacion de compuestos'!$D$2:$D$48,"conciliado",'Conciliacion de compuestos'!$E$2:$E$48,"OK",'Conciliacion de compuestos'!$O$2:$O$48,A60))&gt;0,"conciliado","por revisar")</f>
        <v/>
      </c>
    </row>
    <row r="61">
      <c r="A61" s="11" t="n">
        <v>63</v>
      </c>
      <c r="B61" s="12" t="n">
        <v>45998</v>
      </c>
      <c r="C61" s="11" t="inlineStr">
        <is>
          <t>consumidor final</t>
        </is>
      </c>
      <c r="D61" s="13" t="n">
        <v>31600</v>
      </c>
      <c r="E61" s="11">
        <f>IF(G61="conciliado","conciliado",I61)</f>
        <v/>
      </c>
      <c r="F61" s="11">
        <f>IF(SUM(COUNTIFS('Conciliacion de compuestos'!$D$2:$D$48,"conciliado",'Conciliacion de compuestos'!$E$2:$E$48,"OK",'Conciliacion de compuestos'!$M$2:$M$48,A61),COUNTIFS('Conciliacion de compuestos'!$D$2:$D$48,"conciliado",'Conciliacion de compuestos'!$E$2:$E$48,"OK",'Conciliacion de compuestos'!$N$2:$N$48,A61),COUNTIFS('Conciliacion de compuestos'!$D$2:$D$48,"conciliado",'Conciliacion de compuestos'!$E$2:$E$48,"OK",'Conciliacion de compuestos'!$O$2:$O$48,A61))&gt;0,IFERROR(TEXTJOIN(CHAR(10),TRUE,FILTER('Conciliacion de compuestos'!$A$2:$A$48,('Conciliacion de compuestos'!$D$2:$D$48="conciliado")*('Conciliacion de compuestos'!$E$2:$E$48="OK")*((('Conciliacion de compuestos'!$M$2:$M$48=A61)+('Conciliacion de compuestos'!$N$2:$N$48=A61)+('Conciliacion de compuestos'!$O$2:$O$48=A61))&gt;0))),""),"")</f>
        <v/>
      </c>
      <c r="G61" s="11">
        <f>IF(I61="conciliado","conciliado","por revisar")</f>
        <v/>
      </c>
      <c r="H61" s="11" t="inlineStr"/>
      <c r="I61" s="11">
        <f>IF(SUM(COUNTIFS('Conciliacion de compuestos'!$D$2:$D$48,"conciliado",'Conciliacion de compuestos'!$E$2:$E$48,"OK",'Conciliacion de compuestos'!$M$2:$M$48,A61),COUNTIFS('Conciliacion de compuestos'!$D$2:$D$48,"conciliado",'Conciliacion de compuestos'!$E$2:$E$48,"OK",'Conciliacion de compuestos'!$N$2:$N$48,A61),COUNTIFS('Conciliacion de compuestos'!$D$2:$D$48,"conciliado",'Conciliacion de compuestos'!$E$2:$E$48,"OK",'Conciliacion de compuestos'!$O$2:$O$48,A61))&gt;0,"conciliado","por revisar")</f>
        <v/>
      </c>
    </row>
    <row r="62">
      <c r="A62" s="11" t="n">
        <v>62</v>
      </c>
      <c r="B62" s="12" t="n">
        <v>45998</v>
      </c>
      <c r="C62" s="11" t="inlineStr">
        <is>
          <t>benavides lopez sixt</t>
        </is>
      </c>
      <c r="D62" s="13" t="n">
        <v>91800</v>
      </c>
      <c r="E62" s="11">
        <f>IF(G62="conciliado","conciliado",I62)</f>
        <v/>
      </c>
      <c r="F62" s="11">
        <f>IF(SUM(COUNTIFS('Conciliacion de compuestos'!$D$2:$D$48,"conciliado",'Conciliacion de compuestos'!$E$2:$E$48,"OK",'Conciliacion de compuestos'!$M$2:$M$48,A62),COUNTIFS('Conciliacion de compuestos'!$D$2:$D$48,"conciliado",'Conciliacion de compuestos'!$E$2:$E$48,"OK",'Conciliacion de compuestos'!$N$2:$N$48,A62),COUNTIFS('Conciliacion de compuestos'!$D$2:$D$48,"conciliado",'Conciliacion de compuestos'!$E$2:$E$48,"OK",'Conciliacion de compuestos'!$O$2:$O$48,A62))&gt;0,IFERROR(TEXTJOIN(CHAR(10),TRUE,FILTER('Conciliacion de compuestos'!$A$2:$A$48,('Conciliacion de compuestos'!$D$2:$D$48="conciliado")*('Conciliacion de compuestos'!$E$2:$E$48="OK")*((('Conciliacion de compuestos'!$M$2:$M$48=A62)+('Conciliacion de compuestos'!$N$2:$N$48=A62)+('Conciliacion de compuestos'!$O$2:$O$48=A62))&gt;0))),""),"")</f>
        <v/>
      </c>
      <c r="G62" s="11">
        <f>IF(I62="conciliado","conciliado","por revisar")</f>
        <v/>
      </c>
      <c r="H62" s="11" t="inlineStr"/>
      <c r="I62" s="11">
        <f>IF(SUM(COUNTIFS('Conciliacion de compuestos'!$D$2:$D$48,"conciliado",'Conciliacion de compuestos'!$E$2:$E$48,"OK",'Conciliacion de compuestos'!$M$2:$M$48,A62),COUNTIFS('Conciliacion de compuestos'!$D$2:$D$48,"conciliado",'Conciliacion de compuestos'!$E$2:$E$48,"OK",'Conciliacion de compuestos'!$N$2:$N$48,A62),COUNTIFS('Conciliacion de compuestos'!$D$2:$D$48,"conciliado",'Conciliacion de compuestos'!$E$2:$E$48,"OK",'Conciliacion de compuestos'!$O$2:$O$48,A62))&gt;0,"conciliado","por revisar")</f>
        <v/>
      </c>
    </row>
    <row r="63">
      <c r="A63" s="11" t="n">
        <v>57</v>
      </c>
      <c r="B63" s="12" t="n">
        <v>45998</v>
      </c>
      <c r="C63" s="11" t="inlineStr">
        <is>
          <t>cabrera gutierrez je</t>
        </is>
      </c>
      <c r="D63" s="13" t="n">
        <v>134000</v>
      </c>
      <c r="E63" s="11">
        <f>IF(G63="conciliado","conciliado",I63)</f>
        <v/>
      </c>
      <c r="F63" s="11">
        <f>IF(SUM(COUNTIFS('Conciliacion de compuestos'!$D$2:$D$48,"conciliado",'Conciliacion de compuestos'!$E$2:$E$48,"OK",'Conciliacion de compuestos'!$M$2:$M$48,A63),COUNTIFS('Conciliacion de compuestos'!$D$2:$D$48,"conciliado",'Conciliacion de compuestos'!$E$2:$E$48,"OK",'Conciliacion de compuestos'!$N$2:$N$48,A63),COUNTIFS('Conciliacion de compuestos'!$D$2:$D$48,"conciliado",'Conciliacion de compuestos'!$E$2:$E$48,"OK",'Conciliacion de compuestos'!$O$2:$O$48,A63))&gt;0,IFERROR(TEXTJOIN(CHAR(10),TRUE,FILTER('Conciliacion de compuestos'!$A$2:$A$48,('Conciliacion de compuestos'!$D$2:$D$48="conciliado")*('Conciliacion de compuestos'!$E$2:$E$48="OK")*((('Conciliacion de compuestos'!$M$2:$M$48=A63)+('Conciliacion de compuestos'!$N$2:$N$48=A63)+('Conciliacion de compuestos'!$O$2:$O$48=A63))&gt;0))),""),"")</f>
        <v/>
      </c>
      <c r="G63" s="11">
        <f>IF(I63="conciliado","conciliado","por revisar")</f>
        <v/>
      </c>
      <c r="H63" s="11" t="inlineStr"/>
      <c r="I63" s="11">
        <f>IF(SUM(COUNTIFS('Conciliacion de compuestos'!$D$2:$D$48,"conciliado",'Conciliacion de compuestos'!$E$2:$E$48,"OK",'Conciliacion de compuestos'!$M$2:$M$48,A63),COUNTIFS('Conciliacion de compuestos'!$D$2:$D$48,"conciliado",'Conciliacion de compuestos'!$E$2:$E$48,"OK",'Conciliacion de compuestos'!$N$2:$N$48,A63),COUNTIFS('Conciliacion de compuestos'!$D$2:$D$48,"conciliado",'Conciliacion de compuestos'!$E$2:$E$48,"OK",'Conciliacion de compuestos'!$O$2:$O$48,A63))&gt;0,"conciliado","por revisar")</f>
        <v/>
      </c>
    </row>
    <row r="64">
      <c r="A64" s="11" t="n">
        <v>47</v>
      </c>
      <c r="B64" s="12" t="n">
        <v>45998</v>
      </c>
      <c r="C64" s="11" t="inlineStr">
        <is>
          <t>arias diego valencia</t>
        </is>
      </c>
      <c r="D64" s="13" t="n">
        <v>115500</v>
      </c>
      <c r="E64" s="11">
        <f>IF(G64="conciliado","conciliado",I64)</f>
        <v/>
      </c>
      <c r="F64" s="11">
        <f>IF(SUM(COUNTIFS('Conciliacion de compuestos'!$D$2:$D$48,"conciliado",'Conciliacion de compuestos'!$E$2:$E$48,"OK",'Conciliacion de compuestos'!$M$2:$M$48,A64),COUNTIFS('Conciliacion de compuestos'!$D$2:$D$48,"conciliado",'Conciliacion de compuestos'!$E$2:$E$48,"OK",'Conciliacion de compuestos'!$N$2:$N$48,A64),COUNTIFS('Conciliacion de compuestos'!$D$2:$D$48,"conciliado",'Conciliacion de compuestos'!$E$2:$E$48,"OK",'Conciliacion de compuestos'!$O$2:$O$48,A64))&gt;0,IFERROR(TEXTJOIN(CHAR(10),TRUE,FILTER('Conciliacion de compuestos'!$A$2:$A$48,('Conciliacion de compuestos'!$D$2:$D$48="conciliado")*('Conciliacion de compuestos'!$E$2:$E$48="OK")*((('Conciliacion de compuestos'!$M$2:$M$48=A64)+('Conciliacion de compuestos'!$N$2:$N$48=A64)+('Conciliacion de compuestos'!$O$2:$O$48=A64))&gt;0))),""),"")</f>
        <v/>
      </c>
      <c r="G64" s="11">
        <f>IF(I64="conciliado","conciliado","por revisar")</f>
        <v/>
      </c>
      <c r="H64" s="11" t="inlineStr"/>
      <c r="I64" s="11">
        <f>IF(SUM(COUNTIFS('Conciliacion de compuestos'!$D$2:$D$48,"conciliado",'Conciliacion de compuestos'!$E$2:$E$48,"OK",'Conciliacion de compuestos'!$M$2:$M$48,A64),COUNTIFS('Conciliacion de compuestos'!$D$2:$D$48,"conciliado",'Conciliacion de compuestos'!$E$2:$E$48,"OK",'Conciliacion de compuestos'!$N$2:$N$48,A64),COUNTIFS('Conciliacion de compuestos'!$D$2:$D$48,"conciliado",'Conciliacion de compuestos'!$E$2:$E$48,"OK",'Conciliacion de compuestos'!$O$2:$O$48,A64))&gt;0,"conciliado","por revisar")</f>
        <v/>
      </c>
    </row>
    <row r="65">
      <c r="A65" s="11" t="n">
        <v>51</v>
      </c>
      <c r="B65" s="12" t="n">
        <v>45998</v>
      </c>
      <c r="C65" s="11" t="inlineStr">
        <is>
          <t>fernan salazar silva</t>
        </is>
      </c>
      <c r="D65" s="13" t="n">
        <v>30200</v>
      </c>
      <c r="E65" s="11">
        <f>IF(G65="conciliado","conciliado",I65)</f>
        <v/>
      </c>
      <c r="F65" s="11">
        <f>IF(SUM(COUNTIFS('Conciliacion de compuestos'!$D$2:$D$48,"conciliado",'Conciliacion de compuestos'!$E$2:$E$48,"OK",'Conciliacion de compuestos'!$M$2:$M$48,A65),COUNTIFS('Conciliacion de compuestos'!$D$2:$D$48,"conciliado",'Conciliacion de compuestos'!$E$2:$E$48,"OK",'Conciliacion de compuestos'!$N$2:$N$48,A65),COUNTIFS('Conciliacion de compuestos'!$D$2:$D$48,"conciliado",'Conciliacion de compuestos'!$E$2:$E$48,"OK",'Conciliacion de compuestos'!$O$2:$O$48,A65))&gt;0,IFERROR(TEXTJOIN(CHAR(10),TRUE,FILTER('Conciliacion de compuestos'!$A$2:$A$48,('Conciliacion de compuestos'!$D$2:$D$48="conciliado")*('Conciliacion de compuestos'!$E$2:$E$48="OK")*((('Conciliacion de compuestos'!$M$2:$M$48=A65)+('Conciliacion de compuestos'!$N$2:$N$48=A65)+('Conciliacion de compuestos'!$O$2:$O$48=A65))&gt;0))),""),"")</f>
        <v/>
      </c>
      <c r="G65" s="11">
        <f>IF(I65="conciliado","conciliado","por revisar")</f>
        <v/>
      </c>
      <c r="H65" s="11" t="inlineStr"/>
      <c r="I65" s="11">
        <f>IF(SUM(COUNTIFS('Conciliacion de compuestos'!$D$2:$D$48,"conciliado",'Conciliacion de compuestos'!$E$2:$E$48,"OK",'Conciliacion de compuestos'!$M$2:$M$48,A65),COUNTIFS('Conciliacion de compuestos'!$D$2:$D$48,"conciliado",'Conciliacion de compuestos'!$E$2:$E$48,"OK",'Conciliacion de compuestos'!$N$2:$N$48,A65),COUNTIFS('Conciliacion de compuestos'!$D$2:$D$48,"conciliado",'Conciliacion de compuestos'!$E$2:$E$48,"OK",'Conciliacion de compuestos'!$O$2:$O$48,A65))&gt;0,"conciliado","por revisar")</f>
        <v/>
      </c>
    </row>
    <row r="66">
      <c r="A66" s="11" t="n">
        <v>48</v>
      </c>
      <c r="B66" s="12" t="n">
        <v>45998</v>
      </c>
      <c r="C66" s="11" t="inlineStr">
        <is>
          <t>caicedo cris herrera</t>
        </is>
      </c>
      <c r="D66" s="13" t="n">
        <v>55200</v>
      </c>
      <c r="E66" s="11">
        <f>IF(G66="conciliado","conciliado",I66)</f>
        <v/>
      </c>
      <c r="F66" s="11">
        <f>IF(SUM(COUNTIFS('Conciliacion de compuestos'!$D$2:$D$48,"conciliado",'Conciliacion de compuestos'!$E$2:$E$48,"OK",'Conciliacion de compuestos'!$M$2:$M$48,A66),COUNTIFS('Conciliacion de compuestos'!$D$2:$D$48,"conciliado",'Conciliacion de compuestos'!$E$2:$E$48,"OK",'Conciliacion de compuestos'!$N$2:$N$48,A66),COUNTIFS('Conciliacion de compuestos'!$D$2:$D$48,"conciliado",'Conciliacion de compuestos'!$E$2:$E$48,"OK",'Conciliacion de compuestos'!$O$2:$O$48,A66))&gt;0,IFERROR(TEXTJOIN(CHAR(10),TRUE,FILTER('Conciliacion de compuestos'!$A$2:$A$48,('Conciliacion de compuestos'!$D$2:$D$48="conciliado")*('Conciliacion de compuestos'!$E$2:$E$48="OK")*((('Conciliacion de compuestos'!$M$2:$M$48=A66)+('Conciliacion de compuestos'!$N$2:$N$48=A66)+('Conciliacion de compuestos'!$O$2:$O$48=A66))&gt;0))),""),"")</f>
        <v/>
      </c>
      <c r="G66" s="11">
        <f>IF(I66="conciliado","conciliado","por revisar")</f>
        <v/>
      </c>
      <c r="H66" s="11" t="inlineStr"/>
      <c r="I66" s="11">
        <f>IF(SUM(COUNTIFS('Conciliacion de compuestos'!$D$2:$D$48,"conciliado",'Conciliacion de compuestos'!$E$2:$E$48,"OK",'Conciliacion de compuestos'!$M$2:$M$48,A66),COUNTIFS('Conciliacion de compuestos'!$D$2:$D$48,"conciliado",'Conciliacion de compuestos'!$E$2:$E$48,"OK",'Conciliacion de compuestos'!$N$2:$N$48,A66),COUNTIFS('Conciliacion de compuestos'!$D$2:$D$48,"conciliado",'Conciliacion de compuestos'!$E$2:$E$48,"OK",'Conciliacion de compuestos'!$O$2:$O$48,A66))&gt;0,"conciliado","por revisar")</f>
        <v/>
      </c>
    </row>
    <row r="67">
      <c r="A67" s="11" t="n">
        <v>59</v>
      </c>
      <c r="B67" s="12" t="n">
        <v>45998</v>
      </c>
      <c r="C67" s="11" t="inlineStr">
        <is>
          <t>galeano maria velez</t>
        </is>
      </c>
      <c r="D67" s="13" t="n">
        <v>33560</v>
      </c>
      <c r="E67" s="11">
        <f>IF(G67="conciliado","conciliado",I67)</f>
        <v/>
      </c>
      <c r="F67" s="11">
        <f>IF(SUM(COUNTIFS('Conciliacion de compuestos'!$D$2:$D$48,"conciliado",'Conciliacion de compuestos'!$E$2:$E$48,"OK",'Conciliacion de compuestos'!$M$2:$M$48,A67),COUNTIFS('Conciliacion de compuestos'!$D$2:$D$48,"conciliado",'Conciliacion de compuestos'!$E$2:$E$48,"OK",'Conciliacion de compuestos'!$N$2:$N$48,A67),COUNTIFS('Conciliacion de compuestos'!$D$2:$D$48,"conciliado",'Conciliacion de compuestos'!$E$2:$E$48,"OK",'Conciliacion de compuestos'!$O$2:$O$48,A67))&gt;0,IFERROR(TEXTJOIN(CHAR(10),TRUE,FILTER('Conciliacion de compuestos'!$A$2:$A$48,('Conciliacion de compuestos'!$D$2:$D$48="conciliado")*('Conciliacion de compuestos'!$E$2:$E$48="OK")*((('Conciliacion de compuestos'!$M$2:$M$48=A67)+('Conciliacion de compuestos'!$N$2:$N$48=A67)+('Conciliacion de compuestos'!$O$2:$O$48=A67))&gt;0))),""),"")</f>
        <v/>
      </c>
      <c r="G67" s="11">
        <f>IF(I67="conciliado","conciliado","por revisar")</f>
        <v/>
      </c>
      <c r="H67" s="11" t="inlineStr"/>
      <c r="I67" s="11">
        <f>IF(SUM(COUNTIFS('Conciliacion de compuestos'!$D$2:$D$48,"conciliado",'Conciliacion de compuestos'!$E$2:$E$48,"OK",'Conciliacion de compuestos'!$M$2:$M$48,A67),COUNTIFS('Conciliacion de compuestos'!$D$2:$D$48,"conciliado",'Conciliacion de compuestos'!$E$2:$E$48,"OK",'Conciliacion de compuestos'!$N$2:$N$48,A67),COUNTIFS('Conciliacion de compuestos'!$D$2:$D$48,"conciliado",'Conciliacion de compuestos'!$E$2:$E$48,"OK",'Conciliacion de compuestos'!$O$2:$O$48,A67))&gt;0,"conciliado","por revisar")</f>
        <v/>
      </c>
    </row>
    <row r="68">
      <c r="A68" s="11" t="n">
        <v>60</v>
      </c>
      <c r="B68" s="12" t="n">
        <v>45998</v>
      </c>
      <c r="C68" s="11" t="inlineStr">
        <is>
          <t>l piedad ramos rueda</t>
        </is>
      </c>
      <c r="D68" s="13" t="n">
        <v>24700</v>
      </c>
      <c r="E68" s="11">
        <f>IF(G68="conciliado","conciliado",I68)</f>
        <v/>
      </c>
      <c r="F68" s="11">
        <f>IF(SUM(COUNTIFS('Conciliacion de compuestos'!$D$2:$D$48,"conciliado",'Conciliacion de compuestos'!$E$2:$E$48,"OK",'Conciliacion de compuestos'!$M$2:$M$48,A68),COUNTIFS('Conciliacion de compuestos'!$D$2:$D$48,"conciliado",'Conciliacion de compuestos'!$E$2:$E$48,"OK",'Conciliacion de compuestos'!$N$2:$N$48,A68),COUNTIFS('Conciliacion de compuestos'!$D$2:$D$48,"conciliado",'Conciliacion de compuestos'!$E$2:$E$48,"OK",'Conciliacion de compuestos'!$O$2:$O$48,A68))&gt;0,IFERROR(TEXTJOIN(CHAR(10),TRUE,FILTER('Conciliacion de compuestos'!$A$2:$A$48,('Conciliacion de compuestos'!$D$2:$D$48="conciliado")*('Conciliacion de compuestos'!$E$2:$E$48="OK")*((('Conciliacion de compuestos'!$M$2:$M$48=A68)+('Conciliacion de compuestos'!$N$2:$N$48=A68)+('Conciliacion de compuestos'!$O$2:$O$48=A68))&gt;0))),""),"")</f>
        <v/>
      </c>
      <c r="G68" s="11">
        <f>IF(I68="conciliado","conciliado","por revisar")</f>
        <v/>
      </c>
      <c r="H68" s="11" t="inlineStr"/>
      <c r="I68" s="11">
        <f>IF(SUM(COUNTIFS('Conciliacion de compuestos'!$D$2:$D$48,"conciliado",'Conciliacion de compuestos'!$E$2:$E$48,"OK",'Conciliacion de compuestos'!$M$2:$M$48,A68),COUNTIFS('Conciliacion de compuestos'!$D$2:$D$48,"conciliado",'Conciliacion de compuestos'!$E$2:$E$48,"OK",'Conciliacion de compuestos'!$N$2:$N$48,A68),COUNTIFS('Conciliacion de compuestos'!$D$2:$D$48,"conciliado",'Conciliacion de compuestos'!$E$2:$E$48,"OK",'Conciliacion de compuestos'!$O$2:$O$48,A68))&gt;0,"conciliado","por revisar")</f>
        <v/>
      </c>
    </row>
    <row r="69">
      <c r="A69" s="11" t="n">
        <v>65</v>
      </c>
      <c r="B69" s="12" t="n">
        <v>45998</v>
      </c>
      <c r="C69" s="11" t="inlineStr">
        <is>
          <t>bernal yeison</t>
        </is>
      </c>
      <c r="D69" s="13" t="n">
        <v>78000</v>
      </c>
      <c r="E69" s="11">
        <f>IF(G69="conciliado","conciliado",I69)</f>
        <v/>
      </c>
      <c r="F69" s="11">
        <f>IF(SUM(COUNTIFS('Conciliacion de compuestos'!$D$2:$D$48,"conciliado",'Conciliacion de compuestos'!$E$2:$E$48,"OK",'Conciliacion de compuestos'!$M$2:$M$48,A69),COUNTIFS('Conciliacion de compuestos'!$D$2:$D$48,"conciliado",'Conciliacion de compuestos'!$E$2:$E$48,"OK",'Conciliacion de compuestos'!$N$2:$N$48,A69),COUNTIFS('Conciliacion de compuestos'!$D$2:$D$48,"conciliado",'Conciliacion de compuestos'!$E$2:$E$48,"OK",'Conciliacion de compuestos'!$O$2:$O$48,A69))&gt;0,IFERROR(TEXTJOIN(CHAR(10),TRUE,FILTER('Conciliacion de compuestos'!$A$2:$A$48,('Conciliacion de compuestos'!$D$2:$D$48="conciliado")*('Conciliacion de compuestos'!$E$2:$E$48="OK")*((('Conciliacion de compuestos'!$M$2:$M$48=A69)+('Conciliacion de compuestos'!$N$2:$N$48=A69)+('Conciliacion de compuestos'!$O$2:$O$48=A69))&gt;0))),""),"")</f>
        <v/>
      </c>
      <c r="G69" s="11">
        <f>IF(I69="conciliado","conciliado","por revisar")</f>
        <v/>
      </c>
      <c r="H69" s="11" t="inlineStr"/>
      <c r="I69" s="11">
        <f>IF(SUM(COUNTIFS('Conciliacion de compuestos'!$D$2:$D$48,"conciliado",'Conciliacion de compuestos'!$E$2:$E$48,"OK",'Conciliacion de compuestos'!$M$2:$M$48,A69),COUNTIFS('Conciliacion de compuestos'!$D$2:$D$48,"conciliado",'Conciliacion de compuestos'!$E$2:$E$48,"OK",'Conciliacion de compuestos'!$N$2:$N$48,A69),COUNTIFS('Conciliacion de compuestos'!$D$2:$D$48,"conciliado",'Conciliacion de compuestos'!$E$2:$E$48,"OK",'Conciliacion de compuestos'!$O$2:$O$48,A69))&gt;0,"conciliado","por revisar")</f>
        <v/>
      </c>
    </row>
    <row r="70">
      <c r="A70" s="11" t="n">
        <v>52</v>
      </c>
      <c r="B70" s="12" t="n">
        <v>45998</v>
      </c>
      <c r="C70" s="11" t="inlineStr">
        <is>
          <t>cajigas gordillo kar</t>
        </is>
      </c>
      <c r="D70" s="13" t="n">
        <v>77100</v>
      </c>
      <c r="E70" s="11">
        <f>IF(G70="conciliado","conciliado",I70)</f>
        <v/>
      </c>
      <c r="F70" s="11">
        <f>IF(SUM(COUNTIFS('Conciliacion de compuestos'!$D$2:$D$48,"conciliado",'Conciliacion de compuestos'!$E$2:$E$48,"OK",'Conciliacion de compuestos'!$M$2:$M$48,A70),COUNTIFS('Conciliacion de compuestos'!$D$2:$D$48,"conciliado",'Conciliacion de compuestos'!$E$2:$E$48,"OK",'Conciliacion de compuestos'!$N$2:$N$48,A70),COUNTIFS('Conciliacion de compuestos'!$D$2:$D$48,"conciliado",'Conciliacion de compuestos'!$E$2:$E$48,"OK",'Conciliacion de compuestos'!$O$2:$O$48,A70))&gt;0,IFERROR(TEXTJOIN(CHAR(10),TRUE,FILTER('Conciliacion de compuestos'!$A$2:$A$48,('Conciliacion de compuestos'!$D$2:$D$48="conciliado")*('Conciliacion de compuestos'!$E$2:$E$48="OK")*((('Conciliacion de compuestos'!$M$2:$M$48=A70)+('Conciliacion de compuestos'!$N$2:$N$48=A70)+('Conciliacion de compuestos'!$O$2:$O$48=A70))&gt;0))),""),"")</f>
        <v/>
      </c>
      <c r="G70" s="11">
        <f>IF(I70="conciliado","conciliado","por revisar")</f>
        <v/>
      </c>
      <c r="H70" s="11" t="inlineStr"/>
      <c r="I70" s="11">
        <f>IF(SUM(COUNTIFS('Conciliacion de compuestos'!$D$2:$D$48,"conciliado",'Conciliacion de compuestos'!$E$2:$E$48,"OK",'Conciliacion de compuestos'!$M$2:$M$48,A70),COUNTIFS('Conciliacion de compuestos'!$D$2:$D$48,"conciliado",'Conciliacion de compuestos'!$E$2:$E$48,"OK",'Conciliacion de compuestos'!$N$2:$N$48,A70),COUNTIFS('Conciliacion de compuestos'!$D$2:$D$48,"conciliado",'Conciliacion de compuestos'!$E$2:$E$48,"OK",'Conciliacion de compuestos'!$O$2:$O$48,A70))&gt;0,"conciliado","por revisar")</f>
        <v/>
      </c>
    </row>
    <row r="71">
      <c r="A71" s="11" t="n">
        <v>36</v>
      </c>
      <c r="B71" s="12" t="n">
        <v>45996</v>
      </c>
      <c r="C71" s="11" t="inlineStr">
        <is>
          <t>martinez pedr segura</t>
        </is>
      </c>
      <c r="D71" s="13" t="n">
        <v>37800</v>
      </c>
      <c r="E71" s="11">
        <f>IF(G71="conciliado","conciliado",I71)</f>
        <v/>
      </c>
      <c r="F71" s="11">
        <f>IF(SUM(COUNTIFS('Conciliacion de compuestos'!$D$2:$D$48,"conciliado",'Conciliacion de compuestos'!$E$2:$E$48,"OK",'Conciliacion de compuestos'!$M$2:$M$48,A71),COUNTIFS('Conciliacion de compuestos'!$D$2:$D$48,"conciliado",'Conciliacion de compuestos'!$E$2:$E$48,"OK",'Conciliacion de compuestos'!$N$2:$N$48,A71),COUNTIFS('Conciliacion de compuestos'!$D$2:$D$48,"conciliado",'Conciliacion de compuestos'!$E$2:$E$48,"OK",'Conciliacion de compuestos'!$O$2:$O$48,A71))&gt;0,IFERROR(TEXTJOIN(CHAR(10),TRUE,FILTER('Conciliacion de compuestos'!$A$2:$A$48,('Conciliacion de compuestos'!$D$2:$D$48="conciliado")*('Conciliacion de compuestos'!$E$2:$E$48="OK")*((('Conciliacion de compuestos'!$M$2:$M$48=A71)+('Conciliacion de compuestos'!$N$2:$N$48=A71)+('Conciliacion de compuestos'!$O$2:$O$48=A71))&gt;0))),""),"")</f>
        <v/>
      </c>
      <c r="G71" s="11">
        <f>IF(I71="conciliado","conciliado","por revisar")</f>
        <v/>
      </c>
      <c r="H71" s="11" t="inlineStr"/>
      <c r="I71" s="11">
        <f>IF(SUM(COUNTIFS('Conciliacion de compuestos'!$D$2:$D$48,"conciliado",'Conciliacion de compuestos'!$E$2:$E$48,"OK",'Conciliacion de compuestos'!$M$2:$M$48,A71),COUNTIFS('Conciliacion de compuestos'!$D$2:$D$48,"conciliado",'Conciliacion de compuestos'!$E$2:$E$48,"OK",'Conciliacion de compuestos'!$N$2:$N$48,A71),COUNTIFS('Conciliacion de compuestos'!$D$2:$D$48,"conciliado",'Conciliacion de compuestos'!$E$2:$E$48,"OK",'Conciliacion de compuestos'!$O$2:$O$48,A71))&gt;0,"conciliado","por revisar")</f>
        <v/>
      </c>
    </row>
    <row r="72">
      <c r="A72" s="11" t="n">
        <v>44</v>
      </c>
      <c r="B72" s="12" t="n">
        <v>45997</v>
      </c>
      <c r="C72" s="11" t="inlineStr">
        <is>
          <t>castano jorge rincon</t>
        </is>
      </c>
      <c r="D72" s="13" t="n">
        <v>1049690</v>
      </c>
      <c r="E72" s="11">
        <f>IF(G72="conciliado","conciliado",I72)</f>
        <v/>
      </c>
      <c r="F72" s="11">
        <f>IF(SUM(COUNTIFS('Conciliacion de compuestos'!$D$2:$D$48,"conciliado",'Conciliacion de compuestos'!$E$2:$E$48,"OK",'Conciliacion de compuestos'!$M$2:$M$48,A72),COUNTIFS('Conciliacion de compuestos'!$D$2:$D$48,"conciliado",'Conciliacion de compuestos'!$E$2:$E$48,"OK",'Conciliacion de compuestos'!$N$2:$N$48,A72),COUNTIFS('Conciliacion de compuestos'!$D$2:$D$48,"conciliado",'Conciliacion de compuestos'!$E$2:$E$48,"OK",'Conciliacion de compuestos'!$O$2:$O$48,A72))&gt;0,IFERROR(TEXTJOIN(CHAR(10),TRUE,FILTER('Conciliacion de compuestos'!$A$2:$A$48,('Conciliacion de compuestos'!$D$2:$D$48="conciliado")*('Conciliacion de compuestos'!$E$2:$E$48="OK")*((('Conciliacion de compuestos'!$M$2:$M$48=A72)+('Conciliacion de compuestos'!$N$2:$N$48=A72)+('Conciliacion de compuestos'!$O$2:$O$48=A72))&gt;0))),""),"")</f>
        <v/>
      </c>
      <c r="G72" s="11">
        <f>IF(I72="conciliado","conciliado","por revisar")</f>
        <v/>
      </c>
      <c r="H72" s="11" t="inlineStr"/>
      <c r="I72" s="11">
        <f>IF(SUM(COUNTIFS('Conciliacion de compuestos'!$D$2:$D$48,"conciliado",'Conciliacion de compuestos'!$E$2:$E$48,"OK",'Conciliacion de compuestos'!$M$2:$M$48,A72),COUNTIFS('Conciliacion de compuestos'!$D$2:$D$48,"conciliado",'Conciliacion de compuestos'!$E$2:$E$48,"OK",'Conciliacion de compuestos'!$N$2:$N$48,A72),COUNTIFS('Conciliacion de compuestos'!$D$2:$D$48,"conciliado",'Conciliacion de compuestos'!$E$2:$E$48,"OK",'Conciliacion de compuestos'!$O$2:$O$48,A72))&gt;0,"conciliado","por revisar")</f>
        <v/>
      </c>
    </row>
    <row r="73">
      <c r="A73" s="11" t="n">
        <v>61</v>
      </c>
      <c r="B73" s="12" t="n">
        <v>45998</v>
      </c>
      <c r="C73" s="11" t="inlineStr">
        <is>
          <t>integrales servicios</t>
        </is>
      </c>
      <c r="D73" s="13" t="n">
        <v>91900</v>
      </c>
      <c r="E73" s="11">
        <f>IF(G73="conciliado","conciliado",I73)</f>
        <v/>
      </c>
      <c r="F73" s="11">
        <f>IF(SUM(COUNTIFS('Conciliacion de compuestos'!$D$2:$D$48,"conciliado",'Conciliacion de compuestos'!$E$2:$E$48,"OK",'Conciliacion de compuestos'!$M$2:$M$48,A73),COUNTIFS('Conciliacion de compuestos'!$D$2:$D$48,"conciliado",'Conciliacion de compuestos'!$E$2:$E$48,"OK",'Conciliacion de compuestos'!$N$2:$N$48,A73),COUNTIFS('Conciliacion de compuestos'!$D$2:$D$48,"conciliado",'Conciliacion de compuestos'!$E$2:$E$48,"OK",'Conciliacion de compuestos'!$O$2:$O$48,A73))&gt;0,IFERROR(TEXTJOIN(CHAR(10),TRUE,FILTER('Conciliacion de compuestos'!$A$2:$A$48,('Conciliacion de compuestos'!$D$2:$D$48="conciliado")*('Conciliacion de compuestos'!$E$2:$E$48="OK")*((('Conciliacion de compuestos'!$M$2:$M$48=A73)+('Conciliacion de compuestos'!$N$2:$N$48=A73)+('Conciliacion de compuestos'!$O$2:$O$48=A73))&gt;0))),""),"")</f>
        <v/>
      </c>
      <c r="G73" s="11">
        <f>IF(I73="conciliado","conciliado","por revisar")</f>
        <v/>
      </c>
      <c r="H73" s="11" t="inlineStr"/>
      <c r="I73" s="11">
        <f>IF(SUM(COUNTIFS('Conciliacion de compuestos'!$D$2:$D$48,"conciliado",'Conciliacion de compuestos'!$E$2:$E$48,"OK",'Conciliacion de compuestos'!$M$2:$M$48,A73),COUNTIFS('Conciliacion de compuestos'!$D$2:$D$48,"conciliado",'Conciliacion de compuestos'!$E$2:$E$48,"OK",'Conciliacion de compuestos'!$N$2:$N$48,A73),COUNTIFS('Conciliacion de compuestos'!$D$2:$D$48,"conciliado",'Conciliacion de compuestos'!$E$2:$E$48,"OK",'Conciliacion de compuestos'!$O$2:$O$48,A73))&gt;0,"conciliado","por revisar")</f>
        <v/>
      </c>
    </row>
    <row r="74">
      <c r="A74" s="11" t="n">
        <v>56</v>
      </c>
      <c r="B74" s="12" t="n">
        <v>45998</v>
      </c>
      <c r="C74" s="11" t="inlineStr">
        <is>
          <t>andrade dia maturana</t>
        </is>
      </c>
      <c r="D74" s="13" t="n">
        <v>80900</v>
      </c>
      <c r="E74" s="11">
        <f>IF(G74="conciliado","conciliado",I74)</f>
        <v/>
      </c>
      <c r="F74" s="11">
        <f>IF(SUM(COUNTIFS('Conciliacion de compuestos'!$D$2:$D$48,"conciliado",'Conciliacion de compuestos'!$E$2:$E$48,"OK",'Conciliacion de compuestos'!$M$2:$M$48,A74),COUNTIFS('Conciliacion de compuestos'!$D$2:$D$48,"conciliado",'Conciliacion de compuestos'!$E$2:$E$48,"OK",'Conciliacion de compuestos'!$N$2:$N$48,A74),COUNTIFS('Conciliacion de compuestos'!$D$2:$D$48,"conciliado",'Conciliacion de compuestos'!$E$2:$E$48,"OK",'Conciliacion de compuestos'!$O$2:$O$48,A74))&gt;0,IFERROR(TEXTJOIN(CHAR(10),TRUE,FILTER('Conciliacion de compuestos'!$A$2:$A$48,('Conciliacion de compuestos'!$D$2:$D$48="conciliado")*('Conciliacion de compuestos'!$E$2:$E$48="OK")*((('Conciliacion de compuestos'!$M$2:$M$48=A74)+('Conciliacion de compuestos'!$N$2:$N$48=A74)+('Conciliacion de compuestos'!$O$2:$O$48=A74))&gt;0))),""),"")</f>
        <v/>
      </c>
      <c r="G74" s="11">
        <f>IF(I74="conciliado","conciliado","por revisar")</f>
        <v/>
      </c>
      <c r="H74" s="11" t="inlineStr"/>
      <c r="I74" s="11">
        <f>IF(SUM(COUNTIFS('Conciliacion de compuestos'!$D$2:$D$48,"conciliado",'Conciliacion de compuestos'!$E$2:$E$48,"OK",'Conciliacion de compuestos'!$M$2:$M$48,A74),COUNTIFS('Conciliacion de compuestos'!$D$2:$D$48,"conciliado",'Conciliacion de compuestos'!$E$2:$E$48,"OK",'Conciliacion de compuestos'!$N$2:$N$48,A74),COUNTIFS('Conciliacion de compuestos'!$D$2:$D$48,"conciliado",'Conciliacion de compuestos'!$E$2:$E$48,"OK",'Conciliacion de compuestos'!$O$2:$O$48,A74))&gt;0,"conciliado","por revisar")</f>
        <v/>
      </c>
    </row>
    <row r="75">
      <c r="A75" s="11" t="n">
        <v>66</v>
      </c>
      <c r="B75" s="12" t="n">
        <v>45998</v>
      </c>
      <c r="C75" s="11" t="inlineStr">
        <is>
          <t>jaramillo jossa leni</t>
        </is>
      </c>
      <c r="D75" s="13" t="n">
        <v>38000</v>
      </c>
      <c r="E75" s="11">
        <f>IF(G75="conciliado","conciliado",I75)</f>
        <v/>
      </c>
      <c r="F75" s="11">
        <f>IF(SUM(COUNTIFS('Conciliacion de compuestos'!$D$2:$D$48,"conciliado",'Conciliacion de compuestos'!$E$2:$E$48,"OK",'Conciliacion de compuestos'!$M$2:$M$48,A75),COUNTIFS('Conciliacion de compuestos'!$D$2:$D$48,"conciliado",'Conciliacion de compuestos'!$E$2:$E$48,"OK",'Conciliacion de compuestos'!$N$2:$N$48,A75),COUNTIFS('Conciliacion de compuestos'!$D$2:$D$48,"conciliado",'Conciliacion de compuestos'!$E$2:$E$48,"OK",'Conciliacion de compuestos'!$O$2:$O$48,A75))&gt;0,IFERROR(TEXTJOIN(CHAR(10),TRUE,FILTER('Conciliacion de compuestos'!$A$2:$A$48,('Conciliacion de compuestos'!$D$2:$D$48="conciliado")*('Conciliacion de compuestos'!$E$2:$E$48="OK")*((('Conciliacion de compuestos'!$M$2:$M$48=A75)+('Conciliacion de compuestos'!$N$2:$N$48=A75)+('Conciliacion de compuestos'!$O$2:$O$48=A75))&gt;0))),""),"")</f>
        <v/>
      </c>
      <c r="G75" s="11">
        <f>IF(I75="conciliado","conciliado","por revisar")</f>
        <v/>
      </c>
      <c r="H75" s="11" t="inlineStr"/>
      <c r="I75" s="11">
        <f>IF(SUM(COUNTIFS('Conciliacion de compuestos'!$D$2:$D$48,"conciliado",'Conciliacion de compuestos'!$E$2:$E$48,"OK",'Conciliacion de compuestos'!$M$2:$M$48,A75),COUNTIFS('Conciliacion de compuestos'!$D$2:$D$48,"conciliado",'Conciliacion de compuestos'!$E$2:$E$48,"OK",'Conciliacion de compuestos'!$N$2:$N$48,A75),COUNTIFS('Conciliacion de compuestos'!$D$2:$D$48,"conciliado",'Conciliacion de compuestos'!$E$2:$E$48,"OK",'Conciliacion de compuestos'!$O$2:$O$48,A75))&gt;0,"conciliado","por revisar")</f>
        <v/>
      </c>
    </row>
    <row r="76">
      <c r="A76" s="11" t="n">
        <v>83</v>
      </c>
      <c r="B76" s="12" t="n">
        <v>45999</v>
      </c>
      <c r="C76" s="11" t="inlineStr">
        <is>
          <t>angulo cifuentes mar</t>
        </is>
      </c>
      <c r="D76" s="13" t="n">
        <v>21800</v>
      </c>
      <c r="E76" s="11">
        <f>IF(G76="conciliado","conciliado",I76)</f>
        <v/>
      </c>
      <c r="F76" s="11">
        <f>IF(SUM(COUNTIFS('Conciliacion de compuestos'!$D$2:$D$48,"conciliado",'Conciliacion de compuestos'!$E$2:$E$48,"OK",'Conciliacion de compuestos'!$M$2:$M$48,A76),COUNTIFS('Conciliacion de compuestos'!$D$2:$D$48,"conciliado",'Conciliacion de compuestos'!$E$2:$E$48,"OK",'Conciliacion de compuestos'!$N$2:$N$48,A76),COUNTIFS('Conciliacion de compuestos'!$D$2:$D$48,"conciliado",'Conciliacion de compuestos'!$E$2:$E$48,"OK",'Conciliacion de compuestos'!$O$2:$O$48,A76))&gt;0,IFERROR(TEXTJOIN(CHAR(10),TRUE,FILTER('Conciliacion de compuestos'!$A$2:$A$48,('Conciliacion de compuestos'!$D$2:$D$48="conciliado")*('Conciliacion de compuestos'!$E$2:$E$48="OK")*((('Conciliacion de compuestos'!$M$2:$M$48=A76)+('Conciliacion de compuestos'!$N$2:$N$48=A76)+('Conciliacion de compuestos'!$O$2:$O$48=A76))&gt;0))),""),"")</f>
        <v/>
      </c>
      <c r="G76" s="11">
        <f>IF(I76="conciliado","conciliado","por revisar")</f>
        <v/>
      </c>
      <c r="H76" s="11" t="inlineStr"/>
      <c r="I76" s="11">
        <f>IF(SUM(COUNTIFS('Conciliacion de compuestos'!$D$2:$D$48,"conciliado",'Conciliacion de compuestos'!$E$2:$E$48,"OK",'Conciliacion de compuestos'!$M$2:$M$48,A76),COUNTIFS('Conciliacion de compuestos'!$D$2:$D$48,"conciliado",'Conciliacion de compuestos'!$E$2:$E$48,"OK",'Conciliacion de compuestos'!$N$2:$N$48,A76),COUNTIFS('Conciliacion de compuestos'!$D$2:$D$48,"conciliado",'Conciliacion de compuestos'!$E$2:$E$48,"OK",'Conciliacion de compuestos'!$O$2:$O$48,A76))&gt;0,"conciliado","por revisar")</f>
        <v/>
      </c>
    </row>
    <row r="77">
      <c r="A77" s="11" t="n">
        <v>87</v>
      </c>
      <c r="B77" s="12" t="n">
        <v>46000</v>
      </c>
      <c r="C77" s="11" t="inlineStr">
        <is>
          <t>chindoy d muchavisoy</t>
        </is>
      </c>
      <c r="D77" s="13" t="n">
        <v>117600</v>
      </c>
      <c r="E77" s="11">
        <f>IF(G77="conciliado","conciliado",I77)</f>
        <v/>
      </c>
      <c r="F77" s="11">
        <f>IF(SUM(COUNTIFS('Conciliacion de compuestos'!$D$2:$D$48,"conciliado",'Conciliacion de compuestos'!$E$2:$E$48,"OK",'Conciliacion de compuestos'!$M$2:$M$48,A77),COUNTIFS('Conciliacion de compuestos'!$D$2:$D$48,"conciliado",'Conciliacion de compuestos'!$E$2:$E$48,"OK",'Conciliacion de compuestos'!$N$2:$N$48,A77),COUNTIFS('Conciliacion de compuestos'!$D$2:$D$48,"conciliado",'Conciliacion de compuestos'!$E$2:$E$48,"OK",'Conciliacion de compuestos'!$O$2:$O$48,A77))&gt;0,IFERROR(TEXTJOIN(CHAR(10),TRUE,FILTER('Conciliacion de compuestos'!$A$2:$A$48,('Conciliacion de compuestos'!$D$2:$D$48="conciliado")*('Conciliacion de compuestos'!$E$2:$E$48="OK")*((('Conciliacion de compuestos'!$M$2:$M$48=A77)+('Conciliacion de compuestos'!$N$2:$N$48=A77)+('Conciliacion de compuestos'!$O$2:$O$48=A77))&gt;0))),""),"")</f>
        <v/>
      </c>
      <c r="G77" s="11">
        <f>IF(I77="conciliado","conciliado","por revisar")</f>
        <v/>
      </c>
      <c r="H77" s="11" t="inlineStr"/>
      <c r="I77" s="11">
        <f>IF(SUM(COUNTIFS('Conciliacion de compuestos'!$D$2:$D$48,"conciliado",'Conciliacion de compuestos'!$E$2:$E$48,"OK",'Conciliacion de compuestos'!$M$2:$M$48,A77),COUNTIFS('Conciliacion de compuestos'!$D$2:$D$48,"conciliado",'Conciliacion de compuestos'!$E$2:$E$48,"OK",'Conciliacion de compuestos'!$N$2:$N$48,A77),COUNTIFS('Conciliacion de compuestos'!$D$2:$D$48,"conciliado",'Conciliacion de compuestos'!$E$2:$E$48,"OK",'Conciliacion de compuestos'!$O$2:$O$48,A77))&gt;0,"conciliado","por revisar")</f>
        <v/>
      </c>
    </row>
    <row r="78">
      <c r="A78" s="11" t="n">
        <v>95</v>
      </c>
      <c r="B78" s="12" t="n">
        <v>46001</v>
      </c>
      <c r="C78" s="11" t="inlineStr">
        <is>
          <t>ciro gonzalez santos</t>
        </is>
      </c>
      <c r="D78" s="13" t="n">
        <v>20000</v>
      </c>
      <c r="E78" s="11">
        <f>IF(G78="conciliado","conciliado",I78)</f>
        <v/>
      </c>
      <c r="F78" s="11" t="inlineStr">
        <is>
          <t>556 | 2025-12-10 | 20,000 | consignacion credibanco d e</t>
        </is>
      </c>
      <c r="G78" s="11">
        <f>IF(I78="conciliado","conciliado","por revisar")</f>
        <v/>
      </c>
      <c r="H78" s="11" t="inlineStr"/>
      <c r="I78" s="11" t="inlineStr">
        <is>
          <t>conciliado</t>
        </is>
      </c>
    </row>
    <row r="79">
      <c r="A79" s="11" t="n">
        <v>86</v>
      </c>
      <c r="B79" s="12" t="n">
        <v>46000</v>
      </c>
      <c r="C79" s="11" t="inlineStr">
        <is>
          <t>carretero gutierrez</t>
        </is>
      </c>
      <c r="D79" s="13" t="n">
        <v>16000</v>
      </c>
      <c r="E79" s="11">
        <f>IF(G79="conciliado","conciliado",I79)</f>
        <v/>
      </c>
      <c r="F79" s="11">
        <f>IF(SUM(COUNTIFS('Conciliacion de compuestos'!$D$2:$D$48,"conciliado",'Conciliacion de compuestos'!$E$2:$E$48,"OK",'Conciliacion de compuestos'!$M$2:$M$48,A79),COUNTIFS('Conciliacion de compuestos'!$D$2:$D$48,"conciliado",'Conciliacion de compuestos'!$E$2:$E$48,"OK",'Conciliacion de compuestos'!$N$2:$N$48,A79),COUNTIFS('Conciliacion de compuestos'!$D$2:$D$48,"conciliado",'Conciliacion de compuestos'!$E$2:$E$48,"OK",'Conciliacion de compuestos'!$O$2:$O$48,A79))&gt;0,IFERROR(TEXTJOIN(CHAR(10),TRUE,FILTER('Conciliacion de compuestos'!$A$2:$A$48,('Conciliacion de compuestos'!$D$2:$D$48="conciliado")*('Conciliacion de compuestos'!$E$2:$E$48="OK")*((('Conciliacion de compuestos'!$M$2:$M$48=A79)+('Conciliacion de compuestos'!$N$2:$N$48=A79)+('Conciliacion de compuestos'!$O$2:$O$48=A79))&gt;0))),""),"")</f>
        <v/>
      </c>
      <c r="G79" s="11">
        <f>IF(I79="conciliado","conciliado","por revisar")</f>
        <v/>
      </c>
      <c r="H79" s="11" t="inlineStr"/>
      <c r="I79" s="11">
        <f>IF(SUM(COUNTIFS('Conciliacion de compuestos'!$D$2:$D$48,"conciliado",'Conciliacion de compuestos'!$E$2:$E$48,"OK",'Conciliacion de compuestos'!$M$2:$M$48,A79),COUNTIFS('Conciliacion de compuestos'!$D$2:$D$48,"conciliado",'Conciliacion de compuestos'!$E$2:$E$48,"OK",'Conciliacion de compuestos'!$N$2:$N$48,A79),COUNTIFS('Conciliacion de compuestos'!$D$2:$D$48,"conciliado",'Conciliacion de compuestos'!$E$2:$E$48,"OK",'Conciliacion de compuestos'!$O$2:$O$48,A79))&gt;0,"conciliado","por revisar")</f>
        <v/>
      </c>
    </row>
    <row r="80">
      <c r="A80" s="11" t="n">
        <v>84</v>
      </c>
      <c r="B80" s="12" t="n">
        <v>46000</v>
      </c>
      <c r="C80" s="11" t="inlineStr">
        <is>
          <t>elm piaguaje riascos</t>
        </is>
      </c>
      <c r="D80" s="13" t="n">
        <v>26890</v>
      </c>
      <c r="E80" s="11">
        <f>IF(G80="conciliado","conciliado",I80)</f>
        <v/>
      </c>
      <c r="F80" s="11">
        <f>IF(SUM(COUNTIFS('Conciliacion de compuestos'!$D$2:$D$48,"conciliado",'Conciliacion de compuestos'!$E$2:$E$48,"OK",'Conciliacion de compuestos'!$M$2:$M$48,A80),COUNTIFS('Conciliacion de compuestos'!$D$2:$D$48,"conciliado",'Conciliacion de compuestos'!$E$2:$E$48,"OK",'Conciliacion de compuestos'!$N$2:$N$48,A80),COUNTIFS('Conciliacion de compuestos'!$D$2:$D$48,"conciliado",'Conciliacion de compuestos'!$E$2:$E$48,"OK",'Conciliacion de compuestos'!$O$2:$O$48,A80))&gt;0,IFERROR(TEXTJOIN(CHAR(10),TRUE,FILTER('Conciliacion de compuestos'!$A$2:$A$48,('Conciliacion de compuestos'!$D$2:$D$48="conciliado")*('Conciliacion de compuestos'!$E$2:$E$48="OK")*((('Conciliacion de compuestos'!$M$2:$M$48=A80)+('Conciliacion de compuestos'!$N$2:$N$48=A80)+('Conciliacion de compuestos'!$O$2:$O$48=A80))&gt;0))),""),"")</f>
        <v/>
      </c>
      <c r="G80" s="11">
        <f>IF(I80="conciliado","conciliado","por revisar")</f>
        <v/>
      </c>
      <c r="H80" s="11" t="inlineStr"/>
      <c r="I80" s="11">
        <f>IF(SUM(COUNTIFS('Conciliacion de compuestos'!$D$2:$D$48,"conciliado",'Conciliacion de compuestos'!$E$2:$E$48,"OK",'Conciliacion de compuestos'!$M$2:$M$48,A80),COUNTIFS('Conciliacion de compuestos'!$D$2:$D$48,"conciliado",'Conciliacion de compuestos'!$E$2:$E$48,"OK",'Conciliacion de compuestos'!$N$2:$N$48,A80),COUNTIFS('Conciliacion de compuestos'!$D$2:$D$48,"conciliado",'Conciliacion de compuestos'!$E$2:$E$48,"OK",'Conciliacion de compuestos'!$O$2:$O$48,A80))&gt;0,"conciliado","por revisar")</f>
        <v/>
      </c>
    </row>
    <row r="81">
      <c r="A81" s="11" t="n">
        <v>89</v>
      </c>
      <c r="B81" s="12" t="n">
        <v>46000</v>
      </c>
      <c r="C81" s="11" t="inlineStr">
        <is>
          <t>dominguez guerron je</t>
        </is>
      </c>
      <c r="D81" s="13" t="n">
        <v>15500</v>
      </c>
      <c r="E81" s="11">
        <f>IF(G81="conciliado","conciliado",I81)</f>
        <v/>
      </c>
      <c r="F81" s="11">
        <f>IF(SUM(COUNTIFS('Conciliacion de compuestos'!$D$2:$D$48,"conciliado",'Conciliacion de compuestos'!$E$2:$E$48,"OK",'Conciliacion de compuestos'!$M$2:$M$48,A81),COUNTIFS('Conciliacion de compuestos'!$D$2:$D$48,"conciliado",'Conciliacion de compuestos'!$E$2:$E$48,"OK",'Conciliacion de compuestos'!$N$2:$N$48,A81),COUNTIFS('Conciliacion de compuestos'!$D$2:$D$48,"conciliado",'Conciliacion de compuestos'!$E$2:$E$48,"OK",'Conciliacion de compuestos'!$O$2:$O$48,A81))&gt;0,IFERROR(TEXTJOIN(CHAR(10),TRUE,FILTER('Conciliacion de compuestos'!$A$2:$A$48,('Conciliacion de compuestos'!$D$2:$D$48="conciliado")*('Conciliacion de compuestos'!$E$2:$E$48="OK")*((('Conciliacion de compuestos'!$M$2:$M$48=A81)+('Conciliacion de compuestos'!$N$2:$N$48=A81)+('Conciliacion de compuestos'!$O$2:$O$48=A81))&gt;0))),""),"")</f>
        <v/>
      </c>
      <c r="G81" s="11">
        <f>IF(I81="conciliado","conciliado","por revisar")</f>
        <v/>
      </c>
      <c r="H81" s="11" t="inlineStr"/>
      <c r="I81" s="11">
        <f>IF(SUM(COUNTIFS('Conciliacion de compuestos'!$D$2:$D$48,"conciliado",'Conciliacion de compuestos'!$E$2:$E$48,"OK",'Conciliacion de compuestos'!$M$2:$M$48,A81),COUNTIFS('Conciliacion de compuestos'!$D$2:$D$48,"conciliado",'Conciliacion de compuestos'!$E$2:$E$48,"OK",'Conciliacion de compuestos'!$N$2:$N$48,A81),COUNTIFS('Conciliacion de compuestos'!$D$2:$D$48,"conciliado",'Conciliacion de compuestos'!$E$2:$E$48,"OK",'Conciliacion de compuestos'!$O$2:$O$48,A81))&gt;0,"conciliado","por revisar")</f>
        <v/>
      </c>
    </row>
    <row r="82">
      <c r="A82" s="11" t="n">
        <v>90</v>
      </c>
      <c r="B82" s="12" t="n">
        <v>46001</v>
      </c>
      <c r="C82" s="11" t="inlineStr">
        <is>
          <t>benavides sanseviero</t>
        </is>
      </c>
      <c r="D82" s="13" t="n">
        <v>-4764488</v>
      </c>
      <c r="E82" s="11">
        <f>IF(G82="conciliado","conciliado",I82)</f>
        <v/>
      </c>
      <c r="F82" s="11" t="inlineStr">
        <is>
          <t>581 | 2025-12-10 | -4,764,488 | entre inte internet terceros transferencias</t>
        </is>
      </c>
      <c r="G82" s="11">
        <f>IF(I82="conciliado","conciliado","por revisar")</f>
        <v/>
      </c>
      <c r="H82" s="11" t="inlineStr"/>
      <c r="I82" s="11" t="inlineStr">
        <is>
          <t>conciliado</t>
        </is>
      </c>
    </row>
    <row r="83">
      <c r="A83" s="11" t="n">
        <v>102</v>
      </c>
      <c r="B83" s="12" t="n">
        <v>46001</v>
      </c>
      <c r="C83" s="11" t="inlineStr">
        <is>
          <t>martinez nury zuniga</t>
        </is>
      </c>
      <c r="D83" s="13" t="n">
        <v>32100</v>
      </c>
      <c r="E83" s="11">
        <f>IF(G83="conciliado","conciliado",I83)</f>
        <v/>
      </c>
      <c r="F83" s="11">
        <f>IF(SUM(COUNTIFS('Conciliacion de compuestos'!$D$2:$D$48,"conciliado",'Conciliacion de compuestos'!$E$2:$E$48,"OK",'Conciliacion de compuestos'!$M$2:$M$48,A83),COUNTIFS('Conciliacion de compuestos'!$D$2:$D$48,"conciliado",'Conciliacion de compuestos'!$E$2:$E$48,"OK",'Conciliacion de compuestos'!$N$2:$N$48,A83),COUNTIFS('Conciliacion de compuestos'!$D$2:$D$48,"conciliado",'Conciliacion de compuestos'!$E$2:$E$48,"OK",'Conciliacion de compuestos'!$O$2:$O$48,A83))&gt;0,IFERROR(TEXTJOIN(CHAR(10),TRUE,FILTER('Conciliacion de compuestos'!$A$2:$A$48,('Conciliacion de compuestos'!$D$2:$D$48="conciliado")*('Conciliacion de compuestos'!$E$2:$E$48="OK")*((('Conciliacion de compuestos'!$M$2:$M$48=A83)+('Conciliacion de compuestos'!$N$2:$N$48=A83)+('Conciliacion de compuestos'!$O$2:$O$48=A83))&gt;0))),""),"")</f>
        <v/>
      </c>
      <c r="G83" s="11">
        <f>IF(I83="conciliado","conciliado","por revisar")</f>
        <v/>
      </c>
      <c r="H83" s="11" t="inlineStr"/>
      <c r="I83" s="11">
        <f>IF(SUM(COUNTIFS('Conciliacion de compuestos'!$D$2:$D$48,"conciliado",'Conciliacion de compuestos'!$E$2:$E$48,"OK",'Conciliacion de compuestos'!$M$2:$M$48,A83),COUNTIFS('Conciliacion de compuestos'!$D$2:$D$48,"conciliado",'Conciliacion de compuestos'!$E$2:$E$48,"OK",'Conciliacion de compuestos'!$N$2:$N$48,A83),COUNTIFS('Conciliacion de compuestos'!$D$2:$D$48,"conciliado",'Conciliacion de compuestos'!$E$2:$E$48,"OK",'Conciliacion de compuestos'!$O$2:$O$48,A83))&gt;0,"conciliado","por revisar")</f>
        <v/>
      </c>
    </row>
    <row r="84">
      <c r="A84" s="11" t="n">
        <v>98</v>
      </c>
      <c r="B84" s="12" t="n">
        <v>46001</v>
      </c>
      <c r="C84" s="11" t="inlineStr">
        <is>
          <t>liss melo villarreal</t>
        </is>
      </c>
      <c r="D84" s="13" t="n">
        <v>140400</v>
      </c>
      <c r="E84" s="11">
        <f>IF(G84="conciliado","conciliado",I84)</f>
        <v/>
      </c>
      <c r="F84" s="11">
        <f>IF(SUM(COUNTIFS('Conciliacion de compuestos'!$D$2:$D$48,"conciliado",'Conciliacion de compuestos'!$E$2:$E$48,"OK",'Conciliacion de compuestos'!$M$2:$M$48,A84),COUNTIFS('Conciliacion de compuestos'!$D$2:$D$48,"conciliado",'Conciliacion de compuestos'!$E$2:$E$48,"OK",'Conciliacion de compuestos'!$N$2:$N$48,A84),COUNTIFS('Conciliacion de compuestos'!$D$2:$D$48,"conciliado",'Conciliacion de compuestos'!$E$2:$E$48,"OK",'Conciliacion de compuestos'!$O$2:$O$48,A84))&gt;0,IFERROR(TEXTJOIN(CHAR(10),TRUE,FILTER('Conciliacion de compuestos'!$A$2:$A$48,('Conciliacion de compuestos'!$D$2:$D$48="conciliado")*('Conciliacion de compuestos'!$E$2:$E$48="OK")*((('Conciliacion de compuestos'!$M$2:$M$48=A84)+('Conciliacion de compuestos'!$N$2:$N$48=A84)+('Conciliacion de compuestos'!$O$2:$O$48=A84))&gt;0))),""),"")</f>
        <v/>
      </c>
      <c r="G84" s="11">
        <f>IF(I84="conciliado","conciliado","por revisar")</f>
        <v/>
      </c>
      <c r="H84" s="11" t="inlineStr"/>
      <c r="I84" s="11">
        <f>IF(SUM(COUNTIFS('Conciliacion de compuestos'!$D$2:$D$48,"conciliado",'Conciliacion de compuestos'!$E$2:$E$48,"OK",'Conciliacion de compuestos'!$M$2:$M$48,A84),COUNTIFS('Conciliacion de compuestos'!$D$2:$D$48,"conciliado",'Conciliacion de compuestos'!$E$2:$E$48,"OK",'Conciliacion de compuestos'!$N$2:$N$48,A84),COUNTIFS('Conciliacion de compuestos'!$D$2:$D$48,"conciliado",'Conciliacion de compuestos'!$E$2:$E$48,"OK",'Conciliacion de compuestos'!$O$2:$O$48,A84))&gt;0,"conciliado","por revisar")</f>
        <v/>
      </c>
    </row>
    <row r="85">
      <c r="A85" s="11" t="n">
        <v>93</v>
      </c>
      <c r="B85" s="12" t="n">
        <v>46001</v>
      </c>
      <c r="C85" s="11" t="inlineStr">
        <is>
          <t>hoz la sanmiguel</t>
        </is>
      </c>
      <c r="D85" s="13" t="n">
        <v>82000</v>
      </c>
      <c r="E85" s="11">
        <f>IF(G85="conciliado","conciliado",I85)</f>
        <v/>
      </c>
      <c r="F85" s="11">
        <f>IF(SUM(COUNTIFS('Conciliacion de compuestos'!$D$2:$D$48,"conciliado",'Conciliacion de compuestos'!$E$2:$E$48,"OK",'Conciliacion de compuestos'!$M$2:$M$48,A85),COUNTIFS('Conciliacion de compuestos'!$D$2:$D$48,"conciliado",'Conciliacion de compuestos'!$E$2:$E$48,"OK",'Conciliacion de compuestos'!$N$2:$N$48,A85),COUNTIFS('Conciliacion de compuestos'!$D$2:$D$48,"conciliado",'Conciliacion de compuestos'!$E$2:$E$48,"OK",'Conciliacion de compuestos'!$O$2:$O$48,A85))&gt;0,IFERROR(TEXTJOIN(CHAR(10),TRUE,FILTER('Conciliacion de compuestos'!$A$2:$A$48,('Conciliacion de compuestos'!$D$2:$D$48="conciliado")*('Conciliacion de compuestos'!$E$2:$E$48="OK")*((('Conciliacion de compuestos'!$M$2:$M$48=A85)+('Conciliacion de compuestos'!$N$2:$N$48=A85)+('Conciliacion de compuestos'!$O$2:$O$48=A85))&gt;0))),""),"")</f>
        <v/>
      </c>
      <c r="G85" s="11">
        <f>IF(I85="conciliado","conciliado","por revisar")</f>
        <v/>
      </c>
      <c r="H85" s="11" t="inlineStr"/>
      <c r="I85" s="11">
        <f>IF(SUM(COUNTIFS('Conciliacion de compuestos'!$D$2:$D$48,"conciliado",'Conciliacion de compuestos'!$E$2:$E$48,"OK",'Conciliacion de compuestos'!$M$2:$M$48,A85),COUNTIFS('Conciliacion de compuestos'!$D$2:$D$48,"conciliado",'Conciliacion de compuestos'!$E$2:$E$48,"OK",'Conciliacion de compuestos'!$N$2:$N$48,A85),COUNTIFS('Conciliacion de compuestos'!$D$2:$D$48,"conciliado",'Conciliacion de compuestos'!$E$2:$E$48,"OK",'Conciliacion de compuestos'!$O$2:$O$48,A85))&gt;0,"conciliado","por revisar")</f>
        <v/>
      </c>
    </row>
    <row r="86">
      <c r="A86" s="11" t="n">
        <v>91</v>
      </c>
      <c r="B86" s="12" t="n">
        <v>46001</v>
      </c>
      <c r="C86" s="11" t="inlineStr">
        <is>
          <t>felipe luis villota</t>
        </is>
      </c>
      <c r="D86" s="13" t="n">
        <v>48150</v>
      </c>
      <c r="E86" s="11">
        <f>IF(G86="conciliado","conciliado",I86)</f>
        <v/>
      </c>
      <c r="F86" s="11">
        <f>IF(SUM(COUNTIFS('Conciliacion de compuestos'!$D$2:$D$48,"conciliado",'Conciliacion de compuestos'!$E$2:$E$48,"OK",'Conciliacion de compuestos'!$M$2:$M$48,A86),COUNTIFS('Conciliacion de compuestos'!$D$2:$D$48,"conciliado",'Conciliacion de compuestos'!$E$2:$E$48,"OK",'Conciliacion de compuestos'!$N$2:$N$48,A86),COUNTIFS('Conciliacion de compuestos'!$D$2:$D$48,"conciliado",'Conciliacion de compuestos'!$E$2:$E$48,"OK",'Conciliacion de compuestos'!$O$2:$O$48,A86))&gt;0,IFERROR(TEXTJOIN(CHAR(10),TRUE,FILTER('Conciliacion de compuestos'!$A$2:$A$48,('Conciliacion de compuestos'!$D$2:$D$48="conciliado")*('Conciliacion de compuestos'!$E$2:$E$48="OK")*((('Conciliacion de compuestos'!$M$2:$M$48=A86)+('Conciliacion de compuestos'!$N$2:$N$48=A86)+('Conciliacion de compuestos'!$O$2:$O$48=A86))&gt;0))),""),"")</f>
        <v/>
      </c>
      <c r="G86" s="11">
        <f>IF(I86="conciliado","conciliado","por revisar")</f>
        <v/>
      </c>
      <c r="H86" s="11" t="inlineStr"/>
      <c r="I86" s="11">
        <f>IF(SUM(COUNTIFS('Conciliacion de compuestos'!$D$2:$D$48,"conciliado",'Conciliacion de compuestos'!$E$2:$E$48,"OK",'Conciliacion de compuestos'!$M$2:$M$48,A86),COUNTIFS('Conciliacion de compuestos'!$D$2:$D$48,"conciliado",'Conciliacion de compuestos'!$E$2:$E$48,"OK",'Conciliacion de compuestos'!$N$2:$N$48,A86),COUNTIFS('Conciliacion de compuestos'!$D$2:$D$48,"conciliado",'Conciliacion de compuestos'!$E$2:$E$48,"OK",'Conciliacion de compuestos'!$O$2:$O$48,A86))&gt;0,"conciliado","por revisar")</f>
        <v/>
      </c>
    </row>
    <row r="87">
      <c r="A87" s="11" t="n">
        <v>101</v>
      </c>
      <c r="B87" s="12" t="n">
        <v>46001</v>
      </c>
      <c r="C87" s="11" t="inlineStr">
        <is>
          <t>betancourt javier</t>
        </is>
      </c>
      <c r="D87" s="13" t="n">
        <v>45200</v>
      </c>
      <c r="E87" s="11">
        <f>IF(G87="conciliado","conciliado",I87)</f>
        <v/>
      </c>
      <c r="F87" s="11">
        <f>IF(SUM(COUNTIFS('Conciliacion de compuestos'!$D$2:$D$48,"conciliado",'Conciliacion de compuestos'!$E$2:$E$48,"OK",'Conciliacion de compuestos'!$M$2:$M$48,A87),COUNTIFS('Conciliacion de compuestos'!$D$2:$D$48,"conciliado",'Conciliacion de compuestos'!$E$2:$E$48,"OK",'Conciliacion de compuestos'!$N$2:$N$48,A87),COUNTIFS('Conciliacion de compuestos'!$D$2:$D$48,"conciliado",'Conciliacion de compuestos'!$E$2:$E$48,"OK",'Conciliacion de compuestos'!$O$2:$O$48,A87))&gt;0,IFERROR(TEXTJOIN(CHAR(10),TRUE,FILTER('Conciliacion de compuestos'!$A$2:$A$48,('Conciliacion de compuestos'!$D$2:$D$48="conciliado")*('Conciliacion de compuestos'!$E$2:$E$48="OK")*((('Conciliacion de compuestos'!$M$2:$M$48=A87)+('Conciliacion de compuestos'!$N$2:$N$48=A87)+('Conciliacion de compuestos'!$O$2:$O$48=A87))&gt;0))),""),"")</f>
        <v/>
      </c>
      <c r="G87" s="11">
        <f>IF(I87="conciliado","conciliado","por revisar")</f>
        <v/>
      </c>
      <c r="H87" s="11" t="inlineStr"/>
      <c r="I87" s="11">
        <f>IF(SUM(COUNTIFS('Conciliacion de compuestos'!$D$2:$D$48,"conciliado",'Conciliacion de compuestos'!$E$2:$E$48,"OK",'Conciliacion de compuestos'!$M$2:$M$48,A87),COUNTIFS('Conciliacion de compuestos'!$D$2:$D$48,"conciliado",'Conciliacion de compuestos'!$E$2:$E$48,"OK",'Conciliacion de compuestos'!$N$2:$N$48,A87),COUNTIFS('Conciliacion de compuestos'!$D$2:$D$48,"conciliado",'Conciliacion de compuestos'!$E$2:$E$48,"OK",'Conciliacion de compuestos'!$O$2:$O$48,A87))&gt;0,"conciliado","por revisar")</f>
        <v/>
      </c>
    </row>
    <row r="88">
      <c r="A88" s="11" t="n">
        <v>100</v>
      </c>
      <c r="B88" s="12" t="n">
        <v>46001</v>
      </c>
      <c r="C88" s="11" t="inlineStr">
        <is>
          <t>criollo mariela</t>
        </is>
      </c>
      <c r="D88" s="13" t="n">
        <v>30000</v>
      </c>
      <c r="E88" s="11">
        <f>IF(G88="conciliado","conciliado",I88)</f>
        <v/>
      </c>
      <c r="F88" s="11">
        <f>IF(SUM(COUNTIFS('Conciliacion de compuestos'!$D$2:$D$48,"conciliado",'Conciliacion de compuestos'!$E$2:$E$48,"OK",'Conciliacion de compuestos'!$M$2:$M$48,A88),COUNTIFS('Conciliacion de compuestos'!$D$2:$D$48,"conciliado",'Conciliacion de compuestos'!$E$2:$E$48,"OK",'Conciliacion de compuestos'!$N$2:$N$48,A88),COUNTIFS('Conciliacion de compuestos'!$D$2:$D$48,"conciliado",'Conciliacion de compuestos'!$E$2:$E$48,"OK",'Conciliacion de compuestos'!$O$2:$O$48,A88))&gt;0,IFERROR(TEXTJOIN(CHAR(10),TRUE,FILTER('Conciliacion de compuestos'!$A$2:$A$48,('Conciliacion de compuestos'!$D$2:$D$48="conciliado")*('Conciliacion de compuestos'!$E$2:$E$48="OK")*((('Conciliacion de compuestos'!$M$2:$M$48=A88)+('Conciliacion de compuestos'!$N$2:$N$48=A88)+('Conciliacion de compuestos'!$O$2:$O$48=A88))&gt;0))),""),"")</f>
        <v/>
      </c>
      <c r="G88" s="11">
        <f>IF(I88="conciliado","conciliado","por revisar")</f>
        <v/>
      </c>
      <c r="H88" s="11" t="inlineStr"/>
      <c r="I88" s="11">
        <f>IF(SUM(COUNTIFS('Conciliacion de compuestos'!$D$2:$D$48,"conciliado",'Conciliacion de compuestos'!$E$2:$E$48,"OK",'Conciliacion de compuestos'!$M$2:$M$48,A88),COUNTIFS('Conciliacion de compuestos'!$D$2:$D$48,"conciliado",'Conciliacion de compuestos'!$E$2:$E$48,"OK",'Conciliacion de compuestos'!$N$2:$N$48,A88),COUNTIFS('Conciliacion de compuestos'!$D$2:$D$48,"conciliado",'Conciliacion de compuestos'!$E$2:$E$48,"OK",'Conciliacion de compuestos'!$O$2:$O$48,A88))&gt;0,"conciliado","por revisar")</f>
        <v/>
      </c>
    </row>
    <row r="89">
      <c r="A89" s="11" t="n">
        <v>96</v>
      </c>
      <c r="B89" s="12" t="n">
        <v>46001</v>
      </c>
      <c r="C89" s="11" t="inlineStr">
        <is>
          <t>diaz fabian gomez</t>
        </is>
      </c>
      <c r="D89" s="13" t="n">
        <v>50904</v>
      </c>
      <c r="E89" s="11">
        <f>IF(G89="conciliado","conciliado",I89)</f>
        <v/>
      </c>
      <c r="F89" s="11">
        <f>IF(SUM(COUNTIFS('Conciliacion de compuestos'!$D$2:$D$48,"conciliado",'Conciliacion de compuestos'!$E$2:$E$48,"OK",'Conciliacion de compuestos'!$M$2:$M$48,A89),COUNTIFS('Conciliacion de compuestos'!$D$2:$D$48,"conciliado",'Conciliacion de compuestos'!$E$2:$E$48,"OK",'Conciliacion de compuestos'!$N$2:$N$48,A89),COUNTIFS('Conciliacion de compuestos'!$D$2:$D$48,"conciliado",'Conciliacion de compuestos'!$E$2:$E$48,"OK",'Conciliacion de compuestos'!$O$2:$O$48,A89))&gt;0,IFERROR(TEXTJOIN(CHAR(10),TRUE,FILTER('Conciliacion de compuestos'!$A$2:$A$48,('Conciliacion de compuestos'!$D$2:$D$48="conciliado")*('Conciliacion de compuestos'!$E$2:$E$48="OK")*((('Conciliacion de compuestos'!$M$2:$M$48=A89)+('Conciliacion de compuestos'!$N$2:$N$48=A89)+('Conciliacion de compuestos'!$O$2:$O$48=A89))&gt;0))),""),"")</f>
        <v/>
      </c>
      <c r="G89" s="11">
        <f>IF(I89="conciliado","conciliado","por revisar")</f>
        <v/>
      </c>
      <c r="H89" s="11" t="inlineStr"/>
      <c r="I89" s="11">
        <f>IF(SUM(COUNTIFS('Conciliacion de compuestos'!$D$2:$D$48,"conciliado",'Conciliacion de compuestos'!$E$2:$E$48,"OK",'Conciliacion de compuestos'!$M$2:$M$48,A89),COUNTIFS('Conciliacion de compuestos'!$D$2:$D$48,"conciliado",'Conciliacion de compuestos'!$E$2:$E$48,"OK",'Conciliacion de compuestos'!$N$2:$N$48,A89),COUNTIFS('Conciliacion de compuestos'!$D$2:$D$48,"conciliado",'Conciliacion de compuestos'!$E$2:$E$48,"OK",'Conciliacion de compuestos'!$O$2:$O$48,A89))&gt;0,"conciliado","por revisar")</f>
        <v/>
      </c>
    </row>
    <row r="90">
      <c r="A90" s="11" t="n">
        <v>99</v>
      </c>
      <c r="B90" s="12" t="n">
        <v>46001</v>
      </c>
      <c r="C90" s="11" t="inlineStr">
        <is>
          <t>alvarez chavez crist</t>
        </is>
      </c>
      <c r="D90" s="13" t="n">
        <v>48000</v>
      </c>
      <c r="E90" s="11">
        <f>IF(G90="conciliado","conciliado",I90)</f>
        <v/>
      </c>
      <c r="F90" s="11">
        <f>IF(SUM(COUNTIFS('Conciliacion de compuestos'!$D$2:$D$48,"conciliado",'Conciliacion de compuestos'!$E$2:$E$48,"OK",'Conciliacion de compuestos'!$M$2:$M$48,A90),COUNTIFS('Conciliacion de compuestos'!$D$2:$D$48,"conciliado",'Conciliacion de compuestos'!$E$2:$E$48,"OK",'Conciliacion de compuestos'!$N$2:$N$48,A90),COUNTIFS('Conciliacion de compuestos'!$D$2:$D$48,"conciliado",'Conciliacion de compuestos'!$E$2:$E$48,"OK",'Conciliacion de compuestos'!$O$2:$O$48,A90))&gt;0,IFERROR(TEXTJOIN(CHAR(10),TRUE,FILTER('Conciliacion de compuestos'!$A$2:$A$48,('Conciliacion de compuestos'!$D$2:$D$48="conciliado")*('Conciliacion de compuestos'!$E$2:$E$48="OK")*((('Conciliacion de compuestos'!$M$2:$M$48=A90)+('Conciliacion de compuestos'!$N$2:$N$48=A90)+('Conciliacion de compuestos'!$O$2:$O$48=A90))&gt;0))),""),"")</f>
        <v/>
      </c>
      <c r="G90" s="11">
        <f>IF(I90="conciliado","conciliado","por revisar")</f>
        <v/>
      </c>
      <c r="H90" s="11" t="inlineStr"/>
      <c r="I90" s="11">
        <f>IF(SUM(COUNTIFS('Conciliacion de compuestos'!$D$2:$D$48,"conciliado",'Conciliacion de compuestos'!$E$2:$E$48,"OK",'Conciliacion de compuestos'!$M$2:$M$48,A90),COUNTIFS('Conciliacion de compuestos'!$D$2:$D$48,"conciliado",'Conciliacion de compuestos'!$E$2:$E$48,"OK",'Conciliacion de compuestos'!$N$2:$N$48,A90),COUNTIFS('Conciliacion de compuestos'!$D$2:$D$48,"conciliado",'Conciliacion de compuestos'!$E$2:$E$48,"OK",'Conciliacion de compuestos'!$O$2:$O$48,A90))&gt;0,"conciliado","por revisar")</f>
        <v/>
      </c>
    </row>
    <row r="91">
      <c r="A91" s="11" t="n">
        <v>103</v>
      </c>
      <c r="B91" s="12" t="n">
        <v>46002</v>
      </c>
      <c r="C91" s="11" t="inlineStr">
        <is>
          <t>cuacialpud hernandez</t>
        </is>
      </c>
      <c r="D91" s="13" t="n">
        <v>291308</v>
      </c>
      <c r="E91" s="11">
        <f>IF(G91="conciliado","conciliado",I91)</f>
        <v/>
      </c>
      <c r="F91" s="11">
        <f>IF(SUM(COUNTIFS('Conciliacion de compuestos'!$D$2:$D$48,"conciliado",'Conciliacion de compuestos'!$E$2:$E$48,"OK",'Conciliacion de compuestos'!$M$2:$M$48,A91),COUNTIFS('Conciliacion de compuestos'!$D$2:$D$48,"conciliado",'Conciliacion de compuestos'!$E$2:$E$48,"OK",'Conciliacion de compuestos'!$N$2:$N$48,A91),COUNTIFS('Conciliacion de compuestos'!$D$2:$D$48,"conciliado",'Conciliacion de compuestos'!$E$2:$E$48,"OK",'Conciliacion de compuestos'!$O$2:$O$48,A91))&gt;0,IFERROR(TEXTJOIN(CHAR(10),TRUE,FILTER('Conciliacion de compuestos'!$A$2:$A$48,('Conciliacion de compuestos'!$D$2:$D$48="conciliado")*('Conciliacion de compuestos'!$E$2:$E$48="OK")*((('Conciliacion de compuestos'!$M$2:$M$48=A91)+('Conciliacion de compuestos'!$N$2:$N$48=A91)+('Conciliacion de compuestos'!$O$2:$O$48=A91))&gt;0))),""),"")</f>
        <v/>
      </c>
      <c r="G91" s="11">
        <f>IF(I91="conciliado","conciliado","por revisar")</f>
        <v/>
      </c>
      <c r="H91" s="11" t="inlineStr"/>
      <c r="I91" s="11">
        <f>IF(SUM(COUNTIFS('Conciliacion de compuestos'!$D$2:$D$48,"conciliado",'Conciliacion de compuestos'!$E$2:$E$48,"OK",'Conciliacion de compuestos'!$M$2:$M$48,A91),COUNTIFS('Conciliacion de compuestos'!$D$2:$D$48,"conciliado",'Conciliacion de compuestos'!$E$2:$E$48,"OK",'Conciliacion de compuestos'!$N$2:$N$48,A91),COUNTIFS('Conciliacion de compuestos'!$D$2:$D$48,"conciliado",'Conciliacion de compuestos'!$E$2:$E$48,"OK",'Conciliacion de compuestos'!$O$2:$O$48,A91))&gt;0,"conciliado","por revisar")</f>
        <v/>
      </c>
    </row>
    <row r="92">
      <c r="A92" s="11" t="n">
        <v>109</v>
      </c>
      <c r="B92" s="12" t="n">
        <v>46002</v>
      </c>
      <c r="C92" s="11" t="inlineStr">
        <is>
          <t>cuaran jeisso mueses</t>
        </is>
      </c>
      <c r="D92" s="13" t="n">
        <v>112600</v>
      </c>
      <c r="E92" s="11">
        <f>IF(G92="conciliado","conciliado",I92)</f>
        <v/>
      </c>
      <c r="F92" s="11">
        <f>IF(SUM(COUNTIFS('Conciliacion de compuestos'!$D$2:$D$48,"conciliado",'Conciliacion de compuestos'!$E$2:$E$48,"OK",'Conciliacion de compuestos'!$M$2:$M$48,A92),COUNTIFS('Conciliacion de compuestos'!$D$2:$D$48,"conciliado",'Conciliacion de compuestos'!$E$2:$E$48,"OK",'Conciliacion de compuestos'!$N$2:$N$48,A92),COUNTIFS('Conciliacion de compuestos'!$D$2:$D$48,"conciliado",'Conciliacion de compuestos'!$E$2:$E$48,"OK",'Conciliacion de compuestos'!$O$2:$O$48,A92))&gt;0,IFERROR(TEXTJOIN(CHAR(10),TRUE,FILTER('Conciliacion de compuestos'!$A$2:$A$48,('Conciliacion de compuestos'!$D$2:$D$48="conciliado")*('Conciliacion de compuestos'!$E$2:$E$48="OK")*((('Conciliacion de compuestos'!$M$2:$M$48=A92)+('Conciliacion de compuestos'!$N$2:$N$48=A92)+('Conciliacion de compuestos'!$O$2:$O$48=A92))&gt;0))),""),"")</f>
        <v/>
      </c>
      <c r="G92" s="11">
        <f>IF(I92="conciliado","conciliado","por revisar")</f>
        <v/>
      </c>
      <c r="H92" s="11" t="inlineStr"/>
      <c r="I92" s="11">
        <f>IF(SUM(COUNTIFS('Conciliacion de compuestos'!$D$2:$D$48,"conciliado",'Conciliacion de compuestos'!$E$2:$E$48,"OK",'Conciliacion de compuestos'!$M$2:$M$48,A92),COUNTIFS('Conciliacion de compuestos'!$D$2:$D$48,"conciliado",'Conciliacion de compuestos'!$E$2:$E$48,"OK",'Conciliacion de compuestos'!$N$2:$N$48,A92),COUNTIFS('Conciliacion de compuestos'!$D$2:$D$48,"conciliado",'Conciliacion de compuestos'!$E$2:$E$48,"OK",'Conciliacion de compuestos'!$O$2:$O$48,A92))&gt;0,"conciliado","por revisar")</f>
        <v/>
      </c>
    </row>
    <row r="93">
      <c r="A93" s="11" t="n">
        <v>106</v>
      </c>
      <c r="B93" s="12" t="n">
        <v>46002</v>
      </c>
      <c r="C93" s="11" t="inlineStr">
        <is>
          <t>calvache luci munoz</t>
        </is>
      </c>
      <c r="D93" s="13" t="n">
        <v>145200</v>
      </c>
      <c r="E93" s="11">
        <f>IF(G93="conciliado","conciliado",I93)</f>
        <v/>
      </c>
      <c r="F93" s="11">
        <f>IF(SUM(COUNTIFS('Conciliacion de compuestos'!$D$2:$D$48,"conciliado",'Conciliacion de compuestos'!$E$2:$E$48,"OK",'Conciliacion de compuestos'!$M$2:$M$48,A93),COUNTIFS('Conciliacion de compuestos'!$D$2:$D$48,"conciliado",'Conciliacion de compuestos'!$E$2:$E$48,"OK",'Conciliacion de compuestos'!$N$2:$N$48,A93),COUNTIFS('Conciliacion de compuestos'!$D$2:$D$48,"conciliado",'Conciliacion de compuestos'!$E$2:$E$48,"OK",'Conciliacion de compuestos'!$O$2:$O$48,A93))&gt;0,IFERROR(TEXTJOIN(CHAR(10),TRUE,FILTER('Conciliacion de compuestos'!$A$2:$A$48,('Conciliacion de compuestos'!$D$2:$D$48="conciliado")*('Conciliacion de compuestos'!$E$2:$E$48="OK")*((('Conciliacion de compuestos'!$M$2:$M$48=A93)+('Conciliacion de compuestos'!$N$2:$N$48=A93)+('Conciliacion de compuestos'!$O$2:$O$48=A93))&gt;0))),""),"")</f>
        <v/>
      </c>
      <c r="G93" s="11">
        <f>IF(I93="conciliado","conciliado","por revisar")</f>
        <v/>
      </c>
      <c r="H93" s="11" t="inlineStr"/>
      <c r="I93" s="11">
        <f>IF(SUM(COUNTIFS('Conciliacion de compuestos'!$D$2:$D$48,"conciliado",'Conciliacion de compuestos'!$E$2:$E$48,"OK",'Conciliacion de compuestos'!$M$2:$M$48,A93),COUNTIFS('Conciliacion de compuestos'!$D$2:$D$48,"conciliado",'Conciliacion de compuestos'!$E$2:$E$48,"OK",'Conciliacion de compuestos'!$N$2:$N$48,A93),COUNTIFS('Conciliacion de compuestos'!$D$2:$D$48,"conciliado",'Conciliacion de compuestos'!$E$2:$E$48,"OK",'Conciliacion de compuestos'!$O$2:$O$48,A93))&gt;0,"conciliado","por revisar")</f>
        <v/>
      </c>
    </row>
    <row r="94">
      <c r="A94" s="11" t="n">
        <v>107</v>
      </c>
      <c r="B94" s="12" t="n">
        <v>46002</v>
      </c>
      <c r="C94" s="11" t="inlineStr">
        <is>
          <t>cabrera gutierrez je</t>
        </is>
      </c>
      <c r="D94" s="13" t="n">
        <v>73000</v>
      </c>
      <c r="E94" s="11">
        <f>IF(G94="conciliado","conciliado",I94)</f>
        <v/>
      </c>
      <c r="F94" s="11">
        <f>IF(SUM(COUNTIFS('Conciliacion de compuestos'!$D$2:$D$48,"conciliado",'Conciliacion de compuestos'!$E$2:$E$48,"OK",'Conciliacion de compuestos'!$M$2:$M$48,A94),COUNTIFS('Conciliacion de compuestos'!$D$2:$D$48,"conciliado",'Conciliacion de compuestos'!$E$2:$E$48,"OK",'Conciliacion de compuestos'!$N$2:$N$48,A94),COUNTIFS('Conciliacion de compuestos'!$D$2:$D$48,"conciliado",'Conciliacion de compuestos'!$E$2:$E$48,"OK",'Conciliacion de compuestos'!$O$2:$O$48,A94))&gt;0,IFERROR(TEXTJOIN(CHAR(10),TRUE,FILTER('Conciliacion de compuestos'!$A$2:$A$48,('Conciliacion de compuestos'!$D$2:$D$48="conciliado")*('Conciliacion de compuestos'!$E$2:$E$48="OK")*((('Conciliacion de compuestos'!$M$2:$M$48=A94)+('Conciliacion de compuestos'!$N$2:$N$48=A94)+('Conciliacion de compuestos'!$O$2:$O$48=A94))&gt;0))),""),"")</f>
        <v/>
      </c>
      <c r="G94" s="11">
        <f>IF(I94="conciliado","conciliado","por revisar")</f>
        <v/>
      </c>
      <c r="H94" s="11" t="inlineStr"/>
      <c r="I94" s="11">
        <f>IF(SUM(COUNTIFS('Conciliacion de compuestos'!$D$2:$D$48,"conciliado",'Conciliacion de compuestos'!$E$2:$E$48,"OK",'Conciliacion de compuestos'!$M$2:$M$48,A94),COUNTIFS('Conciliacion de compuestos'!$D$2:$D$48,"conciliado",'Conciliacion de compuestos'!$E$2:$E$48,"OK",'Conciliacion de compuestos'!$N$2:$N$48,A94),COUNTIFS('Conciliacion de compuestos'!$D$2:$D$48,"conciliado",'Conciliacion de compuestos'!$E$2:$E$48,"OK",'Conciliacion de compuestos'!$O$2:$O$48,A94))&gt;0,"conciliado","por revisar")</f>
        <v/>
      </c>
    </row>
    <row r="95">
      <c r="A95" s="11" t="n">
        <v>104</v>
      </c>
      <c r="B95" s="12" t="n">
        <v>46002</v>
      </c>
      <c r="C95" s="11" t="inlineStr">
        <is>
          <t>felipe luis villota</t>
        </is>
      </c>
      <c r="D95" s="13" t="n">
        <v>47200</v>
      </c>
      <c r="E95" s="11">
        <f>IF(G95="conciliado","conciliado",I95)</f>
        <v/>
      </c>
      <c r="F95" s="11">
        <f>IF(SUM(COUNTIFS('Conciliacion de compuestos'!$D$2:$D$48,"conciliado",'Conciliacion de compuestos'!$E$2:$E$48,"OK",'Conciliacion de compuestos'!$M$2:$M$48,A95),COUNTIFS('Conciliacion de compuestos'!$D$2:$D$48,"conciliado",'Conciliacion de compuestos'!$E$2:$E$48,"OK",'Conciliacion de compuestos'!$N$2:$N$48,A95),COUNTIFS('Conciliacion de compuestos'!$D$2:$D$48,"conciliado",'Conciliacion de compuestos'!$E$2:$E$48,"OK",'Conciliacion de compuestos'!$O$2:$O$48,A95))&gt;0,IFERROR(TEXTJOIN(CHAR(10),TRUE,FILTER('Conciliacion de compuestos'!$A$2:$A$48,('Conciliacion de compuestos'!$D$2:$D$48="conciliado")*('Conciliacion de compuestos'!$E$2:$E$48="OK")*((('Conciliacion de compuestos'!$M$2:$M$48=A95)+('Conciliacion de compuestos'!$N$2:$N$48=A95)+('Conciliacion de compuestos'!$O$2:$O$48=A95))&gt;0))),""),"")</f>
        <v/>
      </c>
      <c r="G95" s="11">
        <f>IF(I95="conciliado","conciliado","por revisar")</f>
        <v/>
      </c>
      <c r="H95" s="11" t="inlineStr"/>
      <c r="I95" s="11">
        <f>IF(SUM(COUNTIFS('Conciliacion de compuestos'!$D$2:$D$48,"conciliado",'Conciliacion de compuestos'!$E$2:$E$48,"OK",'Conciliacion de compuestos'!$M$2:$M$48,A95),COUNTIFS('Conciliacion de compuestos'!$D$2:$D$48,"conciliado",'Conciliacion de compuestos'!$E$2:$E$48,"OK",'Conciliacion de compuestos'!$N$2:$N$48,A95),COUNTIFS('Conciliacion de compuestos'!$D$2:$D$48,"conciliado",'Conciliacion de compuestos'!$E$2:$E$48,"OK",'Conciliacion de compuestos'!$O$2:$O$48,A95))&gt;0,"conciliado","por revisar")</f>
        <v/>
      </c>
    </row>
    <row r="96">
      <c r="A96" s="11" t="n">
        <v>131</v>
      </c>
      <c r="B96" s="12" t="n">
        <v>46005</v>
      </c>
      <c r="C96" s="11" t="inlineStr">
        <is>
          <t>a carlos cruz orozco</t>
        </is>
      </c>
      <c r="D96" s="13" t="n">
        <v>69700</v>
      </c>
      <c r="E96" s="11">
        <f>IF(G96="conciliado","conciliado",I96)</f>
        <v/>
      </c>
      <c r="F96" s="11">
        <f>IF(SUM(COUNTIFS('Conciliacion de compuestos'!$D$2:$D$48,"conciliado",'Conciliacion de compuestos'!$E$2:$E$48,"OK",'Conciliacion de compuestos'!$M$2:$M$48,A96),COUNTIFS('Conciliacion de compuestos'!$D$2:$D$48,"conciliado",'Conciliacion de compuestos'!$E$2:$E$48,"OK",'Conciliacion de compuestos'!$N$2:$N$48,A96),COUNTIFS('Conciliacion de compuestos'!$D$2:$D$48,"conciliado",'Conciliacion de compuestos'!$E$2:$E$48,"OK",'Conciliacion de compuestos'!$O$2:$O$48,A96))&gt;0,IFERROR(TEXTJOIN(CHAR(10),TRUE,FILTER('Conciliacion de compuestos'!$A$2:$A$48,('Conciliacion de compuestos'!$D$2:$D$48="conciliado")*('Conciliacion de compuestos'!$E$2:$E$48="OK")*((('Conciliacion de compuestos'!$M$2:$M$48=A96)+('Conciliacion de compuestos'!$N$2:$N$48=A96)+('Conciliacion de compuestos'!$O$2:$O$48=A96))&gt;0))),""),"")</f>
        <v/>
      </c>
      <c r="G96" s="11">
        <f>IF(I96="conciliado","conciliado","por revisar")</f>
        <v/>
      </c>
      <c r="H96" s="11" t="inlineStr"/>
      <c r="I96" s="11">
        <f>IF(SUM(COUNTIFS('Conciliacion de compuestos'!$D$2:$D$48,"conciliado",'Conciliacion de compuestos'!$E$2:$E$48,"OK",'Conciliacion de compuestos'!$M$2:$M$48,A96),COUNTIFS('Conciliacion de compuestos'!$D$2:$D$48,"conciliado",'Conciliacion de compuestos'!$E$2:$E$48,"OK",'Conciliacion de compuestos'!$N$2:$N$48,A96),COUNTIFS('Conciliacion de compuestos'!$D$2:$D$48,"conciliado",'Conciliacion de compuestos'!$E$2:$E$48,"OK",'Conciliacion de compuestos'!$O$2:$O$48,A96))&gt;0,"conciliado","por revisar")</f>
        <v/>
      </c>
    </row>
    <row r="97">
      <c r="A97" s="11" t="n">
        <v>130</v>
      </c>
      <c r="B97" s="12" t="n">
        <v>46005</v>
      </c>
      <c r="C97" s="11" t="inlineStr">
        <is>
          <t>marquez nanc narvaez</t>
        </is>
      </c>
      <c r="D97" s="13" t="n">
        <v>31000</v>
      </c>
      <c r="E97" s="11">
        <f>IF(G97="conciliado","conciliado",I97)</f>
        <v/>
      </c>
      <c r="F97" s="11">
        <f>IF(SUM(COUNTIFS('Conciliacion de compuestos'!$D$2:$D$48,"conciliado",'Conciliacion de compuestos'!$E$2:$E$48,"OK",'Conciliacion de compuestos'!$M$2:$M$48,A97),COUNTIFS('Conciliacion de compuestos'!$D$2:$D$48,"conciliado",'Conciliacion de compuestos'!$E$2:$E$48,"OK",'Conciliacion de compuestos'!$N$2:$N$48,A97),COUNTIFS('Conciliacion de compuestos'!$D$2:$D$48,"conciliado",'Conciliacion de compuestos'!$E$2:$E$48,"OK",'Conciliacion de compuestos'!$O$2:$O$48,A97))&gt;0,IFERROR(TEXTJOIN(CHAR(10),TRUE,FILTER('Conciliacion de compuestos'!$A$2:$A$48,('Conciliacion de compuestos'!$D$2:$D$48="conciliado")*('Conciliacion de compuestos'!$E$2:$E$48="OK")*((('Conciliacion de compuestos'!$M$2:$M$48=A97)+('Conciliacion de compuestos'!$N$2:$N$48=A97)+('Conciliacion de compuestos'!$O$2:$O$48=A97))&gt;0))),""),"")</f>
        <v/>
      </c>
      <c r="G97" s="11">
        <f>IF(I97="conciliado","conciliado","por revisar")</f>
        <v/>
      </c>
      <c r="H97" s="11" t="inlineStr"/>
      <c r="I97" s="11">
        <f>IF(SUM(COUNTIFS('Conciliacion de compuestos'!$D$2:$D$48,"conciliado",'Conciliacion de compuestos'!$E$2:$E$48,"OK",'Conciliacion de compuestos'!$M$2:$M$48,A97),COUNTIFS('Conciliacion de compuestos'!$D$2:$D$48,"conciliado",'Conciliacion de compuestos'!$E$2:$E$48,"OK",'Conciliacion de compuestos'!$N$2:$N$48,A97),COUNTIFS('Conciliacion de compuestos'!$D$2:$D$48,"conciliado",'Conciliacion de compuestos'!$E$2:$E$48,"OK",'Conciliacion de compuestos'!$O$2:$O$48,A97))&gt;0,"conciliado","por revisar")</f>
        <v/>
      </c>
    </row>
    <row r="98">
      <c r="A98" s="11" t="n">
        <v>140</v>
      </c>
      <c r="B98" s="12" t="n">
        <v>46006</v>
      </c>
      <c r="C98" s="11" t="inlineStr">
        <is>
          <t>arias eduar valencia</t>
        </is>
      </c>
      <c r="D98" s="13" t="n">
        <v>33000</v>
      </c>
      <c r="E98" s="11">
        <f>IF(G98="conciliado","conciliado",I98)</f>
        <v/>
      </c>
      <c r="F98" s="11" t="inlineStr">
        <is>
          <t>708 | 2025-12-15 | 33,000 | consignacion credibanco d e</t>
        </is>
      </c>
      <c r="G98" s="11">
        <f>IF(I98="conciliado","conciliado","por revisar")</f>
        <v/>
      </c>
      <c r="H98" s="11" t="inlineStr"/>
      <c r="I98" s="11" t="inlineStr">
        <is>
          <t>conciliado</t>
        </is>
      </c>
    </row>
    <row r="99">
      <c r="A99" s="11" t="n">
        <v>136</v>
      </c>
      <c r="B99" s="12" t="n">
        <v>46005</v>
      </c>
      <c r="C99" s="11" t="inlineStr">
        <is>
          <t>deil hernandez ortiz</t>
        </is>
      </c>
      <c r="D99" s="13" t="n">
        <v>105200</v>
      </c>
      <c r="E99" s="11">
        <f>IF(G99="conciliado","conciliado",I99)</f>
        <v/>
      </c>
      <c r="F99" s="11">
        <f>IF(SUM(COUNTIFS('Conciliacion de compuestos'!$D$2:$D$48,"conciliado",'Conciliacion de compuestos'!$E$2:$E$48,"OK",'Conciliacion de compuestos'!$M$2:$M$48,A99),COUNTIFS('Conciliacion de compuestos'!$D$2:$D$48,"conciliado",'Conciliacion de compuestos'!$E$2:$E$48,"OK",'Conciliacion de compuestos'!$N$2:$N$48,A99),COUNTIFS('Conciliacion de compuestos'!$D$2:$D$48,"conciliado",'Conciliacion de compuestos'!$E$2:$E$48,"OK",'Conciliacion de compuestos'!$O$2:$O$48,A99))&gt;0,IFERROR(TEXTJOIN(CHAR(10),TRUE,FILTER('Conciliacion de compuestos'!$A$2:$A$48,('Conciliacion de compuestos'!$D$2:$D$48="conciliado")*('Conciliacion de compuestos'!$E$2:$E$48="OK")*((('Conciliacion de compuestos'!$M$2:$M$48=A99)+('Conciliacion de compuestos'!$N$2:$N$48=A99)+('Conciliacion de compuestos'!$O$2:$O$48=A99))&gt;0))),""),"")</f>
        <v/>
      </c>
      <c r="G99" s="11">
        <f>IF(I99="conciliado","conciliado","por revisar")</f>
        <v/>
      </c>
      <c r="H99" s="11" t="inlineStr"/>
      <c r="I99" s="11">
        <f>IF(SUM(COUNTIFS('Conciliacion de compuestos'!$D$2:$D$48,"conciliado",'Conciliacion de compuestos'!$E$2:$E$48,"OK",'Conciliacion de compuestos'!$M$2:$M$48,A99),COUNTIFS('Conciliacion de compuestos'!$D$2:$D$48,"conciliado",'Conciliacion de compuestos'!$E$2:$E$48,"OK",'Conciliacion de compuestos'!$N$2:$N$48,A99),COUNTIFS('Conciliacion de compuestos'!$D$2:$D$48,"conciliado",'Conciliacion de compuestos'!$E$2:$E$48,"OK",'Conciliacion de compuestos'!$O$2:$O$48,A99))&gt;0,"conciliado","por revisar")</f>
        <v/>
      </c>
    </row>
    <row r="100">
      <c r="A100" s="11" t="n">
        <v>132</v>
      </c>
      <c r="B100" s="12" t="n">
        <v>46005</v>
      </c>
      <c r="C100" s="11" t="inlineStr">
        <is>
          <t>carlos cuervo juan v</t>
        </is>
      </c>
      <c r="D100" s="13" t="n">
        <v>86100</v>
      </c>
      <c r="E100" s="11">
        <f>IF(G100="conciliado","conciliado",I100)</f>
        <v/>
      </c>
      <c r="F100" s="11">
        <f>IF(SUM(COUNTIFS('Conciliacion de compuestos'!$D$2:$D$48,"conciliado",'Conciliacion de compuestos'!$E$2:$E$48,"OK",'Conciliacion de compuestos'!$M$2:$M$48,A100),COUNTIFS('Conciliacion de compuestos'!$D$2:$D$48,"conciliado",'Conciliacion de compuestos'!$E$2:$E$48,"OK",'Conciliacion de compuestos'!$N$2:$N$48,A100),COUNTIFS('Conciliacion de compuestos'!$D$2:$D$48,"conciliado",'Conciliacion de compuestos'!$E$2:$E$48,"OK",'Conciliacion de compuestos'!$O$2:$O$48,A100))&gt;0,IFERROR(TEXTJOIN(CHAR(10),TRUE,FILTER('Conciliacion de compuestos'!$A$2:$A$48,('Conciliacion de compuestos'!$D$2:$D$48="conciliado")*('Conciliacion de compuestos'!$E$2:$E$48="OK")*((('Conciliacion de compuestos'!$M$2:$M$48=A100)+('Conciliacion de compuestos'!$N$2:$N$48=A100)+('Conciliacion de compuestos'!$O$2:$O$48=A100))&gt;0))),""),"")</f>
        <v/>
      </c>
      <c r="G100" s="11">
        <f>IF(I100="conciliado","conciliado","por revisar")</f>
        <v/>
      </c>
      <c r="H100" s="11" t="inlineStr"/>
      <c r="I100" s="11">
        <f>IF(SUM(COUNTIFS('Conciliacion de compuestos'!$D$2:$D$48,"conciliado",'Conciliacion de compuestos'!$E$2:$E$48,"OK",'Conciliacion de compuestos'!$M$2:$M$48,A100),COUNTIFS('Conciliacion de compuestos'!$D$2:$D$48,"conciliado",'Conciliacion de compuestos'!$E$2:$E$48,"OK",'Conciliacion de compuestos'!$N$2:$N$48,A100),COUNTIFS('Conciliacion de compuestos'!$D$2:$D$48,"conciliado",'Conciliacion de compuestos'!$E$2:$E$48,"OK",'Conciliacion de compuestos'!$O$2:$O$48,A100))&gt;0,"conciliado","por revisar")</f>
        <v/>
      </c>
    </row>
    <row r="101">
      <c r="A101" s="11" t="n">
        <v>133</v>
      </c>
      <c r="B101" s="12" t="n">
        <v>46005</v>
      </c>
      <c r="C101" s="11" t="inlineStr">
        <is>
          <t>l piedad ramos rueda</t>
        </is>
      </c>
      <c r="D101" s="13" t="n">
        <v>15000</v>
      </c>
      <c r="E101" s="11">
        <f>IF(G101="conciliado","conciliado",I101)</f>
        <v/>
      </c>
      <c r="F101" s="11">
        <f>IF(SUM(COUNTIFS('Conciliacion de compuestos'!$D$2:$D$48,"conciliado",'Conciliacion de compuestos'!$E$2:$E$48,"OK",'Conciliacion de compuestos'!$M$2:$M$48,A101),COUNTIFS('Conciliacion de compuestos'!$D$2:$D$48,"conciliado",'Conciliacion de compuestos'!$E$2:$E$48,"OK",'Conciliacion de compuestos'!$N$2:$N$48,A101),COUNTIFS('Conciliacion de compuestos'!$D$2:$D$48,"conciliado",'Conciliacion de compuestos'!$E$2:$E$48,"OK",'Conciliacion de compuestos'!$O$2:$O$48,A101))&gt;0,IFERROR(TEXTJOIN(CHAR(10),TRUE,FILTER('Conciliacion de compuestos'!$A$2:$A$48,('Conciliacion de compuestos'!$D$2:$D$48="conciliado")*('Conciliacion de compuestos'!$E$2:$E$48="OK")*((('Conciliacion de compuestos'!$M$2:$M$48=A101)+('Conciliacion de compuestos'!$N$2:$N$48=A101)+('Conciliacion de compuestos'!$O$2:$O$48=A101))&gt;0))),""),"")</f>
        <v/>
      </c>
      <c r="G101" s="11">
        <f>IF(I101="conciliado","conciliado","por revisar")</f>
        <v/>
      </c>
      <c r="H101" s="11" t="inlineStr"/>
      <c r="I101" s="11">
        <f>IF(SUM(COUNTIFS('Conciliacion de compuestos'!$D$2:$D$48,"conciliado",'Conciliacion de compuestos'!$E$2:$E$48,"OK",'Conciliacion de compuestos'!$M$2:$M$48,A101),COUNTIFS('Conciliacion de compuestos'!$D$2:$D$48,"conciliado",'Conciliacion de compuestos'!$E$2:$E$48,"OK",'Conciliacion de compuestos'!$N$2:$N$48,A101),COUNTIFS('Conciliacion de compuestos'!$D$2:$D$48,"conciliado",'Conciliacion de compuestos'!$E$2:$E$48,"OK",'Conciliacion de compuestos'!$O$2:$O$48,A101))&gt;0,"conciliado","por revisar")</f>
        <v/>
      </c>
    </row>
    <row r="102">
      <c r="A102" s="11" t="n">
        <v>116</v>
      </c>
      <c r="B102" s="12" t="n">
        <v>46003</v>
      </c>
      <c r="C102" s="11" t="inlineStr">
        <is>
          <t>d luis ruiz tarapuez</t>
        </is>
      </c>
      <c r="D102" s="13" t="n">
        <v>77800</v>
      </c>
      <c r="E102" s="11">
        <f>IF(G102="conciliado","conciliado",I102)</f>
        <v/>
      </c>
      <c r="F102" s="11">
        <f>IF(SUM(COUNTIFS('Conciliacion de compuestos'!$D$2:$D$48,"conciliado",'Conciliacion de compuestos'!$E$2:$E$48,"OK",'Conciliacion de compuestos'!$M$2:$M$48,A102),COUNTIFS('Conciliacion de compuestos'!$D$2:$D$48,"conciliado",'Conciliacion de compuestos'!$E$2:$E$48,"OK",'Conciliacion de compuestos'!$N$2:$N$48,A102),COUNTIFS('Conciliacion de compuestos'!$D$2:$D$48,"conciliado",'Conciliacion de compuestos'!$E$2:$E$48,"OK",'Conciliacion de compuestos'!$O$2:$O$48,A102))&gt;0,IFERROR(TEXTJOIN(CHAR(10),TRUE,FILTER('Conciliacion de compuestos'!$A$2:$A$48,('Conciliacion de compuestos'!$D$2:$D$48="conciliado")*('Conciliacion de compuestos'!$E$2:$E$48="OK")*((('Conciliacion de compuestos'!$M$2:$M$48=A102)+('Conciliacion de compuestos'!$N$2:$N$48=A102)+('Conciliacion de compuestos'!$O$2:$O$48=A102))&gt;0))),""),"")</f>
        <v/>
      </c>
      <c r="G102" s="11">
        <f>IF(I102="conciliado","conciliado","por revisar")</f>
        <v/>
      </c>
      <c r="H102" s="11" t="inlineStr"/>
      <c r="I102" s="11">
        <f>IF(SUM(COUNTIFS('Conciliacion de compuestos'!$D$2:$D$48,"conciliado",'Conciliacion de compuestos'!$E$2:$E$48,"OK",'Conciliacion de compuestos'!$M$2:$M$48,A102),COUNTIFS('Conciliacion de compuestos'!$D$2:$D$48,"conciliado",'Conciliacion de compuestos'!$E$2:$E$48,"OK",'Conciliacion de compuestos'!$N$2:$N$48,A102),COUNTIFS('Conciliacion de compuestos'!$D$2:$D$48,"conciliado",'Conciliacion de compuestos'!$E$2:$E$48,"OK",'Conciliacion de compuestos'!$O$2:$O$48,A102))&gt;0,"conciliado","por revisar")</f>
        <v/>
      </c>
    </row>
    <row r="103">
      <c r="A103" s="11" t="n">
        <v>114</v>
      </c>
      <c r="B103" s="12" t="n">
        <v>46003</v>
      </c>
      <c r="C103" s="11" t="inlineStr">
        <is>
          <t>claudi diaz zandobal</t>
        </is>
      </c>
      <c r="D103" s="13" t="n">
        <v>70800</v>
      </c>
      <c r="E103" s="11">
        <f>IF(G103="conciliado","conciliado",I103)</f>
        <v/>
      </c>
      <c r="F103" s="11">
        <f>IF(SUM(COUNTIFS('Conciliacion de compuestos'!$D$2:$D$48,"conciliado",'Conciliacion de compuestos'!$E$2:$E$48,"OK",'Conciliacion de compuestos'!$M$2:$M$48,A103),COUNTIFS('Conciliacion de compuestos'!$D$2:$D$48,"conciliado",'Conciliacion de compuestos'!$E$2:$E$48,"OK",'Conciliacion de compuestos'!$N$2:$N$48,A103),COUNTIFS('Conciliacion de compuestos'!$D$2:$D$48,"conciliado",'Conciliacion de compuestos'!$E$2:$E$48,"OK",'Conciliacion de compuestos'!$O$2:$O$48,A103))&gt;0,IFERROR(TEXTJOIN(CHAR(10),TRUE,FILTER('Conciliacion de compuestos'!$A$2:$A$48,('Conciliacion de compuestos'!$D$2:$D$48="conciliado")*('Conciliacion de compuestos'!$E$2:$E$48="OK")*((('Conciliacion de compuestos'!$M$2:$M$48=A103)+('Conciliacion de compuestos'!$N$2:$N$48=A103)+('Conciliacion de compuestos'!$O$2:$O$48=A103))&gt;0))),""),"")</f>
        <v/>
      </c>
      <c r="G103" s="11">
        <f>IF(I103="conciliado","conciliado","por revisar")</f>
        <v/>
      </c>
      <c r="H103" s="11" t="inlineStr"/>
      <c r="I103" s="11">
        <f>IF(SUM(COUNTIFS('Conciliacion de compuestos'!$D$2:$D$48,"conciliado",'Conciliacion de compuestos'!$E$2:$E$48,"OK",'Conciliacion de compuestos'!$M$2:$M$48,A103),COUNTIFS('Conciliacion de compuestos'!$D$2:$D$48,"conciliado",'Conciliacion de compuestos'!$E$2:$E$48,"OK",'Conciliacion de compuestos'!$N$2:$N$48,A103),COUNTIFS('Conciliacion de compuestos'!$D$2:$D$48,"conciliado",'Conciliacion de compuestos'!$E$2:$E$48,"OK",'Conciliacion de compuestos'!$O$2:$O$48,A103))&gt;0,"conciliado","por revisar")</f>
        <v/>
      </c>
    </row>
    <row r="104">
      <c r="A104" s="11" t="n">
        <v>111</v>
      </c>
      <c r="B104" s="12" t="n">
        <v>46003</v>
      </c>
      <c r="C104" s="11" t="inlineStr">
        <is>
          <t>hernan l potosi vela</t>
        </is>
      </c>
      <c r="D104" s="13" t="n">
        <v>162100</v>
      </c>
      <c r="E104" s="11">
        <f>IF(G104="conciliado","conciliado",I104)</f>
        <v/>
      </c>
      <c r="F104" s="11">
        <f>IF(SUM(COUNTIFS('Conciliacion de compuestos'!$D$2:$D$48,"conciliado",'Conciliacion de compuestos'!$E$2:$E$48,"OK",'Conciliacion de compuestos'!$M$2:$M$48,A104),COUNTIFS('Conciliacion de compuestos'!$D$2:$D$48,"conciliado",'Conciliacion de compuestos'!$E$2:$E$48,"OK",'Conciliacion de compuestos'!$N$2:$N$48,A104),COUNTIFS('Conciliacion de compuestos'!$D$2:$D$48,"conciliado",'Conciliacion de compuestos'!$E$2:$E$48,"OK",'Conciliacion de compuestos'!$O$2:$O$48,A104))&gt;0,IFERROR(TEXTJOIN(CHAR(10),TRUE,FILTER('Conciliacion de compuestos'!$A$2:$A$48,('Conciliacion de compuestos'!$D$2:$D$48="conciliado")*('Conciliacion de compuestos'!$E$2:$E$48="OK")*((('Conciliacion de compuestos'!$M$2:$M$48=A104)+('Conciliacion de compuestos'!$N$2:$N$48=A104)+('Conciliacion de compuestos'!$O$2:$O$48=A104))&gt;0))),""),"")</f>
        <v/>
      </c>
      <c r="G104" s="11">
        <f>IF(I104="conciliado","conciliado","por revisar")</f>
        <v/>
      </c>
      <c r="H104" s="11" t="inlineStr"/>
      <c r="I104" s="11">
        <f>IF(SUM(COUNTIFS('Conciliacion de compuestos'!$D$2:$D$48,"conciliado",'Conciliacion de compuestos'!$E$2:$E$48,"OK",'Conciliacion de compuestos'!$M$2:$M$48,A104),COUNTIFS('Conciliacion de compuestos'!$D$2:$D$48,"conciliado",'Conciliacion de compuestos'!$E$2:$E$48,"OK",'Conciliacion de compuestos'!$N$2:$N$48,A104),COUNTIFS('Conciliacion de compuestos'!$D$2:$D$48,"conciliado",'Conciliacion de compuestos'!$E$2:$E$48,"OK",'Conciliacion de compuestos'!$O$2:$O$48,A104))&gt;0,"conciliado","por revisar")</f>
        <v/>
      </c>
    </row>
    <row r="105">
      <c r="A105" s="11" t="n">
        <v>120</v>
      </c>
      <c r="B105" s="12" t="n">
        <v>46003</v>
      </c>
      <c r="C105" s="11" t="inlineStr">
        <is>
          <t>guerrero ignacio</t>
        </is>
      </c>
      <c r="D105" s="13" t="n">
        <v>562700</v>
      </c>
      <c r="E105" s="11">
        <f>IF(G105="conciliado","conciliado",I105)</f>
        <v/>
      </c>
      <c r="F105" s="11">
        <f>IF(SUM(COUNTIFS('Conciliacion de compuestos'!$D$2:$D$48,"conciliado",'Conciliacion de compuestos'!$E$2:$E$48,"OK",'Conciliacion de compuestos'!$M$2:$M$48,A105),COUNTIFS('Conciliacion de compuestos'!$D$2:$D$48,"conciliado",'Conciliacion de compuestos'!$E$2:$E$48,"OK",'Conciliacion de compuestos'!$N$2:$N$48,A105),COUNTIFS('Conciliacion de compuestos'!$D$2:$D$48,"conciliado",'Conciliacion de compuestos'!$E$2:$E$48,"OK",'Conciliacion de compuestos'!$O$2:$O$48,A105))&gt;0,IFERROR(TEXTJOIN(CHAR(10),TRUE,FILTER('Conciliacion de compuestos'!$A$2:$A$48,('Conciliacion de compuestos'!$D$2:$D$48="conciliado")*('Conciliacion de compuestos'!$E$2:$E$48="OK")*((('Conciliacion de compuestos'!$M$2:$M$48=A105)+('Conciliacion de compuestos'!$N$2:$N$48=A105)+('Conciliacion de compuestos'!$O$2:$O$48=A105))&gt;0))),""),"")</f>
        <v/>
      </c>
      <c r="G105" s="11">
        <f>IF(I105="conciliado","conciliado","por revisar")</f>
        <v/>
      </c>
      <c r="H105" s="11" t="inlineStr"/>
      <c r="I105" s="11">
        <f>IF(SUM(COUNTIFS('Conciliacion de compuestos'!$D$2:$D$48,"conciliado",'Conciliacion de compuestos'!$E$2:$E$48,"OK",'Conciliacion de compuestos'!$M$2:$M$48,A105),COUNTIFS('Conciliacion de compuestos'!$D$2:$D$48,"conciliado",'Conciliacion de compuestos'!$E$2:$E$48,"OK",'Conciliacion de compuestos'!$N$2:$N$48,A105),COUNTIFS('Conciliacion de compuestos'!$D$2:$D$48,"conciliado",'Conciliacion de compuestos'!$E$2:$E$48,"OK",'Conciliacion de compuestos'!$O$2:$O$48,A105))&gt;0,"conciliado","por revisar")</f>
        <v/>
      </c>
    </row>
    <row r="106">
      <c r="A106" s="11" t="n">
        <v>115</v>
      </c>
      <c r="B106" s="12" t="n">
        <v>46003</v>
      </c>
      <c r="C106" s="11" t="inlineStr">
        <is>
          <t>l piedad ramos rueda</t>
        </is>
      </c>
      <c r="D106" s="13" t="n">
        <v>45900</v>
      </c>
      <c r="E106" s="11">
        <f>IF(G106="conciliado","conciliado",I106)</f>
        <v/>
      </c>
      <c r="F106" s="11">
        <f>IF(SUM(COUNTIFS('Conciliacion de compuestos'!$D$2:$D$48,"conciliado",'Conciliacion de compuestos'!$E$2:$E$48,"OK",'Conciliacion de compuestos'!$M$2:$M$48,A106),COUNTIFS('Conciliacion de compuestos'!$D$2:$D$48,"conciliado",'Conciliacion de compuestos'!$E$2:$E$48,"OK",'Conciliacion de compuestos'!$N$2:$N$48,A106),COUNTIFS('Conciliacion de compuestos'!$D$2:$D$48,"conciliado",'Conciliacion de compuestos'!$E$2:$E$48,"OK",'Conciliacion de compuestos'!$O$2:$O$48,A106))&gt;0,IFERROR(TEXTJOIN(CHAR(10),TRUE,FILTER('Conciliacion de compuestos'!$A$2:$A$48,('Conciliacion de compuestos'!$D$2:$D$48="conciliado")*('Conciliacion de compuestos'!$E$2:$E$48="OK")*((('Conciliacion de compuestos'!$M$2:$M$48=A106)+('Conciliacion de compuestos'!$N$2:$N$48=A106)+('Conciliacion de compuestos'!$O$2:$O$48=A106))&gt;0))),""),"")</f>
        <v/>
      </c>
      <c r="G106" s="11">
        <f>IF(I106="conciliado","conciliado","por revisar")</f>
        <v/>
      </c>
      <c r="H106" s="11" t="inlineStr"/>
      <c r="I106" s="11">
        <f>IF(SUM(COUNTIFS('Conciliacion de compuestos'!$D$2:$D$48,"conciliado",'Conciliacion de compuestos'!$E$2:$E$48,"OK",'Conciliacion de compuestos'!$M$2:$M$48,A106),COUNTIFS('Conciliacion de compuestos'!$D$2:$D$48,"conciliado",'Conciliacion de compuestos'!$E$2:$E$48,"OK",'Conciliacion de compuestos'!$N$2:$N$48,A106),COUNTIFS('Conciliacion de compuestos'!$D$2:$D$48,"conciliado",'Conciliacion de compuestos'!$E$2:$E$48,"OK",'Conciliacion de compuestos'!$O$2:$O$48,A106))&gt;0,"conciliado","por revisar")</f>
        <v/>
      </c>
    </row>
    <row r="107">
      <c r="A107" s="11" t="n">
        <v>117</v>
      </c>
      <c r="B107" s="12" t="n">
        <v>46003</v>
      </c>
      <c r="C107" s="11" t="inlineStr">
        <is>
          <t>al enriquez yaguapaz</t>
        </is>
      </c>
      <c r="D107" s="13" t="n">
        <v>40100</v>
      </c>
      <c r="E107" s="11">
        <f>IF(G107="conciliado","conciliado",I107)</f>
        <v/>
      </c>
      <c r="F107" s="11">
        <f>IF(SUM(COUNTIFS('Conciliacion de compuestos'!$D$2:$D$48,"conciliado",'Conciliacion de compuestos'!$E$2:$E$48,"OK",'Conciliacion de compuestos'!$M$2:$M$48,A107),COUNTIFS('Conciliacion de compuestos'!$D$2:$D$48,"conciliado",'Conciliacion de compuestos'!$E$2:$E$48,"OK",'Conciliacion de compuestos'!$N$2:$N$48,A107),COUNTIFS('Conciliacion de compuestos'!$D$2:$D$48,"conciliado",'Conciliacion de compuestos'!$E$2:$E$48,"OK",'Conciliacion de compuestos'!$O$2:$O$48,A107))&gt;0,IFERROR(TEXTJOIN(CHAR(10),TRUE,FILTER('Conciliacion de compuestos'!$A$2:$A$48,('Conciliacion de compuestos'!$D$2:$D$48="conciliado")*('Conciliacion de compuestos'!$E$2:$E$48="OK")*((('Conciliacion de compuestos'!$M$2:$M$48=A107)+('Conciliacion de compuestos'!$N$2:$N$48=A107)+('Conciliacion de compuestos'!$O$2:$O$48=A107))&gt;0))),""),"")</f>
        <v/>
      </c>
      <c r="G107" s="11">
        <f>IF(I107="conciliado","conciliado","por revisar")</f>
        <v/>
      </c>
      <c r="H107" s="11" t="inlineStr"/>
      <c r="I107" s="11">
        <f>IF(SUM(COUNTIFS('Conciliacion de compuestos'!$D$2:$D$48,"conciliado",'Conciliacion de compuestos'!$E$2:$E$48,"OK",'Conciliacion de compuestos'!$M$2:$M$48,A107),COUNTIFS('Conciliacion de compuestos'!$D$2:$D$48,"conciliado",'Conciliacion de compuestos'!$E$2:$E$48,"OK",'Conciliacion de compuestos'!$N$2:$N$48,A107),COUNTIFS('Conciliacion de compuestos'!$D$2:$D$48,"conciliado",'Conciliacion de compuestos'!$E$2:$E$48,"OK",'Conciliacion de compuestos'!$O$2:$O$48,A107))&gt;0,"conciliado","por revisar")</f>
        <v/>
      </c>
    </row>
    <row r="108">
      <c r="A108" s="11" t="n">
        <v>113</v>
      </c>
      <c r="B108" s="12" t="n">
        <v>46003</v>
      </c>
      <c r="C108" s="11" t="inlineStr">
        <is>
          <t>juli morante salazar</t>
        </is>
      </c>
      <c r="D108" s="13" t="n">
        <v>155546</v>
      </c>
      <c r="E108" s="11">
        <f>IF(G108="conciliado","conciliado",I108)</f>
        <v/>
      </c>
      <c r="F108" s="11">
        <f>IF(SUM(COUNTIFS('Conciliacion de compuestos'!$D$2:$D$48,"conciliado",'Conciliacion de compuestos'!$E$2:$E$48,"OK",'Conciliacion de compuestos'!$M$2:$M$48,A108),COUNTIFS('Conciliacion de compuestos'!$D$2:$D$48,"conciliado",'Conciliacion de compuestos'!$E$2:$E$48,"OK",'Conciliacion de compuestos'!$N$2:$N$48,A108),COUNTIFS('Conciliacion de compuestos'!$D$2:$D$48,"conciliado",'Conciliacion de compuestos'!$E$2:$E$48,"OK",'Conciliacion de compuestos'!$O$2:$O$48,A108))&gt;0,IFERROR(TEXTJOIN(CHAR(10),TRUE,FILTER('Conciliacion de compuestos'!$A$2:$A$48,('Conciliacion de compuestos'!$D$2:$D$48="conciliado")*('Conciliacion de compuestos'!$E$2:$E$48="OK")*((('Conciliacion de compuestos'!$M$2:$M$48=A108)+('Conciliacion de compuestos'!$N$2:$N$48=A108)+('Conciliacion de compuestos'!$O$2:$O$48=A108))&gt;0))),""),"")</f>
        <v/>
      </c>
      <c r="G108" s="11">
        <f>IF(I108="conciliado","conciliado","por revisar")</f>
        <v/>
      </c>
      <c r="H108" s="11" t="inlineStr"/>
      <c r="I108" s="11">
        <f>IF(SUM(COUNTIFS('Conciliacion de compuestos'!$D$2:$D$48,"conciliado",'Conciliacion de compuestos'!$E$2:$E$48,"OK",'Conciliacion de compuestos'!$M$2:$M$48,A108),COUNTIFS('Conciliacion de compuestos'!$D$2:$D$48,"conciliado",'Conciliacion de compuestos'!$E$2:$E$48,"OK",'Conciliacion de compuestos'!$N$2:$N$48,A108),COUNTIFS('Conciliacion de compuestos'!$D$2:$D$48,"conciliado",'Conciliacion de compuestos'!$E$2:$E$48,"OK",'Conciliacion de compuestos'!$O$2:$O$48,A108))&gt;0,"conciliado","por revisar")</f>
        <v/>
      </c>
    </row>
    <row r="109">
      <c r="A109" s="11" t="n">
        <v>112</v>
      </c>
      <c r="B109" s="12" t="n">
        <v>46003</v>
      </c>
      <c r="C109" s="11" t="inlineStr">
        <is>
          <t>casanas cazanas jame</t>
        </is>
      </c>
      <c r="D109" s="13" t="n">
        <v>36018</v>
      </c>
      <c r="E109" s="11">
        <f>IF(G109="conciliado","conciliado",I109)</f>
        <v/>
      </c>
      <c r="F109" s="11">
        <f>IF(SUM(COUNTIFS('Conciliacion de compuestos'!$D$2:$D$48,"conciliado",'Conciliacion de compuestos'!$E$2:$E$48,"OK",'Conciliacion de compuestos'!$M$2:$M$48,A109),COUNTIFS('Conciliacion de compuestos'!$D$2:$D$48,"conciliado",'Conciliacion de compuestos'!$E$2:$E$48,"OK",'Conciliacion de compuestos'!$N$2:$N$48,A109),COUNTIFS('Conciliacion de compuestos'!$D$2:$D$48,"conciliado",'Conciliacion de compuestos'!$E$2:$E$48,"OK",'Conciliacion de compuestos'!$O$2:$O$48,A109))&gt;0,IFERROR(TEXTJOIN(CHAR(10),TRUE,FILTER('Conciliacion de compuestos'!$A$2:$A$48,('Conciliacion de compuestos'!$D$2:$D$48="conciliado")*('Conciliacion de compuestos'!$E$2:$E$48="OK")*((('Conciliacion de compuestos'!$M$2:$M$48=A109)+('Conciliacion de compuestos'!$N$2:$N$48=A109)+('Conciliacion de compuestos'!$O$2:$O$48=A109))&gt;0))),""),"")</f>
        <v/>
      </c>
      <c r="G109" s="11">
        <f>IF(I109="conciliado","conciliado","por revisar")</f>
        <v/>
      </c>
      <c r="H109" s="11" t="inlineStr"/>
      <c r="I109" s="11">
        <f>IF(SUM(COUNTIFS('Conciliacion de compuestos'!$D$2:$D$48,"conciliado",'Conciliacion de compuestos'!$E$2:$E$48,"OK",'Conciliacion de compuestos'!$M$2:$M$48,A109),COUNTIFS('Conciliacion de compuestos'!$D$2:$D$48,"conciliado",'Conciliacion de compuestos'!$E$2:$E$48,"OK",'Conciliacion de compuestos'!$N$2:$N$48,A109),COUNTIFS('Conciliacion de compuestos'!$D$2:$D$48,"conciliado",'Conciliacion de compuestos'!$E$2:$E$48,"OK",'Conciliacion de compuestos'!$O$2:$O$48,A109))&gt;0,"conciliado","por revisar")</f>
        <v/>
      </c>
    </row>
    <row r="110">
      <c r="A110" s="11" t="n">
        <v>121</v>
      </c>
      <c r="B110" s="12" t="n">
        <v>46004</v>
      </c>
      <c r="C110" s="11" t="inlineStr">
        <is>
          <t>angulo benavides yad</t>
        </is>
      </c>
      <c r="D110" s="13" t="n">
        <v>26500</v>
      </c>
      <c r="E110" s="11">
        <f>IF(G110="conciliado","conciliado",I110)</f>
        <v/>
      </c>
      <c r="F110" s="11">
        <f>IF(SUM(COUNTIFS('Conciliacion de compuestos'!$D$2:$D$48,"conciliado",'Conciliacion de compuestos'!$E$2:$E$48,"OK",'Conciliacion de compuestos'!$M$2:$M$48,A110),COUNTIFS('Conciliacion de compuestos'!$D$2:$D$48,"conciliado",'Conciliacion de compuestos'!$E$2:$E$48,"OK",'Conciliacion de compuestos'!$N$2:$N$48,A110),COUNTIFS('Conciliacion de compuestos'!$D$2:$D$48,"conciliado",'Conciliacion de compuestos'!$E$2:$E$48,"OK",'Conciliacion de compuestos'!$O$2:$O$48,A110))&gt;0,IFERROR(TEXTJOIN(CHAR(10),TRUE,FILTER('Conciliacion de compuestos'!$A$2:$A$48,('Conciliacion de compuestos'!$D$2:$D$48="conciliado")*('Conciliacion de compuestos'!$E$2:$E$48="OK")*((('Conciliacion de compuestos'!$M$2:$M$48=A110)+('Conciliacion de compuestos'!$N$2:$N$48=A110)+('Conciliacion de compuestos'!$O$2:$O$48=A110))&gt;0))),""),"")</f>
        <v/>
      </c>
      <c r="G110" s="11">
        <f>IF(I110="conciliado","conciliado","por revisar")</f>
        <v/>
      </c>
      <c r="H110" s="11" t="inlineStr"/>
      <c r="I110" s="11">
        <f>IF(SUM(COUNTIFS('Conciliacion de compuestos'!$D$2:$D$48,"conciliado",'Conciliacion de compuestos'!$E$2:$E$48,"OK",'Conciliacion de compuestos'!$M$2:$M$48,A110),COUNTIFS('Conciliacion de compuestos'!$D$2:$D$48,"conciliado",'Conciliacion de compuestos'!$E$2:$E$48,"OK",'Conciliacion de compuestos'!$N$2:$N$48,A110),COUNTIFS('Conciliacion de compuestos'!$D$2:$D$48,"conciliado",'Conciliacion de compuestos'!$E$2:$E$48,"OK",'Conciliacion de compuestos'!$O$2:$O$48,A110))&gt;0,"conciliado","por revisar")</f>
        <v/>
      </c>
    </row>
    <row r="111">
      <c r="A111" s="11" t="n">
        <v>125</v>
      </c>
      <c r="B111" s="12" t="n">
        <v>46004</v>
      </c>
      <c r="C111" s="11" t="inlineStr">
        <is>
          <t>ar buelvas diaz elcy</t>
        </is>
      </c>
      <c r="D111" s="13" t="n">
        <v>43200</v>
      </c>
      <c r="E111" s="11">
        <f>IF(G111="conciliado","conciliado",I111)</f>
        <v/>
      </c>
      <c r="F111" s="11">
        <f>IF(SUM(COUNTIFS('Conciliacion de compuestos'!$D$2:$D$48,"conciliado",'Conciliacion de compuestos'!$E$2:$E$48,"OK",'Conciliacion de compuestos'!$M$2:$M$48,A111),COUNTIFS('Conciliacion de compuestos'!$D$2:$D$48,"conciliado",'Conciliacion de compuestos'!$E$2:$E$48,"OK",'Conciliacion de compuestos'!$N$2:$N$48,A111),COUNTIFS('Conciliacion de compuestos'!$D$2:$D$48,"conciliado",'Conciliacion de compuestos'!$E$2:$E$48,"OK",'Conciliacion de compuestos'!$O$2:$O$48,A111))&gt;0,IFERROR(TEXTJOIN(CHAR(10),TRUE,FILTER('Conciliacion de compuestos'!$A$2:$A$48,('Conciliacion de compuestos'!$D$2:$D$48="conciliado")*('Conciliacion de compuestos'!$E$2:$E$48="OK")*((('Conciliacion de compuestos'!$M$2:$M$48=A111)+('Conciliacion de compuestos'!$N$2:$N$48=A111)+('Conciliacion de compuestos'!$O$2:$O$48=A111))&gt;0))),""),"")</f>
        <v/>
      </c>
      <c r="G111" s="11">
        <f>IF(I111="conciliado","conciliado","por revisar")</f>
        <v/>
      </c>
      <c r="H111" s="11" t="inlineStr"/>
      <c r="I111" s="11">
        <f>IF(SUM(COUNTIFS('Conciliacion de compuestos'!$D$2:$D$48,"conciliado",'Conciliacion de compuestos'!$E$2:$E$48,"OK",'Conciliacion de compuestos'!$M$2:$M$48,A111),COUNTIFS('Conciliacion de compuestos'!$D$2:$D$48,"conciliado",'Conciliacion de compuestos'!$E$2:$E$48,"OK",'Conciliacion de compuestos'!$N$2:$N$48,A111),COUNTIFS('Conciliacion de compuestos'!$D$2:$D$48,"conciliado",'Conciliacion de compuestos'!$E$2:$E$48,"OK",'Conciliacion de compuestos'!$O$2:$O$48,A111))&gt;0,"conciliado","por revisar")</f>
        <v/>
      </c>
    </row>
    <row r="112">
      <c r="A112" s="11" t="n">
        <v>124</v>
      </c>
      <c r="B112" s="12" t="n">
        <v>46004</v>
      </c>
      <c r="C112" s="11" t="inlineStr">
        <is>
          <t>coral fr hugo rosero</t>
        </is>
      </c>
      <c r="D112" s="13" t="n">
        <v>45300</v>
      </c>
      <c r="E112" s="11">
        <f>IF(G112="conciliado","conciliado",I112)</f>
        <v/>
      </c>
      <c r="F112" s="11">
        <f>IF(SUM(COUNTIFS('Conciliacion de compuestos'!$D$2:$D$48,"conciliado",'Conciliacion de compuestos'!$E$2:$E$48,"OK",'Conciliacion de compuestos'!$M$2:$M$48,A112),COUNTIFS('Conciliacion de compuestos'!$D$2:$D$48,"conciliado",'Conciliacion de compuestos'!$E$2:$E$48,"OK",'Conciliacion de compuestos'!$N$2:$N$48,A112),COUNTIFS('Conciliacion de compuestos'!$D$2:$D$48,"conciliado",'Conciliacion de compuestos'!$E$2:$E$48,"OK",'Conciliacion de compuestos'!$O$2:$O$48,A112))&gt;0,IFERROR(TEXTJOIN(CHAR(10),TRUE,FILTER('Conciliacion de compuestos'!$A$2:$A$48,('Conciliacion de compuestos'!$D$2:$D$48="conciliado")*('Conciliacion de compuestos'!$E$2:$E$48="OK")*((('Conciliacion de compuestos'!$M$2:$M$48=A112)+('Conciliacion de compuestos'!$N$2:$N$48=A112)+('Conciliacion de compuestos'!$O$2:$O$48=A112))&gt;0))),""),"")</f>
        <v/>
      </c>
      <c r="G112" s="11">
        <f>IF(I112="conciliado","conciliado","por revisar")</f>
        <v/>
      </c>
      <c r="H112" s="11" t="inlineStr"/>
      <c r="I112" s="11">
        <f>IF(SUM(COUNTIFS('Conciliacion de compuestos'!$D$2:$D$48,"conciliado",'Conciliacion de compuestos'!$E$2:$E$48,"OK",'Conciliacion de compuestos'!$M$2:$M$48,A112),COUNTIFS('Conciliacion de compuestos'!$D$2:$D$48,"conciliado",'Conciliacion de compuestos'!$E$2:$E$48,"OK",'Conciliacion de compuestos'!$N$2:$N$48,A112),COUNTIFS('Conciliacion de compuestos'!$D$2:$D$48,"conciliado",'Conciliacion de compuestos'!$E$2:$E$48,"OK",'Conciliacion de compuestos'!$O$2:$O$48,A112))&gt;0,"conciliado","por revisar")</f>
        <v/>
      </c>
    </row>
    <row r="113">
      <c r="A113" s="11" t="n">
        <v>129</v>
      </c>
      <c r="B113" s="12" t="n">
        <v>46004</v>
      </c>
      <c r="C113" s="11" t="inlineStr">
        <is>
          <t>maria moncayo</t>
        </is>
      </c>
      <c r="D113" s="13" t="n">
        <v>114000</v>
      </c>
      <c r="E113" s="11">
        <f>IF(G113="conciliado","conciliado",I113)</f>
        <v/>
      </c>
      <c r="F113" s="11">
        <f>IF(SUM(COUNTIFS('Conciliacion de compuestos'!$D$2:$D$48,"conciliado",'Conciliacion de compuestos'!$E$2:$E$48,"OK",'Conciliacion de compuestos'!$M$2:$M$48,A113),COUNTIFS('Conciliacion de compuestos'!$D$2:$D$48,"conciliado",'Conciliacion de compuestos'!$E$2:$E$48,"OK",'Conciliacion de compuestos'!$N$2:$N$48,A113),COUNTIFS('Conciliacion de compuestos'!$D$2:$D$48,"conciliado",'Conciliacion de compuestos'!$E$2:$E$48,"OK",'Conciliacion de compuestos'!$O$2:$O$48,A113))&gt;0,IFERROR(TEXTJOIN(CHAR(10),TRUE,FILTER('Conciliacion de compuestos'!$A$2:$A$48,('Conciliacion de compuestos'!$D$2:$D$48="conciliado")*('Conciliacion de compuestos'!$E$2:$E$48="OK")*((('Conciliacion de compuestos'!$M$2:$M$48=A113)+('Conciliacion de compuestos'!$N$2:$N$48=A113)+('Conciliacion de compuestos'!$O$2:$O$48=A113))&gt;0))),""),"")</f>
        <v/>
      </c>
      <c r="G113" s="11">
        <f>IF(I113="conciliado","conciliado","por revisar")</f>
        <v/>
      </c>
      <c r="H113" s="11" t="inlineStr"/>
      <c r="I113" s="11">
        <f>IF(SUM(COUNTIFS('Conciliacion de compuestos'!$D$2:$D$48,"conciliado",'Conciliacion de compuestos'!$E$2:$E$48,"OK",'Conciliacion de compuestos'!$M$2:$M$48,A113),COUNTIFS('Conciliacion de compuestos'!$D$2:$D$48,"conciliado",'Conciliacion de compuestos'!$E$2:$E$48,"OK",'Conciliacion de compuestos'!$N$2:$N$48,A113),COUNTIFS('Conciliacion de compuestos'!$D$2:$D$48,"conciliado",'Conciliacion de compuestos'!$E$2:$E$48,"OK",'Conciliacion de compuestos'!$O$2:$O$48,A113))&gt;0,"conciliado","por revisar")</f>
        <v/>
      </c>
    </row>
    <row r="114">
      <c r="A114" s="11" t="n">
        <v>122</v>
      </c>
      <c r="B114" s="12" t="n">
        <v>46004</v>
      </c>
      <c r="C114" s="11" t="inlineStr">
        <is>
          <t>giron grajales yulia</t>
        </is>
      </c>
      <c r="D114" s="13" t="n">
        <v>46700</v>
      </c>
      <c r="E114" s="11">
        <f>IF(G114="conciliado","conciliado",I114)</f>
        <v/>
      </c>
      <c r="F114" s="11">
        <f>IF(SUM(COUNTIFS('Conciliacion de compuestos'!$D$2:$D$48,"conciliado",'Conciliacion de compuestos'!$E$2:$E$48,"OK",'Conciliacion de compuestos'!$M$2:$M$48,A114),COUNTIFS('Conciliacion de compuestos'!$D$2:$D$48,"conciliado",'Conciliacion de compuestos'!$E$2:$E$48,"OK",'Conciliacion de compuestos'!$N$2:$N$48,A114),COUNTIFS('Conciliacion de compuestos'!$D$2:$D$48,"conciliado",'Conciliacion de compuestos'!$E$2:$E$48,"OK",'Conciliacion de compuestos'!$O$2:$O$48,A114))&gt;0,IFERROR(TEXTJOIN(CHAR(10),TRUE,FILTER('Conciliacion de compuestos'!$A$2:$A$48,('Conciliacion de compuestos'!$D$2:$D$48="conciliado")*('Conciliacion de compuestos'!$E$2:$E$48="OK")*((('Conciliacion de compuestos'!$M$2:$M$48=A114)+('Conciliacion de compuestos'!$N$2:$N$48=A114)+('Conciliacion de compuestos'!$O$2:$O$48=A114))&gt;0))),""),"")</f>
        <v/>
      </c>
      <c r="G114" s="11">
        <f>IF(I114="conciliado","conciliado","por revisar")</f>
        <v/>
      </c>
      <c r="H114" s="11" t="inlineStr"/>
      <c r="I114" s="11">
        <f>IF(SUM(COUNTIFS('Conciliacion de compuestos'!$D$2:$D$48,"conciliado",'Conciliacion de compuestos'!$E$2:$E$48,"OK",'Conciliacion de compuestos'!$M$2:$M$48,A114),COUNTIFS('Conciliacion de compuestos'!$D$2:$D$48,"conciliado",'Conciliacion de compuestos'!$E$2:$E$48,"OK",'Conciliacion de compuestos'!$N$2:$N$48,A114),COUNTIFS('Conciliacion de compuestos'!$D$2:$D$48,"conciliado",'Conciliacion de compuestos'!$E$2:$E$48,"OK",'Conciliacion de compuestos'!$O$2:$O$48,A114))&gt;0,"conciliado","por revisar")</f>
        <v/>
      </c>
    </row>
    <row r="115">
      <c r="A115" s="11" t="n">
        <v>137</v>
      </c>
      <c r="B115" s="12" t="n">
        <v>46005</v>
      </c>
      <c r="C115" s="11" t="inlineStr">
        <is>
          <t>alvarez chavez crist</t>
        </is>
      </c>
      <c r="D115" s="13" t="n">
        <v>18000</v>
      </c>
      <c r="E115" s="11">
        <f>IF(G115="conciliado","conciliado",I115)</f>
        <v/>
      </c>
      <c r="F115" s="11">
        <f>IF(SUM(COUNTIFS('Conciliacion de compuestos'!$D$2:$D$48,"conciliado",'Conciliacion de compuestos'!$E$2:$E$48,"OK",'Conciliacion de compuestos'!$M$2:$M$48,A115),COUNTIFS('Conciliacion de compuestos'!$D$2:$D$48,"conciliado",'Conciliacion de compuestos'!$E$2:$E$48,"OK",'Conciliacion de compuestos'!$N$2:$N$48,A115),COUNTIFS('Conciliacion de compuestos'!$D$2:$D$48,"conciliado",'Conciliacion de compuestos'!$E$2:$E$48,"OK",'Conciliacion de compuestos'!$O$2:$O$48,A115))&gt;0,IFERROR(TEXTJOIN(CHAR(10),TRUE,FILTER('Conciliacion de compuestos'!$A$2:$A$48,('Conciliacion de compuestos'!$D$2:$D$48="conciliado")*('Conciliacion de compuestos'!$E$2:$E$48="OK")*((('Conciliacion de compuestos'!$M$2:$M$48=A115)+('Conciliacion de compuestos'!$N$2:$N$48=A115)+('Conciliacion de compuestos'!$O$2:$O$48=A115))&gt;0))),""),"")</f>
        <v/>
      </c>
      <c r="G115" s="11">
        <f>IF(I115="conciliado","conciliado","por revisar")</f>
        <v/>
      </c>
      <c r="H115" s="11" t="inlineStr"/>
      <c r="I115" s="11">
        <f>IF(SUM(COUNTIFS('Conciliacion de compuestos'!$D$2:$D$48,"conciliado",'Conciliacion de compuestos'!$E$2:$E$48,"OK",'Conciliacion de compuestos'!$M$2:$M$48,A115),COUNTIFS('Conciliacion de compuestos'!$D$2:$D$48,"conciliado",'Conciliacion de compuestos'!$E$2:$E$48,"OK",'Conciliacion de compuestos'!$N$2:$N$48,A115),COUNTIFS('Conciliacion de compuestos'!$D$2:$D$48,"conciliado",'Conciliacion de compuestos'!$E$2:$E$48,"OK",'Conciliacion de compuestos'!$O$2:$O$48,A115))&gt;0,"conciliado","por revisar")</f>
        <v/>
      </c>
    </row>
    <row r="116">
      <c r="A116" s="11" t="n">
        <v>134</v>
      </c>
      <c r="B116" s="12" t="n">
        <v>46005</v>
      </c>
      <c r="C116" s="11" t="inlineStr">
        <is>
          <t>diana garzon garzon</t>
        </is>
      </c>
      <c r="D116" s="13" t="n">
        <v>40200</v>
      </c>
      <c r="E116" s="11">
        <f>IF(G116="conciliado","conciliado",I116)</f>
        <v/>
      </c>
      <c r="F116" s="11">
        <f>IF(SUM(COUNTIFS('Conciliacion de compuestos'!$D$2:$D$48,"conciliado",'Conciliacion de compuestos'!$E$2:$E$48,"OK",'Conciliacion de compuestos'!$M$2:$M$48,A116),COUNTIFS('Conciliacion de compuestos'!$D$2:$D$48,"conciliado",'Conciliacion de compuestos'!$E$2:$E$48,"OK",'Conciliacion de compuestos'!$N$2:$N$48,A116),COUNTIFS('Conciliacion de compuestos'!$D$2:$D$48,"conciliado",'Conciliacion de compuestos'!$E$2:$E$48,"OK",'Conciliacion de compuestos'!$O$2:$O$48,A116))&gt;0,IFERROR(TEXTJOIN(CHAR(10),TRUE,FILTER('Conciliacion de compuestos'!$A$2:$A$48,('Conciliacion de compuestos'!$D$2:$D$48="conciliado")*('Conciliacion de compuestos'!$E$2:$E$48="OK")*((('Conciliacion de compuestos'!$M$2:$M$48=A116)+('Conciliacion de compuestos'!$N$2:$N$48=A116)+('Conciliacion de compuestos'!$O$2:$O$48=A116))&gt;0))),""),"")</f>
        <v/>
      </c>
      <c r="G116" s="11">
        <f>IF(I116="conciliado","conciliado","por revisar")</f>
        <v/>
      </c>
      <c r="H116" s="11" t="inlineStr"/>
      <c r="I116" s="11">
        <f>IF(SUM(COUNTIFS('Conciliacion de compuestos'!$D$2:$D$48,"conciliado",'Conciliacion de compuestos'!$E$2:$E$48,"OK",'Conciliacion de compuestos'!$M$2:$M$48,A116),COUNTIFS('Conciliacion de compuestos'!$D$2:$D$48,"conciliado",'Conciliacion de compuestos'!$E$2:$E$48,"OK",'Conciliacion de compuestos'!$N$2:$N$48,A116),COUNTIFS('Conciliacion de compuestos'!$D$2:$D$48,"conciliado",'Conciliacion de compuestos'!$E$2:$E$48,"OK",'Conciliacion de compuestos'!$O$2:$O$48,A116))&gt;0,"conciliado","por revisar")</f>
        <v/>
      </c>
    </row>
    <row r="117">
      <c r="A117" s="11" t="n">
        <v>138</v>
      </c>
      <c r="B117" s="12" t="n">
        <v>46006</v>
      </c>
      <c r="C117" s="11" t="inlineStr">
        <is>
          <t>ltda neiva ventas</t>
        </is>
      </c>
      <c r="D117" s="13" t="n">
        <v>-2538696</v>
      </c>
      <c r="E117" s="11">
        <f>IF(G117="conciliado","conciliado",I117)</f>
        <v/>
      </c>
      <c r="F117" s="11" t="inlineStr">
        <is>
          <t>838 | 2025-12-15 | -2,538,696 | entre inte internet terceros transferencias</t>
        </is>
      </c>
      <c r="G117" s="11">
        <f>IF(I117="conciliado","conciliado","por revisar")</f>
        <v/>
      </c>
      <c r="H117" s="11" t="inlineStr"/>
      <c r="I117" s="11" t="inlineStr">
        <is>
          <t>conciliado</t>
        </is>
      </c>
    </row>
    <row r="118">
      <c r="A118" s="11" t="n">
        <v>151</v>
      </c>
      <c r="B118" s="12" t="n">
        <v>46006</v>
      </c>
      <c r="C118" s="11" t="inlineStr">
        <is>
          <t>jorge lopez sanchez</t>
        </is>
      </c>
      <c r="D118" s="13" t="n">
        <v>26600</v>
      </c>
      <c r="E118" s="11">
        <f>IF(G118="conciliado","conciliado",I118)</f>
        <v/>
      </c>
      <c r="F118" s="11">
        <f>IF(SUM(COUNTIFS('Conciliacion de compuestos'!$D$2:$D$48,"conciliado",'Conciliacion de compuestos'!$E$2:$E$48,"OK",'Conciliacion de compuestos'!$M$2:$M$48,A118),COUNTIFS('Conciliacion de compuestos'!$D$2:$D$48,"conciliado",'Conciliacion de compuestos'!$E$2:$E$48,"OK",'Conciliacion de compuestos'!$N$2:$N$48,A118),COUNTIFS('Conciliacion de compuestos'!$D$2:$D$48,"conciliado",'Conciliacion de compuestos'!$E$2:$E$48,"OK",'Conciliacion de compuestos'!$O$2:$O$48,A118))&gt;0,IFERROR(TEXTJOIN(CHAR(10),TRUE,FILTER('Conciliacion de compuestos'!$A$2:$A$48,('Conciliacion de compuestos'!$D$2:$D$48="conciliado")*('Conciliacion de compuestos'!$E$2:$E$48="OK")*((('Conciliacion de compuestos'!$M$2:$M$48=A118)+('Conciliacion de compuestos'!$N$2:$N$48=A118)+('Conciliacion de compuestos'!$O$2:$O$48=A118))&gt;0))),""),"")</f>
        <v/>
      </c>
      <c r="G118" s="11">
        <f>IF(I118="conciliado","conciliado","por revisar")</f>
        <v/>
      </c>
      <c r="H118" s="11" t="inlineStr"/>
      <c r="I118" s="11">
        <f>IF(SUM(COUNTIFS('Conciliacion de compuestos'!$D$2:$D$48,"conciliado",'Conciliacion de compuestos'!$E$2:$E$48,"OK",'Conciliacion de compuestos'!$M$2:$M$48,A118),COUNTIFS('Conciliacion de compuestos'!$D$2:$D$48,"conciliado",'Conciliacion de compuestos'!$E$2:$E$48,"OK",'Conciliacion de compuestos'!$N$2:$N$48,A118),COUNTIFS('Conciliacion de compuestos'!$D$2:$D$48,"conciliado",'Conciliacion de compuestos'!$E$2:$E$48,"OK",'Conciliacion de compuestos'!$O$2:$O$48,A118))&gt;0,"conciliado","por revisar")</f>
        <v/>
      </c>
    </row>
    <row r="119">
      <c r="A119" s="11" t="n">
        <v>143</v>
      </c>
      <c r="B119" s="12" t="n">
        <v>46006</v>
      </c>
      <c r="C119" s="11" t="inlineStr">
        <is>
          <t>carlos cuervo juan v</t>
        </is>
      </c>
      <c r="D119" s="13" t="n">
        <v>126500</v>
      </c>
      <c r="E119" s="11">
        <f>IF(G119="conciliado","conciliado",I119)</f>
        <v/>
      </c>
      <c r="F119" s="11">
        <f>IF(SUM(COUNTIFS('Conciliacion de compuestos'!$D$2:$D$48,"conciliado",'Conciliacion de compuestos'!$E$2:$E$48,"OK",'Conciliacion de compuestos'!$M$2:$M$48,A119),COUNTIFS('Conciliacion de compuestos'!$D$2:$D$48,"conciliado",'Conciliacion de compuestos'!$E$2:$E$48,"OK",'Conciliacion de compuestos'!$N$2:$N$48,A119),COUNTIFS('Conciliacion de compuestos'!$D$2:$D$48,"conciliado",'Conciliacion de compuestos'!$E$2:$E$48,"OK",'Conciliacion de compuestos'!$O$2:$O$48,A119))&gt;0,IFERROR(TEXTJOIN(CHAR(10),TRUE,FILTER('Conciliacion de compuestos'!$A$2:$A$48,('Conciliacion de compuestos'!$D$2:$D$48="conciliado")*('Conciliacion de compuestos'!$E$2:$E$48="OK")*((('Conciliacion de compuestos'!$M$2:$M$48=A119)+('Conciliacion de compuestos'!$N$2:$N$48=A119)+('Conciliacion de compuestos'!$O$2:$O$48=A119))&gt;0))),""),"")</f>
        <v/>
      </c>
      <c r="G119" s="11">
        <f>IF(I119="conciliado","conciliado","por revisar")</f>
        <v/>
      </c>
      <c r="H119" s="11" t="inlineStr"/>
      <c r="I119" s="11">
        <f>IF(SUM(COUNTIFS('Conciliacion de compuestos'!$D$2:$D$48,"conciliado",'Conciliacion de compuestos'!$E$2:$E$48,"OK",'Conciliacion de compuestos'!$M$2:$M$48,A119),COUNTIFS('Conciliacion de compuestos'!$D$2:$D$48,"conciliado",'Conciliacion de compuestos'!$E$2:$E$48,"OK",'Conciliacion de compuestos'!$N$2:$N$48,A119),COUNTIFS('Conciliacion de compuestos'!$D$2:$D$48,"conciliado",'Conciliacion de compuestos'!$E$2:$E$48,"OK",'Conciliacion de compuestos'!$O$2:$O$48,A119))&gt;0,"conciliado","por revisar")</f>
        <v/>
      </c>
    </row>
    <row r="120">
      <c r="A120" s="11" t="n">
        <v>149</v>
      </c>
      <c r="B120" s="12" t="n">
        <v>46006</v>
      </c>
      <c r="C120" s="11" t="inlineStr">
        <is>
          <t>cano martines sebast</t>
        </is>
      </c>
      <c r="D120" s="13" t="n">
        <v>32600</v>
      </c>
      <c r="E120" s="11">
        <f>IF(G120="conciliado","conciliado",I120)</f>
        <v/>
      </c>
      <c r="F120" s="11">
        <f>IF(SUM(COUNTIFS('Conciliacion de compuestos'!$D$2:$D$48,"conciliado",'Conciliacion de compuestos'!$E$2:$E$48,"OK",'Conciliacion de compuestos'!$M$2:$M$48,A120),COUNTIFS('Conciliacion de compuestos'!$D$2:$D$48,"conciliado",'Conciliacion de compuestos'!$E$2:$E$48,"OK",'Conciliacion de compuestos'!$N$2:$N$48,A120),COUNTIFS('Conciliacion de compuestos'!$D$2:$D$48,"conciliado",'Conciliacion de compuestos'!$E$2:$E$48,"OK",'Conciliacion de compuestos'!$O$2:$O$48,A120))&gt;0,IFERROR(TEXTJOIN(CHAR(10),TRUE,FILTER('Conciliacion de compuestos'!$A$2:$A$48,('Conciliacion de compuestos'!$D$2:$D$48="conciliado")*('Conciliacion de compuestos'!$E$2:$E$48="OK")*((('Conciliacion de compuestos'!$M$2:$M$48=A120)+('Conciliacion de compuestos'!$N$2:$N$48=A120)+('Conciliacion de compuestos'!$O$2:$O$48=A120))&gt;0))),""),"")</f>
        <v/>
      </c>
      <c r="G120" s="11">
        <f>IF(I120="conciliado","conciliado","por revisar")</f>
        <v/>
      </c>
      <c r="H120" s="11" t="inlineStr"/>
      <c r="I120" s="11">
        <f>IF(SUM(COUNTIFS('Conciliacion de compuestos'!$D$2:$D$48,"conciliado",'Conciliacion de compuestos'!$E$2:$E$48,"OK",'Conciliacion de compuestos'!$M$2:$M$48,A120),COUNTIFS('Conciliacion de compuestos'!$D$2:$D$48,"conciliado",'Conciliacion de compuestos'!$E$2:$E$48,"OK",'Conciliacion de compuestos'!$N$2:$N$48,A120),COUNTIFS('Conciliacion de compuestos'!$D$2:$D$48,"conciliado",'Conciliacion de compuestos'!$E$2:$E$48,"OK",'Conciliacion de compuestos'!$O$2:$O$48,A120))&gt;0,"conciliado","por revisar")</f>
        <v/>
      </c>
    </row>
    <row r="121">
      <c r="A121" s="11" t="n">
        <v>147</v>
      </c>
      <c r="B121" s="12" t="n">
        <v>46006</v>
      </c>
      <c r="C121" s="11" t="inlineStr">
        <is>
          <t>arboleda burbano oma</t>
        </is>
      </c>
      <c r="D121" s="13" t="n">
        <v>39400</v>
      </c>
      <c r="E121" s="11">
        <f>IF(G121="conciliado","conciliado",I121)</f>
        <v/>
      </c>
      <c r="F121" s="11">
        <f>IF(SUM(COUNTIFS('Conciliacion de compuestos'!$D$2:$D$48,"conciliado",'Conciliacion de compuestos'!$E$2:$E$48,"OK",'Conciliacion de compuestos'!$M$2:$M$48,A121),COUNTIFS('Conciliacion de compuestos'!$D$2:$D$48,"conciliado",'Conciliacion de compuestos'!$E$2:$E$48,"OK",'Conciliacion de compuestos'!$N$2:$N$48,A121),COUNTIFS('Conciliacion de compuestos'!$D$2:$D$48,"conciliado",'Conciliacion de compuestos'!$E$2:$E$48,"OK",'Conciliacion de compuestos'!$O$2:$O$48,A121))&gt;0,IFERROR(TEXTJOIN(CHAR(10),TRUE,FILTER('Conciliacion de compuestos'!$A$2:$A$48,('Conciliacion de compuestos'!$D$2:$D$48="conciliado")*('Conciliacion de compuestos'!$E$2:$E$48="OK")*((('Conciliacion de compuestos'!$M$2:$M$48=A121)+('Conciliacion de compuestos'!$N$2:$N$48=A121)+('Conciliacion de compuestos'!$O$2:$O$48=A121))&gt;0))),""),"")</f>
        <v/>
      </c>
      <c r="G121" s="11">
        <f>IF(I121="conciliado","conciliado","por revisar")</f>
        <v/>
      </c>
      <c r="H121" s="11" t="inlineStr"/>
      <c r="I121" s="11">
        <f>IF(SUM(COUNTIFS('Conciliacion de compuestos'!$D$2:$D$48,"conciliado",'Conciliacion de compuestos'!$E$2:$E$48,"OK",'Conciliacion de compuestos'!$M$2:$M$48,A121),COUNTIFS('Conciliacion de compuestos'!$D$2:$D$48,"conciliado",'Conciliacion de compuestos'!$E$2:$E$48,"OK",'Conciliacion de compuestos'!$N$2:$N$48,A121),COUNTIFS('Conciliacion de compuestos'!$D$2:$D$48,"conciliado",'Conciliacion de compuestos'!$E$2:$E$48,"OK",'Conciliacion de compuestos'!$O$2:$O$48,A121))&gt;0,"conciliado","por revisar")</f>
        <v/>
      </c>
    </row>
    <row r="122">
      <c r="A122" s="11" t="n">
        <v>144</v>
      </c>
      <c r="B122" s="12" t="n">
        <v>46006</v>
      </c>
      <c r="C122" s="11" t="inlineStr">
        <is>
          <t>caicedo car jimenez</t>
        </is>
      </c>
      <c r="D122" s="13" t="n">
        <v>303784</v>
      </c>
      <c r="E122" s="11">
        <f>IF(G122="conciliado","conciliado",I122)</f>
        <v/>
      </c>
      <c r="F122" s="11">
        <f>IF(SUM(COUNTIFS('Conciliacion de compuestos'!$D$2:$D$48,"conciliado",'Conciliacion de compuestos'!$E$2:$E$48,"OK",'Conciliacion de compuestos'!$M$2:$M$48,A122),COUNTIFS('Conciliacion de compuestos'!$D$2:$D$48,"conciliado",'Conciliacion de compuestos'!$E$2:$E$48,"OK",'Conciliacion de compuestos'!$N$2:$N$48,A122),COUNTIFS('Conciliacion de compuestos'!$D$2:$D$48,"conciliado",'Conciliacion de compuestos'!$E$2:$E$48,"OK",'Conciliacion de compuestos'!$O$2:$O$48,A122))&gt;0,IFERROR(TEXTJOIN(CHAR(10),TRUE,FILTER('Conciliacion de compuestos'!$A$2:$A$48,('Conciliacion de compuestos'!$D$2:$D$48="conciliado")*('Conciliacion de compuestos'!$E$2:$E$48="OK")*((('Conciliacion de compuestos'!$M$2:$M$48=A122)+('Conciliacion de compuestos'!$N$2:$N$48=A122)+('Conciliacion de compuestos'!$O$2:$O$48=A122))&gt;0))),""),"")</f>
        <v/>
      </c>
      <c r="G122" s="11">
        <f>IF(I122="conciliado","conciliado","por revisar")</f>
        <v/>
      </c>
      <c r="H122" s="11" t="inlineStr"/>
      <c r="I122" s="11">
        <f>IF(SUM(COUNTIFS('Conciliacion de compuestos'!$D$2:$D$48,"conciliado",'Conciliacion de compuestos'!$E$2:$E$48,"OK",'Conciliacion de compuestos'!$M$2:$M$48,A122),COUNTIFS('Conciliacion de compuestos'!$D$2:$D$48,"conciliado",'Conciliacion de compuestos'!$E$2:$E$48,"OK",'Conciliacion de compuestos'!$N$2:$N$48,A122),COUNTIFS('Conciliacion de compuestos'!$D$2:$D$48,"conciliado",'Conciliacion de compuestos'!$E$2:$E$48,"OK",'Conciliacion de compuestos'!$O$2:$O$48,A122))&gt;0,"conciliado","por revisar")</f>
        <v/>
      </c>
    </row>
    <row r="123">
      <c r="A123" s="11" t="n">
        <v>142</v>
      </c>
      <c r="B123" s="12" t="n">
        <v>46006</v>
      </c>
      <c r="C123" s="11" t="inlineStr">
        <is>
          <t>a cruz garces manuel</t>
        </is>
      </c>
      <c r="D123" s="13" t="n">
        <v>45600</v>
      </c>
      <c r="E123" s="11">
        <f>IF(G123="conciliado","conciliado",I123)</f>
        <v/>
      </c>
      <c r="F123" s="11">
        <f>IF(SUM(COUNTIFS('Conciliacion de compuestos'!$D$2:$D$48,"conciliado",'Conciliacion de compuestos'!$E$2:$E$48,"OK",'Conciliacion de compuestos'!$M$2:$M$48,A123),COUNTIFS('Conciliacion de compuestos'!$D$2:$D$48,"conciliado",'Conciliacion de compuestos'!$E$2:$E$48,"OK",'Conciliacion de compuestos'!$N$2:$N$48,A123),COUNTIFS('Conciliacion de compuestos'!$D$2:$D$48,"conciliado",'Conciliacion de compuestos'!$E$2:$E$48,"OK",'Conciliacion de compuestos'!$O$2:$O$48,A123))&gt;0,IFERROR(TEXTJOIN(CHAR(10),TRUE,FILTER('Conciliacion de compuestos'!$A$2:$A$48,('Conciliacion de compuestos'!$D$2:$D$48="conciliado")*('Conciliacion de compuestos'!$E$2:$E$48="OK")*((('Conciliacion de compuestos'!$M$2:$M$48=A123)+('Conciliacion de compuestos'!$N$2:$N$48=A123)+('Conciliacion de compuestos'!$O$2:$O$48=A123))&gt;0))),""),"")</f>
        <v/>
      </c>
      <c r="G123" s="11">
        <f>IF(I123="conciliado","conciliado","por revisar")</f>
        <v/>
      </c>
      <c r="H123" s="11" t="inlineStr"/>
      <c r="I123" s="11">
        <f>IF(SUM(COUNTIFS('Conciliacion de compuestos'!$D$2:$D$48,"conciliado",'Conciliacion de compuestos'!$E$2:$E$48,"OK",'Conciliacion de compuestos'!$M$2:$M$48,A123),COUNTIFS('Conciliacion de compuestos'!$D$2:$D$48,"conciliado",'Conciliacion de compuestos'!$E$2:$E$48,"OK",'Conciliacion de compuestos'!$N$2:$N$48,A123),COUNTIFS('Conciliacion de compuestos'!$D$2:$D$48,"conciliado",'Conciliacion de compuestos'!$E$2:$E$48,"OK",'Conciliacion de compuestos'!$O$2:$O$48,A123))&gt;0,"conciliado","por revisar")</f>
        <v/>
      </c>
    </row>
    <row r="124">
      <c r="A124" s="11" t="n">
        <v>141</v>
      </c>
      <c r="B124" s="12" t="n">
        <v>46006</v>
      </c>
      <c r="C124" s="11" t="inlineStr">
        <is>
          <t>alexand aragon rubio</t>
        </is>
      </c>
      <c r="D124" s="13" t="n">
        <v>321600</v>
      </c>
      <c r="E124" s="11">
        <f>IF(G124="conciliado","conciliado",I124)</f>
        <v/>
      </c>
      <c r="F124" s="11">
        <f>IF(SUM(COUNTIFS('Conciliacion de compuestos'!$D$2:$D$48,"conciliado",'Conciliacion de compuestos'!$E$2:$E$48,"OK",'Conciliacion de compuestos'!$M$2:$M$48,A124),COUNTIFS('Conciliacion de compuestos'!$D$2:$D$48,"conciliado",'Conciliacion de compuestos'!$E$2:$E$48,"OK",'Conciliacion de compuestos'!$N$2:$N$48,A124),COUNTIFS('Conciliacion de compuestos'!$D$2:$D$48,"conciliado",'Conciliacion de compuestos'!$E$2:$E$48,"OK",'Conciliacion de compuestos'!$O$2:$O$48,A124))&gt;0,IFERROR(TEXTJOIN(CHAR(10),TRUE,FILTER('Conciliacion de compuestos'!$A$2:$A$48,('Conciliacion de compuestos'!$D$2:$D$48="conciliado")*('Conciliacion de compuestos'!$E$2:$E$48="OK")*((('Conciliacion de compuestos'!$M$2:$M$48=A124)+('Conciliacion de compuestos'!$N$2:$N$48=A124)+('Conciliacion de compuestos'!$O$2:$O$48=A124))&gt;0))),""),"")</f>
        <v/>
      </c>
      <c r="G124" s="11">
        <f>IF(I124="conciliado","conciliado","por revisar")</f>
        <v/>
      </c>
      <c r="H124" s="11" t="inlineStr"/>
      <c r="I124" s="11">
        <f>IF(SUM(COUNTIFS('Conciliacion de compuestos'!$D$2:$D$48,"conciliado",'Conciliacion de compuestos'!$E$2:$E$48,"OK",'Conciliacion de compuestos'!$M$2:$M$48,A124),COUNTIFS('Conciliacion de compuestos'!$D$2:$D$48,"conciliado",'Conciliacion de compuestos'!$E$2:$E$48,"OK",'Conciliacion de compuestos'!$N$2:$N$48,A124),COUNTIFS('Conciliacion de compuestos'!$D$2:$D$48,"conciliado",'Conciliacion de compuestos'!$E$2:$E$48,"OK",'Conciliacion de compuestos'!$O$2:$O$48,A124))&gt;0,"conciliado","por revisar")</f>
        <v/>
      </c>
    </row>
    <row r="125">
      <c r="A125" s="11" t="n">
        <v>148</v>
      </c>
      <c r="B125" s="12" t="n">
        <v>46006</v>
      </c>
      <c r="C125" s="11" t="inlineStr">
        <is>
          <t>guzman hortua victor</t>
        </is>
      </c>
      <c r="D125" s="13" t="n">
        <v>63236</v>
      </c>
      <c r="E125" s="11">
        <f>IF(G125="conciliado","conciliado",I125)</f>
        <v/>
      </c>
      <c r="F125" s="11">
        <f>IF(SUM(COUNTIFS('Conciliacion de compuestos'!$D$2:$D$48,"conciliado",'Conciliacion de compuestos'!$E$2:$E$48,"OK",'Conciliacion de compuestos'!$M$2:$M$48,A125),COUNTIFS('Conciliacion de compuestos'!$D$2:$D$48,"conciliado",'Conciliacion de compuestos'!$E$2:$E$48,"OK",'Conciliacion de compuestos'!$N$2:$N$48,A125),COUNTIFS('Conciliacion de compuestos'!$D$2:$D$48,"conciliado",'Conciliacion de compuestos'!$E$2:$E$48,"OK",'Conciliacion de compuestos'!$O$2:$O$48,A125))&gt;0,IFERROR(TEXTJOIN(CHAR(10),TRUE,FILTER('Conciliacion de compuestos'!$A$2:$A$48,('Conciliacion de compuestos'!$D$2:$D$48="conciliado")*('Conciliacion de compuestos'!$E$2:$E$48="OK")*((('Conciliacion de compuestos'!$M$2:$M$48=A125)+('Conciliacion de compuestos'!$N$2:$N$48=A125)+('Conciliacion de compuestos'!$O$2:$O$48=A125))&gt;0))),""),"")</f>
        <v/>
      </c>
      <c r="G125" s="11">
        <f>IF(I125="conciliado","conciliado","por revisar")</f>
        <v/>
      </c>
      <c r="H125" s="11" t="inlineStr"/>
      <c r="I125" s="11">
        <f>IF(SUM(COUNTIFS('Conciliacion de compuestos'!$D$2:$D$48,"conciliado",'Conciliacion de compuestos'!$E$2:$E$48,"OK",'Conciliacion de compuestos'!$M$2:$M$48,A125),COUNTIFS('Conciliacion de compuestos'!$D$2:$D$48,"conciliado",'Conciliacion de compuestos'!$E$2:$E$48,"OK",'Conciliacion de compuestos'!$N$2:$N$48,A125),COUNTIFS('Conciliacion de compuestos'!$D$2:$D$48,"conciliado",'Conciliacion de compuestos'!$E$2:$E$48,"OK",'Conciliacion de compuestos'!$O$2:$O$48,A125))&gt;0,"conciliado","por revisar")</f>
        <v/>
      </c>
    </row>
    <row r="126">
      <c r="A126" s="11" t="n">
        <v>145</v>
      </c>
      <c r="B126" s="12" t="n">
        <v>46006</v>
      </c>
      <c r="C126" s="11" t="inlineStr">
        <is>
          <t>betancourt cano luz</t>
        </is>
      </c>
      <c r="D126" s="13" t="n">
        <v>27600</v>
      </c>
      <c r="E126" s="11">
        <f>IF(G126="conciliado","conciliado",I126)</f>
        <v/>
      </c>
      <c r="F126" s="11">
        <f>IF(SUM(COUNTIFS('Conciliacion de compuestos'!$D$2:$D$48,"conciliado",'Conciliacion de compuestos'!$E$2:$E$48,"OK",'Conciliacion de compuestos'!$M$2:$M$48,A126),COUNTIFS('Conciliacion de compuestos'!$D$2:$D$48,"conciliado",'Conciliacion de compuestos'!$E$2:$E$48,"OK",'Conciliacion de compuestos'!$N$2:$N$48,A126),COUNTIFS('Conciliacion de compuestos'!$D$2:$D$48,"conciliado",'Conciliacion de compuestos'!$E$2:$E$48,"OK",'Conciliacion de compuestos'!$O$2:$O$48,A126))&gt;0,IFERROR(TEXTJOIN(CHAR(10),TRUE,FILTER('Conciliacion de compuestos'!$A$2:$A$48,('Conciliacion de compuestos'!$D$2:$D$48="conciliado")*('Conciliacion de compuestos'!$E$2:$E$48="OK")*((('Conciliacion de compuestos'!$M$2:$M$48=A126)+('Conciliacion de compuestos'!$N$2:$N$48=A126)+('Conciliacion de compuestos'!$O$2:$O$48=A126))&gt;0))),""),"")</f>
        <v/>
      </c>
      <c r="G126" s="11">
        <f>IF(I126="conciliado","conciliado","por revisar")</f>
        <v/>
      </c>
      <c r="H126" s="11" t="inlineStr"/>
      <c r="I126" s="11">
        <f>IF(SUM(COUNTIFS('Conciliacion de compuestos'!$D$2:$D$48,"conciliado",'Conciliacion de compuestos'!$E$2:$E$48,"OK",'Conciliacion de compuestos'!$M$2:$M$48,A126),COUNTIFS('Conciliacion de compuestos'!$D$2:$D$48,"conciliado",'Conciliacion de compuestos'!$E$2:$E$48,"OK",'Conciliacion de compuestos'!$N$2:$N$48,A126),COUNTIFS('Conciliacion de compuestos'!$D$2:$D$48,"conciliado",'Conciliacion de compuestos'!$E$2:$E$48,"OK",'Conciliacion de compuestos'!$O$2:$O$48,A126))&gt;0,"conciliado","por revisar")</f>
        <v/>
      </c>
    </row>
    <row r="127">
      <c r="A127" s="11" t="n">
        <v>154</v>
      </c>
      <c r="B127" s="12" t="n">
        <v>46007</v>
      </c>
      <c r="C127" s="11" t="inlineStr">
        <is>
          <t>ciro gonzalez santos</t>
        </is>
      </c>
      <c r="D127" s="13" t="n">
        <v>44900</v>
      </c>
      <c r="E127" s="11">
        <f>IF(G127="conciliado","conciliado",I127)</f>
        <v/>
      </c>
      <c r="F127" s="11">
        <f>IF(SUM(COUNTIFS('Conciliacion de compuestos'!$D$2:$D$48,"conciliado",'Conciliacion de compuestos'!$E$2:$E$48,"OK",'Conciliacion de compuestos'!$M$2:$M$48,A127),COUNTIFS('Conciliacion de compuestos'!$D$2:$D$48,"conciliado",'Conciliacion de compuestos'!$E$2:$E$48,"OK",'Conciliacion de compuestos'!$N$2:$N$48,A127),COUNTIFS('Conciliacion de compuestos'!$D$2:$D$48,"conciliado",'Conciliacion de compuestos'!$E$2:$E$48,"OK",'Conciliacion de compuestos'!$O$2:$O$48,A127))&gt;0,IFERROR(TEXTJOIN(CHAR(10),TRUE,FILTER('Conciliacion de compuestos'!$A$2:$A$48,('Conciliacion de compuestos'!$D$2:$D$48="conciliado")*('Conciliacion de compuestos'!$E$2:$E$48="OK")*((('Conciliacion de compuestos'!$M$2:$M$48=A127)+('Conciliacion de compuestos'!$N$2:$N$48=A127)+('Conciliacion de compuestos'!$O$2:$O$48=A127))&gt;0))),""),"")</f>
        <v/>
      </c>
      <c r="G127" s="11">
        <f>IF(I127="conciliado","conciliado","por revisar")</f>
        <v/>
      </c>
      <c r="H127" s="11" t="inlineStr"/>
      <c r="I127" s="11">
        <f>IF(SUM(COUNTIFS('Conciliacion de compuestos'!$D$2:$D$48,"conciliado",'Conciliacion de compuestos'!$E$2:$E$48,"OK",'Conciliacion de compuestos'!$M$2:$M$48,A127),COUNTIFS('Conciliacion de compuestos'!$D$2:$D$48,"conciliado",'Conciliacion de compuestos'!$E$2:$E$48,"OK",'Conciliacion de compuestos'!$N$2:$N$48,A127),COUNTIFS('Conciliacion de compuestos'!$D$2:$D$48,"conciliado",'Conciliacion de compuestos'!$E$2:$E$48,"OK",'Conciliacion de compuestos'!$O$2:$O$48,A127))&gt;0,"conciliado","por revisar")</f>
        <v/>
      </c>
    </row>
    <row r="128">
      <c r="A128" s="11" t="n">
        <v>156</v>
      </c>
      <c r="B128" s="12" t="n">
        <v>46007</v>
      </c>
      <c r="C128" s="11" t="inlineStr">
        <is>
          <t>al enriquez yaguapaz</t>
        </is>
      </c>
      <c r="D128" s="13" t="n">
        <v>36284</v>
      </c>
      <c r="E128" s="11">
        <f>IF(G128="conciliado","conciliado",I128)</f>
        <v/>
      </c>
      <c r="F128" s="11">
        <f>IF(SUM(COUNTIFS('Conciliacion de compuestos'!$D$2:$D$48,"conciliado",'Conciliacion de compuestos'!$E$2:$E$48,"OK",'Conciliacion de compuestos'!$M$2:$M$48,A128),COUNTIFS('Conciliacion de compuestos'!$D$2:$D$48,"conciliado",'Conciliacion de compuestos'!$E$2:$E$48,"OK",'Conciliacion de compuestos'!$N$2:$N$48,A128),COUNTIFS('Conciliacion de compuestos'!$D$2:$D$48,"conciliado",'Conciliacion de compuestos'!$E$2:$E$48,"OK",'Conciliacion de compuestos'!$O$2:$O$48,A128))&gt;0,IFERROR(TEXTJOIN(CHAR(10),TRUE,FILTER('Conciliacion de compuestos'!$A$2:$A$48,('Conciliacion de compuestos'!$D$2:$D$48="conciliado")*('Conciliacion de compuestos'!$E$2:$E$48="OK")*((('Conciliacion de compuestos'!$M$2:$M$48=A128)+('Conciliacion de compuestos'!$N$2:$N$48=A128)+('Conciliacion de compuestos'!$O$2:$O$48=A128))&gt;0))),""),"")</f>
        <v/>
      </c>
      <c r="G128" s="11">
        <f>IF(I128="conciliado","conciliado","por revisar")</f>
        <v/>
      </c>
      <c r="H128" s="11" t="inlineStr"/>
      <c r="I128" s="11">
        <f>IF(SUM(COUNTIFS('Conciliacion de compuestos'!$D$2:$D$48,"conciliado",'Conciliacion de compuestos'!$E$2:$E$48,"OK",'Conciliacion de compuestos'!$M$2:$M$48,A128),COUNTIFS('Conciliacion de compuestos'!$D$2:$D$48,"conciliado",'Conciliacion de compuestos'!$E$2:$E$48,"OK",'Conciliacion de compuestos'!$N$2:$N$48,A128),COUNTIFS('Conciliacion de compuestos'!$D$2:$D$48,"conciliado",'Conciliacion de compuestos'!$E$2:$E$48,"OK",'Conciliacion de compuestos'!$O$2:$O$48,A128))&gt;0,"conciliado","por revisar")</f>
        <v/>
      </c>
    </row>
    <row r="129">
      <c r="A129" s="11" t="n">
        <v>157</v>
      </c>
      <c r="B129" s="12" t="n">
        <v>46007</v>
      </c>
      <c r="C129" s="11" t="inlineStr">
        <is>
          <t>luna munoz pa sandra</t>
        </is>
      </c>
      <c r="D129" s="13" t="n">
        <v>226800</v>
      </c>
      <c r="E129" s="11">
        <f>IF(G129="conciliado","conciliado",I129)</f>
        <v/>
      </c>
      <c r="F129" s="11">
        <f>IF(SUM(COUNTIFS('Conciliacion de compuestos'!$D$2:$D$48,"conciliado",'Conciliacion de compuestos'!$E$2:$E$48,"OK",'Conciliacion de compuestos'!$M$2:$M$48,A129),COUNTIFS('Conciliacion de compuestos'!$D$2:$D$48,"conciliado",'Conciliacion de compuestos'!$E$2:$E$48,"OK",'Conciliacion de compuestos'!$N$2:$N$48,A129),COUNTIFS('Conciliacion de compuestos'!$D$2:$D$48,"conciliado",'Conciliacion de compuestos'!$E$2:$E$48,"OK",'Conciliacion de compuestos'!$O$2:$O$48,A129))&gt;0,IFERROR(TEXTJOIN(CHAR(10),TRUE,FILTER('Conciliacion de compuestos'!$A$2:$A$48,('Conciliacion de compuestos'!$D$2:$D$48="conciliado")*('Conciliacion de compuestos'!$E$2:$E$48="OK")*((('Conciliacion de compuestos'!$M$2:$M$48=A129)+('Conciliacion de compuestos'!$N$2:$N$48=A129)+('Conciliacion de compuestos'!$O$2:$O$48=A129))&gt;0))),""),"")</f>
        <v/>
      </c>
      <c r="G129" s="11">
        <f>IF(I129="conciliado","conciliado","por revisar")</f>
        <v/>
      </c>
      <c r="H129" s="11" t="inlineStr"/>
      <c r="I129" s="11">
        <f>IF(SUM(COUNTIFS('Conciliacion de compuestos'!$D$2:$D$48,"conciliado",'Conciliacion de compuestos'!$E$2:$E$48,"OK",'Conciliacion de compuestos'!$M$2:$M$48,A129),COUNTIFS('Conciliacion de compuestos'!$D$2:$D$48,"conciliado",'Conciliacion de compuestos'!$E$2:$E$48,"OK",'Conciliacion de compuestos'!$N$2:$N$48,A129),COUNTIFS('Conciliacion de compuestos'!$D$2:$D$48,"conciliado",'Conciliacion de compuestos'!$E$2:$E$48,"OK",'Conciliacion de compuestos'!$O$2:$O$48,A129))&gt;0,"conciliado","por revisar")</f>
        <v/>
      </c>
    </row>
    <row r="130">
      <c r="A130" s="11" t="n">
        <v>155</v>
      </c>
      <c r="B130" s="12" t="n">
        <v>46007</v>
      </c>
      <c r="C130" s="11" t="inlineStr">
        <is>
          <t>ka maturana renteria</t>
        </is>
      </c>
      <c r="D130" s="13" t="n">
        <v>132500</v>
      </c>
      <c r="E130" s="11">
        <f>IF(G130="conciliado","conciliado",I130)</f>
        <v/>
      </c>
      <c r="F130" s="11">
        <f>IF(SUM(COUNTIFS('Conciliacion de compuestos'!$D$2:$D$48,"conciliado",'Conciliacion de compuestos'!$E$2:$E$48,"OK",'Conciliacion de compuestos'!$M$2:$M$48,A130),COUNTIFS('Conciliacion de compuestos'!$D$2:$D$48,"conciliado",'Conciliacion de compuestos'!$E$2:$E$48,"OK",'Conciliacion de compuestos'!$N$2:$N$48,A130),COUNTIFS('Conciliacion de compuestos'!$D$2:$D$48,"conciliado",'Conciliacion de compuestos'!$E$2:$E$48,"OK",'Conciliacion de compuestos'!$O$2:$O$48,A130))&gt;0,IFERROR(TEXTJOIN(CHAR(10),TRUE,FILTER('Conciliacion de compuestos'!$A$2:$A$48,('Conciliacion de compuestos'!$D$2:$D$48="conciliado")*('Conciliacion de compuestos'!$E$2:$E$48="OK")*((('Conciliacion de compuestos'!$M$2:$M$48=A130)+('Conciliacion de compuestos'!$N$2:$N$48=A130)+('Conciliacion de compuestos'!$O$2:$O$48=A130))&gt;0))),""),"")</f>
        <v/>
      </c>
      <c r="G130" s="11">
        <f>IF(I130="conciliado","conciliado","por revisar")</f>
        <v/>
      </c>
      <c r="H130" s="11" t="inlineStr"/>
      <c r="I130" s="11">
        <f>IF(SUM(COUNTIFS('Conciliacion de compuestos'!$D$2:$D$48,"conciliado",'Conciliacion de compuestos'!$E$2:$E$48,"OK",'Conciliacion de compuestos'!$M$2:$M$48,A130),COUNTIFS('Conciliacion de compuestos'!$D$2:$D$48,"conciliado",'Conciliacion de compuestos'!$E$2:$E$48,"OK",'Conciliacion de compuestos'!$N$2:$N$48,A130),COUNTIFS('Conciliacion de compuestos'!$D$2:$D$48,"conciliado",'Conciliacion de compuestos'!$E$2:$E$48,"OK",'Conciliacion de compuestos'!$O$2:$O$48,A130))&gt;0,"conciliado","por revisar")</f>
        <v/>
      </c>
    </row>
    <row r="131">
      <c r="A131" s="11" t="n">
        <v>159</v>
      </c>
      <c r="B131" s="12" t="n">
        <v>46008</v>
      </c>
      <c r="C131" s="11" t="inlineStr">
        <is>
          <t>aportes en linea s</t>
        </is>
      </c>
      <c r="D131" s="13" t="n">
        <v>-2592200</v>
      </c>
      <c r="E131" s="11">
        <f>IF(G131="conciliado","conciliado",I131)</f>
        <v/>
      </c>
      <c r="F131" s="11" t="inlineStr">
        <is>
          <t>945 | 2025-12-17 | -2,592,200 | compra internet nd por pse</t>
        </is>
      </c>
      <c r="G131" s="11">
        <f>IF(I131="conciliado","conciliado","por revisar")</f>
        <v/>
      </c>
      <c r="H131" s="11" t="inlineStr"/>
      <c r="I131" s="11" t="inlineStr">
        <is>
          <t>conciliado</t>
        </is>
      </c>
    </row>
    <row r="132">
      <c r="A132" s="11" t="n">
        <v>173</v>
      </c>
      <c r="B132" s="12" t="n">
        <v>46008</v>
      </c>
      <c r="C132" s="11" t="inlineStr">
        <is>
          <t>industriales meta</t>
        </is>
      </c>
      <c r="D132" s="13" t="n">
        <v>156000</v>
      </c>
      <c r="E132" s="11">
        <f>IF(G132="conciliado","conciliado",I132)</f>
        <v/>
      </c>
      <c r="F132" s="11">
        <f>IF(SUM(COUNTIFS('Conciliacion de compuestos'!$D$2:$D$48,"conciliado",'Conciliacion de compuestos'!$E$2:$E$48,"OK",'Conciliacion de compuestos'!$M$2:$M$48,A132),COUNTIFS('Conciliacion de compuestos'!$D$2:$D$48,"conciliado",'Conciliacion de compuestos'!$E$2:$E$48,"OK",'Conciliacion de compuestos'!$N$2:$N$48,A132),COUNTIFS('Conciliacion de compuestos'!$D$2:$D$48,"conciliado",'Conciliacion de compuestos'!$E$2:$E$48,"OK",'Conciliacion de compuestos'!$O$2:$O$48,A132))&gt;0,IFERROR(TEXTJOIN(CHAR(10),TRUE,FILTER('Conciliacion de compuestos'!$A$2:$A$48,('Conciliacion de compuestos'!$D$2:$D$48="conciliado")*('Conciliacion de compuestos'!$E$2:$E$48="OK")*((('Conciliacion de compuestos'!$M$2:$M$48=A132)+('Conciliacion de compuestos'!$N$2:$N$48=A132)+('Conciliacion de compuestos'!$O$2:$O$48=A132))&gt;0))),""),"")</f>
        <v/>
      </c>
      <c r="G132" s="11">
        <f>IF(I132="conciliado","conciliado","por revisar")</f>
        <v/>
      </c>
      <c r="H132" s="11" t="inlineStr"/>
      <c r="I132" s="11">
        <f>IF(SUM(COUNTIFS('Conciliacion de compuestos'!$D$2:$D$48,"conciliado",'Conciliacion de compuestos'!$E$2:$E$48,"OK",'Conciliacion de compuestos'!$M$2:$M$48,A132),COUNTIFS('Conciliacion de compuestos'!$D$2:$D$48,"conciliado",'Conciliacion de compuestos'!$E$2:$E$48,"OK",'Conciliacion de compuestos'!$N$2:$N$48,A132),COUNTIFS('Conciliacion de compuestos'!$D$2:$D$48,"conciliado",'Conciliacion de compuestos'!$E$2:$E$48,"OK",'Conciliacion de compuestos'!$O$2:$O$48,A132))&gt;0,"conciliado","por revisar")</f>
        <v/>
      </c>
    </row>
    <row r="133">
      <c r="A133" s="11" t="n">
        <v>162</v>
      </c>
      <c r="B133" s="12" t="n">
        <v>46008</v>
      </c>
      <c r="C133" s="11" t="inlineStr">
        <is>
          <t>edis garcia martinez</t>
        </is>
      </c>
      <c r="D133" s="13" t="n">
        <v>90800</v>
      </c>
      <c r="E133" s="11">
        <f>IF(G133="conciliado","conciliado",I133)</f>
        <v/>
      </c>
      <c r="F133" s="11">
        <f>IF(SUM(COUNTIFS('Conciliacion de compuestos'!$D$2:$D$48,"conciliado",'Conciliacion de compuestos'!$E$2:$E$48,"OK",'Conciliacion de compuestos'!$M$2:$M$48,A133),COUNTIFS('Conciliacion de compuestos'!$D$2:$D$48,"conciliado",'Conciliacion de compuestos'!$E$2:$E$48,"OK",'Conciliacion de compuestos'!$N$2:$N$48,A133),COUNTIFS('Conciliacion de compuestos'!$D$2:$D$48,"conciliado",'Conciliacion de compuestos'!$E$2:$E$48,"OK",'Conciliacion de compuestos'!$O$2:$O$48,A133))&gt;0,IFERROR(TEXTJOIN(CHAR(10),TRUE,FILTER('Conciliacion de compuestos'!$A$2:$A$48,('Conciliacion de compuestos'!$D$2:$D$48="conciliado")*('Conciliacion de compuestos'!$E$2:$E$48="OK")*((('Conciliacion de compuestos'!$M$2:$M$48=A133)+('Conciliacion de compuestos'!$N$2:$N$48=A133)+('Conciliacion de compuestos'!$O$2:$O$48=A133))&gt;0))),""),"")</f>
        <v/>
      </c>
      <c r="G133" s="11">
        <f>IF(I133="conciliado","conciliado","por revisar")</f>
        <v/>
      </c>
      <c r="H133" s="11" t="inlineStr"/>
      <c r="I133" s="11">
        <f>IF(SUM(COUNTIFS('Conciliacion de compuestos'!$D$2:$D$48,"conciliado",'Conciliacion de compuestos'!$E$2:$E$48,"OK",'Conciliacion de compuestos'!$M$2:$M$48,A133),COUNTIFS('Conciliacion de compuestos'!$D$2:$D$48,"conciliado",'Conciliacion de compuestos'!$E$2:$E$48,"OK",'Conciliacion de compuestos'!$N$2:$N$48,A133),COUNTIFS('Conciliacion de compuestos'!$D$2:$D$48,"conciliado",'Conciliacion de compuestos'!$E$2:$E$48,"OK",'Conciliacion de compuestos'!$O$2:$O$48,A133))&gt;0,"conciliado","por revisar")</f>
        <v/>
      </c>
    </row>
    <row r="134">
      <c r="A134" s="11" t="n">
        <v>160</v>
      </c>
      <c r="B134" s="12" t="n">
        <v>46008</v>
      </c>
      <c r="C134" s="11" t="inlineStr">
        <is>
          <t>caycedo cortez helid</t>
        </is>
      </c>
      <c r="D134" s="13" t="n">
        <v>139600</v>
      </c>
      <c r="E134" s="11">
        <f>IF(G134="conciliado","conciliado",I134)</f>
        <v/>
      </c>
      <c r="F134" s="11">
        <f>IF(SUM(COUNTIFS('Conciliacion de compuestos'!$D$2:$D$48,"conciliado",'Conciliacion de compuestos'!$E$2:$E$48,"OK",'Conciliacion de compuestos'!$M$2:$M$48,A134),COUNTIFS('Conciliacion de compuestos'!$D$2:$D$48,"conciliado",'Conciliacion de compuestos'!$E$2:$E$48,"OK",'Conciliacion de compuestos'!$N$2:$N$48,A134),COUNTIFS('Conciliacion de compuestos'!$D$2:$D$48,"conciliado",'Conciliacion de compuestos'!$E$2:$E$48,"OK",'Conciliacion de compuestos'!$O$2:$O$48,A134))&gt;0,IFERROR(TEXTJOIN(CHAR(10),TRUE,FILTER('Conciliacion de compuestos'!$A$2:$A$48,('Conciliacion de compuestos'!$D$2:$D$48="conciliado")*('Conciliacion de compuestos'!$E$2:$E$48="OK")*((('Conciliacion de compuestos'!$M$2:$M$48=A134)+('Conciliacion de compuestos'!$N$2:$N$48=A134)+('Conciliacion de compuestos'!$O$2:$O$48=A134))&gt;0))),""),"")</f>
        <v/>
      </c>
      <c r="G134" s="11">
        <f>IF(I134="conciliado","conciliado","por revisar")</f>
        <v/>
      </c>
      <c r="H134" s="11" t="inlineStr"/>
      <c r="I134" s="11">
        <f>IF(SUM(COUNTIFS('Conciliacion de compuestos'!$D$2:$D$48,"conciliado",'Conciliacion de compuestos'!$E$2:$E$48,"OK",'Conciliacion de compuestos'!$M$2:$M$48,A134),COUNTIFS('Conciliacion de compuestos'!$D$2:$D$48,"conciliado",'Conciliacion de compuestos'!$E$2:$E$48,"OK",'Conciliacion de compuestos'!$N$2:$N$48,A134),COUNTIFS('Conciliacion de compuestos'!$D$2:$D$48,"conciliado",'Conciliacion de compuestos'!$E$2:$E$48,"OK",'Conciliacion de compuestos'!$O$2:$O$48,A134))&gt;0,"conciliado","por revisar")</f>
        <v/>
      </c>
    </row>
    <row r="135">
      <c r="A135" s="11" t="n">
        <v>164</v>
      </c>
      <c r="B135" s="12" t="n">
        <v>46008</v>
      </c>
      <c r="C135" s="11" t="inlineStr">
        <is>
          <t>martinez munoz willi</t>
        </is>
      </c>
      <c r="D135" s="13" t="n">
        <v>75300</v>
      </c>
      <c r="E135" s="11">
        <f>IF(G135="conciliado","conciliado",I135)</f>
        <v/>
      </c>
      <c r="F135" s="11">
        <f>IF(SUM(COUNTIFS('Conciliacion de compuestos'!$D$2:$D$48,"conciliado",'Conciliacion de compuestos'!$E$2:$E$48,"OK",'Conciliacion de compuestos'!$M$2:$M$48,A135),COUNTIFS('Conciliacion de compuestos'!$D$2:$D$48,"conciliado",'Conciliacion de compuestos'!$E$2:$E$48,"OK",'Conciliacion de compuestos'!$N$2:$N$48,A135),COUNTIFS('Conciliacion de compuestos'!$D$2:$D$48,"conciliado",'Conciliacion de compuestos'!$E$2:$E$48,"OK",'Conciliacion de compuestos'!$O$2:$O$48,A135))&gt;0,IFERROR(TEXTJOIN(CHAR(10),TRUE,FILTER('Conciliacion de compuestos'!$A$2:$A$48,('Conciliacion de compuestos'!$D$2:$D$48="conciliado")*('Conciliacion de compuestos'!$E$2:$E$48="OK")*((('Conciliacion de compuestos'!$M$2:$M$48=A135)+('Conciliacion de compuestos'!$N$2:$N$48=A135)+('Conciliacion de compuestos'!$O$2:$O$48=A135))&gt;0))),""),"")</f>
        <v/>
      </c>
      <c r="G135" s="11">
        <f>IF(I135="conciliado","conciliado","por revisar")</f>
        <v/>
      </c>
      <c r="H135" s="11" t="inlineStr"/>
      <c r="I135" s="11">
        <f>IF(SUM(COUNTIFS('Conciliacion de compuestos'!$D$2:$D$48,"conciliado",'Conciliacion de compuestos'!$E$2:$E$48,"OK",'Conciliacion de compuestos'!$M$2:$M$48,A135),COUNTIFS('Conciliacion de compuestos'!$D$2:$D$48,"conciliado",'Conciliacion de compuestos'!$E$2:$E$48,"OK",'Conciliacion de compuestos'!$N$2:$N$48,A135),COUNTIFS('Conciliacion de compuestos'!$D$2:$D$48,"conciliado",'Conciliacion de compuestos'!$E$2:$E$48,"OK",'Conciliacion de compuestos'!$O$2:$O$48,A135))&gt;0,"conciliado","por revisar")</f>
        <v/>
      </c>
    </row>
    <row r="136">
      <c r="A136" s="11" t="n">
        <v>161</v>
      </c>
      <c r="B136" s="12" t="n">
        <v>46008</v>
      </c>
      <c r="C136" s="11" t="inlineStr">
        <is>
          <t>alejand cardona diaz</t>
        </is>
      </c>
      <c r="D136" s="13" t="n">
        <v>103000</v>
      </c>
      <c r="E136" s="11">
        <f>IF(G136="conciliado","conciliado",I136)</f>
        <v/>
      </c>
      <c r="F136" s="11">
        <f>IF(SUM(COUNTIFS('Conciliacion de compuestos'!$D$2:$D$48,"conciliado",'Conciliacion de compuestos'!$E$2:$E$48,"OK",'Conciliacion de compuestos'!$M$2:$M$48,A136),COUNTIFS('Conciliacion de compuestos'!$D$2:$D$48,"conciliado",'Conciliacion de compuestos'!$E$2:$E$48,"OK",'Conciliacion de compuestos'!$N$2:$N$48,A136),COUNTIFS('Conciliacion de compuestos'!$D$2:$D$48,"conciliado",'Conciliacion de compuestos'!$E$2:$E$48,"OK",'Conciliacion de compuestos'!$O$2:$O$48,A136))&gt;0,IFERROR(TEXTJOIN(CHAR(10),TRUE,FILTER('Conciliacion de compuestos'!$A$2:$A$48,('Conciliacion de compuestos'!$D$2:$D$48="conciliado")*('Conciliacion de compuestos'!$E$2:$E$48="OK")*((('Conciliacion de compuestos'!$M$2:$M$48=A136)+('Conciliacion de compuestos'!$N$2:$N$48=A136)+('Conciliacion de compuestos'!$O$2:$O$48=A136))&gt;0))),""),"")</f>
        <v/>
      </c>
      <c r="G136" s="11">
        <f>IF(I136="conciliado","conciliado","por revisar")</f>
        <v/>
      </c>
      <c r="H136" s="11" t="inlineStr"/>
      <c r="I136" s="11">
        <f>IF(SUM(COUNTIFS('Conciliacion de compuestos'!$D$2:$D$48,"conciliado",'Conciliacion de compuestos'!$E$2:$E$48,"OK",'Conciliacion de compuestos'!$M$2:$M$48,A136),COUNTIFS('Conciliacion de compuestos'!$D$2:$D$48,"conciliado",'Conciliacion de compuestos'!$E$2:$E$48,"OK",'Conciliacion de compuestos'!$N$2:$N$48,A136),COUNTIFS('Conciliacion de compuestos'!$D$2:$D$48,"conciliado",'Conciliacion de compuestos'!$E$2:$E$48,"OK",'Conciliacion de compuestos'!$O$2:$O$48,A136))&gt;0,"conciliado","por revisar")</f>
        <v/>
      </c>
    </row>
    <row r="137">
      <c r="A137" s="11" t="n">
        <v>165</v>
      </c>
      <c r="B137" s="12" t="n">
        <v>46008</v>
      </c>
      <c r="C137" s="11" t="inlineStr">
        <is>
          <t>integrales servicios</t>
        </is>
      </c>
      <c r="D137" s="13" t="n">
        <v>69800</v>
      </c>
      <c r="E137" s="11">
        <f>IF(G137="conciliado","conciliado",I137)</f>
        <v/>
      </c>
      <c r="F137" s="11">
        <f>IF(SUM(COUNTIFS('Conciliacion de compuestos'!$D$2:$D$48,"conciliado",'Conciliacion de compuestos'!$E$2:$E$48,"OK",'Conciliacion de compuestos'!$M$2:$M$48,A137),COUNTIFS('Conciliacion de compuestos'!$D$2:$D$48,"conciliado",'Conciliacion de compuestos'!$E$2:$E$48,"OK",'Conciliacion de compuestos'!$N$2:$N$48,A137),COUNTIFS('Conciliacion de compuestos'!$D$2:$D$48,"conciliado",'Conciliacion de compuestos'!$E$2:$E$48,"OK",'Conciliacion de compuestos'!$O$2:$O$48,A137))&gt;0,IFERROR(TEXTJOIN(CHAR(10),TRUE,FILTER('Conciliacion de compuestos'!$A$2:$A$48,('Conciliacion de compuestos'!$D$2:$D$48="conciliado")*('Conciliacion de compuestos'!$E$2:$E$48="OK")*((('Conciliacion de compuestos'!$M$2:$M$48=A137)+('Conciliacion de compuestos'!$N$2:$N$48=A137)+('Conciliacion de compuestos'!$O$2:$O$48=A137))&gt;0))),""),"")</f>
        <v/>
      </c>
      <c r="G137" s="11">
        <f>IF(I137="conciliado","conciliado","por revisar")</f>
        <v/>
      </c>
      <c r="H137" s="11" t="inlineStr"/>
      <c r="I137" s="11">
        <f>IF(SUM(COUNTIFS('Conciliacion de compuestos'!$D$2:$D$48,"conciliado",'Conciliacion de compuestos'!$E$2:$E$48,"OK",'Conciliacion de compuestos'!$M$2:$M$48,A137),COUNTIFS('Conciliacion de compuestos'!$D$2:$D$48,"conciliado",'Conciliacion de compuestos'!$E$2:$E$48,"OK",'Conciliacion de compuestos'!$N$2:$N$48,A137),COUNTIFS('Conciliacion de compuestos'!$D$2:$D$48,"conciliado",'Conciliacion de compuestos'!$E$2:$E$48,"OK",'Conciliacion de compuestos'!$O$2:$O$48,A137))&gt;0,"conciliado","por revisar")</f>
        <v/>
      </c>
    </row>
    <row r="138">
      <c r="A138" s="11" t="n">
        <v>172</v>
      </c>
      <c r="B138" s="12" t="n">
        <v>46008</v>
      </c>
      <c r="C138" s="11" t="inlineStr">
        <is>
          <t>arias kater renteria</t>
        </is>
      </c>
      <c r="D138" s="13" t="n">
        <v>162300</v>
      </c>
      <c r="E138" s="11">
        <f>IF(G138="conciliado","conciliado",I138)</f>
        <v/>
      </c>
      <c r="F138" s="11">
        <f>IF(SUM(COUNTIFS('Conciliacion de compuestos'!$D$2:$D$48,"conciliado",'Conciliacion de compuestos'!$E$2:$E$48,"OK",'Conciliacion de compuestos'!$M$2:$M$48,A138),COUNTIFS('Conciliacion de compuestos'!$D$2:$D$48,"conciliado",'Conciliacion de compuestos'!$E$2:$E$48,"OK",'Conciliacion de compuestos'!$N$2:$N$48,A138),COUNTIFS('Conciliacion de compuestos'!$D$2:$D$48,"conciliado",'Conciliacion de compuestos'!$E$2:$E$48,"OK",'Conciliacion de compuestos'!$O$2:$O$48,A138))&gt;0,IFERROR(TEXTJOIN(CHAR(10),TRUE,FILTER('Conciliacion de compuestos'!$A$2:$A$48,('Conciliacion de compuestos'!$D$2:$D$48="conciliado")*('Conciliacion de compuestos'!$E$2:$E$48="OK")*((('Conciliacion de compuestos'!$M$2:$M$48=A138)+('Conciliacion de compuestos'!$N$2:$N$48=A138)+('Conciliacion de compuestos'!$O$2:$O$48=A138))&gt;0))),""),"")</f>
        <v/>
      </c>
      <c r="G138" s="11">
        <f>IF(I138="conciliado","conciliado","por revisar")</f>
        <v/>
      </c>
      <c r="H138" s="11" t="inlineStr"/>
      <c r="I138" s="11">
        <f>IF(SUM(COUNTIFS('Conciliacion de compuestos'!$D$2:$D$48,"conciliado",'Conciliacion de compuestos'!$E$2:$E$48,"OK",'Conciliacion de compuestos'!$M$2:$M$48,A138),COUNTIFS('Conciliacion de compuestos'!$D$2:$D$48,"conciliado",'Conciliacion de compuestos'!$E$2:$E$48,"OK",'Conciliacion de compuestos'!$N$2:$N$48,A138),COUNTIFS('Conciliacion de compuestos'!$D$2:$D$48,"conciliado",'Conciliacion de compuestos'!$E$2:$E$48,"OK",'Conciliacion de compuestos'!$O$2:$O$48,A138))&gt;0,"conciliado","por revisar")</f>
        <v/>
      </c>
    </row>
    <row r="139">
      <c r="A139" s="11" t="n">
        <v>163</v>
      </c>
      <c r="B139" s="12" t="n">
        <v>46008</v>
      </c>
      <c r="C139" s="11" t="inlineStr">
        <is>
          <t>buelvas diaz jose mi</t>
        </is>
      </c>
      <c r="D139" s="13" t="n">
        <v>140800</v>
      </c>
      <c r="E139" s="11">
        <f>IF(G139="conciliado","conciliado",I139)</f>
        <v/>
      </c>
      <c r="F139" s="11">
        <f>IF(SUM(COUNTIFS('Conciliacion de compuestos'!$D$2:$D$48,"conciliado",'Conciliacion de compuestos'!$E$2:$E$48,"OK",'Conciliacion de compuestos'!$M$2:$M$48,A139),COUNTIFS('Conciliacion de compuestos'!$D$2:$D$48,"conciliado",'Conciliacion de compuestos'!$E$2:$E$48,"OK",'Conciliacion de compuestos'!$N$2:$N$48,A139),COUNTIFS('Conciliacion de compuestos'!$D$2:$D$48,"conciliado",'Conciliacion de compuestos'!$E$2:$E$48,"OK",'Conciliacion de compuestos'!$O$2:$O$48,A139))&gt;0,IFERROR(TEXTJOIN(CHAR(10),TRUE,FILTER('Conciliacion de compuestos'!$A$2:$A$48,('Conciliacion de compuestos'!$D$2:$D$48="conciliado")*('Conciliacion de compuestos'!$E$2:$E$48="OK")*((('Conciliacion de compuestos'!$M$2:$M$48=A139)+('Conciliacion de compuestos'!$N$2:$N$48=A139)+('Conciliacion de compuestos'!$O$2:$O$48=A139))&gt;0))),""),"")</f>
        <v/>
      </c>
      <c r="G139" s="11">
        <f>IF(I139="conciliado","conciliado","por revisar")</f>
        <v/>
      </c>
      <c r="H139" s="11" t="inlineStr"/>
      <c r="I139" s="11">
        <f>IF(SUM(COUNTIFS('Conciliacion de compuestos'!$D$2:$D$48,"conciliado",'Conciliacion de compuestos'!$E$2:$E$48,"OK",'Conciliacion de compuestos'!$M$2:$M$48,A139),COUNTIFS('Conciliacion de compuestos'!$D$2:$D$48,"conciliado",'Conciliacion de compuestos'!$E$2:$E$48,"OK",'Conciliacion de compuestos'!$N$2:$N$48,A139),COUNTIFS('Conciliacion de compuestos'!$D$2:$D$48,"conciliado",'Conciliacion de compuestos'!$E$2:$E$48,"OK",'Conciliacion de compuestos'!$O$2:$O$48,A139))&gt;0,"conciliado","por revisar")</f>
        <v/>
      </c>
    </row>
    <row r="140">
      <c r="A140" s="11" t="n">
        <v>169</v>
      </c>
      <c r="B140" s="12" t="n">
        <v>46008</v>
      </c>
      <c r="C140" s="11" t="inlineStr">
        <is>
          <t>andre garcia jostin</t>
        </is>
      </c>
      <c r="D140" s="13" t="n">
        <v>28070</v>
      </c>
      <c r="E140" s="11">
        <f>IF(G140="conciliado","conciliado",I140)</f>
        <v/>
      </c>
      <c r="F140" s="11">
        <f>IF(SUM(COUNTIFS('Conciliacion de compuestos'!$D$2:$D$48,"conciliado",'Conciliacion de compuestos'!$E$2:$E$48,"OK",'Conciliacion de compuestos'!$M$2:$M$48,A140),COUNTIFS('Conciliacion de compuestos'!$D$2:$D$48,"conciliado",'Conciliacion de compuestos'!$E$2:$E$48,"OK",'Conciliacion de compuestos'!$N$2:$N$48,A140),COUNTIFS('Conciliacion de compuestos'!$D$2:$D$48,"conciliado",'Conciliacion de compuestos'!$E$2:$E$48,"OK",'Conciliacion de compuestos'!$O$2:$O$48,A140))&gt;0,IFERROR(TEXTJOIN(CHAR(10),TRUE,FILTER('Conciliacion de compuestos'!$A$2:$A$48,('Conciliacion de compuestos'!$D$2:$D$48="conciliado")*('Conciliacion de compuestos'!$E$2:$E$48="OK")*((('Conciliacion de compuestos'!$M$2:$M$48=A140)+('Conciliacion de compuestos'!$N$2:$N$48=A140)+('Conciliacion de compuestos'!$O$2:$O$48=A140))&gt;0))),""),"")</f>
        <v/>
      </c>
      <c r="G140" s="11">
        <f>IF(I140="conciliado","conciliado","por revisar")</f>
        <v/>
      </c>
      <c r="H140" s="11" t="inlineStr"/>
      <c r="I140" s="11">
        <f>IF(SUM(COUNTIFS('Conciliacion de compuestos'!$D$2:$D$48,"conciliado",'Conciliacion de compuestos'!$E$2:$E$48,"OK",'Conciliacion de compuestos'!$M$2:$M$48,A140),COUNTIFS('Conciliacion de compuestos'!$D$2:$D$48,"conciliado",'Conciliacion de compuestos'!$E$2:$E$48,"OK",'Conciliacion de compuestos'!$N$2:$N$48,A140),COUNTIFS('Conciliacion de compuestos'!$D$2:$D$48,"conciliado",'Conciliacion de compuestos'!$E$2:$E$48,"OK",'Conciliacion de compuestos'!$O$2:$O$48,A140))&gt;0,"conciliado","por revisar")</f>
        <v/>
      </c>
    </row>
    <row r="141">
      <c r="A141" s="11" t="n">
        <v>168</v>
      </c>
      <c r="B141" s="12" t="n">
        <v>46008</v>
      </c>
      <c r="C141" s="11" t="inlineStr">
        <is>
          <t>jes martinez urquijo</t>
        </is>
      </c>
      <c r="D141" s="13" t="n">
        <v>101550</v>
      </c>
      <c r="E141" s="11">
        <f>IF(G141="conciliado","conciliado",I141)</f>
        <v/>
      </c>
      <c r="F141" s="11">
        <f>IF(SUM(COUNTIFS('Conciliacion de compuestos'!$D$2:$D$48,"conciliado",'Conciliacion de compuestos'!$E$2:$E$48,"OK",'Conciliacion de compuestos'!$M$2:$M$48,A141),COUNTIFS('Conciliacion de compuestos'!$D$2:$D$48,"conciliado",'Conciliacion de compuestos'!$E$2:$E$48,"OK",'Conciliacion de compuestos'!$N$2:$N$48,A141),COUNTIFS('Conciliacion de compuestos'!$D$2:$D$48,"conciliado",'Conciliacion de compuestos'!$E$2:$E$48,"OK",'Conciliacion de compuestos'!$O$2:$O$48,A141))&gt;0,IFERROR(TEXTJOIN(CHAR(10),TRUE,FILTER('Conciliacion de compuestos'!$A$2:$A$48,('Conciliacion de compuestos'!$D$2:$D$48="conciliado")*('Conciliacion de compuestos'!$E$2:$E$48="OK")*((('Conciliacion de compuestos'!$M$2:$M$48=A141)+('Conciliacion de compuestos'!$N$2:$N$48=A141)+('Conciliacion de compuestos'!$O$2:$O$48=A141))&gt;0))),""),"")</f>
        <v/>
      </c>
      <c r="G141" s="11">
        <f>IF(I141="conciliado","conciliado","por revisar")</f>
        <v/>
      </c>
      <c r="H141" s="11" t="inlineStr"/>
      <c r="I141" s="11">
        <f>IF(SUM(COUNTIFS('Conciliacion de compuestos'!$D$2:$D$48,"conciliado",'Conciliacion de compuestos'!$E$2:$E$48,"OK",'Conciliacion de compuestos'!$M$2:$M$48,A141),COUNTIFS('Conciliacion de compuestos'!$D$2:$D$48,"conciliado",'Conciliacion de compuestos'!$E$2:$E$48,"OK",'Conciliacion de compuestos'!$N$2:$N$48,A141),COUNTIFS('Conciliacion de compuestos'!$D$2:$D$48,"conciliado",'Conciliacion de compuestos'!$E$2:$E$48,"OK",'Conciliacion de compuestos'!$O$2:$O$48,A141))&gt;0,"conciliado","por revisar")</f>
        <v/>
      </c>
    </row>
    <row r="142">
      <c r="A142" s="11" t="n">
        <v>167</v>
      </c>
      <c r="B142" s="12" t="n">
        <v>46008</v>
      </c>
      <c r="C142" s="11" t="inlineStr">
        <is>
          <t>me meza oliva omaira</t>
        </is>
      </c>
      <c r="D142" s="13" t="n">
        <v>58400</v>
      </c>
      <c r="E142" s="11">
        <f>IF(G142="conciliado","conciliado",I142)</f>
        <v/>
      </c>
      <c r="F142" s="11">
        <f>IF(SUM(COUNTIFS('Conciliacion de compuestos'!$D$2:$D$48,"conciliado",'Conciliacion de compuestos'!$E$2:$E$48,"OK",'Conciliacion de compuestos'!$M$2:$M$48,A142),COUNTIFS('Conciliacion de compuestos'!$D$2:$D$48,"conciliado",'Conciliacion de compuestos'!$E$2:$E$48,"OK",'Conciliacion de compuestos'!$N$2:$N$48,A142),COUNTIFS('Conciliacion de compuestos'!$D$2:$D$48,"conciliado",'Conciliacion de compuestos'!$E$2:$E$48,"OK",'Conciliacion de compuestos'!$O$2:$O$48,A142))&gt;0,IFERROR(TEXTJOIN(CHAR(10),TRUE,FILTER('Conciliacion de compuestos'!$A$2:$A$48,('Conciliacion de compuestos'!$D$2:$D$48="conciliado")*('Conciliacion de compuestos'!$E$2:$E$48="OK")*((('Conciliacion de compuestos'!$M$2:$M$48=A142)+('Conciliacion de compuestos'!$N$2:$N$48=A142)+('Conciliacion de compuestos'!$O$2:$O$48=A142))&gt;0))),""),"")</f>
        <v/>
      </c>
      <c r="G142" s="11">
        <f>IF(I142="conciliado","conciliado","por revisar")</f>
        <v/>
      </c>
      <c r="H142" s="11" t="inlineStr"/>
      <c r="I142" s="11">
        <f>IF(SUM(COUNTIFS('Conciliacion de compuestos'!$D$2:$D$48,"conciliado",'Conciliacion de compuestos'!$E$2:$E$48,"OK",'Conciliacion de compuestos'!$M$2:$M$48,A142),COUNTIFS('Conciliacion de compuestos'!$D$2:$D$48,"conciliado",'Conciliacion de compuestos'!$E$2:$E$48,"OK",'Conciliacion de compuestos'!$N$2:$N$48,A142),COUNTIFS('Conciliacion de compuestos'!$D$2:$D$48,"conciliado",'Conciliacion de compuestos'!$E$2:$E$48,"OK",'Conciliacion de compuestos'!$O$2:$O$48,A142))&gt;0,"conciliado","por revisar")</f>
        <v/>
      </c>
    </row>
    <row r="143">
      <c r="A143" s="11" t="n">
        <v>174</v>
      </c>
      <c r="B143" s="12" t="n">
        <v>46009</v>
      </c>
      <c r="C143" s="11" t="inlineStr">
        <is>
          <t>a ajover darnel s s</t>
        </is>
      </c>
      <c r="D143" s="13" t="n">
        <v>-3166233</v>
      </c>
      <c r="E143" s="11">
        <f>IF(G143="conciliado","conciliado",I143)</f>
        <v/>
      </c>
      <c r="F143" s="11" t="inlineStr">
        <is>
          <t>1017 | 2025-12-18 | -3,166,233 | compra internet nd por pse</t>
        </is>
      </c>
      <c r="G143" s="11">
        <f>IF(I143="conciliado","conciliado","por revisar")</f>
        <v/>
      </c>
      <c r="H143" s="11" t="inlineStr"/>
      <c r="I143" s="11" t="inlineStr">
        <is>
          <t>conciliado</t>
        </is>
      </c>
    </row>
    <row r="144">
      <c r="A144" s="11" t="n">
        <v>175</v>
      </c>
      <c r="B144" s="12" t="n">
        <v>46009</v>
      </c>
      <c r="C144" s="11" t="inlineStr">
        <is>
          <t>colombiana comerc de</t>
        </is>
      </c>
      <c r="D144" s="13" t="n">
        <v>-1052379</v>
      </c>
      <c r="E144" s="11">
        <f>IF(G144="conciliado","conciliado",I144)</f>
        <v/>
      </c>
      <c r="F144" s="11" t="inlineStr">
        <is>
          <t>1019 | 2025-12-18 | -1,052,379 | interbancario o propio traslado</t>
        </is>
      </c>
      <c r="G144" s="11">
        <f>IF(I144="conciliado","conciliado","por revisar")</f>
        <v/>
      </c>
      <c r="H144" s="11" t="inlineStr"/>
      <c r="I144" s="11" t="inlineStr">
        <is>
          <t>conciliado</t>
        </is>
      </c>
    </row>
    <row r="145">
      <c r="A145" s="11" t="n">
        <v>183</v>
      </c>
      <c r="B145" s="12" t="n">
        <v>46009</v>
      </c>
      <c r="C145" s="11" t="inlineStr">
        <is>
          <t>luz ma manzano ortiz</t>
        </is>
      </c>
      <c r="D145" s="13" t="n">
        <v>87800</v>
      </c>
      <c r="E145" s="11">
        <f>IF(G145="conciliado","conciliado",I145)</f>
        <v/>
      </c>
      <c r="F145" s="11">
        <f>IF(SUM(COUNTIFS('Conciliacion de compuestos'!$D$2:$D$48,"conciliado",'Conciliacion de compuestos'!$E$2:$E$48,"OK",'Conciliacion de compuestos'!$M$2:$M$48,A145),COUNTIFS('Conciliacion de compuestos'!$D$2:$D$48,"conciliado",'Conciliacion de compuestos'!$E$2:$E$48,"OK",'Conciliacion de compuestos'!$N$2:$N$48,A145),COUNTIFS('Conciliacion de compuestos'!$D$2:$D$48,"conciliado",'Conciliacion de compuestos'!$E$2:$E$48,"OK",'Conciliacion de compuestos'!$O$2:$O$48,A145))&gt;0,IFERROR(TEXTJOIN(CHAR(10),TRUE,FILTER('Conciliacion de compuestos'!$A$2:$A$48,('Conciliacion de compuestos'!$D$2:$D$48="conciliado")*('Conciliacion de compuestos'!$E$2:$E$48="OK")*((('Conciliacion de compuestos'!$M$2:$M$48=A145)+('Conciliacion de compuestos'!$N$2:$N$48=A145)+('Conciliacion de compuestos'!$O$2:$O$48=A145))&gt;0))),""),"")</f>
        <v/>
      </c>
      <c r="G145" s="11">
        <f>IF(I145="conciliado","conciliado","por revisar")</f>
        <v/>
      </c>
      <c r="H145" s="11" t="inlineStr"/>
      <c r="I145" s="11">
        <f>IF(SUM(COUNTIFS('Conciliacion de compuestos'!$D$2:$D$48,"conciliado",'Conciliacion de compuestos'!$E$2:$E$48,"OK",'Conciliacion de compuestos'!$M$2:$M$48,A145),COUNTIFS('Conciliacion de compuestos'!$D$2:$D$48,"conciliado",'Conciliacion de compuestos'!$E$2:$E$48,"OK",'Conciliacion de compuestos'!$N$2:$N$48,A145),COUNTIFS('Conciliacion de compuestos'!$D$2:$D$48,"conciliado",'Conciliacion de compuestos'!$E$2:$E$48,"OK",'Conciliacion de compuestos'!$O$2:$O$48,A145))&gt;0,"conciliado","por revisar")</f>
        <v/>
      </c>
    </row>
    <row r="146">
      <c r="A146" s="11" t="n">
        <v>178</v>
      </c>
      <c r="B146" s="12" t="n">
        <v>46009</v>
      </c>
      <c r="C146" s="11" t="inlineStr">
        <is>
          <t>buelvas diaz jose mi</t>
        </is>
      </c>
      <c r="D146" s="13" t="n">
        <v>99400</v>
      </c>
      <c r="E146" s="11">
        <f>IF(G146="conciliado","conciliado",I146)</f>
        <v/>
      </c>
      <c r="F146" s="11">
        <f>IF(SUM(COUNTIFS('Conciliacion de compuestos'!$D$2:$D$48,"conciliado",'Conciliacion de compuestos'!$E$2:$E$48,"OK",'Conciliacion de compuestos'!$M$2:$M$48,A146),COUNTIFS('Conciliacion de compuestos'!$D$2:$D$48,"conciliado",'Conciliacion de compuestos'!$E$2:$E$48,"OK",'Conciliacion de compuestos'!$N$2:$N$48,A146),COUNTIFS('Conciliacion de compuestos'!$D$2:$D$48,"conciliado",'Conciliacion de compuestos'!$E$2:$E$48,"OK",'Conciliacion de compuestos'!$O$2:$O$48,A146))&gt;0,IFERROR(TEXTJOIN(CHAR(10),TRUE,FILTER('Conciliacion de compuestos'!$A$2:$A$48,('Conciliacion de compuestos'!$D$2:$D$48="conciliado")*('Conciliacion de compuestos'!$E$2:$E$48="OK")*((('Conciliacion de compuestos'!$M$2:$M$48=A146)+('Conciliacion de compuestos'!$N$2:$N$48=A146)+('Conciliacion de compuestos'!$O$2:$O$48=A146))&gt;0))),""),"")</f>
        <v/>
      </c>
      <c r="G146" s="11">
        <f>IF(I146="conciliado","conciliado","por revisar")</f>
        <v/>
      </c>
      <c r="H146" s="11" t="inlineStr"/>
      <c r="I146" s="11">
        <f>IF(SUM(COUNTIFS('Conciliacion de compuestos'!$D$2:$D$48,"conciliado",'Conciliacion de compuestos'!$E$2:$E$48,"OK",'Conciliacion de compuestos'!$M$2:$M$48,A146),COUNTIFS('Conciliacion de compuestos'!$D$2:$D$48,"conciliado",'Conciliacion de compuestos'!$E$2:$E$48,"OK",'Conciliacion de compuestos'!$N$2:$N$48,A146),COUNTIFS('Conciliacion de compuestos'!$D$2:$D$48,"conciliado",'Conciliacion de compuestos'!$E$2:$E$48,"OK",'Conciliacion de compuestos'!$O$2:$O$48,A146))&gt;0,"conciliado","por revisar")</f>
        <v/>
      </c>
    </row>
    <row r="147">
      <c r="A147" s="11" t="n">
        <v>182</v>
      </c>
      <c r="B147" s="12" t="n">
        <v>46009</v>
      </c>
      <c r="C147" s="11" t="inlineStr">
        <is>
          <t>claudi diaz zandobal</t>
        </is>
      </c>
      <c r="D147" s="13" t="n">
        <v>82020</v>
      </c>
      <c r="E147" s="11">
        <f>IF(G147="conciliado","conciliado",I147)</f>
        <v/>
      </c>
      <c r="F147" s="11">
        <f>IF(SUM(COUNTIFS('Conciliacion de compuestos'!$D$2:$D$48,"conciliado",'Conciliacion de compuestos'!$E$2:$E$48,"OK",'Conciliacion de compuestos'!$M$2:$M$48,A147),COUNTIFS('Conciliacion de compuestos'!$D$2:$D$48,"conciliado",'Conciliacion de compuestos'!$E$2:$E$48,"OK",'Conciliacion de compuestos'!$N$2:$N$48,A147),COUNTIFS('Conciliacion de compuestos'!$D$2:$D$48,"conciliado",'Conciliacion de compuestos'!$E$2:$E$48,"OK",'Conciliacion de compuestos'!$O$2:$O$48,A147))&gt;0,IFERROR(TEXTJOIN(CHAR(10),TRUE,FILTER('Conciliacion de compuestos'!$A$2:$A$48,('Conciliacion de compuestos'!$D$2:$D$48="conciliado")*('Conciliacion de compuestos'!$E$2:$E$48="OK")*((('Conciliacion de compuestos'!$M$2:$M$48=A147)+('Conciliacion de compuestos'!$N$2:$N$48=A147)+('Conciliacion de compuestos'!$O$2:$O$48=A147))&gt;0))),""),"")</f>
        <v/>
      </c>
      <c r="G147" s="11">
        <f>IF(I147="conciliado","conciliado","por revisar")</f>
        <v/>
      </c>
      <c r="H147" s="11" t="inlineStr"/>
      <c r="I147" s="11">
        <f>IF(SUM(COUNTIFS('Conciliacion de compuestos'!$D$2:$D$48,"conciliado",'Conciliacion de compuestos'!$E$2:$E$48,"OK",'Conciliacion de compuestos'!$M$2:$M$48,A147),COUNTIFS('Conciliacion de compuestos'!$D$2:$D$48,"conciliado",'Conciliacion de compuestos'!$E$2:$E$48,"OK",'Conciliacion de compuestos'!$N$2:$N$48,A147),COUNTIFS('Conciliacion de compuestos'!$D$2:$D$48,"conciliado",'Conciliacion de compuestos'!$E$2:$E$48,"OK",'Conciliacion de compuestos'!$O$2:$O$48,A147))&gt;0,"conciliado","por revisar")</f>
        <v/>
      </c>
    </row>
    <row r="148">
      <c r="A148" s="11" t="n">
        <v>186</v>
      </c>
      <c r="B148" s="12" t="n">
        <v>46009</v>
      </c>
      <c r="C148" s="11" t="inlineStr">
        <is>
          <t>abela ortiz zambrano</t>
        </is>
      </c>
      <c r="D148" s="13" t="n">
        <v>63600</v>
      </c>
      <c r="E148" s="11">
        <f>IF(G148="conciliado","conciliado",I148)</f>
        <v/>
      </c>
      <c r="F148" s="11">
        <f>IF(SUM(COUNTIFS('Conciliacion de compuestos'!$D$2:$D$48,"conciliado",'Conciliacion de compuestos'!$E$2:$E$48,"OK",'Conciliacion de compuestos'!$M$2:$M$48,A148),COUNTIFS('Conciliacion de compuestos'!$D$2:$D$48,"conciliado",'Conciliacion de compuestos'!$E$2:$E$48,"OK",'Conciliacion de compuestos'!$N$2:$N$48,A148),COUNTIFS('Conciliacion de compuestos'!$D$2:$D$48,"conciliado",'Conciliacion de compuestos'!$E$2:$E$48,"OK",'Conciliacion de compuestos'!$O$2:$O$48,A148))&gt;0,IFERROR(TEXTJOIN(CHAR(10),TRUE,FILTER('Conciliacion de compuestos'!$A$2:$A$48,('Conciliacion de compuestos'!$D$2:$D$48="conciliado")*('Conciliacion de compuestos'!$E$2:$E$48="OK")*((('Conciliacion de compuestos'!$M$2:$M$48=A148)+('Conciliacion de compuestos'!$N$2:$N$48=A148)+('Conciliacion de compuestos'!$O$2:$O$48=A148))&gt;0))),""),"")</f>
        <v/>
      </c>
      <c r="G148" s="11">
        <f>IF(I148="conciliado","conciliado","por revisar")</f>
        <v/>
      </c>
      <c r="H148" s="11" t="inlineStr"/>
      <c r="I148" s="11">
        <f>IF(SUM(COUNTIFS('Conciliacion de compuestos'!$D$2:$D$48,"conciliado",'Conciliacion de compuestos'!$E$2:$E$48,"OK",'Conciliacion de compuestos'!$M$2:$M$48,A148),COUNTIFS('Conciliacion de compuestos'!$D$2:$D$48,"conciliado",'Conciliacion de compuestos'!$E$2:$E$48,"OK",'Conciliacion de compuestos'!$N$2:$N$48,A148),COUNTIFS('Conciliacion de compuestos'!$D$2:$D$48,"conciliado",'Conciliacion de compuestos'!$E$2:$E$48,"OK",'Conciliacion de compuestos'!$O$2:$O$48,A148))&gt;0,"conciliado","por revisar")</f>
        <v/>
      </c>
    </row>
    <row r="149">
      <c r="A149" s="11" t="n">
        <v>179</v>
      </c>
      <c r="B149" s="12" t="n">
        <v>46009</v>
      </c>
      <c r="C149" s="11" t="inlineStr">
        <is>
          <t>bolanos paladines st</t>
        </is>
      </c>
      <c r="D149" s="13" t="n">
        <v>89300</v>
      </c>
      <c r="E149" s="11">
        <f>IF(G149="conciliado","conciliado",I149)</f>
        <v/>
      </c>
      <c r="F149" s="11">
        <f>IF(SUM(COUNTIFS('Conciliacion de compuestos'!$D$2:$D$48,"conciliado",'Conciliacion de compuestos'!$E$2:$E$48,"OK",'Conciliacion de compuestos'!$M$2:$M$48,A149),COUNTIFS('Conciliacion de compuestos'!$D$2:$D$48,"conciliado",'Conciliacion de compuestos'!$E$2:$E$48,"OK",'Conciliacion de compuestos'!$N$2:$N$48,A149),COUNTIFS('Conciliacion de compuestos'!$D$2:$D$48,"conciliado",'Conciliacion de compuestos'!$E$2:$E$48,"OK",'Conciliacion de compuestos'!$O$2:$O$48,A149))&gt;0,IFERROR(TEXTJOIN(CHAR(10),TRUE,FILTER('Conciliacion de compuestos'!$A$2:$A$48,('Conciliacion de compuestos'!$D$2:$D$48="conciliado")*('Conciliacion de compuestos'!$E$2:$E$48="OK")*((('Conciliacion de compuestos'!$M$2:$M$48=A149)+('Conciliacion de compuestos'!$N$2:$N$48=A149)+('Conciliacion de compuestos'!$O$2:$O$48=A149))&gt;0))),""),"")</f>
        <v/>
      </c>
      <c r="G149" s="11">
        <f>IF(I149="conciliado","conciliado","por revisar")</f>
        <v/>
      </c>
      <c r="H149" s="11" t="inlineStr"/>
      <c r="I149" s="11">
        <f>IF(SUM(COUNTIFS('Conciliacion de compuestos'!$D$2:$D$48,"conciliado",'Conciliacion de compuestos'!$E$2:$E$48,"OK",'Conciliacion de compuestos'!$M$2:$M$48,A149),COUNTIFS('Conciliacion de compuestos'!$D$2:$D$48,"conciliado",'Conciliacion de compuestos'!$E$2:$E$48,"OK",'Conciliacion de compuestos'!$N$2:$N$48,A149),COUNTIFS('Conciliacion de compuestos'!$D$2:$D$48,"conciliado",'Conciliacion de compuestos'!$E$2:$E$48,"OK",'Conciliacion de compuestos'!$O$2:$O$48,A149))&gt;0,"conciliado","por revisar")</f>
        <v/>
      </c>
    </row>
    <row r="150">
      <c r="A150" s="11" t="n">
        <v>176</v>
      </c>
      <c r="B150" s="12" t="n">
        <v>46009</v>
      </c>
      <c r="C150" s="11" t="inlineStr">
        <is>
          <t>caycedo cortez helid</t>
        </is>
      </c>
      <c r="D150" s="13" t="n">
        <v>19500</v>
      </c>
      <c r="E150" s="11">
        <f>IF(G150="conciliado","conciliado",I150)</f>
        <v/>
      </c>
      <c r="F150" s="11">
        <f>IF(SUM(COUNTIFS('Conciliacion de compuestos'!$D$2:$D$48,"conciliado",'Conciliacion de compuestos'!$E$2:$E$48,"OK",'Conciliacion de compuestos'!$M$2:$M$48,A150),COUNTIFS('Conciliacion de compuestos'!$D$2:$D$48,"conciliado",'Conciliacion de compuestos'!$E$2:$E$48,"OK",'Conciliacion de compuestos'!$N$2:$N$48,A150),COUNTIFS('Conciliacion de compuestos'!$D$2:$D$48,"conciliado",'Conciliacion de compuestos'!$E$2:$E$48,"OK",'Conciliacion de compuestos'!$O$2:$O$48,A150))&gt;0,IFERROR(TEXTJOIN(CHAR(10),TRUE,FILTER('Conciliacion de compuestos'!$A$2:$A$48,('Conciliacion de compuestos'!$D$2:$D$48="conciliado")*('Conciliacion de compuestos'!$E$2:$E$48="OK")*((('Conciliacion de compuestos'!$M$2:$M$48=A150)+('Conciliacion de compuestos'!$N$2:$N$48=A150)+('Conciliacion de compuestos'!$O$2:$O$48=A150))&gt;0))),""),"")</f>
        <v/>
      </c>
      <c r="G150" s="11">
        <f>IF(I150="conciliado","conciliado","por revisar")</f>
        <v/>
      </c>
      <c r="H150" s="11" t="inlineStr"/>
      <c r="I150" s="11">
        <f>IF(SUM(COUNTIFS('Conciliacion de compuestos'!$D$2:$D$48,"conciliado",'Conciliacion de compuestos'!$E$2:$E$48,"OK",'Conciliacion de compuestos'!$M$2:$M$48,A150),COUNTIFS('Conciliacion de compuestos'!$D$2:$D$48,"conciliado",'Conciliacion de compuestos'!$E$2:$E$48,"OK",'Conciliacion de compuestos'!$N$2:$N$48,A150),COUNTIFS('Conciliacion de compuestos'!$D$2:$D$48,"conciliado",'Conciliacion de compuestos'!$E$2:$E$48,"OK",'Conciliacion de compuestos'!$O$2:$O$48,A150))&gt;0,"conciliado","por revisar")</f>
        <v/>
      </c>
    </row>
    <row r="151">
      <c r="A151" s="11" t="n">
        <v>201</v>
      </c>
      <c r="B151" s="12" t="n">
        <v>46010</v>
      </c>
      <c r="C151" s="11" t="inlineStr">
        <is>
          <t>ciro gonzalez santos</t>
        </is>
      </c>
      <c r="D151" s="13" t="n">
        <v>20000</v>
      </c>
      <c r="E151" s="11">
        <f>IF(G151="conciliado","conciliado",I151)</f>
        <v/>
      </c>
      <c r="F151" s="11" t="inlineStr">
        <is>
          <t>1069 | 2025-12-19 | 20,000 | consignacion credibanco d e</t>
        </is>
      </c>
      <c r="G151" s="11">
        <f>IF(I151="conciliado","conciliado","por revisar")</f>
        <v/>
      </c>
      <c r="H151" s="11" t="inlineStr"/>
      <c r="I151" s="11" t="inlineStr">
        <is>
          <t>conciliado</t>
        </is>
      </c>
    </row>
    <row r="152">
      <c r="A152" s="11" t="n">
        <v>184</v>
      </c>
      <c r="B152" s="12" t="n">
        <v>46009</v>
      </c>
      <c r="C152" s="11" t="inlineStr">
        <is>
          <t>au hector melo tobar</t>
        </is>
      </c>
      <c r="D152" s="13" t="n">
        <v>24000</v>
      </c>
      <c r="E152" s="11">
        <f>IF(G152="conciliado","conciliado",I152)</f>
        <v/>
      </c>
      <c r="F152" s="11">
        <f>IF(SUM(COUNTIFS('Conciliacion de compuestos'!$D$2:$D$48,"conciliado",'Conciliacion de compuestos'!$E$2:$E$48,"OK",'Conciliacion de compuestos'!$M$2:$M$48,A152),COUNTIFS('Conciliacion de compuestos'!$D$2:$D$48,"conciliado",'Conciliacion de compuestos'!$E$2:$E$48,"OK",'Conciliacion de compuestos'!$N$2:$N$48,A152),COUNTIFS('Conciliacion de compuestos'!$D$2:$D$48,"conciliado",'Conciliacion de compuestos'!$E$2:$E$48,"OK",'Conciliacion de compuestos'!$O$2:$O$48,A152))&gt;0,IFERROR(TEXTJOIN(CHAR(10),TRUE,FILTER('Conciliacion de compuestos'!$A$2:$A$48,('Conciliacion de compuestos'!$D$2:$D$48="conciliado")*('Conciliacion de compuestos'!$E$2:$E$48="OK")*((('Conciliacion de compuestos'!$M$2:$M$48=A152)+('Conciliacion de compuestos'!$N$2:$N$48=A152)+('Conciliacion de compuestos'!$O$2:$O$48=A152))&gt;0))),""),"")</f>
        <v/>
      </c>
      <c r="G152" s="11">
        <f>IF(I152="conciliado","conciliado","por revisar")</f>
        <v/>
      </c>
      <c r="H152" s="11" t="inlineStr"/>
      <c r="I152" s="11">
        <f>IF(SUM(COUNTIFS('Conciliacion de compuestos'!$D$2:$D$48,"conciliado",'Conciliacion de compuestos'!$E$2:$E$48,"OK",'Conciliacion de compuestos'!$M$2:$M$48,A152),COUNTIFS('Conciliacion de compuestos'!$D$2:$D$48,"conciliado",'Conciliacion de compuestos'!$E$2:$E$48,"OK",'Conciliacion de compuestos'!$N$2:$N$48,A152),COUNTIFS('Conciliacion de compuestos'!$D$2:$D$48,"conciliado",'Conciliacion de compuestos'!$E$2:$E$48,"OK",'Conciliacion de compuestos'!$O$2:$O$48,A152))&gt;0,"conciliado","por revisar")</f>
        <v/>
      </c>
    </row>
    <row r="153">
      <c r="A153" s="11" t="n">
        <v>231</v>
      </c>
      <c r="B153" s="12" t="n">
        <v>46012</v>
      </c>
      <c r="C153" s="11" t="inlineStr">
        <is>
          <t>arroyo caicedo yuran</t>
        </is>
      </c>
      <c r="D153" s="13" t="n">
        <v>68900</v>
      </c>
      <c r="E153" s="11">
        <f>IF(G153="conciliado","conciliado",I153)</f>
        <v/>
      </c>
      <c r="F153" s="11">
        <f>IF(SUM(COUNTIFS('Conciliacion de compuestos'!$D$2:$D$48,"conciliado",'Conciliacion de compuestos'!$E$2:$E$48,"OK",'Conciliacion de compuestos'!$M$2:$M$48,A153),COUNTIFS('Conciliacion de compuestos'!$D$2:$D$48,"conciliado",'Conciliacion de compuestos'!$E$2:$E$48,"OK",'Conciliacion de compuestos'!$N$2:$N$48,A153),COUNTIFS('Conciliacion de compuestos'!$D$2:$D$48,"conciliado",'Conciliacion de compuestos'!$E$2:$E$48,"OK",'Conciliacion de compuestos'!$O$2:$O$48,A153))&gt;0,IFERROR(TEXTJOIN(CHAR(10),TRUE,FILTER('Conciliacion de compuestos'!$A$2:$A$48,('Conciliacion de compuestos'!$D$2:$D$48="conciliado")*('Conciliacion de compuestos'!$E$2:$E$48="OK")*((('Conciliacion de compuestos'!$M$2:$M$48=A153)+('Conciliacion de compuestos'!$N$2:$N$48=A153)+('Conciliacion de compuestos'!$O$2:$O$48=A153))&gt;0))),""),"")</f>
        <v/>
      </c>
      <c r="G153" s="11">
        <f>IF(I153="conciliado","conciliado","por revisar")</f>
        <v/>
      </c>
      <c r="H153" s="11" t="inlineStr"/>
      <c r="I153" s="11">
        <f>IF(SUM(COUNTIFS('Conciliacion de compuestos'!$D$2:$D$48,"conciliado",'Conciliacion de compuestos'!$E$2:$E$48,"OK",'Conciliacion de compuestos'!$M$2:$M$48,A153),COUNTIFS('Conciliacion de compuestos'!$D$2:$D$48,"conciliado",'Conciliacion de compuestos'!$E$2:$E$48,"OK",'Conciliacion de compuestos'!$N$2:$N$48,A153),COUNTIFS('Conciliacion de compuestos'!$D$2:$D$48,"conciliado",'Conciliacion de compuestos'!$E$2:$E$48,"OK",'Conciliacion de compuestos'!$O$2:$O$48,A153))&gt;0,"conciliado","por revisar")</f>
        <v/>
      </c>
    </row>
    <row r="154">
      <c r="A154" s="11" t="n">
        <v>217</v>
      </c>
      <c r="B154" s="12" t="n">
        <v>46012</v>
      </c>
      <c r="C154" s="11" t="inlineStr">
        <is>
          <t>bastidas jen rosales</t>
        </is>
      </c>
      <c r="D154" s="13" t="n">
        <v>65900</v>
      </c>
      <c r="E154" s="11">
        <f>IF(G154="conciliado","conciliado",I154)</f>
        <v/>
      </c>
      <c r="F154" s="11">
        <f>IF(SUM(COUNTIFS('Conciliacion de compuestos'!$D$2:$D$48,"conciliado",'Conciliacion de compuestos'!$E$2:$E$48,"OK",'Conciliacion de compuestos'!$M$2:$M$48,A154),COUNTIFS('Conciliacion de compuestos'!$D$2:$D$48,"conciliado",'Conciliacion de compuestos'!$E$2:$E$48,"OK",'Conciliacion de compuestos'!$N$2:$N$48,A154),COUNTIFS('Conciliacion de compuestos'!$D$2:$D$48,"conciliado",'Conciliacion de compuestos'!$E$2:$E$48,"OK",'Conciliacion de compuestos'!$O$2:$O$48,A154))&gt;0,IFERROR(TEXTJOIN(CHAR(10),TRUE,FILTER('Conciliacion de compuestos'!$A$2:$A$48,('Conciliacion de compuestos'!$D$2:$D$48="conciliado")*('Conciliacion de compuestos'!$E$2:$E$48="OK")*((('Conciliacion de compuestos'!$M$2:$M$48=A154)+('Conciliacion de compuestos'!$N$2:$N$48=A154)+('Conciliacion de compuestos'!$O$2:$O$48=A154))&gt;0))),""),"")</f>
        <v/>
      </c>
      <c r="G154" s="11">
        <f>IF(I154="conciliado","conciliado","por revisar")</f>
        <v/>
      </c>
      <c r="H154" s="11" t="inlineStr"/>
      <c r="I154" s="11">
        <f>IF(SUM(COUNTIFS('Conciliacion de compuestos'!$D$2:$D$48,"conciliado",'Conciliacion de compuestos'!$E$2:$E$48,"OK",'Conciliacion de compuestos'!$M$2:$M$48,A154),COUNTIFS('Conciliacion de compuestos'!$D$2:$D$48,"conciliado",'Conciliacion de compuestos'!$E$2:$E$48,"OK",'Conciliacion de compuestos'!$N$2:$N$48,A154),COUNTIFS('Conciliacion de compuestos'!$D$2:$D$48,"conciliado",'Conciliacion de compuestos'!$E$2:$E$48,"OK",'Conciliacion de compuestos'!$O$2:$O$48,A154))&gt;0,"conciliado","por revisar")</f>
        <v/>
      </c>
    </row>
    <row r="155">
      <c r="A155" s="11" t="n">
        <v>215</v>
      </c>
      <c r="B155" s="12" t="n">
        <v>46012</v>
      </c>
      <c r="C155" s="11" t="inlineStr">
        <is>
          <t>marquez nanc narvaez</t>
        </is>
      </c>
      <c r="D155" s="13" t="n">
        <v>31100</v>
      </c>
      <c r="E155" s="11">
        <f>IF(G155="conciliado","conciliado",I155)</f>
        <v/>
      </c>
      <c r="F155" s="11">
        <f>IF(SUM(COUNTIFS('Conciliacion de compuestos'!$D$2:$D$48,"conciliado",'Conciliacion de compuestos'!$E$2:$E$48,"OK",'Conciliacion de compuestos'!$M$2:$M$48,A155),COUNTIFS('Conciliacion de compuestos'!$D$2:$D$48,"conciliado",'Conciliacion de compuestos'!$E$2:$E$48,"OK",'Conciliacion de compuestos'!$N$2:$N$48,A155),COUNTIFS('Conciliacion de compuestos'!$D$2:$D$48,"conciliado",'Conciliacion de compuestos'!$E$2:$E$48,"OK",'Conciliacion de compuestos'!$O$2:$O$48,A155))&gt;0,IFERROR(TEXTJOIN(CHAR(10),TRUE,FILTER('Conciliacion de compuestos'!$A$2:$A$48,('Conciliacion de compuestos'!$D$2:$D$48="conciliado")*('Conciliacion de compuestos'!$E$2:$E$48="OK")*((('Conciliacion de compuestos'!$M$2:$M$48=A155)+('Conciliacion de compuestos'!$N$2:$N$48=A155)+('Conciliacion de compuestos'!$O$2:$O$48=A155))&gt;0))),""),"")</f>
        <v/>
      </c>
      <c r="G155" s="11">
        <f>IF(I155="conciliado","conciliado","por revisar")</f>
        <v/>
      </c>
      <c r="H155" s="11" t="inlineStr"/>
      <c r="I155" s="11">
        <f>IF(SUM(COUNTIFS('Conciliacion de compuestos'!$D$2:$D$48,"conciliado",'Conciliacion de compuestos'!$E$2:$E$48,"OK",'Conciliacion de compuestos'!$M$2:$M$48,A155),COUNTIFS('Conciliacion de compuestos'!$D$2:$D$48,"conciliado",'Conciliacion de compuestos'!$E$2:$E$48,"OK",'Conciliacion de compuestos'!$N$2:$N$48,A155),COUNTIFS('Conciliacion de compuestos'!$D$2:$D$48,"conciliado",'Conciliacion de compuestos'!$E$2:$E$48,"OK",'Conciliacion de compuestos'!$O$2:$O$48,A155))&gt;0,"conciliado","por revisar")</f>
        <v/>
      </c>
    </row>
    <row r="156">
      <c r="A156" s="11" t="n">
        <v>228</v>
      </c>
      <c r="B156" s="12" t="n">
        <v>46012</v>
      </c>
      <c r="C156" s="11" t="inlineStr">
        <is>
          <t>cuaran cuaran pablo</t>
        </is>
      </c>
      <c r="D156" s="13" t="n">
        <v>42200</v>
      </c>
      <c r="E156" s="11">
        <f>IF(G156="conciliado","conciliado",I156)</f>
        <v/>
      </c>
      <c r="F156" s="11">
        <f>IF(SUM(COUNTIFS('Conciliacion de compuestos'!$D$2:$D$48,"conciliado",'Conciliacion de compuestos'!$E$2:$E$48,"OK",'Conciliacion de compuestos'!$M$2:$M$48,A156),COUNTIFS('Conciliacion de compuestos'!$D$2:$D$48,"conciliado",'Conciliacion de compuestos'!$E$2:$E$48,"OK",'Conciliacion de compuestos'!$N$2:$N$48,A156),COUNTIFS('Conciliacion de compuestos'!$D$2:$D$48,"conciliado",'Conciliacion de compuestos'!$E$2:$E$48,"OK",'Conciliacion de compuestos'!$O$2:$O$48,A156))&gt;0,IFERROR(TEXTJOIN(CHAR(10),TRUE,FILTER('Conciliacion de compuestos'!$A$2:$A$48,('Conciliacion de compuestos'!$D$2:$D$48="conciliado")*('Conciliacion de compuestos'!$E$2:$E$48="OK")*((('Conciliacion de compuestos'!$M$2:$M$48=A156)+('Conciliacion de compuestos'!$N$2:$N$48=A156)+('Conciliacion de compuestos'!$O$2:$O$48=A156))&gt;0))),""),"")</f>
        <v/>
      </c>
      <c r="G156" s="11">
        <f>IF(I156="conciliado","conciliado","por revisar")</f>
        <v/>
      </c>
      <c r="H156" s="11" t="inlineStr"/>
      <c r="I156" s="11">
        <f>IF(SUM(COUNTIFS('Conciliacion de compuestos'!$D$2:$D$48,"conciliado",'Conciliacion de compuestos'!$E$2:$E$48,"OK",'Conciliacion de compuestos'!$M$2:$M$48,A156),COUNTIFS('Conciliacion de compuestos'!$D$2:$D$48,"conciliado",'Conciliacion de compuestos'!$E$2:$E$48,"OK",'Conciliacion de compuestos'!$N$2:$N$48,A156),COUNTIFS('Conciliacion de compuestos'!$D$2:$D$48,"conciliado",'Conciliacion de compuestos'!$E$2:$E$48,"OK",'Conciliacion de compuestos'!$O$2:$O$48,A156))&gt;0,"conciliado","por revisar")</f>
        <v/>
      </c>
    </row>
    <row r="157">
      <c r="A157" s="11" t="n">
        <v>230</v>
      </c>
      <c r="B157" s="12" t="n">
        <v>46012</v>
      </c>
      <c r="C157" s="11" t="inlineStr">
        <is>
          <t>martinez sofia</t>
        </is>
      </c>
      <c r="D157" s="13" t="n">
        <v>111600</v>
      </c>
      <c r="E157" s="11">
        <f>IF(G157="conciliado","conciliado",I157)</f>
        <v/>
      </c>
      <c r="F157" s="11">
        <f>IF(SUM(COUNTIFS('Conciliacion de compuestos'!$D$2:$D$48,"conciliado",'Conciliacion de compuestos'!$E$2:$E$48,"OK",'Conciliacion de compuestos'!$M$2:$M$48,A157),COUNTIFS('Conciliacion de compuestos'!$D$2:$D$48,"conciliado",'Conciliacion de compuestos'!$E$2:$E$48,"OK",'Conciliacion de compuestos'!$N$2:$N$48,A157),COUNTIFS('Conciliacion de compuestos'!$D$2:$D$48,"conciliado",'Conciliacion de compuestos'!$E$2:$E$48,"OK",'Conciliacion de compuestos'!$O$2:$O$48,A157))&gt;0,IFERROR(TEXTJOIN(CHAR(10),TRUE,FILTER('Conciliacion de compuestos'!$A$2:$A$48,('Conciliacion de compuestos'!$D$2:$D$48="conciliado")*('Conciliacion de compuestos'!$E$2:$E$48="OK")*((('Conciliacion de compuestos'!$M$2:$M$48=A157)+('Conciliacion de compuestos'!$N$2:$N$48=A157)+('Conciliacion de compuestos'!$O$2:$O$48=A157))&gt;0))),""),"")</f>
        <v/>
      </c>
      <c r="G157" s="11">
        <f>IF(I157="conciliado","conciliado","por revisar")</f>
        <v/>
      </c>
      <c r="H157" s="11" t="inlineStr"/>
      <c r="I157" s="11">
        <f>IF(SUM(COUNTIFS('Conciliacion de compuestos'!$D$2:$D$48,"conciliado",'Conciliacion de compuestos'!$E$2:$E$48,"OK",'Conciliacion de compuestos'!$M$2:$M$48,A157),COUNTIFS('Conciliacion de compuestos'!$D$2:$D$48,"conciliado",'Conciliacion de compuestos'!$E$2:$E$48,"OK",'Conciliacion de compuestos'!$N$2:$N$48,A157),COUNTIFS('Conciliacion de compuestos'!$D$2:$D$48,"conciliado",'Conciliacion de compuestos'!$E$2:$E$48,"OK",'Conciliacion de compuestos'!$O$2:$O$48,A157))&gt;0,"conciliado","por revisar")</f>
        <v/>
      </c>
    </row>
    <row r="158">
      <c r="A158" s="11" t="n">
        <v>200</v>
      </c>
      <c r="B158" s="12" t="n">
        <v>46010</v>
      </c>
      <c r="C158" s="11" t="inlineStr">
        <is>
          <t>diaz harol hernandez</t>
        </is>
      </c>
      <c r="D158" s="13" t="n">
        <v>23000</v>
      </c>
      <c r="E158" s="11">
        <f>IF(G158="conciliado","conciliado",I158)</f>
        <v/>
      </c>
      <c r="F158" s="11">
        <f>IF(SUM(COUNTIFS('Conciliacion de compuestos'!$D$2:$D$48,"conciliado",'Conciliacion de compuestos'!$E$2:$E$48,"OK",'Conciliacion de compuestos'!$M$2:$M$48,A158),COUNTIFS('Conciliacion de compuestos'!$D$2:$D$48,"conciliado",'Conciliacion de compuestos'!$E$2:$E$48,"OK",'Conciliacion de compuestos'!$N$2:$N$48,A158),COUNTIFS('Conciliacion de compuestos'!$D$2:$D$48,"conciliado",'Conciliacion de compuestos'!$E$2:$E$48,"OK",'Conciliacion de compuestos'!$O$2:$O$48,A158))&gt;0,IFERROR(TEXTJOIN(CHAR(10),TRUE,FILTER('Conciliacion de compuestos'!$A$2:$A$48,('Conciliacion de compuestos'!$D$2:$D$48="conciliado")*('Conciliacion de compuestos'!$E$2:$E$48="OK")*((('Conciliacion de compuestos'!$M$2:$M$48=A158)+('Conciliacion de compuestos'!$N$2:$N$48=A158)+('Conciliacion de compuestos'!$O$2:$O$48=A158))&gt;0))),""),"")</f>
        <v/>
      </c>
      <c r="G158" s="11">
        <f>IF(I158="conciliado","conciliado","por revisar")</f>
        <v/>
      </c>
      <c r="H158" s="11" t="inlineStr"/>
      <c r="I158" s="11">
        <f>IF(SUM(COUNTIFS('Conciliacion de compuestos'!$D$2:$D$48,"conciliado",'Conciliacion de compuestos'!$E$2:$E$48,"OK",'Conciliacion de compuestos'!$M$2:$M$48,A158),COUNTIFS('Conciliacion de compuestos'!$D$2:$D$48,"conciliado",'Conciliacion de compuestos'!$E$2:$E$48,"OK",'Conciliacion de compuestos'!$N$2:$N$48,A158),COUNTIFS('Conciliacion de compuestos'!$D$2:$D$48,"conciliado",'Conciliacion de compuestos'!$E$2:$E$48,"OK",'Conciliacion de compuestos'!$O$2:$O$48,A158))&gt;0,"conciliado","por revisar")</f>
        <v/>
      </c>
    </row>
    <row r="159">
      <c r="A159" s="11" t="n">
        <v>188</v>
      </c>
      <c r="B159" s="12" t="n">
        <v>46010</v>
      </c>
      <c r="C159" s="11" t="inlineStr">
        <is>
          <t>gaviria jenith munoz</t>
        </is>
      </c>
      <c r="D159" s="13" t="n">
        <v>24600</v>
      </c>
      <c r="E159" s="11">
        <f>IF(G159="conciliado","conciliado",I159)</f>
        <v/>
      </c>
      <c r="F159" s="11">
        <f>IF(SUM(COUNTIFS('Conciliacion de compuestos'!$D$2:$D$48,"conciliado",'Conciliacion de compuestos'!$E$2:$E$48,"OK",'Conciliacion de compuestos'!$M$2:$M$48,A159),COUNTIFS('Conciliacion de compuestos'!$D$2:$D$48,"conciliado",'Conciliacion de compuestos'!$E$2:$E$48,"OK",'Conciliacion de compuestos'!$N$2:$N$48,A159),COUNTIFS('Conciliacion de compuestos'!$D$2:$D$48,"conciliado",'Conciliacion de compuestos'!$E$2:$E$48,"OK",'Conciliacion de compuestos'!$O$2:$O$48,A159))&gt;0,IFERROR(TEXTJOIN(CHAR(10),TRUE,FILTER('Conciliacion de compuestos'!$A$2:$A$48,('Conciliacion de compuestos'!$D$2:$D$48="conciliado")*('Conciliacion de compuestos'!$E$2:$E$48="OK")*((('Conciliacion de compuestos'!$M$2:$M$48=A159)+('Conciliacion de compuestos'!$N$2:$N$48=A159)+('Conciliacion de compuestos'!$O$2:$O$48=A159))&gt;0))),""),"")</f>
        <v/>
      </c>
      <c r="G159" s="11">
        <f>IF(I159="conciliado","conciliado","por revisar")</f>
        <v/>
      </c>
      <c r="H159" s="11" t="inlineStr"/>
      <c r="I159" s="11">
        <f>IF(SUM(COUNTIFS('Conciliacion de compuestos'!$D$2:$D$48,"conciliado",'Conciliacion de compuestos'!$E$2:$E$48,"OK",'Conciliacion de compuestos'!$M$2:$M$48,A159),COUNTIFS('Conciliacion de compuestos'!$D$2:$D$48,"conciliado",'Conciliacion de compuestos'!$E$2:$E$48,"OK",'Conciliacion de compuestos'!$N$2:$N$48,A159),COUNTIFS('Conciliacion de compuestos'!$D$2:$D$48,"conciliado",'Conciliacion de compuestos'!$E$2:$E$48,"OK",'Conciliacion de compuestos'!$O$2:$O$48,A159))&gt;0,"conciliado","por revisar")</f>
        <v/>
      </c>
    </row>
    <row r="160">
      <c r="A160" s="11" t="n">
        <v>197</v>
      </c>
      <c r="B160" s="12" t="n">
        <v>46010</v>
      </c>
      <c r="C160" s="11" t="inlineStr">
        <is>
          <t>bastidas fa guerrero</t>
        </is>
      </c>
      <c r="D160" s="13" t="n">
        <v>86300</v>
      </c>
      <c r="E160" s="11">
        <f>IF(G160="conciliado","conciliado",I160)</f>
        <v/>
      </c>
      <c r="F160" s="11">
        <f>IF(SUM(COUNTIFS('Conciliacion de compuestos'!$D$2:$D$48,"conciliado",'Conciliacion de compuestos'!$E$2:$E$48,"OK",'Conciliacion de compuestos'!$M$2:$M$48,A160),COUNTIFS('Conciliacion de compuestos'!$D$2:$D$48,"conciliado",'Conciliacion de compuestos'!$E$2:$E$48,"OK",'Conciliacion de compuestos'!$N$2:$N$48,A160),COUNTIFS('Conciliacion de compuestos'!$D$2:$D$48,"conciliado",'Conciliacion de compuestos'!$E$2:$E$48,"OK",'Conciliacion de compuestos'!$O$2:$O$48,A160))&gt;0,IFERROR(TEXTJOIN(CHAR(10),TRUE,FILTER('Conciliacion de compuestos'!$A$2:$A$48,('Conciliacion de compuestos'!$D$2:$D$48="conciliado")*('Conciliacion de compuestos'!$E$2:$E$48="OK")*((('Conciliacion de compuestos'!$M$2:$M$48=A160)+('Conciliacion de compuestos'!$N$2:$N$48=A160)+('Conciliacion de compuestos'!$O$2:$O$48=A160))&gt;0))),""),"")</f>
        <v/>
      </c>
      <c r="G160" s="11">
        <f>IF(I160="conciliado","conciliado","por revisar")</f>
        <v/>
      </c>
      <c r="H160" s="11" t="inlineStr"/>
      <c r="I160" s="11">
        <f>IF(SUM(COUNTIFS('Conciliacion de compuestos'!$D$2:$D$48,"conciliado",'Conciliacion de compuestos'!$E$2:$E$48,"OK",'Conciliacion de compuestos'!$M$2:$M$48,A160),COUNTIFS('Conciliacion de compuestos'!$D$2:$D$48,"conciliado",'Conciliacion de compuestos'!$E$2:$E$48,"OK",'Conciliacion de compuestos'!$N$2:$N$48,A160),COUNTIFS('Conciliacion de compuestos'!$D$2:$D$48,"conciliado",'Conciliacion de compuestos'!$E$2:$E$48,"OK",'Conciliacion de compuestos'!$O$2:$O$48,A160))&gt;0,"conciliado","por revisar")</f>
        <v/>
      </c>
    </row>
    <row r="161">
      <c r="A161" s="11" t="n">
        <v>243</v>
      </c>
      <c r="B161" s="12" t="n">
        <v>46013</v>
      </c>
      <c r="C161" s="11" t="inlineStr">
        <is>
          <t>james mendoza pardo</t>
        </is>
      </c>
      <c r="D161" s="13" t="n">
        <v>25900</v>
      </c>
      <c r="E161" s="11">
        <f>IF(G161="conciliado","conciliado",I161)</f>
        <v/>
      </c>
      <c r="F161" s="11" t="inlineStr">
        <is>
          <t>1174 | 2025-12-22 | 25,900 | consignacion credibanco d e</t>
        </is>
      </c>
      <c r="G161" s="11">
        <f>IF(I161="conciliado","conciliado","por revisar")</f>
        <v/>
      </c>
      <c r="H161" s="11" t="inlineStr"/>
      <c r="I161" s="11" t="inlineStr">
        <is>
          <t>conciliado</t>
        </is>
      </c>
    </row>
    <row r="162">
      <c r="A162" s="11" t="n">
        <v>212</v>
      </c>
      <c r="B162" s="12" t="n">
        <v>46011</v>
      </c>
      <c r="C162" s="11" t="inlineStr">
        <is>
          <t>lisbeth pa pena pena</t>
        </is>
      </c>
      <c r="D162" s="13" t="n">
        <v>72600</v>
      </c>
      <c r="E162" s="11">
        <f>IF(G162="conciliado","conciliado",I162)</f>
        <v/>
      </c>
      <c r="F162" s="11">
        <f>IF(SUM(COUNTIFS('Conciliacion de compuestos'!$D$2:$D$48,"conciliado",'Conciliacion de compuestos'!$E$2:$E$48,"OK",'Conciliacion de compuestos'!$M$2:$M$48,A162),COUNTIFS('Conciliacion de compuestos'!$D$2:$D$48,"conciliado",'Conciliacion de compuestos'!$E$2:$E$48,"OK",'Conciliacion de compuestos'!$N$2:$N$48,A162),COUNTIFS('Conciliacion de compuestos'!$D$2:$D$48,"conciliado",'Conciliacion de compuestos'!$E$2:$E$48,"OK",'Conciliacion de compuestos'!$O$2:$O$48,A162))&gt;0,IFERROR(TEXTJOIN(CHAR(10),TRUE,FILTER('Conciliacion de compuestos'!$A$2:$A$48,('Conciliacion de compuestos'!$D$2:$D$48="conciliado")*('Conciliacion de compuestos'!$E$2:$E$48="OK")*((('Conciliacion de compuestos'!$M$2:$M$48=A162)+('Conciliacion de compuestos'!$N$2:$N$48=A162)+('Conciliacion de compuestos'!$O$2:$O$48=A162))&gt;0))),""),"")</f>
        <v/>
      </c>
      <c r="G162" s="11">
        <f>IF(I162="conciliado","conciliado","por revisar")</f>
        <v/>
      </c>
      <c r="H162" s="11" t="inlineStr"/>
      <c r="I162" s="11">
        <f>IF(SUM(COUNTIFS('Conciliacion de compuestos'!$D$2:$D$48,"conciliado",'Conciliacion de compuestos'!$E$2:$E$48,"OK",'Conciliacion de compuestos'!$M$2:$M$48,A162),COUNTIFS('Conciliacion de compuestos'!$D$2:$D$48,"conciliado",'Conciliacion de compuestos'!$E$2:$E$48,"OK",'Conciliacion de compuestos'!$N$2:$N$48,A162),COUNTIFS('Conciliacion de compuestos'!$D$2:$D$48,"conciliado",'Conciliacion de compuestos'!$E$2:$E$48,"OK",'Conciliacion de compuestos'!$O$2:$O$48,A162))&gt;0,"conciliado","por revisar")</f>
        <v/>
      </c>
    </row>
    <row r="163">
      <c r="A163" s="11" t="n">
        <v>203</v>
      </c>
      <c r="B163" s="12" t="n">
        <v>46011</v>
      </c>
      <c r="C163" s="11" t="inlineStr">
        <is>
          <t>cagua garcia venanci</t>
        </is>
      </c>
      <c r="D163" s="13" t="n">
        <v>40950</v>
      </c>
      <c r="E163" s="11">
        <f>IF(G163="conciliado","conciliado",I163)</f>
        <v/>
      </c>
      <c r="F163" s="11">
        <f>IF(SUM(COUNTIFS('Conciliacion de compuestos'!$D$2:$D$48,"conciliado",'Conciliacion de compuestos'!$E$2:$E$48,"OK",'Conciliacion de compuestos'!$M$2:$M$48,A163),COUNTIFS('Conciliacion de compuestos'!$D$2:$D$48,"conciliado",'Conciliacion de compuestos'!$E$2:$E$48,"OK",'Conciliacion de compuestos'!$N$2:$N$48,A163),COUNTIFS('Conciliacion de compuestos'!$D$2:$D$48,"conciliado",'Conciliacion de compuestos'!$E$2:$E$48,"OK",'Conciliacion de compuestos'!$O$2:$O$48,A163))&gt;0,IFERROR(TEXTJOIN(CHAR(10),TRUE,FILTER('Conciliacion de compuestos'!$A$2:$A$48,('Conciliacion de compuestos'!$D$2:$D$48="conciliado")*('Conciliacion de compuestos'!$E$2:$E$48="OK")*((('Conciliacion de compuestos'!$M$2:$M$48=A163)+('Conciliacion de compuestos'!$N$2:$N$48=A163)+('Conciliacion de compuestos'!$O$2:$O$48=A163))&gt;0))),""),"")</f>
        <v/>
      </c>
      <c r="G163" s="11">
        <f>IF(I163="conciliado","conciliado","por revisar")</f>
        <v/>
      </c>
      <c r="H163" s="11" t="inlineStr"/>
      <c r="I163" s="11">
        <f>IF(SUM(COUNTIFS('Conciliacion de compuestos'!$D$2:$D$48,"conciliado",'Conciliacion de compuestos'!$E$2:$E$48,"OK",'Conciliacion de compuestos'!$M$2:$M$48,A163),COUNTIFS('Conciliacion de compuestos'!$D$2:$D$48,"conciliado",'Conciliacion de compuestos'!$E$2:$E$48,"OK",'Conciliacion de compuestos'!$N$2:$N$48,A163),COUNTIFS('Conciliacion de compuestos'!$D$2:$D$48,"conciliado",'Conciliacion de compuestos'!$E$2:$E$48,"OK",'Conciliacion de compuestos'!$O$2:$O$48,A163))&gt;0,"conciliado","por revisar")</f>
        <v/>
      </c>
    </row>
    <row r="164">
      <c r="A164" s="11" t="n">
        <v>206</v>
      </c>
      <c r="B164" s="12" t="n">
        <v>46011</v>
      </c>
      <c r="C164" s="11" t="inlineStr">
        <is>
          <t>coral fr hugo rosero</t>
        </is>
      </c>
      <c r="D164" s="13" t="n">
        <v>30900</v>
      </c>
      <c r="E164" s="11">
        <f>IF(G164="conciliado","conciliado",I164)</f>
        <v/>
      </c>
      <c r="F164" s="11">
        <f>IF(SUM(COUNTIFS('Conciliacion de compuestos'!$D$2:$D$48,"conciliado",'Conciliacion de compuestos'!$E$2:$E$48,"OK",'Conciliacion de compuestos'!$M$2:$M$48,A164),COUNTIFS('Conciliacion de compuestos'!$D$2:$D$48,"conciliado",'Conciliacion de compuestos'!$E$2:$E$48,"OK",'Conciliacion de compuestos'!$N$2:$N$48,A164),COUNTIFS('Conciliacion de compuestos'!$D$2:$D$48,"conciliado",'Conciliacion de compuestos'!$E$2:$E$48,"OK",'Conciliacion de compuestos'!$O$2:$O$48,A164))&gt;0,IFERROR(TEXTJOIN(CHAR(10),TRUE,FILTER('Conciliacion de compuestos'!$A$2:$A$48,('Conciliacion de compuestos'!$D$2:$D$48="conciliado")*('Conciliacion de compuestos'!$E$2:$E$48="OK")*((('Conciliacion de compuestos'!$M$2:$M$48=A164)+('Conciliacion de compuestos'!$N$2:$N$48=A164)+('Conciliacion de compuestos'!$O$2:$O$48=A164))&gt;0))),""),"")</f>
        <v/>
      </c>
      <c r="G164" s="11">
        <f>IF(I164="conciliado","conciliado","por revisar")</f>
        <v/>
      </c>
      <c r="H164" s="11" t="inlineStr"/>
      <c r="I164" s="11">
        <f>IF(SUM(COUNTIFS('Conciliacion de compuestos'!$D$2:$D$48,"conciliado",'Conciliacion de compuestos'!$E$2:$E$48,"OK",'Conciliacion de compuestos'!$M$2:$M$48,A164),COUNTIFS('Conciliacion de compuestos'!$D$2:$D$48,"conciliado",'Conciliacion de compuestos'!$E$2:$E$48,"OK",'Conciliacion de compuestos'!$N$2:$N$48,A164),COUNTIFS('Conciliacion de compuestos'!$D$2:$D$48,"conciliado",'Conciliacion de compuestos'!$E$2:$E$48,"OK",'Conciliacion de compuestos'!$O$2:$O$48,A164))&gt;0,"conciliado","por revisar")</f>
        <v/>
      </c>
    </row>
    <row r="165">
      <c r="A165" s="11" t="n">
        <v>211</v>
      </c>
      <c r="B165" s="12" t="n">
        <v>46011</v>
      </c>
      <c r="C165" s="11" t="inlineStr">
        <is>
          <t>adr arteaga quenguan</t>
        </is>
      </c>
      <c r="D165" s="13" t="n">
        <v>21900</v>
      </c>
      <c r="E165" s="11">
        <f>IF(G165="conciliado","conciliado",I165)</f>
        <v/>
      </c>
      <c r="F165" s="11">
        <f>IF(SUM(COUNTIFS('Conciliacion de compuestos'!$D$2:$D$48,"conciliado",'Conciliacion de compuestos'!$E$2:$E$48,"OK",'Conciliacion de compuestos'!$M$2:$M$48,A165),COUNTIFS('Conciliacion de compuestos'!$D$2:$D$48,"conciliado",'Conciliacion de compuestos'!$E$2:$E$48,"OK",'Conciliacion de compuestos'!$N$2:$N$48,A165),COUNTIFS('Conciliacion de compuestos'!$D$2:$D$48,"conciliado",'Conciliacion de compuestos'!$E$2:$E$48,"OK",'Conciliacion de compuestos'!$O$2:$O$48,A165))&gt;0,IFERROR(TEXTJOIN(CHAR(10),TRUE,FILTER('Conciliacion de compuestos'!$A$2:$A$48,('Conciliacion de compuestos'!$D$2:$D$48="conciliado")*('Conciliacion de compuestos'!$E$2:$E$48="OK")*((('Conciliacion de compuestos'!$M$2:$M$48=A165)+('Conciliacion de compuestos'!$N$2:$N$48=A165)+('Conciliacion de compuestos'!$O$2:$O$48=A165))&gt;0))),""),"")</f>
        <v/>
      </c>
      <c r="G165" s="11">
        <f>IF(I165="conciliado","conciliado","por revisar")</f>
        <v/>
      </c>
      <c r="H165" s="11" t="inlineStr"/>
      <c r="I165" s="11">
        <f>IF(SUM(COUNTIFS('Conciliacion de compuestos'!$D$2:$D$48,"conciliado",'Conciliacion de compuestos'!$E$2:$E$48,"OK",'Conciliacion de compuestos'!$M$2:$M$48,A165),COUNTIFS('Conciliacion de compuestos'!$D$2:$D$48,"conciliado",'Conciliacion de compuestos'!$E$2:$E$48,"OK",'Conciliacion de compuestos'!$N$2:$N$48,A165),COUNTIFS('Conciliacion de compuestos'!$D$2:$D$48,"conciliado",'Conciliacion de compuestos'!$E$2:$E$48,"OK",'Conciliacion de compuestos'!$O$2:$O$48,A165))&gt;0,"conciliado","por revisar")</f>
        <v/>
      </c>
    </row>
    <row r="166">
      <c r="A166" s="11" t="n">
        <v>214</v>
      </c>
      <c r="B166" s="12" t="n">
        <v>46011</v>
      </c>
      <c r="C166" s="11" t="inlineStr">
        <is>
          <t>andres jimenez munoz</t>
        </is>
      </c>
      <c r="D166" s="13" t="n">
        <v>54000</v>
      </c>
      <c r="E166" s="11">
        <f>IF(G166="conciliado","conciliado",I166)</f>
        <v/>
      </c>
      <c r="F166" s="11">
        <f>IF(SUM(COUNTIFS('Conciliacion de compuestos'!$D$2:$D$48,"conciliado",'Conciliacion de compuestos'!$E$2:$E$48,"OK",'Conciliacion de compuestos'!$M$2:$M$48,A166),COUNTIFS('Conciliacion de compuestos'!$D$2:$D$48,"conciliado",'Conciliacion de compuestos'!$E$2:$E$48,"OK",'Conciliacion de compuestos'!$N$2:$N$48,A166),COUNTIFS('Conciliacion de compuestos'!$D$2:$D$48,"conciliado",'Conciliacion de compuestos'!$E$2:$E$48,"OK",'Conciliacion de compuestos'!$O$2:$O$48,A166))&gt;0,IFERROR(TEXTJOIN(CHAR(10),TRUE,FILTER('Conciliacion de compuestos'!$A$2:$A$48,('Conciliacion de compuestos'!$D$2:$D$48="conciliado")*('Conciliacion de compuestos'!$E$2:$E$48="OK")*((('Conciliacion de compuestos'!$M$2:$M$48=A166)+('Conciliacion de compuestos'!$N$2:$N$48=A166)+('Conciliacion de compuestos'!$O$2:$O$48=A166))&gt;0))),""),"")</f>
        <v/>
      </c>
      <c r="G166" s="11">
        <f>IF(I166="conciliado","conciliado","por revisar")</f>
        <v/>
      </c>
      <c r="H166" s="11" t="inlineStr"/>
      <c r="I166" s="11">
        <f>IF(SUM(COUNTIFS('Conciliacion de compuestos'!$D$2:$D$48,"conciliado",'Conciliacion de compuestos'!$E$2:$E$48,"OK",'Conciliacion de compuestos'!$M$2:$M$48,A166),COUNTIFS('Conciliacion de compuestos'!$D$2:$D$48,"conciliado",'Conciliacion de compuestos'!$E$2:$E$48,"OK",'Conciliacion de compuestos'!$N$2:$N$48,A166),COUNTIFS('Conciliacion de compuestos'!$D$2:$D$48,"conciliado",'Conciliacion de compuestos'!$E$2:$E$48,"OK",'Conciliacion de compuestos'!$O$2:$O$48,A166))&gt;0,"conciliado","por revisar")</f>
        <v/>
      </c>
    </row>
    <row r="167">
      <c r="A167" s="11" t="n">
        <v>208</v>
      </c>
      <c r="B167" s="12" t="n">
        <v>46011</v>
      </c>
      <c r="C167" s="11" t="inlineStr">
        <is>
          <t>gomez montenegro san</t>
        </is>
      </c>
      <c r="D167" s="13" t="n">
        <v>31700</v>
      </c>
      <c r="E167" s="11">
        <f>IF(G167="conciliado","conciliado",I167)</f>
        <v/>
      </c>
      <c r="F167" s="11">
        <f>IF(SUM(COUNTIFS('Conciliacion de compuestos'!$D$2:$D$48,"conciliado",'Conciliacion de compuestos'!$E$2:$E$48,"OK",'Conciliacion de compuestos'!$M$2:$M$48,A167),COUNTIFS('Conciliacion de compuestos'!$D$2:$D$48,"conciliado",'Conciliacion de compuestos'!$E$2:$E$48,"OK",'Conciliacion de compuestos'!$N$2:$N$48,A167),COUNTIFS('Conciliacion de compuestos'!$D$2:$D$48,"conciliado",'Conciliacion de compuestos'!$E$2:$E$48,"OK",'Conciliacion de compuestos'!$O$2:$O$48,A167))&gt;0,IFERROR(TEXTJOIN(CHAR(10),TRUE,FILTER('Conciliacion de compuestos'!$A$2:$A$48,('Conciliacion de compuestos'!$D$2:$D$48="conciliado")*('Conciliacion de compuestos'!$E$2:$E$48="OK")*((('Conciliacion de compuestos'!$M$2:$M$48=A167)+('Conciliacion de compuestos'!$N$2:$N$48=A167)+('Conciliacion de compuestos'!$O$2:$O$48=A167))&gt;0))),""),"")</f>
        <v/>
      </c>
      <c r="G167" s="11">
        <f>IF(I167="conciliado","conciliado","por revisar")</f>
        <v/>
      </c>
      <c r="H167" s="11" t="inlineStr"/>
      <c r="I167" s="11">
        <f>IF(SUM(COUNTIFS('Conciliacion de compuestos'!$D$2:$D$48,"conciliado",'Conciliacion de compuestos'!$E$2:$E$48,"OK",'Conciliacion de compuestos'!$M$2:$M$48,A167),COUNTIFS('Conciliacion de compuestos'!$D$2:$D$48,"conciliado",'Conciliacion de compuestos'!$E$2:$E$48,"OK",'Conciliacion de compuestos'!$N$2:$N$48,A167),COUNTIFS('Conciliacion de compuestos'!$D$2:$D$48,"conciliado",'Conciliacion de compuestos'!$E$2:$E$48,"OK",'Conciliacion de compuestos'!$O$2:$O$48,A167))&gt;0,"conciliado","por revisar")</f>
        <v/>
      </c>
    </row>
    <row r="168">
      <c r="A168" s="11" t="n">
        <v>205</v>
      </c>
      <c r="B168" s="12" t="n">
        <v>46011</v>
      </c>
      <c r="C168" s="11" t="inlineStr">
        <is>
          <t>gomez karina urbina</t>
        </is>
      </c>
      <c r="D168" s="13" t="n">
        <v>80000</v>
      </c>
      <c r="E168" s="11">
        <f>IF(G168="conciliado","conciliado",I168)</f>
        <v/>
      </c>
      <c r="F168" s="11">
        <f>IF(SUM(COUNTIFS('Conciliacion de compuestos'!$D$2:$D$48,"conciliado",'Conciliacion de compuestos'!$E$2:$E$48,"OK",'Conciliacion de compuestos'!$M$2:$M$48,A168),COUNTIFS('Conciliacion de compuestos'!$D$2:$D$48,"conciliado",'Conciliacion de compuestos'!$E$2:$E$48,"OK",'Conciliacion de compuestos'!$N$2:$N$48,A168),COUNTIFS('Conciliacion de compuestos'!$D$2:$D$48,"conciliado",'Conciliacion de compuestos'!$E$2:$E$48,"OK",'Conciliacion de compuestos'!$O$2:$O$48,A168))&gt;0,IFERROR(TEXTJOIN(CHAR(10),TRUE,FILTER('Conciliacion de compuestos'!$A$2:$A$48,('Conciliacion de compuestos'!$D$2:$D$48="conciliado")*('Conciliacion de compuestos'!$E$2:$E$48="OK")*((('Conciliacion de compuestos'!$M$2:$M$48=A168)+('Conciliacion de compuestos'!$N$2:$N$48=A168)+('Conciliacion de compuestos'!$O$2:$O$48=A168))&gt;0))),""),"")</f>
        <v/>
      </c>
      <c r="G168" s="11">
        <f>IF(I168="conciliado","conciliado","por revisar")</f>
        <v/>
      </c>
      <c r="H168" s="11" t="inlineStr"/>
      <c r="I168" s="11">
        <f>IF(SUM(COUNTIFS('Conciliacion de compuestos'!$D$2:$D$48,"conciliado",'Conciliacion de compuestos'!$E$2:$E$48,"OK",'Conciliacion de compuestos'!$M$2:$M$48,A168),COUNTIFS('Conciliacion de compuestos'!$D$2:$D$48,"conciliado",'Conciliacion de compuestos'!$E$2:$E$48,"OK",'Conciliacion de compuestos'!$N$2:$N$48,A168),COUNTIFS('Conciliacion de compuestos'!$D$2:$D$48,"conciliado",'Conciliacion de compuestos'!$E$2:$E$48,"OK",'Conciliacion de compuestos'!$O$2:$O$48,A168))&gt;0,"conciliado","por revisar")</f>
        <v/>
      </c>
    </row>
    <row r="169">
      <c r="A169" s="11" t="n">
        <v>225</v>
      </c>
      <c r="B169" s="12" t="n">
        <v>46012</v>
      </c>
      <c r="C169" s="11" t="inlineStr">
        <is>
          <t>contreras di pantoja</t>
        </is>
      </c>
      <c r="D169" s="13" t="n">
        <v>92000</v>
      </c>
      <c r="E169" s="11">
        <f>IF(G169="conciliado","conciliado",I169)</f>
        <v/>
      </c>
      <c r="F169" s="11">
        <f>IF(SUM(COUNTIFS('Conciliacion de compuestos'!$D$2:$D$48,"conciliado",'Conciliacion de compuestos'!$E$2:$E$48,"OK",'Conciliacion de compuestos'!$M$2:$M$48,A169),COUNTIFS('Conciliacion de compuestos'!$D$2:$D$48,"conciliado",'Conciliacion de compuestos'!$E$2:$E$48,"OK",'Conciliacion de compuestos'!$N$2:$N$48,A169),COUNTIFS('Conciliacion de compuestos'!$D$2:$D$48,"conciliado",'Conciliacion de compuestos'!$E$2:$E$48,"OK",'Conciliacion de compuestos'!$O$2:$O$48,A169))&gt;0,IFERROR(TEXTJOIN(CHAR(10),TRUE,FILTER('Conciliacion de compuestos'!$A$2:$A$48,('Conciliacion de compuestos'!$D$2:$D$48="conciliado")*('Conciliacion de compuestos'!$E$2:$E$48="OK")*((('Conciliacion de compuestos'!$M$2:$M$48=A169)+('Conciliacion de compuestos'!$N$2:$N$48=A169)+('Conciliacion de compuestos'!$O$2:$O$48=A169))&gt;0))),""),"")</f>
        <v/>
      </c>
      <c r="G169" s="11">
        <f>IF(I169="conciliado","conciliado","por revisar")</f>
        <v/>
      </c>
      <c r="H169" s="11" t="inlineStr"/>
      <c r="I169" s="11">
        <f>IF(SUM(COUNTIFS('Conciliacion de compuestos'!$D$2:$D$48,"conciliado",'Conciliacion de compuestos'!$E$2:$E$48,"OK",'Conciliacion de compuestos'!$M$2:$M$48,A169),COUNTIFS('Conciliacion de compuestos'!$D$2:$D$48,"conciliado",'Conciliacion de compuestos'!$E$2:$E$48,"OK",'Conciliacion de compuestos'!$N$2:$N$48,A169),COUNTIFS('Conciliacion de compuestos'!$D$2:$D$48,"conciliado",'Conciliacion de compuestos'!$E$2:$E$48,"OK",'Conciliacion de compuestos'!$O$2:$O$48,A169))&gt;0,"conciliado","por revisar")</f>
        <v/>
      </c>
    </row>
    <row r="170">
      <c r="A170" s="11" t="n">
        <v>204</v>
      </c>
      <c r="B170" s="12" t="n">
        <v>46011</v>
      </c>
      <c r="C170" s="11" t="inlineStr">
        <is>
          <t>castillo jav moreano</t>
        </is>
      </c>
      <c r="D170" s="13" t="n">
        <v>76000</v>
      </c>
      <c r="E170" s="11">
        <f>IF(G170="conciliado","conciliado",I170)</f>
        <v/>
      </c>
      <c r="F170" s="11">
        <f>IF(SUM(COUNTIFS('Conciliacion de compuestos'!$D$2:$D$48,"conciliado",'Conciliacion de compuestos'!$E$2:$E$48,"OK",'Conciliacion de compuestos'!$M$2:$M$48,A170),COUNTIFS('Conciliacion de compuestos'!$D$2:$D$48,"conciliado",'Conciliacion de compuestos'!$E$2:$E$48,"OK",'Conciliacion de compuestos'!$N$2:$N$48,A170),COUNTIFS('Conciliacion de compuestos'!$D$2:$D$48,"conciliado",'Conciliacion de compuestos'!$E$2:$E$48,"OK",'Conciliacion de compuestos'!$O$2:$O$48,A170))&gt;0,IFERROR(TEXTJOIN(CHAR(10),TRUE,FILTER('Conciliacion de compuestos'!$A$2:$A$48,('Conciliacion de compuestos'!$D$2:$D$48="conciliado")*('Conciliacion de compuestos'!$E$2:$E$48="OK")*((('Conciliacion de compuestos'!$M$2:$M$48=A170)+('Conciliacion de compuestos'!$N$2:$N$48=A170)+('Conciliacion de compuestos'!$O$2:$O$48=A170))&gt;0))),""),"")</f>
        <v/>
      </c>
      <c r="G170" s="11">
        <f>IF(I170="conciliado","conciliado","por revisar")</f>
        <v/>
      </c>
      <c r="H170" s="11" t="inlineStr"/>
      <c r="I170" s="11">
        <f>IF(SUM(COUNTIFS('Conciliacion de compuestos'!$D$2:$D$48,"conciliado",'Conciliacion de compuestos'!$E$2:$E$48,"OK",'Conciliacion de compuestos'!$M$2:$M$48,A170),COUNTIFS('Conciliacion de compuestos'!$D$2:$D$48,"conciliado",'Conciliacion de compuestos'!$E$2:$E$48,"OK",'Conciliacion de compuestos'!$N$2:$N$48,A170),COUNTIFS('Conciliacion de compuestos'!$D$2:$D$48,"conciliado",'Conciliacion de compuestos'!$E$2:$E$48,"OK",'Conciliacion de compuestos'!$O$2:$O$48,A170))&gt;0,"conciliado","por revisar")</f>
        <v/>
      </c>
    </row>
    <row r="171">
      <c r="A171" s="11" t="n">
        <v>207</v>
      </c>
      <c r="B171" s="12" t="n">
        <v>46011</v>
      </c>
      <c r="C171" s="11" t="inlineStr">
        <is>
          <t>casanas cazanas jame</t>
        </is>
      </c>
      <c r="D171" s="13" t="n">
        <v>49878</v>
      </c>
      <c r="E171" s="11">
        <f>IF(G171="conciliado","conciliado",I171)</f>
        <v/>
      </c>
      <c r="F171" s="11">
        <f>IF(SUM(COUNTIFS('Conciliacion de compuestos'!$D$2:$D$48,"conciliado",'Conciliacion de compuestos'!$E$2:$E$48,"OK",'Conciliacion de compuestos'!$M$2:$M$48,A171),COUNTIFS('Conciliacion de compuestos'!$D$2:$D$48,"conciliado",'Conciliacion de compuestos'!$E$2:$E$48,"OK",'Conciliacion de compuestos'!$N$2:$N$48,A171),COUNTIFS('Conciliacion de compuestos'!$D$2:$D$48,"conciliado",'Conciliacion de compuestos'!$E$2:$E$48,"OK",'Conciliacion de compuestos'!$O$2:$O$48,A171))&gt;0,IFERROR(TEXTJOIN(CHAR(10),TRUE,FILTER('Conciliacion de compuestos'!$A$2:$A$48,('Conciliacion de compuestos'!$D$2:$D$48="conciliado")*('Conciliacion de compuestos'!$E$2:$E$48="OK")*((('Conciliacion de compuestos'!$M$2:$M$48=A171)+('Conciliacion de compuestos'!$N$2:$N$48=A171)+('Conciliacion de compuestos'!$O$2:$O$48=A171))&gt;0))),""),"")</f>
        <v/>
      </c>
      <c r="G171" s="11">
        <f>IF(I171="conciliado","conciliado","por revisar")</f>
        <v/>
      </c>
      <c r="H171" s="11" t="inlineStr"/>
      <c r="I171" s="11">
        <f>IF(SUM(COUNTIFS('Conciliacion de compuestos'!$D$2:$D$48,"conciliado",'Conciliacion de compuestos'!$E$2:$E$48,"OK",'Conciliacion de compuestos'!$M$2:$M$48,A171),COUNTIFS('Conciliacion de compuestos'!$D$2:$D$48,"conciliado",'Conciliacion de compuestos'!$E$2:$E$48,"OK",'Conciliacion de compuestos'!$N$2:$N$48,A171),COUNTIFS('Conciliacion de compuestos'!$D$2:$D$48,"conciliado",'Conciliacion de compuestos'!$E$2:$E$48,"OK",'Conciliacion de compuestos'!$O$2:$O$48,A171))&gt;0,"conciliado","por revisar")</f>
        <v/>
      </c>
    </row>
    <row r="172">
      <c r="A172" s="11" t="n">
        <v>191</v>
      </c>
      <c r="B172" s="12" t="n">
        <v>46010</v>
      </c>
      <c r="C172" s="11" t="inlineStr">
        <is>
          <t>guzman jach tarapuez</t>
        </is>
      </c>
      <c r="D172" s="13" t="n">
        <v>166000</v>
      </c>
      <c r="E172" s="11">
        <f>IF(G172="conciliado","conciliado",I172)</f>
        <v/>
      </c>
      <c r="F172" s="11">
        <f>IF(SUM(COUNTIFS('Conciliacion de compuestos'!$D$2:$D$48,"conciliado",'Conciliacion de compuestos'!$E$2:$E$48,"OK",'Conciliacion de compuestos'!$M$2:$M$48,A172),COUNTIFS('Conciliacion de compuestos'!$D$2:$D$48,"conciliado",'Conciliacion de compuestos'!$E$2:$E$48,"OK",'Conciliacion de compuestos'!$N$2:$N$48,A172),COUNTIFS('Conciliacion de compuestos'!$D$2:$D$48,"conciliado",'Conciliacion de compuestos'!$E$2:$E$48,"OK",'Conciliacion de compuestos'!$O$2:$O$48,A172))&gt;0,IFERROR(TEXTJOIN(CHAR(10),TRUE,FILTER('Conciliacion de compuestos'!$A$2:$A$48,('Conciliacion de compuestos'!$D$2:$D$48="conciliado")*('Conciliacion de compuestos'!$E$2:$E$48="OK")*((('Conciliacion de compuestos'!$M$2:$M$48=A172)+('Conciliacion de compuestos'!$N$2:$N$48=A172)+('Conciliacion de compuestos'!$O$2:$O$48=A172))&gt;0))),""),"")</f>
        <v/>
      </c>
      <c r="G172" s="11">
        <f>IF(I172="conciliado","conciliado","por revisar")</f>
        <v/>
      </c>
      <c r="H172" s="11" t="inlineStr"/>
      <c r="I172" s="11">
        <f>IF(SUM(COUNTIFS('Conciliacion de compuestos'!$D$2:$D$48,"conciliado",'Conciliacion de compuestos'!$E$2:$E$48,"OK",'Conciliacion de compuestos'!$M$2:$M$48,A172),COUNTIFS('Conciliacion de compuestos'!$D$2:$D$48,"conciliado",'Conciliacion de compuestos'!$E$2:$E$48,"OK",'Conciliacion de compuestos'!$N$2:$N$48,A172),COUNTIFS('Conciliacion de compuestos'!$D$2:$D$48,"conciliado",'Conciliacion de compuestos'!$E$2:$E$48,"OK",'Conciliacion de compuestos'!$O$2:$O$48,A172))&gt;0,"conciliado","por revisar")</f>
        <v/>
      </c>
    </row>
    <row r="173">
      <c r="A173" s="11" t="n">
        <v>199</v>
      </c>
      <c r="B173" s="12" t="n">
        <v>46010</v>
      </c>
      <c r="C173" s="11" t="inlineStr">
        <is>
          <t>championx colombi de</t>
        </is>
      </c>
      <c r="D173" s="13" t="n">
        <v>26100</v>
      </c>
      <c r="E173" s="11">
        <f>IF(G173="conciliado","conciliado",I173)</f>
        <v/>
      </c>
      <c r="F173" s="11">
        <f>IF(SUM(COUNTIFS('Conciliacion de compuestos'!$D$2:$D$48,"conciliado",'Conciliacion de compuestos'!$E$2:$E$48,"OK",'Conciliacion de compuestos'!$M$2:$M$48,A173),COUNTIFS('Conciliacion de compuestos'!$D$2:$D$48,"conciliado",'Conciliacion de compuestos'!$E$2:$E$48,"OK",'Conciliacion de compuestos'!$N$2:$N$48,A173),COUNTIFS('Conciliacion de compuestos'!$D$2:$D$48,"conciliado",'Conciliacion de compuestos'!$E$2:$E$48,"OK",'Conciliacion de compuestos'!$O$2:$O$48,A173))&gt;0,IFERROR(TEXTJOIN(CHAR(10),TRUE,FILTER('Conciliacion de compuestos'!$A$2:$A$48,('Conciliacion de compuestos'!$D$2:$D$48="conciliado")*('Conciliacion de compuestos'!$E$2:$E$48="OK")*((('Conciliacion de compuestos'!$M$2:$M$48=A173)+('Conciliacion de compuestos'!$N$2:$N$48=A173)+('Conciliacion de compuestos'!$O$2:$O$48=A173))&gt;0))),""),"")</f>
        <v/>
      </c>
      <c r="G173" s="11">
        <f>IF(I173="conciliado","conciliado","por revisar")</f>
        <v/>
      </c>
      <c r="H173" s="11" t="inlineStr"/>
      <c r="I173" s="11">
        <f>IF(SUM(COUNTIFS('Conciliacion de compuestos'!$D$2:$D$48,"conciliado",'Conciliacion de compuestos'!$E$2:$E$48,"OK",'Conciliacion de compuestos'!$M$2:$M$48,A173),COUNTIFS('Conciliacion de compuestos'!$D$2:$D$48,"conciliado",'Conciliacion de compuestos'!$E$2:$E$48,"OK",'Conciliacion de compuestos'!$N$2:$N$48,A173),COUNTIFS('Conciliacion de compuestos'!$D$2:$D$48,"conciliado",'Conciliacion de compuestos'!$E$2:$E$48,"OK",'Conciliacion de compuestos'!$O$2:$O$48,A173))&gt;0,"conciliado","por revisar")</f>
        <v/>
      </c>
    </row>
    <row r="174">
      <c r="A174" s="11" t="n">
        <v>196</v>
      </c>
      <c r="B174" s="12" t="n">
        <v>46010</v>
      </c>
      <c r="C174" s="11" t="inlineStr">
        <is>
          <t>bastidas bolanos pao</t>
        </is>
      </c>
      <c r="D174" s="13" t="n">
        <v>37100</v>
      </c>
      <c r="E174" s="11">
        <f>IF(G174="conciliado","conciliado",I174)</f>
        <v/>
      </c>
      <c r="F174" s="11">
        <f>IF(SUM(COUNTIFS('Conciliacion de compuestos'!$D$2:$D$48,"conciliado",'Conciliacion de compuestos'!$E$2:$E$48,"OK",'Conciliacion de compuestos'!$M$2:$M$48,A174),COUNTIFS('Conciliacion de compuestos'!$D$2:$D$48,"conciliado",'Conciliacion de compuestos'!$E$2:$E$48,"OK",'Conciliacion de compuestos'!$N$2:$N$48,A174),COUNTIFS('Conciliacion de compuestos'!$D$2:$D$48,"conciliado",'Conciliacion de compuestos'!$E$2:$E$48,"OK",'Conciliacion de compuestos'!$O$2:$O$48,A174))&gt;0,IFERROR(TEXTJOIN(CHAR(10),TRUE,FILTER('Conciliacion de compuestos'!$A$2:$A$48,('Conciliacion de compuestos'!$D$2:$D$48="conciliado")*('Conciliacion de compuestos'!$E$2:$E$48="OK")*((('Conciliacion de compuestos'!$M$2:$M$48=A174)+('Conciliacion de compuestos'!$N$2:$N$48=A174)+('Conciliacion de compuestos'!$O$2:$O$48=A174))&gt;0))),""),"")</f>
        <v/>
      </c>
      <c r="G174" s="11">
        <f>IF(I174="conciliado","conciliado","por revisar")</f>
        <v/>
      </c>
      <c r="H174" s="11" t="inlineStr"/>
      <c r="I174" s="11">
        <f>IF(SUM(COUNTIFS('Conciliacion de compuestos'!$D$2:$D$48,"conciliado",'Conciliacion de compuestos'!$E$2:$E$48,"OK",'Conciliacion de compuestos'!$M$2:$M$48,A174),COUNTIFS('Conciliacion de compuestos'!$D$2:$D$48,"conciliado",'Conciliacion de compuestos'!$E$2:$E$48,"OK",'Conciliacion de compuestos'!$N$2:$N$48,A174),COUNTIFS('Conciliacion de compuestos'!$D$2:$D$48,"conciliado",'Conciliacion de compuestos'!$E$2:$E$48,"OK",'Conciliacion de compuestos'!$O$2:$O$48,A174))&gt;0,"conciliado","por revisar")</f>
        <v/>
      </c>
    </row>
    <row r="175">
      <c r="A175" s="11" t="n">
        <v>189</v>
      </c>
      <c r="B175" s="12" t="n">
        <v>46010</v>
      </c>
      <c r="C175" s="11" t="inlineStr">
        <is>
          <t>acosta jaiber rosero</t>
        </is>
      </c>
      <c r="D175" s="13" t="n">
        <v>461400</v>
      </c>
      <c r="E175" s="11">
        <f>IF(G175="conciliado","conciliado",I175)</f>
        <v/>
      </c>
      <c r="F175" s="11">
        <f>IF(SUM(COUNTIFS('Conciliacion de compuestos'!$D$2:$D$48,"conciliado",'Conciliacion de compuestos'!$E$2:$E$48,"OK",'Conciliacion de compuestos'!$M$2:$M$48,A175),COUNTIFS('Conciliacion de compuestos'!$D$2:$D$48,"conciliado",'Conciliacion de compuestos'!$E$2:$E$48,"OK",'Conciliacion de compuestos'!$N$2:$N$48,A175),COUNTIFS('Conciliacion de compuestos'!$D$2:$D$48,"conciliado",'Conciliacion de compuestos'!$E$2:$E$48,"OK",'Conciliacion de compuestos'!$O$2:$O$48,A175))&gt;0,IFERROR(TEXTJOIN(CHAR(10),TRUE,FILTER('Conciliacion de compuestos'!$A$2:$A$48,('Conciliacion de compuestos'!$D$2:$D$48="conciliado")*('Conciliacion de compuestos'!$E$2:$E$48="OK")*((('Conciliacion de compuestos'!$M$2:$M$48=A175)+('Conciliacion de compuestos'!$N$2:$N$48=A175)+('Conciliacion de compuestos'!$O$2:$O$48=A175))&gt;0))),""),"")</f>
        <v/>
      </c>
      <c r="G175" s="11">
        <f>IF(I175="conciliado","conciliado","por revisar")</f>
        <v/>
      </c>
      <c r="H175" s="11" t="inlineStr"/>
      <c r="I175" s="11">
        <f>IF(SUM(COUNTIFS('Conciliacion de compuestos'!$D$2:$D$48,"conciliado",'Conciliacion de compuestos'!$E$2:$E$48,"OK",'Conciliacion de compuestos'!$M$2:$M$48,A175),COUNTIFS('Conciliacion de compuestos'!$D$2:$D$48,"conciliado",'Conciliacion de compuestos'!$E$2:$E$48,"OK",'Conciliacion de compuestos'!$N$2:$N$48,A175),COUNTIFS('Conciliacion de compuestos'!$D$2:$D$48,"conciliado",'Conciliacion de compuestos'!$E$2:$E$48,"OK",'Conciliacion de compuestos'!$O$2:$O$48,A175))&gt;0,"conciliado","por revisar")</f>
        <v/>
      </c>
    </row>
    <row r="176">
      <c r="A176" s="11" t="n">
        <v>194</v>
      </c>
      <c r="B176" s="12" t="n">
        <v>46010</v>
      </c>
      <c r="C176" s="11" t="inlineStr">
        <is>
          <t>henrry moriano toro</t>
        </is>
      </c>
      <c r="D176" s="13" t="n">
        <v>26200</v>
      </c>
      <c r="E176" s="11">
        <f>IF(G176="conciliado","conciliado",I176)</f>
        <v/>
      </c>
      <c r="F176" s="11">
        <f>IF(SUM(COUNTIFS('Conciliacion de compuestos'!$D$2:$D$48,"conciliado",'Conciliacion de compuestos'!$E$2:$E$48,"OK",'Conciliacion de compuestos'!$M$2:$M$48,A176),COUNTIFS('Conciliacion de compuestos'!$D$2:$D$48,"conciliado",'Conciliacion de compuestos'!$E$2:$E$48,"OK",'Conciliacion de compuestos'!$N$2:$N$48,A176),COUNTIFS('Conciliacion de compuestos'!$D$2:$D$48,"conciliado",'Conciliacion de compuestos'!$E$2:$E$48,"OK",'Conciliacion de compuestos'!$O$2:$O$48,A176))&gt;0,IFERROR(TEXTJOIN(CHAR(10),TRUE,FILTER('Conciliacion de compuestos'!$A$2:$A$48,('Conciliacion de compuestos'!$D$2:$D$48="conciliado")*('Conciliacion de compuestos'!$E$2:$E$48="OK")*((('Conciliacion de compuestos'!$M$2:$M$48=A176)+('Conciliacion de compuestos'!$N$2:$N$48=A176)+('Conciliacion de compuestos'!$O$2:$O$48=A176))&gt;0))),""),"")</f>
        <v/>
      </c>
      <c r="G176" s="11">
        <f>IF(I176="conciliado","conciliado","por revisar")</f>
        <v/>
      </c>
      <c r="H176" s="11" t="inlineStr"/>
      <c r="I176" s="11">
        <f>IF(SUM(COUNTIFS('Conciliacion de compuestos'!$D$2:$D$48,"conciliado",'Conciliacion de compuestos'!$E$2:$E$48,"OK",'Conciliacion de compuestos'!$M$2:$M$48,A176),COUNTIFS('Conciliacion de compuestos'!$D$2:$D$48,"conciliado",'Conciliacion de compuestos'!$E$2:$E$48,"OK",'Conciliacion de compuestos'!$N$2:$N$48,A176),COUNTIFS('Conciliacion de compuestos'!$D$2:$D$48,"conciliado",'Conciliacion de compuestos'!$E$2:$E$48,"OK",'Conciliacion de compuestos'!$O$2:$O$48,A176))&gt;0,"conciliado","por revisar")</f>
        <v/>
      </c>
    </row>
    <row r="177">
      <c r="A177" s="11" t="n">
        <v>209</v>
      </c>
      <c r="B177" s="12" t="n">
        <v>46011</v>
      </c>
      <c r="C177" s="11" t="inlineStr">
        <is>
          <t>hoyos joaqui lizeth</t>
        </is>
      </c>
      <c r="D177" s="13" t="n">
        <v>244800</v>
      </c>
      <c r="E177" s="11">
        <f>IF(G177="conciliado","conciliado",I177)</f>
        <v/>
      </c>
      <c r="F177" s="11">
        <f>IF(SUM(COUNTIFS('Conciliacion de compuestos'!$D$2:$D$48,"conciliado",'Conciliacion de compuestos'!$E$2:$E$48,"OK",'Conciliacion de compuestos'!$M$2:$M$48,A177),COUNTIFS('Conciliacion de compuestos'!$D$2:$D$48,"conciliado",'Conciliacion de compuestos'!$E$2:$E$48,"OK",'Conciliacion de compuestos'!$N$2:$N$48,A177),COUNTIFS('Conciliacion de compuestos'!$D$2:$D$48,"conciliado",'Conciliacion de compuestos'!$E$2:$E$48,"OK",'Conciliacion de compuestos'!$O$2:$O$48,A177))&gt;0,IFERROR(TEXTJOIN(CHAR(10),TRUE,FILTER('Conciliacion de compuestos'!$A$2:$A$48,('Conciliacion de compuestos'!$D$2:$D$48="conciliado")*('Conciliacion de compuestos'!$E$2:$E$48="OK")*((('Conciliacion de compuestos'!$M$2:$M$48=A177)+('Conciliacion de compuestos'!$N$2:$N$48=A177)+('Conciliacion de compuestos'!$O$2:$O$48=A177))&gt;0))),""),"")</f>
        <v/>
      </c>
      <c r="G177" s="11">
        <f>IF(I177="conciliado","conciliado","por revisar")</f>
        <v/>
      </c>
      <c r="H177" s="11" t="inlineStr"/>
      <c r="I177" s="11">
        <f>IF(SUM(COUNTIFS('Conciliacion de compuestos'!$D$2:$D$48,"conciliado",'Conciliacion de compuestos'!$E$2:$E$48,"OK",'Conciliacion de compuestos'!$M$2:$M$48,A177),COUNTIFS('Conciliacion de compuestos'!$D$2:$D$48,"conciliado",'Conciliacion de compuestos'!$E$2:$E$48,"OK",'Conciliacion de compuestos'!$N$2:$N$48,A177),COUNTIFS('Conciliacion de compuestos'!$D$2:$D$48,"conciliado",'Conciliacion de compuestos'!$E$2:$E$48,"OK",'Conciliacion de compuestos'!$O$2:$O$48,A177))&gt;0,"conciliado","por revisar")</f>
        <v/>
      </c>
    </row>
    <row r="178">
      <c r="A178" s="11" t="n">
        <v>218</v>
      </c>
      <c r="B178" s="12" t="n">
        <v>46012</v>
      </c>
      <c r="C178" s="11" t="inlineStr">
        <is>
          <t>myriam rojas rosero</t>
        </is>
      </c>
      <c r="D178" s="13" t="n">
        <v>85600</v>
      </c>
      <c r="E178" s="11">
        <f>IF(G178="conciliado","conciliado",I178)</f>
        <v/>
      </c>
      <c r="F178" s="11">
        <f>IF(SUM(COUNTIFS('Conciliacion de compuestos'!$D$2:$D$48,"conciliado",'Conciliacion de compuestos'!$E$2:$E$48,"OK",'Conciliacion de compuestos'!$M$2:$M$48,A178),COUNTIFS('Conciliacion de compuestos'!$D$2:$D$48,"conciliado",'Conciliacion de compuestos'!$E$2:$E$48,"OK",'Conciliacion de compuestos'!$N$2:$N$48,A178),COUNTIFS('Conciliacion de compuestos'!$D$2:$D$48,"conciliado",'Conciliacion de compuestos'!$E$2:$E$48,"OK",'Conciliacion de compuestos'!$O$2:$O$48,A178))&gt;0,IFERROR(TEXTJOIN(CHAR(10),TRUE,FILTER('Conciliacion de compuestos'!$A$2:$A$48,('Conciliacion de compuestos'!$D$2:$D$48="conciliado")*('Conciliacion de compuestos'!$E$2:$E$48="OK")*((('Conciliacion de compuestos'!$M$2:$M$48=A178)+('Conciliacion de compuestos'!$N$2:$N$48=A178)+('Conciliacion de compuestos'!$O$2:$O$48=A178))&gt;0))),""),"")</f>
        <v/>
      </c>
      <c r="G178" s="11">
        <f>IF(I178="conciliado","conciliado","por revisar")</f>
        <v/>
      </c>
      <c r="H178" s="11" t="inlineStr"/>
      <c r="I178" s="11">
        <f>IF(SUM(COUNTIFS('Conciliacion de compuestos'!$D$2:$D$48,"conciliado",'Conciliacion de compuestos'!$E$2:$E$48,"OK",'Conciliacion de compuestos'!$M$2:$M$48,A178),COUNTIFS('Conciliacion de compuestos'!$D$2:$D$48,"conciliado",'Conciliacion de compuestos'!$E$2:$E$48,"OK",'Conciliacion de compuestos'!$N$2:$N$48,A178),COUNTIFS('Conciliacion de compuestos'!$D$2:$D$48,"conciliado",'Conciliacion de compuestos'!$E$2:$E$48,"OK",'Conciliacion de compuestos'!$O$2:$O$48,A178))&gt;0,"conciliado","por revisar")</f>
        <v/>
      </c>
    </row>
    <row r="179">
      <c r="A179" s="11" t="n">
        <v>232</v>
      </c>
      <c r="B179" s="12" t="n">
        <v>46012</v>
      </c>
      <c r="C179" s="11" t="inlineStr">
        <is>
          <t>lasso yaneth</t>
        </is>
      </c>
      <c r="D179" s="13" t="n">
        <v>107900</v>
      </c>
      <c r="E179" s="11">
        <f>IF(G179="conciliado","conciliado",I179)</f>
        <v/>
      </c>
      <c r="F179" s="11">
        <f>IF(SUM(COUNTIFS('Conciliacion de compuestos'!$D$2:$D$48,"conciliado",'Conciliacion de compuestos'!$E$2:$E$48,"OK",'Conciliacion de compuestos'!$M$2:$M$48,A179),COUNTIFS('Conciliacion de compuestos'!$D$2:$D$48,"conciliado",'Conciliacion de compuestos'!$E$2:$E$48,"OK",'Conciliacion de compuestos'!$N$2:$N$48,A179),COUNTIFS('Conciliacion de compuestos'!$D$2:$D$48,"conciliado",'Conciliacion de compuestos'!$E$2:$E$48,"OK",'Conciliacion de compuestos'!$O$2:$O$48,A179))&gt;0,IFERROR(TEXTJOIN(CHAR(10),TRUE,FILTER('Conciliacion de compuestos'!$A$2:$A$48,('Conciliacion de compuestos'!$D$2:$D$48="conciliado")*('Conciliacion de compuestos'!$E$2:$E$48="OK")*((('Conciliacion de compuestos'!$M$2:$M$48=A179)+('Conciliacion de compuestos'!$N$2:$N$48=A179)+('Conciliacion de compuestos'!$O$2:$O$48=A179))&gt;0))),""),"")</f>
        <v/>
      </c>
      <c r="G179" s="11">
        <f>IF(I179="conciliado","conciliado","por revisar")</f>
        <v/>
      </c>
      <c r="H179" s="11" t="inlineStr"/>
      <c r="I179" s="11">
        <f>IF(SUM(COUNTIFS('Conciliacion de compuestos'!$D$2:$D$48,"conciliado",'Conciliacion de compuestos'!$E$2:$E$48,"OK",'Conciliacion de compuestos'!$M$2:$M$48,A179),COUNTIFS('Conciliacion de compuestos'!$D$2:$D$48,"conciliado",'Conciliacion de compuestos'!$E$2:$E$48,"OK",'Conciliacion de compuestos'!$N$2:$N$48,A179),COUNTIFS('Conciliacion de compuestos'!$D$2:$D$48,"conciliado",'Conciliacion de compuestos'!$E$2:$E$48,"OK",'Conciliacion de compuestos'!$O$2:$O$48,A179))&gt;0,"conciliado","por revisar")</f>
        <v/>
      </c>
    </row>
    <row r="180">
      <c r="A180" s="11" t="n">
        <v>226</v>
      </c>
      <c r="B180" s="12" t="n">
        <v>46012</v>
      </c>
      <c r="C180" s="11" t="inlineStr">
        <is>
          <t>me meza oliva omaira</t>
        </is>
      </c>
      <c r="D180" s="13" t="n">
        <v>101100</v>
      </c>
      <c r="E180" s="11">
        <f>IF(G180="conciliado","conciliado",I180)</f>
        <v/>
      </c>
      <c r="F180" s="11">
        <f>IF(SUM(COUNTIFS('Conciliacion de compuestos'!$D$2:$D$48,"conciliado",'Conciliacion de compuestos'!$E$2:$E$48,"OK",'Conciliacion de compuestos'!$M$2:$M$48,A180),COUNTIFS('Conciliacion de compuestos'!$D$2:$D$48,"conciliado",'Conciliacion de compuestos'!$E$2:$E$48,"OK",'Conciliacion de compuestos'!$N$2:$N$48,A180),COUNTIFS('Conciliacion de compuestos'!$D$2:$D$48,"conciliado",'Conciliacion de compuestos'!$E$2:$E$48,"OK",'Conciliacion de compuestos'!$O$2:$O$48,A180))&gt;0,IFERROR(TEXTJOIN(CHAR(10),TRUE,FILTER('Conciliacion de compuestos'!$A$2:$A$48,('Conciliacion de compuestos'!$D$2:$D$48="conciliado")*('Conciliacion de compuestos'!$E$2:$E$48="OK")*((('Conciliacion de compuestos'!$M$2:$M$48=A180)+('Conciliacion de compuestos'!$N$2:$N$48=A180)+('Conciliacion de compuestos'!$O$2:$O$48=A180))&gt;0))),""),"")</f>
        <v/>
      </c>
      <c r="G180" s="11">
        <f>IF(I180="conciliado","conciliado","por revisar")</f>
        <v/>
      </c>
      <c r="H180" s="11" t="inlineStr"/>
      <c r="I180" s="11">
        <f>IF(SUM(COUNTIFS('Conciliacion de compuestos'!$D$2:$D$48,"conciliado",'Conciliacion de compuestos'!$E$2:$E$48,"OK",'Conciliacion de compuestos'!$M$2:$M$48,A180),COUNTIFS('Conciliacion de compuestos'!$D$2:$D$48,"conciliado",'Conciliacion de compuestos'!$E$2:$E$48,"OK",'Conciliacion de compuestos'!$N$2:$N$48,A180),COUNTIFS('Conciliacion de compuestos'!$D$2:$D$48,"conciliado",'Conciliacion de compuestos'!$E$2:$E$48,"OK",'Conciliacion de compuestos'!$O$2:$O$48,A180))&gt;0,"conciliado","por revisar")</f>
        <v/>
      </c>
    </row>
    <row r="181">
      <c r="A181" s="11" t="n">
        <v>254</v>
      </c>
      <c r="B181" s="12" t="n">
        <v>46014</v>
      </c>
      <c r="C181" s="11" t="inlineStr">
        <is>
          <t>a ajover darnel s s</t>
        </is>
      </c>
      <c r="D181" s="13" t="n">
        <v>-3569048</v>
      </c>
      <c r="E181" s="11">
        <f>IF(G181="conciliado","conciliado",I181)</f>
        <v/>
      </c>
      <c r="F181" s="11">
        <f>IF(SUM(COUNTIFS('Conciliacion de compuestos'!$D$2:$D$48,"conciliado",'Conciliacion de compuestos'!$E$2:$E$48,"OK",'Conciliacion de compuestos'!$M$2:$M$48,A181),COUNTIFS('Conciliacion de compuestos'!$D$2:$D$48,"conciliado",'Conciliacion de compuestos'!$E$2:$E$48,"OK",'Conciliacion de compuestos'!$N$2:$N$48,A181),COUNTIFS('Conciliacion de compuestos'!$D$2:$D$48,"conciliado",'Conciliacion de compuestos'!$E$2:$E$48,"OK",'Conciliacion de compuestos'!$O$2:$O$48,A181))&gt;0,IFERROR(TEXTJOIN(CHAR(10),TRUE,FILTER('Conciliacion de compuestos'!$A$2:$A$48,('Conciliacion de compuestos'!$D$2:$D$48="conciliado")*('Conciliacion de compuestos'!$E$2:$E$48="OK")*((('Conciliacion de compuestos'!$M$2:$M$48=A181)+('Conciliacion de compuestos'!$N$2:$N$48=A181)+('Conciliacion de compuestos'!$O$2:$O$48=A181))&gt;0))),""),"")</f>
        <v/>
      </c>
      <c r="G181" s="11">
        <f>IF(I181="conciliado","conciliado","por revisar")</f>
        <v/>
      </c>
      <c r="H181" s="11" t="inlineStr"/>
      <c r="I181" s="11">
        <f>IF(SUM(COUNTIFS('Conciliacion de compuestos'!$D$2:$D$48,"conciliado",'Conciliacion de compuestos'!$E$2:$E$48,"OK",'Conciliacion de compuestos'!$M$2:$M$48,A181),COUNTIFS('Conciliacion de compuestos'!$D$2:$D$48,"conciliado",'Conciliacion de compuestos'!$E$2:$E$48,"OK",'Conciliacion de compuestos'!$N$2:$N$48,A181),COUNTIFS('Conciliacion de compuestos'!$D$2:$D$48,"conciliado",'Conciliacion de compuestos'!$E$2:$E$48,"OK",'Conciliacion de compuestos'!$O$2:$O$48,A181))&gt;0,"conciliado","por revisar")</f>
        <v/>
      </c>
    </row>
    <row r="182">
      <c r="A182" s="11" t="n">
        <v>246</v>
      </c>
      <c r="B182" s="12" t="n">
        <v>46013</v>
      </c>
      <c r="C182" s="11" t="inlineStr">
        <is>
          <t>maria prado salazar</t>
        </is>
      </c>
      <c r="D182" s="13" t="n">
        <v>164200</v>
      </c>
      <c r="E182" s="11">
        <f>IF(G182="conciliado","conciliado",I182)</f>
        <v/>
      </c>
      <c r="F182" s="11">
        <f>IF(SUM(COUNTIFS('Conciliacion de compuestos'!$D$2:$D$48,"conciliado",'Conciliacion de compuestos'!$E$2:$E$48,"OK",'Conciliacion de compuestos'!$M$2:$M$48,A182),COUNTIFS('Conciliacion de compuestos'!$D$2:$D$48,"conciliado",'Conciliacion de compuestos'!$E$2:$E$48,"OK",'Conciliacion de compuestos'!$N$2:$N$48,A182),COUNTIFS('Conciliacion de compuestos'!$D$2:$D$48,"conciliado",'Conciliacion de compuestos'!$E$2:$E$48,"OK",'Conciliacion de compuestos'!$O$2:$O$48,A182))&gt;0,IFERROR(TEXTJOIN(CHAR(10),TRUE,FILTER('Conciliacion de compuestos'!$A$2:$A$48,('Conciliacion de compuestos'!$D$2:$D$48="conciliado")*('Conciliacion de compuestos'!$E$2:$E$48="OK")*((('Conciliacion de compuestos'!$M$2:$M$48=A182)+('Conciliacion de compuestos'!$N$2:$N$48=A182)+('Conciliacion de compuestos'!$O$2:$O$48=A182))&gt;0))),""),"")</f>
        <v/>
      </c>
      <c r="G182" s="11">
        <f>IF(I182="conciliado","conciliado","por revisar")</f>
        <v/>
      </c>
      <c r="H182" s="11" t="inlineStr"/>
      <c r="I182" s="11">
        <f>IF(SUM(COUNTIFS('Conciliacion de compuestos'!$D$2:$D$48,"conciliado",'Conciliacion de compuestos'!$E$2:$E$48,"OK",'Conciliacion de compuestos'!$M$2:$M$48,A182),COUNTIFS('Conciliacion de compuestos'!$D$2:$D$48,"conciliado",'Conciliacion de compuestos'!$E$2:$E$48,"OK",'Conciliacion de compuestos'!$N$2:$N$48,A182),COUNTIFS('Conciliacion de compuestos'!$D$2:$D$48,"conciliado",'Conciliacion de compuestos'!$E$2:$E$48,"OK",'Conciliacion de compuestos'!$O$2:$O$48,A182))&gt;0,"conciliado","por revisar")</f>
        <v/>
      </c>
    </row>
    <row r="183">
      <c r="A183" s="11" t="n">
        <v>259</v>
      </c>
      <c r="B183" s="12" t="n">
        <v>46014</v>
      </c>
      <c r="C183" s="11" t="inlineStr">
        <is>
          <t>abel guevara pantoja</t>
        </is>
      </c>
      <c r="D183" s="13" t="n">
        <v>28000</v>
      </c>
      <c r="E183" s="11">
        <f>IF(G183="conciliado","conciliado",I183)</f>
        <v/>
      </c>
      <c r="F183" s="11" t="inlineStr">
        <is>
          <t>1336 | 2025-12-23 | 28,000 | consignacion credibanco d e</t>
        </is>
      </c>
      <c r="G183" s="11">
        <f>IF(I183="conciliado","conciliado","por revisar")</f>
        <v/>
      </c>
      <c r="H183" s="11" t="inlineStr"/>
      <c r="I183" s="11" t="inlineStr">
        <is>
          <t>conciliado</t>
        </is>
      </c>
    </row>
    <row r="184">
      <c r="A184" s="11" t="n">
        <v>235</v>
      </c>
      <c r="B184" s="12" t="n">
        <v>46013</v>
      </c>
      <c r="C184" s="11" t="inlineStr">
        <is>
          <t>alejand cardona diaz</t>
        </is>
      </c>
      <c r="D184" s="13" t="n">
        <v>142300</v>
      </c>
      <c r="E184" s="11">
        <f>IF(G184="conciliado","conciliado",I184)</f>
        <v/>
      </c>
      <c r="F184" s="11">
        <f>IF(SUM(COUNTIFS('Conciliacion de compuestos'!$D$2:$D$48,"conciliado",'Conciliacion de compuestos'!$E$2:$E$48,"OK",'Conciliacion de compuestos'!$M$2:$M$48,A184),COUNTIFS('Conciliacion de compuestos'!$D$2:$D$48,"conciliado",'Conciliacion de compuestos'!$E$2:$E$48,"OK",'Conciliacion de compuestos'!$N$2:$N$48,A184),COUNTIFS('Conciliacion de compuestos'!$D$2:$D$48,"conciliado",'Conciliacion de compuestos'!$E$2:$E$48,"OK",'Conciliacion de compuestos'!$O$2:$O$48,A184))&gt;0,IFERROR(TEXTJOIN(CHAR(10),TRUE,FILTER('Conciliacion de compuestos'!$A$2:$A$48,('Conciliacion de compuestos'!$D$2:$D$48="conciliado")*('Conciliacion de compuestos'!$E$2:$E$48="OK")*((('Conciliacion de compuestos'!$M$2:$M$48=A184)+('Conciliacion de compuestos'!$N$2:$N$48=A184)+('Conciliacion de compuestos'!$O$2:$O$48=A184))&gt;0))),""),"")</f>
        <v/>
      </c>
      <c r="G184" s="11">
        <f>IF(I184="conciliado","conciliado","por revisar")</f>
        <v/>
      </c>
      <c r="H184" s="11" t="inlineStr"/>
      <c r="I184" s="11">
        <f>IF(SUM(COUNTIFS('Conciliacion de compuestos'!$D$2:$D$48,"conciliado",'Conciliacion de compuestos'!$E$2:$E$48,"OK",'Conciliacion de compuestos'!$M$2:$M$48,A184),COUNTIFS('Conciliacion de compuestos'!$D$2:$D$48,"conciliado",'Conciliacion de compuestos'!$E$2:$E$48,"OK",'Conciliacion de compuestos'!$N$2:$N$48,A184),COUNTIFS('Conciliacion de compuestos'!$D$2:$D$48,"conciliado",'Conciliacion de compuestos'!$E$2:$E$48,"OK",'Conciliacion de compuestos'!$O$2:$O$48,A184))&gt;0,"conciliado","por revisar")</f>
        <v/>
      </c>
    </row>
    <row r="185">
      <c r="A185" s="11" t="n">
        <v>251</v>
      </c>
      <c r="B185" s="12" t="n">
        <v>46013</v>
      </c>
      <c r="C185" s="11" t="inlineStr">
        <is>
          <t>lucely meza meza</t>
        </is>
      </c>
      <c r="D185" s="13" t="n">
        <v>57800</v>
      </c>
      <c r="E185" s="11">
        <f>IF(G185="conciliado","conciliado",I185)</f>
        <v/>
      </c>
      <c r="F185" s="11">
        <f>IF(SUM(COUNTIFS('Conciliacion de compuestos'!$D$2:$D$48,"conciliado",'Conciliacion de compuestos'!$E$2:$E$48,"OK",'Conciliacion de compuestos'!$M$2:$M$48,A185),COUNTIFS('Conciliacion de compuestos'!$D$2:$D$48,"conciliado",'Conciliacion de compuestos'!$E$2:$E$48,"OK",'Conciliacion de compuestos'!$N$2:$N$48,A185),COUNTIFS('Conciliacion de compuestos'!$D$2:$D$48,"conciliado",'Conciliacion de compuestos'!$E$2:$E$48,"OK",'Conciliacion de compuestos'!$O$2:$O$48,A185))&gt;0,IFERROR(TEXTJOIN(CHAR(10),TRUE,FILTER('Conciliacion de compuestos'!$A$2:$A$48,('Conciliacion de compuestos'!$D$2:$D$48="conciliado")*('Conciliacion de compuestos'!$E$2:$E$48="OK")*((('Conciliacion de compuestos'!$M$2:$M$48=A185)+('Conciliacion de compuestos'!$N$2:$N$48=A185)+('Conciliacion de compuestos'!$O$2:$O$48=A185))&gt;0))),""),"")</f>
        <v/>
      </c>
      <c r="G185" s="11">
        <f>IF(I185="conciliado","conciliado","por revisar")</f>
        <v/>
      </c>
      <c r="H185" s="11" t="inlineStr"/>
      <c r="I185" s="11">
        <f>IF(SUM(COUNTIFS('Conciliacion de compuestos'!$D$2:$D$48,"conciliado",'Conciliacion de compuestos'!$E$2:$E$48,"OK",'Conciliacion de compuestos'!$M$2:$M$48,A185),COUNTIFS('Conciliacion de compuestos'!$D$2:$D$48,"conciliado",'Conciliacion de compuestos'!$E$2:$E$48,"OK",'Conciliacion de compuestos'!$N$2:$N$48,A185),COUNTIFS('Conciliacion de compuestos'!$D$2:$D$48,"conciliado",'Conciliacion de compuestos'!$E$2:$E$48,"OK",'Conciliacion de compuestos'!$O$2:$O$48,A185))&gt;0,"conciliado","por revisar")</f>
        <v/>
      </c>
    </row>
    <row r="186">
      <c r="A186" s="11" t="n">
        <v>238</v>
      </c>
      <c r="B186" s="12" t="n">
        <v>46013</v>
      </c>
      <c r="C186" s="11" t="inlineStr">
        <is>
          <t>hernan l potosi vela</t>
        </is>
      </c>
      <c r="D186" s="13" t="n">
        <v>205100</v>
      </c>
      <c r="E186" s="11">
        <f>IF(G186="conciliado","conciliado",I186)</f>
        <v/>
      </c>
      <c r="F186" s="11">
        <f>IF(SUM(COUNTIFS('Conciliacion de compuestos'!$D$2:$D$48,"conciliado",'Conciliacion de compuestos'!$E$2:$E$48,"OK",'Conciliacion de compuestos'!$M$2:$M$48,A186),COUNTIFS('Conciliacion de compuestos'!$D$2:$D$48,"conciliado",'Conciliacion de compuestos'!$E$2:$E$48,"OK",'Conciliacion de compuestos'!$N$2:$N$48,A186),COUNTIFS('Conciliacion de compuestos'!$D$2:$D$48,"conciliado",'Conciliacion de compuestos'!$E$2:$E$48,"OK",'Conciliacion de compuestos'!$O$2:$O$48,A186))&gt;0,IFERROR(TEXTJOIN(CHAR(10),TRUE,FILTER('Conciliacion de compuestos'!$A$2:$A$48,('Conciliacion de compuestos'!$D$2:$D$48="conciliado")*('Conciliacion de compuestos'!$E$2:$E$48="OK")*((('Conciliacion de compuestos'!$M$2:$M$48=A186)+('Conciliacion de compuestos'!$N$2:$N$48=A186)+('Conciliacion de compuestos'!$O$2:$O$48=A186))&gt;0))),""),"")</f>
        <v/>
      </c>
      <c r="G186" s="11">
        <f>IF(I186="conciliado","conciliado","por revisar")</f>
        <v/>
      </c>
      <c r="H186" s="11" t="inlineStr"/>
      <c r="I186" s="11">
        <f>IF(SUM(COUNTIFS('Conciliacion de compuestos'!$D$2:$D$48,"conciliado",'Conciliacion de compuestos'!$E$2:$E$48,"OK",'Conciliacion de compuestos'!$M$2:$M$48,A186),COUNTIFS('Conciliacion de compuestos'!$D$2:$D$48,"conciliado",'Conciliacion de compuestos'!$E$2:$E$48,"OK",'Conciliacion de compuestos'!$N$2:$N$48,A186),COUNTIFS('Conciliacion de compuestos'!$D$2:$D$48,"conciliado",'Conciliacion de compuestos'!$E$2:$E$48,"OK",'Conciliacion de compuestos'!$O$2:$O$48,A186))&gt;0,"conciliado","por revisar")</f>
        <v/>
      </c>
    </row>
    <row r="187">
      <c r="A187" s="11" t="n">
        <v>244</v>
      </c>
      <c r="B187" s="12" t="n">
        <v>46013</v>
      </c>
      <c r="C187" s="11" t="inlineStr">
        <is>
          <t>chaves imbachi tatia</t>
        </is>
      </c>
      <c r="D187" s="13" t="n">
        <v>94000</v>
      </c>
      <c r="E187" s="11">
        <f>IF(G187="conciliado","conciliado",I187)</f>
        <v/>
      </c>
      <c r="F187" s="11">
        <f>IF(SUM(COUNTIFS('Conciliacion de compuestos'!$D$2:$D$48,"conciliado",'Conciliacion de compuestos'!$E$2:$E$48,"OK",'Conciliacion de compuestos'!$M$2:$M$48,A187),COUNTIFS('Conciliacion de compuestos'!$D$2:$D$48,"conciliado",'Conciliacion de compuestos'!$E$2:$E$48,"OK",'Conciliacion de compuestos'!$N$2:$N$48,A187),COUNTIFS('Conciliacion de compuestos'!$D$2:$D$48,"conciliado",'Conciliacion de compuestos'!$E$2:$E$48,"OK",'Conciliacion de compuestos'!$O$2:$O$48,A187))&gt;0,IFERROR(TEXTJOIN(CHAR(10),TRUE,FILTER('Conciliacion de compuestos'!$A$2:$A$48,('Conciliacion de compuestos'!$D$2:$D$48="conciliado")*('Conciliacion de compuestos'!$E$2:$E$48="OK")*((('Conciliacion de compuestos'!$M$2:$M$48=A187)+('Conciliacion de compuestos'!$N$2:$N$48=A187)+('Conciliacion de compuestos'!$O$2:$O$48=A187))&gt;0))),""),"")</f>
        <v/>
      </c>
      <c r="G187" s="11">
        <f>IF(I187="conciliado","conciliado","por revisar")</f>
        <v/>
      </c>
      <c r="H187" s="11" t="inlineStr"/>
      <c r="I187" s="11">
        <f>IF(SUM(COUNTIFS('Conciliacion de compuestos'!$D$2:$D$48,"conciliado",'Conciliacion de compuestos'!$E$2:$E$48,"OK",'Conciliacion de compuestos'!$M$2:$M$48,A187),COUNTIFS('Conciliacion de compuestos'!$D$2:$D$48,"conciliado",'Conciliacion de compuestos'!$E$2:$E$48,"OK",'Conciliacion de compuestos'!$N$2:$N$48,A187),COUNTIFS('Conciliacion de compuestos'!$D$2:$D$48,"conciliado",'Conciliacion de compuestos'!$E$2:$E$48,"OK",'Conciliacion de compuestos'!$O$2:$O$48,A187))&gt;0,"conciliado","por revisar")</f>
        <v/>
      </c>
    </row>
    <row r="188">
      <c r="A188" s="11" t="n">
        <v>245</v>
      </c>
      <c r="B188" s="12" t="n">
        <v>46013</v>
      </c>
      <c r="C188" s="11" t="inlineStr">
        <is>
          <t>consumidor final</t>
        </is>
      </c>
      <c r="D188" s="13" t="n">
        <v>62800</v>
      </c>
      <c r="E188" s="11">
        <f>IF(G188="conciliado","conciliado",I188)</f>
        <v/>
      </c>
      <c r="F188" s="11">
        <f>IF(SUM(COUNTIFS('Conciliacion de compuestos'!$D$2:$D$48,"conciliado",'Conciliacion de compuestos'!$E$2:$E$48,"OK",'Conciliacion de compuestos'!$M$2:$M$48,A188),COUNTIFS('Conciliacion de compuestos'!$D$2:$D$48,"conciliado",'Conciliacion de compuestos'!$E$2:$E$48,"OK",'Conciliacion de compuestos'!$N$2:$N$48,A188),COUNTIFS('Conciliacion de compuestos'!$D$2:$D$48,"conciliado",'Conciliacion de compuestos'!$E$2:$E$48,"OK",'Conciliacion de compuestos'!$O$2:$O$48,A188))&gt;0,IFERROR(TEXTJOIN(CHAR(10),TRUE,FILTER('Conciliacion de compuestos'!$A$2:$A$48,('Conciliacion de compuestos'!$D$2:$D$48="conciliado")*('Conciliacion de compuestos'!$E$2:$E$48="OK")*((('Conciliacion de compuestos'!$M$2:$M$48=A188)+('Conciliacion de compuestos'!$N$2:$N$48=A188)+('Conciliacion de compuestos'!$O$2:$O$48=A188))&gt;0))),""),"")</f>
        <v/>
      </c>
      <c r="G188" s="11">
        <f>IF(I188="conciliado","conciliado","por revisar")</f>
        <v/>
      </c>
      <c r="H188" s="11" t="inlineStr"/>
      <c r="I188" s="11">
        <f>IF(SUM(COUNTIFS('Conciliacion de compuestos'!$D$2:$D$48,"conciliado",'Conciliacion de compuestos'!$E$2:$E$48,"OK",'Conciliacion de compuestos'!$M$2:$M$48,A188),COUNTIFS('Conciliacion de compuestos'!$D$2:$D$48,"conciliado",'Conciliacion de compuestos'!$E$2:$E$48,"OK",'Conciliacion de compuestos'!$N$2:$N$48,A188),COUNTIFS('Conciliacion de compuestos'!$D$2:$D$48,"conciliado",'Conciliacion de compuestos'!$E$2:$E$48,"OK",'Conciliacion de compuestos'!$O$2:$O$48,A188))&gt;0,"conciliado","por revisar")</f>
        <v/>
      </c>
    </row>
    <row r="189">
      <c r="A189" s="11" t="n">
        <v>234</v>
      </c>
      <c r="B189" s="12" t="n">
        <v>46013</v>
      </c>
      <c r="C189" s="11" t="inlineStr">
        <is>
          <t>caycedo cortez helid</t>
        </is>
      </c>
      <c r="D189" s="13" t="n">
        <v>65300</v>
      </c>
      <c r="E189" s="11">
        <f>IF(G189="conciliado","conciliado",I189)</f>
        <v/>
      </c>
      <c r="F189" s="11">
        <f>IF(SUM(COUNTIFS('Conciliacion de compuestos'!$D$2:$D$48,"conciliado",'Conciliacion de compuestos'!$E$2:$E$48,"OK",'Conciliacion de compuestos'!$M$2:$M$48,A189),COUNTIFS('Conciliacion de compuestos'!$D$2:$D$48,"conciliado",'Conciliacion de compuestos'!$E$2:$E$48,"OK",'Conciliacion de compuestos'!$N$2:$N$48,A189),COUNTIFS('Conciliacion de compuestos'!$D$2:$D$48,"conciliado",'Conciliacion de compuestos'!$E$2:$E$48,"OK",'Conciliacion de compuestos'!$O$2:$O$48,A189))&gt;0,IFERROR(TEXTJOIN(CHAR(10),TRUE,FILTER('Conciliacion de compuestos'!$A$2:$A$48,('Conciliacion de compuestos'!$D$2:$D$48="conciliado")*('Conciliacion de compuestos'!$E$2:$E$48="OK")*((('Conciliacion de compuestos'!$M$2:$M$48=A189)+('Conciliacion de compuestos'!$N$2:$N$48=A189)+('Conciliacion de compuestos'!$O$2:$O$48=A189))&gt;0))),""),"")</f>
        <v/>
      </c>
      <c r="G189" s="11">
        <f>IF(I189="conciliado","conciliado","por revisar")</f>
        <v/>
      </c>
      <c r="H189" s="11" t="inlineStr"/>
      <c r="I189" s="11">
        <f>IF(SUM(COUNTIFS('Conciliacion de compuestos'!$D$2:$D$48,"conciliado",'Conciliacion de compuestos'!$E$2:$E$48,"OK",'Conciliacion de compuestos'!$M$2:$M$48,A189),COUNTIFS('Conciliacion de compuestos'!$D$2:$D$48,"conciliado",'Conciliacion de compuestos'!$E$2:$E$48,"OK",'Conciliacion de compuestos'!$N$2:$N$48,A189),COUNTIFS('Conciliacion de compuestos'!$D$2:$D$48,"conciliado",'Conciliacion de compuestos'!$E$2:$E$48,"OK",'Conciliacion de compuestos'!$O$2:$O$48,A189))&gt;0,"conciliado","por revisar")</f>
        <v/>
      </c>
    </row>
    <row r="190">
      <c r="A190" s="11" t="n">
        <v>242</v>
      </c>
      <c r="B190" s="12" t="n">
        <v>46013</v>
      </c>
      <c r="C190" s="11" t="inlineStr">
        <is>
          <t>juli morante salazar</t>
        </is>
      </c>
      <c r="D190" s="13" t="n">
        <v>209600</v>
      </c>
      <c r="E190" s="11">
        <f>IF(G190="conciliado","conciliado",I190)</f>
        <v/>
      </c>
      <c r="F190" s="11">
        <f>IF(SUM(COUNTIFS('Conciliacion de compuestos'!$D$2:$D$48,"conciliado",'Conciliacion de compuestos'!$E$2:$E$48,"OK",'Conciliacion de compuestos'!$M$2:$M$48,A190),COUNTIFS('Conciliacion de compuestos'!$D$2:$D$48,"conciliado",'Conciliacion de compuestos'!$E$2:$E$48,"OK",'Conciliacion de compuestos'!$N$2:$N$48,A190),COUNTIFS('Conciliacion de compuestos'!$D$2:$D$48,"conciliado",'Conciliacion de compuestos'!$E$2:$E$48,"OK",'Conciliacion de compuestos'!$O$2:$O$48,A190))&gt;0,IFERROR(TEXTJOIN(CHAR(10),TRUE,FILTER('Conciliacion de compuestos'!$A$2:$A$48,('Conciliacion de compuestos'!$D$2:$D$48="conciliado")*('Conciliacion de compuestos'!$E$2:$E$48="OK")*((('Conciliacion de compuestos'!$M$2:$M$48=A190)+('Conciliacion de compuestos'!$N$2:$N$48=A190)+('Conciliacion de compuestos'!$O$2:$O$48=A190))&gt;0))),""),"")</f>
        <v/>
      </c>
      <c r="G190" s="11">
        <f>IF(I190="conciliado","conciliado","por revisar")</f>
        <v/>
      </c>
      <c r="H190" s="11" t="inlineStr"/>
      <c r="I190" s="11">
        <f>IF(SUM(COUNTIFS('Conciliacion de compuestos'!$D$2:$D$48,"conciliado",'Conciliacion de compuestos'!$E$2:$E$48,"OK",'Conciliacion de compuestos'!$M$2:$M$48,A190),COUNTIFS('Conciliacion de compuestos'!$D$2:$D$48,"conciliado",'Conciliacion de compuestos'!$E$2:$E$48,"OK",'Conciliacion de compuestos'!$N$2:$N$48,A190),COUNTIFS('Conciliacion de compuestos'!$D$2:$D$48,"conciliado",'Conciliacion de compuestos'!$E$2:$E$48,"OK",'Conciliacion de compuestos'!$O$2:$O$48,A190))&gt;0,"conciliado","por revisar")</f>
        <v/>
      </c>
    </row>
    <row r="191">
      <c r="A191" s="11" t="n">
        <v>248</v>
      </c>
      <c r="B191" s="12" t="n">
        <v>46013</v>
      </c>
      <c r="C191" s="11" t="inlineStr">
        <is>
          <t>alexa garcia varela</t>
        </is>
      </c>
      <c r="D191" s="13" t="n">
        <v>99300</v>
      </c>
      <c r="E191" s="11">
        <f>IF(G191="conciliado","conciliado",I191)</f>
        <v/>
      </c>
      <c r="F191" s="11">
        <f>IF(SUM(COUNTIFS('Conciliacion de compuestos'!$D$2:$D$48,"conciliado",'Conciliacion de compuestos'!$E$2:$E$48,"OK",'Conciliacion de compuestos'!$M$2:$M$48,A191),COUNTIFS('Conciliacion de compuestos'!$D$2:$D$48,"conciliado",'Conciliacion de compuestos'!$E$2:$E$48,"OK",'Conciliacion de compuestos'!$N$2:$N$48,A191),COUNTIFS('Conciliacion de compuestos'!$D$2:$D$48,"conciliado",'Conciliacion de compuestos'!$E$2:$E$48,"OK",'Conciliacion de compuestos'!$O$2:$O$48,A191))&gt;0,IFERROR(TEXTJOIN(CHAR(10),TRUE,FILTER('Conciliacion de compuestos'!$A$2:$A$48,('Conciliacion de compuestos'!$D$2:$D$48="conciliado")*('Conciliacion de compuestos'!$E$2:$E$48="OK")*((('Conciliacion de compuestos'!$M$2:$M$48=A191)+('Conciliacion de compuestos'!$N$2:$N$48=A191)+('Conciliacion de compuestos'!$O$2:$O$48=A191))&gt;0))),""),"")</f>
        <v/>
      </c>
      <c r="G191" s="11">
        <f>IF(I191="conciliado","conciliado","por revisar")</f>
        <v/>
      </c>
      <c r="H191" s="11" t="inlineStr"/>
      <c r="I191" s="11">
        <f>IF(SUM(COUNTIFS('Conciliacion de compuestos'!$D$2:$D$48,"conciliado",'Conciliacion de compuestos'!$E$2:$E$48,"OK",'Conciliacion de compuestos'!$M$2:$M$48,A191),COUNTIFS('Conciliacion de compuestos'!$D$2:$D$48,"conciliado",'Conciliacion de compuestos'!$E$2:$E$48,"OK",'Conciliacion de compuestos'!$N$2:$N$48,A191),COUNTIFS('Conciliacion de compuestos'!$D$2:$D$48,"conciliado",'Conciliacion de compuestos'!$E$2:$E$48,"OK",'Conciliacion de compuestos'!$O$2:$O$48,A191))&gt;0,"conciliado","por revisar")</f>
        <v/>
      </c>
    </row>
    <row r="192">
      <c r="A192" s="11" t="n">
        <v>247</v>
      </c>
      <c r="B192" s="12" t="n">
        <v>46013</v>
      </c>
      <c r="C192" s="11" t="inlineStr">
        <is>
          <t>luna munoz pa sandra</t>
        </is>
      </c>
      <c r="D192" s="13" t="n">
        <v>88400</v>
      </c>
      <c r="E192" s="11">
        <f>IF(G192="conciliado","conciliado",I192)</f>
        <v/>
      </c>
      <c r="F192" s="11">
        <f>IF(SUM(COUNTIFS('Conciliacion de compuestos'!$D$2:$D$48,"conciliado",'Conciliacion de compuestos'!$E$2:$E$48,"OK",'Conciliacion de compuestos'!$M$2:$M$48,A192),COUNTIFS('Conciliacion de compuestos'!$D$2:$D$48,"conciliado",'Conciliacion de compuestos'!$E$2:$E$48,"OK",'Conciliacion de compuestos'!$N$2:$N$48,A192),COUNTIFS('Conciliacion de compuestos'!$D$2:$D$48,"conciliado",'Conciliacion de compuestos'!$E$2:$E$48,"OK",'Conciliacion de compuestos'!$O$2:$O$48,A192))&gt;0,IFERROR(TEXTJOIN(CHAR(10),TRUE,FILTER('Conciliacion de compuestos'!$A$2:$A$48,('Conciliacion de compuestos'!$D$2:$D$48="conciliado")*('Conciliacion de compuestos'!$E$2:$E$48="OK")*((('Conciliacion de compuestos'!$M$2:$M$48=A192)+('Conciliacion de compuestos'!$N$2:$N$48=A192)+('Conciliacion de compuestos'!$O$2:$O$48=A192))&gt;0))),""),"")</f>
        <v/>
      </c>
      <c r="G192" s="11">
        <f>IF(I192="conciliado","conciliado","por revisar")</f>
        <v/>
      </c>
      <c r="H192" s="11" t="inlineStr"/>
      <c r="I192" s="11">
        <f>IF(SUM(COUNTIFS('Conciliacion de compuestos'!$D$2:$D$48,"conciliado",'Conciliacion de compuestos'!$E$2:$E$48,"OK",'Conciliacion de compuestos'!$M$2:$M$48,A192),COUNTIFS('Conciliacion de compuestos'!$D$2:$D$48,"conciliado",'Conciliacion de compuestos'!$E$2:$E$48,"OK",'Conciliacion de compuestos'!$N$2:$N$48,A192),COUNTIFS('Conciliacion de compuestos'!$D$2:$D$48,"conciliado",'Conciliacion de compuestos'!$E$2:$E$48,"OK",'Conciliacion de compuestos'!$O$2:$O$48,A192))&gt;0,"conciliado","por revisar")</f>
        <v/>
      </c>
    </row>
    <row r="193">
      <c r="A193" s="11" t="n">
        <v>241</v>
      </c>
      <c r="B193" s="12" t="n">
        <v>46013</v>
      </c>
      <c r="C193" s="11" t="inlineStr">
        <is>
          <t>a gomez jimenez john</t>
        </is>
      </c>
      <c r="D193" s="13" t="n">
        <v>910000</v>
      </c>
      <c r="E193" s="11">
        <f>IF(G193="conciliado","conciliado",I193)</f>
        <v/>
      </c>
      <c r="F193" s="11">
        <f>IF(SUM(COUNTIFS('Conciliacion de compuestos'!$D$2:$D$48,"conciliado",'Conciliacion de compuestos'!$E$2:$E$48,"OK",'Conciliacion de compuestos'!$M$2:$M$48,A193),COUNTIFS('Conciliacion de compuestos'!$D$2:$D$48,"conciliado",'Conciliacion de compuestos'!$E$2:$E$48,"OK",'Conciliacion de compuestos'!$N$2:$N$48,A193),COUNTIFS('Conciliacion de compuestos'!$D$2:$D$48,"conciliado",'Conciliacion de compuestos'!$E$2:$E$48,"OK",'Conciliacion de compuestos'!$O$2:$O$48,A193))&gt;0,IFERROR(TEXTJOIN(CHAR(10),TRUE,FILTER('Conciliacion de compuestos'!$A$2:$A$48,('Conciliacion de compuestos'!$D$2:$D$48="conciliado")*('Conciliacion de compuestos'!$E$2:$E$48="OK")*((('Conciliacion de compuestos'!$M$2:$M$48=A193)+('Conciliacion de compuestos'!$N$2:$N$48=A193)+('Conciliacion de compuestos'!$O$2:$O$48=A193))&gt;0))),""),"")</f>
        <v/>
      </c>
      <c r="G193" s="11">
        <f>IF(I193="conciliado","conciliado","por revisar")</f>
        <v/>
      </c>
      <c r="H193" s="11" t="inlineStr"/>
      <c r="I193" s="11">
        <f>IF(SUM(COUNTIFS('Conciliacion de compuestos'!$D$2:$D$48,"conciliado",'Conciliacion de compuestos'!$E$2:$E$48,"OK",'Conciliacion de compuestos'!$M$2:$M$48,A193),COUNTIFS('Conciliacion de compuestos'!$D$2:$D$48,"conciliado",'Conciliacion de compuestos'!$E$2:$E$48,"OK",'Conciliacion de compuestos'!$N$2:$N$48,A193),COUNTIFS('Conciliacion de compuestos'!$D$2:$D$48,"conciliado",'Conciliacion de compuestos'!$E$2:$E$48,"OK",'Conciliacion de compuestos'!$O$2:$O$48,A193))&gt;0,"conciliado","por revisar")</f>
        <v/>
      </c>
    </row>
    <row r="194">
      <c r="A194" s="11" t="n">
        <v>253</v>
      </c>
      <c r="B194" s="12" t="n">
        <v>46013</v>
      </c>
      <c r="C194" s="11" t="inlineStr">
        <is>
          <t>infor sio soluciones</t>
        </is>
      </c>
      <c r="D194" s="13" t="n">
        <v>1000000</v>
      </c>
      <c r="E194" s="11">
        <f>IF(G194="conciliado","conciliado",I194)</f>
        <v/>
      </c>
      <c r="F194" s="11">
        <f>IF(SUM(COUNTIFS('Conciliacion de compuestos'!$D$2:$D$48,"conciliado",'Conciliacion de compuestos'!$E$2:$E$48,"OK",'Conciliacion de compuestos'!$M$2:$M$48,A194),COUNTIFS('Conciliacion de compuestos'!$D$2:$D$48,"conciliado",'Conciliacion de compuestos'!$E$2:$E$48,"OK",'Conciliacion de compuestos'!$N$2:$N$48,A194),COUNTIFS('Conciliacion de compuestos'!$D$2:$D$48,"conciliado",'Conciliacion de compuestos'!$E$2:$E$48,"OK",'Conciliacion de compuestos'!$O$2:$O$48,A194))&gt;0,IFERROR(TEXTJOIN(CHAR(10),TRUE,FILTER('Conciliacion de compuestos'!$A$2:$A$48,('Conciliacion de compuestos'!$D$2:$D$48="conciliado")*('Conciliacion de compuestos'!$E$2:$E$48="OK")*((('Conciliacion de compuestos'!$M$2:$M$48=A194)+('Conciliacion de compuestos'!$N$2:$N$48=A194)+('Conciliacion de compuestos'!$O$2:$O$48=A194))&gt;0))),""),"")</f>
        <v/>
      </c>
      <c r="G194" s="11">
        <f>IF(I194="conciliado","conciliado","por revisar")</f>
        <v/>
      </c>
      <c r="H194" s="11" t="inlineStr"/>
      <c r="I194" s="11">
        <f>IF(SUM(COUNTIFS('Conciliacion de compuestos'!$D$2:$D$48,"conciliado",'Conciliacion de compuestos'!$E$2:$E$48,"OK",'Conciliacion de compuestos'!$M$2:$M$48,A194),COUNTIFS('Conciliacion de compuestos'!$D$2:$D$48,"conciliado",'Conciliacion de compuestos'!$E$2:$E$48,"OK",'Conciliacion de compuestos'!$N$2:$N$48,A194),COUNTIFS('Conciliacion de compuestos'!$D$2:$D$48,"conciliado",'Conciliacion de compuestos'!$E$2:$E$48,"OK",'Conciliacion de compuestos'!$O$2:$O$48,A194))&gt;0,"conciliado","por revisar")</f>
        <v/>
      </c>
    </row>
    <row r="195">
      <c r="A195" s="11" t="n">
        <v>237</v>
      </c>
      <c r="B195" s="12" t="n">
        <v>46013</v>
      </c>
      <c r="C195" s="11" t="inlineStr">
        <is>
          <t>e hernandez montilla</t>
        </is>
      </c>
      <c r="D195" s="13" t="n">
        <v>127700</v>
      </c>
      <c r="E195" s="11">
        <f>IF(G195="conciliado","conciliado",I195)</f>
        <v/>
      </c>
      <c r="F195" s="11">
        <f>IF(SUM(COUNTIFS('Conciliacion de compuestos'!$D$2:$D$48,"conciliado",'Conciliacion de compuestos'!$E$2:$E$48,"OK",'Conciliacion de compuestos'!$M$2:$M$48,A195),COUNTIFS('Conciliacion de compuestos'!$D$2:$D$48,"conciliado",'Conciliacion de compuestos'!$E$2:$E$48,"OK",'Conciliacion de compuestos'!$N$2:$N$48,A195),COUNTIFS('Conciliacion de compuestos'!$D$2:$D$48,"conciliado",'Conciliacion de compuestos'!$E$2:$E$48,"OK",'Conciliacion de compuestos'!$O$2:$O$48,A195))&gt;0,IFERROR(TEXTJOIN(CHAR(10),TRUE,FILTER('Conciliacion de compuestos'!$A$2:$A$48,('Conciliacion de compuestos'!$D$2:$D$48="conciliado")*('Conciliacion de compuestos'!$E$2:$E$48="OK")*((('Conciliacion de compuestos'!$M$2:$M$48=A195)+('Conciliacion de compuestos'!$N$2:$N$48=A195)+('Conciliacion de compuestos'!$O$2:$O$48=A195))&gt;0))),""),"")</f>
        <v/>
      </c>
      <c r="G195" s="11">
        <f>IF(I195="conciliado","conciliado","por revisar")</f>
        <v/>
      </c>
      <c r="H195" s="11" t="inlineStr"/>
      <c r="I195" s="11">
        <f>IF(SUM(COUNTIFS('Conciliacion de compuestos'!$D$2:$D$48,"conciliado",'Conciliacion de compuestos'!$E$2:$E$48,"OK",'Conciliacion de compuestos'!$M$2:$M$48,A195),COUNTIFS('Conciliacion de compuestos'!$D$2:$D$48,"conciliado",'Conciliacion de compuestos'!$E$2:$E$48,"OK",'Conciliacion de compuestos'!$N$2:$N$48,A195),COUNTIFS('Conciliacion de compuestos'!$D$2:$D$48,"conciliado",'Conciliacion de compuestos'!$E$2:$E$48,"OK",'Conciliacion de compuestos'!$O$2:$O$48,A195))&gt;0,"conciliado","por revisar")</f>
        <v/>
      </c>
    </row>
    <row r="196">
      <c r="A196" s="11" t="n">
        <v>239</v>
      </c>
      <c r="B196" s="12" t="n">
        <v>46013</v>
      </c>
      <c r="C196" s="11" t="inlineStr">
        <is>
          <t>bastidas cordoba nid</t>
        </is>
      </c>
      <c r="D196" s="13" t="n">
        <v>169600</v>
      </c>
      <c r="E196" s="11">
        <f>IF(G196="conciliado","conciliado",I196)</f>
        <v/>
      </c>
      <c r="F196" s="11">
        <f>IF(SUM(COUNTIFS('Conciliacion de compuestos'!$D$2:$D$48,"conciliado",'Conciliacion de compuestos'!$E$2:$E$48,"OK",'Conciliacion de compuestos'!$M$2:$M$48,A196),COUNTIFS('Conciliacion de compuestos'!$D$2:$D$48,"conciliado",'Conciliacion de compuestos'!$E$2:$E$48,"OK",'Conciliacion de compuestos'!$N$2:$N$48,A196),COUNTIFS('Conciliacion de compuestos'!$D$2:$D$48,"conciliado",'Conciliacion de compuestos'!$E$2:$E$48,"OK",'Conciliacion de compuestos'!$O$2:$O$48,A196))&gt;0,IFERROR(TEXTJOIN(CHAR(10),TRUE,FILTER('Conciliacion de compuestos'!$A$2:$A$48,('Conciliacion de compuestos'!$D$2:$D$48="conciliado")*('Conciliacion de compuestos'!$E$2:$E$48="OK")*((('Conciliacion de compuestos'!$M$2:$M$48=A196)+('Conciliacion de compuestos'!$N$2:$N$48=A196)+('Conciliacion de compuestos'!$O$2:$O$48=A196))&gt;0))),""),"")</f>
        <v/>
      </c>
      <c r="G196" s="11">
        <f>IF(I196="conciliado","conciliado","por revisar")</f>
        <v/>
      </c>
      <c r="H196" s="11" t="inlineStr"/>
      <c r="I196" s="11">
        <f>IF(SUM(COUNTIFS('Conciliacion de compuestos'!$D$2:$D$48,"conciliado",'Conciliacion de compuestos'!$E$2:$E$48,"OK",'Conciliacion de compuestos'!$M$2:$M$48,A196),COUNTIFS('Conciliacion de compuestos'!$D$2:$D$48,"conciliado",'Conciliacion de compuestos'!$E$2:$E$48,"OK",'Conciliacion de compuestos'!$N$2:$N$48,A196),COUNTIFS('Conciliacion de compuestos'!$D$2:$D$48,"conciliado",'Conciliacion de compuestos'!$E$2:$E$48,"OK",'Conciliacion de compuestos'!$O$2:$O$48,A196))&gt;0,"conciliado","por revisar")</f>
        <v/>
      </c>
    </row>
    <row r="197">
      <c r="A197" s="11" t="n">
        <v>264</v>
      </c>
      <c r="B197" s="12" t="n">
        <v>46014</v>
      </c>
      <c r="C197" s="11" t="inlineStr">
        <is>
          <t>chindoy d muchavisoy</t>
        </is>
      </c>
      <c r="D197" s="13" t="n">
        <v>127200</v>
      </c>
      <c r="E197" s="11">
        <f>IF(G197="conciliado","conciliado",I197)</f>
        <v/>
      </c>
      <c r="F197" s="11">
        <f>IF(SUM(COUNTIFS('Conciliacion de compuestos'!$D$2:$D$48,"conciliado",'Conciliacion de compuestos'!$E$2:$E$48,"OK",'Conciliacion de compuestos'!$M$2:$M$48,A197),COUNTIFS('Conciliacion de compuestos'!$D$2:$D$48,"conciliado",'Conciliacion de compuestos'!$E$2:$E$48,"OK",'Conciliacion de compuestos'!$N$2:$N$48,A197),COUNTIFS('Conciliacion de compuestos'!$D$2:$D$48,"conciliado",'Conciliacion de compuestos'!$E$2:$E$48,"OK",'Conciliacion de compuestos'!$O$2:$O$48,A197))&gt;0,IFERROR(TEXTJOIN(CHAR(10),TRUE,FILTER('Conciliacion de compuestos'!$A$2:$A$48,('Conciliacion de compuestos'!$D$2:$D$48="conciliado")*('Conciliacion de compuestos'!$E$2:$E$48="OK")*((('Conciliacion de compuestos'!$M$2:$M$48=A197)+('Conciliacion de compuestos'!$N$2:$N$48=A197)+('Conciliacion de compuestos'!$O$2:$O$48=A197))&gt;0))),""),"")</f>
        <v/>
      </c>
      <c r="G197" s="11">
        <f>IF(I197="conciliado","conciliado","por revisar")</f>
        <v/>
      </c>
      <c r="H197" s="11" t="inlineStr"/>
      <c r="I197" s="11">
        <f>IF(SUM(COUNTIFS('Conciliacion de compuestos'!$D$2:$D$48,"conciliado",'Conciliacion de compuestos'!$E$2:$E$48,"OK",'Conciliacion de compuestos'!$M$2:$M$48,A197),COUNTIFS('Conciliacion de compuestos'!$D$2:$D$48,"conciliado",'Conciliacion de compuestos'!$E$2:$E$48,"OK",'Conciliacion de compuestos'!$N$2:$N$48,A197),COUNTIFS('Conciliacion de compuestos'!$D$2:$D$48,"conciliado",'Conciliacion de compuestos'!$E$2:$E$48,"OK",'Conciliacion de compuestos'!$O$2:$O$48,A197))&gt;0,"conciliado","por revisar")</f>
        <v/>
      </c>
    </row>
    <row r="198">
      <c r="A198" s="11" t="n">
        <v>266</v>
      </c>
      <c r="B198" s="12" t="n">
        <v>46014</v>
      </c>
      <c r="C198" s="11" t="inlineStr">
        <is>
          <t>benavide saldarriaga</t>
        </is>
      </c>
      <c r="D198" s="13" t="n">
        <v>28700</v>
      </c>
      <c r="E198" s="11">
        <f>IF(G198="conciliado","conciliado",I198)</f>
        <v/>
      </c>
      <c r="F198" s="11">
        <f>IF(SUM(COUNTIFS('Conciliacion de compuestos'!$D$2:$D$48,"conciliado",'Conciliacion de compuestos'!$E$2:$E$48,"OK",'Conciliacion de compuestos'!$M$2:$M$48,A198),COUNTIFS('Conciliacion de compuestos'!$D$2:$D$48,"conciliado",'Conciliacion de compuestos'!$E$2:$E$48,"OK",'Conciliacion de compuestos'!$N$2:$N$48,A198),COUNTIFS('Conciliacion de compuestos'!$D$2:$D$48,"conciliado",'Conciliacion de compuestos'!$E$2:$E$48,"OK",'Conciliacion de compuestos'!$O$2:$O$48,A198))&gt;0,IFERROR(TEXTJOIN(CHAR(10),TRUE,FILTER('Conciliacion de compuestos'!$A$2:$A$48,('Conciliacion de compuestos'!$D$2:$D$48="conciliado")*('Conciliacion de compuestos'!$E$2:$E$48="OK")*((('Conciliacion de compuestos'!$M$2:$M$48=A198)+('Conciliacion de compuestos'!$N$2:$N$48=A198)+('Conciliacion de compuestos'!$O$2:$O$48=A198))&gt;0))),""),"")</f>
        <v/>
      </c>
      <c r="G198" s="11">
        <f>IF(I198="conciliado","conciliado","por revisar")</f>
        <v/>
      </c>
      <c r="H198" s="11" t="inlineStr"/>
      <c r="I198" s="11">
        <f>IF(SUM(COUNTIFS('Conciliacion de compuestos'!$D$2:$D$48,"conciliado",'Conciliacion de compuestos'!$E$2:$E$48,"OK",'Conciliacion de compuestos'!$M$2:$M$48,A198),COUNTIFS('Conciliacion de compuestos'!$D$2:$D$48,"conciliado",'Conciliacion de compuestos'!$E$2:$E$48,"OK",'Conciliacion de compuestos'!$N$2:$N$48,A198),COUNTIFS('Conciliacion de compuestos'!$D$2:$D$48,"conciliado",'Conciliacion de compuestos'!$E$2:$E$48,"OK",'Conciliacion de compuestos'!$O$2:$O$48,A198))&gt;0,"conciliado","por revisar")</f>
        <v/>
      </c>
    </row>
    <row r="199">
      <c r="A199" s="11" t="n">
        <v>261</v>
      </c>
      <c r="B199" s="12" t="n">
        <v>46014</v>
      </c>
      <c r="C199" s="11" t="inlineStr">
        <is>
          <t>d marciales quenguan</t>
        </is>
      </c>
      <c r="D199" s="13" t="n">
        <v>23900</v>
      </c>
      <c r="E199" s="11">
        <f>IF(G199="conciliado","conciliado",I199)</f>
        <v/>
      </c>
      <c r="F199" s="11">
        <f>IF(SUM(COUNTIFS('Conciliacion de compuestos'!$D$2:$D$48,"conciliado",'Conciliacion de compuestos'!$E$2:$E$48,"OK",'Conciliacion de compuestos'!$M$2:$M$48,A199),COUNTIFS('Conciliacion de compuestos'!$D$2:$D$48,"conciliado",'Conciliacion de compuestos'!$E$2:$E$48,"OK",'Conciliacion de compuestos'!$N$2:$N$48,A199),COUNTIFS('Conciliacion de compuestos'!$D$2:$D$48,"conciliado",'Conciliacion de compuestos'!$E$2:$E$48,"OK",'Conciliacion de compuestos'!$O$2:$O$48,A199))&gt;0,IFERROR(TEXTJOIN(CHAR(10),TRUE,FILTER('Conciliacion de compuestos'!$A$2:$A$48,('Conciliacion de compuestos'!$D$2:$D$48="conciliado")*('Conciliacion de compuestos'!$E$2:$E$48="OK")*((('Conciliacion de compuestos'!$M$2:$M$48=A199)+('Conciliacion de compuestos'!$N$2:$N$48=A199)+('Conciliacion de compuestos'!$O$2:$O$48=A199))&gt;0))),""),"")</f>
        <v/>
      </c>
      <c r="G199" s="11">
        <f>IF(I199="conciliado","conciliado","por revisar")</f>
        <v/>
      </c>
      <c r="H199" s="11" t="inlineStr"/>
      <c r="I199" s="11">
        <f>IF(SUM(COUNTIFS('Conciliacion de compuestos'!$D$2:$D$48,"conciliado",'Conciliacion de compuestos'!$E$2:$E$48,"OK",'Conciliacion de compuestos'!$M$2:$M$48,A199),COUNTIFS('Conciliacion de compuestos'!$D$2:$D$48,"conciliado",'Conciliacion de compuestos'!$E$2:$E$48,"OK",'Conciliacion de compuestos'!$N$2:$N$48,A199),COUNTIFS('Conciliacion de compuestos'!$D$2:$D$48,"conciliado",'Conciliacion de compuestos'!$E$2:$E$48,"OK",'Conciliacion de compuestos'!$O$2:$O$48,A199))&gt;0,"conciliado","por revisar")</f>
        <v/>
      </c>
    </row>
    <row r="200">
      <c r="A200" s="11" t="n">
        <v>258</v>
      </c>
      <c r="B200" s="12" t="n">
        <v>46014</v>
      </c>
      <c r="C200" s="11" t="inlineStr">
        <is>
          <t>martinez munoz willi</t>
        </is>
      </c>
      <c r="D200" s="13" t="n">
        <v>59900</v>
      </c>
      <c r="E200" s="11">
        <f>IF(G200="conciliado","conciliado",I200)</f>
        <v/>
      </c>
      <c r="F200" s="11">
        <f>IF(SUM(COUNTIFS('Conciliacion de compuestos'!$D$2:$D$48,"conciliado",'Conciliacion de compuestos'!$E$2:$E$48,"OK",'Conciliacion de compuestos'!$M$2:$M$48,A200),COUNTIFS('Conciliacion de compuestos'!$D$2:$D$48,"conciliado",'Conciliacion de compuestos'!$E$2:$E$48,"OK",'Conciliacion de compuestos'!$N$2:$N$48,A200),COUNTIFS('Conciliacion de compuestos'!$D$2:$D$48,"conciliado",'Conciliacion de compuestos'!$E$2:$E$48,"OK",'Conciliacion de compuestos'!$O$2:$O$48,A200))&gt;0,IFERROR(TEXTJOIN(CHAR(10),TRUE,FILTER('Conciliacion de compuestos'!$A$2:$A$48,('Conciliacion de compuestos'!$D$2:$D$48="conciliado")*('Conciliacion de compuestos'!$E$2:$E$48="OK")*((('Conciliacion de compuestos'!$M$2:$M$48=A200)+('Conciliacion de compuestos'!$N$2:$N$48=A200)+('Conciliacion de compuestos'!$O$2:$O$48=A200))&gt;0))),""),"")</f>
        <v/>
      </c>
      <c r="G200" s="11">
        <f>IF(I200="conciliado","conciliado","por revisar")</f>
        <v/>
      </c>
      <c r="H200" s="11" t="inlineStr"/>
      <c r="I200" s="11">
        <f>IF(SUM(COUNTIFS('Conciliacion de compuestos'!$D$2:$D$48,"conciliado",'Conciliacion de compuestos'!$E$2:$E$48,"OK",'Conciliacion de compuestos'!$M$2:$M$48,A200),COUNTIFS('Conciliacion de compuestos'!$D$2:$D$48,"conciliado",'Conciliacion de compuestos'!$E$2:$E$48,"OK",'Conciliacion de compuestos'!$N$2:$N$48,A200),COUNTIFS('Conciliacion de compuestos'!$D$2:$D$48,"conciliado",'Conciliacion de compuestos'!$E$2:$E$48,"OK",'Conciliacion de compuestos'!$O$2:$O$48,A200))&gt;0,"conciliado","por revisar")</f>
        <v/>
      </c>
    </row>
    <row r="201">
      <c r="A201" s="11" t="n">
        <v>257</v>
      </c>
      <c r="B201" s="12" t="n">
        <v>46014</v>
      </c>
      <c r="C201" s="11" t="inlineStr">
        <is>
          <t>caicedo car jimenez</t>
        </is>
      </c>
      <c r="D201" s="13" t="n">
        <v>596400</v>
      </c>
      <c r="E201" s="11">
        <f>IF(G201="conciliado","conciliado",I201)</f>
        <v/>
      </c>
      <c r="F201" s="11">
        <f>IF(SUM(COUNTIFS('Conciliacion de compuestos'!$D$2:$D$48,"conciliado",'Conciliacion de compuestos'!$E$2:$E$48,"OK",'Conciliacion de compuestos'!$M$2:$M$48,A201),COUNTIFS('Conciliacion de compuestos'!$D$2:$D$48,"conciliado",'Conciliacion de compuestos'!$E$2:$E$48,"OK",'Conciliacion de compuestos'!$N$2:$N$48,A201),COUNTIFS('Conciliacion de compuestos'!$D$2:$D$48,"conciliado",'Conciliacion de compuestos'!$E$2:$E$48,"OK",'Conciliacion de compuestos'!$O$2:$O$48,A201))&gt;0,IFERROR(TEXTJOIN(CHAR(10),TRUE,FILTER('Conciliacion de compuestos'!$A$2:$A$48,('Conciliacion de compuestos'!$D$2:$D$48="conciliado")*('Conciliacion de compuestos'!$E$2:$E$48="OK")*((('Conciliacion de compuestos'!$M$2:$M$48=A201)+('Conciliacion de compuestos'!$N$2:$N$48=A201)+('Conciliacion de compuestos'!$O$2:$O$48=A201))&gt;0))),""),"")</f>
        <v/>
      </c>
      <c r="G201" s="11">
        <f>IF(I201="conciliado","conciliado","por revisar")</f>
        <v/>
      </c>
      <c r="H201" s="11" t="inlineStr"/>
      <c r="I201" s="11">
        <f>IF(SUM(COUNTIFS('Conciliacion de compuestos'!$D$2:$D$48,"conciliado",'Conciliacion de compuestos'!$E$2:$E$48,"OK",'Conciliacion de compuestos'!$M$2:$M$48,A201),COUNTIFS('Conciliacion de compuestos'!$D$2:$D$48,"conciliado",'Conciliacion de compuestos'!$E$2:$E$48,"OK",'Conciliacion de compuestos'!$N$2:$N$48,A201),COUNTIFS('Conciliacion de compuestos'!$D$2:$D$48,"conciliado",'Conciliacion de compuestos'!$E$2:$E$48,"OK",'Conciliacion de compuestos'!$O$2:$O$48,A201))&gt;0,"conciliado","por revisar")</f>
        <v/>
      </c>
    </row>
    <row r="202">
      <c r="A202" s="11" t="n">
        <v>265</v>
      </c>
      <c r="B202" s="12" t="n">
        <v>46014</v>
      </c>
      <c r="C202" s="11" t="inlineStr">
        <is>
          <t>davinson portilla</t>
        </is>
      </c>
      <c r="D202" s="13" t="n">
        <v>43500</v>
      </c>
      <c r="E202" s="11">
        <f>IF(G202="conciliado","conciliado",I202)</f>
        <v/>
      </c>
      <c r="F202" s="11">
        <f>IF(SUM(COUNTIFS('Conciliacion de compuestos'!$D$2:$D$48,"conciliado",'Conciliacion de compuestos'!$E$2:$E$48,"OK",'Conciliacion de compuestos'!$M$2:$M$48,A202),COUNTIFS('Conciliacion de compuestos'!$D$2:$D$48,"conciliado",'Conciliacion de compuestos'!$E$2:$E$48,"OK",'Conciliacion de compuestos'!$N$2:$N$48,A202),COUNTIFS('Conciliacion de compuestos'!$D$2:$D$48,"conciliado",'Conciliacion de compuestos'!$E$2:$E$48,"OK",'Conciliacion de compuestos'!$O$2:$O$48,A202))&gt;0,IFERROR(TEXTJOIN(CHAR(10),TRUE,FILTER('Conciliacion de compuestos'!$A$2:$A$48,('Conciliacion de compuestos'!$D$2:$D$48="conciliado")*('Conciliacion de compuestos'!$E$2:$E$48="OK")*((('Conciliacion de compuestos'!$M$2:$M$48=A202)+('Conciliacion de compuestos'!$N$2:$N$48=A202)+('Conciliacion de compuestos'!$O$2:$O$48=A202))&gt;0))),""),"")</f>
        <v/>
      </c>
      <c r="G202" s="11">
        <f>IF(I202="conciliado","conciliado","por revisar")</f>
        <v/>
      </c>
      <c r="H202" s="11" t="inlineStr"/>
      <c r="I202" s="11">
        <f>IF(SUM(COUNTIFS('Conciliacion de compuestos'!$D$2:$D$48,"conciliado",'Conciliacion de compuestos'!$E$2:$E$48,"OK",'Conciliacion de compuestos'!$M$2:$M$48,A202),COUNTIFS('Conciliacion de compuestos'!$D$2:$D$48,"conciliado",'Conciliacion de compuestos'!$E$2:$E$48,"OK",'Conciliacion de compuestos'!$N$2:$N$48,A202),COUNTIFS('Conciliacion de compuestos'!$D$2:$D$48,"conciliado",'Conciliacion de compuestos'!$E$2:$E$48,"OK",'Conciliacion de compuestos'!$O$2:$O$48,A202))&gt;0,"conciliado","por revisar")</f>
        <v/>
      </c>
    </row>
    <row r="203">
      <c r="A203" s="11" t="n">
        <v>260</v>
      </c>
      <c r="B203" s="12" t="n">
        <v>46014</v>
      </c>
      <c r="C203" s="11" t="inlineStr">
        <is>
          <t>aco consorcio obras</t>
        </is>
      </c>
      <c r="D203" s="13" t="n">
        <v>900000</v>
      </c>
      <c r="E203" s="11">
        <f>IF(G203="conciliado","conciliado",I203)</f>
        <v/>
      </c>
      <c r="F203" s="11">
        <f>IF(SUM(COUNTIFS('Conciliacion de compuestos'!$D$2:$D$48,"conciliado",'Conciliacion de compuestos'!$E$2:$E$48,"OK",'Conciliacion de compuestos'!$M$2:$M$48,A203),COUNTIFS('Conciliacion de compuestos'!$D$2:$D$48,"conciliado",'Conciliacion de compuestos'!$E$2:$E$48,"OK",'Conciliacion de compuestos'!$N$2:$N$48,A203),COUNTIFS('Conciliacion de compuestos'!$D$2:$D$48,"conciliado",'Conciliacion de compuestos'!$E$2:$E$48,"OK",'Conciliacion de compuestos'!$O$2:$O$48,A203))&gt;0,IFERROR(TEXTJOIN(CHAR(10),TRUE,FILTER('Conciliacion de compuestos'!$A$2:$A$48,('Conciliacion de compuestos'!$D$2:$D$48="conciliado")*('Conciliacion de compuestos'!$E$2:$E$48="OK")*((('Conciliacion de compuestos'!$M$2:$M$48=A203)+('Conciliacion de compuestos'!$N$2:$N$48=A203)+('Conciliacion de compuestos'!$O$2:$O$48=A203))&gt;0))),""),"")</f>
        <v/>
      </c>
      <c r="G203" s="11">
        <f>IF(I203="conciliado","conciliado","por revisar")</f>
        <v/>
      </c>
      <c r="H203" s="11" t="inlineStr"/>
      <c r="I203" s="11">
        <f>IF(SUM(COUNTIFS('Conciliacion de compuestos'!$D$2:$D$48,"conciliado",'Conciliacion de compuestos'!$E$2:$E$48,"OK",'Conciliacion de compuestos'!$M$2:$M$48,A203),COUNTIFS('Conciliacion de compuestos'!$D$2:$D$48,"conciliado",'Conciliacion de compuestos'!$E$2:$E$48,"OK",'Conciliacion de compuestos'!$N$2:$N$48,A203),COUNTIFS('Conciliacion de compuestos'!$D$2:$D$48,"conciliado",'Conciliacion de compuestos'!$E$2:$E$48,"OK",'Conciliacion de compuestos'!$O$2:$O$48,A203))&gt;0,"conciliado","por revisar")</f>
        <v/>
      </c>
    </row>
    <row r="204">
      <c r="A204" s="11" t="n">
        <v>256</v>
      </c>
      <c r="B204" s="12" t="n">
        <v>46014</v>
      </c>
      <c r="C204" s="11" t="inlineStr">
        <is>
          <t>a carlos cruz orozco</t>
        </is>
      </c>
      <c r="D204" s="13" t="n">
        <v>349900</v>
      </c>
      <c r="E204" s="11">
        <f>IF(G204="conciliado","conciliado",I204)</f>
        <v/>
      </c>
      <c r="F204" s="11">
        <f>IF(SUM(COUNTIFS('Conciliacion de compuestos'!$D$2:$D$48,"conciliado",'Conciliacion de compuestos'!$E$2:$E$48,"OK",'Conciliacion de compuestos'!$M$2:$M$48,A204),COUNTIFS('Conciliacion de compuestos'!$D$2:$D$48,"conciliado",'Conciliacion de compuestos'!$E$2:$E$48,"OK",'Conciliacion de compuestos'!$N$2:$N$48,A204),COUNTIFS('Conciliacion de compuestos'!$D$2:$D$48,"conciliado",'Conciliacion de compuestos'!$E$2:$E$48,"OK",'Conciliacion de compuestos'!$O$2:$O$48,A204))&gt;0,IFERROR(TEXTJOIN(CHAR(10),TRUE,FILTER('Conciliacion de compuestos'!$A$2:$A$48,('Conciliacion de compuestos'!$D$2:$D$48="conciliado")*('Conciliacion de compuestos'!$E$2:$E$48="OK")*((('Conciliacion de compuestos'!$M$2:$M$48=A204)+('Conciliacion de compuestos'!$N$2:$N$48=A204)+('Conciliacion de compuestos'!$O$2:$O$48=A204))&gt;0))),""),"")</f>
        <v/>
      </c>
      <c r="G204" s="11">
        <f>IF(I204="conciliado","conciliado","por revisar")</f>
        <v/>
      </c>
      <c r="H204" s="11" t="inlineStr"/>
      <c r="I204" s="11">
        <f>IF(SUM(COUNTIFS('Conciliacion de compuestos'!$D$2:$D$48,"conciliado",'Conciliacion de compuestos'!$E$2:$E$48,"OK",'Conciliacion de compuestos'!$M$2:$M$48,A204),COUNTIFS('Conciliacion de compuestos'!$D$2:$D$48,"conciliado",'Conciliacion de compuestos'!$E$2:$E$48,"OK",'Conciliacion de compuestos'!$N$2:$N$48,A204),COUNTIFS('Conciliacion de compuestos'!$D$2:$D$48,"conciliado",'Conciliacion de compuestos'!$E$2:$E$48,"OK",'Conciliacion de compuestos'!$O$2:$O$48,A204))&gt;0,"conciliado","por revisar")</f>
        <v/>
      </c>
    </row>
    <row r="205">
      <c r="A205" s="11" t="n">
        <v>294</v>
      </c>
      <c r="B205" s="12" t="n">
        <v>46016</v>
      </c>
      <c r="C205" s="11" t="inlineStr">
        <is>
          <t>claudi diaz zandobal</t>
        </is>
      </c>
      <c r="D205" s="13" t="n">
        <v>89500</v>
      </c>
      <c r="E205" s="11">
        <f>IF(G205="conciliado","conciliado",I205)</f>
        <v/>
      </c>
      <c r="F205" s="11">
        <f>IF(SUM(COUNTIFS('Conciliacion de compuestos'!$D$2:$D$48,"conciliado",'Conciliacion de compuestos'!$E$2:$E$48,"OK",'Conciliacion de compuestos'!$M$2:$M$48,A205),COUNTIFS('Conciliacion de compuestos'!$D$2:$D$48,"conciliado",'Conciliacion de compuestos'!$E$2:$E$48,"OK",'Conciliacion de compuestos'!$N$2:$N$48,A205),COUNTIFS('Conciliacion de compuestos'!$D$2:$D$48,"conciliado",'Conciliacion de compuestos'!$E$2:$E$48,"OK",'Conciliacion de compuestos'!$O$2:$O$48,A205))&gt;0,IFERROR(TEXTJOIN(CHAR(10),TRUE,FILTER('Conciliacion de compuestos'!$A$2:$A$48,('Conciliacion de compuestos'!$D$2:$D$48="conciliado")*('Conciliacion de compuestos'!$E$2:$E$48="OK")*((('Conciliacion de compuestos'!$M$2:$M$48=A205)+('Conciliacion de compuestos'!$N$2:$N$48=A205)+('Conciliacion de compuestos'!$O$2:$O$48=A205))&gt;0))),""),"")</f>
        <v/>
      </c>
      <c r="G205" s="11">
        <f>IF(I205="conciliado","conciliado","por revisar")</f>
        <v/>
      </c>
      <c r="H205" s="11" t="inlineStr"/>
      <c r="I205" s="11">
        <f>IF(SUM(COUNTIFS('Conciliacion de compuestos'!$D$2:$D$48,"conciliado",'Conciliacion de compuestos'!$E$2:$E$48,"OK",'Conciliacion de compuestos'!$M$2:$M$48,A205),COUNTIFS('Conciliacion de compuestos'!$D$2:$D$48,"conciliado",'Conciliacion de compuestos'!$E$2:$E$48,"OK",'Conciliacion de compuestos'!$N$2:$N$48,A205),COUNTIFS('Conciliacion de compuestos'!$D$2:$D$48,"conciliado",'Conciliacion de compuestos'!$E$2:$E$48,"OK",'Conciliacion de compuestos'!$O$2:$O$48,A205))&gt;0,"conciliado","por revisar")</f>
        <v/>
      </c>
    </row>
    <row r="206">
      <c r="A206" s="11" t="n">
        <v>300</v>
      </c>
      <c r="B206" s="12" t="n">
        <v>46016</v>
      </c>
      <c r="C206" s="11" t="inlineStr">
        <is>
          <t>cueltan escobar toma</t>
        </is>
      </c>
      <c r="D206" s="13" t="n">
        <v>46000</v>
      </c>
      <c r="E206" s="11">
        <f>IF(G206="conciliado","conciliado",I206)</f>
        <v/>
      </c>
      <c r="F206" s="11">
        <f>IF(SUM(COUNTIFS('Conciliacion de compuestos'!$D$2:$D$48,"conciliado",'Conciliacion de compuestos'!$E$2:$E$48,"OK",'Conciliacion de compuestos'!$M$2:$M$48,A206),COUNTIFS('Conciliacion de compuestos'!$D$2:$D$48,"conciliado",'Conciliacion de compuestos'!$E$2:$E$48,"OK",'Conciliacion de compuestos'!$N$2:$N$48,A206),COUNTIFS('Conciliacion de compuestos'!$D$2:$D$48,"conciliado",'Conciliacion de compuestos'!$E$2:$E$48,"OK",'Conciliacion de compuestos'!$O$2:$O$48,A206))&gt;0,IFERROR(TEXTJOIN(CHAR(10),TRUE,FILTER('Conciliacion de compuestos'!$A$2:$A$48,('Conciliacion de compuestos'!$D$2:$D$48="conciliado")*('Conciliacion de compuestos'!$E$2:$E$48="OK")*((('Conciliacion de compuestos'!$M$2:$M$48=A206)+('Conciliacion de compuestos'!$N$2:$N$48=A206)+('Conciliacion de compuestos'!$O$2:$O$48=A206))&gt;0))),""),"")</f>
        <v/>
      </c>
      <c r="G206" s="11">
        <f>IF(I206="conciliado","conciliado","por revisar")</f>
        <v/>
      </c>
      <c r="H206" s="11" t="inlineStr"/>
      <c r="I206" s="11">
        <f>IF(SUM(COUNTIFS('Conciliacion de compuestos'!$D$2:$D$48,"conciliado",'Conciliacion de compuestos'!$E$2:$E$48,"OK",'Conciliacion de compuestos'!$M$2:$M$48,A206),COUNTIFS('Conciliacion de compuestos'!$D$2:$D$48,"conciliado",'Conciliacion de compuestos'!$E$2:$E$48,"OK",'Conciliacion de compuestos'!$N$2:$N$48,A206),COUNTIFS('Conciliacion de compuestos'!$D$2:$D$48,"conciliado",'Conciliacion de compuestos'!$E$2:$E$48,"OK",'Conciliacion de compuestos'!$O$2:$O$48,A206))&gt;0,"conciliado","por revisar")</f>
        <v/>
      </c>
    </row>
    <row r="207">
      <c r="A207" s="11" t="n">
        <v>292</v>
      </c>
      <c r="B207" s="12" t="n">
        <v>46016</v>
      </c>
      <c r="C207" s="11" t="inlineStr">
        <is>
          <t>morales ordonez yeni</t>
        </is>
      </c>
      <c r="D207" s="13" t="n">
        <v>21700</v>
      </c>
      <c r="E207" s="11">
        <f>IF(G207="conciliado","conciliado",I207)</f>
        <v/>
      </c>
      <c r="F207" s="11">
        <f>IF(SUM(COUNTIFS('Conciliacion de compuestos'!$D$2:$D$48,"conciliado",'Conciliacion de compuestos'!$E$2:$E$48,"OK",'Conciliacion de compuestos'!$M$2:$M$48,A207),COUNTIFS('Conciliacion de compuestos'!$D$2:$D$48,"conciliado",'Conciliacion de compuestos'!$E$2:$E$48,"OK",'Conciliacion de compuestos'!$N$2:$N$48,A207),COUNTIFS('Conciliacion de compuestos'!$D$2:$D$48,"conciliado",'Conciliacion de compuestos'!$E$2:$E$48,"OK",'Conciliacion de compuestos'!$O$2:$O$48,A207))&gt;0,IFERROR(TEXTJOIN(CHAR(10),TRUE,FILTER('Conciliacion de compuestos'!$A$2:$A$48,('Conciliacion de compuestos'!$D$2:$D$48="conciliado")*('Conciliacion de compuestos'!$E$2:$E$48="OK")*((('Conciliacion de compuestos'!$M$2:$M$48=A207)+('Conciliacion de compuestos'!$N$2:$N$48=A207)+('Conciliacion de compuestos'!$O$2:$O$48=A207))&gt;0))),""),"")</f>
        <v/>
      </c>
      <c r="G207" s="11">
        <f>IF(I207="conciliado","conciliado","por revisar")</f>
        <v/>
      </c>
      <c r="H207" s="11" t="inlineStr"/>
      <c r="I207" s="11">
        <f>IF(SUM(COUNTIFS('Conciliacion de compuestos'!$D$2:$D$48,"conciliado",'Conciliacion de compuestos'!$E$2:$E$48,"OK",'Conciliacion de compuestos'!$M$2:$M$48,A207),COUNTIFS('Conciliacion de compuestos'!$D$2:$D$48,"conciliado",'Conciliacion de compuestos'!$E$2:$E$48,"OK",'Conciliacion de compuestos'!$N$2:$N$48,A207),COUNTIFS('Conciliacion de compuestos'!$D$2:$D$48,"conciliado",'Conciliacion de compuestos'!$E$2:$E$48,"OK",'Conciliacion de compuestos'!$O$2:$O$48,A207))&gt;0,"conciliado","por revisar")</f>
        <v/>
      </c>
    </row>
    <row r="208">
      <c r="A208" s="11" t="n">
        <v>288</v>
      </c>
      <c r="B208" s="12" t="n">
        <v>46015</v>
      </c>
      <c r="C208" s="11" t="inlineStr">
        <is>
          <t>betancourth salazar</t>
        </is>
      </c>
      <c r="D208" s="13" t="n">
        <v>55000</v>
      </c>
      <c r="E208" s="11">
        <f>IF(G208="conciliado","conciliado",I208)</f>
        <v/>
      </c>
      <c r="F208" s="11">
        <f>IF(SUM(COUNTIFS('Conciliacion de compuestos'!$D$2:$D$48,"conciliado",'Conciliacion de compuestos'!$E$2:$E$48,"OK",'Conciliacion de compuestos'!$M$2:$M$48,A208),COUNTIFS('Conciliacion de compuestos'!$D$2:$D$48,"conciliado",'Conciliacion de compuestos'!$E$2:$E$48,"OK",'Conciliacion de compuestos'!$N$2:$N$48,A208),COUNTIFS('Conciliacion de compuestos'!$D$2:$D$48,"conciliado",'Conciliacion de compuestos'!$E$2:$E$48,"OK",'Conciliacion de compuestos'!$O$2:$O$48,A208))&gt;0,IFERROR(TEXTJOIN(CHAR(10),TRUE,FILTER('Conciliacion de compuestos'!$A$2:$A$48,('Conciliacion de compuestos'!$D$2:$D$48="conciliado")*('Conciliacion de compuestos'!$E$2:$E$48="OK")*((('Conciliacion de compuestos'!$M$2:$M$48=A208)+('Conciliacion de compuestos'!$N$2:$N$48=A208)+('Conciliacion de compuestos'!$O$2:$O$48=A208))&gt;0))),""),"")</f>
        <v/>
      </c>
      <c r="G208" s="11">
        <f>IF(I208="conciliado","conciliado","por revisar")</f>
        <v/>
      </c>
      <c r="H208" s="11" t="inlineStr"/>
      <c r="I208" s="11">
        <f>IF(SUM(COUNTIFS('Conciliacion de compuestos'!$D$2:$D$48,"conciliado",'Conciliacion de compuestos'!$E$2:$E$48,"OK",'Conciliacion de compuestos'!$M$2:$M$48,A208),COUNTIFS('Conciliacion de compuestos'!$D$2:$D$48,"conciliado",'Conciliacion de compuestos'!$E$2:$E$48,"OK",'Conciliacion de compuestos'!$N$2:$N$48,A208),COUNTIFS('Conciliacion de compuestos'!$D$2:$D$48,"conciliado",'Conciliacion de compuestos'!$E$2:$E$48,"OK",'Conciliacion de compuestos'!$O$2:$O$48,A208))&gt;0,"conciliado","por revisar")</f>
        <v/>
      </c>
    </row>
    <row r="209">
      <c r="A209" s="11" t="n">
        <v>286</v>
      </c>
      <c r="B209" s="12" t="n">
        <v>46015</v>
      </c>
      <c r="C209" s="11" t="inlineStr">
        <is>
          <t>dony norve pantoja</t>
        </is>
      </c>
      <c r="D209" s="13" t="n">
        <v>23700</v>
      </c>
      <c r="E209" s="11">
        <f>IF(G209="conciliado","conciliado",I209)</f>
        <v/>
      </c>
      <c r="F209" s="11">
        <f>IF(SUM(COUNTIFS('Conciliacion de compuestos'!$D$2:$D$48,"conciliado",'Conciliacion de compuestos'!$E$2:$E$48,"OK",'Conciliacion de compuestos'!$M$2:$M$48,A209),COUNTIFS('Conciliacion de compuestos'!$D$2:$D$48,"conciliado",'Conciliacion de compuestos'!$E$2:$E$48,"OK",'Conciliacion de compuestos'!$N$2:$N$48,A209),COUNTIFS('Conciliacion de compuestos'!$D$2:$D$48,"conciliado",'Conciliacion de compuestos'!$E$2:$E$48,"OK",'Conciliacion de compuestos'!$O$2:$O$48,A209))&gt;0,IFERROR(TEXTJOIN(CHAR(10),TRUE,FILTER('Conciliacion de compuestos'!$A$2:$A$48,('Conciliacion de compuestos'!$D$2:$D$48="conciliado")*('Conciliacion de compuestos'!$E$2:$E$48="OK")*((('Conciliacion de compuestos'!$M$2:$M$48=A209)+('Conciliacion de compuestos'!$N$2:$N$48=A209)+('Conciliacion de compuestos'!$O$2:$O$48=A209))&gt;0))),""),"")</f>
        <v/>
      </c>
      <c r="G209" s="11">
        <f>IF(I209="conciliado","conciliado","por revisar")</f>
        <v/>
      </c>
      <c r="H209" s="11" t="inlineStr"/>
      <c r="I209" s="11">
        <f>IF(SUM(COUNTIFS('Conciliacion de compuestos'!$D$2:$D$48,"conciliado",'Conciliacion de compuestos'!$E$2:$E$48,"OK",'Conciliacion de compuestos'!$M$2:$M$48,A209),COUNTIFS('Conciliacion de compuestos'!$D$2:$D$48,"conciliado",'Conciliacion de compuestos'!$E$2:$E$48,"OK",'Conciliacion de compuestos'!$N$2:$N$48,A209),COUNTIFS('Conciliacion de compuestos'!$D$2:$D$48,"conciliado",'Conciliacion de compuestos'!$E$2:$E$48,"OK",'Conciliacion de compuestos'!$O$2:$O$48,A209))&gt;0,"conciliado","por revisar")</f>
        <v/>
      </c>
    </row>
    <row r="210">
      <c r="A210" s="11" t="n">
        <v>284</v>
      </c>
      <c r="B210" s="12" t="n">
        <v>46015</v>
      </c>
      <c r="C210" s="11" t="inlineStr">
        <is>
          <t>ortiz pai wanier</t>
        </is>
      </c>
      <c r="D210" s="13" t="n">
        <v>83800</v>
      </c>
      <c r="E210" s="11">
        <f>IF(G210="conciliado","conciliado",I210)</f>
        <v/>
      </c>
      <c r="F210" s="11">
        <f>IF(SUM(COUNTIFS('Conciliacion de compuestos'!$D$2:$D$48,"conciliado",'Conciliacion de compuestos'!$E$2:$E$48,"OK",'Conciliacion de compuestos'!$M$2:$M$48,A210),COUNTIFS('Conciliacion de compuestos'!$D$2:$D$48,"conciliado",'Conciliacion de compuestos'!$E$2:$E$48,"OK",'Conciliacion de compuestos'!$N$2:$N$48,A210),COUNTIFS('Conciliacion de compuestos'!$D$2:$D$48,"conciliado",'Conciliacion de compuestos'!$E$2:$E$48,"OK",'Conciliacion de compuestos'!$O$2:$O$48,A210))&gt;0,IFERROR(TEXTJOIN(CHAR(10),TRUE,FILTER('Conciliacion de compuestos'!$A$2:$A$48,('Conciliacion de compuestos'!$D$2:$D$48="conciliado")*('Conciliacion de compuestos'!$E$2:$E$48="OK")*((('Conciliacion de compuestos'!$M$2:$M$48=A210)+('Conciliacion de compuestos'!$N$2:$N$48=A210)+('Conciliacion de compuestos'!$O$2:$O$48=A210))&gt;0))),""),"")</f>
        <v/>
      </c>
      <c r="G210" s="11">
        <f>IF(I210="conciliado","conciliado","por revisar")</f>
        <v/>
      </c>
      <c r="H210" s="11" t="inlineStr"/>
      <c r="I210" s="11">
        <f>IF(SUM(COUNTIFS('Conciliacion de compuestos'!$D$2:$D$48,"conciliado",'Conciliacion de compuestos'!$E$2:$E$48,"OK",'Conciliacion de compuestos'!$M$2:$M$48,A210),COUNTIFS('Conciliacion de compuestos'!$D$2:$D$48,"conciliado",'Conciliacion de compuestos'!$E$2:$E$48,"OK",'Conciliacion de compuestos'!$N$2:$N$48,A210),COUNTIFS('Conciliacion de compuestos'!$D$2:$D$48,"conciliado",'Conciliacion de compuestos'!$E$2:$E$48,"OK",'Conciliacion de compuestos'!$O$2:$O$48,A210))&gt;0,"conciliado","por revisar")</f>
        <v/>
      </c>
    </row>
    <row r="211">
      <c r="A211" s="11" t="n">
        <v>275</v>
      </c>
      <c r="B211" s="12" t="n">
        <v>46015</v>
      </c>
      <c r="C211" s="11" t="inlineStr">
        <is>
          <t>baena natalia panche</t>
        </is>
      </c>
      <c r="D211" s="13" t="n">
        <v>20600</v>
      </c>
      <c r="E211" s="11">
        <f>IF(G211="conciliado","conciliado",I211)</f>
        <v/>
      </c>
      <c r="F211" s="11">
        <f>IF(SUM(COUNTIFS('Conciliacion de compuestos'!$D$2:$D$48,"conciliado",'Conciliacion de compuestos'!$E$2:$E$48,"OK",'Conciliacion de compuestos'!$M$2:$M$48,A211),COUNTIFS('Conciliacion de compuestos'!$D$2:$D$48,"conciliado",'Conciliacion de compuestos'!$E$2:$E$48,"OK",'Conciliacion de compuestos'!$N$2:$N$48,A211),COUNTIFS('Conciliacion de compuestos'!$D$2:$D$48,"conciliado",'Conciliacion de compuestos'!$E$2:$E$48,"OK",'Conciliacion de compuestos'!$O$2:$O$48,A211))&gt;0,IFERROR(TEXTJOIN(CHAR(10),TRUE,FILTER('Conciliacion de compuestos'!$A$2:$A$48,('Conciliacion de compuestos'!$D$2:$D$48="conciliado")*('Conciliacion de compuestos'!$E$2:$E$48="OK")*((('Conciliacion de compuestos'!$M$2:$M$48=A211)+('Conciliacion de compuestos'!$N$2:$N$48=A211)+('Conciliacion de compuestos'!$O$2:$O$48=A211))&gt;0))),""),"")</f>
        <v/>
      </c>
      <c r="G211" s="11">
        <f>IF(I211="conciliado","conciliado","por revisar")</f>
        <v/>
      </c>
      <c r="H211" s="11" t="inlineStr"/>
      <c r="I211" s="11">
        <f>IF(SUM(COUNTIFS('Conciliacion de compuestos'!$D$2:$D$48,"conciliado",'Conciliacion de compuestos'!$E$2:$E$48,"OK",'Conciliacion de compuestos'!$M$2:$M$48,A211),COUNTIFS('Conciliacion de compuestos'!$D$2:$D$48,"conciliado",'Conciliacion de compuestos'!$E$2:$E$48,"OK",'Conciliacion de compuestos'!$N$2:$N$48,A211),COUNTIFS('Conciliacion de compuestos'!$D$2:$D$48,"conciliado",'Conciliacion de compuestos'!$E$2:$E$48,"OK",'Conciliacion de compuestos'!$O$2:$O$48,A211))&gt;0,"conciliado","por revisar")</f>
        <v/>
      </c>
    </row>
    <row r="212">
      <c r="A212" s="11" t="n">
        <v>272</v>
      </c>
      <c r="B212" s="12" t="n">
        <v>46015</v>
      </c>
      <c r="C212" s="11" t="inlineStr">
        <is>
          <t>casanas cazanas jame</t>
        </is>
      </c>
      <c r="D212" s="13" t="n">
        <v>84000</v>
      </c>
      <c r="E212" s="11">
        <f>IF(G212="conciliado","conciliado",I212)</f>
        <v/>
      </c>
      <c r="F212" s="11">
        <f>IF(SUM(COUNTIFS('Conciliacion de compuestos'!$D$2:$D$48,"conciliado",'Conciliacion de compuestos'!$E$2:$E$48,"OK",'Conciliacion de compuestos'!$M$2:$M$48,A212),COUNTIFS('Conciliacion de compuestos'!$D$2:$D$48,"conciliado",'Conciliacion de compuestos'!$E$2:$E$48,"OK",'Conciliacion de compuestos'!$N$2:$N$48,A212),COUNTIFS('Conciliacion de compuestos'!$D$2:$D$48,"conciliado",'Conciliacion de compuestos'!$E$2:$E$48,"OK",'Conciliacion de compuestos'!$O$2:$O$48,A212))&gt;0,IFERROR(TEXTJOIN(CHAR(10),TRUE,FILTER('Conciliacion de compuestos'!$A$2:$A$48,('Conciliacion de compuestos'!$D$2:$D$48="conciliado")*('Conciliacion de compuestos'!$E$2:$E$48="OK")*((('Conciliacion de compuestos'!$M$2:$M$48=A212)+('Conciliacion de compuestos'!$N$2:$N$48=A212)+('Conciliacion de compuestos'!$O$2:$O$48=A212))&gt;0))),""),"")</f>
        <v/>
      </c>
      <c r="G212" s="11">
        <f>IF(I212="conciliado","conciliado","por revisar")</f>
        <v/>
      </c>
      <c r="H212" s="11" t="inlineStr"/>
      <c r="I212" s="11">
        <f>IF(SUM(COUNTIFS('Conciliacion de compuestos'!$D$2:$D$48,"conciliado",'Conciliacion de compuestos'!$E$2:$E$48,"OK",'Conciliacion de compuestos'!$M$2:$M$48,A212),COUNTIFS('Conciliacion de compuestos'!$D$2:$D$48,"conciliado",'Conciliacion de compuestos'!$E$2:$E$48,"OK",'Conciliacion de compuestos'!$N$2:$N$48,A212),COUNTIFS('Conciliacion de compuestos'!$D$2:$D$48,"conciliado",'Conciliacion de compuestos'!$E$2:$E$48,"OK",'Conciliacion de compuestos'!$O$2:$O$48,A212))&gt;0,"conciliado","por revisar")</f>
        <v/>
      </c>
    </row>
    <row r="213">
      <c r="A213" s="11" t="n">
        <v>282</v>
      </c>
      <c r="B213" s="12" t="n">
        <v>46015</v>
      </c>
      <c r="C213" s="11" t="inlineStr">
        <is>
          <t>herma hoyos martinez</t>
        </is>
      </c>
      <c r="D213" s="13" t="n">
        <v>62300</v>
      </c>
      <c r="E213" s="11">
        <f>IF(G213="conciliado","conciliado",I213)</f>
        <v/>
      </c>
      <c r="F213" s="11">
        <f>IF(SUM(COUNTIFS('Conciliacion de compuestos'!$D$2:$D$48,"conciliado",'Conciliacion de compuestos'!$E$2:$E$48,"OK",'Conciliacion de compuestos'!$M$2:$M$48,A213),COUNTIFS('Conciliacion de compuestos'!$D$2:$D$48,"conciliado",'Conciliacion de compuestos'!$E$2:$E$48,"OK",'Conciliacion de compuestos'!$N$2:$N$48,A213),COUNTIFS('Conciliacion de compuestos'!$D$2:$D$48,"conciliado",'Conciliacion de compuestos'!$E$2:$E$48,"OK",'Conciliacion de compuestos'!$O$2:$O$48,A213))&gt;0,IFERROR(TEXTJOIN(CHAR(10),TRUE,FILTER('Conciliacion de compuestos'!$A$2:$A$48,('Conciliacion de compuestos'!$D$2:$D$48="conciliado")*('Conciliacion de compuestos'!$E$2:$E$48="OK")*((('Conciliacion de compuestos'!$M$2:$M$48=A213)+('Conciliacion de compuestos'!$N$2:$N$48=A213)+('Conciliacion de compuestos'!$O$2:$O$48=A213))&gt;0))),""),"")</f>
        <v/>
      </c>
      <c r="G213" s="11">
        <f>IF(I213="conciliado","conciliado","por revisar")</f>
        <v/>
      </c>
      <c r="H213" s="11" t="inlineStr"/>
      <c r="I213" s="11">
        <f>IF(SUM(COUNTIFS('Conciliacion de compuestos'!$D$2:$D$48,"conciliado",'Conciliacion de compuestos'!$E$2:$E$48,"OK",'Conciliacion de compuestos'!$M$2:$M$48,A213),COUNTIFS('Conciliacion de compuestos'!$D$2:$D$48,"conciliado",'Conciliacion de compuestos'!$E$2:$E$48,"OK",'Conciliacion de compuestos'!$N$2:$N$48,A213),COUNTIFS('Conciliacion de compuestos'!$D$2:$D$48,"conciliado",'Conciliacion de compuestos'!$E$2:$E$48,"OK",'Conciliacion de compuestos'!$O$2:$O$48,A213))&gt;0,"conciliado","por revisar")</f>
        <v/>
      </c>
    </row>
    <row r="214">
      <c r="A214" s="11" t="n">
        <v>277</v>
      </c>
      <c r="B214" s="12" t="n">
        <v>46015</v>
      </c>
      <c r="C214" s="11" t="inlineStr">
        <is>
          <t>l piedad ramos rueda</t>
        </is>
      </c>
      <c r="D214" s="13" t="n">
        <v>125700</v>
      </c>
      <c r="E214" s="11">
        <f>IF(G214="conciliado","conciliado",I214)</f>
        <v/>
      </c>
      <c r="F214" s="11">
        <f>IF(SUM(COUNTIFS('Conciliacion de compuestos'!$D$2:$D$48,"conciliado",'Conciliacion de compuestos'!$E$2:$E$48,"OK",'Conciliacion de compuestos'!$M$2:$M$48,A214),COUNTIFS('Conciliacion de compuestos'!$D$2:$D$48,"conciliado",'Conciliacion de compuestos'!$E$2:$E$48,"OK",'Conciliacion de compuestos'!$N$2:$N$48,A214),COUNTIFS('Conciliacion de compuestos'!$D$2:$D$48,"conciliado",'Conciliacion de compuestos'!$E$2:$E$48,"OK",'Conciliacion de compuestos'!$O$2:$O$48,A214))&gt;0,IFERROR(TEXTJOIN(CHAR(10),TRUE,FILTER('Conciliacion de compuestos'!$A$2:$A$48,('Conciliacion de compuestos'!$D$2:$D$48="conciliado")*('Conciliacion de compuestos'!$E$2:$E$48="OK")*((('Conciliacion de compuestos'!$M$2:$M$48=A214)+('Conciliacion de compuestos'!$N$2:$N$48=A214)+('Conciliacion de compuestos'!$O$2:$O$48=A214))&gt;0))),""),"")</f>
        <v/>
      </c>
      <c r="G214" s="11">
        <f>IF(I214="conciliado","conciliado","por revisar")</f>
        <v/>
      </c>
      <c r="H214" s="11" t="inlineStr"/>
      <c r="I214" s="11">
        <f>IF(SUM(COUNTIFS('Conciliacion de compuestos'!$D$2:$D$48,"conciliado",'Conciliacion de compuestos'!$E$2:$E$48,"OK",'Conciliacion de compuestos'!$M$2:$M$48,A214),COUNTIFS('Conciliacion de compuestos'!$D$2:$D$48,"conciliado",'Conciliacion de compuestos'!$E$2:$E$48,"OK",'Conciliacion de compuestos'!$N$2:$N$48,A214),COUNTIFS('Conciliacion de compuestos'!$D$2:$D$48,"conciliado",'Conciliacion de compuestos'!$E$2:$E$48,"OK",'Conciliacion de compuestos'!$O$2:$O$48,A214))&gt;0,"conciliado","por revisar")</f>
        <v/>
      </c>
    </row>
    <row r="215">
      <c r="A215" s="11" t="n">
        <v>278</v>
      </c>
      <c r="B215" s="12" t="n">
        <v>46015</v>
      </c>
      <c r="C215" s="11" t="inlineStr">
        <is>
          <t>nieves p rivadeneira</t>
        </is>
      </c>
      <c r="D215" s="13" t="n">
        <v>173300</v>
      </c>
      <c r="E215" s="11">
        <f>IF(G215="conciliado","conciliado",I215)</f>
        <v/>
      </c>
      <c r="F215" s="11">
        <f>IF(SUM(COUNTIFS('Conciliacion de compuestos'!$D$2:$D$48,"conciliado",'Conciliacion de compuestos'!$E$2:$E$48,"OK",'Conciliacion de compuestos'!$M$2:$M$48,A215),COUNTIFS('Conciliacion de compuestos'!$D$2:$D$48,"conciliado",'Conciliacion de compuestos'!$E$2:$E$48,"OK",'Conciliacion de compuestos'!$N$2:$N$48,A215),COUNTIFS('Conciliacion de compuestos'!$D$2:$D$48,"conciliado",'Conciliacion de compuestos'!$E$2:$E$48,"OK",'Conciliacion de compuestos'!$O$2:$O$48,A215))&gt;0,IFERROR(TEXTJOIN(CHAR(10),TRUE,FILTER('Conciliacion de compuestos'!$A$2:$A$48,('Conciliacion de compuestos'!$D$2:$D$48="conciliado")*('Conciliacion de compuestos'!$E$2:$E$48="OK")*((('Conciliacion de compuestos'!$M$2:$M$48=A215)+('Conciliacion de compuestos'!$N$2:$N$48=A215)+('Conciliacion de compuestos'!$O$2:$O$48=A215))&gt;0))),""),"")</f>
        <v/>
      </c>
      <c r="G215" s="11">
        <f>IF(I215="conciliado","conciliado","por revisar")</f>
        <v/>
      </c>
      <c r="H215" s="11" t="inlineStr"/>
      <c r="I215" s="11">
        <f>IF(SUM(COUNTIFS('Conciliacion de compuestos'!$D$2:$D$48,"conciliado",'Conciliacion de compuestos'!$E$2:$E$48,"OK",'Conciliacion de compuestos'!$M$2:$M$48,A215),COUNTIFS('Conciliacion de compuestos'!$D$2:$D$48,"conciliado",'Conciliacion de compuestos'!$E$2:$E$48,"OK",'Conciliacion de compuestos'!$N$2:$N$48,A215),COUNTIFS('Conciliacion de compuestos'!$D$2:$D$48,"conciliado",'Conciliacion de compuestos'!$E$2:$E$48,"OK",'Conciliacion de compuestos'!$O$2:$O$48,A215))&gt;0,"conciliado","por revisar")</f>
        <v/>
      </c>
    </row>
    <row r="216">
      <c r="A216" s="11" t="n">
        <v>268</v>
      </c>
      <c r="B216" s="12" t="n">
        <v>46015</v>
      </c>
      <c r="C216" s="11" t="inlineStr">
        <is>
          <t>gomez karina urbina</t>
        </is>
      </c>
      <c r="D216" s="13" t="n">
        <v>170000</v>
      </c>
      <c r="E216" s="11">
        <f>IF(G216="conciliado","conciliado",I216)</f>
        <v/>
      </c>
      <c r="F216" s="11">
        <f>IF(SUM(COUNTIFS('Conciliacion de compuestos'!$D$2:$D$48,"conciliado",'Conciliacion de compuestos'!$E$2:$E$48,"OK",'Conciliacion de compuestos'!$M$2:$M$48,A216),COUNTIFS('Conciliacion de compuestos'!$D$2:$D$48,"conciliado",'Conciliacion de compuestos'!$E$2:$E$48,"OK",'Conciliacion de compuestos'!$N$2:$N$48,A216),COUNTIFS('Conciliacion de compuestos'!$D$2:$D$48,"conciliado",'Conciliacion de compuestos'!$E$2:$E$48,"OK",'Conciliacion de compuestos'!$O$2:$O$48,A216))&gt;0,IFERROR(TEXTJOIN(CHAR(10),TRUE,FILTER('Conciliacion de compuestos'!$A$2:$A$48,('Conciliacion de compuestos'!$D$2:$D$48="conciliado")*('Conciliacion de compuestos'!$E$2:$E$48="OK")*((('Conciliacion de compuestos'!$M$2:$M$48=A216)+('Conciliacion de compuestos'!$N$2:$N$48=A216)+('Conciliacion de compuestos'!$O$2:$O$48=A216))&gt;0))),""),"")</f>
        <v/>
      </c>
      <c r="G216" s="11">
        <f>IF(I216="conciliado","conciliado","por revisar")</f>
        <v/>
      </c>
      <c r="H216" s="11" t="inlineStr"/>
      <c r="I216" s="11">
        <f>IF(SUM(COUNTIFS('Conciliacion de compuestos'!$D$2:$D$48,"conciliado",'Conciliacion de compuestos'!$E$2:$E$48,"OK",'Conciliacion de compuestos'!$M$2:$M$48,A216),COUNTIFS('Conciliacion de compuestos'!$D$2:$D$48,"conciliado",'Conciliacion de compuestos'!$E$2:$E$48,"OK",'Conciliacion de compuestos'!$N$2:$N$48,A216),COUNTIFS('Conciliacion de compuestos'!$D$2:$D$48,"conciliado",'Conciliacion de compuestos'!$E$2:$E$48,"OK",'Conciliacion de compuestos'!$O$2:$O$48,A216))&gt;0,"conciliado","por revisar")</f>
        <v/>
      </c>
    </row>
    <row r="217">
      <c r="A217" s="11" t="n">
        <v>289</v>
      </c>
      <c r="B217" s="12" t="n">
        <v>46015</v>
      </c>
      <c r="C217" s="11" t="inlineStr">
        <is>
          <t>gomez mi urbina yuli</t>
        </is>
      </c>
      <c r="D217" s="13" t="n">
        <v>221000</v>
      </c>
      <c r="E217" s="11">
        <f>IF(G217="conciliado","conciliado",I217)</f>
        <v/>
      </c>
      <c r="F217" s="11">
        <f>IF(SUM(COUNTIFS('Conciliacion de compuestos'!$D$2:$D$48,"conciliado",'Conciliacion de compuestos'!$E$2:$E$48,"OK",'Conciliacion de compuestos'!$M$2:$M$48,A217),COUNTIFS('Conciliacion de compuestos'!$D$2:$D$48,"conciliado",'Conciliacion de compuestos'!$E$2:$E$48,"OK",'Conciliacion de compuestos'!$N$2:$N$48,A217),COUNTIFS('Conciliacion de compuestos'!$D$2:$D$48,"conciliado",'Conciliacion de compuestos'!$E$2:$E$48,"OK",'Conciliacion de compuestos'!$O$2:$O$48,A217))&gt;0,IFERROR(TEXTJOIN(CHAR(10),TRUE,FILTER('Conciliacion de compuestos'!$A$2:$A$48,('Conciliacion de compuestos'!$D$2:$D$48="conciliado")*('Conciliacion de compuestos'!$E$2:$E$48="OK")*((('Conciliacion de compuestos'!$M$2:$M$48=A217)+('Conciliacion de compuestos'!$N$2:$N$48=A217)+('Conciliacion de compuestos'!$O$2:$O$48=A217))&gt;0))),""),"")</f>
        <v/>
      </c>
      <c r="G217" s="11">
        <f>IF(I217="conciliado","conciliado","por revisar")</f>
        <v/>
      </c>
      <c r="H217" s="11" t="inlineStr"/>
      <c r="I217" s="11">
        <f>IF(SUM(COUNTIFS('Conciliacion de compuestos'!$D$2:$D$48,"conciliado",'Conciliacion de compuestos'!$E$2:$E$48,"OK",'Conciliacion de compuestos'!$M$2:$M$48,A217),COUNTIFS('Conciliacion de compuestos'!$D$2:$D$48,"conciliado",'Conciliacion de compuestos'!$E$2:$E$48,"OK",'Conciliacion de compuestos'!$N$2:$N$48,A217),COUNTIFS('Conciliacion de compuestos'!$D$2:$D$48,"conciliado",'Conciliacion de compuestos'!$E$2:$E$48,"OK",'Conciliacion de compuestos'!$O$2:$O$48,A217))&gt;0,"conciliado","por revisar")</f>
        <v/>
      </c>
    </row>
    <row r="218">
      <c r="A218" s="11" t="n">
        <v>279</v>
      </c>
      <c r="B218" s="12" t="n">
        <v>46015</v>
      </c>
      <c r="C218" s="11" t="inlineStr">
        <is>
          <t>diaz jaibens machado</t>
        </is>
      </c>
      <c r="D218" s="13" t="n">
        <v>98000</v>
      </c>
      <c r="E218" s="11">
        <f>IF(G218="conciliado","conciliado",I218)</f>
        <v/>
      </c>
      <c r="F218" s="11">
        <f>IF(SUM(COUNTIFS('Conciliacion de compuestos'!$D$2:$D$48,"conciliado",'Conciliacion de compuestos'!$E$2:$E$48,"OK",'Conciliacion de compuestos'!$M$2:$M$48,A218),COUNTIFS('Conciliacion de compuestos'!$D$2:$D$48,"conciliado",'Conciliacion de compuestos'!$E$2:$E$48,"OK",'Conciliacion de compuestos'!$N$2:$N$48,A218),COUNTIFS('Conciliacion de compuestos'!$D$2:$D$48,"conciliado",'Conciliacion de compuestos'!$E$2:$E$48,"OK",'Conciliacion de compuestos'!$O$2:$O$48,A218))&gt;0,IFERROR(TEXTJOIN(CHAR(10),TRUE,FILTER('Conciliacion de compuestos'!$A$2:$A$48,('Conciliacion de compuestos'!$D$2:$D$48="conciliado")*('Conciliacion de compuestos'!$E$2:$E$48="OK")*((('Conciliacion de compuestos'!$M$2:$M$48=A218)+('Conciliacion de compuestos'!$N$2:$N$48=A218)+('Conciliacion de compuestos'!$O$2:$O$48=A218))&gt;0))),""),"")</f>
        <v/>
      </c>
      <c r="G218" s="11">
        <f>IF(I218="conciliado","conciliado","por revisar")</f>
        <v/>
      </c>
      <c r="H218" s="11" t="inlineStr"/>
      <c r="I218" s="11">
        <f>IF(SUM(COUNTIFS('Conciliacion de compuestos'!$D$2:$D$48,"conciliado",'Conciliacion de compuestos'!$E$2:$E$48,"OK",'Conciliacion de compuestos'!$M$2:$M$48,A218),COUNTIFS('Conciliacion de compuestos'!$D$2:$D$48,"conciliado",'Conciliacion de compuestos'!$E$2:$E$48,"OK",'Conciliacion de compuestos'!$N$2:$N$48,A218),COUNTIFS('Conciliacion de compuestos'!$D$2:$D$48,"conciliado",'Conciliacion de compuestos'!$E$2:$E$48,"OK",'Conciliacion de compuestos'!$O$2:$O$48,A218))&gt;0,"conciliado","por revisar")</f>
        <v/>
      </c>
    </row>
    <row r="219">
      <c r="A219" s="11" t="n">
        <v>291</v>
      </c>
      <c r="B219" s="12" t="n">
        <v>46015</v>
      </c>
      <c r="C219" s="11" t="inlineStr">
        <is>
          <t>edgar motta</t>
        </is>
      </c>
      <c r="D219" s="13" t="n">
        <v>148400</v>
      </c>
      <c r="E219" s="11">
        <f>IF(G219="conciliado","conciliado",I219)</f>
        <v/>
      </c>
      <c r="F219" s="11">
        <f>IF(SUM(COUNTIFS('Conciliacion de compuestos'!$D$2:$D$48,"conciliado",'Conciliacion de compuestos'!$E$2:$E$48,"OK",'Conciliacion de compuestos'!$M$2:$M$48,A219),COUNTIFS('Conciliacion de compuestos'!$D$2:$D$48,"conciliado",'Conciliacion de compuestos'!$E$2:$E$48,"OK",'Conciliacion de compuestos'!$N$2:$N$48,A219),COUNTIFS('Conciliacion de compuestos'!$D$2:$D$48,"conciliado",'Conciliacion de compuestos'!$E$2:$E$48,"OK",'Conciliacion de compuestos'!$O$2:$O$48,A219))&gt;0,IFERROR(TEXTJOIN(CHAR(10),TRUE,FILTER('Conciliacion de compuestos'!$A$2:$A$48,('Conciliacion de compuestos'!$D$2:$D$48="conciliado")*('Conciliacion de compuestos'!$E$2:$E$48="OK")*((('Conciliacion de compuestos'!$M$2:$M$48=A219)+('Conciliacion de compuestos'!$N$2:$N$48=A219)+('Conciliacion de compuestos'!$O$2:$O$48=A219))&gt;0))),""),"")</f>
        <v/>
      </c>
      <c r="G219" s="11">
        <f>IF(I219="conciliado","conciliado","por revisar")</f>
        <v/>
      </c>
      <c r="H219" s="11" t="inlineStr"/>
      <c r="I219" s="11">
        <f>IF(SUM(COUNTIFS('Conciliacion de compuestos'!$D$2:$D$48,"conciliado",'Conciliacion de compuestos'!$E$2:$E$48,"OK",'Conciliacion de compuestos'!$M$2:$M$48,A219),COUNTIFS('Conciliacion de compuestos'!$D$2:$D$48,"conciliado",'Conciliacion de compuestos'!$E$2:$E$48,"OK",'Conciliacion de compuestos'!$N$2:$N$48,A219),COUNTIFS('Conciliacion de compuestos'!$D$2:$D$48,"conciliado",'Conciliacion de compuestos'!$E$2:$E$48,"OK",'Conciliacion de compuestos'!$O$2:$O$48,A219))&gt;0,"conciliado","por revisar")</f>
        <v/>
      </c>
    </row>
    <row r="220">
      <c r="A220" s="11" t="n">
        <v>270</v>
      </c>
      <c r="B220" s="12" t="n">
        <v>46015</v>
      </c>
      <c r="C220" s="11" t="inlineStr">
        <is>
          <t>a gomez jimenez john</t>
        </is>
      </c>
      <c r="D220" s="13" t="n">
        <v>511500</v>
      </c>
      <c r="E220" s="11">
        <f>IF(G220="conciliado","conciliado",I220)</f>
        <v/>
      </c>
      <c r="F220" s="11">
        <f>IF(SUM(COUNTIFS('Conciliacion de compuestos'!$D$2:$D$48,"conciliado",'Conciliacion de compuestos'!$E$2:$E$48,"OK",'Conciliacion de compuestos'!$M$2:$M$48,A220),COUNTIFS('Conciliacion de compuestos'!$D$2:$D$48,"conciliado",'Conciliacion de compuestos'!$E$2:$E$48,"OK",'Conciliacion de compuestos'!$N$2:$N$48,A220),COUNTIFS('Conciliacion de compuestos'!$D$2:$D$48,"conciliado",'Conciliacion de compuestos'!$E$2:$E$48,"OK",'Conciliacion de compuestos'!$O$2:$O$48,A220))&gt;0,IFERROR(TEXTJOIN(CHAR(10),TRUE,FILTER('Conciliacion de compuestos'!$A$2:$A$48,('Conciliacion de compuestos'!$D$2:$D$48="conciliado")*('Conciliacion de compuestos'!$E$2:$E$48="OK")*((('Conciliacion de compuestos'!$M$2:$M$48=A220)+('Conciliacion de compuestos'!$N$2:$N$48=A220)+('Conciliacion de compuestos'!$O$2:$O$48=A220))&gt;0))),""),"")</f>
        <v/>
      </c>
      <c r="G220" s="11">
        <f>IF(I220="conciliado","conciliado","por revisar")</f>
        <v/>
      </c>
      <c r="H220" s="11" t="inlineStr"/>
      <c r="I220" s="11">
        <f>IF(SUM(COUNTIFS('Conciliacion de compuestos'!$D$2:$D$48,"conciliado",'Conciliacion de compuestos'!$E$2:$E$48,"OK",'Conciliacion de compuestos'!$M$2:$M$48,A220),COUNTIFS('Conciliacion de compuestos'!$D$2:$D$48,"conciliado",'Conciliacion de compuestos'!$E$2:$E$48,"OK",'Conciliacion de compuestos'!$N$2:$N$48,A220),COUNTIFS('Conciliacion de compuestos'!$D$2:$D$48,"conciliado",'Conciliacion de compuestos'!$E$2:$E$48,"OK",'Conciliacion de compuestos'!$O$2:$O$48,A220))&gt;0,"conciliado","por revisar")</f>
        <v/>
      </c>
    </row>
    <row r="221">
      <c r="A221" s="11" t="n">
        <v>290</v>
      </c>
      <c r="B221" s="12" t="n">
        <v>46015</v>
      </c>
      <c r="C221" s="11" t="inlineStr">
        <is>
          <t>cabezas neyne rivera</t>
        </is>
      </c>
      <c r="D221" s="13" t="n">
        <v>68300</v>
      </c>
      <c r="E221" s="11">
        <f>IF(G221="conciliado","conciliado",I221)</f>
        <v/>
      </c>
      <c r="F221" s="11">
        <f>IF(SUM(COUNTIFS('Conciliacion de compuestos'!$D$2:$D$48,"conciliado",'Conciliacion de compuestos'!$E$2:$E$48,"OK",'Conciliacion de compuestos'!$M$2:$M$48,A221),COUNTIFS('Conciliacion de compuestos'!$D$2:$D$48,"conciliado",'Conciliacion de compuestos'!$E$2:$E$48,"OK",'Conciliacion de compuestos'!$N$2:$N$48,A221),COUNTIFS('Conciliacion de compuestos'!$D$2:$D$48,"conciliado",'Conciliacion de compuestos'!$E$2:$E$48,"OK",'Conciliacion de compuestos'!$O$2:$O$48,A221))&gt;0,IFERROR(TEXTJOIN(CHAR(10),TRUE,FILTER('Conciliacion de compuestos'!$A$2:$A$48,('Conciliacion de compuestos'!$D$2:$D$48="conciliado")*('Conciliacion de compuestos'!$E$2:$E$48="OK")*((('Conciliacion de compuestos'!$M$2:$M$48=A221)+('Conciliacion de compuestos'!$N$2:$N$48=A221)+('Conciliacion de compuestos'!$O$2:$O$48=A221))&gt;0))),""),"")</f>
        <v/>
      </c>
      <c r="G221" s="11">
        <f>IF(I221="conciliado","conciliado","por revisar")</f>
        <v/>
      </c>
      <c r="H221" s="11" t="inlineStr"/>
      <c r="I221" s="11">
        <f>IF(SUM(COUNTIFS('Conciliacion de compuestos'!$D$2:$D$48,"conciliado",'Conciliacion de compuestos'!$E$2:$E$48,"OK",'Conciliacion de compuestos'!$M$2:$M$48,A221),COUNTIFS('Conciliacion de compuestos'!$D$2:$D$48,"conciliado",'Conciliacion de compuestos'!$E$2:$E$48,"OK",'Conciliacion de compuestos'!$N$2:$N$48,A221),COUNTIFS('Conciliacion de compuestos'!$D$2:$D$48,"conciliado",'Conciliacion de compuestos'!$E$2:$E$48,"OK",'Conciliacion de compuestos'!$O$2:$O$48,A221))&gt;0,"conciliado","por revisar")</f>
        <v/>
      </c>
    </row>
    <row r="222">
      <c r="A222" s="11" t="n">
        <v>271</v>
      </c>
      <c r="B222" s="12" t="n">
        <v>46015</v>
      </c>
      <c r="C222" s="11" t="inlineStr">
        <is>
          <t>gallon mari quinones</t>
        </is>
      </c>
      <c r="D222" s="13" t="n">
        <v>12600</v>
      </c>
      <c r="E222" s="11">
        <f>IF(G222="conciliado","conciliado",I222)</f>
        <v/>
      </c>
      <c r="F222" s="11">
        <f>IF(SUM(COUNTIFS('Conciliacion de compuestos'!$D$2:$D$48,"conciliado",'Conciliacion de compuestos'!$E$2:$E$48,"OK",'Conciliacion de compuestos'!$M$2:$M$48,A222),COUNTIFS('Conciliacion de compuestos'!$D$2:$D$48,"conciliado",'Conciliacion de compuestos'!$E$2:$E$48,"OK",'Conciliacion de compuestos'!$N$2:$N$48,A222),COUNTIFS('Conciliacion de compuestos'!$D$2:$D$48,"conciliado",'Conciliacion de compuestos'!$E$2:$E$48,"OK",'Conciliacion de compuestos'!$O$2:$O$48,A222))&gt;0,IFERROR(TEXTJOIN(CHAR(10),TRUE,FILTER('Conciliacion de compuestos'!$A$2:$A$48,('Conciliacion de compuestos'!$D$2:$D$48="conciliado")*('Conciliacion de compuestos'!$E$2:$E$48="OK")*((('Conciliacion de compuestos'!$M$2:$M$48=A222)+('Conciliacion de compuestos'!$N$2:$N$48=A222)+('Conciliacion de compuestos'!$O$2:$O$48=A222))&gt;0))),""),"")</f>
        <v/>
      </c>
      <c r="G222" s="11">
        <f>IF(I222="conciliado","conciliado","por revisar")</f>
        <v/>
      </c>
      <c r="H222" s="11" t="inlineStr"/>
      <c r="I222" s="11">
        <f>IF(SUM(COUNTIFS('Conciliacion de compuestos'!$D$2:$D$48,"conciliado",'Conciliacion de compuestos'!$E$2:$E$48,"OK",'Conciliacion de compuestos'!$M$2:$M$48,A222),COUNTIFS('Conciliacion de compuestos'!$D$2:$D$48,"conciliado",'Conciliacion de compuestos'!$E$2:$E$48,"OK",'Conciliacion de compuestos'!$N$2:$N$48,A222),COUNTIFS('Conciliacion de compuestos'!$D$2:$D$48,"conciliado",'Conciliacion de compuestos'!$E$2:$E$48,"OK",'Conciliacion de compuestos'!$O$2:$O$48,A222))&gt;0,"conciliado","por revisar")</f>
        <v/>
      </c>
    </row>
    <row r="223">
      <c r="A223" s="11" t="n">
        <v>269</v>
      </c>
      <c r="B223" s="12" t="n">
        <v>46015</v>
      </c>
      <c r="C223" s="11" t="inlineStr">
        <is>
          <t>buelvas diaz jose mi</t>
        </is>
      </c>
      <c r="D223" s="13" t="n">
        <v>42688</v>
      </c>
      <c r="E223" s="11">
        <f>IF(G223="conciliado","conciliado",I223)</f>
        <v/>
      </c>
      <c r="F223" s="11">
        <f>IF(SUM(COUNTIFS('Conciliacion de compuestos'!$D$2:$D$48,"conciliado",'Conciliacion de compuestos'!$E$2:$E$48,"OK",'Conciliacion de compuestos'!$M$2:$M$48,A223),COUNTIFS('Conciliacion de compuestos'!$D$2:$D$48,"conciliado",'Conciliacion de compuestos'!$E$2:$E$48,"OK",'Conciliacion de compuestos'!$N$2:$N$48,A223),COUNTIFS('Conciliacion de compuestos'!$D$2:$D$48,"conciliado",'Conciliacion de compuestos'!$E$2:$E$48,"OK",'Conciliacion de compuestos'!$O$2:$O$48,A223))&gt;0,IFERROR(TEXTJOIN(CHAR(10),TRUE,FILTER('Conciliacion de compuestos'!$A$2:$A$48,('Conciliacion de compuestos'!$D$2:$D$48="conciliado")*('Conciliacion de compuestos'!$E$2:$E$48="OK")*((('Conciliacion de compuestos'!$M$2:$M$48=A223)+('Conciliacion de compuestos'!$N$2:$N$48=A223)+('Conciliacion de compuestos'!$O$2:$O$48=A223))&gt;0))),""),"")</f>
        <v/>
      </c>
      <c r="G223" s="11">
        <f>IF(I223="conciliado","conciliado","por revisar")</f>
        <v/>
      </c>
      <c r="H223" s="11" t="inlineStr"/>
      <c r="I223" s="11">
        <f>IF(SUM(COUNTIFS('Conciliacion de compuestos'!$D$2:$D$48,"conciliado",'Conciliacion de compuestos'!$E$2:$E$48,"OK",'Conciliacion de compuestos'!$M$2:$M$48,A223),COUNTIFS('Conciliacion de compuestos'!$D$2:$D$48,"conciliado",'Conciliacion de compuestos'!$E$2:$E$48,"OK",'Conciliacion de compuestos'!$N$2:$N$48,A223),COUNTIFS('Conciliacion de compuestos'!$D$2:$D$48,"conciliado",'Conciliacion de compuestos'!$E$2:$E$48,"OK",'Conciliacion de compuestos'!$O$2:$O$48,A223))&gt;0,"conciliado","por revisar")</f>
        <v/>
      </c>
    </row>
    <row r="224">
      <c r="A224" s="11" t="n">
        <v>280</v>
      </c>
      <c r="B224" s="12" t="n">
        <v>46015</v>
      </c>
      <c r="C224" s="11" t="inlineStr">
        <is>
          <t>diana garzon garzon</t>
        </is>
      </c>
      <c r="D224" s="13" t="n">
        <v>78300</v>
      </c>
      <c r="E224" s="11">
        <f>IF(G224="conciliado","conciliado",I224)</f>
        <v/>
      </c>
      <c r="F224" s="11">
        <f>IF(SUM(COUNTIFS('Conciliacion de compuestos'!$D$2:$D$48,"conciliado",'Conciliacion de compuestos'!$E$2:$E$48,"OK",'Conciliacion de compuestos'!$M$2:$M$48,A224),COUNTIFS('Conciliacion de compuestos'!$D$2:$D$48,"conciliado",'Conciliacion de compuestos'!$E$2:$E$48,"OK",'Conciliacion de compuestos'!$N$2:$N$48,A224),COUNTIFS('Conciliacion de compuestos'!$D$2:$D$48,"conciliado",'Conciliacion de compuestos'!$E$2:$E$48,"OK",'Conciliacion de compuestos'!$O$2:$O$48,A224))&gt;0,IFERROR(TEXTJOIN(CHAR(10),TRUE,FILTER('Conciliacion de compuestos'!$A$2:$A$48,('Conciliacion de compuestos'!$D$2:$D$48="conciliado")*('Conciliacion de compuestos'!$E$2:$E$48="OK")*((('Conciliacion de compuestos'!$M$2:$M$48=A224)+('Conciliacion de compuestos'!$N$2:$N$48=A224)+('Conciliacion de compuestos'!$O$2:$O$48=A224))&gt;0))),""),"")</f>
        <v/>
      </c>
      <c r="G224" s="11">
        <f>IF(I224="conciliado","conciliado","por revisar")</f>
        <v/>
      </c>
      <c r="H224" s="11" t="inlineStr"/>
      <c r="I224" s="11">
        <f>IF(SUM(COUNTIFS('Conciliacion de compuestos'!$D$2:$D$48,"conciliado",'Conciliacion de compuestos'!$E$2:$E$48,"OK",'Conciliacion de compuestos'!$M$2:$M$48,A224),COUNTIFS('Conciliacion de compuestos'!$D$2:$D$48,"conciliado",'Conciliacion de compuestos'!$E$2:$E$48,"OK",'Conciliacion de compuestos'!$N$2:$N$48,A224),COUNTIFS('Conciliacion de compuestos'!$D$2:$D$48,"conciliado",'Conciliacion de compuestos'!$E$2:$E$48,"OK",'Conciliacion de compuestos'!$O$2:$O$48,A224))&gt;0,"conciliado","por revisar")</f>
        <v/>
      </c>
    </row>
    <row r="225">
      <c r="A225" s="11" t="n">
        <v>297</v>
      </c>
      <c r="B225" s="12" t="n">
        <v>46016</v>
      </c>
      <c r="C225" s="11" t="inlineStr">
        <is>
          <t>edgar motta</t>
        </is>
      </c>
      <c r="D225" s="13" t="n">
        <v>135000</v>
      </c>
      <c r="E225" s="11">
        <f>IF(G225="conciliado","conciliado",I225)</f>
        <v/>
      </c>
      <c r="F225" s="11">
        <f>IF(SUM(COUNTIFS('Conciliacion de compuestos'!$D$2:$D$48,"conciliado",'Conciliacion de compuestos'!$E$2:$E$48,"OK",'Conciliacion de compuestos'!$M$2:$M$48,A225),COUNTIFS('Conciliacion de compuestos'!$D$2:$D$48,"conciliado",'Conciliacion de compuestos'!$E$2:$E$48,"OK",'Conciliacion de compuestos'!$N$2:$N$48,A225),COUNTIFS('Conciliacion de compuestos'!$D$2:$D$48,"conciliado",'Conciliacion de compuestos'!$E$2:$E$48,"OK",'Conciliacion de compuestos'!$O$2:$O$48,A225))&gt;0,IFERROR(TEXTJOIN(CHAR(10),TRUE,FILTER('Conciliacion de compuestos'!$A$2:$A$48,('Conciliacion de compuestos'!$D$2:$D$48="conciliado")*('Conciliacion de compuestos'!$E$2:$E$48="OK")*((('Conciliacion de compuestos'!$M$2:$M$48=A225)+('Conciliacion de compuestos'!$N$2:$N$48=A225)+('Conciliacion de compuestos'!$O$2:$O$48=A225))&gt;0))),""),"")</f>
        <v/>
      </c>
      <c r="G225" s="11">
        <f>IF(I225="conciliado","conciliado","por revisar")</f>
        <v/>
      </c>
      <c r="H225" s="11" t="inlineStr"/>
      <c r="I225" s="11">
        <f>IF(SUM(COUNTIFS('Conciliacion de compuestos'!$D$2:$D$48,"conciliado",'Conciliacion de compuestos'!$E$2:$E$48,"OK",'Conciliacion de compuestos'!$M$2:$M$48,A225),COUNTIFS('Conciliacion de compuestos'!$D$2:$D$48,"conciliado",'Conciliacion de compuestos'!$E$2:$E$48,"OK",'Conciliacion de compuestos'!$N$2:$N$48,A225),COUNTIFS('Conciliacion de compuestos'!$D$2:$D$48,"conciliado",'Conciliacion de compuestos'!$E$2:$E$48,"OK",'Conciliacion de compuestos'!$O$2:$O$48,A225))&gt;0,"conciliado","por revisar")</f>
        <v/>
      </c>
    </row>
    <row r="226">
      <c r="A226" s="11" t="n">
        <v>299</v>
      </c>
      <c r="B226" s="12" t="n">
        <v>46016</v>
      </c>
      <c r="C226" s="11" t="inlineStr">
        <is>
          <t>cadena lucia paez</t>
        </is>
      </c>
      <c r="D226" s="13" t="n">
        <v>83100</v>
      </c>
      <c r="E226" s="11">
        <f>IF(G226="conciliado","conciliado",I226)</f>
        <v/>
      </c>
      <c r="F226" s="11">
        <f>IF(SUM(COUNTIFS('Conciliacion de compuestos'!$D$2:$D$48,"conciliado",'Conciliacion de compuestos'!$E$2:$E$48,"OK",'Conciliacion de compuestos'!$M$2:$M$48,A226),COUNTIFS('Conciliacion de compuestos'!$D$2:$D$48,"conciliado",'Conciliacion de compuestos'!$E$2:$E$48,"OK",'Conciliacion de compuestos'!$N$2:$N$48,A226),COUNTIFS('Conciliacion de compuestos'!$D$2:$D$48,"conciliado",'Conciliacion de compuestos'!$E$2:$E$48,"OK",'Conciliacion de compuestos'!$O$2:$O$48,A226))&gt;0,IFERROR(TEXTJOIN(CHAR(10),TRUE,FILTER('Conciliacion de compuestos'!$A$2:$A$48,('Conciliacion de compuestos'!$D$2:$D$48="conciliado")*('Conciliacion de compuestos'!$E$2:$E$48="OK")*((('Conciliacion de compuestos'!$M$2:$M$48=A226)+('Conciliacion de compuestos'!$N$2:$N$48=A226)+('Conciliacion de compuestos'!$O$2:$O$48=A226))&gt;0))),""),"")</f>
        <v/>
      </c>
      <c r="G226" s="11">
        <f>IF(I226="conciliado","conciliado","por revisar")</f>
        <v/>
      </c>
      <c r="H226" s="11" t="inlineStr"/>
      <c r="I226" s="11">
        <f>IF(SUM(COUNTIFS('Conciliacion de compuestos'!$D$2:$D$48,"conciliado",'Conciliacion de compuestos'!$E$2:$E$48,"OK",'Conciliacion de compuestos'!$M$2:$M$48,A226),COUNTIFS('Conciliacion de compuestos'!$D$2:$D$48,"conciliado",'Conciliacion de compuestos'!$E$2:$E$48,"OK",'Conciliacion de compuestos'!$N$2:$N$48,A226),COUNTIFS('Conciliacion de compuestos'!$D$2:$D$48,"conciliado",'Conciliacion de compuestos'!$E$2:$E$48,"OK",'Conciliacion de compuestos'!$O$2:$O$48,A226))&gt;0,"conciliado","por revisar")</f>
        <v/>
      </c>
    </row>
    <row r="227">
      <c r="A227" s="11" t="n">
        <v>329</v>
      </c>
      <c r="B227" s="12" t="n">
        <v>46019</v>
      </c>
      <c r="C227" s="11" t="inlineStr">
        <is>
          <t>eli guevara mosquera</t>
        </is>
      </c>
      <c r="D227" s="13" t="n">
        <v>41600</v>
      </c>
      <c r="E227" s="11">
        <f>IF(G227="conciliado","conciliado",I227)</f>
        <v/>
      </c>
      <c r="F227" s="11">
        <f>IF(SUM(COUNTIFS('Conciliacion de compuestos'!$D$2:$D$48,"conciliado",'Conciliacion de compuestos'!$E$2:$E$48,"OK",'Conciliacion de compuestos'!$M$2:$M$48,A227),COUNTIFS('Conciliacion de compuestos'!$D$2:$D$48,"conciliado",'Conciliacion de compuestos'!$E$2:$E$48,"OK",'Conciliacion de compuestos'!$N$2:$N$48,A227),COUNTIFS('Conciliacion de compuestos'!$D$2:$D$48,"conciliado",'Conciliacion de compuestos'!$E$2:$E$48,"OK",'Conciliacion de compuestos'!$O$2:$O$48,A227))&gt;0,IFERROR(TEXTJOIN(CHAR(10),TRUE,FILTER('Conciliacion de compuestos'!$A$2:$A$48,('Conciliacion de compuestos'!$D$2:$D$48="conciliado")*('Conciliacion de compuestos'!$E$2:$E$48="OK")*((('Conciliacion de compuestos'!$M$2:$M$48=A227)+('Conciliacion de compuestos'!$N$2:$N$48=A227)+('Conciliacion de compuestos'!$O$2:$O$48=A227))&gt;0))),""),"")</f>
        <v/>
      </c>
      <c r="G227" s="11">
        <f>IF(I227="conciliado","conciliado","por revisar")</f>
        <v/>
      </c>
      <c r="H227" s="11" t="inlineStr"/>
      <c r="I227" s="11">
        <f>IF(SUM(COUNTIFS('Conciliacion de compuestos'!$D$2:$D$48,"conciliado",'Conciliacion de compuestos'!$E$2:$E$48,"OK",'Conciliacion de compuestos'!$M$2:$M$48,A227),COUNTIFS('Conciliacion de compuestos'!$D$2:$D$48,"conciliado",'Conciliacion de compuestos'!$E$2:$E$48,"OK",'Conciliacion de compuestos'!$N$2:$N$48,A227),COUNTIFS('Conciliacion de compuestos'!$D$2:$D$48,"conciliado",'Conciliacion de compuestos'!$E$2:$E$48,"OK",'Conciliacion de compuestos'!$O$2:$O$48,A227))&gt;0,"conciliado","por revisar")</f>
        <v/>
      </c>
    </row>
    <row r="228">
      <c r="A228" s="11" t="n">
        <v>334</v>
      </c>
      <c r="B228" s="12" t="n">
        <v>46019</v>
      </c>
      <c r="C228" s="11" t="inlineStr">
        <is>
          <t>arango barrero luisa</t>
        </is>
      </c>
      <c r="D228" s="13" t="n">
        <v>94100</v>
      </c>
      <c r="E228" s="11">
        <f>IF(G228="conciliado","conciliado",I228)</f>
        <v/>
      </c>
      <c r="F228" s="11">
        <f>IF(SUM(COUNTIFS('Conciliacion de compuestos'!$D$2:$D$48,"conciliado",'Conciliacion de compuestos'!$E$2:$E$48,"OK",'Conciliacion de compuestos'!$M$2:$M$48,A228),COUNTIFS('Conciliacion de compuestos'!$D$2:$D$48,"conciliado",'Conciliacion de compuestos'!$E$2:$E$48,"OK",'Conciliacion de compuestos'!$N$2:$N$48,A228),COUNTIFS('Conciliacion de compuestos'!$D$2:$D$48,"conciliado",'Conciliacion de compuestos'!$E$2:$E$48,"OK",'Conciliacion de compuestos'!$O$2:$O$48,A228))&gt;0,IFERROR(TEXTJOIN(CHAR(10),TRUE,FILTER('Conciliacion de compuestos'!$A$2:$A$48,('Conciliacion de compuestos'!$D$2:$D$48="conciliado")*('Conciliacion de compuestos'!$E$2:$E$48="OK")*((('Conciliacion de compuestos'!$M$2:$M$48=A228)+('Conciliacion de compuestos'!$N$2:$N$48=A228)+('Conciliacion de compuestos'!$O$2:$O$48=A228))&gt;0))),""),"")</f>
        <v/>
      </c>
      <c r="G228" s="11">
        <f>IF(I228="conciliado","conciliado","por revisar")</f>
        <v/>
      </c>
      <c r="H228" s="11" t="inlineStr"/>
      <c r="I228" s="11">
        <f>IF(SUM(COUNTIFS('Conciliacion de compuestos'!$D$2:$D$48,"conciliado",'Conciliacion de compuestos'!$E$2:$E$48,"OK",'Conciliacion de compuestos'!$M$2:$M$48,A228),COUNTIFS('Conciliacion de compuestos'!$D$2:$D$48,"conciliado",'Conciliacion de compuestos'!$E$2:$E$48,"OK",'Conciliacion de compuestos'!$N$2:$N$48,A228),COUNTIFS('Conciliacion de compuestos'!$D$2:$D$48,"conciliado",'Conciliacion de compuestos'!$E$2:$E$48,"OK",'Conciliacion de compuestos'!$O$2:$O$48,A228))&gt;0,"conciliado","por revisar")</f>
        <v/>
      </c>
    </row>
    <row r="229">
      <c r="A229" s="11" t="n">
        <v>335</v>
      </c>
      <c r="B229" s="12" t="n">
        <v>46019</v>
      </c>
      <c r="C229" s="11" t="inlineStr">
        <is>
          <t>alban eddy f ramirez</t>
        </is>
      </c>
      <c r="D229" s="13" t="n">
        <v>155000</v>
      </c>
      <c r="E229" s="11">
        <f>IF(G229="conciliado","conciliado",I229)</f>
        <v/>
      </c>
      <c r="F229" s="11">
        <f>IF(SUM(COUNTIFS('Conciliacion de compuestos'!$D$2:$D$48,"conciliado",'Conciliacion de compuestos'!$E$2:$E$48,"OK",'Conciliacion de compuestos'!$M$2:$M$48,A229),COUNTIFS('Conciliacion de compuestos'!$D$2:$D$48,"conciliado",'Conciliacion de compuestos'!$E$2:$E$48,"OK",'Conciliacion de compuestos'!$N$2:$N$48,A229),COUNTIFS('Conciliacion de compuestos'!$D$2:$D$48,"conciliado",'Conciliacion de compuestos'!$E$2:$E$48,"OK",'Conciliacion de compuestos'!$O$2:$O$48,A229))&gt;0,IFERROR(TEXTJOIN(CHAR(10),TRUE,FILTER('Conciliacion de compuestos'!$A$2:$A$48,('Conciliacion de compuestos'!$D$2:$D$48="conciliado")*('Conciliacion de compuestos'!$E$2:$E$48="OK")*((('Conciliacion de compuestos'!$M$2:$M$48=A229)+('Conciliacion de compuestos'!$N$2:$N$48=A229)+('Conciliacion de compuestos'!$O$2:$O$48=A229))&gt;0))),""),"")</f>
        <v/>
      </c>
      <c r="G229" s="11">
        <f>IF(I229="conciliado","conciliado","por revisar")</f>
        <v/>
      </c>
      <c r="H229" s="11" t="inlineStr"/>
      <c r="I229" s="11">
        <f>IF(SUM(COUNTIFS('Conciliacion de compuestos'!$D$2:$D$48,"conciliado",'Conciliacion de compuestos'!$E$2:$E$48,"OK",'Conciliacion de compuestos'!$M$2:$M$48,A229),COUNTIFS('Conciliacion de compuestos'!$D$2:$D$48,"conciliado",'Conciliacion de compuestos'!$E$2:$E$48,"OK",'Conciliacion de compuestos'!$N$2:$N$48,A229),COUNTIFS('Conciliacion de compuestos'!$D$2:$D$48,"conciliado",'Conciliacion de compuestos'!$E$2:$E$48,"OK",'Conciliacion de compuestos'!$O$2:$O$48,A229))&gt;0,"conciliado","por revisar")</f>
        <v/>
      </c>
    </row>
    <row r="230">
      <c r="A230" s="11" t="n">
        <v>331</v>
      </c>
      <c r="B230" s="12" t="n">
        <v>46019</v>
      </c>
      <c r="C230" s="11" t="inlineStr">
        <is>
          <t>garzon jorge robayo</t>
        </is>
      </c>
      <c r="D230" s="13" t="n">
        <v>160800</v>
      </c>
      <c r="E230" s="11">
        <f>IF(G230="conciliado","conciliado",I230)</f>
        <v/>
      </c>
      <c r="F230" s="11">
        <f>IF(SUM(COUNTIFS('Conciliacion de compuestos'!$D$2:$D$48,"conciliado",'Conciliacion de compuestos'!$E$2:$E$48,"OK",'Conciliacion de compuestos'!$M$2:$M$48,A230),COUNTIFS('Conciliacion de compuestos'!$D$2:$D$48,"conciliado",'Conciliacion de compuestos'!$E$2:$E$48,"OK",'Conciliacion de compuestos'!$N$2:$N$48,A230),COUNTIFS('Conciliacion de compuestos'!$D$2:$D$48,"conciliado",'Conciliacion de compuestos'!$E$2:$E$48,"OK",'Conciliacion de compuestos'!$O$2:$O$48,A230))&gt;0,IFERROR(TEXTJOIN(CHAR(10),TRUE,FILTER('Conciliacion de compuestos'!$A$2:$A$48,('Conciliacion de compuestos'!$D$2:$D$48="conciliado")*('Conciliacion de compuestos'!$E$2:$E$48="OK")*((('Conciliacion de compuestos'!$M$2:$M$48=A230)+('Conciliacion de compuestos'!$N$2:$N$48=A230)+('Conciliacion de compuestos'!$O$2:$O$48=A230))&gt;0))),""),"")</f>
        <v/>
      </c>
      <c r="G230" s="11">
        <f>IF(I230="conciliado","conciliado","por revisar")</f>
        <v/>
      </c>
      <c r="H230" s="11" t="inlineStr"/>
      <c r="I230" s="11">
        <f>IF(SUM(COUNTIFS('Conciliacion de compuestos'!$D$2:$D$48,"conciliado",'Conciliacion de compuestos'!$E$2:$E$48,"OK",'Conciliacion de compuestos'!$M$2:$M$48,A230),COUNTIFS('Conciliacion de compuestos'!$D$2:$D$48,"conciliado",'Conciliacion de compuestos'!$E$2:$E$48,"OK",'Conciliacion de compuestos'!$N$2:$N$48,A230),COUNTIFS('Conciliacion de compuestos'!$D$2:$D$48,"conciliado",'Conciliacion de compuestos'!$E$2:$E$48,"OK",'Conciliacion de compuestos'!$O$2:$O$48,A230))&gt;0,"conciliado","por revisar")</f>
        <v/>
      </c>
    </row>
    <row r="231">
      <c r="A231" s="11" t="n">
        <v>310</v>
      </c>
      <c r="B231" s="12" t="n">
        <v>46017</v>
      </c>
      <c r="C231" s="11" t="inlineStr">
        <is>
          <t>cruz espinoza manuel</t>
        </is>
      </c>
      <c r="D231" s="13" t="n">
        <v>134400</v>
      </c>
      <c r="E231" s="11">
        <f>IF(G231="conciliado","conciliado",I231)</f>
        <v/>
      </c>
      <c r="F231" s="11">
        <f>IF(SUM(COUNTIFS('Conciliacion de compuestos'!$D$2:$D$48,"conciliado",'Conciliacion de compuestos'!$E$2:$E$48,"OK",'Conciliacion de compuestos'!$M$2:$M$48,A231),COUNTIFS('Conciliacion de compuestos'!$D$2:$D$48,"conciliado",'Conciliacion de compuestos'!$E$2:$E$48,"OK",'Conciliacion de compuestos'!$N$2:$N$48,A231),COUNTIFS('Conciliacion de compuestos'!$D$2:$D$48,"conciliado",'Conciliacion de compuestos'!$E$2:$E$48,"OK",'Conciliacion de compuestos'!$O$2:$O$48,A231))&gt;0,IFERROR(TEXTJOIN(CHAR(10),TRUE,FILTER('Conciliacion de compuestos'!$A$2:$A$48,('Conciliacion de compuestos'!$D$2:$D$48="conciliado")*('Conciliacion de compuestos'!$E$2:$E$48="OK")*((('Conciliacion de compuestos'!$M$2:$M$48=A231)+('Conciliacion de compuestos'!$N$2:$N$48=A231)+('Conciliacion de compuestos'!$O$2:$O$48=A231))&gt;0))),""),"")</f>
        <v/>
      </c>
      <c r="G231" s="11">
        <f>IF(I231="conciliado","conciliado","por revisar")</f>
        <v/>
      </c>
      <c r="H231" s="11" t="inlineStr"/>
      <c r="I231" s="11">
        <f>IF(SUM(COUNTIFS('Conciliacion de compuestos'!$D$2:$D$48,"conciliado",'Conciliacion de compuestos'!$E$2:$E$48,"OK",'Conciliacion de compuestos'!$M$2:$M$48,A231),COUNTIFS('Conciliacion de compuestos'!$D$2:$D$48,"conciliado",'Conciliacion de compuestos'!$E$2:$E$48,"OK",'Conciliacion de compuestos'!$N$2:$N$48,A231),COUNTIFS('Conciliacion de compuestos'!$D$2:$D$48,"conciliado",'Conciliacion de compuestos'!$E$2:$E$48,"OK",'Conciliacion de compuestos'!$O$2:$O$48,A231))&gt;0,"conciliado","por revisar")</f>
        <v/>
      </c>
    </row>
    <row r="232">
      <c r="A232" s="11" t="n">
        <v>304</v>
      </c>
      <c r="B232" s="12" t="n">
        <v>46017</v>
      </c>
      <c r="C232" s="11" t="inlineStr">
        <is>
          <t>benavides lopez sixt</t>
        </is>
      </c>
      <c r="D232" s="13" t="n">
        <v>104800</v>
      </c>
      <c r="E232" s="11">
        <f>IF(G232="conciliado","conciliado",I232)</f>
        <v/>
      </c>
      <c r="F232" s="11">
        <f>IF(SUM(COUNTIFS('Conciliacion de compuestos'!$D$2:$D$48,"conciliado",'Conciliacion de compuestos'!$E$2:$E$48,"OK",'Conciliacion de compuestos'!$M$2:$M$48,A232),COUNTIFS('Conciliacion de compuestos'!$D$2:$D$48,"conciliado",'Conciliacion de compuestos'!$E$2:$E$48,"OK",'Conciliacion de compuestos'!$N$2:$N$48,A232),COUNTIFS('Conciliacion de compuestos'!$D$2:$D$48,"conciliado",'Conciliacion de compuestos'!$E$2:$E$48,"OK",'Conciliacion de compuestos'!$O$2:$O$48,A232))&gt;0,IFERROR(TEXTJOIN(CHAR(10),TRUE,FILTER('Conciliacion de compuestos'!$A$2:$A$48,('Conciliacion de compuestos'!$D$2:$D$48="conciliado")*('Conciliacion de compuestos'!$E$2:$E$48="OK")*((('Conciliacion de compuestos'!$M$2:$M$48=A232)+('Conciliacion de compuestos'!$N$2:$N$48=A232)+('Conciliacion de compuestos'!$O$2:$O$48=A232))&gt;0))),""),"")</f>
        <v/>
      </c>
      <c r="G232" s="11">
        <f>IF(I232="conciliado","conciliado","por revisar")</f>
        <v/>
      </c>
      <c r="H232" s="11" t="inlineStr"/>
      <c r="I232" s="11">
        <f>IF(SUM(COUNTIFS('Conciliacion de compuestos'!$D$2:$D$48,"conciliado",'Conciliacion de compuestos'!$E$2:$E$48,"OK",'Conciliacion de compuestos'!$M$2:$M$48,A232),COUNTIFS('Conciliacion de compuestos'!$D$2:$D$48,"conciliado",'Conciliacion de compuestos'!$E$2:$E$48,"OK",'Conciliacion de compuestos'!$N$2:$N$48,A232),COUNTIFS('Conciliacion de compuestos'!$D$2:$D$48,"conciliado",'Conciliacion de compuestos'!$E$2:$E$48,"OK",'Conciliacion de compuestos'!$O$2:$O$48,A232))&gt;0,"conciliado","por revisar")</f>
        <v/>
      </c>
    </row>
    <row r="233">
      <c r="A233" s="11" t="n">
        <v>305</v>
      </c>
      <c r="B233" s="12" t="n">
        <v>46017</v>
      </c>
      <c r="C233" s="11" t="inlineStr">
        <is>
          <t>cisneros edwi norena</t>
        </is>
      </c>
      <c r="D233" s="13" t="n">
        <v>278300</v>
      </c>
      <c r="E233" s="11">
        <f>IF(G233="conciliado","conciliado",I233)</f>
        <v/>
      </c>
      <c r="F233" s="11">
        <f>IF(SUM(COUNTIFS('Conciliacion de compuestos'!$D$2:$D$48,"conciliado",'Conciliacion de compuestos'!$E$2:$E$48,"OK",'Conciliacion de compuestos'!$M$2:$M$48,A233),COUNTIFS('Conciliacion de compuestos'!$D$2:$D$48,"conciliado",'Conciliacion de compuestos'!$E$2:$E$48,"OK",'Conciliacion de compuestos'!$N$2:$N$48,A233),COUNTIFS('Conciliacion de compuestos'!$D$2:$D$48,"conciliado",'Conciliacion de compuestos'!$E$2:$E$48,"OK",'Conciliacion de compuestos'!$O$2:$O$48,A233))&gt;0,IFERROR(TEXTJOIN(CHAR(10),TRUE,FILTER('Conciliacion de compuestos'!$A$2:$A$48,('Conciliacion de compuestos'!$D$2:$D$48="conciliado")*('Conciliacion de compuestos'!$E$2:$E$48="OK")*((('Conciliacion de compuestos'!$M$2:$M$48=A233)+('Conciliacion de compuestos'!$N$2:$N$48=A233)+('Conciliacion de compuestos'!$O$2:$O$48=A233))&gt;0))),""),"")</f>
        <v/>
      </c>
      <c r="G233" s="11">
        <f>IF(I233="conciliado","conciliado","por revisar")</f>
        <v/>
      </c>
      <c r="H233" s="11" t="inlineStr"/>
      <c r="I233" s="11">
        <f>IF(SUM(COUNTIFS('Conciliacion de compuestos'!$D$2:$D$48,"conciliado",'Conciliacion de compuestos'!$E$2:$E$48,"OK",'Conciliacion de compuestos'!$M$2:$M$48,A233),COUNTIFS('Conciliacion de compuestos'!$D$2:$D$48,"conciliado",'Conciliacion de compuestos'!$E$2:$E$48,"OK",'Conciliacion de compuestos'!$N$2:$N$48,A233),COUNTIFS('Conciliacion de compuestos'!$D$2:$D$48,"conciliado",'Conciliacion de compuestos'!$E$2:$E$48,"OK",'Conciliacion de compuestos'!$O$2:$O$48,A233))&gt;0,"conciliado","por revisar")</f>
        <v/>
      </c>
    </row>
    <row r="234">
      <c r="A234" s="11" t="n">
        <v>308</v>
      </c>
      <c r="B234" s="12" t="n">
        <v>46017</v>
      </c>
      <c r="C234" s="11" t="inlineStr">
        <is>
          <t>acosta cristian diaz</t>
        </is>
      </c>
      <c r="D234" s="13" t="n">
        <v>26350</v>
      </c>
      <c r="E234" s="11">
        <f>IF(G234="conciliado","conciliado",I234)</f>
        <v/>
      </c>
      <c r="F234" s="11">
        <f>IF(SUM(COUNTIFS('Conciliacion de compuestos'!$D$2:$D$48,"conciliado",'Conciliacion de compuestos'!$E$2:$E$48,"OK",'Conciliacion de compuestos'!$M$2:$M$48,A234),COUNTIFS('Conciliacion de compuestos'!$D$2:$D$48,"conciliado",'Conciliacion de compuestos'!$E$2:$E$48,"OK",'Conciliacion de compuestos'!$N$2:$N$48,A234),COUNTIFS('Conciliacion de compuestos'!$D$2:$D$48,"conciliado",'Conciliacion de compuestos'!$E$2:$E$48,"OK",'Conciliacion de compuestos'!$O$2:$O$48,A234))&gt;0,IFERROR(TEXTJOIN(CHAR(10),TRUE,FILTER('Conciliacion de compuestos'!$A$2:$A$48,('Conciliacion de compuestos'!$D$2:$D$48="conciliado")*('Conciliacion de compuestos'!$E$2:$E$48="OK")*((('Conciliacion de compuestos'!$M$2:$M$48=A234)+('Conciliacion de compuestos'!$N$2:$N$48=A234)+('Conciliacion de compuestos'!$O$2:$O$48=A234))&gt;0))),""),"")</f>
        <v/>
      </c>
      <c r="G234" s="11">
        <f>IF(I234="conciliado","conciliado","por revisar")</f>
        <v/>
      </c>
      <c r="H234" s="11" t="inlineStr"/>
      <c r="I234" s="11">
        <f>IF(SUM(COUNTIFS('Conciliacion de compuestos'!$D$2:$D$48,"conciliado",'Conciliacion de compuestos'!$E$2:$E$48,"OK",'Conciliacion de compuestos'!$M$2:$M$48,A234),COUNTIFS('Conciliacion de compuestos'!$D$2:$D$48,"conciliado",'Conciliacion de compuestos'!$E$2:$E$48,"OK",'Conciliacion de compuestos'!$N$2:$N$48,A234),COUNTIFS('Conciliacion de compuestos'!$D$2:$D$48,"conciliado",'Conciliacion de compuestos'!$E$2:$E$48,"OK",'Conciliacion de compuestos'!$O$2:$O$48,A234))&gt;0,"conciliado","por revisar")</f>
        <v/>
      </c>
    </row>
    <row r="235">
      <c r="A235" s="11" t="n">
        <v>306</v>
      </c>
      <c r="B235" s="12" t="n">
        <v>46017</v>
      </c>
      <c r="C235" s="11" t="inlineStr">
        <is>
          <t>cristian he pai vega</t>
        </is>
      </c>
      <c r="D235" s="13" t="n">
        <v>46400</v>
      </c>
      <c r="E235" s="11">
        <f>IF(G235="conciliado","conciliado",I235)</f>
        <v/>
      </c>
      <c r="F235" s="11">
        <f>IF(SUM(COUNTIFS('Conciliacion de compuestos'!$D$2:$D$48,"conciliado",'Conciliacion de compuestos'!$E$2:$E$48,"OK",'Conciliacion de compuestos'!$M$2:$M$48,A235),COUNTIFS('Conciliacion de compuestos'!$D$2:$D$48,"conciliado",'Conciliacion de compuestos'!$E$2:$E$48,"OK",'Conciliacion de compuestos'!$N$2:$N$48,A235),COUNTIFS('Conciliacion de compuestos'!$D$2:$D$48,"conciliado",'Conciliacion de compuestos'!$E$2:$E$48,"OK",'Conciliacion de compuestos'!$O$2:$O$48,A235))&gt;0,IFERROR(TEXTJOIN(CHAR(10),TRUE,FILTER('Conciliacion de compuestos'!$A$2:$A$48,('Conciliacion de compuestos'!$D$2:$D$48="conciliado")*('Conciliacion de compuestos'!$E$2:$E$48="OK")*((('Conciliacion de compuestos'!$M$2:$M$48=A235)+('Conciliacion de compuestos'!$N$2:$N$48=A235)+('Conciliacion de compuestos'!$O$2:$O$48=A235))&gt;0))),""),"")</f>
        <v/>
      </c>
      <c r="G235" s="11">
        <f>IF(I235="conciliado","conciliado","por revisar")</f>
        <v/>
      </c>
      <c r="H235" s="11" t="inlineStr"/>
      <c r="I235" s="11">
        <f>IF(SUM(COUNTIFS('Conciliacion de compuestos'!$D$2:$D$48,"conciliado",'Conciliacion de compuestos'!$E$2:$E$48,"OK",'Conciliacion de compuestos'!$M$2:$M$48,A235),COUNTIFS('Conciliacion de compuestos'!$D$2:$D$48,"conciliado",'Conciliacion de compuestos'!$E$2:$E$48,"OK",'Conciliacion de compuestos'!$N$2:$N$48,A235),COUNTIFS('Conciliacion de compuestos'!$D$2:$D$48,"conciliado",'Conciliacion de compuestos'!$E$2:$E$48,"OK",'Conciliacion de compuestos'!$O$2:$O$48,A235))&gt;0,"conciliado","por revisar")</f>
        <v/>
      </c>
    </row>
    <row r="236">
      <c r="A236" s="11" t="n">
        <v>303</v>
      </c>
      <c r="B236" s="12" t="n">
        <v>46017</v>
      </c>
      <c r="C236" s="11" t="inlineStr">
        <is>
          <t>bastidas bolanos pao</t>
        </is>
      </c>
      <c r="D236" s="13" t="n">
        <v>39528</v>
      </c>
      <c r="E236" s="11">
        <f>IF(G236="conciliado","conciliado",I236)</f>
        <v/>
      </c>
      <c r="F236" s="11">
        <f>IF(SUM(COUNTIFS('Conciliacion de compuestos'!$D$2:$D$48,"conciliado",'Conciliacion de compuestos'!$E$2:$E$48,"OK",'Conciliacion de compuestos'!$M$2:$M$48,A236),COUNTIFS('Conciliacion de compuestos'!$D$2:$D$48,"conciliado",'Conciliacion de compuestos'!$E$2:$E$48,"OK",'Conciliacion de compuestos'!$N$2:$N$48,A236),COUNTIFS('Conciliacion de compuestos'!$D$2:$D$48,"conciliado",'Conciliacion de compuestos'!$E$2:$E$48,"OK",'Conciliacion de compuestos'!$O$2:$O$48,A236))&gt;0,IFERROR(TEXTJOIN(CHAR(10),TRUE,FILTER('Conciliacion de compuestos'!$A$2:$A$48,('Conciliacion de compuestos'!$D$2:$D$48="conciliado")*('Conciliacion de compuestos'!$E$2:$E$48="OK")*((('Conciliacion de compuestos'!$M$2:$M$48=A236)+('Conciliacion de compuestos'!$N$2:$N$48=A236)+('Conciliacion de compuestos'!$O$2:$O$48=A236))&gt;0))),""),"")</f>
        <v/>
      </c>
      <c r="G236" s="11">
        <f>IF(I236="conciliado","conciliado","por revisar")</f>
        <v/>
      </c>
      <c r="H236" s="11" t="inlineStr"/>
      <c r="I236" s="11">
        <f>IF(SUM(COUNTIFS('Conciliacion de compuestos'!$D$2:$D$48,"conciliado",'Conciliacion de compuestos'!$E$2:$E$48,"OK",'Conciliacion de compuestos'!$M$2:$M$48,A236),COUNTIFS('Conciliacion de compuestos'!$D$2:$D$48,"conciliado",'Conciliacion de compuestos'!$E$2:$E$48,"OK",'Conciliacion de compuestos'!$N$2:$N$48,A236),COUNTIFS('Conciliacion de compuestos'!$D$2:$D$48,"conciliado",'Conciliacion de compuestos'!$E$2:$E$48,"OK",'Conciliacion de compuestos'!$O$2:$O$48,A236))&gt;0,"conciliado","por revisar")</f>
        <v/>
      </c>
    </row>
    <row r="237">
      <c r="A237" s="11" t="n">
        <v>301</v>
      </c>
      <c r="B237" s="12" t="n">
        <v>46017</v>
      </c>
      <c r="C237" s="11" t="inlineStr">
        <is>
          <t>caycedo cortez helid</t>
        </is>
      </c>
      <c r="D237" s="13" t="n">
        <v>29900</v>
      </c>
      <c r="E237" s="11">
        <f>IF(G237="conciliado","conciliado",I237)</f>
        <v/>
      </c>
      <c r="F237" s="11">
        <f>IF(SUM(COUNTIFS('Conciliacion de compuestos'!$D$2:$D$48,"conciliado",'Conciliacion de compuestos'!$E$2:$E$48,"OK",'Conciliacion de compuestos'!$M$2:$M$48,A237),COUNTIFS('Conciliacion de compuestos'!$D$2:$D$48,"conciliado",'Conciliacion de compuestos'!$E$2:$E$48,"OK",'Conciliacion de compuestos'!$N$2:$N$48,A237),COUNTIFS('Conciliacion de compuestos'!$D$2:$D$48,"conciliado",'Conciliacion de compuestos'!$E$2:$E$48,"OK",'Conciliacion de compuestos'!$O$2:$O$48,A237))&gt;0,IFERROR(TEXTJOIN(CHAR(10),TRUE,FILTER('Conciliacion de compuestos'!$A$2:$A$48,('Conciliacion de compuestos'!$D$2:$D$48="conciliado")*('Conciliacion de compuestos'!$E$2:$E$48="OK")*((('Conciliacion de compuestos'!$M$2:$M$48=A237)+('Conciliacion de compuestos'!$N$2:$N$48=A237)+('Conciliacion de compuestos'!$O$2:$O$48=A237))&gt;0))),""),"")</f>
        <v/>
      </c>
      <c r="G237" s="11">
        <f>IF(I237="conciliado","conciliado","por revisar")</f>
        <v/>
      </c>
      <c r="H237" s="11" t="inlineStr"/>
      <c r="I237" s="11">
        <f>IF(SUM(COUNTIFS('Conciliacion de compuestos'!$D$2:$D$48,"conciliado",'Conciliacion de compuestos'!$E$2:$E$48,"OK",'Conciliacion de compuestos'!$M$2:$M$48,A237),COUNTIFS('Conciliacion de compuestos'!$D$2:$D$48,"conciliado",'Conciliacion de compuestos'!$E$2:$E$48,"OK",'Conciliacion de compuestos'!$N$2:$N$48,A237),COUNTIFS('Conciliacion de compuestos'!$D$2:$D$48,"conciliado",'Conciliacion de compuestos'!$E$2:$E$48,"OK",'Conciliacion de compuestos'!$O$2:$O$48,A237))&gt;0,"conciliado","por revisar")</f>
        <v/>
      </c>
    </row>
    <row r="238">
      <c r="A238" s="11" t="n">
        <v>314</v>
      </c>
      <c r="B238" s="12" t="n">
        <v>46018</v>
      </c>
      <c r="C238" s="11" t="inlineStr">
        <is>
          <t>jaramillo leid ramos</t>
        </is>
      </c>
      <c r="D238" s="13" t="n">
        <v>61360</v>
      </c>
      <c r="E238" s="11">
        <f>IF(G238="conciliado","conciliado",I238)</f>
        <v/>
      </c>
      <c r="F238" s="11">
        <f>IF(SUM(COUNTIFS('Conciliacion de compuestos'!$D$2:$D$48,"conciliado",'Conciliacion de compuestos'!$E$2:$E$48,"OK",'Conciliacion de compuestos'!$M$2:$M$48,A238),COUNTIFS('Conciliacion de compuestos'!$D$2:$D$48,"conciliado",'Conciliacion de compuestos'!$E$2:$E$48,"OK",'Conciliacion de compuestos'!$N$2:$N$48,A238),COUNTIFS('Conciliacion de compuestos'!$D$2:$D$48,"conciliado",'Conciliacion de compuestos'!$E$2:$E$48,"OK",'Conciliacion de compuestos'!$O$2:$O$48,A238))&gt;0,IFERROR(TEXTJOIN(CHAR(10),TRUE,FILTER('Conciliacion de compuestos'!$A$2:$A$48,('Conciliacion de compuestos'!$D$2:$D$48="conciliado")*('Conciliacion de compuestos'!$E$2:$E$48="OK")*((('Conciliacion de compuestos'!$M$2:$M$48=A238)+('Conciliacion de compuestos'!$N$2:$N$48=A238)+('Conciliacion de compuestos'!$O$2:$O$48=A238))&gt;0))),""),"")</f>
        <v/>
      </c>
      <c r="G238" s="11">
        <f>IF(I238="conciliado","conciliado","por revisar")</f>
        <v/>
      </c>
      <c r="H238" s="11" t="inlineStr"/>
      <c r="I238" s="11">
        <f>IF(SUM(COUNTIFS('Conciliacion de compuestos'!$D$2:$D$48,"conciliado",'Conciliacion de compuestos'!$E$2:$E$48,"OK",'Conciliacion de compuestos'!$M$2:$M$48,A238),COUNTIFS('Conciliacion de compuestos'!$D$2:$D$48,"conciliado",'Conciliacion de compuestos'!$E$2:$E$48,"OK",'Conciliacion de compuestos'!$N$2:$N$48,A238),COUNTIFS('Conciliacion de compuestos'!$D$2:$D$48,"conciliado",'Conciliacion de compuestos'!$E$2:$E$48,"OK",'Conciliacion de compuestos'!$O$2:$O$48,A238))&gt;0,"conciliado","por revisar")</f>
        <v/>
      </c>
    </row>
    <row r="239">
      <c r="A239" s="11" t="n">
        <v>327</v>
      </c>
      <c r="B239" s="12" t="n">
        <v>46018</v>
      </c>
      <c r="C239" s="11" t="inlineStr">
        <is>
          <t>abela ortiz zambrano</t>
        </is>
      </c>
      <c r="D239" s="13" t="n">
        <v>138200</v>
      </c>
      <c r="E239" s="11">
        <f>IF(G239="conciliado","conciliado",I239)</f>
        <v/>
      </c>
      <c r="F239" s="11">
        <f>IF(SUM(COUNTIFS('Conciliacion de compuestos'!$D$2:$D$48,"conciliado",'Conciliacion de compuestos'!$E$2:$E$48,"OK",'Conciliacion de compuestos'!$M$2:$M$48,A239),COUNTIFS('Conciliacion de compuestos'!$D$2:$D$48,"conciliado",'Conciliacion de compuestos'!$E$2:$E$48,"OK",'Conciliacion de compuestos'!$N$2:$N$48,A239),COUNTIFS('Conciliacion de compuestos'!$D$2:$D$48,"conciliado",'Conciliacion de compuestos'!$E$2:$E$48,"OK",'Conciliacion de compuestos'!$O$2:$O$48,A239))&gt;0,IFERROR(TEXTJOIN(CHAR(10),TRUE,FILTER('Conciliacion de compuestos'!$A$2:$A$48,('Conciliacion de compuestos'!$D$2:$D$48="conciliado")*('Conciliacion de compuestos'!$E$2:$E$48="OK")*((('Conciliacion de compuestos'!$M$2:$M$48=A239)+('Conciliacion de compuestos'!$N$2:$N$48=A239)+('Conciliacion de compuestos'!$O$2:$O$48=A239))&gt;0))),""),"")</f>
        <v/>
      </c>
      <c r="G239" s="11">
        <f>IF(I239="conciliado","conciliado","por revisar")</f>
        <v/>
      </c>
      <c r="H239" s="11" t="inlineStr"/>
      <c r="I239" s="11">
        <f>IF(SUM(COUNTIFS('Conciliacion de compuestos'!$D$2:$D$48,"conciliado",'Conciliacion de compuestos'!$E$2:$E$48,"OK",'Conciliacion de compuestos'!$M$2:$M$48,A239),COUNTIFS('Conciliacion de compuestos'!$D$2:$D$48,"conciliado",'Conciliacion de compuestos'!$E$2:$E$48,"OK",'Conciliacion de compuestos'!$N$2:$N$48,A239),COUNTIFS('Conciliacion de compuestos'!$D$2:$D$48,"conciliado",'Conciliacion de compuestos'!$E$2:$E$48,"OK",'Conciliacion de compuestos'!$O$2:$O$48,A239))&gt;0,"conciliado","por revisar")</f>
        <v/>
      </c>
    </row>
    <row r="240">
      <c r="A240" s="11" t="n">
        <v>315</v>
      </c>
      <c r="B240" s="12" t="n">
        <v>46018</v>
      </c>
      <c r="C240" s="11" t="inlineStr">
        <is>
          <t>mic orozco rodriguez</t>
        </is>
      </c>
      <c r="D240" s="13" t="n">
        <v>137680</v>
      </c>
      <c r="E240" s="11">
        <f>IF(G240="conciliado","conciliado",I240)</f>
        <v/>
      </c>
      <c r="F240" s="11">
        <f>IF(SUM(COUNTIFS('Conciliacion de compuestos'!$D$2:$D$48,"conciliado",'Conciliacion de compuestos'!$E$2:$E$48,"OK",'Conciliacion de compuestos'!$M$2:$M$48,A240),COUNTIFS('Conciliacion de compuestos'!$D$2:$D$48,"conciliado",'Conciliacion de compuestos'!$E$2:$E$48,"OK",'Conciliacion de compuestos'!$N$2:$N$48,A240),COUNTIFS('Conciliacion de compuestos'!$D$2:$D$48,"conciliado",'Conciliacion de compuestos'!$E$2:$E$48,"OK",'Conciliacion de compuestos'!$O$2:$O$48,A240))&gt;0,IFERROR(TEXTJOIN(CHAR(10),TRUE,FILTER('Conciliacion de compuestos'!$A$2:$A$48,('Conciliacion de compuestos'!$D$2:$D$48="conciliado")*('Conciliacion de compuestos'!$E$2:$E$48="OK")*((('Conciliacion de compuestos'!$M$2:$M$48=A240)+('Conciliacion de compuestos'!$N$2:$N$48=A240)+('Conciliacion de compuestos'!$O$2:$O$48=A240))&gt;0))),""),"")</f>
        <v/>
      </c>
      <c r="G240" s="11">
        <f>IF(I240="conciliado","conciliado","por revisar")</f>
        <v/>
      </c>
      <c r="H240" s="11" t="inlineStr"/>
      <c r="I240" s="11">
        <f>IF(SUM(COUNTIFS('Conciliacion de compuestos'!$D$2:$D$48,"conciliado",'Conciliacion de compuestos'!$E$2:$E$48,"OK",'Conciliacion de compuestos'!$M$2:$M$48,A240),COUNTIFS('Conciliacion de compuestos'!$D$2:$D$48,"conciliado",'Conciliacion de compuestos'!$E$2:$E$48,"OK",'Conciliacion de compuestos'!$N$2:$N$48,A240),COUNTIFS('Conciliacion de compuestos'!$D$2:$D$48,"conciliado",'Conciliacion de compuestos'!$E$2:$E$48,"OK",'Conciliacion de compuestos'!$O$2:$O$48,A240))&gt;0,"conciliado","por revisar")</f>
        <v/>
      </c>
    </row>
    <row r="241">
      <c r="A241" s="11" t="n">
        <v>325</v>
      </c>
      <c r="B241" s="12" t="n">
        <v>46018</v>
      </c>
      <c r="C241" s="11" t="inlineStr">
        <is>
          <t>an erazo jesus lasso</t>
        </is>
      </c>
      <c r="D241" s="13" t="n">
        <v>153000</v>
      </c>
      <c r="E241" s="11">
        <f>IF(G241="conciliado","conciliado",I241)</f>
        <v/>
      </c>
      <c r="F241" s="11">
        <f>IF(SUM(COUNTIFS('Conciliacion de compuestos'!$D$2:$D$48,"conciliado",'Conciliacion de compuestos'!$E$2:$E$48,"OK",'Conciliacion de compuestos'!$M$2:$M$48,A241),COUNTIFS('Conciliacion de compuestos'!$D$2:$D$48,"conciliado",'Conciliacion de compuestos'!$E$2:$E$48,"OK",'Conciliacion de compuestos'!$N$2:$N$48,A241),COUNTIFS('Conciliacion de compuestos'!$D$2:$D$48,"conciliado",'Conciliacion de compuestos'!$E$2:$E$48,"OK",'Conciliacion de compuestos'!$O$2:$O$48,A241))&gt;0,IFERROR(TEXTJOIN(CHAR(10),TRUE,FILTER('Conciliacion de compuestos'!$A$2:$A$48,('Conciliacion de compuestos'!$D$2:$D$48="conciliado")*('Conciliacion de compuestos'!$E$2:$E$48="OK")*((('Conciliacion de compuestos'!$M$2:$M$48=A241)+('Conciliacion de compuestos'!$N$2:$N$48=A241)+('Conciliacion de compuestos'!$O$2:$O$48=A241))&gt;0))),""),"")</f>
        <v/>
      </c>
      <c r="G241" s="11">
        <f>IF(I241="conciliado","conciliado","por revisar")</f>
        <v/>
      </c>
      <c r="H241" s="11" t="inlineStr"/>
      <c r="I241" s="11">
        <f>IF(SUM(COUNTIFS('Conciliacion de compuestos'!$D$2:$D$48,"conciliado",'Conciliacion de compuestos'!$E$2:$E$48,"OK",'Conciliacion de compuestos'!$M$2:$M$48,A241),COUNTIFS('Conciliacion de compuestos'!$D$2:$D$48,"conciliado",'Conciliacion de compuestos'!$E$2:$E$48,"OK",'Conciliacion de compuestos'!$N$2:$N$48,A241),COUNTIFS('Conciliacion de compuestos'!$D$2:$D$48,"conciliado",'Conciliacion de compuestos'!$E$2:$E$48,"OK",'Conciliacion de compuestos'!$O$2:$O$48,A241))&gt;0,"conciliado","por revisar")</f>
        <v/>
      </c>
    </row>
    <row r="242">
      <c r="A242" s="11" t="n">
        <v>316</v>
      </c>
      <c r="B242" s="12" t="n">
        <v>46018</v>
      </c>
      <c r="C242" s="11" t="inlineStr">
        <is>
          <t>carretero diaz oscar</t>
        </is>
      </c>
      <c r="D242" s="13" t="n">
        <v>26915</v>
      </c>
      <c r="E242" s="11">
        <f>IF(G242="conciliado","conciliado",I242)</f>
        <v/>
      </c>
      <c r="F242" s="11">
        <f>IF(SUM(COUNTIFS('Conciliacion de compuestos'!$D$2:$D$48,"conciliado",'Conciliacion de compuestos'!$E$2:$E$48,"OK",'Conciliacion de compuestos'!$M$2:$M$48,A242),COUNTIFS('Conciliacion de compuestos'!$D$2:$D$48,"conciliado",'Conciliacion de compuestos'!$E$2:$E$48,"OK",'Conciliacion de compuestos'!$N$2:$N$48,A242),COUNTIFS('Conciliacion de compuestos'!$D$2:$D$48,"conciliado",'Conciliacion de compuestos'!$E$2:$E$48,"OK",'Conciliacion de compuestos'!$O$2:$O$48,A242))&gt;0,IFERROR(TEXTJOIN(CHAR(10),TRUE,FILTER('Conciliacion de compuestos'!$A$2:$A$48,('Conciliacion de compuestos'!$D$2:$D$48="conciliado")*('Conciliacion de compuestos'!$E$2:$E$48="OK")*((('Conciliacion de compuestos'!$M$2:$M$48=A242)+('Conciliacion de compuestos'!$N$2:$N$48=A242)+('Conciliacion de compuestos'!$O$2:$O$48=A242))&gt;0))),""),"")</f>
        <v/>
      </c>
      <c r="G242" s="11">
        <f>IF(I242="conciliado","conciliado","por revisar")</f>
        <v/>
      </c>
      <c r="H242" s="11" t="inlineStr"/>
      <c r="I242" s="11">
        <f>IF(SUM(COUNTIFS('Conciliacion de compuestos'!$D$2:$D$48,"conciliado",'Conciliacion de compuestos'!$E$2:$E$48,"OK",'Conciliacion de compuestos'!$M$2:$M$48,A242),COUNTIFS('Conciliacion de compuestos'!$D$2:$D$48,"conciliado",'Conciliacion de compuestos'!$E$2:$E$48,"OK",'Conciliacion de compuestos'!$N$2:$N$48,A242),COUNTIFS('Conciliacion de compuestos'!$D$2:$D$48,"conciliado",'Conciliacion de compuestos'!$E$2:$E$48,"OK",'Conciliacion de compuestos'!$O$2:$O$48,A242))&gt;0,"conciliado","por revisar")</f>
        <v/>
      </c>
    </row>
    <row r="243">
      <c r="A243" s="11" t="n">
        <v>312</v>
      </c>
      <c r="B243" s="12" t="n">
        <v>46018</v>
      </c>
      <c r="C243" s="11" t="inlineStr">
        <is>
          <t>caycedo cortez helid</t>
        </is>
      </c>
      <c r="D243" s="13" t="n">
        <v>52300</v>
      </c>
      <c r="E243" s="11">
        <f>IF(G243="conciliado","conciliado",I243)</f>
        <v/>
      </c>
      <c r="F243" s="11">
        <f>IF(SUM(COUNTIFS('Conciliacion de compuestos'!$D$2:$D$48,"conciliado",'Conciliacion de compuestos'!$E$2:$E$48,"OK",'Conciliacion de compuestos'!$M$2:$M$48,A243),COUNTIFS('Conciliacion de compuestos'!$D$2:$D$48,"conciliado",'Conciliacion de compuestos'!$E$2:$E$48,"OK",'Conciliacion de compuestos'!$N$2:$N$48,A243),COUNTIFS('Conciliacion de compuestos'!$D$2:$D$48,"conciliado",'Conciliacion de compuestos'!$E$2:$E$48,"OK",'Conciliacion de compuestos'!$O$2:$O$48,A243))&gt;0,IFERROR(TEXTJOIN(CHAR(10),TRUE,FILTER('Conciliacion de compuestos'!$A$2:$A$48,('Conciliacion de compuestos'!$D$2:$D$48="conciliado")*('Conciliacion de compuestos'!$E$2:$E$48="OK")*((('Conciliacion de compuestos'!$M$2:$M$48=A243)+('Conciliacion de compuestos'!$N$2:$N$48=A243)+('Conciliacion de compuestos'!$O$2:$O$48=A243))&gt;0))),""),"")</f>
        <v/>
      </c>
      <c r="G243" s="11">
        <f>IF(I243="conciliado","conciliado","por revisar")</f>
        <v/>
      </c>
      <c r="H243" s="11" t="inlineStr"/>
      <c r="I243" s="11">
        <f>IF(SUM(COUNTIFS('Conciliacion de compuestos'!$D$2:$D$48,"conciliado",'Conciliacion de compuestos'!$E$2:$E$48,"OK",'Conciliacion de compuestos'!$M$2:$M$48,A243),COUNTIFS('Conciliacion de compuestos'!$D$2:$D$48,"conciliado",'Conciliacion de compuestos'!$E$2:$E$48,"OK",'Conciliacion de compuestos'!$N$2:$N$48,A243),COUNTIFS('Conciliacion de compuestos'!$D$2:$D$48,"conciliado",'Conciliacion de compuestos'!$E$2:$E$48,"OK",'Conciliacion de compuestos'!$O$2:$O$48,A243))&gt;0,"conciliado","por revisar")</f>
        <v/>
      </c>
    </row>
    <row r="244">
      <c r="A244" s="11" t="n">
        <v>324</v>
      </c>
      <c r="B244" s="12" t="n">
        <v>46018</v>
      </c>
      <c r="C244" s="11" t="inlineStr">
        <is>
          <t>martinez munoz willi</t>
        </is>
      </c>
      <c r="D244" s="13" t="n">
        <v>40600</v>
      </c>
      <c r="E244" s="11">
        <f>IF(G244="conciliado","conciliado",I244)</f>
        <v/>
      </c>
      <c r="F244" s="11">
        <f>IF(SUM(COUNTIFS('Conciliacion de compuestos'!$D$2:$D$48,"conciliado",'Conciliacion de compuestos'!$E$2:$E$48,"OK",'Conciliacion de compuestos'!$M$2:$M$48,A244),COUNTIFS('Conciliacion de compuestos'!$D$2:$D$48,"conciliado",'Conciliacion de compuestos'!$E$2:$E$48,"OK",'Conciliacion de compuestos'!$N$2:$N$48,A244),COUNTIFS('Conciliacion de compuestos'!$D$2:$D$48,"conciliado",'Conciliacion de compuestos'!$E$2:$E$48,"OK",'Conciliacion de compuestos'!$O$2:$O$48,A244))&gt;0,IFERROR(TEXTJOIN(CHAR(10),TRUE,FILTER('Conciliacion de compuestos'!$A$2:$A$48,('Conciliacion de compuestos'!$D$2:$D$48="conciliado")*('Conciliacion de compuestos'!$E$2:$E$48="OK")*((('Conciliacion de compuestos'!$M$2:$M$48=A244)+('Conciliacion de compuestos'!$N$2:$N$48=A244)+('Conciliacion de compuestos'!$O$2:$O$48=A244))&gt;0))),""),"")</f>
        <v/>
      </c>
      <c r="G244" s="11">
        <f>IF(I244="conciliado","conciliado","por revisar")</f>
        <v/>
      </c>
      <c r="H244" s="11" t="inlineStr"/>
      <c r="I244" s="11">
        <f>IF(SUM(COUNTIFS('Conciliacion de compuestos'!$D$2:$D$48,"conciliado",'Conciliacion de compuestos'!$E$2:$E$48,"OK",'Conciliacion de compuestos'!$M$2:$M$48,A244),COUNTIFS('Conciliacion de compuestos'!$D$2:$D$48,"conciliado",'Conciliacion de compuestos'!$E$2:$E$48,"OK",'Conciliacion de compuestos'!$N$2:$N$48,A244),COUNTIFS('Conciliacion de compuestos'!$D$2:$D$48,"conciliado",'Conciliacion de compuestos'!$E$2:$E$48,"OK",'Conciliacion de compuestos'!$O$2:$O$48,A244))&gt;0,"conciliado","por revisar")</f>
        <v/>
      </c>
    </row>
    <row r="245">
      <c r="A245" s="11" t="n">
        <v>322</v>
      </c>
      <c r="B245" s="12" t="n">
        <v>46018</v>
      </c>
      <c r="C245" s="11" t="inlineStr">
        <is>
          <t>caicedo car jimenez</t>
        </is>
      </c>
      <c r="D245" s="13" t="n">
        <v>381088</v>
      </c>
      <c r="E245" s="11">
        <f>IF(G245="conciliado","conciliado",I245)</f>
        <v/>
      </c>
      <c r="F245" s="11">
        <f>IF(SUM(COUNTIFS('Conciliacion de compuestos'!$D$2:$D$48,"conciliado",'Conciliacion de compuestos'!$E$2:$E$48,"OK",'Conciliacion de compuestos'!$M$2:$M$48,A245),COUNTIFS('Conciliacion de compuestos'!$D$2:$D$48,"conciliado",'Conciliacion de compuestos'!$E$2:$E$48,"OK",'Conciliacion de compuestos'!$N$2:$N$48,A245),COUNTIFS('Conciliacion de compuestos'!$D$2:$D$48,"conciliado",'Conciliacion de compuestos'!$E$2:$E$48,"OK",'Conciliacion de compuestos'!$O$2:$O$48,A245))&gt;0,IFERROR(TEXTJOIN(CHAR(10),TRUE,FILTER('Conciliacion de compuestos'!$A$2:$A$48,('Conciliacion de compuestos'!$D$2:$D$48="conciliado")*('Conciliacion de compuestos'!$E$2:$E$48="OK")*((('Conciliacion de compuestos'!$M$2:$M$48=A245)+('Conciliacion de compuestos'!$N$2:$N$48=A245)+('Conciliacion de compuestos'!$O$2:$O$48=A245))&gt;0))),""),"")</f>
        <v/>
      </c>
      <c r="G245" s="11">
        <f>IF(I245="conciliado","conciliado","por revisar")</f>
        <v/>
      </c>
      <c r="H245" s="11" t="inlineStr"/>
      <c r="I245" s="11">
        <f>IF(SUM(COUNTIFS('Conciliacion de compuestos'!$D$2:$D$48,"conciliado",'Conciliacion de compuestos'!$E$2:$E$48,"OK",'Conciliacion de compuestos'!$M$2:$M$48,A245),COUNTIFS('Conciliacion de compuestos'!$D$2:$D$48,"conciliado",'Conciliacion de compuestos'!$E$2:$E$48,"OK",'Conciliacion de compuestos'!$N$2:$N$48,A245),COUNTIFS('Conciliacion de compuestos'!$D$2:$D$48,"conciliado",'Conciliacion de compuestos'!$E$2:$E$48,"OK",'Conciliacion de compuestos'!$O$2:$O$48,A245))&gt;0,"conciliado","por revisar")</f>
        <v/>
      </c>
    </row>
    <row r="246">
      <c r="A246" s="11" t="n">
        <v>302</v>
      </c>
      <c r="B246" s="12" t="n">
        <v>46017</v>
      </c>
      <c r="C246" s="11" t="inlineStr">
        <is>
          <t>canticus delgado hei</t>
        </is>
      </c>
      <c r="D246" s="13" t="n">
        <v>332000</v>
      </c>
      <c r="E246" s="11">
        <f>IF(G246="conciliado","conciliado",I246)</f>
        <v/>
      </c>
      <c r="F246" s="11">
        <f>IF(SUM(COUNTIFS('Conciliacion de compuestos'!$D$2:$D$48,"conciliado",'Conciliacion de compuestos'!$E$2:$E$48,"OK",'Conciliacion de compuestos'!$M$2:$M$48,A246),COUNTIFS('Conciliacion de compuestos'!$D$2:$D$48,"conciliado",'Conciliacion de compuestos'!$E$2:$E$48,"OK",'Conciliacion de compuestos'!$N$2:$N$48,A246),COUNTIFS('Conciliacion de compuestos'!$D$2:$D$48,"conciliado",'Conciliacion de compuestos'!$E$2:$E$48,"OK",'Conciliacion de compuestos'!$O$2:$O$48,A246))&gt;0,IFERROR(TEXTJOIN(CHAR(10),TRUE,FILTER('Conciliacion de compuestos'!$A$2:$A$48,('Conciliacion de compuestos'!$D$2:$D$48="conciliado")*('Conciliacion de compuestos'!$E$2:$E$48="OK")*((('Conciliacion de compuestos'!$M$2:$M$48=A246)+('Conciliacion de compuestos'!$N$2:$N$48=A246)+('Conciliacion de compuestos'!$O$2:$O$48=A246))&gt;0))),""),"")</f>
        <v/>
      </c>
      <c r="G246" s="11">
        <f>IF(I246="conciliado","conciliado","por revisar")</f>
        <v/>
      </c>
      <c r="H246" s="11" t="inlineStr"/>
      <c r="I246" s="11">
        <f>IF(SUM(COUNTIFS('Conciliacion de compuestos'!$D$2:$D$48,"conciliado",'Conciliacion de compuestos'!$E$2:$E$48,"OK",'Conciliacion de compuestos'!$M$2:$M$48,A246),COUNTIFS('Conciliacion de compuestos'!$D$2:$D$48,"conciliado",'Conciliacion de compuestos'!$E$2:$E$48,"OK",'Conciliacion de compuestos'!$N$2:$N$48,A246),COUNTIFS('Conciliacion de compuestos'!$D$2:$D$48,"conciliado",'Conciliacion de compuestos'!$E$2:$E$48,"OK",'Conciliacion de compuestos'!$O$2:$O$48,A246))&gt;0,"conciliado","por revisar")</f>
        <v/>
      </c>
    </row>
    <row r="247">
      <c r="A247" s="11" t="n">
        <v>326</v>
      </c>
      <c r="B247" s="12" t="n">
        <v>46018</v>
      </c>
      <c r="C247" s="11" t="inlineStr">
        <is>
          <t>martinez pedr segura</t>
        </is>
      </c>
      <c r="D247" s="13" t="n">
        <v>55400</v>
      </c>
      <c r="E247" s="11">
        <f>IF(G247="conciliado","conciliado",I247)</f>
        <v/>
      </c>
      <c r="F247" s="11">
        <f>IF(SUM(COUNTIFS('Conciliacion de compuestos'!$D$2:$D$48,"conciliado",'Conciliacion de compuestos'!$E$2:$E$48,"OK",'Conciliacion de compuestos'!$M$2:$M$48,A247),COUNTIFS('Conciliacion de compuestos'!$D$2:$D$48,"conciliado",'Conciliacion de compuestos'!$E$2:$E$48,"OK",'Conciliacion de compuestos'!$N$2:$N$48,A247),COUNTIFS('Conciliacion de compuestos'!$D$2:$D$48,"conciliado",'Conciliacion de compuestos'!$E$2:$E$48,"OK",'Conciliacion de compuestos'!$O$2:$O$48,A247))&gt;0,IFERROR(TEXTJOIN(CHAR(10),TRUE,FILTER('Conciliacion de compuestos'!$A$2:$A$48,('Conciliacion de compuestos'!$D$2:$D$48="conciliado")*('Conciliacion de compuestos'!$E$2:$E$48="OK")*((('Conciliacion de compuestos'!$M$2:$M$48=A247)+('Conciliacion de compuestos'!$N$2:$N$48=A247)+('Conciliacion de compuestos'!$O$2:$O$48=A247))&gt;0))),""),"")</f>
        <v/>
      </c>
      <c r="G247" s="11">
        <f>IF(I247="conciliado","conciliado","por revisar")</f>
        <v/>
      </c>
      <c r="H247" s="11" t="inlineStr"/>
      <c r="I247" s="11">
        <f>IF(SUM(COUNTIFS('Conciliacion de compuestos'!$D$2:$D$48,"conciliado",'Conciliacion de compuestos'!$E$2:$E$48,"OK",'Conciliacion de compuestos'!$M$2:$M$48,A247),COUNTIFS('Conciliacion de compuestos'!$D$2:$D$48,"conciliado",'Conciliacion de compuestos'!$E$2:$E$48,"OK",'Conciliacion de compuestos'!$N$2:$N$48,A247),COUNTIFS('Conciliacion de compuestos'!$D$2:$D$48,"conciliado",'Conciliacion de compuestos'!$E$2:$E$48,"OK",'Conciliacion de compuestos'!$O$2:$O$48,A247))&gt;0,"conciliado","por revisar")</f>
        <v/>
      </c>
    </row>
    <row r="248">
      <c r="A248" s="11" t="n">
        <v>323</v>
      </c>
      <c r="B248" s="12" t="n">
        <v>46018</v>
      </c>
      <c r="C248" s="11" t="inlineStr">
        <is>
          <t>arboleda florez yina</t>
        </is>
      </c>
      <c r="D248" s="13" t="n">
        <v>484000</v>
      </c>
      <c r="E248" s="11">
        <f>IF(G248="conciliado","conciliado",I248)</f>
        <v/>
      </c>
      <c r="F248" s="11">
        <f>IF(SUM(COUNTIFS('Conciliacion de compuestos'!$D$2:$D$48,"conciliado",'Conciliacion de compuestos'!$E$2:$E$48,"OK",'Conciliacion de compuestos'!$M$2:$M$48,A248),COUNTIFS('Conciliacion de compuestos'!$D$2:$D$48,"conciliado",'Conciliacion de compuestos'!$E$2:$E$48,"OK",'Conciliacion de compuestos'!$N$2:$N$48,A248),COUNTIFS('Conciliacion de compuestos'!$D$2:$D$48,"conciliado",'Conciliacion de compuestos'!$E$2:$E$48,"OK",'Conciliacion de compuestos'!$O$2:$O$48,A248))&gt;0,IFERROR(TEXTJOIN(CHAR(10),TRUE,FILTER('Conciliacion de compuestos'!$A$2:$A$48,('Conciliacion de compuestos'!$D$2:$D$48="conciliado")*('Conciliacion de compuestos'!$E$2:$E$48="OK")*((('Conciliacion de compuestos'!$M$2:$M$48=A248)+('Conciliacion de compuestos'!$N$2:$N$48=A248)+('Conciliacion de compuestos'!$O$2:$O$48=A248))&gt;0))),""),"")</f>
        <v/>
      </c>
      <c r="G248" s="11">
        <f>IF(I248="conciliado","conciliado","por revisar")</f>
        <v/>
      </c>
      <c r="H248" s="11" t="inlineStr"/>
      <c r="I248" s="11">
        <f>IF(SUM(COUNTIFS('Conciliacion de compuestos'!$D$2:$D$48,"conciliado",'Conciliacion de compuestos'!$E$2:$E$48,"OK",'Conciliacion de compuestos'!$M$2:$M$48,A248),COUNTIFS('Conciliacion de compuestos'!$D$2:$D$48,"conciliado",'Conciliacion de compuestos'!$E$2:$E$48,"OK",'Conciliacion de compuestos'!$N$2:$N$48,A248),COUNTIFS('Conciliacion de compuestos'!$D$2:$D$48,"conciliado",'Conciliacion de compuestos'!$E$2:$E$48,"OK",'Conciliacion de compuestos'!$O$2:$O$48,A248))&gt;0,"conciliado","por revisar")</f>
        <v/>
      </c>
    </row>
    <row r="249">
      <c r="A249" s="11" t="n">
        <v>333</v>
      </c>
      <c r="B249" s="12" t="n">
        <v>46019</v>
      </c>
      <c r="C249" s="11" t="inlineStr">
        <is>
          <t>jos linda palma romo</t>
        </is>
      </c>
      <c r="D249" s="13" t="n">
        <v>28200</v>
      </c>
      <c r="E249" s="11">
        <f>IF(G249="conciliado","conciliado",I249)</f>
        <v/>
      </c>
      <c r="F249" s="11">
        <f>IF(SUM(COUNTIFS('Conciliacion de compuestos'!$D$2:$D$48,"conciliado",'Conciliacion de compuestos'!$E$2:$E$48,"OK",'Conciliacion de compuestos'!$M$2:$M$48,A249),COUNTIFS('Conciliacion de compuestos'!$D$2:$D$48,"conciliado",'Conciliacion de compuestos'!$E$2:$E$48,"OK",'Conciliacion de compuestos'!$N$2:$N$48,A249),COUNTIFS('Conciliacion de compuestos'!$D$2:$D$48,"conciliado",'Conciliacion de compuestos'!$E$2:$E$48,"OK",'Conciliacion de compuestos'!$O$2:$O$48,A249))&gt;0,IFERROR(TEXTJOIN(CHAR(10),TRUE,FILTER('Conciliacion de compuestos'!$A$2:$A$48,('Conciliacion de compuestos'!$D$2:$D$48="conciliado")*('Conciliacion de compuestos'!$E$2:$E$48="OK")*((('Conciliacion de compuestos'!$M$2:$M$48=A249)+('Conciliacion de compuestos'!$N$2:$N$48=A249)+('Conciliacion de compuestos'!$O$2:$O$48=A249))&gt;0))),""),"")</f>
        <v/>
      </c>
      <c r="G249" s="11">
        <f>IF(I249="conciliado","conciliado","por revisar")</f>
        <v/>
      </c>
      <c r="H249" s="11" t="inlineStr"/>
      <c r="I249" s="11">
        <f>IF(SUM(COUNTIFS('Conciliacion de compuestos'!$D$2:$D$48,"conciliado",'Conciliacion de compuestos'!$E$2:$E$48,"OK",'Conciliacion de compuestos'!$M$2:$M$48,A249),COUNTIFS('Conciliacion de compuestos'!$D$2:$D$48,"conciliado",'Conciliacion de compuestos'!$E$2:$E$48,"OK",'Conciliacion de compuestos'!$N$2:$N$48,A249),COUNTIFS('Conciliacion de compuestos'!$D$2:$D$48,"conciliado",'Conciliacion de compuestos'!$E$2:$E$48,"OK",'Conciliacion de compuestos'!$O$2:$O$48,A249))&gt;0,"conciliado","por revisar")</f>
        <v/>
      </c>
    </row>
    <row r="250">
      <c r="A250" s="11" t="n">
        <v>343</v>
      </c>
      <c r="B250" s="12" t="n">
        <v>46020</v>
      </c>
      <c r="C250" s="11" t="inlineStr">
        <is>
          <t>benavides lopez sixt</t>
        </is>
      </c>
      <c r="D250" s="13" t="n">
        <v>136600</v>
      </c>
      <c r="E250" s="11">
        <f>IF(G250="conciliado","conciliado",I250)</f>
        <v/>
      </c>
      <c r="F250" s="11">
        <f>IF(SUM(COUNTIFS('Conciliacion de compuestos'!$D$2:$D$48,"conciliado",'Conciliacion de compuestos'!$E$2:$E$48,"OK",'Conciliacion de compuestos'!$M$2:$M$48,A250),COUNTIFS('Conciliacion de compuestos'!$D$2:$D$48,"conciliado",'Conciliacion de compuestos'!$E$2:$E$48,"OK",'Conciliacion de compuestos'!$N$2:$N$48,A250),COUNTIFS('Conciliacion de compuestos'!$D$2:$D$48,"conciliado",'Conciliacion de compuestos'!$E$2:$E$48,"OK",'Conciliacion de compuestos'!$O$2:$O$48,A250))&gt;0,IFERROR(TEXTJOIN(CHAR(10),TRUE,FILTER('Conciliacion de compuestos'!$A$2:$A$48,('Conciliacion de compuestos'!$D$2:$D$48="conciliado")*('Conciliacion de compuestos'!$E$2:$E$48="OK")*((('Conciliacion de compuestos'!$M$2:$M$48=A250)+('Conciliacion de compuestos'!$N$2:$N$48=A250)+('Conciliacion de compuestos'!$O$2:$O$48=A250))&gt;0))),""),"")</f>
        <v/>
      </c>
      <c r="G250" s="11">
        <f>IF(I250="conciliado","conciliado","por revisar")</f>
        <v/>
      </c>
      <c r="H250" s="11" t="inlineStr"/>
      <c r="I250" s="11">
        <f>IF(SUM(COUNTIFS('Conciliacion de compuestos'!$D$2:$D$48,"conciliado",'Conciliacion de compuestos'!$E$2:$E$48,"OK",'Conciliacion de compuestos'!$M$2:$M$48,A250),COUNTIFS('Conciliacion de compuestos'!$D$2:$D$48,"conciliado",'Conciliacion de compuestos'!$E$2:$E$48,"OK",'Conciliacion de compuestos'!$N$2:$N$48,A250),COUNTIFS('Conciliacion de compuestos'!$D$2:$D$48,"conciliado",'Conciliacion de compuestos'!$E$2:$E$48,"OK",'Conciliacion de compuestos'!$O$2:$O$48,A250))&gt;0,"conciliado","por revisar")</f>
        <v/>
      </c>
    </row>
    <row r="251">
      <c r="A251" s="11" t="n">
        <v>340</v>
      </c>
      <c r="B251" s="12" t="n">
        <v>46020</v>
      </c>
      <c r="C251" s="11" t="inlineStr">
        <is>
          <t>diaz edwin gomez</t>
        </is>
      </c>
      <c r="D251" s="13" t="n">
        <v>350200</v>
      </c>
      <c r="E251" s="11">
        <f>IF(G251="conciliado","conciliado",I251)</f>
        <v/>
      </c>
      <c r="F251" s="11">
        <f>IF(SUM(COUNTIFS('Conciliacion de compuestos'!$D$2:$D$48,"conciliado",'Conciliacion de compuestos'!$E$2:$E$48,"OK",'Conciliacion de compuestos'!$M$2:$M$48,A251),COUNTIFS('Conciliacion de compuestos'!$D$2:$D$48,"conciliado",'Conciliacion de compuestos'!$E$2:$E$48,"OK",'Conciliacion de compuestos'!$N$2:$N$48,A251),COUNTIFS('Conciliacion de compuestos'!$D$2:$D$48,"conciliado",'Conciliacion de compuestos'!$E$2:$E$48,"OK",'Conciliacion de compuestos'!$O$2:$O$48,A251))&gt;0,IFERROR(TEXTJOIN(CHAR(10),TRUE,FILTER('Conciliacion de compuestos'!$A$2:$A$48,('Conciliacion de compuestos'!$D$2:$D$48="conciliado")*('Conciliacion de compuestos'!$E$2:$E$48="OK")*((('Conciliacion de compuestos'!$M$2:$M$48=A251)+('Conciliacion de compuestos'!$N$2:$N$48=A251)+('Conciliacion de compuestos'!$O$2:$O$48=A251))&gt;0))),""),"")</f>
        <v/>
      </c>
      <c r="G251" s="11">
        <f>IF(I251="conciliado","conciliado","por revisar")</f>
        <v/>
      </c>
      <c r="H251" s="11" t="inlineStr"/>
      <c r="I251" s="11">
        <f>IF(SUM(COUNTIFS('Conciliacion de compuestos'!$D$2:$D$48,"conciliado",'Conciliacion de compuestos'!$E$2:$E$48,"OK",'Conciliacion de compuestos'!$M$2:$M$48,A251),COUNTIFS('Conciliacion de compuestos'!$D$2:$D$48,"conciliado",'Conciliacion de compuestos'!$E$2:$E$48,"OK",'Conciliacion de compuestos'!$N$2:$N$48,A251),COUNTIFS('Conciliacion de compuestos'!$D$2:$D$48,"conciliado",'Conciliacion de compuestos'!$E$2:$E$48,"OK",'Conciliacion de compuestos'!$O$2:$O$48,A251))&gt;0,"conciliado","por revisar")</f>
        <v/>
      </c>
    </row>
    <row r="252">
      <c r="A252" s="11" t="n">
        <v>339</v>
      </c>
      <c r="B252" s="12" t="n">
        <v>46020</v>
      </c>
      <c r="C252" s="11" t="inlineStr">
        <is>
          <t>anyela diaz meneses</t>
        </is>
      </c>
      <c r="D252" s="13" t="n">
        <v>34620</v>
      </c>
      <c r="E252" s="11">
        <f>IF(G252="conciliado","conciliado",I252)</f>
        <v/>
      </c>
      <c r="F252" s="11">
        <f>IF(SUM(COUNTIFS('Conciliacion de compuestos'!$D$2:$D$48,"conciliado",'Conciliacion de compuestos'!$E$2:$E$48,"OK",'Conciliacion de compuestos'!$M$2:$M$48,A252),COUNTIFS('Conciliacion de compuestos'!$D$2:$D$48,"conciliado",'Conciliacion de compuestos'!$E$2:$E$48,"OK",'Conciliacion de compuestos'!$N$2:$N$48,A252),COUNTIFS('Conciliacion de compuestos'!$D$2:$D$48,"conciliado",'Conciliacion de compuestos'!$E$2:$E$48,"OK",'Conciliacion de compuestos'!$O$2:$O$48,A252))&gt;0,IFERROR(TEXTJOIN(CHAR(10),TRUE,FILTER('Conciliacion de compuestos'!$A$2:$A$48,('Conciliacion de compuestos'!$D$2:$D$48="conciliado")*('Conciliacion de compuestos'!$E$2:$E$48="OK")*((('Conciliacion de compuestos'!$M$2:$M$48=A252)+('Conciliacion de compuestos'!$N$2:$N$48=A252)+('Conciliacion de compuestos'!$O$2:$O$48=A252))&gt;0))),""),"")</f>
        <v/>
      </c>
      <c r="G252" s="11">
        <f>IF(I252="conciliado","conciliado","por revisar")</f>
        <v/>
      </c>
      <c r="H252" s="11" t="inlineStr"/>
      <c r="I252" s="11">
        <f>IF(SUM(COUNTIFS('Conciliacion de compuestos'!$D$2:$D$48,"conciliado",'Conciliacion de compuestos'!$E$2:$E$48,"OK",'Conciliacion de compuestos'!$M$2:$M$48,A252),COUNTIFS('Conciliacion de compuestos'!$D$2:$D$48,"conciliado",'Conciliacion de compuestos'!$E$2:$E$48,"OK",'Conciliacion de compuestos'!$N$2:$N$48,A252),COUNTIFS('Conciliacion de compuestos'!$D$2:$D$48,"conciliado",'Conciliacion de compuestos'!$E$2:$E$48,"OK",'Conciliacion de compuestos'!$O$2:$O$48,A252))&gt;0,"conciliado","por revisar")</f>
        <v/>
      </c>
    </row>
    <row r="253">
      <c r="A253" s="11" t="n">
        <v>337</v>
      </c>
      <c r="B253" s="12" t="n">
        <v>46020</v>
      </c>
      <c r="C253" s="11" t="inlineStr">
        <is>
          <t>caycedo cortez helid</t>
        </is>
      </c>
      <c r="D253" s="13" t="n">
        <v>119900</v>
      </c>
      <c r="E253" s="11">
        <f>IF(G253="conciliado","conciliado",I253)</f>
        <v/>
      </c>
      <c r="F253" s="11">
        <f>IF(SUM(COUNTIFS('Conciliacion de compuestos'!$D$2:$D$48,"conciliado",'Conciliacion de compuestos'!$E$2:$E$48,"OK",'Conciliacion de compuestos'!$M$2:$M$48,A253),COUNTIFS('Conciliacion de compuestos'!$D$2:$D$48,"conciliado",'Conciliacion de compuestos'!$E$2:$E$48,"OK",'Conciliacion de compuestos'!$N$2:$N$48,A253),COUNTIFS('Conciliacion de compuestos'!$D$2:$D$48,"conciliado",'Conciliacion de compuestos'!$E$2:$E$48,"OK",'Conciliacion de compuestos'!$O$2:$O$48,A253))&gt;0,IFERROR(TEXTJOIN(CHAR(10),TRUE,FILTER('Conciliacion de compuestos'!$A$2:$A$48,('Conciliacion de compuestos'!$D$2:$D$48="conciliado")*('Conciliacion de compuestos'!$E$2:$E$48="OK")*((('Conciliacion de compuestos'!$M$2:$M$48=A253)+('Conciliacion de compuestos'!$N$2:$N$48=A253)+('Conciliacion de compuestos'!$O$2:$O$48=A253))&gt;0))),""),"")</f>
        <v/>
      </c>
      <c r="G253" s="11">
        <f>IF(I253="conciliado","conciliado","por revisar")</f>
        <v/>
      </c>
      <c r="H253" s="11" t="inlineStr"/>
      <c r="I253" s="11">
        <f>IF(SUM(COUNTIFS('Conciliacion de compuestos'!$D$2:$D$48,"conciliado",'Conciliacion de compuestos'!$E$2:$E$48,"OK",'Conciliacion de compuestos'!$M$2:$M$48,A253),COUNTIFS('Conciliacion de compuestos'!$D$2:$D$48,"conciliado",'Conciliacion de compuestos'!$E$2:$E$48,"OK",'Conciliacion de compuestos'!$N$2:$N$48,A253),COUNTIFS('Conciliacion de compuestos'!$D$2:$D$48,"conciliado",'Conciliacion de compuestos'!$E$2:$E$48,"OK",'Conciliacion de compuestos'!$O$2:$O$48,A253))&gt;0,"conciliado","por revisar")</f>
        <v/>
      </c>
    </row>
    <row r="254">
      <c r="A254" s="11" t="n">
        <v>347</v>
      </c>
      <c r="B254" s="12" t="n">
        <v>46020</v>
      </c>
      <c r="C254" s="11" t="inlineStr">
        <is>
          <t>coral kevin tobar</t>
        </is>
      </c>
      <c r="D254" s="13" t="n">
        <v>47000</v>
      </c>
      <c r="E254" s="11">
        <f>IF(G254="conciliado","conciliado",I254)</f>
        <v/>
      </c>
      <c r="F254" s="11">
        <f>IF(SUM(COUNTIFS('Conciliacion de compuestos'!$D$2:$D$48,"conciliado",'Conciliacion de compuestos'!$E$2:$E$48,"OK",'Conciliacion de compuestos'!$M$2:$M$48,A254),COUNTIFS('Conciliacion de compuestos'!$D$2:$D$48,"conciliado",'Conciliacion de compuestos'!$E$2:$E$48,"OK",'Conciliacion de compuestos'!$N$2:$N$48,A254),COUNTIFS('Conciliacion de compuestos'!$D$2:$D$48,"conciliado",'Conciliacion de compuestos'!$E$2:$E$48,"OK",'Conciliacion de compuestos'!$O$2:$O$48,A254))&gt;0,IFERROR(TEXTJOIN(CHAR(10),TRUE,FILTER('Conciliacion de compuestos'!$A$2:$A$48,('Conciliacion de compuestos'!$D$2:$D$48="conciliado")*('Conciliacion de compuestos'!$E$2:$E$48="OK")*((('Conciliacion de compuestos'!$M$2:$M$48=A254)+('Conciliacion de compuestos'!$N$2:$N$48=A254)+('Conciliacion de compuestos'!$O$2:$O$48=A254))&gt;0))),""),"")</f>
        <v/>
      </c>
      <c r="G254" s="11">
        <f>IF(I254="conciliado","conciliado","por revisar")</f>
        <v/>
      </c>
      <c r="H254" s="11" t="inlineStr"/>
      <c r="I254" s="11">
        <f>IF(SUM(COUNTIFS('Conciliacion de compuestos'!$D$2:$D$48,"conciliado",'Conciliacion de compuestos'!$E$2:$E$48,"OK",'Conciliacion de compuestos'!$M$2:$M$48,A254),COUNTIFS('Conciliacion de compuestos'!$D$2:$D$48,"conciliado",'Conciliacion de compuestos'!$E$2:$E$48,"OK",'Conciliacion de compuestos'!$N$2:$N$48,A254),COUNTIFS('Conciliacion de compuestos'!$D$2:$D$48,"conciliado",'Conciliacion de compuestos'!$E$2:$E$48,"OK",'Conciliacion de compuestos'!$O$2:$O$48,A254))&gt;0,"conciliado","por revisar")</f>
        <v/>
      </c>
    </row>
    <row r="255">
      <c r="A255" s="11" t="n">
        <v>342</v>
      </c>
      <c r="B255" s="12" t="n">
        <v>46020</v>
      </c>
      <c r="C255" s="11" t="inlineStr">
        <is>
          <t>au hector melo tobar</t>
        </is>
      </c>
      <c r="D255" s="13" t="n">
        <v>30300</v>
      </c>
      <c r="E255" s="11">
        <f>IF(G255="conciliado","conciliado",I255)</f>
        <v/>
      </c>
      <c r="F255" s="11">
        <f>IF(SUM(COUNTIFS('Conciliacion de compuestos'!$D$2:$D$48,"conciliado",'Conciliacion de compuestos'!$E$2:$E$48,"OK",'Conciliacion de compuestos'!$M$2:$M$48,A255),COUNTIFS('Conciliacion de compuestos'!$D$2:$D$48,"conciliado",'Conciliacion de compuestos'!$E$2:$E$48,"OK",'Conciliacion de compuestos'!$N$2:$N$48,A255),COUNTIFS('Conciliacion de compuestos'!$D$2:$D$48,"conciliado",'Conciliacion de compuestos'!$E$2:$E$48,"OK",'Conciliacion de compuestos'!$O$2:$O$48,A255))&gt;0,IFERROR(TEXTJOIN(CHAR(10),TRUE,FILTER('Conciliacion de compuestos'!$A$2:$A$48,('Conciliacion de compuestos'!$D$2:$D$48="conciliado")*('Conciliacion de compuestos'!$E$2:$E$48="OK")*((('Conciliacion de compuestos'!$M$2:$M$48=A255)+('Conciliacion de compuestos'!$N$2:$N$48=A255)+('Conciliacion de compuestos'!$O$2:$O$48=A255))&gt;0))),""),"")</f>
        <v/>
      </c>
      <c r="G255" s="11">
        <f>IF(I255="conciliado","conciliado","por revisar")</f>
        <v/>
      </c>
      <c r="H255" s="11" t="inlineStr"/>
      <c r="I255" s="11">
        <f>IF(SUM(COUNTIFS('Conciliacion de compuestos'!$D$2:$D$48,"conciliado",'Conciliacion de compuestos'!$E$2:$E$48,"OK",'Conciliacion de compuestos'!$M$2:$M$48,A255),COUNTIFS('Conciliacion de compuestos'!$D$2:$D$48,"conciliado",'Conciliacion de compuestos'!$E$2:$E$48,"OK",'Conciliacion de compuestos'!$N$2:$N$48,A255),COUNTIFS('Conciliacion de compuestos'!$D$2:$D$48,"conciliado",'Conciliacion de compuestos'!$E$2:$E$48,"OK",'Conciliacion de compuestos'!$O$2:$O$48,A255))&gt;0,"conciliado","por revisar")</f>
        <v/>
      </c>
    </row>
    <row r="256">
      <c r="A256" s="11" t="n">
        <v>336</v>
      </c>
      <c r="B256" s="12" t="n">
        <v>46020</v>
      </c>
      <c r="C256" s="11" t="inlineStr">
        <is>
          <t>cuacialpud hernandez</t>
        </is>
      </c>
      <c r="D256" s="13" t="n">
        <v>136460</v>
      </c>
      <c r="E256" s="11">
        <f>IF(G256="conciliado","conciliado",I256)</f>
        <v/>
      </c>
      <c r="F256" s="11">
        <f>IF(SUM(COUNTIFS('Conciliacion de compuestos'!$D$2:$D$48,"conciliado",'Conciliacion de compuestos'!$E$2:$E$48,"OK",'Conciliacion de compuestos'!$M$2:$M$48,A256),COUNTIFS('Conciliacion de compuestos'!$D$2:$D$48,"conciliado",'Conciliacion de compuestos'!$E$2:$E$48,"OK",'Conciliacion de compuestos'!$N$2:$N$48,A256),COUNTIFS('Conciliacion de compuestos'!$D$2:$D$48,"conciliado",'Conciliacion de compuestos'!$E$2:$E$48,"OK",'Conciliacion de compuestos'!$O$2:$O$48,A256))&gt;0,IFERROR(TEXTJOIN(CHAR(10),TRUE,FILTER('Conciliacion de compuestos'!$A$2:$A$48,('Conciliacion de compuestos'!$D$2:$D$48="conciliado")*('Conciliacion de compuestos'!$E$2:$E$48="OK")*((('Conciliacion de compuestos'!$M$2:$M$48=A256)+('Conciliacion de compuestos'!$N$2:$N$48=A256)+('Conciliacion de compuestos'!$O$2:$O$48=A256))&gt;0))),""),"")</f>
        <v/>
      </c>
      <c r="G256" s="11">
        <f>IF(I256="conciliado","conciliado","por revisar")</f>
        <v/>
      </c>
      <c r="H256" s="11" t="inlineStr"/>
      <c r="I256" s="11">
        <f>IF(SUM(COUNTIFS('Conciliacion de compuestos'!$D$2:$D$48,"conciliado",'Conciliacion de compuestos'!$E$2:$E$48,"OK",'Conciliacion de compuestos'!$M$2:$M$48,A256),COUNTIFS('Conciliacion de compuestos'!$D$2:$D$48,"conciliado",'Conciliacion de compuestos'!$E$2:$E$48,"OK",'Conciliacion de compuestos'!$N$2:$N$48,A256),COUNTIFS('Conciliacion de compuestos'!$D$2:$D$48,"conciliado",'Conciliacion de compuestos'!$E$2:$E$48,"OK",'Conciliacion de compuestos'!$O$2:$O$48,A256))&gt;0,"conciliado","por revisar")</f>
        <v/>
      </c>
    </row>
    <row r="257">
      <c r="A257" s="11" t="n">
        <v>338</v>
      </c>
      <c r="B257" s="12" t="n">
        <v>46020</v>
      </c>
      <c r="C257" s="11" t="inlineStr">
        <is>
          <t>dann paladines teran</t>
        </is>
      </c>
      <c r="D257" s="13" t="n">
        <v>52200</v>
      </c>
      <c r="E257" s="11">
        <f>IF(G257="conciliado","conciliado",I257)</f>
        <v/>
      </c>
      <c r="F257" s="11">
        <f>IF(SUM(COUNTIFS('Conciliacion de compuestos'!$D$2:$D$48,"conciliado",'Conciliacion de compuestos'!$E$2:$E$48,"OK",'Conciliacion de compuestos'!$M$2:$M$48,A257),COUNTIFS('Conciliacion de compuestos'!$D$2:$D$48,"conciliado",'Conciliacion de compuestos'!$E$2:$E$48,"OK",'Conciliacion de compuestos'!$N$2:$N$48,A257),COUNTIFS('Conciliacion de compuestos'!$D$2:$D$48,"conciliado",'Conciliacion de compuestos'!$E$2:$E$48,"OK",'Conciliacion de compuestos'!$O$2:$O$48,A257))&gt;0,IFERROR(TEXTJOIN(CHAR(10),TRUE,FILTER('Conciliacion de compuestos'!$A$2:$A$48,('Conciliacion de compuestos'!$D$2:$D$48="conciliado")*('Conciliacion de compuestos'!$E$2:$E$48="OK")*((('Conciliacion de compuestos'!$M$2:$M$48=A257)+('Conciliacion de compuestos'!$N$2:$N$48=A257)+('Conciliacion de compuestos'!$O$2:$O$48=A257))&gt;0))),""),"")</f>
        <v/>
      </c>
      <c r="G257" s="11">
        <f>IF(I257="conciliado","conciliado","por revisar")</f>
        <v/>
      </c>
      <c r="H257" s="11" t="inlineStr"/>
      <c r="I257" s="11">
        <f>IF(SUM(COUNTIFS('Conciliacion de compuestos'!$D$2:$D$48,"conciliado",'Conciliacion de compuestos'!$E$2:$E$48,"OK",'Conciliacion de compuestos'!$M$2:$M$48,A257),COUNTIFS('Conciliacion de compuestos'!$D$2:$D$48,"conciliado",'Conciliacion de compuestos'!$E$2:$E$48,"OK",'Conciliacion de compuestos'!$N$2:$N$48,A257),COUNTIFS('Conciliacion de compuestos'!$D$2:$D$48,"conciliado",'Conciliacion de compuestos'!$E$2:$E$48,"OK",'Conciliacion de compuestos'!$O$2:$O$48,A257))&gt;0,"conciliado","por revisar")</f>
        <v/>
      </c>
    </row>
    <row r="258">
      <c r="A258" s="11" t="n">
        <v>350</v>
      </c>
      <c r="B258" s="12" t="n">
        <v>46021</v>
      </c>
      <c r="C258" s="11" t="inlineStr">
        <is>
          <t>distribuidora surtis</t>
        </is>
      </c>
      <c r="D258" s="13" t="n">
        <v>-1486475</v>
      </c>
      <c r="E258" s="11">
        <f>IF(G258="conciliado","conciliado",I258)</f>
        <v/>
      </c>
      <c r="F258" s="11" t="inlineStr">
        <is>
          <t>1941 | 2025-12-30 | -1,486,475 | entre inte internet terceros transferencias</t>
        </is>
      </c>
      <c r="G258" s="11">
        <f>IF(I258="conciliado","conciliado","por revisar")</f>
        <v/>
      </c>
      <c r="H258" s="11" t="inlineStr"/>
      <c r="I258" s="11" t="inlineStr">
        <is>
          <t>conciliado</t>
        </is>
      </c>
    </row>
    <row r="259">
      <c r="A259" s="11" t="n">
        <v>18</v>
      </c>
      <c r="B259" s="12" t="n">
        <v>45994</v>
      </c>
      <c r="C259" s="11" t="inlineStr">
        <is>
          <t>cajigas gordillo kar</t>
        </is>
      </c>
      <c r="D259" s="13" t="n">
        <v>33000</v>
      </c>
      <c r="E259" s="11">
        <f>IF(G259="conciliado","conciliado",I259)</f>
        <v/>
      </c>
      <c r="F259" s="11">
        <f>IF(SUM(COUNTIFS('Conciliacion de compuestos'!$D$2:$D$48,"conciliado",'Conciliacion de compuestos'!$E$2:$E$48,"OK",'Conciliacion de compuestos'!$M$2:$M$48,A259),COUNTIFS('Conciliacion de compuestos'!$D$2:$D$48,"conciliado",'Conciliacion de compuestos'!$E$2:$E$48,"OK",'Conciliacion de compuestos'!$N$2:$N$48,A259),COUNTIFS('Conciliacion de compuestos'!$D$2:$D$48,"conciliado",'Conciliacion de compuestos'!$E$2:$E$48,"OK",'Conciliacion de compuestos'!$O$2:$O$48,A259))&gt;0,IFERROR(TEXTJOIN(CHAR(10),TRUE,FILTER('Conciliacion de compuestos'!$A$2:$A$48,('Conciliacion de compuestos'!$D$2:$D$48="conciliado")*('Conciliacion de compuestos'!$E$2:$E$48="OK")*((('Conciliacion de compuestos'!$M$2:$M$48=A259)+('Conciliacion de compuestos'!$N$2:$N$48=A259)+('Conciliacion de compuestos'!$O$2:$O$48=A259))&gt;0))),""),"")</f>
        <v/>
      </c>
      <c r="G259" s="11">
        <f>IF(I259="conciliado","conciliado","por revisar")</f>
        <v/>
      </c>
      <c r="H259" s="11" t="inlineStr"/>
      <c r="I259" s="11">
        <f>IF(SUM(COUNTIFS('Conciliacion de compuestos'!$D$2:$D$48,"conciliado",'Conciliacion de compuestos'!$E$2:$E$48,"OK",'Conciliacion de compuestos'!$M$2:$M$48,A259),COUNTIFS('Conciliacion de compuestos'!$D$2:$D$48,"conciliado",'Conciliacion de compuestos'!$E$2:$E$48,"OK",'Conciliacion de compuestos'!$N$2:$N$48,A259),COUNTIFS('Conciliacion de compuestos'!$D$2:$D$48,"conciliado",'Conciliacion de compuestos'!$E$2:$E$48,"OK",'Conciliacion de compuestos'!$O$2:$O$48,A259))&gt;0,"conciliado","por revisar")</f>
        <v/>
      </c>
    </row>
    <row r="260">
      <c r="A260" s="11" t="n">
        <v>19</v>
      </c>
      <c r="B260" s="12" t="n">
        <v>45994</v>
      </c>
      <c r="C260" s="11" t="inlineStr">
        <is>
          <t>bueno harold hu rios</t>
        </is>
      </c>
      <c r="D260" s="13" t="n">
        <v>43300</v>
      </c>
      <c r="E260" s="11">
        <f>IF(G260="conciliado","conciliado",I260)</f>
        <v/>
      </c>
      <c r="F260" s="11">
        <f>IF(SUM(COUNTIFS('Conciliacion de compuestos'!$D$2:$D$48,"conciliado",'Conciliacion de compuestos'!$E$2:$E$48,"OK",'Conciliacion de compuestos'!$M$2:$M$48,A260),COUNTIFS('Conciliacion de compuestos'!$D$2:$D$48,"conciliado",'Conciliacion de compuestos'!$E$2:$E$48,"OK",'Conciliacion de compuestos'!$N$2:$N$48,A260),COUNTIFS('Conciliacion de compuestos'!$D$2:$D$48,"conciliado",'Conciliacion de compuestos'!$E$2:$E$48,"OK",'Conciliacion de compuestos'!$O$2:$O$48,A260))&gt;0,IFERROR(TEXTJOIN(CHAR(10),TRUE,FILTER('Conciliacion de compuestos'!$A$2:$A$48,('Conciliacion de compuestos'!$D$2:$D$48="conciliado")*('Conciliacion de compuestos'!$E$2:$E$48="OK")*((('Conciliacion de compuestos'!$M$2:$M$48=A260)+('Conciliacion de compuestos'!$N$2:$N$48=A260)+('Conciliacion de compuestos'!$O$2:$O$48=A260))&gt;0))),""),"")</f>
        <v/>
      </c>
      <c r="G260" s="11">
        <f>IF(I260="conciliado","conciliado","por revisar")</f>
        <v/>
      </c>
      <c r="H260" s="11" t="inlineStr"/>
      <c r="I260" s="11">
        <f>IF(SUM(COUNTIFS('Conciliacion de compuestos'!$D$2:$D$48,"conciliado",'Conciliacion de compuestos'!$E$2:$E$48,"OK",'Conciliacion de compuestos'!$M$2:$M$48,A260),COUNTIFS('Conciliacion de compuestos'!$D$2:$D$48,"conciliado",'Conciliacion de compuestos'!$E$2:$E$48,"OK",'Conciliacion de compuestos'!$N$2:$N$48,A260),COUNTIFS('Conciliacion de compuestos'!$D$2:$D$48,"conciliado",'Conciliacion de compuestos'!$E$2:$E$48,"OK",'Conciliacion de compuestos'!$O$2:$O$48,A260))&gt;0,"conciliado","por revisar")</f>
        <v/>
      </c>
    </row>
    <row r="261">
      <c r="A261" s="11" t="n">
        <v>35</v>
      </c>
      <c r="B261" s="12" t="n">
        <v>45996</v>
      </c>
      <c r="C261" s="11" t="inlineStr">
        <is>
          <t>ciro gonzalez santos</t>
        </is>
      </c>
      <c r="D261" s="13" t="n">
        <v>70500</v>
      </c>
      <c r="E261" s="11">
        <f>IF(G261="conciliado","conciliado",I261)</f>
        <v/>
      </c>
      <c r="F261" s="11">
        <f>IF(SUM(COUNTIFS('Conciliacion de compuestos'!$D$2:$D$48,"conciliado",'Conciliacion de compuestos'!$E$2:$E$48,"OK",'Conciliacion de compuestos'!$M$2:$M$48,A261),COUNTIFS('Conciliacion de compuestos'!$D$2:$D$48,"conciliado",'Conciliacion de compuestos'!$E$2:$E$48,"OK",'Conciliacion de compuestos'!$N$2:$N$48,A261),COUNTIFS('Conciliacion de compuestos'!$D$2:$D$48,"conciliado",'Conciliacion de compuestos'!$E$2:$E$48,"OK",'Conciliacion de compuestos'!$O$2:$O$48,A261))&gt;0,IFERROR(TEXTJOIN(CHAR(10),TRUE,FILTER('Conciliacion de compuestos'!$A$2:$A$48,('Conciliacion de compuestos'!$D$2:$D$48="conciliado")*('Conciliacion de compuestos'!$E$2:$E$48="OK")*((('Conciliacion de compuestos'!$M$2:$M$48=A261)+('Conciliacion de compuestos'!$N$2:$N$48=A261)+('Conciliacion de compuestos'!$O$2:$O$48=A261))&gt;0))),""),"")</f>
        <v/>
      </c>
      <c r="G261" s="11">
        <f>IF(I261="conciliado","conciliado","por revisar")</f>
        <v/>
      </c>
      <c r="H261" s="11" t="inlineStr"/>
      <c r="I261" s="11">
        <f>IF(SUM(COUNTIFS('Conciliacion de compuestos'!$D$2:$D$48,"conciliado",'Conciliacion de compuestos'!$E$2:$E$48,"OK",'Conciliacion de compuestos'!$M$2:$M$48,A261),COUNTIFS('Conciliacion de compuestos'!$D$2:$D$48,"conciliado",'Conciliacion de compuestos'!$E$2:$E$48,"OK",'Conciliacion de compuestos'!$N$2:$N$48,A261),COUNTIFS('Conciliacion de compuestos'!$D$2:$D$48,"conciliado",'Conciliacion de compuestos'!$E$2:$E$48,"OK",'Conciliacion de compuestos'!$O$2:$O$48,A261))&gt;0,"conciliado","por revisar")</f>
        <v/>
      </c>
    </row>
    <row r="262">
      <c r="A262" s="11" t="n">
        <v>40</v>
      </c>
      <c r="B262" s="12" t="n">
        <v>45997</v>
      </c>
      <c r="C262" s="11" t="inlineStr">
        <is>
          <t>buelvas diaz jose mi</t>
        </is>
      </c>
      <c r="D262" s="13" t="n">
        <v>44400</v>
      </c>
      <c r="E262" s="11">
        <f>IF(G262="conciliado","conciliado",I262)</f>
        <v/>
      </c>
      <c r="F262" s="11">
        <f>IF(SUM(COUNTIFS('Conciliacion de compuestos'!$D$2:$D$48,"conciliado",'Conciliacion de compuestos'!$E$2:$E$48,"OK",'Conciliacion de compuestos'!$M$2:$M$48,A262),COUNTIFS('Conciliacion de compuestos'!$D$2:$D$48,"conciliado",'Conciliacion de compuestos'!$E$2:$E$48,"OK",'Conciliacion de compuestos'!$N$2:$N$48,A262),COUNTIFS('Conciliacion de compuestos'!$D$2:$D$48,"conciliado",'Conciliacion de compuestos'!$E$2:$E$48,"OK",'Conciliacion de compuestos'!$O$2:$O$48,A262))&gt;0,IFERROR(TEXTJOIN(CHAR(10),TRUE,FILTER('Conciliacion de compuestos'!$A$2:$A$48,('Conciliacion de compuestos'!$D$2:$D$48="conciliado")*('Conciliacion de compuestos'!$E$2:$E$48="OK")*((('Conciliacion de compuestos'!$M$2:$M$48=A262)+('Conciliacion de compuestos'!$N$2:$N$48=A262)+('Conciliacion de compuestos'!$O$2:$O$48=A262))&gt;0))),""),"")</f>
        <v/>
      </c>
      <c r="G262" s="11">
        <f>IF(I262="conciliado","conciliado","por revisar")</f>
        <v/>
      </c>
      <c r="H262" s="11" t="inlineStr"/>
      <c r="I262" s="11">
        <f>IF(SUM(COUNTIFS('Conciliacion de compuestos'!$D$2:$D$48,"conciliado",'Conciliacion de compuestos'!$E$2:$E$48,"OK",'Conciliacion de compuestos'!$M$2:$M$48,A262),COUNTIFS('Conciliacion de compuestos'!$D$2:$D$48,"conciliado",'Conciliacion de compuestos'!$E$2:$E$48,"OK",'Conciliacion de compuestos'!$N$2:$N$48,A262),COUNTIFS('Conciliacion de compuestos'!$D$2:$D$48,"conciliado",'Conciliacion de compuestos'!$E$2:$E$48,"OK",'Conciliacion de compuestos'!$O$2:$O$48,A262))&gt;0,"conciliado","por revisar")</f>
        <v/>
      </c>
    </row>
    <row r="263">
      <c r="A263" s="11" t="n">
        <v>41</v>
      </c>
      <c r="B263" s="12" t="n">
        <v>45997</v>
      </c>
      <c r="C263" s="11" t="inlineStr">
        <is>
          <t>bolanos paladines st</t>
        </is>
      </c>
      <c r="D263" s="13" t="n">
        <v>125800</v>
      </c>
      <c r="E263" s="11">
        <f>IF(G263="conciliado","conciliado",I263)</f>
        <v/>
      </c>
      <c r="F263" s="11">
        <f>IF(SUM(COUNTIFS('Conciliacion de compuestos'!$D$2:$D$48,"conciliado",'Conciliacion de compuestos'!$E$2:$E$48,"OK",'Conciliacion de compuestos'!$M$2:$M$48,A263),COUNTIFS('Conciliacion de compuestos'!$D$2:$D$48,"conciliado",'Conciliacion de compuestos'!$E$2:$E$48,"OK",'Conciliacion de compuestos'!$N$2:$N$48,A263),COUNTIFS('Conciliacion de compuestos'!$D$2:$D$48,"conciliado",'Conciliacion de compuestos'!$E$2:$E$48,"OK",'Conciliacion de compuestos'!$O$2:$O$48,A263))&gt;0,IFERROR(TEXTJOIN(CHAR(10),TRUE,FILTER('Conciliacion de compuestos'!$A$2:$A$48,('Conciliacion de compuestos'!$D$2:$D$48="conciliado")*('Conciliacion de compuestos'!$E$2:$E$48="OK")*((('Conciliacion de compuestos'!$M$2:$M$48=A263)+('Conciliacion de compuestos'!$N$2:$N$48=A263)+('Conciliacion de compuestos'!$O$2:$O$48=A263))&gt;0))),""),"")</f>
        <v/>
      </c>
      <c r="G263" s="11">
        <f>IF(I263="conciliado","conciliado","por revisar")</f>
        <v/>
      </c>
      <c r="H263" s="11" t="inlineStr"/>
      <c r="I263" s="11">
        <f>IF(SUM(COUNTIFS('Conciliacion de compuestos'!$D$2:$D$48,"conciliado",'Conciliacion de compuestos'!$E$2:$E$48,"OK",'Conciliacion de compuestos'!$M$2:$M$48,A263),COUNTIFS('Conciliacion de compuestos'!$D$2:$D$48,"conciliado",'Conciliacion de compuestos'!$E$2:$E$48,"OK",'Conciliacion de compuestos'!$N$2:$N$48,A263),COUNTIFS('Conciliacion de compuestos'!$D$2:$D$48,"conciliado",'Conciliacion de compuestos'!$E$2:$E$48,"OK",'Conciliacion de compuestos'!$O$2:$O$48,A263))&gt;0,"conciliado","por revisar")</f>
        <v/>
      </c>
    </row>
    <row r="264">
      <c r="A264" s="11" t="n">
        <v>45</v>
      </c>
      <c r="B264" s="12" t="n">
        <v>45997</v>
      </c>
      <c r="C264" s="11" t="inlineStr">
        <is>
          <t>and galindez samboni</t>
        </is>
      </c>
      <c r="D264" s="13" t="n">
        <v>30600</v>
      </c>
      <c r="E264" s="11">
        <f>IF(G264="conciliado","conciliado",I264)</f>
        <v/>
      </c>
      <c r="F264" s="11">
        <f>IF(SUM(COUNTIFS('Conciliacion de compuestos'!$D$2:$D$48,"conciliado",'Conciliacion de compuestos'!$E$2:$E$48,"OK",'Conciliacion de compuestos'!$M$2:$M$48,A264),COUNTIFS('Conciliacion de compuestos'!$D$2:$D$48,"conciliado",'Conciliacion de compuestos'!$E$2:$E$48,"OK",'Conciliacion de compuestos'!$N$2:$N$48,A264),COUNTIFS('Conciliacion de compuestos'!$D$2:$D$48,"conciliado",'Conciliacion de compuestos'!$E$2:$E$48,"OK",'Conciliacion de compuestos'!$O$2:$O$48,A264))&gt;0,IFERROR(TEXTJOIN(CHAR(10),TRUE,FILTER('Conciliacion de compuestos'!$A$2:$A$48,('Conciliacion de compuestos'!$D$2:$D$48="conciliado")*('Conciliacion de compuestos'!$E$2:$E$48="OK")*((('Conciliacion de compuestos'!$M$2:$M$48=A264)+('Conciliacion de compuestos'!$N$2:$N$48=A264)+('Conciliacion de compuestos'!$O$2:$O$48=A264))&gt;0))),""),"")</f>
        <v/>
      </c>
      <c r="G264" s="11">
        <f>IF(I264="conciliado","conciliado","por revisar")</f>
        <v/>
      </c>
      <c r="H264" s="11" t="inlineStr"/>
      <c r="I264" s="11">
        <f>IF(SUM(COUNTIFS('Conciliacion de compuestos'!$D$2:$D$48,"conciliado",'Conciliacion de compuestos'!$E$2:$E$48,"OK",'Conciliacion de compuestos'!$M$2:$M$48,A264),COUNTIFS('Conciliacion de compuestos'!$D$2:$D$48,"conciliado",'Conciliacion de compuestos'!$E$2:$E$48,"OK",'Conciliacion de compuestos'!$N$2:$N$48,A264),COUNTIFS('Conciliacion de compuestos'!$D$2:$D$48,"conciliado",'Conciliacion de compuestos'!$E$2:$E$48,"OK",'Conciliacion de compuestos'!$O$2:$O$48,A264))&gt;0,"conciliado","por revisar")</f>
        <v/>
      </c>
    </row>
    <row r="265">
      <c r="A265" s="11" t="n">
        <v>46</v>
      </c>
      <c r="B265" s="12" t="n">
        <v>45997</v>
      </c>
      <c r="C265" s="11" t="inlineStr">
        <is>
          <t>anacona duran yessic</t>
        </is>
      </c>
      <c r="D265" s="13" t="n">
        <v>20000</v>
      </c>
      <c r="E265" s="11">
        <f>IF(G265="conciliado","conciliado",I265)</f>
        <v/>
      </c>
      <c r="F265" s="11">
        <f>IF(SUM(COUNTIFS('Conciliacion de compuestos'!$D$2:$D$48,"conciliado",'Conciliacion de compuestos'!$E$2:$E$48,"OK",'Conciliacion de compuestos'!$M$2:$M$48,A265),COUNTIFS('Conciliacion de compuestos'!$D$2:$D$48,"conciliado",'Conciliacion de compuestos'!$E$2:$E$48,"OK",'Conciliacion de compuestos'!$N$2:$N$48,A265),COUNTIFS('Conciliacion de compuestos'!$D$2:$D$48,"conciliado",'Conciliacion de compuestos'!$E$2:$E$48,"OK",'Conciliacion de compuestos'!$O$2:$O$48,A265))&gt;0,IFERROR(TEXTJOIN(CHAR(10),TRUE,FILTER('Conciliacion de compuestos'!$A$2:$A$48,('Conciliacion de compuestos'!$D$2:$D$48="conciliado")*('Conciliacion de compuestos'!$E$2:$E$48="OK")*((('Conciliacion de compuestos'!$M$2:$M$48=A265)+('Conciliacion de compuestos'!$N$2:$N$48=A265)+('Conciliacion de compuestos'!$O$2:$O$48=A265))&gt;0))),""),"")</f>
        <v/>
      </c>
      <c r="G265" s="11">
        <f>IF(I265="conciliado","conciliado","por revisar")</f>
        <v/>
      </c>
      <c r="H265" s="11" t="inlineStr"/>
      <c r="I265" s="11">
        <f>IF(SUM(COUNTIFS('Conciliacion de compuestos'!$D$2:$D$48,"conciliado",'Conciliacion de compuestos'!$E$2:$E$48,"OK",'Conciliacion de compuestos'!$M$2:$M$48,A265),COUNTIFS('Conciliacion de compuestos'!$D$2:$D$48,"conciliado",'Conciliacion de compuestos'!$E$2:$E$48,"OK",'Conciliacion de compuestos'!$N$2:$N$48,A265),COUNTIFS('Conciliacion de compuestos'!$D$2:$D$48,"conciliado",'Conciliacion de compuestos'!$E$2:$E$48,"OK",'Conciliacion de compuestos'!$O$2:$O$48,A265))&gt;0,"conciliado","por revisar")</f>
        <v/>
      </c>
    </row>
    <row r="266">
      <c r="A266" s="11" t="n">
        <v>49</v>
      </c>
      <c r="B266" s="12" t="n">
        <v>45998</v>
      </c>
      <c r="C266" s="11" t="inlineStr">
        <is>
          <t>car luis orozco uran</t>
        </is>
      </c>
      <c r="D266" s="13" t="n">
        <v>65000</v>
      </c>
      <c r="E266" s="11">
        <f>IF(G266="conciliado","conciliado",I266)</f>
        <v/>
      </c>
      <c r="F266" s="11">
        <f>IF(SUM(COUNTIFS('Conciliacion de compuestos'!$D$2:$D$48,"conciliado",'Conciliacion de compuestos'!$E$2:$E$48,"OK",'Conciliacion de compuestos'!$M$2:$M$48,A266),COUNTIFS('Conciliacion de compuestos'!$D$2:$D$48,"conciliado",'Conciliacion de compuestos'!$E$2:$E$48,"OK",'Conciliacion de compuestos'!$N$2:$N$48,A266),COUNTIFS('Conciliacion de compuestos'!$D$2:$D$48,"conciliado",'Conciliacion de compuestos'!$E$2:$E$48,"OK",'Conciliacion de compuestos'!$O$2:$O$48,A266))&gt;0,IFERROR(TEXTJOIN(CHAR(10),TRUE,FILTER('Conciliacion de compuestos'!$A$2:$A$48,('Conciliacion de compuestos'!$D$2:$D$48="conciliado")*('Conciliacion de compuestos'!$E$2:$E$48="OK")*((('Conciliacion de compuestos'!$M$2:$M$48=A266)+('Conciliacion de compuestos'!$N$2:$N$48=A266)+('Conciliacion de compuestos'!$O$2:$O$48=A266))&gt;0))),""),"")</f>
        <v/>
      </c>
      <c r="G266" s="11">
        <f>IF(I266="conciliado","conciliado","por revisar")</f>
        <v/>
      </c>
      <c r="H266" s="11" t="inlineStr"/>
      <c r="I266" s="11">
        <f>IF(SUM(COUNTIFS('Conciliacion de compuestos'!$D$2:$D$48,"conciliado",'Conciliacion de compuestos'!$E$2:$E$48,"OK",'Conciliacion de compuestos'!$M$2:$M$48,A266),COUNTIFS('Conciliacion de compuestos'!$D$2:$D$48,"conciliado",'Conciliacion de compuestos'!$E$2:$E$48,"OK",'Conciliacion de compuestos'!$N$2:$N$48,A266),COUNTIFS('Conciliacion de compuestos'!$D$2:$D$48,"conciliado",'Conciliacion de compuestos'!$E$2:$E$48,"OK",'Conciliacion de compuestos'!$O$2:$O$48,A266))&gt;0,"conciliado","por revisar")</f>
        <v/>
      </c>
    </row>
    <row r="267">
      <c r="A267" s="11" t="n">
        <v>50</v>
      </c>
      <c r="B267" s="12" t="n">
        <v>45998</v>
      </c>
      <c r="C267" s="11" t="inlineStr">
        <is>
          <t>giron grajales yulia</t>
        </is>
      </c>
      <c r="D267" s="13" t="n">
        <v>20700</v>
      </c>
      <c r="E267" s="11">
        <f>IF(G267="conciliado","conciliado",I267)</f>
        <v/>
      </c>
      <c r="F267" s="11">
        <f>IF(SUM(COUNTIFS('Conciliacion de compuestos'!$D$2:$D$48,"conciliado",'Conciliacion de compuestos'!$E$2:$E$48,"OK",'Conciliacion de compuestos'!$M$2:$M$48,A267),COUNTIFS('Conciliacion de compuestos'!$D$2:$D$48,"conciliado",'Conciliacion de compuestos'!$E$2:$E$48,"OK",'Conciliacion de compuestos'!$N$2:$N$48,A267),COUNTIFS('Conciliacion de compuestos'!$D$2:$D$48,"conciliado",'Conciliacion de compuestos'!$E$2:$E$48,"OK",'Conciliacion de compuestos'!$O$2:$O$48,A267))&gt;0,IFERROR(TEXTJOIN(CHAR(10),TRUE,FILTER('Conciliacion de compuestos'!$A$2:$A$48,('Conciliacion de compuestos'!$D$2:$D$48="conciliado")*('Conciliacion de compuestos'!$E$2:$E$48="OK")*((('Conciliacion de compuestos'!$M$2:$M$48=A267)+('Conciliacion de compuestos'!$N$2:$N$48=A267)+('Conciliacion de compuestos'!$O$2:$O$48=A267))&gt;0))),""),"")</f>
        <v/>
      </c>
      <c r="G267" s="11">
        <f>IF(I267="conciliado","conciliado","por revisar")</f>
        <v/>
      </c>
      <c r="H267" s="11" t="inlineStr"/>
      <c r="I267" s="11">
        <f>IF(SUM(COUNTIFS('Conciliacion de compuestos'!$D$2:$D$48,"conciliado",'Conciliacion de compuestos'!$E$2:$E$48,"OK",'Conciliacion de compuestos'!$M$2:$M$48,A267),COUNTIFS('Conciliacion de compuestos'!$D$2:$D$48,"conciliado",'Conciliacion de compuestos'!$E$2:$E$48,"OK",'Conciliacion de compuestos'!$N$2:$N$48,A267),COUNTIFS('Conciliacion de compuestos'!$D$2:$D$48,"conciliado",'Conciliacion de compuestos'!$E$2:$E$48,"OK",'Conciliacion de compuestos'!$O$2:$O$48,A267))&gt;0,"conciliado","por revisar")</f>
        <v/>
      </c>
    </row>
    <row r="268">
      <c r="A268" s="11" t="n">
        <v>53</v>
      </c>
      <c r="B268" s="12" t="n">
        <v>45998</v>
      </c>
      <c r="C268" s="11" t="inlineStr">
        <is>
          <t>carlosama chingue yo</t>
        </is>
      </c>
      <c r="D268" s="13" t="n">
        <v>97000</v>
      </c>
      <c r="E268" s="11">
        <f>IF(G268="conciliado","conciliado",I268)</f>
        <v/>
      </c>
      <c r="F268" s="11">
        <f>IF(SUM(COUNTIFS('Conciliacion de compuestos'!$D$2:$D$48,"conciliado",'Conciliacion de compuestos'!$E$2:$E$48,"OK",'Conciliacion de compuestos'!$M$2:$M$48,A268),COUNTIFS('Conciliacion de compuestos'!$D$2:$D$48,"conciliado",'Conciliacion de compuestos'!$E$2:$E$48,"OK",'Conciliacion de compuestos'!$N$2:$N$48,A268),COUNTIFS('Conciliacion de compuestos'!$D$2:$D$48,"conciliado",'Conciliacion de compuestos'!$E$2:$E$48,"OK",'Conciliacion de compuestos'!$O$2:$O$48,A268))&gt;0,IFERROR(TEXTJOIN(CHAR(10),TRUE,FILTER('Conciliacion de compuestos'!$A$2:$A$48,('Conciliacion de compuestos'!$D$2:$D$48="conciliado")*('Conciliacion de compuestos'!$E$2:$E$48="OK")*((('Conciliacion de compuestos'!$M$2:$M$48=A268)+('Conciliacion de compuestos'!$N$2:$N$48=A268)+('Conciliacion de compuestos'!$O$2:$O$48=A268))&gt;0))),""),"")</f>
        <v/>
      </c>
      <c r="G268" s="11">
        <f>IF(I268="conciliado","conciliado","por revisar")</f>
        <v/>
      </c>
      <c r="H268" s="11" t="inlineStr"/>
      <c r="I268" s="11">
        <f>IF(SUM(COUNTIFS('Conciliacion de compuestos'!$D$2:$D$48,"conciliado",'Conciliacion de compuestos'!$E$2:$E$48,"OK",'Conciliacion de compuestos'!$M$2:$M$48,A268),COUNTIFS('Conciliacion de compuestos'!$D$2:$D$48,"conciliado",'Conciliacion de compuestos'!$E$2:$E$48,"OK",'Conciliacion de compuestos'!$N$2:$N$48,A268),COUNTIFS('Conciliacion de compuestos'!$D$2:$D$48,"conciliado",'Conciliacion de compuestos'!$E$2:$E$48,"OK",'Conciliacion de compuestos'!$O$2:$O$48,A268))&gt;0,"conciliado","por revisar")</f>
        <v/>
      </c>
    </row>
    <row r="269">
      <c r="A269" s="11" t="n">
        <v>54</v>
      </c>
      <c r="B269" s="12" t="n">
        <v>45998</v>
      </c>
      <c r="C269" s="11" t="inlineStr">
        <is>
          <t>calvache luci munoz</t>
        </is>
      </c>
      <c r="D269" s="13" t="n">
        <v>293900</v>
      </c>
      <c r="E269" s="11">
        <f>IF(G269="conciliado","conciliado",I269)</f>
        <v/>
      </c>
      <c r="F269" s="11">
        <f>IF(SUM(COUNTIFS('Conciliacion de compuestos'!$D$2:$D$48,"conciliado",'Conciliacion de compuestos'!$E$2:$E$48,"OK",'Conciliacion de compuestos'!$M$2:$M$48,A269),COUNTIFS('Conciliacion de compuestos'!$D$2:$D$48,"conciliado",'Conciliacion de compuestos'!$E$2:$E$48,"OK",'Conciliacion de compuestos'!$N$2:$N$48,A269),COUNTIFS('Conciliacion de compuestos'!$D$2:$D$48,"conciliado",'Conciliacion de compuestos'!$E$2:$E$48,"OK",'Conciliacion de compuestos'!$O$2:$O$48,A269))&gt;0,IFERROR(TEXTJOIN(CHAR(10),TRUE,FILTER('Conciliacion de compuestos'!$A$2:$A$48,('Conciliacion de compuestos'!$D$2:$D$48="conciliado")*('Conciliacion de compuestos'!$E$2:$E$48="OK")*((('Conciliacion de compuestos'!$M$2:$M$48=A269)+('Conciliacion de compuestos'!$N$2:$N$48=A269)+('Conciliacion de compuestos'!$O$2:$O$48=A269))&gt;0))),""),"")</f>
        <v/>
      </c>
      <c r="G269" s="11">
        <f>IF(I269="conciliado","conciliado","por revisar")</f>
        <v/>
      </c>
      <c r="H269" s="11" t="inlineStr"/>
      <c r="I269" s="11">
        <f>IF(SUM(COUNTIFS('Conciliacion de compuestos'!$D$2:$D$48,"conciliado",'Conciliacion de compuestos'!$E$2:$E$48,"OK",'Conciliacion de compuestos'!$M$2:$M$48,A269),COUNTIFS('Conciliacion de compuestos'!$D$2:$D$48,"conciliado",'Conciliacion de compuestos'!$E$2:$E$48,"OK",'Conciliacion de compuestos'!$N$2:$N$48,A269),COUNTIFS('Conciliacion de compuestos'!$D$2:$D$48,"conciliado",'Conciliacion de compuestos'!$E$2:$E$48,"OK",'Conciliacion de compuestos'!$O$2:$O$48,A269))&gt;0,"conciliado","por revisar")</f>
        <v/>
      </c>
    </row>
    <row r="270">
      <c r="A270" s="11" t="n">
        <v>58</v>
      </c>
      <c r="B270" s="12" t="n">
        <v>45998</v>
      </c>
      <c r="C270" s="11" t="inlineStr">
        <is>
          <t>gomez montenegro san</t>
        </is>
      </c>
      <c r="D270" s="13" t="n">
        <v>72200</v>
      </c>
      <c r="E270" s="11">
        <f>IF(G270="conciliado","conciliado",I270)</f>
        <v/>
      </c>
      <c r="F270" s="11">
        <f>IF(SUM(COUNTIFS('Conciliacion de compuestos'!$D$2:$D$48,"conciliado",'Conciliacion de compuestos'!$E$2:$E$48,"OK",'Conciliacion de compuestos'!$M$2:$M$48,A270),COUNTIFS('Conciliacion de compuestos'!$D$2:$D$48,"conciliado",'Conciliacion de compuestos'!$E$2:$E$48,"OK",'Conciliacion de compuestos'!$N$2:$N$48,A270),COUNTIFS('Conciliacion de compuestos'!$D$2:$D$48,"conciliado",'Conciliacion de compuestos'!$E$2:$E$48,"OK",'Conciliacion de compuestos'!$O$2:$O$48,A270))&gt;0,IFERROR(TEXTJOIN(CHAR(10),TRUE,FILTER('Conciliacion de compuestos'!$A$2:$A$48,('Conciliacion de compuestos'!$D$2:$D$48="conciliado")*('Conciliacion de compuestos'!$E$2:$E$48="OK")*((('Conciliacion de compuestos'!$M$2:$M$48=A270)+('Conciliacion de compuestos'!$N$2:$N$48=A270)+('Conciliacion de compuestos'!$O$2:$O$48=A270))&gt;0))),""),"")</f>
        <v/>
      </c>
      <c r="G270" s="11">
        <f>IF(I270="conciliado","conciliado","por revisar")</f>
        <v/>
      </c>
      <c r="H270" s="11" t="inlineStr"/>
      <c r="I270" s="11">
        <f>IF(SUM(COUNTIFS('Conciliacion de compuestos'!$D$2:$D$48,"conciliado",'Conciliacion de compuestos'!$E$2:$E$48,"OK",'Conciliacion de compuestos'!$M$2:$M$48,A270),COUNTIFS('Conciliacion de compuestos'!$D$2:$D$48,"conciliado",'Conciliacion de compuestos'!$E$2:$E$48,"OK",'Conciliacion de compuestos'!$N$2:$N$48,A270),COUNTIFS('Conciliacion de compuestos'!$D$2:$D$48,"conciliado",'Conciliacion de compuestos'!$E$2:$E$48,"OK",'Conciliacion de compuestos'!$O$2:$O$48,A270))&gt;0,"conciliado","por revisar")</f>
        <v/>
      </c>
    </row>
    <row r="271">
      <c r="A271" s="11" t="n">
        <v>73</v>
      </c>
      <c r="B271" s="12" t="n">
        <v>45999</v>
      </c>
      <c r="C271" s="11" t="inlineStr">
        <is>
          <t>julio mier pimienta</t>
        </is>
      </c>
      <c r="D271" s="13" t="n">
        <v>136200</v>
      </c>
      <c r="E271" s="11">
        <f>IF(G271="conciliado","conciliado",I271)</f>
        <v/>
      </c>
      <c r="F271" s="11">
        <f>IF(SUM(COUNTIFS('Conciliacion de compuestos'!$D$2:$D$48,"conciliado",'Conciliacion de compuestos'!$E$2:$E$48,"OK",'Conciliacion de compuestos'!$M$2:$M$48,A271),COUNTIFS('Conciliacion de compuestos'!$D$2:$D$48,"conciliado",'Conciliacion de compuestos'!$E$2:$E$48,"OK",'Conciliacion de compuestos'!$N$2:$N$48,A271),COUNTIFS('Conciliacion de compuestos'!$D$2:$D$48,"conciliado",'Conciliacion de compuestos'!$E$2:$E$48,"OK",'Conciliacion de compuestos'!$O$2:$O$48,A271))&gt;0,IFERROR(TEXTJOIN(CHAR(10),TRUE,FILTER('Conciliacion de compuestos'!$A$2:$A$48,('Conciliacion de compuestos'!$D$2:$D$48="conciliado")*('Conciliacion de compuestos'!$E$2:$E$48="OK")*((('Conciliacion de compuestos'!$M$2:$M$48=A271)+('Conciliacion de compuestos'!$N$2:$N$48=A271)+('Conciliacion de compuestos'!$O$2:$O$48=A271))&gt;0))),""),"")</f>
        <v/>
      </c>
      <c r="G271" s="11">
        <f>IF(I271="conciliado","conciliado","por revisar")</f>
        <v/>
      </c>
      <c r="H271" s="11" t="inlineStr"/>
      <c r="I271" s="11">
        <f>IF(SUM(COUNTIFS('Conciliacion de compuestos'!$D$2:$D$48,"conciliado",'Conciliacion de compuestos'!$E$2:$E$48,"OK",'Conciliacion de compuestos'!$M$2:$M$48,A271),COUNTIFS('Conciliacion de compuestos'!$D$2:$D$48,"conciliado",'Conciliacion de compuestos'!$E$2:$E$48,"OK",'Conciliacion de compuestos'!$N$2:$N$48,A271),COUNTIFS('Conciliacion de compuestos'!$D$2:$D$48,"conciliado",'Conciliacion de compuestos'!$E$2:$E$48,"OK",'Conciliacion de compuestos'!$O$2:$O$48,A271))&gt;0,"conciliado","por revisar")</f>
        <v/>
      </c>
    </row>
    <row r="272">
      <c r="A272" s="11" t="n">
        <v>80</v>
      </c>
      <c r="B272" s="12" t="n">
        <v>45999</v>
      </c>
      <c r="C272" s="11" t="inlineStr">
        <is>
          <t>diana garzon garzon</t>
        </is>
      </c>
      <c r="D272" s="13" t="n">
        <v>85700</v>
      </c>
      <c r="E272" s="11">
        <f>IF(G272="conciliado","conciliado",I272)</f>
        <v/>
      </c>
      <c r="F272" s="11">
        <f>IF(SUM(COUNTIFS('Conciliacion de compuestos'!$D$2:$D$48,"conciliado",'Conciliacion de compuestos'!$E$2:$E$48,"OK",'Conciliacion de compuestos'!$M$2:$M$48,A272),COUNTIFS('Conciliacion de compuestos'!$D$2:$D$48,"conciliado",'Conciliacion de compuestos'!$E$2:$E$48,"OK",'Conciliacion de compuestos'!$N$2:$N$48,A272),COUNTIFS('Conciliacion de compuestos'!$D$2:$D$48,"conciliado",'Conciliacion de compuestos'!$E$2:$E$48,"OK",'Conciliacion de compuestos'!$O$2:$O$48,A272))&gt;0,IFERROR(TEXTJOIN(CHAR(10),TRUE,FILTER('Conciliacion de compuestos'!$A$2:$A$48,('Conciliacion de compuestos'!$D$2:$D$48="conciliado")*('Conciliacion de compuestos'!$E$2:$E$48="OK")*((('Conciliacion de compuestos'!$M$2:$M$48=A272)+('Conciliacion de compuestos'!$N$2:$N$48=A272)+('Conciliacion de compuestos'!$O$2:$O$48=A272))&gt;0))),""),"")</f>
        <v/>
      </c>
      <c r="G272" s="11">
        <f>IF(I272="conciliado","conciliado","por revisar")</f>
        <v/>
      </c>
      <c r="H272" s="11" t="inlineStr"/>
      <c r="I272" s="11">
        <f>IF(SUM(COUNTIFS('Conciliacion de compuestos'!$D$2:$D$48,"conciliado",'Conciliacion de compuestos'!$E$2:$E$48,"OK",'Conciliacion de compuestos'!$M$2:$M$48,A272),COUNTIFS('Conciliacion de compuestos'!$D$2:$D$48,"conciliado",'Conciliacion de compuestos'!$E$2:$E$48,"OK",'Conciliacion de compuestos'!$N$2:$N$48,A272),COUNTIFS('Conciliacion de compuestos'!$D$2:$D$48,"conciliado",'Conciliacion de compuestos'!$E$2:$E$48,"OK",'Conciliacion de compuestos'!$O$2:$O$48,A272))&gt;0,"conciliado","por revisar")</f>
        <v/>
      </c>
    </row>
    <row r="273">
      <c r="A273" s="11" t="n">
        <v>81</v>
      </c>
      <c r="B273" s="12" t="n">
        <v>45999</v>
      </c>
      <c r="C273" s="11" t="inlineStr">
        <is>
          <t>cuaran f guanga jhon</t>
        </is>
      </c>
      <c r="D273" s="13" t="n">
        <v>40000</v>
      </c>
      <c r="E273" s="11">
        <f>IF(G273="conciliado","conciliado",I273)</f>
        <v/>
      </c>
      <c r="F273" s="11">
        <f>IF(SUM(COUNTIFS('Conciliacion de compuestos'!$D$2:$D$48,"conciliado",'Conciliacion de compuestos'!$E$2:$E$48,"OK",'Conciliacion de compuestos'!$M$2:$M$48,A273),COUNTIFS('Conciliacion de compuestos'!$D$2:$D$48,"conciliado",'Conciliacion de compuestos'!$E$2:$E$48,"OK",'Conciliacion de compuestos'!$N$2:$N$48,A273),COUNTIFS('Conciliacion de compuestos'!$D$2:$D$48,"conciliado",'Conciliacion de compuestos'!$E$2:$E$48,"OK",'Conciliacion de compuestos'!$O$2:$O$48,A273))&gt;0,IFERROR(TEXTJOIN(CHAR(10),TRUE,FILTER('Conciliacion de compuestos'!$A$2:$A$48,('Conciliacion de compuestos'!$D$2:$D$48="conciliado")*('Conciliacion de compuestos'!$E$2:$E$48="OK")*((('Conciliacion de compuestos'!$M$2:$M$48=A273)+('Conciliacion de compuestos'!$N$2:$N$48=A273)+('Conciliacion de compuestos'!$O$2:$O$48=A273))&gt;0))),""),"")</f>
        <v/>
      </c>
      <c r="G273" s="11">
        <f>IF(I273="conciliado","conciliado","por revisar")</f>
        <v/>
      </c>
      <c r="H273" s="11" t="inlineStr"/>
      <c r="I273" s="11">
        <f>IF(SUM(COUNTIFS('Conciliacion de compuestos'!$D$2:$D$48,"conciliado",'Conciliacion de compuestos'!$E$2:$E$48,"OK",'Conciliacion de compuestos'!$M$2:$M$48,A273),COUNTIFS('Conciliacion de compuestos'!$D$2:$D$48,"conciliado",'Conciliacion de compuestos'!$E$2:$E$48,"OK",'Conciliacion de compuestos'!$N$2:$N$48,A273),COUNTIFS('Conciliacion de compuestos'!$D$2:$D$48,"conciliado",'Conciliacion de compuestos'!$E$2:$E$48,"OK",'Conciliacion de compuestos'!$O$2:$O$48,A273))&gt;0,"conciliado","por revisar")</f>
        <v/>
      </c>
    </row>
    <row r="274">
      <c r="A274" s="11" t="n">
        <v>85</v>
      </c>
      <c r="B274" s="12" t="n">
        <v>46000</v>
      </c>
      <c r="C274" s="11" t="inlineStr">
        <is>
          <t>gutierrez juan rojas</t>
        </is>
      </c>
      <c r="D274" s="13" t="n">
        <v>46800</v>
      </c>
      <c r="E274" s="11">
        <f>IF(G274="conciliado","conciliado",I274)</f>
        <v/>
      </c>
      <c r="F274" s="11">
        <f>IF(SUM(COUNTIFS('Conciliacion de compuestos'!$D$2:$D$48,"conciliado",'Conciliacion de compuestos'!$E$2:$E$48,"OK",'Conciliacion de compuestos'!$M$2:$M$48,A274),COUNTIFS('Conciliacion de compuestos'!$D$2:$D$48,"conciliado",'Conciliacion de compuestos'!$E$2:$E$48,"OK",'Conciliacion de compuestos'!$N$2:$N$48,A274),COUNTIFS('Conciliacion de compuestos'!$D$2:$D$48,"conciliado",'Conciliacion de compuestos'!$E$2:$E$48,"OK",'Conciliacion de compuestos'!$O$2:$O$48,A274))&gt;0,IFERROR(TEXTJOIN(CHAR(10),TRUE,FILTER('Conciliacion de compuestos'!$A$2:$A$48,('Conciliacion de compuestos'!$D$2:$D$48="conciliado")*('Conciliacion de compuestos'!$E$2:$E$48="OK")*((('Conciliacion de compuestos'!$M$2:$M$48=A274)+('Conciliacion de compuestos'!$N$2:$N$48=A274)+('Conciliacion de compuestos'!$O$2:$O$48=A274))&gt;0))),""),"")</f>
        <v/>
      </c>
      <c r="G274" s="11">
        <f>IF(I274="conciliado","conciliado","por revisar")</f>
        <v/>
      </c>
      <c r="H274" s="11" t="inlineStr"/>
      <c r="I274" s="11">
        <f>IF(SUM(COUNTIFS('Conciliacion de compuestos'!$D$2:$D$48,"conciliado",'Conciliacion de compuestos'!$E$2:$E$48,"OK",'Conciliacion de compuestos'!$M$2:$M$48,A274),COUNTIFS('Conciliacion de compuestos'!$D$2:$D$48,"conciliado",'Conciliacion de compuestos'!$E$2:$E$48,"OK",'Conciliacion de compuestos'!$N$2:$N$48,A274),COUNTIFS('Conciliacion de compuestos'!$D$2:$D$48,"conciliado",'Conciliacion de compuestos'!$E$2:$E$48,"OK",'Conciliacion de compuestos'!$O$2:$O$48,A274))&gt;0,"conciliado","por revisar")</f>
        <v/>
      </c>
    </row>
    <row r="275">
      <c r="A275" s="11" t="n">
        <v>92</v>
      </c>
      <c r="B275" s="12" t="n">
        <v>46001</v>
      </c>
      <c r="C275" s="11" t="inlineStr">
        <is>
          <t>cr leidy mafla salas</t>
        </is>
      </c>
      <c r="D275" s="13" t="n">
        <v>52100</v>
      </c>
      <c r="E275" s="11">
        <f>IF(G275="conciliado","conciliado",I275)</f>
        <v/>
      </c>
      <c r="F275" s="11">
        <f>IF(SUM(COUNTIFS('Conciliacion de compuestos'!$D$2:$D$48,"conciliado",'Conciliacion de compuestos'!$E$2:$E$48,"OK",'Conciliacion de compuestos'!$M$2:$M$48,A275),COUNTIFS('Conciliacion de compuestos'!$D$2:$D$48,"conciliado",'Conciliacion de compuestos'!$E$2:$E$48,"OK",'Conciliacion de compuestos'!$N$2:$N$48,A275),COUNTIFS('Conciliacion de compuestos'!$D$2:$D$48,"conciliado",'Conciliacion de compuestos'!$E$2:$E$48,"OK",'Conciliacion de compuestos'!$O$2:$O$48,A275))&gt;0,IFERROR(TEXTJOIN(CHAR(10),TRUE,FILTER('Conciliacion de compuestos'!$A$2:$A$48,('Conciliacion de compuestos'!$D$2:$D$48="conciliado")*('Conciliacion de compuestos'!$E$2:$E$48="OK")*((('Conciliacion de compuestos'!$M$2:$M$48=A275)+('Conciliacion de compuestos'!$N$2:$N$48=A275)+('Conciliacion de compuestos'!$O$2:$O$48=A275))&gt;0))),""),"")</f>
        <v/>
      </c>
      <c r="G275" s="11">
        <f>IF(I275="conciliado","conciliado","por revisar")</f>
        <v/>
      </c>
      <c r="H275" s="11" t="inlineStr"/>
      <c r="I275" s="11">
        <f>IF(SUM(COUNTIFS('Conciliacion de compuestos'!$D$2:$D$48,"conciliado",'Conciliacion de compuestos'!$E$2:$E$48,"OK",'Conciliacion de compuestos'!$M$2:$M$48,A275),COUNTIFS('Conciliacion de compuestos'!$D$2:$D$48,"conciliado",'Conciliacion de compuestos'!$E$2:$E$48,"OK",'Conciliacion de compuestos'!$N$2:$N$48,A275),COUNTIFS('Conciliacion de compuestos'!$D$2:$D$48,"conciliado",'Conciliacion de compuestos'!$E$2:$E$48,"OK",'Conciliacion de compuestos'!$O$2:$O$48,A275))&gt;0,"conciliado","por revisar")</f>
        <v/>
      </c>
    </row>
    <row r="276">
      <c r="A276" s="11" t="n">
        <v>94</v>
      </c>
      <c r="B276" s="12" t="n">
        <v>46001</v>
      </c>
      <c r="C276" s="11" t="inlineStr">
        <is>
          <t>murcia riobamba yudy</t>
        </is>
      </c>
      <c r="D276" s="13" t="n">
        <v>120900</v>
      </c>
      <c r="E276" s="11">
        <f>IF(G276="conciliado","conciliado",I276)</f>
        <v/>
      </c>
      <c r="F276" s="11">
        <f>IF(SUM(COUNTIFS('Conciliacion de compuestos'!$D$2:$D$48,"conciliado",'Conciliacion de compuestos'!$E$2:$E$48,"OK",'Conciliacion de compuestos'!$M$2:$M$48,A276),COUNTIFS('Conciliacion de compuestos'!$D$2:$D$48,"conciliado",'Conciliacion de compuestos'!$E$2:$E$48,"OK",'Conciliacion de compuestos'!$N$2:$N$48,A276),COUNTIFS('Conciliacion de compuestos'!$D$2:$D$48,"conciliado",'Conciliacion de compuestos'!$E$2:$E$48,"OK",'Conciliacion de compuestos'!$O$2:$O$48,A276))&gt;0,IFERROR(TEXTJOIN(CHAR(10),TRUE,FILTER('Conciliacion de compuestos'!$A$2:$A$48,('Conciliacion de compuestos'!$D$2:$D$48="conciliado")*('Conciliacion de compuestos'!$E$2:$E$48="OK")*((('Conciliacion de compuestos'!$M$2:$M$48=A276)+('Conciliacion de compuestos'!$N$2:$N$48=A276)+('Conciliacion de compuestos'!$O$2:$O$48=A276))&gt;0))),""),"")</f>
        <v/>
      </c>
      <c r="G276" s="11">
        <f>IF(I276="conciliado","conciliado","por revisar")</f>
        <v/>
      </c>
      <c r="H276" s="11" t="inlineStr"/>
      <c r="I276" s="11">
        <f>IF(SUM(COUNTIFS('Conciliacion de compuestos'!$D$2:$D$48,"conciliado",'Conciliacion de compuestos'!$E$2:$E$48,"OK",'Conciliacion de compuestos'!$M$2:$M$48,A276),COUNTIFS('Conciliacion de compuestos'!$D$2:$D$48,"conciliado",'Conciliacion de compuestos'!$E$2:$E$48,"OK",'Conciliacion de compuestos'!$N$2:$N$48,A276),COUNTIFS('Conciliacion de compuestos'!$D$2:$D$48,"conciliado",'Conciliacion de compuestos'!$E$2:$E$48,"OK",'Conciliacion de compuestos'!$O$2:$O$48,A276))&gt;0,"conciliado","por revisar")</f>
        <v/>
      </c>
    </row>
    <row r="277">
      <c r="A277" s="11" t="n">
        <v>97</v>
      </c>
      <c r="B277" s="12" t="n">
        <v>46001</v>
      </c>
      <c r="C277" s="11" t="inlineStr">
        <is>
          <t>martinez pedr segura</t>
        </is>
      </c>
      <c r="D277" s="13" t="n">
        <v>95900</v>
      </c>
      <c r="E277" s="11">
        <f>IF(G277="conciliado","conciliado",I277)</f>
        <v/>
      </c>
      <c r="F277" s="11">
        <f>IF(SUM(COUNTIFS('Conciliacion de compuestos'!$D$2:$D$48,"conciliado",'Conciliacion de compuestos'!$E$2:$E$48,"OK",'Conciliacion de compuestos'!$M$2:$M$48,A277),COUNTIFS('Conciliacion de compuestos'!$D$2:$D$48,"conciliado",'Conciliacion de compuestos'!$E$2:$E$48,"OK",'Conciliacion de compuestos'!$N$2:$N$48,A277),COUNTIFS('Conciliacion de compuestos'!$D$2:$D$48,"conciliado",'Conciliacion de compuestos'!$E$2:$E$48,"OK",'Conciliacion de compuestos'!$O$2:$O$48,A277))&gt;0,IFERROR(TEXTJOIN(CHAR(10),TRUE,FILTER('Conciliacion de compuestos'!$A$2:$A$48,('Conciliacion de compuestos'!$D$2:$D$48="conciliado")*('Conciliacion de compuestos'!$E$2:$E$48="OK")*((('Conciliacion de compuestos'!$M$2:$M$48=A277)+('Conciliacion de compuestos'!$N$2:$N$48=A277)+('Conciliacion de compuestos'!$O$2:$O$48=A277))&gt;0))),""),"")</f>
        <v/>
      </c>
      <c r="G277" s="11">
        <f>IF(I277="conciliado","conciliado","por revisar")</f>
        <v/>
      </c>
      <c r="H277" s="11" t="inlineStr"/>
      <c r="I277" s="11">
        <f>IF(SUM(COUNTIFS('Conciliacion de compuestos'!$D$2:$D$48,"conciliado",'Conciliacion de compuestos'!$E$2:$E$48,"OK",'Conciliacion de compuestos'!$M$2:$M$48,A277),COUNTIFS('Conciliacion de compuestos'!$D$2:$D$48,"conciliado",'Conciliacion de compuestos'!$E$2:$E$48,"OK",'Conciliacion de compuestos'!$N$2:$N$48,A277),COUNTIFS('Conciliacion de compuestos'!$D$2:$D$48,"conciliado",'Conciliacion de compuestos'!$E$2:$E$48,"OK",'Conciliacion de compuestos'!$O$2:$O$48,A277))&gt;0,"conciliado","por revisar")</f>
        <v/>
      </c>
    </row>
    <row r="278">
      <c r="A278" s="11" t="n">
        <v>105</v>
      </c>
      <c r="B278" s="12" t="n">
        <v>46002</v>
      </c>
      <c r="C278" s="11" t="inlineStr">
        <is>
          <t>arias fabia portilla</t>
        </is>
      </c>
      <c r="D278" s="13" t="n">
        <v>19000</v>
      </c>
      <c r="E278" s="11">
        <f>IF(G278="conciliado","conciliado",I278)</f>
        <v/>
      </c>
      <c r="F278" s="11">
        <f>IF(SUM(COUNTIFS('Conciliacion de compuestos'!$D$2:$D$48,"conciliado",'Conciliacion de compuestos'!$E$2:$E$48,"OK",'Conciliacion de compuestos'!$M$2:$M$48,A278),COUNTIFS('Conciliacion de compuestos'!$D$2:$D$48,"conciliado",'Conciliacion de compuestos'!$E$2:$E$48,"OK",'Conciliacion de compuestos'!$N$2:$N$48,A278),COUNTIFS('Conciliacion de compuestos'!$D$2:$D$48,"conciliado",'Conciliacion de compuestos'!$E$2:$E$48,"OK",'Conciliacion de compuestos'!$O$2:$O$48,A278))&gt;0,IFERROR(TEXTJOIN(CHAR(10),TRUE,FILTER('Conciliacion de compuestos'!$A$2:$A$48,('Conciliacion de compuestos'!$D$2:$D$48="conciliado")*('Conciliacion de compuestos'!$E$2:$E$48="OK")*((('Conciliacion de compuestos'!$M$2:$M$48=A278)+('Conciliacion de compuestos'!$N$2:$N$48=A278)+('Conciliacion de compuestos'!$O$2:$O$48=A278))&gt;0))),""),"")</f>
        <v/>
      </c>
      <c r="G278" s="11">
        <f>IF(I278="conciliado","conciliado","por revisar")</f>
        <v/>
      </c>
      <c r="H278" s="11" t="inlineStr"/>
      <c r="I278" s="11">
        <f>IF(SUM(COUNTIFS('Conciliacion de compuestos'!$D$2:$D$48,"conciliado",'Conciliacion de compuestos'!$E$2:$E$48,"OK",'Conciliacion de compuestos'!$M$2:$M$48,A278),COUNTIFS('Conciliacion de compuestos'!$D$2:$D$48,"conciliado",'Conciliacion de compuestos'!$E$2:$E$48,"OK",'Conciliacion de compuestos'!$N$2:$N$48,A278),COUNTIFS('Conciliacion de compuestos'!$D$2:$D$48,"conciliado",'Conciliacion de compuestos'!$E$2:$E$48,"OK",'Conciliacion de compuestos'!$O$2:$O$48,A278))&gt;0,"conciliado","por revisar")</f>
        <v/>
      </c>
    </row>
    <row r="279">
      <c r="A279" s="11" t="n">
        <v>108</v>
      </c>
      <c r="B279" s="12" t="n">
        <v>46002</v>
      </c>
      <c r="C279" s="11" t="inlineStr">
        <is>
          <t>gomez montenegro san</t>
        </is>
      </c>
      <c r="D279" s="13" t="n">
        <v>110700</v>
      </c>
      <c r="E279" s="11">
        <f>IF(G279="conciliado","conciliado",I279)</f>
        <v/>
      </c>
      <c r="F279" s="11">
        <f>IF(SUM(COUNTIFS('Conciliacion de compuestos'!$D$2:$D$48,"conciliado",'Conciliacion de compuestos'!$E$2:$E$48,"OK",'Conciliacion de compuestos'!$M$2:$M$48,A279),COUNTIFS('Conciliacion de compuestos'!$D$2:$D$48,"conciliado",'Conciliacion de compuestos'!$E$2:$E$48,"OK",'Conciliacion de compuestos'!$N$2:$N$48,A279),COUNTIFS('Conciliacion de compuestos'!$D$2:$D$48,"conciliado",'Conciliacion de compuestos'!$E$2:$E$48,"OK",'Conciliacion de compuestos'!$O$2:$O$48,A279))&gt;0,IFERROR(TEXTJOIN(CHAR(10),TRUE,FILTER('Conciliacion de compuestos'!$A$2:$A$48,('Conciliacion de compuestos'!$D$2:$D$48="conciliado")*('Conciliacion de compuestos'!$E$2:$E$48="OK")*((('Conciliacion de compuestos'!$M$2:$M$48=A279)+('Conciliacion de compuestos'!$N$2:$N$48=A279)+('Conciliacion de compuestos'!$O$2:$O$48=A279))&gt;0))),""),"")</f>
        <v/>
      </c>
      <c r="G279" s="11">
        <f>IF(I279="conciliado","conciliado","por revisar")</f>
        <v/>
      </c>
      <c r="H279" s="11" t="inlineStr"/>
      <c r="I279" s="11">
        <f>IF(SUM(COUNTIFS('Conciliacion de compuestos'!$D$2:$D$48,"conciliado",'Conciliacion de compuestos'!$E$2:$E$48,"OK",'Conciliacion de compuestos'!$M$2:$M$48,A279),COUNTIFS('Conciliacion de compuestos'!$D$2:$D$48,"conciliado",'Conciliacion de compuestos'!$E$2:$E$48,"OK",'Conciliacion de compuestos'!$N$2:$N$48,A279),COUNTIFS('Conciliacion de compuestos'!$D$2:$D$48,"conciliado",'Conciliacion de compuestos'!$E$2:$E$48,"OK",'Conciliacion de compuestos'!$O$2:$O$48,A279))&gt;0,"conciliado","por revisar")</f>
        <v/>
      </c>
    </row>
    <row r="280">
      <c r="A280" s="11" t="n">
        <v>110</v>
      </c>
      <c r="B280" s="12" t="n">
        <v>46002</v>
      </c>
      <c r="C280" s="11" t="inlineStr">
        <is>
          <t>castillo estacio</t>
        </is>
      </c>
      <c r="D280" s="13" t="n">
        <v>26800</v>
      </c>
      <c r="E280" s="11">
        <f>IF(G280="conciliado","conciliado",I280)</f>
        <v/>
      </c>
      <c r="F280" s="11">
        <f>IF(SUM(COUNTIFS('Conciliacion de compuestos'!$D$2:$D$48,"conciliado",'Conciliacion de compuestos'!$E$2:$E$48,"OK",'Conciliacion de compuestos'!$M$2:$M$48,A280),COUNTIFS('Conciliacion de compuestos'!$D$2:$D$48,"conciliado",'Conciliacion de compuestos'!$E$2:$E$48,"OK",'Conciliacion de compuestos'!$N$2:$N$48,A280),COUNTIFS('Conciliacion de compuestos'!$D$2:$D$48,"conciliado",'Conciliacion de compuestos'!$E$2:$E$48,"OK",'Conciliacion de compuestos'!$O$2:$O$48,A280))&gt;0,IFERROR(TEXTJOIN(CHAR(10),TRUE,FILTER('Conciliacion de compuestos'!$A$2:$A$48,('Conciliacion de compuestos'!$D$2:$D$48="conciliado")*('Conciliacion de compuestos'!$E$2:$E$48="OK")*((('Conciliacion de compuestos'!$M$2:$M$48=A280)+('Conciliacion de compuestos'!$N$2:$N$48=A280)+('Conciliacion de compuestos'!$O$2:$O$48=A280))&gt;0))),""),"")</f>
        <v/>
      </c>
      <c r="G280" s="11">
        <f>IF(I280="conciliado","conciliado","por revisar")</f>
        <v/>
      </c>
      <c r="H280" s="11" t="inlineStr"/>
      <c r="I280" s="11">
        <f>IF(SUM(COUNTIFS('Conciliacion de compuestos'!$D$2:$D$48,"conciliado",'Conciliacion de compuestos'!$E$2:$E$48,"OK",'Conciliacion de compuestos'!$M$2:$M$48,A280),COUNTIFS('Conciliacion de compuestos'!$D$2:$D$48,"conciliado",'Conciliacion de compuestos'!$E$2:$E$48,"OK",'Conciliacion de compuestos'!$N$2:$N$48,A280),COUNTIFS('Conciliacion de compuestos'!$D$2:$D$48,"conciliado",'Conciliacion de compuestos'!$E$2:$E$48,"OK",'Conciliacion de compuestos'!$O$2:$O$48,A280))&gt;0,"conciliado","por revisar")</f>
        <v/>
      </c>
    </row>
    <row r="281">
      <c r="A281" s="11" t="n">
        <v>118</v>
      </c>
      <c r="B281" s="12" t="n">
        <v>46003</v>
      </c>
      <c r="C281" s="11" t="inlineStr">
        <is>
          <t>guzman hortua victor</t>
        </is>
      </c>
      <c r="D281" s="13" t="n">
        <v>30600</v>
      </c>
      <c r="E281" s="11">
        <f>IF(G281="conciliado","conciliado",I281)</f>
        <v/>
      </c>
      <c r="F281" s="11">
        <f>IF(SUM(COUNTIFS('Conciliacion de compuestos'!$D$2:$D$48,"conciliado",'Conciliacion de compuestos'!$E$2:$E$48,"OK",'Conciliacion de compuestos'!$M$2:$M$48,A281),COUNTIFS('Conciliacion de compuestos'!$D$2:$D$48,"conciliado",'Conciliacion de compuestos'!$E$2:$E$48,"OK",'Conciliacion de compuestos'!$N$2:$N$48,A281),COUNTIFS('Conciliacion de compuestos'!$D$2:$D$48,"conciliado",'Conciliacion de compuestos'!$E$2:$E$48,"OK",'Conciliacion de compuestos'!$O$2:$O$48,A281))&gt;0,IFERROR(TEXTJOIN(CHAR(10),TRUE,FILTER('Conciliacion de compuestos'!$A$2:$A$48,('Conciliacion de compuestos'!$D$2:$D$48="conciliado")*('Conciliacion de compuestos'!$E$2:$E$48="OK")*((('Conciliacion de compuestos'!$M$2:$M$48=A281)+('Conciliacion de compuestos'!$N$2:$N$48=A281)+('Conciliacion de compuestos'!$O$2:$O$48=A281))&gt;0))),""),"")</f>
        <v/>
      </c>
      <c r="G281" s="11">
        <f>IF(I281="conciliado","conciliado","por revisar")</f>
        <v/>
      </c>
      <c r="H281" s="11" t="inlineStr"/>
      <c r="I281" s="11">
        <f>IF(SUM(COUNTIFS('Conciliacion de compuestos'!$D$2:$D$48,"conciliado",'Conciliacion de compuestos'!$E$2:$E$48,"OK",'Conciliacion de compuestos'!$M$2:$M$48,A281),COUNTIFS('Conciliacion de compuestos'!$D$2:$D$48,"conciliado",'Conciliacion de compuestos'!$E$2:$E$48,"OK",'Conciliacion de compuestos'!$N$2:$N$48,A281),COUNTIFS('Conciliacion de compuestos'!$D$2:$D$48,"conciliado",'Conciliacion de compuestos'!$E$2:$E$48,"OK",'Conciliacion de compuestos'!$O$2:$O$48,A281))&gt;0,"conciliado","por revisar")</f>
        <v/>
      </c>
    </row>
    <row r="282">
      <c r="A282" s="11" t="n">
        <v>119</v>
      </c>
      <c r="B282" s="12" t="n">
        <v>46003</v>
      </c>
      <c r="C282" s="11" t="inlineStr">
        <is>
          <t>angulo cristhi gomez</t>
        </is>
      </c>
      <c r="D282" s="13" t="n">
        <v>67400</v>
      </c>
      <c r="E282" s="11">
        <f>IF(G282="conciliado","conciliado",I282)</f>
        <v/>
      </c>
      <c r="F282" s="11">
        <f>IF(SUM(COUNTIFS('Conciliacion de compuestos'!$D$2:$D$48,"conciliado",'Conciliacion de compuestos'!$E$2:$E$48,"OK",'Conciliacion de compuestos'!$M$2:$M$48,A282),COUNTIFS('Conciliacion de compuestos'!$D$2:$D$48,"conciliado",'Conciliacion de compuestos'!$E$2:$E$48,"OK",'Conciliacion de compuestos'!$N$2:$N$48,A282),COUNTIFS('Conciliacion de compuestos'!$D$2:$D$48,"conciliado",'Conciliacion de compuestos'!$E$2:$E$48,"OK",'Conciliacion de compuestos'!$O$2:$O$48,A282))&gt;0,IFERROR(TEXTJOIN(CHAR(10),TRUE,FILTER('Conciliacion de compuestos'!$A$2:$A$48,('Conciliacion de compuestos'!$D$2:$D$48="conciliado")*('Conciliacion de compuestos'!$E$2:$E$48="OK")*((('Conciliacion de compuestos'!$M$2:$M$48=A282)+('Conciliacion de compuestos'!$N$2:$N$48=A282)+('Conciliacion de compuestos'!$O$2:$O$48=A282))&gt;0))),""),"")</f>
        <v/>
      </c>
      <c r="G282" s="11">
        <f>IF(I282="conciliado","conciliado","por revisar")</f>
        <v/>
      </c>
      <c r="H282" s="11" t="inlineStr"/>
      <c r="I282" s="11">
        <f>IF(SUM(COUNTIFS('Conciliacion de compuestos'!$D$2:$D$48,"conciliado",'Conciliacion de compuestos'!$E$2:$E$48,"OK",'Conciliacion de compuestos'!$M$2:$M$48,A282),COUNTIFS('Conciliacion de compuestos'!$D$2:$D$48,"conciliado",'Conciliacion de compuestos'!$E$2:$E$48,"OK",'Conciliacion de compuestos'!$N$2:$N$48,A282),COUNTIFS('Conciliacion de compuestos'!$D$2:$D$48,"conciliado",'Conciliacion de compuestos'!$E$2:$E$48,"OK",'Conciliacion de compuestos'!$O$2:$O$48,A282))&gt;0,"conciliado","por revisar")</f>
        <v/>
      </c>
    </row>
    <row r="283">
      <c r="A283" s="11" t="n">
        <v>123</v>
      </c>
      <c r="B283" s="12" t="n">
        <v>46004</v>
      </c>
      <c r="C283" s="11" t="inlineStr">
        <is>
          <t>fernan salazar silva</t>
        </is>
      </c>
      <c r="D283" s="13" t="n">
        <v>193900</v>
      </c>
      <c r="E283" s="11">
        <f>IF(G283="conciliado","conciliado",I283)</f>
        <v/>
      </c>
      <c r="F283" s="11">
        <f>IF(SUM(COUNTIFS('Conciliacion de compuestos'!$D$2:$D$48,"conciliado",'Conciliacion de compuestos'!$E$2:$E$48,"OK",'Conciliacion de compuestos'!$M$2:$M$48,A283),COUNTIFS('Conciliacion de compuestos'!$D$2:$D$48,"conciliado",'Conciliacion de compuestos'!$E$2:$E$48,"OK",'Conciliacion de compuestos'!$N$2:$N$48,A283),COUNTIFS('Conciliacion de compuestos'!$D$2:$D$48,"conciliado",'Conciliacion de compuestos'!$E$2:$E$48,"OK",'Conciliacion de compuestos'!$O$2:$O$48,A283))&gt;0,IFERROR(TEXTJOIN(CHAR(10),TRUE,FILTER('Conciliacion de compuestos'!$A$2:$A$48,('Conciliacion de compuestos'!$D$2:$D$48="conciliado")*('Conciliacion de compuestos'!$E$2:$E$48="OK")*((('Conciliacion de compuestos'!$M$2:$M$48=A283)+('Conciliacion de compuestos'!$N$2:$N$48=A283)+('Conciliacion de compuestos'!$O$2:$O$48=A283))&gt;0))),""),"")</f>
        <v/>
      </c>
      <c r="G283" s="11">
        <f>IF(I283="conciliado","conciliado","por revisar")</f>
        <v/>
      </c>
      <c r="H283" s="11" t="inlineStr"/>
      <c r="I283" s="11">
        <f>IF(SUM(COUNTIFS('Conciliacion de compuestos'!$D$2:$D$48,"conciliado",'Conciliacion de compuestos'!$E$2:$E$48,"OK",'Conciliacion de compuestos'!$M$2:$M$48,A283),COUNTIFS('Conciliacion de compuestos'!$D$2:$D$48,"conciliado",'Conciliacion de compuestos'!$E$2:$E$48,"OK",'Conciliacion de compuestos'!$N$2:$N$48,A283),COUNTIFS('Conciliacion de compuestos'!$D$2:$D$48,"conciliado",'Conciliacion de compuestos'!$E$2:$E$48,"OK",'Conciliacion de compuestos'!$O$2:$O$48,A283))&gt;0,"conciliado","por revisar")</f>
        <v/>
      </c>
    </row>
    <row r="284">
      <c r="A284" s="11" t="n">
        <v>126</v>
      </c>
      <c r="B284" s="12" t="n">
        <v>46004</v>
      </c>
      <c r="C284" s="11" t="inlineStr">
        <is>
          <t>francisco meza meza</t>
        </is>
      </c>
      <c r="D284" s="13" t="n">
        <v>40700</v>
      </c>
      <c r="E284" s="11">
        <f>IF(G284="conciliado","conciliado",I284)</f>
        <v/>
      </c>
      <c r="F284" s="11">
        <f>IF(SUM(COUNTIFS('Conciliacion de compuestos'!$D$2:$D$48,"conciliado",'Conciliacion de compuestos'!$E$2:$E$48,"OK",'Conciliacion de compuestos'!$M$2:$M$48,A284),COUNTIFS('Conciliacion de compuestos'!$D$2:$D$48,"conciliado",'Conciliacion de compuestos'!$E$2:$E$48,"OK",'Conciliacion de compuestos'!$N$2:$N$48,A284),COUNTIFS('Conciliacion de compuestos'!$D$2:$D$48,"conciliado",'Conciliacion de compuestos'!$E$2:$E$48,"OK",'Conciliacion de compuestos'!$O$2:$O$48,A284))&gt;0,IFERROR(TEXTJOIN(CHAR(10),TRUE,FILTER('Conciliacion de compuestos'!$A$2:$A$48,('Conciliacion de compuestos'!$D$2:$D$48="conciliado")*('Conciliacion de compuestos'!$E$2:$E$48="OK")*((('Conciliacion de compuestos'!$M$2:$M$48=A284)+('Conciliacion de compuestos'!$N$2:$N$48=A284)+('Conciliacion de compuestos'!$O$2:$O$48=A284))&gt;0))),""),"")</f>
        <v/>
      </c>
      <c r="G284" s="11">
        <f>IF(I284="conciliado","conciliado","por revisar")</f>
        <v/>
      </c>
      <c r="H284" s="11" t="inlineStr"/>
      <c r="I284" s="11">
        <f>IF(SUM(COUNTIFS('Conciliacion de compuestos'!$D$2:$D$48,"conciliado",'Conciliacion de compuestos'!$E$2:$E$48,"OK",'Conciliacion de compuestos'!$M$2:$M$48,A284),COUNTIFS('Conciliacion de compuestos'!$D$2:$D$48,"conciliado",'Conciliacion de compuestos'!$E$2:$E$48,"OK",'Conciliacion de compuestos'!$N$2:$N$48,A284),COUNTIFS('Conciliacion de compuestos'!$D$2:$D$48,"conciliado",'Conciliacion de compuestos'!$E$2:$E$48,"OK",'Conciliacion de compuestos'!$O$2:$O$48,A284))&gt;0,"conciliado","por revisar")</f>
        <v/>
      </c>
    </row>
    <row r="285">
      <c r="A285" s="11" t="n">
        <v>127</v>
      </c>
      <c r="B285" s="12" t="n">
        <v>46004</v>
      </c>
      <c r="C285" s="11" t="inlineStr">
        <is>
          <t>caicedo mari sanchez</t>
        </is>
      </c>
      <c r="D285" s="13" t="n">
        <v>70500</v>
      </c>
      <c r="E285" s="11">
        <f>IF(G285="conciliado","conciliado",I285)</f>
        <v/>
      </c>
      <c r="F285" s="11">
        <f>IF(SUM(COUNTIFS('Conciliacion de compuestos'!$D$2:$D$48,"conciliado",'Conciliacion de compuestos'!$E$2:$E$48,"OK",'Conciliacion de compuestos'!$M$2:$M$48,A285),COUNTIFS('Conciliacion de compuestos'!$D$2:$D$48,"conciliado",'Conciliacion de compuestos'!$E$2:$E$48,"OK",'Conciliacion de compuestos'!$N$2:$N$48,A285),COUNTIFS('Conciliacion de compuestos'!$D$2:$D$48,"conciliado",'Conciliacion de compuestos'!$E$2:$E$48,"OK",'Conciliacion de compuestos'!$O$2:$O$48,A285))&gt;0,IFERROR(TEXTJOIN(CHAR(10),TRUE,FILTER('Conciliacion de compuestos'!$A$2:$A$48,('Conciliacion de compuestos'!$D$2:$D$48="conciliado")*('Conciliacion de compuestos'!$E$2:$E$48="OK")*((('Conciliacion de compuestos'!$M$2:$M$48=A285)+('Conciliacion de compuestos'!$N$2:$N$48=A285)+('Conciliacion de compuestos'!$O$2:$O$48=A285))&gt;0))),""),"")</f>
        <v/>
      </c>
      <c r="G285" s="11">
        <f>IF(I285="conciliado","conciliado","por revisar")</f>
        <v/>
      </c>
      <c r="H285" s="11" t="inlineStr"/>
      <c r="I285" s="11">
        <f>IF(SUM(COUNTIFS('Conciliacion de compuestos'!$D$2:$D$48,"conciliado",'Conciliacion de compuestos'!$E$2:$E$48,"OK",'Conciliacion de compuestos'!$M$2:$M$48,A285),COUNTIFS('Conciliacion de compuestos'!$D$2:$D$48,"conciliado",'Conciliacion de compuestos'!$E$2:$E$48,"OK",'Conciliacion de compuestos'!$N$2:$N$48,A285),COUNTIFS('Conciliacion de compuestos'!$D$2:$D$48,"conciliado",'Conciliacion de compuestos'!$E$2:$E$48,"OK",'Conciliacion de compuestos'!$O$2:$O$48,A285))&gt;0,"conciliado","por revisar")</f>
        <v/>
      </c>
    </row>
    <row r="286">
      <c r="A286" s="11" t="n">
        <v>128</v>
      </c>
      <c r="B286" s="12" t="n">
        <v>46004</v>
      </c>
      <c r="C286" s="11" t="inlineStr">
        <is>
          <t>benavides osca perez</t>
        </is>
      </c>
      <c r="D286" s="13" t="n">
        <v>39200</v>
      </c>
      <c r="E286" s="11">
        <f>IF(G286="conciliado","conciliado",I286)</f>
        <v/>
      </c>
      <c r="F286" s="11">
        <f>IF(SUM(COUNTIFS('Conciliacion de compuestos'!$D$2:$D$48,"conciliado",'Conciliacion de compuestos'!$E$2:$E$48,"OK",'Conciliacion de compuestos'!$M$2:$M$48,A286),COUNTIFS('Conciliacion de compuestos'!$D$2:$D$48,"conciliado",'Conciliacion de compuestos'!$E$2:$E$48,"OK",'Conciliacion de compuestos'!$N$2:$N$48,A286),COUNTIFS('Conciliacion de compuestos'!$D$2:$D$48,"conciliado",'Conciliacion de compuestos'!$E$2:$E$48,"OK",'Conciliacion de compuestos'!$O$2:$O$48,A286))&gt;0,IFERROR(TEXTJOIN(CHAR(10),TRUE,FILTER('Conciliacion de compuestos'!$A$2:$A$48,('Conciliacion de compuestos'!$D$2:$D$48="conciliado")*('Conciliacion de compuestos'!$E$2:$E$48="OK")*((('Conciliacion de compuestos'!$M$2:$M$48=A286)+('Conciliacion de compuestos'!$N$2:$N$48=A286)+('Conciliacion de compuestos'!$O$2:$O$48=A286))&gt;0))),""),"")</f>
        <v/>
      </c>
      <c r="G286" s="11">
        <f>IF(I286="conciliado","conciliado","por revisar")</f>
        <v/>
      </c>
      <c r="H286" s="11" t="inlineStr"/>
      <c r="I286" s="11">
        <f>IF(SUM(COUNTIFS('Conciliacion de compuestos'!$D$2:$D$48,"conciliado",'Conciliacion de compuestos'!$E$2:$E$48,"OK",'Conciliacion de compuestos'!$M$2:$M$48,A286),COUNTIFS('Conciliacion de compuestos'!$D$2:$D$48,"conciliado",'Conciliacion de compuestos'!$E$2:$E$48,"OK",'Conciliacion de compuestos'!$N$2:$N$48,A286),COUNTIFS('Conciliacion de compuestos'!$D$2:$D$48,"conciliado",'Conciliacion de compuestos'!$E$2:$E$48,"OK",'Conciliacion de compuestos'!$O$2:$O$48,A286))&gt;0,"conciliado","por revisar")</f>
        <v/>
      </c>
    </row>
    <row r="287">
      <c r="A287" s="11" t="n">
        <v>135</v>
      </c>
      <c r="B287" s="12" t="n">
        <v>46005</v>
      </c>
      <c r="C287" s="11" t="inlineStr">
        <is>
          <t>liss melo villarreal</t>
        </is>
      </c>
      <c r="D287" s="13" t="n">
        <v>33000</v>
      </c>
      <c r="E287" s="11">
        <f>IF(G287="conciliado","conciliado",I287)</f>
        <v/>
      </c>
      <c r="F287" s="11">
        <f>IF(SUM(COUNTIFS('Conciliacion de compuestos'!$D$2:$D$48,"conciliado",'Conciliacion de compuestos'!$E$2:$E$48,"OK",'Conciliacion de compuestos'!$M$2:$M$48,A287),COUNTIFS('Conciliacion de compuestos'!$D$2:$D$48,"conciliado",'Conciliacion de compuestos'!$E$2:$E$48,"OK",'Conciliacion de compuestos'!$N$2:$N$48,A287),COUNTIFS('Conciliacion de compuestos'!$D$2:$D$48,"conciliado",'Conciliacion de compuestos'!$E$2:$E$48,"OK",'Conciliacion de compuestos'!$O$2:$O$48,A287))&gt;0,IFERROR(TEXTJOIN(CHAR(10),TRUE,FILTER('Conciliacion de compuestos'!$A$2:$A$48,('Conciliacion de compuestos'!$D$2:$D$48="conciliado")*('Conciliacion de compuestos'!$E$2:$E$48="OK")*((('Conciliacion de compuestos'!$M$2:$M$48=A287)+('Conciliacion de compuestos'!$N$2:$N$48=A287)+('Conciliacion de compuestos'!$O$2:$O$48=A287))&gt;0))),""),"")</f>
        <v/>
      </c>
      <c r="G287" s="11">
        <f>IF(I287="conciliado","conciliado","por revisar")</f>
        <v/>
      </c>
      <c r="H287" s="11" t="inlineStr"/>
      <c r="I287" s="11">
        <f>IF(SUM(COUNTIFS('Conciliacion de compuestos'!$D$2:$D$48,"conciliado",'Conciliacion de compuestos'!$E$2:$E$48,"OK",'Conciliacion de compuestos'!$M$2:$M$48,A287),COUNTIFS('Conciliacion de compuestos'!$D$2:$D$48,"conciliado",'Conciliacion de compuestos'!$E$2:$E$48,"OK",'Conciliacion de compuestos'!$N$2:$N$48,A287),COUNTIFS('Conciliacion de compuestos'!$D$2:$D$48,"conciliado",'Conciliacion de compuestos'!$E$2:$E$48,"OK",'Conciliacion de compuestos'!$O$2:$O$48,A287))&gt;0,"conciliado","por revisar")</f>
        <v/>
      </c>
    </row>
    <row r="288">
      <c r="A288" s="11" t="n">
        <v>139</v>
      </c>
      <c r="B288" s="12" t="n">
        <v>46006</v>
      </c>
      <c r="C288" s="11" t="inlineStr">
        <is>
          <t>juan ortiz santacruz</t>
        </is>
      </c>
      <c r="D288" s="13" t="n">
        <v>20000</v>
      </c>
      <c r="E288" s="11">
        <f>IF(G288="conciliado","conciliado",I288)</f>
        <v/>
      </c>
      <c r="F288" s="11">
        <f>IF(SUM(COUNTIFS('Conciliacion de compuestos'!$D$2:$D$48,"conciliado",'Conciliacion de compuestos'!$E$2:$E$48,"OK",'Conciliacion de compuestos'!$M$2:$M$48,A288),COUNTIFS('Conciliacion de compuestos'!$D$2:$D$48,"conciliado",'Conciliacion de compuestos'!$E$2:$E$48,"OK",'Conciliacion de compuestos'!$N$2:$N$48,A288),COUNTIFS('Conciliacion de compuestos'!$D$2:$D$48,"conciliado",'Conciliacion de compuestos'!$E$2:$E$48,"OK",'Conciliacion de compuestos'!$O$2:$O$48,A288))&gt;0,IFERROR(TEXTJOIN(CHAR(10),TRUE,FILTER('Conciliacion de compuestos'!$A$2:$A$48,('Conciliacion de compuestos'!$D$2:$D$48="conciliado")*('Conciliacion de compuestos'!$E$2:$E$48="OK")*((('Conciliacion de compuestos'!$M$2:$M$48=A288)+('Conciliacion de compuestos'!$N$2:$N$48=A288)+('Conciliacion de compuestos'!$O$2:$O$48=A288))&gt;0))),""),"")</f>
        <v/>
      </c>
      <c r="G288" s="11">
        <f>IF(I288="conciliado","conciliado","por revisar")</f>
        <v/>
      </c>
      <c r="H288" s="11" t="inlineStr"/>
      <c r="I288" s="11">
        <f>IF(SUM(COUNTIFS('Conciliacion de compuestos'!$D$2:$D$48,"conciliado",'Conciliacion de compuestos'!$E$2:$E$48,"OK",'Conciliacion de compuestos'!$M$2:$M$48,A288),COUNTIFS('Conciliacion de compuestos'!$D$2:$D$48,"conciliado",'Conciliacion de compuestos'!$E$2:$E$48,"OK",'Conciliacion de compuestos'!$N$2:$N$48,A288),COUNTIFS('Conciliacion de compuestos'!$D$2:$D$48,"conciliado",'Conciliacion de compuestos'!$E$2:$E$48,"OK",'Conciliacion de compuestos'!$O$2:$O$48,A288))&gt;0,"conciliado","por revisar")</f>
        <v/>
      </c>
    </row>
    <row r="289">
      <c r="A289" s="11" t="n">
        <v>146</v>
      </c>
      <c r="B289" s="12" t="n">
        <v>46006</v>
      </c>
      <c r="C289" s="11" t="inlineStr">
        <is>
          <t>au hector melo tobar</t>
        </is>
      </c>
      <c r="D289" s="13" t="n">
        <v>42000</v>
      </c>
      <c r="E289" s="11">
        <f>IF(G289="conciliado","conciliado",I289)</f>
        <v/>
      </c>
      <c r="F289" s="11">
        <f>IF(SUM(COUNTIFS('Conciliacion de compuestos'!$D$2:$D$48,"conciliado",'Conciliacion de compuestos'!$E$2:$E$48,"OK",'Conciliacion de compuestos'!$M$2:$M$48,A289),COUNTIFS('Conciliacion de compuestos'!$D$2:$D$48,"conciliado",'Conciliacion de compuestos'!$E$2:$E$48,"OK",'Conciliacion de compuestos'!$N$2:$N$48,A289),COUNTIFS('Conciliacion de compuestos'!$D$2:$D$48,"conciliado",'Conciliacion de compuestos'!$E$2:$E$48,"OK",'Conciliacion de compuestos'!$O$2:$O$48,A289))&gt;0,IFERROR(TEXTJOIN(CHAR(10),TRUE,FILTER('Conciliacion de compuestos'!$A$2:$A$48,('Conciliacion de compuestos'!$D$2:$D$48="conciliado")*('Conciliacion de compuestos'!$E$2:$E$48="OK")*((('Conciliacion de compuestos'!$M$2:$M$48=A289)+('Conciliacion de compuestos'!$N$2:$N$48=A289)+('Conciliacion de compuestos'!$O$2:$O$48=A289))&gt;0))),""),"")</f>
        <v/>
      </c>
      <c r="G289" s="11">
        <f>IF(I289="conciliado","conciliado","por revisar")</f>
        <v/>
      </c>
      <c r="H289" s="11" t="inlineStr"/>
      <c r="I289" s="11">
        <f>IF(SUM(COUNTIFS('Conciliacion de compuestos'!$D$2:$D$48,"conciliado",'Conciliacion de compuestos'!$E$2:$E$48,"OK",'Conciliacion de compuestos'!$M$2:$M$48,A289),COUNTIFS('Conciliacion de compuestos'!$D$2:$D$48,"conciliado",'Conciliacion de compuestos'!$E$2:$E$48,"OK",'Conciliacion de compuestos'!$N$2:$N$48,A289),COUNTIFS('Conciliacion de compuestos'!$D$2:$D$48,"conciliado",'Conciliacion de compuestos'!$E$2:$E$48,"OK",'Conciliacion de compuestos'!$O$2:$O$48,A289))&gt;0,"conciliado","por revisar")</f>
        <v/>
      </c>
    </row>
    <row r="290">
      <c r="A290" s="11" t="n">
        <v>150</v>
      </c>
      <c r="B290" s="12" t="n">
        <v>46006</v>
      </c>
      <c r="C290" s="11" t="inlineStr">
        <is>
          <t>hernandez lopez paol</t>
        </is>
      </c>
      <c r="D290" s="13" t="n">
        <v>97000</v>
      </c>
      <c r="E290" s="11">
        <f>IF(G290="conciliado","conciliado",I290)</f>
        <v/>
      </c>
      <c r="F290" s="11">
        <f>IF(SUM(COUNTIFS('Conciliacion de compuestos'!$D$2:$D$48,"conciliado",'Conciliacion de compuestos'!$E$2:$E$48,"OK",'Conciliacion de compuestos'!$M$2:$M$48,A290),COUNTIFS('Conciliacion de compuestos'!$D$2:$D$48,"conciliado",'Conciliacion de compuestos'!$E$2:$E$48,"OK",'Conciliacion de compuestos'!$N$2:$N$48,A290),COUNTIFS('Conciliacion de compuestos'!$D$2:$D$48,"conciliado",'Conciliacion de compuestos'!$E$2:$E$48,"OK",'Conciliacion de compuestos'!$O$2:$O$48,A290))&gt;0,IFERROR(TEXTJOIN(CHAR(10),TRUE,FILTER('Conciliacion de compuestos'!$A$2:$A$48,('Conciliacion de compuestos'!$D$2:$D$48="conciliado")*('Conciliacion de compuestos'!$E$2:$E$48="OK")*((('Conciliacion de compuestos'!$M$2:$M$48=A290)+('Conciliacion de compuestos'!$N$2:$N$48=A290)+('Conciliacion de compuestos'!$O$2:$O$48=A290))&gt;0))),""),"")</f>
        <v/>
      </c>
      <c r="G290" s="11">
        <f>IF(I290="conciliado","conciliado","por revisar")</f>
        <v/>
      </c>
      <c r="H290" s="11" t="inlineStr"/>
      <c r="I290" s="11">
        <f>IF(SUM(COUNTIFS('Conciliacion de compuestos'!$D$2:$D$48,"conciliado",'Conciliacion de compuestos'!$E$2:$E$48,"OK",'Conciliacion de compuestos'!$M$2:$M$48,A290),COUNTIFS('Conciliacion de compuestos'!$D$2:$D$48,"conciliado",'Conciliacion de compuestos'!$E$2:$E$48,"OK",'Conciliacion de compuestos'!$N$2:$N$48,A290),COUNTIFS('Conciliacion de compuestos'!$D$2:$D$48,"conciliado",'Conciliacion de compuestos'!$E$2:$E$48,"OK",'Conciliacion de compuestos'!$O$2:$O$48,A290))&gt;0,"conciliado","por revisar")</f>
        <v/>
      </c>
    </row>
    <row r="291">
      <c r="A291" s="11" t="n">
        <v>152</v>
      </c>
      <c r="B291" s="12" t="n">
        <v>46006</v>
      </c>
      <c r="C291" s="11" t="inlineStr">
        <is>
          <t>ojeda viviana yate</t>
        </is>
      </c>
      <c r="D291" s="13" t="n">
        <v>20000</v>
      </c>
      <c r="E291" s="11">
        <f>IF(G291="conciliado","conciliado",I291)</f>
        <v/>
      </c>
      <c r="F291" s="11">
        <f>IF(SUM(COUNTIFS('Conciliacion de compuestos'!$D$2:$D$48,"conciliado",'Conciliacion de compuestos'!$E$2:$E$48,"OK",'Conciliacion de compuestos'!$M$2:$M$48,A291),COUNTIFS('Conciliacion de compuestos'!$D$2:$D$48,"conciliado",'Conciliacion de compuestos'!$E$2:$E$48,"OK",'Conciliacion de compuestos'!$N$2:$N$48,A291),COUNTIFS('Conciliacion de compuestos'!$D$2:$D$48,"conciliado",'Conciliacion de compuestos'!$E$2:$E$48,"OK",'Conciliacion de compuestos'!$O$2:$O$48,A291))&gt;0,IFERROR(TEXTJOIN(CHAR(10),TRUE,FILTER('Conciliacion de compuestos'!$A$2:$A$48,('Conciliacion de compuestos'!$D$2:$D$48="conciliado")*('Conciliacion de compuestos'!$E$2:$E$48="OK")*((('Conciliacion de compuestos'!$M$2:$M$48=A291)+('Conciliacion de compuestos'!$N$2:$N$48=A291)+('Conciliacion de compuestos'!$O$2:$O$48=A291))&gt;0))),""),"")</f>
        <v/>
      </c>
      <c r="G291" s="11">
        <f>IF(I291="conciliado","conciliado","por revisar")</f>
        <v/>
      </c>
      <c r="H291" s="11" t="inlineStr"/>
      <c r="I291" s="11">
        <f>IF(SUM(COUNTIFS('Conciliacion de compuestos'!$D$2:$D$48,"conciliado",'Conciliacion de compuestos'!$E$2:$E$48,"OK",'Conciliacion de compuestos'!$M$2:$M$48,A291),COUNTIFS('Conciliacion de compuestos'!$D$2:$D$48,"conciliado",'Conciliacion de compuestos'!$E$2:$E$48,"OK",'Conciliacion de compuestos'!$N$2:$N$48,A291),COUNTIFS('Conciliacion de compuestos'!$D$2:$D$48,"conciliado",'Conciliacion de compuestos'!$E$2:$E$48,"OK",'Conciliacion de compuestos'!$O$2:$O$48,A291))&gt;0,"conciliado","por revisar")</f>
        <v/>
      </c>
    </row>
    <row r="292">
      <c r="A292" s="11" t="n">
        <v>153</v>
      </c>
      <c r="B292" s="12" t="n">
        <v>46007</v>
      </c>
      <c r="C292" s="11" t="inlineStr">
        <is>
          <t>bastidas bolanos pao</t>
        </is>
      </c>
      <c r="D292" s="13" t="n">
        <v>23500</v>
      </c>
      <c r="E292" s="11">
        <f>IF(G292="conciliado","conciliado",I292)</f>
        <v/>
      </c>
      <c r="F292" s="11">
        <f>IF(SUM(COUNTIFS('Conciliacion de compuestos'!$D$2:$D$48,"conciliado",'Conciliacion de compuestos'!$E$2:$E$48,"OK",'Conciliacion de compuestos'!$M$2:$M$48,A292),COUNTIFS('Conciliacion de compuestos'!$D$2:$D$48,"conciliado",'Conciliacion de compuestos'!$E$2:$E$48,"OK",'Conciliacion de compuestos'!$N$2:$N$48,A292),COUNTIFS('Conciliacion de compuestos'!$D$2:$D$48,"conciliado",'Conciliacion de compuestos'!$E$2:$E$48,"OK",'Conciliacion de compuestos'!$O$2:$O$48,A292))&gt;0,IFERROR(TEXTJOIN(CHAR(10),TRUE,FILTER('Conciliacion de compuestos'!$A$2:$A$48,('Conciliacion de compuestos'!$D$2:$D$48="conciliado")*('Conciliacion de compuestos'!$E$2:$E$48="OK")*((('Conciliacion de compuestos'!$M$2:$M$48=A292)+('Conciliacion de compuestos'!$N$2:$N$48=A292)+('Conciliacion de compuestos'!$O$2:$O$48=A292))&gt;0))),""),"")</f>
        <v/>
      </c>
      <c r="G292" s="11">
        <f>IF(I292="conciliado","conciliado","por revisar")</f>
        <v/>
      </c>
      <c r="H292" s="11" t="inlineStr"/>
      <c r="I292" s="11">
        <f>IF(SUM(COUNTIFS('Conciliacion de compuestos'!$D$2:$D$48,"conciliado",'Conciliacion de compuestos'!$E$2:$E$48,"OK",'Conciliacion de compuestos'!$M$2:$M$48,A292),COUNTIFS('Conciliacion de compuestos'!$D$2:$D$48,"conciliado",'Conciliacion de compuestos'!$E$2:$E$48,"OK",'Conciliacion de compuestos'!$N$2:$N$48,A292),COUNTIFS('Conciliacion de compuestos'!$D$2:$D$48,"conciliado",'Conciliacion de compuestos'!$E$2:$E$48,"OK",'Conciliacion de compuestos'!$O$2:$O$48,A292))&gt;0,"conciliado","por revisar")</f>
        <v/>
      </c>
    </row>
    <row r="293">
      <c r="A293" s="11" t="n">
        <v>158</v>
      </c>
      <c r="B293" s="12" t="n">
        <v>46007</v>
      </c>
      <c r="C293" s="11" t="inlineStr">
        <is>
          <t>alexa garcia varela</t>
        </is>
      </c>
      <c r="D293" s="13" t="n">
        <v>522200</v>
      </c>
      <c r="E293" s="11">
        <f>IF(G293="conciliado","conciliado",I293)</f>
        <v/>
      </c>
      <c r="F293" s="11">
        <f>IF(SUM(COUNTIFS('Conciliacion de compuestos'!$D$2:$D$48,"conciliado",'Conciliacion de compuestos'!$E$2:$E$48,"OK",'Conciliacion de compuestos'!$M$2:$M$48,A293),COUNTIFS('Conciliacion de compuestos'!$D$2:$D$48,"conciliado",'Conciliacion de compuestos'!$E$2:$E$48,"OK",'Conciliacion de compuestos'!$N$2:$N$48,A293),COUNTIFS('Conciliacion de compuestos'!$D$2:$D$48,"conciliado",'Conciliacion de compuestos'!$E$2:$E$48,"OK",'Conciliacion de compuestos'!$O$2:$O$48,A293))&gt;0,IFERROR(TEXTJOIN(CHAR(10),TRUE,FILTER('Conciliacion de compuestos'!$A$2:$A$48,('Conciliacion de compuestos'!$D$2:$D$48="conciliado")*('Conciliacion de compuestos'!$E$2:$E$48="OK")*((('Conciliacion de compuestos'!$M$2:$M$48=A293)+('Conciliacion de compuestos'!$N$2:$N$48=A293)+('Conciliacion de compuestos'!$O$2:$O$48=A293))&gt;0))),""),"")</f>
        <v/>
      </c>
      <c r="G293" s="11">
        <f>IF(I293="conciliado","conciliado","por revisar")</f>
        <v/>
      </c>
      <c r="H293" s="11" t="inlineStr"/>
      <c r="I293" s="11">
        <f>IF(SUM(COUNTIFS('Conciliacion de compuestos'!$D$2:$D$48,"conciliado",'Conciliacion de compuestos'!$E$2:$E$48,"OK",'Conciliacion de compuestos'!$M$2:$M$48,A293),COUNTIFS('Conciliacion de compuestos'!$D$2:$D$48,"conciliado",'Conciliacion de compuestos'!$E$2:$E$48,"OK",'Conciliacion de compuestos'!$N$2:$N$48,A293),COUNTIFS('Conciliacion de compuestos'!$D$2:$D$48,"conciliado",'Conciliacion de compuestos'!$E$2:$E$48,"OK",'Conciliacion de compuestos'!$O$2:$O$48,A293))&gt;0,"conciliado","por revisar")</f>
        <v/>
      </c>
    </row>
    <row r="294">
      <c r="A294" s="11" t="n">
        <v>166</v>
      </c>
      <c r="B294" s="12" t="n">
        <v>46008</v>
      </c>
      <c r="C294" s="11" t="inlineStr">
        <is>
          <t>manu quintana quiroz</t>
        </is>
      </c>
      <c r="D294" s="13" t="n">
        <v>29400</v>
      </c>
      <c r="E294" s="11">
        <f>IF(G294="conciliado","conciliado",I294)</f>
        <v/>
      </c>
      <c r="F294" s="11">
        <f>IF(SUM(COUNTIFS('Conciliacion de compuestos'!$D$2:$D$48,"conciliado",'Conciliacion de compuestos'!$E$2:$E$48,"OK",'Conciliacion de compuestos'!$M$2:$M$48,A294),COUNTIFS('Conciliacion de compuestos'!$D$2:$D$48,"conciliado",'Conciliacion de compuestos'!$E$2:$E$48,"OK",'Conciliacion de compuestos'!$N$2:$N$48,A294),COUNTIFS('Conciliacion de compuestos'!$D$2:$D$48,"conciliado",'Conciliacion de compuestos'!$E$2:$E$48,"OK",'Conciliacion de compuestos'!$O$2:$O$48,A294))&gt;0,IFERROR(TEXTJOIN(CHAR(10),TRUE,FILTER('Conciliacion de compuestos'!$A$2:$A$48,('Conciliacion de compuestos'!$D$2:$D$48="conciliado")*('Conciliacion de compuestos'!$E$2:$E$48="OK")*((('Conciliacion de compuestos'!$M$2:$M$48=A294)+('Conciliacion de compuestos'!$N$2:$N$48=A294)+('Conciliacion de compuestos'!$O$2:$O$48=A294))&gt;0))),""),"")</f>
        <v/>
      </c>
      <c r="G294" s="11">
        <f>IF(I294="conciliado","conciliado","por revisar")</f>
        <v/>
      </c>
      <c r="H294" s="11" t="inlineStr"/>
      <c r="I294" s="11">
        <f>IF(SUM(COUNTIFS('Conciliacion de compuestos'!$D$2:$D$48,"conciliado",'Conciliacion de compuestos'!$E$2:$E$48,"OK",'Conciliacion de compuestos'!$M$2:$M$48,A294),COUNTIFS('Conciliacion de compuestos'!$D$2:$D$48,"conciliado",'Conciliacion de compuestos'!$E$2:$E$48,"OK",'Conciliacion de compuestos'!$N$2:$N$48,A294),COUNTIFS('Conciliacion de compuestos'!$D$2:$D$48,"conciliado",'Conciliacion de compuestos'!$E$2:$E$48,"OK",'Conciliacion de compuestos'!$O$2:$O$48,A294))&gt;0,"conciliado","por revisar")</f>
        <v/>
      </c>
    </row>
    <row r="295">
      <c r="A295" s="11" t="n">
        <v>170</v>
      </c>
      <c r="B295" s="12" t="n">
        <v>46008</v>
      </c>
      <c r="C295" s="11" t="inlineStr">
        <is>
          <t>erazo ever ruiz</t>
        </is>
      </c>
      <c r="D295" s="13" t="n">
        <v>60000</v>
      </c>
      <c r="E295" s="11">
        <f>IF(G295="conciliado","conciliado",I295)</f>
        <v/>
      </c>
      <c r="F295" s="11">
        <f>IF(SUM(COUNTIFS('Conciliacion de compuestos'!$D$2:$D$48,"conciliado",'Conciliacion de compuestos'!$E$2:$E$48,"OK",'Conciliacion de compuestos'!$M$2:$M$48,A295),COUNTIFS('Conciliacion de compuestos'!$D$2:$D$48,"conciliado",'Conciliacion de compuestos'!$E$2:$E$48,"OK",'Conciliacion de compuestos'!$N$2:$N$48,A295),COUNTIFS('Conciliacion de compuestos'!$D$2:$D$48,"conciliado",'Conciliacion de compuestos'!$E$2:$E$48,"OK",'Conciliacion de compuestos'!$O$2:$O$48,A295))&gt;0,IFERROR(TEXTJOIN(CHAR(10),TRUE,FILTER('Conciliacion de compuestos'!$A$2:$A$48,('Conciliacion de compuestos'!$D$2:$D$48="conciliado")*('Conciliacion de compuestos'!$E$2:$E$48="OK")*((('Conciliacion de compuestos'!$M$2:$M$48=A295)+('Conciliacion de compuestos'!$N$2:$N$48=A295)+('Conciliacion de compuestos'!$O$2:$O$48=A295))&gt;0))),""),"")</f>
        <v/>
      </c>
      <c r="G295" s="11">
        <f>IF(I295="conciliado","conciliado","por revisar")</f>
        <v/>
      </c>
      <c r="H295" s="11" t="inlineStr"/>
      <c r="I295" s="11">
        <f>IF(SUM(COUNTIFS('Conciliacion de compuestos'!$D$2:$D$48,"conciliado",'Conciliacion de compuestos'!$E$2:$E$48,"OK",'Conciliacion de compuestos'!$M$2:$M$48,A295),COUNTIFS('Conciliacion de compuestos'!$D$2:$D$48,"conciliado",'Conciliacion de compuestos'!$E$2:$E$48,"OK",'Conciliacion de compuestos'!$N$2:$N$48,A295),COUNTIFS('Conciliacion de compuestos'!$D$2:$D$48,"conciliado",'Conciliacion de compuestos'!$E$2:$E$48,"OK",'Conciliacion de compuestos'!$O$2:$O$48,A295))&gt;0,"conciliado","por revisar")</f>
        <v/>
      </c>
    </row>
    <row r="296">
      <c r="A296" s="11" t="n">
        <v>171</v>
      </c>
      <c r="B296" s="12" t="n">
        <v>46008</v>
      </c>
      <c r="C296" s="11" t="inlineStr">
        <is>
          <t>guerrero ignacio</t>
        </is>
      </c>
      <c r="D296" s="13" t="n">
        <v>150000</v>
      </c>
      <c r="E296" s="11">
        <f>IF(G296="conciliado","conciliado",I296)</f>
        <v/>
      </c>
      <c r="F296" s="11">
        <f>IF(SUM(COUNTIFS('Conciliacion de compuestos'!$D$2:$D$48,"conciliado",'Conciliacion de compuestos'!$E$2:$E$48,"OK",'Conciliacion de compuestos'!$M$2:$M$48,A296),COUNTIFS('Conciliacion de compuestos'!$D$2:$D$48,"conciliado",'Conciliacion de compuestos'!$E$2:$E$48,"OK",'Conciliacion de compuestos'!$N$2:$N$48,A296),COUNTIFS('Conciliacion de compuestos'!$D$2:$D$48,"conciliado",'Conciliacion de compuestos'!$E$2:$E$48,"OK",'Conciliacion de compuestos'!$O$2:$O$48,A296))&gt;0,IFERROR(TEXTJOIN(CHAR(10),TRUE,FILTER('Conciliacion de compuestos'!$A$2:$A$48,('Conciliacion de compuestos'!$D$2:$D$48="conciliado")*('Conciliacion de compuestos'!$E$2:$E$48="OK")*((('Conciliacion de compuestos'!$M$2:$M$48=A296)+('Conciliacion de compuestos'!$N$2:$N$48=A296)+('Conciliacion de compuestos'!$O$2:$O$48=A296))&gt;0))),""),"")</f>
        <v/>
      </c>
      <c r="G296" s="11">
        <f>IF(I296="conciliado","conciliado","por revisar")</f>
        <v/>
      </c>
      <c r="H296" s="11" t="inlineStr"/>
      <c r="I296" s="11">
        <f>IF(SUM(COUNTIFS('Conciliacion de compuestos'!$D$2:$D$48,"conciliado",'Conciliacion de compuestos'!$E$2:$E$48,"OK",'Conciliacion de compuestos'!$M$2:$M$48,A296),COUNTIFS('Conciliacion de compuestos'!$D$2:$D$48,"conciliado",'Conciliacion de compuestos'!$E$2:$E$48,"OK",'Conciliacion de compuestos'!$N$2:$N$48,A296),COUNTIFS('Conciliacion de compuestos'!$D$2:$D$48,"conciliado",'Conciliacion de compuestos'!$E$2:$E$48,"OK",'Conciliacion de compuestos'!$O$2:$O$48,A296))&gt;0,"conciliado","por revisar")</f>
        <v/>
      </c>
    </row>
    <row r="297">
      <c r="A297" s="11" t="n">
        <v>177</v>
      </c>
      <c r="B297" s="12" t="n">
        <v>46009</v>
      </c>
      <c r="C297" s="11" t="inlineStr">
        <is>
          <t>juan ortiz santacruz</t>
        </is>
      </c>
      <c r="D297" s="13" t="n">
        <v>20000</v>
      </c>
      <c r="E297" s="11">
        <f>IF(G297="conciliado","conciliado",I297)</f>
        <v/>
      </c>
      <c r="F297" s="11">
        <f>IF(SUM(COUNTIFS('Conciliacion de compuestos'!$D$2:$D$48,"conciliado",'Conciliacion de compuestos'!$E$2:$E$48,"OK",'Conciliacion de compuestos'!$M$2:$M$48,A297),COUNTIFS('Conciliacion de compuestos'!$D$2:$D$48,"conciliado",'Conciliacion de compuestos'!$E$2:$E$48,"OK",'Conciliacion de compuestos'!$N$2:$N$48,A297),COUNTIFS('Conciliacion de compuestos'!$D$2:$D$48,"conciliado",'Conciliacion de compuestos'!$E$2:$E$48,"OK",'Conciliacion de compuestos'!$O$2:$O$48,A297))&gt;0,IFERROR(TEXTJOIN(CHAR(10),TRUE,FILTER('Conciliacion de compuestos'!$A$2:$A$48,('Conciliacion de compuestos'!$D$2:$D$48="conciliado")*('Conciliacion de compuestos'!$E$2:$E$48="OK")*((('Conciliacion de compuestos'!$M$2:$M$48=A297)+('Conciliacion de compuestos'!$N$2:$N$48=A297)+('Conciliacion de compuestos'!$O$2:$O$48=A297))&gt;0))),""),"")</f>
        <v/>
      </c>
      <c r="G297" s="11">
        <f>IF(I297="conciliado","conciliado","por revisar")</f>
        <v/>
      </c>
      <c r="H297" s="11" t="inlineStr"/>
      <c r="I297" s="11">
        <f>IF(SUM(COUNTIFS('Conciliacion de compuestos'!$D$2:$D$48,"conciliado",'Conciliacion de compuestos'!$E$2:$E$48,"OK",'Conciliacion de compuestos'!$M$2:$M$48,A297),COUNTIFS('Conciliacion de compuestos'!$D$2:$D$48,"conciliado",'Conciliacion de compuestos'!$E$2:$E$48,"OK",'Conciliacion de compuestos'!$N$2:$N$48,A297),COUNTIFS('Conciliacion de compuestos'!$D$2:$D$48,"conciliado",'Conciliacion de compuestos'!$E$2:$E$48,"OK",'Conciliacion de compuestos'!$O$2:$O$48,A297))&gt;0,"conciliado","por revisar")</f>
        <v/>
      </c>
    </row>
    <row r="298">
      <c r="A298" s="11" t="n">
        <v>181</v>
      </c>
      <c r="B298" s="12" t="n">
        <v>46009</v>
      </c>
      <c r="C298" s="11" t="inlineStr">
        <is>
          <t>casanas cazanas jame</t>
        </is>
      </c>
      <c r="D298" s="13" t="n">
        <v>65000</v>
      </c>
      <c r="E298" s="11">
        <f>IF(G298="conciliado","conciliado",I298)</f>
        <v/>
      </c>
      <c r="F298" s="11">
        <f>IF(SUM(COUNTIFS('Conciliacion de compuestos'!$D$2:$D$48,"conciliado",'Conciliacion de compuestos'!$E$2:$E$48,"OK",'Conciliacion de compuestos'!$M$2:$M$48,A298),COUNTIFS('Conciliacion de compuestos'!$D$2:$D$48,"conciliado",'Conciliacion de compuestos'!$E$2:$E$48,"OK",'Conciliacion de compuestos'!$N$2:$N$48,A298),COUNTIFS('Conciliacion de compuestos'!$D$2:$D$48,"conciliado",'Conciliacion de compuestos'!$E$2:$E$48,"OK",'Conciliacion de compuestos'!$O$2:$O$48,A298))&gt;0,IFERROR(TEXTJOIN(CHAR(10),TRUE,FILTER('Conciliacion de compuestos'!$A$2:$A$48,('Conciliacion de compuestos'!$D$2:$D$48="conciliado")*('Conciliacion de compuestos'!$E$2:$E$48="OK")*((('Conciliacion de compuestos'!$M$2:$M$48=A298)+('Conciliacion de compuestos'!$N$2:$N$48=A298)+('Conciliacion de compuestos'!$O$2:$O$48=A298))&gt;0))),""),"")</f>
        <v/>
      </c>
      <c r="G298" s="11">
        <f>IF(I298="conciliado","conciliado","por revisar")</f>
        <v/>
      </c>
      <c r="H298" s="11" t="inlineStr"/>
      <c r="I298" s="11">
        <f>IF(SUM(COUNTIFS('Conciliacion de compuestos'!$D$2:$D$48,"conciliado",'Conciliacion de compuestos'!$E$2:$E$48,"OK",'Conciliacion de compuestos'!$M$2:$M$48,A298),COUNTIFS('Conciliacion de compuestos'!$D$2:$D$48,"conciliado",'Conciliacion de compuestos'!$E$2:$E$48,"OK",'Conciliacion de compuestos'!$N$2:$N$48,A298),COUNTIFS('Conciliacion de compuestos'!$D$2:$D$48,"conciliado",'Conciliacion de compuestos'!$E$2:$E$48,"OK",'Conciliacion de compuestos'!$O$2:$O$48,A298))&gt;0,"conciliado","por revisar")</f>
        <v/>
      </c>
    </row>
    <row r="299">
      <c r="A299" s="11" t="n">
        <v>185</v>
      </c>
      <c r="B299" s="12" t="n">
        <v>46009</v>
      </c>
      <c r="C299" s="11" t="inlineStr">
        <is>
          <t>consumidor final</t>
        </is>
      </c>
      <c r="D299" s="13" t="n">
        <v>14000</v>
      </c>
      <c r="E299" s="11">
        <f>IF(G299="conciliado","conciliado",I299)</f>
        <v/>
      </c>
      <c r="F299" s="11">
        <f>IF(SUM(COUNTIFS('Conciliacion de compuestos'!$D$2:$D$48,"conciliado",'Conciliacion de compuestos'!$E$2:$E$48,"OK",'Conciliacion de compuestos'!$M$2:$M$48,A299),COUNTIFS('Conciliacion de compuestos'!$D$2:$D$48,"conciliado",'Conciliacion de compuestos'!$E$2:$E$48,"OK",'Conciliacion de compuestos'!$N$2:$N$48,A299),COUNTIFS('Conciliacion de compuestos'!$D$2:$D$48,"conciliado",'Conciliacion de compuestos'!$E$2:$E$48,"OK",'Conciliacion de compuestos'!$O$2:$O$48,A299))&gt;0,IFERROR(TEXTJOIN(CHAR(10),TRUE,FILTER('Conciliacion de compuestos'!$A$2:$A$48,('Conciliacion de compuestos'!$D$2:$D$48="conciliado")*('Conciliacion de compuestos'!$E$2:$E$48="OK")*((('Conciliacion de compuestos'!$M$2:$M$48=A299)+('Conciliacion de compuestos'!$N$2:$N$48=A299)+('Conciliacion de compuestos'!$O$2:$O$48=A299))&gt;0))),""),"")</f>
        <v/>
      </c>
      <c r="G299" s="11">
        <f>IF(I299="conciliado","conciliado","por revisar")</f>
        <v/>
      </c>
      <c r="H299" s="11" t="inlineStr"/>
      <c r="I299" s="11">
        <f>IF(SUM(COUNTIFS('Conciliacion de compuestos'!$D$2:$D$48,"conciliado",'Conciliacion de compuestos'!$E$2:$E$48,"OK",'Conciliacion de compuestos'!$M$2:$M$48,A299),COUNTIFS('Conciliacion de compuestos'!$D$2:$D$48,"conciliado",'Conciliacion de compuestos'!$E$2:$E$48,"OK",'Conciliacion de compuestos'!$N$2:$N$48,A299),COUNTIFS('Conciliacion de compuestos'!$D$2:$D$48,"conciliado",'Conciliacion de compuestos'!$E$2:$E$48,"OK",'Conciliacion de compuestos'!$O$2:$O$48,A299))&gt;0,"conciliado","por revisar")</f>
        <v/>
      </c>
    </row>
    <row r="300">
      <c r="A300" s="11" t="n">
        <v>187</v>
      </c>
      <c r="B300" s="12" t="n">
        <v>46009</v>
      </c>
      <c r="C300" s="11" t="inlineStr">
        <is>
          <t>jose lopez madronero</t>
        </is>
      </c>
      <c r="D300" s="13" t="n">
        <v>37700</v>
      </c>
      <c r="E300" s="11">
        <f>IF(G300="conciliado","conciliado",I300)</f>
        <v/>
      </c>
      <c r="F300" s="11">
        <f>IF(SUM(COUNTIFS('Conciliacion de compuestos'!$D$2:$D$48,"conciliado",'Conciliacion de compuestos'!$E$2:$E$48,"OK",'Conciliacion de compuestos'!$M$2:$M$48,A300),COUNTIFS('Conciliacion de compuestos'!$D$2:$D$48,"conciliado",'Conciliacion de compuestos'!$E$2:$E$48,"OK",'Conciliacion de compuestos'!$N$2:$N$48,A300),COUNTIFS('Conciliacion de compuestos'!$D$2:$D$48,"conciliado",'Conciliacion de compuestos'!$E$2:$E$48,"OK",'Conciliacion de compuestos'!$O$2:$O$48,A300))&gt;0,IFERROR(TEXTJOIN(CHAR(10),TRUE,FILTER('Conciliacion de compuestos'!$A$2:$A$48,('Conciliacion de compuestos'!$D$2:$D$48="conciliado")*('Conciliacion de compuestos'!$E$2:$E$48="OK")*((('Conciliacion de compuestos'!$M$2:$M$48=A300)+('Conciliacion de compuestos'!$N$2:$N$48=A300)+('Conciliacion de compuestos'!$O$2:$O$48=A300))&gt;0))),""),"")</f>
        <v/>
      </c>
      <c r="G300" s="11">
        <f>IF(I300="conciliado","conciliado","por revisar")</f>
        <v/>
      </c>
      <c r="H300" s="11" t="inlineStr"/>
      <c r="I300" s="11">
        <f>IF(SUM(COUNTIFS('Conciliacion de compuestos'!$D$2:$D$48,"conciliado",'Conciliacion de compuestos'!$E$2:$E$48,"OK",'Conciliacion de compuestos'!$M$2:$M$48,A300),COUNTIFS('Conciliacion de compuestos'!$D$2:$D$48,"conciliado",'Conciliacion de compuestos'!$E$2:$E$48,"OK",'Conciliacion de compuestos'!$N$2:$N$48,A300),COUNTIFS('Conciliacion de compuestos'!$D$2:$D$48,"conciliado",'Conciliacion de compuestos'!$E$2:$E$48,"OK",'Conciliacion de compuestos'!$O$2:$O$48,A300))&gt;0,"conciliado","por revisar")</f>
        <v/>
      </c>
    </row>
    <row r="301">
      <c r="A301" s="11" t="n">
        <v>190</v>
      </c>
      <c r="B301" s="12" t="n">
        <v>46010</v>
      </c>
      <c r="C301" s="11" t="inlineStr">
        <is>
          <t>alba cortes quijano</t>
        </is>
      </c>
      <c r="D301" s="13" t="n">
        <v>43300</v>
      </c>
      <c r="E301" s="11">
        <f>IF(G301="conciliado","conciliado",I301)</f>
        <v/>
      </c>
      <c r="F301" s="11">
        <f>IF(SUM(COUNTIFS('Conciliacion de compuestos'!$D$2:$D$48,"conciliado",'Conciliacion de compuestos'!$E$2:$E$48,"OK",'Conciliacion de compuestos'!$M$2:$M$48,A301),COUNTIFS('Conciliacion de compuestos'!$D$2:$D$48,"conciliado",'Conciliacion de compuestos'!$E$2:$E$48,"OK",'Conciliacion de compuestos'!$N$2:$N$48,A301),COUNTIFS('Conciliacion de compuestos'!$D$2:$D$48,"conciliado",'Conciliacion de compuestos'!$E$2:$E$48,"OK",'Conciliacion de compuestos'!$O$2:$O$48,A301))&gt;0,IFERROR(TEXTJOIN(CHAR(10),TRUE,FILTER('Conciliacion de compuestos'!$A$2:$A$48,('Conciliacion de compuestos'!$D$2:$D$48="conciliado")*('Conciliacion de compuestos'!$E$2:$E$48="OK")*((('Conciliacion de compuestos'!$M$2:$M$48=A301)+('Conciliacion de compuestos'!$N$2:$N$48=A301)+('Conciliacion de compuestos'!$O$2:$O$48=A301))&gt;0))),""),"")</f>
        <v/>
      </c>
      <c r="G301" s="11">
        <f>IF(I301="conciliado","conciliado","por revisar")</f>
        <v/>
      </c>
      <c r="H301" s="11" t="inlineStr"/>
      <c r="I301" s="11">
        <f>IF(SUM(COUNTIFS('Conciliacion de compuestos'!$D$2:$D$48,"conciliado",'Conciliacion de compuestos'!$E$2:$E$48,"OK",'Conciliacion de compuestos'!$M$2:$M$48,A301),COUNTIFS('Conciliacion de compuestos'!$D$2:$D$48,"conciliado",'Conciliacion de compuestos'!$E$2:$E$48,"OK",'Conciliacion de compuestos'!$N$2:$N$48,A301),COUNTIFS('Conciliacion de compuestos'!$D$2:$D$48,"conciliado",'Conciliacion de compuestos'!$E$2:$E$48,"OK",'Conciliacion de compuestos'!$O$2:$O$48,A301))&gt;0,"conciliado","por revisar")</f>
        <v/>
      </c>
    </row>
    <row r="302">
      <c r="A302" s="11" t="n">
        <v>192</v>
      </c>
      <c r="B302" s="12" t="n">
        <v>46010</v>
      </c>
      <c r="C302" s="11" t="inlineStr">
        <is>
          <t>caicedo moraez zonia</t>
        </is>
      </c>
      <c r="D302" s="13" t="n">
        <v>20500</v>
      </c>
      <c r="E302" s="11">
        <f>IF(G302="conciliado","conciliado",I302)</f>
        <v/>
      </c>
      <c r="F302" s="11">
        <f>IF(SUM(COUNTIFS('Conciliacion de compuestos'!$D$2:$D$48,"conciliado",'Conciliacion de compuestos'!$E$2:$E$48,"OK",'Conciliacion de compuestos'!$M$2:$M$48,A302),COUNTIFS('Conciliacion de compuestos'!$D$2:$D$48,"conciliado",'Conciliacion de compuestos'!$E$2:$E$48,"OK",'Conciliacion de compuestos'!$N$2:$N$48,A302),COUNTIFS('Conciliacion de compuestos'!$D$2:$D$48,"conciliado",'Conciliacion de compuestos'!$E$2:$E$48,"OK",'Conciliacion de compuestos'!$O$2:$O$48,A302))&gt;0,IFERROR(TEXTJOIN(CHAR(10),TRUE,FILTER('Conciliacion de compuestos'!$A$2:$A$48,('Conciliacion de compuestos'!$D$2:$D$48="conciliado")*('Conciliacion de compuestos'!$E$2:$E$48="OK")*((('Conciliacion de compuestos'!$M$2:$M$48=A302)+('Conciliacion de compuestos'!$N$2:$N$48=A302)+('Conciliacion de compuestos'!$O$2:$O$48=A302))&gt;0))),""),"")</f>
        <v/>
      </c>
      <c r="G302" s="11">
        <f>IF(I302="conciliado","conciliado","por revisar")</f>
        <v/>
      </c>
      <c r="H302" s="11" t="inlineStr"/>
      <c r="I302" s="11">
        <f>IF(SUM(COUNTIFS('Conciliacion de compuestos'!$D$2:$D$48,"conciliado",'Conciliacion de compuestos'!$E$2:$E$48,"OK",'Conciliacion de compuestos'!$M$2:$M$48,A302),COUNTIFS('Conciliacion de compuestos'!$D$2:$D$48,"conciliado",'Conciliacion de compuestos'!$E$2:$E$48,"OK",'Conciliacion de compuestos'!$N$2:$N$48,A302),COUNTIFS('Conciliacion de compuestos'!$D$2:$D$48,"conciliado",'Conciliacion de compuestos'!$E$2:$E$48,"OK",'Conciliacion de compuestos'!$O$2:$O$48,A302))&gt;0,"conciliado","por revisar")</f>
        <v/>
      </c>
    </row>
    <row r="303">
      <c r="A303" s="11" t="n">
        <v>193</v>
      </c>
      <c r="B303" s="12" t="n">
        <v>46010</v>
      </c>
      <c r="C303" s="11" t="inlineStr">
        <is>
          <t>bolanos paladines st</t>
        </is>
      </c>
      <c r="D303" s="13" t="n">
        <v>187200</v>
      </c>
      <c r="E303" s="11">
        <f>IF(G303="conciliado","conciliado",I303)</f>
        <v/>
      </c>
      <c r="F303" s="11">
        <f>IF(SUM(COUNTIFS('Conciliacion de compuestos'!$D$2:$D$48,"conciliado",'Conciliacion de compuestos'!$E$2:$E$48,"OK",'Conciliacion de compuestos'!$M$2:$M$48,A303),COUNTIFS('Conciliacion de compuestos'!$D$2:$D$48,"conciliado",'Conciliacion de compuestos'!$E$2:$E$48,"OK",'Conciliacion de compuestos'!$N$2:$N$48,A303),COUNTIFS('Conciliacion de compuestos'!$D$2:$D$48,"conciliado",'Conciliacion de compuestos'!$E$2:$E$48,"OK",'Conciliacion de compuestos'!$O$2:$O$48,A303))&gt;0,IFERROR(TEXTJOIN(CHAR(10),TRUE,FILTER('Conciliacion de compuestos'!$A$2:$A$48,('Conciliacion de compuestos'!$D$2:$D$48="conciliado")*('Conciliacion de compuestos'!$E$2:$E$48="OK")*((('Conciliacion de compuestos'!$M$2:$M$48=A303)+('Conciliacion de compuestos'!$N$2:$N$48=A303)+('Conciliacion de compuestos'!$O$2:$O$48=A303))&gt;0))),""),"")</f>
        <v/>
      </c>
      <c r="G303" s="11">
        <f>IF(I303="conciliado","conciliado","por revisar")</f>
        <v/>
      </c>
      <c r="H303" s="11" t="inlineStr"/>
      <c r="I303" s="11">
        <f>IF(SUM(COUNTIFS('Conciliacion de compuestos'!$D$2:$D$48,"conciliado",'Conciliacion de compuestos'!$E$2:$E$48,"OK",'Conciliacion de compuestos'!$M$2:$M$48,A303),COUNTIFS('Conciliacion de compuestos'!$D$2:$D$48,"conciliado",'Conciliacion de compuestos'!$E$2:$E$48,"OK",'Conciliacion de compuestos'!$N$2:$N$48,A303),COUNTIFS('Conciliacion de compuestos'!$D$2:$D$48,"conciliado",'Conciliacion de compuestos'!$E$2:$E$48,"OK",'Conciliacion de compuestos'!$O$2:$O$48,A303))&gt;0,"conciliado","por revisar")</f>
        <v/>
      </c>
    </row>
    <row r="304">
      <c r="A304" s="11" t="n">
        <v>195</v>
      </c>
      <c r="B304" s="12" t="n">
        <v>46010</v>
      </c>
      <c r="C304" s="11" t="inlineStr">
        <is>
          <t>andr bernal quintero</t>
        </is>
      </c>
      <c r="D304" s="13" t="n">
        <v>17300</v>
      </c>
      <c r="E304" s="11">
        <f>IF(G304="conciliado","conciliado",I304)</f>
        <v/>
      </c>
      <c r="F304" s="11">
        <f>IF(SUM(COUNTIFS('Conciliacion de compuestos'!$D$2:$D$48,"conciliado",'Conciliacion de compuestos'!$E$2:$E$48,"OK",'Conciliacion de compuestos'!$M$2:$M$48,A304),COUNTIFS('Conciliacion de compuestos'!$D$2:$D$48,"conciliado",'Conciliacion de compuestos'!$E$2:$E$48,"OK",'Conciliacion de compuestos'!$N$2:$N$48,A304),COUNTIFS('Conciliacion de compuestos'!$D$2:$D$48,"conciliado",'Conciliacion de compuestos'!$E$2:$E$48,"OK",'Conciliacion de compuestos'!$O$2:$O$48,A304))&gt;0,IFERROR(TEXTJOIN(CHAR(10),TRUE,FILTER('Conciliacion de compuestos'!$A$2:$A$48,('Conciliacion de compuestos'!$D$2:$D$48="conciliado")*('Conciliacion de compuestos'!$E$2:$E$48="OK")*((('Conciliacion de compuestos'!$M$2:$M$48=A304)+('Conciliacion de compuestos'!$N$2:$N$48=A304)+('Conciliacion de compuestos'!$O$2:$O$48=A304))&gt;0))),""),"")</f>
        <v/>
      </c>
      <c r="G304" s="11">
        <f>IF(I304="conciliado","conciliado","por revisar")</f>
        <v/>
      </c>
      <c r="H304" s="11" t="inlineStr"/>
      <c r="I304" s="11">
        <f>IF(SUM(COUNTIFS('Conciliacion de compuestos'!$D$2:$D$48,"conciliado",'Conciliacion de compuestos'!$E$2:$E$48,"OK",'Conciliacion de compuestos'!$M$2:$M$48,A304),COUNTIFS('Conciliacion de compuestos'!$D$2:$D$48,"conciliado",'Conciliacion de compuestos'!$E$2:$E$48,"OK",'Conciliacion de compuestos'!$N$2:$N$48,A304),COUNTIFS('Conciliacion de compuestos'!$D$2:$D$48,"conciliado",'Conciliacion de compuestos'!$E$2:$E$48,"OK",'Conciliacion de compuestos'!$O$2:$O$48,A304))&gt;0,"conciliado","por revisar")</f>
        <v/>
      </c>
    </row>
    <row r="305">
      <c r="A305" s="11" t="n">
        <v>198</v>
      </c>
      <c r="B305" s="12" t="n">
        <v>46010</v>
      </c>
      <c r="C305" s="11" t="inlineStr">
        <is>
          <t>dayan florez l reyes</t>
        </is>
      </c>
      <c r="D305" s="13" t="n">
        <v>40700</v>
      </c>
      <c r="E305" s="11">
        <f>IF(G305="conciliado","conciliado",I305)</f>
        <v/>
      </c>
      <c r="F305" s="11">
        <f>IF(SUM(COUNTIFS('Conciliacion de compuestos'!$D$2:$D$48,"conciliado",'Conciliacion de compuestos'!$E$2:$E$48,"OK",'Conciliacion de compuestos'!$M$2:$M$48,A305),COUNTIFS('Conciliacion de compuestos'!$D$2:$D$48,"conciliado",'Conciliacion de compuestos'!$E$2:$E$48,"OK",'Conciliacion de compuestos'!$N$2:$N$48,A305),COUNTIFS('Conciliacion de compuestos'!$D$2:$D$48,"conciliado",'Conciliacion de compuestos'!$E$2:$E$48,"OK",'Conciliacion de compuestos'!$O$2:$O$48,A305))&gt;0,IFERROR(TEXTJOIN(CHAR(10),TRUE,FILTER('Conciliacion de compuestos'!$A$2:$A$48,('Conciliacion de compuestos'!$D$2:$D$48="conciliado")*('Conciliacion de compuestos'!$E$2:$E$48="OK")*((('Conciliacion de compuestos'!$M$2:$M$48=A305)+('Conciliacion de compuestos'!$N$2:$N$48=A305)+('Conciliacion de compuestos'!$O$2:$O$48=A305))&gt;0))),""),"")</f>
        <v/>
      </c>
      <c r="G305" s="11">
        <f>IF(I305="conciliado","conciliado","por revisar")</f>
        <v/>
      </c>
      <c r="H305" s="11" t="inlineStr"/>
      <c r="I305" s="11">
        <f>IF(SUM(COUNTIFS('Conciliacion de compuestos'!$D$2:$D$48,"conciliado",'Conciliacion de compuestos'!$E$2:$E$48,"OK",'Conciliacion de compuestos'!$M$2:$M$48,A305),COUNTIFS('Conciliacion de compuestos'!$D$2:$D$48,"conciliado",'Conciliacion de compuestos'!$E$2:$E$48,"OK",'Conciliacion de compuestos'!$N$2:$N$48,A305),COUNTIFS('Conciliacion de compuestos'!$D$2:$D$48,"conciliado",'Conciliacion de compuestos'!$E$2:$E$48,"OK",'Conciliacion de compuestos'!$O$2:$O$48,A305))&gt;0,"conciliado","por revisar")</f>
        <v/>
      </c>
    </row>
    <row r="306">
      <c r="A306" s="11" t="n">
        <v>202</v>
      </c>
      <c r="B306" s="12" t="n">
        <v>46010</v>
      </c>
      <c r="C306" s="11" t="inlineStr">
        <is>
          <t>bariaza flor onogama</t>
        </is>
      </c>
      <c r="D306" s="13" t="n">
        <v>25900</v>
      </c>
      <c r="E306" s="11">
        <f>IF(G306="conciliado","conciliado",I306)</f>
        <v/>
      </c>
      <c r="F306" s="11">
        <f>IF(SUM(COUNTIFS('Conciliacion de compuestos'!$D$2:$D$48,"conciliado",'Conciliacion de compuestos'!$E$2:$E$48,"OK",'Conciliacion de compuestos'!$M$2:$M$48,A306),COUNTIFS('Conciliacion de compuestos'!$D$2:$D$48,"conciliado",'Conciliacion de compuestos'!$E$2:$E$48,"OK",'Conciliacion de compuestos'!$N$2:$N$48,A306),COUNTIFS('Conciliacion de compuestos'!$D$2:$D$48,"conciliado",'Conciliacion de compuestos'!$E$2:$E$48,"OK",'Conciliacion de compuestos'!$O$2:$O$48,A306))&gt;0,IFERROR(TEXTJOIN(CHAR(10),TRUE,FILTER('Conciliacion de compuestos'!$A$2:$A$48,('Conciliacion de compuestos'!$D$2:$D$48="conciliado")*('Conciliacion de compuestos'!$E$2:$E$48="OK")*((('Conciliacion de compuestos'!$M$2:$M$48=A306)+('Conciliacion de compuestos'!$N$2:$N$48=A306)+('Conciliacion de compuestos'!$O$2:$O$48=A306))&gt;0))),""),"")</f>
        <v/>
      </c>
      <c r="G306" s="11">
        <f>IF(I306="conciliado","conciliado","por revisar")</f>
        <v/>
      </c>
      <c r="H306" s="11" t="inlineStr"/>
      <c r="I306" s="11">
        <f>IF(SUM(COUNTIFS('Conciliacion de compuestos'!$D$2:$D$48,"conciliado",'Conciliacion de compuestos'!$E$2:$E$48,"OK",'Conciliacion de compuestos'!$M$2:$M$48,A306),COUNTIFS('Conciliacion de compuestos'!$D$2:$D$48,"conciliado",'Conciliacion de compuestos'!$E$2:$E$48,"OK",'Conciliacion de compuestos'!$N$2:$N$48,A306),COUNTIFS('Conciliacion de compuestos'!$D$2:$D$48,"conciliado",'Conciliacion de compuestos'!$E$2:$E$48,"OK",'Conciliacion de compuestos'!$O$2:$O$48,A306))&gt;0,"conciliado","por revisar")</f>
        <v/>
      </c>
    </row>
    <row r="307">
      <c r="A307" s="11" t="n">
        <v>210</v>
      </c>
      <c r="B307" s="12" t="n">
        <v>46011</v>
      </c>
      <c r="C307" s="11" t="inlineStr">
        <is>
          <t>evelin l lopez munoz</t>
        </is>
      </c>
      <c r="D307" s="13" t="n">
        <v>17300</v>
      </c>
      <c r="E307" s="11">
        <f>IF(G307="conciliado","conciliado",I307)</f>
        <v/>
      </c>
      <c r="F307" s="11">
        <f>IF(SUM(COUNTIFS('Conciliacion de compuestos'!$D$2:$D$48,"conciliado",'Conciliacion de compuestos'!$E$2:$E$48,"OK",'Conciliacion de compuestos'!$M$2:$M$48,A307),COUNTIFS('Conciliacion de compuestos'!$D$2:$D$48,"conciliado",'Conciliacion de compuestos'!$E$2:$E$48,"OK",'Conciliacion de compuestos'!$N$2:$N$48,A307),COUNTIFS('Conciliacion de compuestos'!$D$2:$D$48,"conciliado",'Conciliacion de compuestos'!$E$2:$E$48,"OK",'Conciliacion de compuestos'!$O$2:$O$48,A307))&gt;0,IFERROR(TEXTJOIN(CHAR(10),TRUE,FILTER('Conciliacion de compuestos'!$A$2:$A$48,('Conciliacion de compuestos'!$D$2:$D$48="conciliado")*('Conciliacion de compuestos'!$E$2:$E$48="OK")*((('Conciliacion de compuestos'!$M$2:$M$48=A307)+('Conciliacion de compuestos'!$N$2:$N$48=A307)+('Conciliacion de compuestos'!$O$2:$O$48=A307))&gt;0))),""),"")</f>
        <v/>
      </c>
      <c r="G307" s="11">
        <f>IF(I307="conciliado","conciliado","por revisar")</f>
        <v/>
      </c>
      <c r="H307" s="11" t="inlineStr"/>
      <c r="I307" s="11">
        <f>IF(SUM(COUNTIFS('Conciliacion de compuestos'!$D$2:$D$48,"conciliado",'Conciliacion de compuestos'!$E$2:$E$48,"OK",'Conciliacion de compuestos'!$M$2:$M$48,A307),COUNTIFS('Conciliacion de compuestos'!$D$2:$D$48,"conciliado",'Conciliacion de compuestos'!$E$2:$E$48,"OK",'Conciliacion de compuestos'!$N$2:$N$48,A307),COUNTIFS('Conciliacion de compuestos'!$D$2:$D$48,"conciliado",'Conciliacion de compuestos'!$E$2:$E$48,"OK",'Conciliacion de compuestos'!$O$2:$O$48,A307))&gt;0,"conciliado","por revisar")</f>
        <v/>
      </c>
    </row>
    <row r="308">
      <c r="A308" s="11" t="n">
        <v>216</v>
      </c>
      <c r="B308" s="12" t="n">
        <v>46012</v>
      </c>
      <c r="C308" s="11" t="inlineStr">
        <is>
          <t>gomez hug montenegro</t>
        </is>
      </c>
      <c r="D308" s="13" t="n">
        <v>161000</v>
      </c>
      <c r="E308" s="11">
        <f>IF(G308="conciliado","conciliado",I308)</f>
        <v/>
      </c>
      <c r="F308" s="11">
        <f>IF(SUM(COUNTIFS('Conciliacion de compuestos'!$D$2:$D$48,"conciliado",'Conciliacion de compuestos'!$E$2:$E$48,"OK",'Conciliacion de compuestos'!$M$2:$M$48,A308),COUNTIFS('Conciliacion de compuestos'!$D$2:$D$48,"conciliado",'Conciliacion de compuestos'!$E$2:$E$48,"OK",'Conciliacion de compuestos'!$N$2:$N$48,A308),COUNTIFS('Conciliacion de compuestos'!$D$2:$D$48,"conciliado",'Conciliacion de compuestos'!$E$2:$E$48,"OK",'Conciliacion de compuestos'!$O$2:$O$48,A308))&gt;0,IFERROR(TEXTJOIN(CHAR(10),TRUE,FILTER('Conciliacion de compuestos'!$A$2:$A$48,('Conciliacion de compuestos'!$D$2:$D$48="conciliado")*('Conciliacion de compuestos'!$E$2:$E$48="OK")*((('Conciliacion de compuestos'!$M$2:$M$48=A308)+('Conciliacion de compuestos'!$N$2:$N$48=A308)+('Conciliacion de compuestos'!$O$2:$O$48=A308))&gt;0))),""),"")</f>
        <v/>
      </c>
      <c r="G308" s="11">
        <f>IF(I308="conciliado","conciliado","por revisar")</f>
        <v/>
      </c>
      <c r="H308" s="11" t="inlineStr"/>
      <c r="I308" s="11">
        <f>IF(SUM(COUNTIFS('Conciliacion de compuestos'!$D$2:$D$48,"conciliado",'Conciliacion de compuestos'!$E$2:$E$48,"OK",'Conciliacion de compuestos'!$M$2:$M$48,A308),COUNTIFS('Conciliacion de compuestos'!$D$2:$D$48,"conciliado",'Conciliacion de compuestos'!$E$2:$E$48,"OK",'Conciliacion de compuestos'!$N$2:$N$48,A308),COUNTIFS('Conciliacion de compuestos'!$D$2:$D$48,"conciliado",'Conciliacion de compuestos'!$E$2:$E$48,"OK",'Conciliacion de compuestos'!$O$2:$O$48,A308))&gt;0,"conciliado","por revisar")</f>
        <v/>
      </c>
    </row>
    <row r="309">
      <c r="A309" s="11" t="n">
        <v>219</v>
      </c>
      <c r="B309" s="12" t="n">
        <v>46012</v>
      </c>
      <c r="C309" s="11" t="inlineStr">
        <is>
          <t>alpala chalparizan j</t>
        </is>
      </c>
      <c r="D309" s="13" t="n">
        <v>40000</v>
      </c>
      <c r="E309" s="11">
        <f>IF(G309="conciliado","conciliado",I309)</f>
        <v/>
      </c>
      <c r="F309" s="11">
        <f>IF(SUM(COUNTIFS('Conciliacion de compuestos'!$D$2:$D$48,"conciliado",'Conciliacion de compuestos'!$E$2:$E$48,"OK",'Conciliacion de compuestos'!$M$2:$M$48,A309),COUNTIFS('Conciliacion de compuestos'!$D$2:$D$48,"conciliado",'Conciliacion de compuestos'!$E$2:$E$48,"OK",'Conciliacion de compuestos'!$N$2:$N$48,A309),COUNTIFS('Conciliacion de compuestos'!$D$2:$D$48,"conciliado",'Conciliacion de compuestos'!$E$2:$E$48,"OK",'Conciliacion de compuestos'!$O$2:$O$48,A309))&gt;0,IFERROR(TEXTJOIN(CHAR(10),TRUE,FILTER('Conciliacion de compuestos'!$A$2:$A$48,('Conciliacion de compuestos'!$D$2:$D$48="conciliado")*('Conciliacion de compuestos'!$E$2:$E$48="OK")*((('Conciliacion de compuestos'!$M$2:$M$48=A309)+('Conciliacion de compuestos'!$N$2:$N$48=A309)+('Conciliacion de compuestos'!$O$2:$O$48=A309))&gt;0))),""),"")</f>
        <v/>
      </c>
      <c r="G309" s="11">
        <f>IF(I309="conciliado","conciliado","por revisar")</f>
        <v/>
      </c>
      <c r="H309" s="11" t="inlineStr"/>
      <c r="I309" s="11">
        <f>IF(SUM(COUNTIFS('Conciliacion de compuestos'!$D$2:$D$48,"conciliado",'Conciliacion de compuestos'!$E$2:$E$48,"OK",'Conciliacion de compuestos'!$M$2:$M$48,A309),COUNTIFS('Conciliacion de compuestos'!$D$2:$D$48,"conciliado",'Conciliacion de compuestos'!$E$2:$E$48,"OK",'Conciliacion de compuestos'!$N$2:$N$48,A309),COUNTIFS('Conciliacion de compuestos'!$D$2:$D$48,"conciliado",'Conciliacion de compuestos'!$E$2:$E$48,"OK",'Conciliacion de compuestos'!$O$2:$O$48,A309))&gt;0,"conciliado","por revisar")</f>
        <v/>
      </c>
    </row>
    <row r="310">
      <c r="A310" s="11" t="n">
        <v>220</v>
      </c>
      <c r="B310" s="12" t="n">
        <v>46012</v>
      </c>
      <c r="C310" s="11" t="inlineStr">
        <is>
          <t>diana huaca sambony</t>
        </is>
      </c>
      <c r="D310" s="13" t="n">
        <v>28000</v>
      </c>
      <c r="E310" s="11">
        <f>IF(G310="conciliado","conciliado",I310)</f>
        <v/>
      </c>
      <c r="F310" s="11">
        <f>IF(SUM(COUNTIFS('Conciliacion de compuestos'!$D$2:$D$48,"conciliado",'Conciliacion de compuestos'!$E$2:$E$48,"OK",'Conciliacion de compuestos'!$M$2:$M$48,A310),COUNTIFS('Conciliacion de compuestos'!$D$2:$D$48,"conciliado",'Conciliacion de compuestos'!$E$2:$E$48,"OK",'Conciliacion de compuestos'!$N$2:$N$48,A310),COUNTIFS('Conciliacion de compuestos'!$D$2:$D$48,"conciliado",'Conciliacion de compuestos'!$E$2:$E$48,"OK",'Conciliacion de compuestos'!$O$2:$O$48,A310))&gt;0,IFERROR(TEXTJOIN(CHAR(10),TRUE,FILTER('Conciliacion de compuestos'!$A$2:$A$48,('Conciliacion de compuestos'!$D$2:$D$48="conciliado")*('Conciliacion de compuestos'!$E$2:$E$48="OK")*((('Conciliacion de compuestos'!$M$2:$M$48=A310)+('Conciliacion de compuestos'!$N$2:$N$48=A310)+('Conciliacion de compuestos'!$O$2:$O$48=A310))&gt;0))),""),"")</f>
        <v/>
      </c>
      <c r="G310" s="11">
        <f>IF(I310="conciliado","conciliado","por revisar")</f>
        <v/>
      </c>
      <c r="H310" s="11" t="inlineStr"/>
      <c r="I310" s="11">
        <f>IF(SUM(COUNTIFS('Conciliacion de compuestos'!$D$2:$D$48,"conciliado",'Conciliacion de compuestos'!$E$2:$E$48,"OK",'Conciliacion de compuestos'!$M$2:$M$48,A310),COUNTIFS('Conciliacion de compuestos'!$D$2:$D$48,"conciliado",'Conciliacion de compuestos'!$E$2:$E$48,"OK",'Conciliacion de compuestos'!$N$2:$N$48,A310),COUNTIFS('Conciliacion de compuestos'!$D$2:$D$48,"conciliado",'Conciliacion de compuestos'!$E$2:$E$48,"OK",'Conciliacion de compuestos'!$O$2:$O$48,A310))&gt;0,"conciliado","por revisar")</f>
        <v/>
      </c>
    </row>
    <row r="311">
      <c r="A311" s="11" t="n">
        <v>221</v>
      </c>
      <c r="B311" s="12" t="n">
        <v>46012</v>
      </c>
      <c r="C311" s="11" t="inlineStr">
        <is>
          <t>linares ro rodriguez</t>
        </is>
      </c>
      <c r="D311" s="13" t="n">
        <v>40000</v>
      </c>
      <c r="E311" s="11">
        <f>IF(G311="conciliado","conciliado",I311)</f>
        <v/>
      </c>
      <c r="F311" s="11">
        <f>IF(SUM(COUNTIFS('Conciliacion de compuestos'!$D$2:$D$48,"conciliado",'Conciliacion de compuestos'!$E$2:$E$48,"OK",'Conciliacion de compuestos'!$M$2:$M$48,A311),COUNTIFS('Conciliacion de compuestos'!$D$2:$D$48,"conciliado",'Conciliacion de compuestos'!$E$2:$E$48,"OK",'Conciliacion de compuestos'!$N$2:$N$48,A311),COUNTIFS('Conciliacion de compuestos'!$D$2:$D$48,"conciliado",'Conciliacion de compuestos'!$E$2:$E$48,"OK",'Conciliacion de compuestos'!$O$2:$O$48,A311))&gt;0,IFERROR(TEXTJOIN(CHAR(10),TRUE,FILTER('Conciliacion de compuestos'!$A$2:$A$48,('Conciliacion de compuestos'!$D$2:$D$48="conciliado")*('Conciliacion de compuestos'!$E$2:$E$48="OK")*((('Conciliacion de compuestos'!$M$2:$M$48=A311)+('Conciliacion de compuestos'!$N$2:$N$48=A311)+('Conciliacion de compuestos'!$O$2:$O$48=A311))&gt;0))),""),"")</f>
        <v/>
      </c>
      <c r="G311" s="11">
        <f>IF(I311="conciliado","conciliado","por revisar")</f>
        <v/>
      </c>
      <c r="H311" s="11" t="inlineStr"/>
      <c r="I311" s="11">
        <f>IF(SUM(COUNTIFS('Conciliacion de compuestos'!$D$2:$D$48,"conciliado",'Conciliacion de compuestos'!$E$2:$E$48,"OK",'Conciliacion de compuestos'!$M$2:$M$48,A311),COUNTIFS('Conciliacion de compuestos'!$D$2:$D$48,"conciliado",'Conciliacion de compuestos'!$E$2:$E$48,"OK",'Conciliacion de compuestos'!$N$2:$N$48,A311),COUNTIFS('Conciliacion de compuestos'!$D$2:$D$48,"conciliado",'Conciliacion de compuestos'!$E$2:$E$48,"OK",'Conciliacion de compuestos'!$O$2:$O$48,A311))&gt;0,"conciliado","por revisar")</f>
        <v/>
      </c>
    </row>
    <row r="312">
      <c r="A312" s="11" t="n">
        <v>222</v>
      </c>
      <c r="B312" s="12" t="n">
        <v>46012</v>
      </c>
      <c r="C312" s="11" t="inlineStr">
        <is>
          <t>angulo francisc mesa</t>
        </is>
      </c>
      <c r="D312" s="13" t="n">
        <v>80600</v>
      </c>
      <c r="E312" s="11">
        <f>IF(G312="conciliado","conciliado",I312)</f>
        <v/>
      </c>
      <c r="F312" s="11">
        <f>IF(SUM(COUNTIFS('Conciliacion de compuestos'!$D$2:$D$48,"conciliado",'Conciliacion de compuestos'!$E$2:$E$48,"OK",'Conciliacion de compuestos'!$M$2:$M$48,A312),COUNTIFS('Conciliacion de compuestos'!$D$2:$D$48,"conciliado",'Conciliacion de compuestos'!$E$2:$E$48,"OK",'Conciliacion de compuestos'!$N$2:$N$48,A312),COUNTIFS('Conciliacion de compuestos'!$D$2:$D$48,"conciliado",'Conciliacion de compuestos'!$E$2:$E$48,"OK",'Conciliacion de compuestos'!$O$2:$O$48,A312))&gt;0,IFERROR(TEXTJOIN(CHAR(10),TRUE,FILTER('Conciliacion de compuestos'!$A$2:$A$48,('Conciliacion de compuestos'!$D$2:$D$48="conciliado")*('Conciliacion de compuestos'!$E$2:$E$48="OK")*((('Conciliacion de compuestos'!$M$2:$M$48=A312)+('Conciliacion de compuestos'!$N$2:$N$48=A312)+('Conciliacion de compuestos'!$O$2:$O$48=A312))&gt;0))),""),"")</f>
        <v/>
      </c>
      <c r="G312" s="11">
        <f>IF(I312="conciliado","conciliado","por revisar")</f>
        <v/>
      </c>
      <c r="H312" s="11" t="inlineStr"/>
      <c r="I312" s="11">
        <f>IF(SUM(COUNTIFS('Conciliacion de compuestos'!$D$2:$D$48,"conciliado",'Conciliacion de compuestos'!$E$2:$E$48,"OK",'Conciliacion de compuestos'!$M$2:$M$48,A312),COUNTIFS('Conciliacion de compuestos'!$D$2:$D$48,"conciliado",'Conciliacion de compuestos'!$E$2:$E$48,"OK",'Conciliacion de compuestos'!$N$2:$N$48,A312),COUNTIFS('Conciliacion de compuestos'!$D$2:$D$48,"conciliado",'Conciliacion de compuestos'!$E$2:$E$48,"OK",'Conciliacion de compuestos'!$O$2:$O$48,A312))&gt;0,"conciliado","por revisar")</f>
        <v/>
      </c>
    </row>
    <row r="313">
      <c r="A313" s="11" t="n">
        <v>223</v>
      </c>
      <c r="B313" s="12" t="n">
        <v>46012</v>
      </c>
      <c r="C313" s="11" t="inlineStr">
        <is>
          <t>garcia oswa quintero</t>
        </is>
      </c>
      <c r="D313" s="13" t="n">
        <v>68000</v>
      </c>
      <c r="E313" s="11">
        <f>IF(G313="conciliado","conciliado",I313)</f>
        <v/>
      </c>
      <c r="F313" s="11">
        <f>IF(SUM(COUNTIFS('Conciliacion de compuestos'!$D$2:$D$48,"conciliado",'Conciliacion de compuestos'!$E$2:$E$48,"OK",'Conciliacion de compuestos'!$M$2:$M$48,A313),COUNTIFS('Conciliacion de compuestos'!$D$2:$D$48,"conciliado",'Conciliacion de compuestos'!$E$2:$E$48,"OK",'Conciliacion de compuestos'!$N$2:$N$48,A313),COUNTIFS('Conciliacion de compuestos'!$D$2:$D$48,"conciliado",'Conciliacion de compuestos'!$E$2:$E$48,"OK",'Conciliacion de compuestos'!$O$2:$O$48,A313))&gt;0,IFERROR(TEXTJOIN(CHAR(10),TRUE,FILTER('Conciliacion de compuestos'!$A$2:$A$48,('Conciliacion de compuestos'!$D$2:$D$48="conciliado")*('Conciliacion de compuestos'!$E$2:$E$48="OK")*((('Conciliacion de compuestos'!$M$2:$M$48=A313)+('Conciliacion de compuestos'!$N$2:$N$48=A313)+('Conciliacion de compuestos'!$O$2:$O$48=A313))&gt;0))),""),"")</f>
        <v/>
      </c>
      <c r="G313" s="11">
        <f>IF(I313="conciliado","conciliado","por revisar")</f>
        <v/>
      </c>
      <c r="H313" s="11" t="inlineStr"/>
      <c r="I313" s="11">
        <f>IF(SUM(COUNTIFS('Conciliacion de compuestos'!$D$2:$D$48,"conciliado",'Conciliacion de compuestos'!$E$2:$E$48,"OK",'Conciliacion de compuestos'!$M$2:$M$48,A313),COUNTIFS('Conciliacion de compuestos'!$D$2:$D$48,"conciliado",'Conciliacion de compuestos'!$E$2:$E$48,"OK",'Conciliacion de compuestos'!$N$2:$N$48,A313),COUNTIFS('Conciliacion de compuestos'!$D$2:$D$48,"conciliado",'Conciliacion de compuestos'!$E$2:$E$48,"OK",'Conciliacion de compuestos'!$O$2:$O$48,A313))&gt;0,"conciliado","por revisar")</f>
        <v/>
      </c>
    </row>
    <row r="314">
      <c r="A314" s="11" t="n">
        <v>224</v>
      </c>
      <c r="B314" s="12" t="n">
        <v>46012</v>
      </c>
      <c r="C314" s="11" t="inlineStr">
        <is>
          <t>chamorro diaz jenny</t>
        </is>
      </c>
      <c r="D314" s="13" t="n">
        <v>14000</v>
      </c>
      <c r="E314" s="11">
        <f>IF(G314="conciliado","conciliado",I314)</f>
        <v/>
      </c>
      <c r="F314" s="11">
        <f>IF(SUM(COUNTIFS('Conciliacion de compuestos'!$D$2:$D$48,"conciliado",'Conciliacion de compuestos'!$E$2:$E$48,"OK",'Conciliacion de compuestos'!$M$2:$M$48,A314),COUNTIFS('Conciliacion de compuestos'!$D$2:$D$48,"conciliado",'Conciliacion de compuestos'!$E$2:$E$48,"OK",'Conciliacion de compuestos'!$N$2:$N$48,A314),COUNTIFS('Conciliacion de compuestos'!$D$2:$D$48,"conciliado",'Conciliacion de compuestos'!$E$2:$E$48,"OK",'Conciliacion de compuestos'!$O$2:$O$48,A314))&gt;0,IFERROR(TEXTJOIN(CHAR(10),TRUE,FILTER('Conciliacion de compuestos'!$A$2:$A$48,('Conciliacion de compuestos'!$D$2:$D$48="conciliado")*('Conciliacion de compuestos'!$E$2:$E$48="OK")*((('Conciliacion de compuestos'!$M$2:$M$48=A314)+('Conciliacion de compuestos'!$N$2:$N$48=A314)+('Conciliacion de compuestos'!$O$2:$O$48=A314))&gt;0))),""),"")</f>
        <v/>
      </c>
      <c r="G314" s="11">
        <f>IF(I314="conciliado","conciliado","por revisar")</f>
        <v/>
      </c>
      <c r="H314" s="11" t="inlineStr"/>
      <c r="I314" s="11">
        <f>IF(SUM(COUNTIFS('Conciliacion de compuestos'!$D$2:$D$48,"conciliado",'Conciliacion de compuestos'!$E$2:$E$48,"OK",'Conciliacion de compuestos'!$M$2:$M$48,A314),COUNTIFS('Conciliacion de compuestos'!$D$2:$D$48,"conciliado",'Conciliacion de compuestos'!$E$2:$E$48,"OK",'Conciliacion de compuestos'!$N$2:$N$48,A314),COUNTIFS('Conciliacion de compuestos'!$D$2:$D$48,"conciliado",'Conciliacion de compuestos'!$E$2:$E$48,"OK",'Conciliacion de compuestos'!$O$2:$O$48,A314))&gt;0,"conciliado","por revisar")</f>
        <v/>
      </c>
    </row>
    <row r="315">
      <c r="A315" s="11" t="n">
        <v>227</v>
      </c>
      <c r="B315" s="12" t="n">
        <v>46012</v>
      </c>
      <c r="C315" s="11" t="inlineStr">
        <is>
          <t>cristian he pai vega</t>
        </is>
      </c>
      <c r="D315" s="13" t="n">
        <v>132923</v>
      </c>
      <c r="E315" s="11">
        <f>IF(G315="conciliado","conciliado",I315)</f>
        <v/>
      </c>
      <c r="F315" s="11">
        <f>IF(SUM(COUNTIFS('Conciliacion de compuestos'!$D$2:$D$48,"conciliado",'Conciliacion de compuestos'!$E$2:$E$48,"OK",'Conciliacion de compuestos'!$M$2:$M$48,A315),COUNTIFS('Conciliacion de compuestos'!$D$2:$D$48,"conciliado",'Conciliacion de compuestos'!$E$2:$E$48,"OK",'Conciliacion de compuestos'!$N$2:$N$48,A315),COUNTIFS('Conciliacion de compuestos'!$D$2:$D$48,"conciliado",'Conciliacion de compuestos'!$E$2:$E$48,"OK",'Conciliacion de compuestos'!$O$2:$O$48,A315))&gt;0,IFERROR(TEXTJOIN(CHAR(10),TRUE,FILTER('Conciliacion de compuestos'!$A$2:$A$48,('Conciliacion de compuestos'!$D$2:$D$48="conciliado")*('Conciliacion de compuestos'!$E$2:$E$48="OK")*((('Conciliacion de compuestos'!$M$2:$M$48=A315)+('Conciliacion de compuestos'!$N$2:$N$48=A315)+('Conciliacion de compuestos'!$O$2:$O$48=A315))&gt;0))),""),"")</f>
        <v/>
      </c>
      <c r="G315" s="11">
        <f>IF(I315="conciliado","conciliado","por revisar")</f>
        <v/>
      </c>
      <c r="H315" s="11" t="inlineStr"/>
      <c r="I315" s="11">
        <f>IF(SUM(COUNTIFS('Conciliacion de compuestos'!$D$2:$D$48,"conciliado",'Conciliacion de compuestos'!$E$2:$E$48,"OK",'Conciliacion de compuestos'!$M$2:$M$48,A315),COUNTIFS('Conciliacion de compuestos'!$D$2:$D$48,"conciliado",'Conciliacion de compuestos'!$E$2:$E$48,"OK",'Conciliacion de compuestos'!$N$2:$N$48,A315),COUNTIFS('Conciliacion de compuestos'!$D$2:$D$48,"conciliado",'Conciliacion de compuestos'!$E$2:$E$48,"OK",'Conciliacion de compuestos'!$O$2:$O$48,A315))&gt;0,"conciliado","por revisar")</f>
        <v/>
      </c>
    </row>
    <row r="316">
      <c r="A316" s="11" t="n">
        <v>229</v>
      </c>
      <c r="B316" s="12" t="n">
        <v>46012</v>
      </c>
      <c r="C316" s="11" t="inlineStr">
        <is>
          <t>elder quintero toro</t>
        </is>
      </c>
      <c r="D316" s="13" t="n">
        <v>24400</v>
      </c>
      <c r="E316" s="11">
        <f>IF(G316="conciliado","conciliado",I316)</f>
        <v/>
      </c>
      <c r="F316" s="11">
        <f>IF(SUM(COUNTIFS('Conciliacion de compuestos'!$D$2:$D$48,"conciliado",'Conciliacion de compuestos'!$E$2:$E$48,"OK",'Conciliacion de compuestos'!$M$2:$M$48,A316),COUNTIFS('Conciliacion de compuestos'!$D$2:$D$48,"conciliado",'Conciliacion de compuestos'!$E$2:$E$48,"OK",'Conciliacion de compuestos'!$N$2:$N$48,A316),COUNTIFS('Conciliacion de compuestos'!$D$2:$D$48,"conciliado",'Conciliacion de compuestos'!$E$2:$E$48,"OK",'Conciliacion de compuestos'!$O$2:$O$48,A316))&gt;0,IFERROR(TEXTJOIN(CHAR(10),TRUE,FILTER('Conciliacion de compuestos'!$A$2:$A$48,('Conciliacion de compuestos'!$D$2:$D$48="conciliado")*('Conciliacion de compuestos'!$E$2:$E$48="OK")*((('Conciliacion de compuestos'!$M$2:$M$48=A316)+('Conciliacion de compuestos'!$N$2:$N$48=A316)+('Conciliacion de compuestos'!$O$2:$O$48=A316))&gt;0))),""),"")</f>
        <v/>
      </c>
      <c r="G316" s="11">
        <f>IF(I316="conciliado","conciliado","por revisar")</f>
        <v/>
      </c>
      <c r="H316" s="11" t="inlineStr"/>
      <c r="I316" s="11">
        <f>IF(SUM(COUNTIFS('Conciliacion de compuestos'!$D$2:$D$48,"conciliado",'Conciliacion de compuestos'!$E$2:$E$48,"OK",'Conciliacion de compuestos'!$M$2:$M$48,A316),COUNTIFS('Conciliacion de compuestos'!$D$2:$D$48,"conciliado",'Conciliacion de compuestos'!$E$2:$E$48,"OK",'Conciliacion de compuestos'!$N$2:$N$48,A316),COUNTIFS('Conciliacion de compuestos'!$D$2:$D$48,"conciliado",'Conciliacion de compuestos'!$E$2:$E$48,"OK",'Conciliacion de compuestos'!$O$2:$O$48,A316))&gt;0,"conciliado","por revisar")</f>
        <v/>
      </c>
    </row>
    <row r="317">
      <c r="A317" s="11" t="n">
        <v>233</v>
      </c>
      <c r="B317" s="12" t="n">
        <v>46012</v>
      </c>
      <c r="C317" s="11" t="inlineStr">
        <is>
          <t>angulo francisc mesa</t>
        </is>
      </c>
      <c r="D317" s="13" t="n">
        <v>824700</v>
      </c>
      <c r="E317" s="11">
        <f>IF(G317="conciliado","conciliado",I317)</f>
        <v/>
      </c>
      <c r="F317" s="11">
        <f>IF(SUM(COUNTIFS('Conciliacion de compuestos'!$D$2:$D$48,"conciliado",'Conciliacion de compuestos'!$E$2:$E$48,"OK",'Conciliacion de compuestos'!$M$2:$M$48,A317),COUNTIFS('Conciliacion de compuestos'!$D$2:$D$48,"conciliado",'Conciliacion de compuestos'!$E$2:$E$48,"OK",'Conciliacion de compuestos'!$N$2:$N$48,A317),COUNTIFS('Conciliacion de compuestos'!$D$2:$D$48,"conciliado",'Conciliacion de compuestos'!$E$2:$E$48,"OK",'Conciliacion de compuestos'!$O$2:$O$48,A317))&gt;0,IFERROR(TEXTJOIN(CHAR(10),TRUE,FILTER('Conciliacion de compuestos'!$A$2:$A$48,('Conciliacion de compuestos'!$D$2:$D$48="conciliado")*('Conciliacion de compuestos'!$E$2:$E$48="OK")*((('Conciliacion de compuestos'!$M$2:$M$48=A317)+('Conciliacion de compuestos'!$N$2:$N$48=A317)+('Conciliacion de compuestos'!$O$2:$O$48=A317))&gt;0))),""),"")</f>
        <v/>
      </c>
      <c r="G317" s="11">
        <f>IF(I317="conciliado","conciliado","por revisar")</f>
        <v/>
      </c>
      <c r="H317" s="11" t="inlineStr"/>
      <c r="I317" s="11">
        <f>IF(SUM(COUNTIFS('Conciliacion de compuestos'!$D$2:$D$48,"conciliado",'Conciliacion de compuestos'!$E$2:$E$48,"OK",'Conciliacion de compuestos'!$M$2:$M$48,A317),COUNTIFS('Conciliacion de compuestos'!$D$2:$D$48,"conciliado",'Conciliacion de compuestos'!$E$2:$E$48,"OK",'Conciliacion de compuestos'!$N$2:$N$48,A317),COUNTIFS('Conciliacion de compuestos'!$D$2:$D$48,"conciliado",'Conciliacion de compuestos'!$E$2:$E$48,"OK",'Conciliacion de compuestos'!$O$2:$O$48,A317))&gt;0,"conciliado","por revisar")</f>
        <v/>
      </c>
    </row>
    <row r="318">
      <c r="A318" s="11" t="n">
        <v>236</v>
      </c>
      <c r="B318" s="12" t="n">
        <v>46013</v>
      </c>
      <c r="C318" s="11" t="inlineStr">
        <is>
          <t>crist mafla palacios</t>
        </is>
      </c>
      <c r="D318" s="13" t="n">
        <v>42000</v>
      </c>
      <c r="E318" s="11">
        <f>IF(G318="conciliado","conciliado",I318)</f>
        <v/>
      </c>
      <c r="F318" s="11">
        <f>IF(SUM(COUNTIFS('Conciliacion de compuestos'!$D$2:$D$48,"conciliado",'Conciliacion de compuestos'!$E$2:$E$48,"OK",'Conciliacion de compuestos'!$M$2:$M$48,A318),COUNTIFS('Conciliacion de compuestos'!$D$2:$D$48,"conciliado",'Conciliacion de compuestos'!$E$2:$E$48,"OK",'Conciliacion de compuestos'!$N$2:$N$48,A318),COUNTIFS('Conciliacion de compuestos'!$D$2:$D$48,"conciliado",'Conciliacion de compuestos'!$E$2:$E$48,"OK",'Conciliacion de compuestos'!$O$2:$O$48,A318))&gt;0,IFERROR(TEXTJOIN(CHAR(10),TRUE,FILTER('Conciliacion de compuestos'!$A$2:$A$48,('Conciliacion de compuestos'!$D$2:$D$48="conciliado")*('Conciliacion de compuestos'!$E$2:$E$48="OK")*((('Conciliacion de compuestos'!$M$2:$M$48=A318)+('Conciliacion de compuestos'!$N$2:$N$48=A318)+('Conciliacion de compuestos'!$O$2:$O$48=A318))&gt;0))),""),"")</f>
        <v/>
      </c>
      <c r="G318" s="11">
        <f>IF(I318="conciliado","conciliado","por revisar")</f>
        <v/>
      </c>
      <c r="H318" s="11" t="inlineStr"/>
      <c r="I318" s="11">
        <f>IF(SUM(COUNTIFS('Conciliacion de compuestos'!$D$2:$D$48,"conciliado",'Conciliacion de compuestos'!$E$2:$E$48,"OK",'Conciliacion de compuestos'!$M$2:$M$48,A318),COUNTIFS('Conciliacion de compuestos'!$D$2:$D$48,"conciliado",'Conciliacion de compuestos'!$E$2:$E$48,"OK",'Conciliacion de compuestos'!$N$2:$N$48,A318),COUNTIFS('Conciliacion de compuestos'!$D$2:$D$48,"conciliado",'Conciliacion de compuestos'!$E$2:$E$48,"OK",'Conciliacion de compuestos'!$O$2:$O$48,A318))&gt;0,"conciliado","por revisar")</f>
        <v/>
      </c>
    </row>
    <row r="319">
      <c r="A319" s="11" t="n">
        <v>240</v>
      </c>
      <c r="B319" s="12" t="n">
        <v>46013</v>
      </c>
      <c r="C319" s="11" t="inlineStr">
        <is>
          <t>cuartas egas sandra</t>
        </is>
      </c>
      <c r="D319" s="13" t="n">
        <v>56500</v>
      </c>
      <c r="E319" s="11">
        <f>IF(G319="conciliado","conciliado",I319)</f>
        <v/>
      </c>
      <c r="F319" s="11">
        <f>IF(SUM(COUNTIFS('Conciliacion de compuestos'!$D$2:$D$48,"conciliado",'Conciliacion de compuestos'!$E$2:$E$48,"OK",'Conciliacion de compuestos'!$M$2:$M$48,A319),COUNTIFS('Conciliacion de compuestos'!$D$2:$D$48,"conciliado",'Conciliacion de compuestos'!$E$2:$E$48,"OK",'Conciliacion de compuestos'!$N$2:$N$48,A319),COUNTIFS('Conciliacion de compuestos'!$D$2:$D$48,"conciliado",'Conciliacion de compuestos'!$E$2:$E$48,"OK",'Conciliacion de compuestos'!$O$2:$O$48,A319))&gt;0,IFERROR(TEXTJOIN(CHAR(10),TRUE,FILTER('Conciliacion de compuestos'!$A$2:$A$48,('Conciliacion de compuestos'!$D$2:$D$48="conciliado")*('Conciliacion de compuestos'!$E$2:$E$48="OK")*((('Conciliacion de compuestos'!$M$2:$M$48=A319)+('Conciliacion de compuestos'!$N$2:$N$48=A319)+('Conciliacion de compuestos'!$O$2:$O$48=A319))&gt;0))),""),"")</f>
        <v/>
      </c>
      <c r="G319" s="11">
        <f>IF(I319="conciliado","conciliado","por revisar")</f>
        <v/>
      </c>
      <c r="H319" s="11" t="inlineStr"/>
      <c r="I319" s="11">
        <f>IF(SUM(COUNTIFS('Conciliacion de compuestos'!$D$2:$D$48,"conciliado",'Conciliacion de compuestos'!$E$2:$E$48,"OK",'Conciliacion de compuestos'!$M$2:$M$48,A319),COUNTIFS('Conciliacion de compuestos'!$D$2:$D$48,"conciliado",'Conciliacion de compuestos'!$E$2:$E$48,"OK",'Conciliacion de compuestos'!$N$2:$N$48,A319),COUNTIFS('Conciliacion de compuestos'!$D$2:$D$48,"conciliado",'Conciliacion de compuestos'!$E$2:$E$48,"OK",'Conciliacion de compuestos'!$O$2:$O$48,A319))&gt;0,"conciliado","por revisar")</f>
        <v/>
      </c>
    </row>
    <row r="320">
      <c r="A320" s="11" t="n">
        <v>249</v>
      </c>
      <c r="B320" s="12" t="n">
        <v>46013</v>
      </c>
      <c r="C320" s="11" t="inlineStr">
        <is>
          <t>dony norve pantoja</t>
        </is>
      </c>
      <c r="D320" s="13" t="n">
        <v>114545</v>
      </c>
      <c r="E320" s="11">
        <f>IF(G320="conciliado","conciliado",I320)</f>
        <v/>
      </c>
      <c r="F320" s="11">
        <f>IF(SUM(COUNTIFS('Conciliacion de compuestos'!$D$2:$D$48,"conciliado",'Conciliacion de compuestos'!$E$2:$E$48,"OK",'Conciliacion de compuestos'!$M$2:$M$48,A320),COUNTIFS('Conciliacion de compuestos'!$D$2:$D$48,"conciliado",'Conciliacion de compuestos'!$E$2:$E$48,"OK",'Conciliacion de compuestos'!$N$2:$N$48,A320),COUNTIFS('Conciliacion de compuestos'!$D$2:$D$48,"conciliado",'Conciliacion de compuestos'!$E$2:$E$48,"OK",'Conciliacion de compuestos'!$O$2:$O$48,A320))&gt;0,IFERROR(TEXTJOIN(CHAR(10),TRUE,FILTER('Conciliacion de compuestos'!$A$2:$A$48,('Conciliacion de compuestos'!$D$2:$D$48="conciliado")*('Conciliacion de compuestos'!$E$2:$E$48="OK")*((('Conciliacion de compuestos'!$M$2:$M$48=A320)+('Conciliacion de compuestos'!$N$2:$N$48=A320)+('Conciliacion de compuestos'!$O$2:$O$48=A320))&gt;0))),""),"")</f>
        <v/>
      </c>
      <c r="G320" s="11">
        <f>IF(I320="conciliado","conciliado","por revisar")</f>
        <v/>
      </c>
      <c r="H320" s="11" t="inlineStr"/>
      <c r="I320" s="11">
        <f>IF(SUM(COUNTIFS('Conciliacion de compuestos'!$D$2:$D$48,"conciliado",'Conciliacion de compuestos'!$E$2:$E$48,"OK",'Conciliacion de compuestos'!$M$2:$M$48,A320),COUNTIFS('Conciliacion de compuestos'!$D$2:$D$48,"conciliado",'Conciliacion de compuestos'!$E$2:$E$48,"OK",'Conciliacion de compuestos'!$N$2:$N$48,A320),COUNTIFS('Conciliacion de compuestos'!$D$2:$D$48,"conciliado",'Conciliacion de compuestos'!$E$2:$E$48,"OK",'Conciliacion de compuestos'!$O$2:$O$48,A320))&gt;0,"conciliado","por revisar")</f>
        <v/>
      </c>
    </row>
    <row r="321">
      <c r="A321" s="11" t="n">
        <v>250</v>
      </c>
      <c r="B321" s="12" t="n">
        <v>46013</v>
      </c>
      <c r="C321" s="11" t="inlineStr">
        <is>
          <t>burbano s vanegas</t>
        </is>
      </c>
      <c r="D321" s="13" t="n">
        <v>50000</v>
      </c>
      <c r="E321" s="11">
        <f>IF(G321="conciliado","conciliado",I321)</f>
        <v/>
      </c>
      <c r="F321" s="11">
        <f>IF(SUM(COUNTIFS('Conciliacion de compuestos'!$D$2:$D$48,"conciliado",'Conciliacion de compuestos'!$E$2:$E$48,"OK",'Conciliacion de compuestos'!$M$2:$M$48,A321),COUNTIFS('Conciliacion de compuestos'!$D$2:$D$48,"conciliado",'Conciliacion de compuestos'!$E$2:$E$48,"OK",'Conciliacion de compuestos'!$N$2:$N$48,A321),COUNTIFS('Conciliacion de compuestos'!$D$2:$D$48,"conciliado",'Conciliacion de compuestos'!$E$2:$E$48,"OK",'Conciliacion de compuestos'!$O$2:$O$48,A321))&gt;0,IFERROR(TEXTJOIN(CHAR(10),TRUE,FILTER('Conciliacion de compuestos'!$A$2:$A$48,('Conciliacion de compuestos'!$D$2:$D$48="conciliado")*('Conciliacion de compuestos'!$E$2:$E$48="OK")*((('Conciliacion de compuestos'!$M$2:$M$48=A321)+('Conciliacion de compuestos'!$N$2:$N$48=A321)+('Conciliacion de compuestos'!$O$2:$O$48=A321))&gt;0))),""),"")</f>
        <v/>
      </c>
      <c r="G321" s="11">
        <f>IF(I321="conciliado","conciliado","por revisar")</f>
        <v/>
      </c>
      <c r="H321" s="11" t="inlineStr"/>
      <c r="I321" s="11">
        <f>IF(SUM(COUNTIFS('Conciliacion de compuestos'!$D$2:$D$48,"conciliado",'Conciliacion de compuestos'!$E$2:$E$48,"OK",'Conciliacion de compuestos'!$M$2:$M$48,A321),COUNTIFS('Conciliacion de compuestos'!$D$2:$D$48,"conciliado",'Conciliacion de compuestos'!$E$2:$E$48,"OK",'Conciliacion de compuestos'!$N$2:$N$48,A321),COUNTIFS('Conciliacion de compuestos'!$D$2:$D$48,"conciliado",'Conciliacion de compuestos'!$E$2:$E$48,"OK",'Conciliacion de compuestos'!$O$2:$O$48,A321))&gt;0,"conciliado","por revisar")</f>
        <v/>
      </c>
    </row>
    <row r="322">
      <c r="A322" s="11" t="n">
        <v>252</v>
      </c>
      <c r="B322" s="12" t="n">
        <v>46013</v>
      </c>
      <c r="C322" s="11" t="inlineStr">
        <is>
          <t>garcia lopez yesica</t>
        </is>
      </c>
      <c r="D322" s="13" t="n">
        <v>106000</v>
      </c>
      <c r="E322" s="11">
        <f>IF(G322="conciliado","conciliado",I322)</f>
        <v/>
      </c>
      <c r="F322" s="11">
        <f>IF(SUM(COUNTIFS('Conciliacion de compuestos'!$D$2:$D$48,"conciliado",'Conciliacion de compuestos'!$E$2:$E$48,"OK",'Conciliacion de compuestos'!$M$2:$M$48,A322),COUNTIFS('Conciliacion de compuestos'!$D$2:$D$48,"conciliado",'Conciliacion de compuestos'!$E$2:$E$48,"OK",'Conciliacion de compuestos'!$N$2:$N$48,A322),COUNTIFS('Conciliacion de compuestos'!$D$2:$D$48,"conciliado",'Conciliacion de compuestos'!$E$2:$E$48,"OK",'Conciliacion de compuestos'!$O$2:$O$48,A322))&gt;0,IFERROR(TEXTJOIN(CHAR(10),TRUE,FILTER('Conciliacion de compuestos'!$A$2:$A$48,('Conciliacion de compuestos'!$D$2:$D$48="conciliado")*('Conciliacion de compuestos'!$E$2:$E$48="OK")*((('Conciliacion de compuestos'!$M$2:$M$48=A322)+('Conciliacion de compuestos'!$N$2:$N$48=A322)+('Conciliacion de compuestos'!$O$2:$O$48=A322))&gt;0))),""),"")</f>
        <v/>
      </c>
      <c r="G322" s="11">
        <f>IF(I322="conciliado","conciliado","por revisar")</f>
        <v/>
      </c>
      <c r="H322" s="11" t="inlineStr"/>
      <c r="I322" s="11">
        <f>IF(SUM(COUNTIFS('Conciliacion de compuestos'!$D$2:$D$48,"conciliado",'Conciliacion de compuestos'!$E$2:$E$48,"OK",'Conciliacion de compuestos'!$M$2:$M$48,A322),COUNTIFS('Conciliacion de compuestos'!$D$2:$D$48,"conciliado",'Conciliacion de compuestos'!$E$2:$E$48,"OK",'Conciliacion de compuestos'!$N$2:$N$48,A322),COUNTIFS('Conciliacion de compuestos'!$D$2:$D$48,"conciliado",'Conciliacion de compuestos'!$E$2:$E$48,"OK",'Conciliacion de compuestos'!$O$2:$O$48,A322))&gt;0,"conciliado","por revisar")</f>
        <v/>
      </c>
    </row>
    <row r="323">
      <c r="A323" s="11" t="n">
        <v>255</v>
      </c>
      <c r="B323" s="12" t="n">
        <v>46014</v>
      </c>
      <c r="C323" s="11" t="inlineStr">
        <is>
          <t>brenda segura yubely</t>
        </is>
      </c>
      <c r="D323" s="13" t="n">
        <v>20700</v>
      </c>
      <c r="E323" s="11">
        <f>IF(G323="conciliado","conciliado",I323)</f>
        <v/>
      </c>
      <c r="F323" s="11">
        <f>IF(SUM(COUNTIFS('Conciliacion de compuestos'!$D$2:$D$48,"conciliado",'Conciliacion de compuestos'!$E$2:$E$48,"OK",'Conciliacion de compuestos'!$M$2:$M$48,A323),COUNTIFS('Conciliacion de compuestos'!$D$2:$D$48,"conciliado",'Conciliacion de compuestos'!$E$2:$E$48,"OK",'Conciliacion de compuestos'!$N$2:$N$48,A323),COUNTIFS('Conciliacion de compuestos'!$D$2:$D$48,"conciliado",'Conciliacion de compuestos'!$E$2:$E$48,"OK",'Conciliacion de compuestos'!$O$2:$O$48,A323))&gt;0,IFERROR(TEXTJOIN(CHAR(10),TRUE,FILTER('Conciliacion de compuestos'!$A$2:$A$48,('Conciliacion de compuestos'!$D$2:$D$48="conciliado")*('Conciliacion de compuestos'!$E$2:$E$48="OK")*((('Conciliacion de compuestos'!$M$2:$M$48=A323)+('Conciliacion de compuestos'!$N$2:$N$48=A323)+('Conciliacion de compuestos'!$O$2:$O$48=A323))&gt;0))),""),"")</f>
        <v/>
      </c>
      <c r="G323" s="11">
        <f>IF(I323="conciliado","conciliado","por revisar")</f>
        <v/>
      </c>
      <c r="H323" s="11" t="inlineStr"/>
      <c r="I323" s="11">
        <f>IF(SUM(COUNTIFS('Conciliacion de compuestos'!$D$2:$D$48,"conciliado",'Conciliacion de compuestos'!$E$2:$E$48,"OK",'Conciliacion de compuestos'!$M$2:$M$48,A323),COUNTIFS('Conciliacion de compuestos'!$D$2:$D$48,"conciliado",'Conciliacion de compuestos'!$E$2:$E$48,"OK",'Conciliacion de compuestos'!$N$2:$N$48,A323),COUNTIFS('Conciliacion de compuestos'!$D$2:$D$48,"conciliado",'Conciliacion de compuestos'!$E$2:$E$48,"OK",'Conciliacion de compuestos'!$O$2:$O$48,A323))&gt;0,"conciliado","por revisar")</f>
        <v/>
      </c>
    </row>
    <row r="324">
      <c r="A324" s="11" t="n">
        <v>262</v>
      </c>
      <c r="B324" s="12" t="n">
        <v>46014</v>
      </c>
      <c r="C324" s="11" t="inlineStr">
        <is>
          <t>alvarez mar zambrano</t>
        </is>
      </c>
      <c r="D324" s="13" t="n">
        <v>44400</v>
      </c>
      <c r="E324" s="11">
        <f>IF(G324="conciliado","conciliado",I324)</f>
        <v/>
      </c>
      <c r="F324" s="11">
        <f>IF(SUM(COUNTIFS('Conciliacion de compuestos'!$D$2:$D$48,"conciliado",'Conciliacion de compuestos'!$E$2:$E$48,"OK",'Conciliacion de compuestos'!$M$2:$M$48,A324),COUNTIFS('Conciliacion de compuestos'!$D$2:$D$48,"conciliado",'Conciliacion de compuestos'!$E$2:$E$48,"OK",'Conciliacion de compuestos'!$N$2:$N$48,A324),COUNTIFS('Conciliacion de compuestos'!$D$2:$D$48,"conciliado",'Conciliacion de compuestos'!$E$2:$E$48,"OK",'Conciliacion de compuestos'!$O$2:$O$48,A324))&gt;0,IFERROR(TEXTJOIN(CHAR(10),TRUE,FILTER('Conciliacion de compuestos'!$A$2:$A$48,('Conciliacion de compuestos'!$D$2:$D$48="conciliado")*('Conciliacion de compuestos'!$E$2:$E$48="OK")*((('Conciliacion de compuestos'!$M$2:$M$48=A324)+('Conciliacion de compuestos'!$N$2:$N$48=A324)+('Conciliacion de compuestos'!$O$2:$O$48=A324))&gt;0))),""),"")</f>
        <v/>
      </c>
      <c r="G324" s="11">
        <f>IF(I324="conciliado","conciliado","por revisar")</f>
        <v/>
      </c>
      <c r="H324" s="11" t="inlineStr"/>
      <c r="I324" s="11">
        <f>IF(SUM(COUNTIFS('Conciliacion de compuestos'!$D$2:$D$48,"conciliado",'Conciliacion de compuestos'!$E$2:$E$48,"OK",'Conciliacion de compuestos'!$M$2:$M$48,A324),COUNTIFS('Conciliacion de compuestos'!$D$2:$D$48,"conciliado",'Conciliacion de compuestos'!$E$2:$E$48,"OK",'Conciliacion de compuestos'!$N$2:$N$48,A324),COUNTIFS('Conciliacion de compuestos'!$D$2:$D$48,"conciliado",'Conciliacion de compuestos'!$E$2:$E$48,"OK",'Conciliacion de compuestos'!$O$2:$O$48,A324))&gt;0,"conciliado","por revisar")</f>
        <v/>
      </c>
    </row>
    <row r="325">
      <c r="A325" s="11" t="n">
        <v>263</v>
      </c>
      <c r="B325" s="12" t="n">
        <v>46014</v>
      </c>
      <c r="C325" s="11" t="inlineStr">
        <is>
          <t>cristian he pai vega</t>
        </is>
      </c>
      <c r="D325" s="13" t="n">
        <v>128568</v>
      </c>
      <c r="E325" s="11">
        <f>IF(G325="conciliado","conciliado",I325)</f>
        <v/>
      </c>
      <c r="F325" s="11">
        <f>IF(SUM(COUNTIFS('Conciliacion de compuestos'!$D$2:$D$48,"conciliado",'Conciliacion de compuestos'!$E$2:$E$48,"OK",'Conciliacion de compuestos'!$M$2:$M$48,A325),COUNTIFS('Conciliacion de compuestos'!$D$2:$D$48,"conciliado",'Conciliacion de compuestos'!$E$2:$E$48,"OK",'Conciliacion de compuestos'!$N$2:$N$48,A325),COUNTIFS('Conciliacion de compuestos'!$D$2:$D$48,"conciliado",'Conciliacion de compuestos'!$E$2:$E$48,"OK",'Conciliacion de compuestos'!$O$2:$O$48,A325))&gt;0,IFERROR(TEXTJOIN(CHAR(10),TRUE,FILTER('Conciliacion de compuestos'!$A$2:$A$48,('Conciliacion de compuestos'!$D$2:$D$48="conciliado")*('Conciliacion de compuestos'!$E$2:$E$48="OK")*((('Conciliacion de compuestos'!$M$2:$M$48=A325)+('Conciliacion de compuestos'!$N$2:$N$48=A325)+('Conciliacion de compuestos'!$O$2:$O$48=A325))&gt;0))),""),"")</f>
        <v/>
      </c>
      <c r="G325" s="11">
        <f>IF(I325="conciliado","conciliado","por revisar")</f>
        <v/>
      </c>
      <c r="H325" s="11" t="inlineStr"/>
      <c r="I325" s="11">
        <f>IF(SUM(COUNTIFS('Conciliacion de compuestos'!$D$2:$D$48,"conciliado",'Conciliacion de compuestos'!$E$2:$E$48,"OK",'Conciliacion de compuestos'!$M$2:$M$48,A325),COUNTIFS('Conciliacion de compuestos'!$D$2:$D$48,"conciliado",'Conciliacion de compuestos'!$E$2:$E$48,"OK",'Conciliacion de compuestos'!$N$2:$N$48,A325),COUNTIFS('Conciliacion de compuestos'!$D$2:$D$48,"conciliado",'Conciliacion de compuestos'!$E$2:$E$48,"OK",'Conciliacion de compuestos'!$O$2:$O$48,A325))&gt;0,"conciliado","por revisar")</f>
        <v/>
      </c>
    </row>
    <row r="326">
      <c r="A326" s="11" t="n">
        <v>267</v>
      </c>
      <c r="B326" s="12" t="n">
        <v>46015</v>
      </c>
      <c r="C326" s="11" t="inlineStr">
        <is>
          <t>elvia molina prieto</t>
        </is>
      </c>
      <c r="D326" s="13" t="n">
        <v>68000</v>
      </c>
      <c r="E326" s="11">
        <f>IF(G326="conciliado","conciliado",I326)</f>
        <v/>
      </c>
      <c r="F326" s="11">
        <f>IF(SUM(COUNTIFS('Conciliacion de compuestos'!$D$2:$D$48,"conciliado",'Conciliacion de compuestos'!$E$2:$E$48,"OK",'Conciliacion de compuestos'!$M$2:$M$48,A326),COUNTIFS('Conciliacion de compuestos'!$D$2:$D$48,"conciliado",'Conciliacion de compuestos'!$E$2:$E$48,"OK",'Conciliacion de compuestos'!$N$2:$N$48,A326),COUNTIFS('Conciliacion de compuestos'!$D$2:$D$48,"conciliado",'Conciliacion de compuestos'!$E$2:$E$48,"OK",'Conciliacion de compuestos'!$O$2:$O$48,A326))&gt;0,IFERROR(TEXTJOIN(CHAR(10),TRUE,FILTER('Conciliacion de compuestos'!$A$2:$A$48,('Conciliacion de compuestos'!$D$2:$D$48="conciliado")*('Conciliacion de compuestos'!$E$2:$E$48="OK")*((('Conciliacion de compuestos'!$M$2:$M$48=A326)+('Conciliacion de compuestos'!$N$2:$N$48=A326)+('Conciliacion de compuestos'!$O$2:$O$48=A326))&gt;0))),""),"")</f>
        <v/>
      </c>
      <c r="G326" s="11">
        <f>IF(I326="conciliado","conciliado","por revisar")</f>
        <v/>
      </c>
      <c r="H326" s="11" t="inlineStr"/>
      <c r="I326" s="11">
        <f>IF(SUM(COUNTIFS('Conciliacion de compuestos'!$D$2:$D$48,"conciliado",'Conciliacion de compuestos'!$E$2:$E$48,"OK",'Conciliacion de compuestos'!$M$2:$M$48,A326),COUNTIFS('Conciliacion de compuestos'!$D$2:$D$48,"conciliado",'Conciliacion de compuestos'!$E$2:$E$48,"OK",'Conciliacion de compuestos'!$N$2:$N$48,A326),COUNTIFS('Conciliacion de compuestos'!$D$2:$D$48,"conciliado",'Conciliacion de compuestos'!$E$2:$E$48,"OK",'Conciliacion de compuestos'!$O$2:$O$48,A326))&gt;0,"conciliado","por revisar")</f>
        <v/>
      </c>
    </row>
    <row r="327">
      <c r="A327" s="11" t="n">
        <v>273</v>
      </c>
      <c r="B327" s="12" t="n">
        <v>46015</v>
      </c>
      <c r="C327" s="11" t="inlineStr">
        <is>
          <t>cabrera gutierrez je</t>
        </is>
      </c>
      <c r="D327" s="13" t="n">
        <v>105900</v>
      </c>
      <c r="E327" s="11">
        <f>IF(G327="conciliado","conciliado",I327)</f>
        <v/>
      </c>
      <c r="F327" s="11">
        <f>IF(SUM(COUNTIFS('Conciliacion de compuestos'!$D$2:$D$48,"conciliado",'Conciliacion de compuestos'!$E$2:$E$48,"OK",'Conciliacion de compuestos'!$M$2:$M$48,A327),COUNTIFS('Conciliacion de compuestos'!$D$2:$D$48,"conciliado",'Conciliacion de compuestos'!$E$2:$E$48,"OK",'Conciliacion de compuestos'!$N$2:$N$48,A327),COUNTIFS('Conciliacion de compuestos'!$D$2:$D$48,"conciliado",'Conciliacion de compuestos'!$E$2:$E$48,"OK",'Conciliacion de compuestos'!$O$2:$O$48,A327))&gt;0,IFERROR(TEXTJOIN(CHAR(10),TRUE,FILTER('Conciliacion de compuestos'!$A$2:$A$48,('Conciliacion de compuestos'!$D$2:$D$48="conciliado")*('Conciliacion de compuestos'!$E$2:$E$48="OK")*((('Conciliacion de compuestos'!$M$2:$M$48=A327)+('Conciliacion de compuestos'!$N$2:$N$48=A327)+('Conciliacion de compuestos'!$O$2:$O$48=A327))&gt;0))),""),"")</f>
        <v/>
      </c>
      <c r="G327" s="11">
        <f>IF(I327="conciliado","conciliado","por revisar")</f>
        <v/>
      </c>
      <c r="H327" s="11" t="inlineStr"/>
      <c r="I327" s="11">
        <f>IF(SUM(COUNTIFS('Conciliacion de compuestos'!$D$2:$D$48,"conciliado",'Conciliacion de compuestos'!$E$2:$E$48,"OK",'Conciliacion de compuestos'!$M$2:$M$48,A327),COUNTIFS('Conciliacion de compuestos'!$D$2:$D$48,"conciliado",'Conciliacion de compuestos'!$E$2:$E$48,"OK",'Conciliacion de compuestos'!$N$2:$N$48,A327),COUNTIFS('Conciliacion de compuestos'!$D$2:$D$48,"conciliado",'Conciliacion de compuestos'!$E$2:$E$48,"OK",'Conciliacion de compuestos'!$O$2:$O$48,A327))&gt;0,"conciliado","por revisar")</f>
        <v/>
      </c>
    </row>
    <row r="328">
      <c r="A328" s="11" t="n">
        <v>274</v>
      </c>
      <c r="B328" s="12" t="n">
        <v>46015</v>
      </c>
      <c r="C328" s="11" t="inlineStr">
        <is>
          <t>gutierrez juan rojas</t>
        </is>
      </c>
      <c r="D328" s="13" t="n">
        <v>77900</v>
      </c>
      <c r="E328" s="11">
        <f>IF(G328="conciliado","conciliado",I328)</f>
        <v/>
      </c>
      <c r="F328" s="11">
        <f>IF(SUM(COUNTIFS('Conciliacion de compuestos'!$D$2:$D$48,"conciliado",'Conciliacion de compuestos'!$E$2:$E$48,"OK",'Conciliacion de compuestos'!$M$2:$M$48,A328),COUNTIFS('Conciliacion de compuestos'!$D$2:$D$48,"conciliado",'Conciliacion de compuestos'!$E$2:$E$48,"OK",'Conciliacion de compuestos'!$N$2:$N$48,A328),COUNTIFS('Conciliacion de compuestos'!$D$2:$D$48,"conciliado",'Conciliacion de compuestos'!$E$2:$E$48,"OK",'Conciliacion de compuestos'!$O$2:$O$48,A328))&gt;0,IFERROR(TEXTJOIN(CHAR(10),TRUE,FILTER('Conciliacion de compuestos'!$A$2:$A$48,('Conciliacion de compuestos'!$D$2:$D$48="conciliado")*('Conciliacion de compuestos'!$E$2:$E$48="OK")*((('Conciliacion de compuestos'!$M$2:$M$48=A328)+('Conciliacion de compuestos'!$N$2:$N$48=A328)+('Conciliacion de compuestos'!$O$2:$O$48=A328))&gt;0))),""),"")</f>
        <v/>
      </c>
      <c r="G328" s="11">
        <f>IF(I328="conciliado","conciliado","por revisar")</f>
        <v/>
      </c>
      <c r="H328" s="11" t="inlineStr"/>
      <c r="I328" s="11">
        <f>IF(SUM(COUNTIFS('Conciliacion de compuestos'!$D$2:$D$48,"conciliado",'Conciliacion de compuestos'!$E$2:$E$48,"OK",'Conciliacion de compuestos'!$M$2:$M$48,A328),COUNTIFS('Conciliacion de compuestos'!$D$2:$D$48,"conciliado",'Conciliacion de compuestos'!$E$2:$E$48,"OK",'Conciliacion de compuestos'!$N$2:$N$48,A328),COUNTIFS('Conciliacion de compuestos'!$D$2:$D$48,"conciliado",'Conciliacion de compuestos'!$E$2:$E$48,"OK",'Conciliacion de compuestos'!$O$2:$O$48,A328))&gt;0,"conciliado","por revisar")</f>
        <v/>
      </c>
    </row>
    <row r="329">
      <c r="A329" s="11" t="n">
        <v>276</v>
      </c>
      <c r="B329" s="12" t="n">
        <v>46015</v>
      </c>
      <c r="C329" s="11" t="inlineStr">
        <is>
          <t>chavez esmer urquijo</t>
        </is>
      </c>
      <c r="D329" s="13" t="n">
        <v>1289500</v>
      </c>
      <c r="E329" s="11">
        <f>IF(G329="conciliado","conciliado",I329)</f>
        <v/>
      </c>
      <c r="F329" s="11">
        <f>IF(SUM(COUNTIFS('Conciliacion de compuestos'!$D$2:$D$48,"conciliado",'Conciliacion de compuestos'!$E$2:$E$48,"OK",'Conciliacion de compuestos'!$M$2:$M$48,A329),COUNTIFS('Conciliacion de compuestos'!$D$2:$D$48,"conciliado",'Conciliacion de compuestos'!$E$2:$E$48,"OK",'Conciliacion de compuestos'!$N$2:$N$48,A329),COUNTIFS('Conciliacion de compuestos'!$D$2:$D$48,"conciliado",'Conciliacion de compuestos'!$E$2:$E$48,"OK",'Conciliacion de compuestos'!$O$2:$O$48,A329))&gt;0,IFERROR(TEXTJOIN(CHAR(10),TRUE,FILTER('Conciliacion de compuestos'!$A$2:$A$48,('Conciliacion de compuestos'!$D$2:$D$48="conciliado")*('Conciliacion de compuestos'!$E$2:$E$48="OK")*((('Conciliacion de compuestos'!$M$2:$M$48=A329)+('Conciliacion de compuestos'!$N$2:$N$48=A329)+('Conciliacion de compuestos'!$O$2:$O$48=A329))&gt;0))),""),"")</f>
        <v/>
      </c>
      <c r="G329" s="11">
        <f>IF(I329="conciliado","conciliado","por revisar")</f>
        <v/>
      </c>
      <c r="H329" s="11" t="inlineStr"/>
      <c r="I329" s="11">
        <f>IF(SUM(COUNTIFS('Conciliacion de compuestos'!$D$2:$D$48,"conciliado",'Conciliacion de compuestos'!$E$2:$E$48,"OK",'Conciliacion de compuestos'!$M$2:$M$48,A329),COUNTIFS('Conciliacion de compuestos'!$D$2:$D$48,"conciliado",'Conciliacion de compuestos'!$E$2:$E$48,"OK",'Conciliacion de compuestos'!$N$2:$N$48,A329),COUNTIFS('Conciliacion de compuestos'!$D$2:$D$48,"conciliado",'Conciliacion de compuestos'!$E$2:$E$48,"OK",'Conciliacion de compuestos'!$O$2:$O$48,A329))&gt;0,"conciliado","por revisar")</f>
        <v/>
      </c>
    </row>
    <row r="330">
      <c r="A330" s="11" t="n">
        <v>281</v>
      </c>
      <c r="B330" s="12" t="n">
        <v>46015</v>
      </c>
      <c r="C330" s="11" t="inlineStr">
        <is>
          <t>betancourt lui yepes</t>
        </is>
      </c>
      <c r="D330" s="13" t="n">
        <v>23500</v>
      </c>
      <c r="E330" s="11">
        <f>IF(G330="conciliado","conciliado",I330)</f>
        <v/>
      </c>
      <c r="F330" s="11">
        <f>IF(SUM(COUNTIFS('Conciliacion de compuestos'!$D$2:$D$48,"conciliado",'Conciliacion de compuestos'!$E$2:$E$48,"OK",'Conciliacion de compuestos'!$M$2:$M$48,A330),COUNTIFS('Conciliacion de compuestos'!$D$2:$D$48,"conciliado",'Conciliacion de compuestos'!$E$2:$E$48,"OK",'Conciliacion de compuestos'!$N$2:$N$48,A330),COUNTIFS('Conciliacion de compuestos'!$D$2:$D$48,"conciliado",'Conciliacion de compuestos'!$E$2:$E$48,"OK",'Conciliacion de compuestos'!$O$2:$O$48,A330))&gt;0,IFERROR(TEXTJOIN(CHAR(10),TRUE,FILTER('Conciliacion de compuestos'!$A$2:$A$48,('Conciliacion de compuestos'!$D$2:$D$48="conciliado")*('Conciliacion de compuestos'!$E$2:$E$48="OK")*((('Conciliacion de compuestos'!$M$2:$M$48=A330)+('Conciliacion de compuestos'!$N$2:$N$48=A330)+('Conciliacion de compuestos'!$O$2:$O$48=A330))&gt;0))),""),"")</f>
        <v/>
      </c>
      <c r="G330" s="11">
        <f>IF(I330="conciliado","conciliado","por revisar")</f>
        <v/>
      </c>
      <c r="H330" s="11" t="inlineStr"/>
      <c r="I330" s="11">
        <f>IF(SUM(COUNTIFS('Conciliacion de compuestos'!$D$2:$D$48,"conciliado",'Conciliacion de compuestos'!$E$2:$E$48,"OK",'Conciliacion de compuestos'!$M$2:$M$48,A330),COUNTIFS('Conciliacion de compuestos'!$D$2:$D$48,"conciliado",'Conciliacion de compuestos'!$E$2:$E$48,"OK",'Conciliacion de compuestos'!$N$2:$N$48,A330),COUNTIFS('Conciliacion de compuestos'!$D$2:$D$48,"conciliado",'Conciliacion de compuestos'!$E$2:$E$48,"OK",'Conciliacion de compuestos'!$O$2:$O$48,A330))&gt;0,"conciliado","por revisar")</f>
        <v/>
      </c>
    </row>
    <row r="331">
      <c r="A331" s="11" t="n">
        <v>283</v>
      </c>
      <c r="B331" s="12" t="n">
        <v>46015</v>
      </c>
      <c r="C331" s="11" t="inlineStr">
        <is>
          <t>casanova m rodriguez</t>
        </is>
      </c>
      <c r="D331" s="13" t="n">
        <v>19000</v>
      </c>
      <c r="E331" s="11">
        <f>IF(G331="conciliado","conciliado",I331)</f>
        <v/>
      </c>
      <c r="F331" s="11">
        <f>IF(SUM(COUNTIFS('Conciliacion de compuestos'!$D$2:$D$48,"conciliado",'Conciliacion de compuestos'!$E$2:$E$48,"OK",'Conciliacion de compuestos'!$M$2:$M$48,A331),COUNTIFS('Conciliacion de compuestos'!$D$2:$D$48,"conciliado",'Conciliacion de compuestos'!$E$2:$E$48,"OK",'Conciliacion de compuestos'!$N$2:$N$48,A331),COUNTIFS('Conciliacion de compuestos'!$D$2:$D$48,"conciliado",'Conciliacion de compuestos'!$E$2:$E$48,"OK",'Conciliacion de compuestos'!$O$2:$O$48,A331))&gt;0,IFERROR(TEXTJOIN(CHAR(10),TRUE,FILTER('Conciliacion de compuestos'!$A$2:$A$48,('Conciliacion de compuestos'!$D$2:$D$48="conciliado")*('Conciliacion de compuestos'!$E$2:$E$48="OK")*((('Conciliacion de compuestos'!$M$2:$M$48=A331)+('Conciliacion de compuestos'!$N$2:$N$48=A331)+('Conciliacion de compuestos'!$O$2:$O$48=A331))&gt;0))),""),"")</f>
        <v/>
      </c>
      <c r="G331" s="11">
        <f>IF(I331="conciliado","conciliado","por revisar")</f>
        <v/>
      </c>
      <c r="H331" s="11" t="inlineStr"/>
      <c r="I331" s="11">
        <f>IF(SUM(COUNTIFS('Conciliacion de compuestos'!$D$2:$D$48,"conciliado",'Conciliacion de compuestos'!$E$2:$E$48,"OK",'Conciliacion de compuestos'!$M$2:$M$48,A331),COUNTIFS('Conciliacion de compuestos'!$D$2:$D$48,"conciliado",'Conciliacion de compuestos'!$E$2:$E$48,"OK",'Conciliacion de compuestos'!$N$2:$N$48,A331),COUNTIFS('Conciliacion de compuestos'!$D$2:$D$48,"conciliado",'Conciliacion de compuestos'!$E$2:$E$48,"OK",'Conciliacion de compuestos'!$O$2:$O$48,A331))&gt;0,"conciliado","por revisar")</f>
        <v/>
      </c>
    </row>
    <row r="332">
      <c r="A332" s="11" t="n">
        <v>285</v>
      </c>
      <c r="B332" s="12" t="n">
        <v>46015</v>
      </c>
      <c r="C332" s="11" t="inlineStr">
        <is>
          <t>cuaran cuaran pablo</t>
        </is>
      </c>
      <c r="D332" s="13" t="n">
        <v>60000</v>
      </c>
      <c r="E332" s="11">
        <f>IF(G332="conciliado","conciliado",I332)</f>
        <v/>
      </c>
      <c r="F332" s="11">
        <f>IF(SUM(COUNTIFS('Conciliacion de compuestos'!$D$2:$D$48,"conciliado",'Conciliacion de compuestos'!$E$2:$E$48,"OK",'Conciliacion de compuestos'!$M$2:$M$48,A332),COUNTIFS('Conciliacion de compuestos'!$D$2:$D$48,"conciliado",'Conciliacion de compuestos'!$E$2:$E$48,"OK",'Conciliacion de compuestos'!$N$2:$N$48,A332),COUNTIFS('Conciliacion de compuestos'!$D$2:$D$48,"conciliado",'Conciliacion de compuestos'!$E$2:$E$48,"OK",'Conciliacion de compuestos'!$O$2:$O$48,A332))&gt;0,IFERROR(TEXTJOIN(CHAR(10),TRUE,FILTER('Conciliacion de compuestos'!$A$2:$A$48,('Conciliacion de compuestos'!$D$2:$D$48="conciliado")*('Conciliacion de compuestos'!$E$2:$E$48="OK")*((('Conciliacion de compuestos'!$M$2:$M$48=A332)+('Conciliacion de compuestos'!$N$2:$N$48=A332)+('Conciliacion de compuestos'!$O$2:$O$48=A332))&gt;0))),""),"")</f>
        <v/>
      </c>
      <c r="G332" s="11">
        <f>IF(I332="conciliado","conciliado","por revisar")</f>
        <v/>
      </c>
      <c r="H332" s="11" t="inlineStr"/>
      <c r="I332" s="11">
        <f>IF(SUM(COUNTIFS('Conciliacion de compuestos'!$D$2:$D$48,"conciliado",'Conciliacion de compuestos'!$E$2:$E$48,"OK",'Conciliacion de compuestos'!$M$2:$M$48,A332),COUNTIFS('Conciliacion de compuestos'!$D$2:$D$48,"conciliado",'Conciliacion de compuestos'!$E$2:$E$48,"OK",'Conciliacion de compuestos'!$N$2:$N$48,A332),COUNTIFS('Conciliacion de compuestos'!$D$2:$D$48,"conciliado",'Conciliacion de compuestos'!$E$2:$E$48,"OK",'Conciliacion de compuestos'!$O$2:$O$48,A332))&gt;0,"conciliado","por revisar")</f>
        <v/>
      </c>
    </row>
    <row r="333">
      <c r="A333" s="11" t="n">
        <v>287</v>
      </c>
      <c r="B333" s="12" t="n">
        <v>46015</v>
      </c>
      <c r="C333" s="11" t="inlineStr">
        <is>
          <t>andres rueda</t>
        </is>
      </c>
      <c r="D333" s="13" t="n">
        <v>20000</v>
      </c>
      <c r="E333" s="11">
        <f>IF(G333="conciliado","conciliado",I333)</f>
        <v/>
      </c>
      <c r="F333" s="11">
        <f>IF(SUM(COUNTIFS('Conciliacion de compuestos'!$D$2:$D$48,"conciliado",'Conciliacion de compuestos'!$E$2:$E$48,"OK",'Conciliacion de compuestos'!$M$2:$M$48,A333),COUNTIFS('Conciliacion de compuestos'!$D$2:$D$48,"conciliado",'Conciliacion de compuestos'!$E$2:$E$48,"OK",'Conciliacion de compuestos'!$N$2:$N$48,A333),COUNTIFS('Conciliacion de compuestos'!$D$2:$D$48,"conciliado",'Conciliacion de compuestos'!$E$2:$E$48,"OK",'Conciliacion de compuestos'!$O$2:$O$48,A333))&gt;0,IFERROR(TEXTJOIN(CHAR(10),TRUE,FILTER('Conciliacion de compuestos'!$A$2:$A$48,('Conciliacion de compuestos'!$D$2:$D$48="conciliado")*('Conciliacion de compuestos'!$E$2:$E$48="OK")*((('Conciliacion de compuestos'!$M$2:$M$48=A333)+('Conciliacion de compuestos'!$N$2:$N$48=A333)+('Conciliacion de compuestos'!$O$2:$O$48=A333))&gt;0))),""),"")</f>
        <v/>
      </c>
      <c r="G333" s="11">
        <f>IF(I333="conciliado","conciliado","por revisar")</f>
        <v/>
      </c>
      <c r="H333" s="11" t="inlineStr"/>
      <c r="I333" s="11">
        <f>IF(SUM(COUNTIFS('Conciliacion de compuestos'!$D$2:$D$48,"conciliado",'Conciliacion de compuestos'!$E$2:$E$48,"OK",'Conciliacion de compuestos'!$M$2:$M$48,A333),COUNTIFS('Conciliacion de compuestos'!$D$2:$D$48,"conciliado",'Conciliacion de compuestos'!$E$2:$E$48,"OK",'Conciliacion de compuestos'!$N$2:$N$48,A333),COUNTIFS('Conciliacion de compuestos'!$D$2:$D$48,"conciliado",'Conciliacion de compuestos'!$E$2:$E$48,"OK",'Conciliacion de compuestos'!$O$2:$O$48,A333))&gt;0,"conciliado","por revisar")</f>
        <v/>
      </c>
    </row>
    <row r="334">
      <c r="A334" s="11" t="n">
        <v>293</v>
      </c>
      <c r="B334" s="12" t="n">
        <v>46016</v>
      </c>
      <c r="C334" s="11" t="inlineStr">
        <is>
          <t>arboleda florez joan</t>
        </is>
      </c>
      <c r="D334" s="13" t="n">
        <v>108000</v>
      </c>
      <c r="E334" s="11">
        <f>IF(G334="conciliado","conciliado",I334)</f>
        <v/>
      </c>
      <c r="F334" s="11">
        <f>IF(SUM(COUNTIFS('Conciliacion de compuestos'!$D$2:$D$48,"conciliado",'Conciliacion de compuestos'!$E$2:$E$48,"OK",'Conciliacion de compuestos'!$M$2:$M$48,A334),COUNTIFS('Conciliacion de compuestos'!$D$2:$D$48,"conciliado",'Conciliacion de compuestos'!$E$2:$E$48,"OK",'Conciliacion de compuestos'!$N$2:$N$48,A334),COUNTIFS('Conciliacion de compuestos'!$D$2:$D$48,"conciliado",'Conciliacion de compuestos'!$E$2:$E$48,"OK",'Conciliacion de compuestos'!$O$2:$O$48,A334))&gt;0,IFERROR(TEXTJOIN(CHAR(10),TRUE,FILTER('Conciliacion de compuestos'!$A$2:$A$48,('Conciliacion de compuestos'!$D$2:$D$48="conciliado")*('Conciliacion de compuestos'!$E$2:$E$48="OK")*((('Conciliacion de compuestos'!$M$2:$M$48=A334)+('Conciliacion de compuestos'!$N$2:$N$48=A334)+('Conciliacion de compuestos'!$O$2:$O$48=A334))&gt;0))),""),"")</f>
        <v/>
      </c>
      <c r="G334" s="11">
        <f>IF(I334="conciliado","conciliado","por revisar")</f>
        <v/>
      </c>
      <c r="H334" s="11" t="inlineStr"/>
      <c r="I334" s="11">
        <f>IF(SUM(COUNTIFS('Conciliacion de compuestos'!$D$2:$D$48,"conciliado",'Conciliacion de compuestos'!$E$2:$E$48,"OK",'Conciliacion de compuestos'!$M$2:$M$48,A334),COUNTIFS('Conciliacion de compuestos'!$D$2:$D$48,"conciliado",'Conciliacion de compuestos'!$E$2:$E$48,"OK",'Conciliacion de compuestos'!$N$2:$N$48,A334),COUNTIFS('Conciliacion de compuestos'!$D$2:$D$48,"conciliado",'Conciliacion de compuestos'!$E$2:$E$48,"OK",'Conciliacion de compuestos'!$O$2:$O$48,A334))&gt;0,"conciliado","por revisar")</f>
        <v/>
      </c>
    </row>
    <row r="335">
      <c r="A335" s="11" t="n">
        <v>295</v>
      </c>
      <c r="B335" s="12" t="n">
        <v>46016</v>
      </c>
      <c r="C335" s="11" t="inlineStr">
        <is>
          <t>batista jorge verbel</t>
        </is>
      </c>
      <c r="D335" s="13" t="n">
        <v>106000</v>
      </c>
      <c r="E335" s="11">
        <f>IF(G335="conciliado","conciliado",I335)</f>
        <v/>
      </c>
      <c r="F335" s="11">
        <f>IF(SUM(COUNTIFS('Conciliacion de compuestos'!$D$2:$D$48,"conciliado",'Conciliacion de compuestos'!$E$2:$E$48,"OK",'Conciliacion de compuestos'!$M$2:$M$48,A335),COUNTIFS('Conciliacion de compuestos'!$D$2:$D$48,"conciliado",'Conciliacion de compuestos'!$E$2:$E$48,"OK",'Conciliacion de compuestos'!$N$2:$N$48,A335),COUNTIFS('Conciliacion de compuestos'!$D$2:$D$48,"conciliado",'Conciliacion de compuestos'!$E$2:$E$48,"OK",'Conciliacion de compuestos'!$O$2:$O$48,A335))&gt;0,IFERROR(TEXTJOIN(CHAR(10),TRUE,FILTER('Conciliacion de compuestos'!$A$2:$A$48,('Conciliacion de compuestos'!$D$2:$D$48="conciliado")*('Conciliacion de compuestos'!$E$2:$E$48="OK")*((('Conciliacion de compuestos'!$M$2:$M$48=A335)+('Conciliacion de compuestos'!$N$2:$N$48=A335)+('Conciliacion de compuestos'!$O$2:$O$48=A335))&gt;0))),""),"")</f>
        <v/>
      </c>
      <c r="G335" s="11">
        <f>IF(I335="conciliado","conciliado","por revisar")</f>
        <v/>
      </c>
      <c r="H335" s="11" t="inlineStr"/>
      <c r="I335" s="11">
        <f>IF(SUM(COUNTIFS('Conciliacion de compuestos'!$D$2:$D$48,"conciliado",'Conciliacion de compuestos'!$E$2:$E$48,"OK",'Conciliacion de compuestos'!$M$2:$M$48,A335),COUNTIFS('Conciliacion de compuestos'!$D$2:$D$48,"conciliado",'Conciliacion de compuestos'!$E$2:$E$48,"OK",'Conciliacion de compuestos'!$N$2:$N$48,A335),COUNTIFS('Conciliacion de compuestos'!$D$2:$D$48,"conciliado",'Conciliacion de compuestos'!$E$2:$E$48,"OK",'Conciliacion de compuestos'!$O$2:$O$48,A335))&gt;0,"conciliado","por revisar")</f>
        <v/>
      </c>
    </row>
    <row r="336">
      <c r="A336" s="11" t="n">
        <v>296</v>
      </c>
      <c r="B336" s="12" t="n">
        <v>46016</v>
      </c>
      <c r="C336" s="11" t="inlineStr">
        <is>
          <t>juan mesias perafan</t>
        </is>
      </c>
      <c r="D336" s="13" t="n">
        <v>32500</v>
      </c>
      <c r="E336" s="11">
        <f>IF(G336="conciliado","conciliado",I336)</f>
        <v/>
      </c>
      <c r="F336" s="11">
        <f>IF(SUM(COUNTIFS('Conciliacion de compuestos'!$D$2:$D$48,"conciliado",'Conciliacion de compuestos'!$E$2:$E$48,"OK",'Conciliacion de compuestos'!$M$2:$M$48,A336),COUNTIFS('Conciliacion de compuestos'!$D$2:$D$48,"conciliado",'Conciliacion de compuestos'!$E$2:$E$48,"OK",'Conciliacion de compuestos'!$N$2:$N$48,A336),COUNTIFS('Conciliacion de compuestos'!$D$2:$D$48,"conciliado",'Conciliacion de compuestos'!$E$2:$E$48,"OK",'Conciliacion de compuestos'!$O$2:$O$48,A336))&gt;0,IFERROR(TEXTJOIN(CHAR(10),TRUE,FILTER('Conciliacion de compuestos'!$A$2:$A$48,('Conciliacion de compuestos'!$D$2:$D$48="conciliado")*('Conciliacion de compuestos'!$E$2:$E$48="OK")*((('Conciliacion de compuestos'!$M$2:$M$48=A336)+('Conciliacion de compuestos'!$N$2:$N$48=A336)+('Conciliacion de compuestos'!$O$2:$O$48=A336))&gt;0))),""),"")</f>
        <v/>
      </c>
      <c r="G336" s="11">
        <f>IF(I336="conciliado","conciliado","por revisar")</f>
        <v/>
      </c>
      <c r="H336" s="11" t="inlineStr"/>
      <c r="I336" s="11">
        <f>IF(SUM(COUNTIFS('Conciliacion de compuestos'!$D$2:$D$48,"conciliado",'Conciliacion de compuestos'!$E$2:$E$48,"OK",'Conciliacion de compuestos'!$M$2:$M$48,A336),COUNTIFS('Conciliacion de compuestos'!$D$2:$D$48,"conciliado",'Conciliacion de compuestos'!$E$2:$E$48,"OK",'Conciliacion de compuestos'!$N$2:$N$48,A336),COUNTIFS('Conciliacion de compuestos'!$D$2:$D$48,"conciliado",'Conciliacion de compuestos'!$E$2:$E$48,"OK",'Conciliacion de compuestos'!$O$2:$O$48,A336))&gt;0,"conciliado","por revisar")</f>
        <v/>
      </c>
    </row>
    <row r="337">
      <c r="A337" s="11" t="n">
        <v>298</v>
      </c>
      <c r="B337" s="12" t="n">
        <v>46016</v>
      </c>
      <c r="C337" s="11" t="inlineStr">
        <is>
          <t>benavides cris guaca</t>
        </is>
      </c>
      <c r="D337" s="13" t="n">
        <v>42000</v>
      </c>
      <c r="E337" s="11">
        <f>IF(G337="conciliado","conciliado",I337)</f>
        <v/>
      </c>
      <c r="F337" s="11">
        <f>IF(SUM(COUNTIFS('Conciliacion de compuestos'!$D$2:$D$48,"conciliado",'Conciliacion de compuestos'!$E$2:$E$48,"OK",'Conciliacion de compuestos'!$M$2:$M$48,A337),COUNTIFS('Conciliacion de compuestos'!$D$2:$D$48,"conciliado",'Conciliacion de compuestos'!$E$2:$E$48,"OK",'Conciliacion de compuestos'!$N$2:$N$48,A337),COUNTIFS('Conciliacion de compuestos'!$D$2:$D$48,"conciliado",'Conciliacion de compuestos'!$E$2:$E$48,"OK",'Conciliacion de compuestos'!$O$2:$O$48,A337))&gt;0,IFERROR(TEXTJOIN(CHAR(10),TRUE,FILTER('Conciliacion de compuestos'!$A$2:$A$48,('Conciliacion de compuestos'!$D$2:$D$48="conciliado")*('Conciliacion de compuestos'!$E$2:$E$48="OK")*((('Conciliacion de compuestos'!$M$2:$M$48=A337)+('Conciliacion de compuestos'!$N$2:$N$48=A337)+('Conciliacion de compuestos'!$O$2:$O$48=A337))&gt;0))),""),"")</f>
        <v/>
      </c>
      <c r="G337" s="11">
        <f>IF(I337="conciliado","conciliado","por revisar")</f>
        <v/>
      </c>
      <c r="H337" s="11" t="inlineStr"/>
      <c r="I337" s="11">
        <f>IF(SUM(COUNTIFS('Conciliacion de compuestos'!$D$2:$D$48,"conciliado",'Conciliacion de compuestos'!$E$2:$E$48,"OK",'Conciliacion de compuestos'!$M$2:$M$48,A337),COUNTIFS('Conciliacion de compuestos'!$D$2:$D$48,"conciliado",'Conciliacion de compuestos'!$E$2:$E$48,"OK",'Conciliacion de compuestos'!$N$2:$N$48,A337),COUNTIFS('Conciliacion de compuestos'!$D$2:$D$48,"conciliado",'Conciliacion de compuestos'!$E$2:$E$48,"OK",'Conciliacion de compuestos'!$O$2:$O$48,A337))&gt;0,"conciliado","por revisar")</f>
        <v/>
      </c>
    </row>
    <row r="338">
      <c r="A338" s="11" t="n">
        <v>307</v>
      </c>
      <c r="B338" s="12" t="n">
        <v>46017</v>
      </c>
      <c r="C338" s="11" t="inlineStr">
        <is>
          <t>aislamiento mantenim</t>
        </is>
      </c>
      <c r="D338" s="13" t="n">
        <v>56500</v>
      </c>
      <c r="E338" s="11">
        <f>IF(G338="conciliado","conciliado",I338)</f>
        <v/>
      </c>
      <c r="F338" s="11">
        <f>IF(SUM(COUNTIFS('Conciliacion de compuestos'!$D$2:$D$48,"conciliado",'Conciliacion de compuestos'!$E$2:$E$48,"OK",'Conciliacion de compuestos'!$M$2:$M$48,A338),COUNTIFS('Conciliacion de compuestos'!$D$2:$D$48,"conciliado",'Conciliacion de compuestos'!$E$2:$E$48,"OK",'Conciliacion de compuestos'!$N$2:$N$48,A338),COUNTIFS('Conciliacion de compuestos'!$D$2:$D$48,"conciliado",'Conciliacion de compuestos'!$E$2:$E$48,"OK",'Conciliacion de compuestos'!$O$2:$O$48,A338))&gt;0,IFERROR(TEXTJOIN(CHAR(10),TRUE,FILTER('Conciliacion de compuestos'!$A$2:$A$48,('Conciliacion de compuestos'!$D$2:$D$48="conciliado")*('Conciliacion de compuestos'!$E$2:$E$48="OK")*((('Conciliacion de compuestos'!$M$2:$M$48=A338)+('Conciliacion de compuestos'!$N$2:$N$48=A338)+('Conciliacion de compuestos'!$O$2:$O$48=A338))&gt;0))),""),"")</f>
        <v/>
      </c>
      <c r="G338" s="11">
        <f>IF(I338="conciliado","conciliado","por revisar")</f>
        <v/>
      </c>
      <c r="H338" s="11" t="inlineStr"/>
      <c r="I338" s="11">
        <f>IF(SUM(COUNTIFS('Conciliacion de compuestos'!$D$2:$D$48,"conciliado",'Conciliacion de compuestos'!$E$2:$E$48,"OK",'Conciliacion de compuestos'!$M$2:$M$48,A338),COUNTIFS('Conciliacion de compuestos'!$D$2:$D$48,"conciliado",'Conciliacion de compuestos'!$E$2:$E$48,"OK",'Conciliacion de compuestos'!$N$2:$N$48,A338),COUNTIFS('Conciliacion de compuestos'!$D$2:$D$48,"conciliado",'Conciliacion de compuestos'!$E$2:$E$48,"OK",'Conciliacion de compuestos'!$O$2:$O$48,A338))&gt;0,"conciliado","por revisar")</f>
        <v/>
      </c>
    </row>
    <row r="339">
      <c r="A339" s="11" t="n">
        <v>309</v>
      </c>
      <c r="B339" s="12" t="n">
        <v>46017</v>
      </c>
      <c r="C339" s="11" t="inlineStr">
        <is>
          <t>velasco velasco vero</t>
        </is>
      </c>
      <c r="D339" s="13" t="n">
        <v>26800</v>
      </c>
      <c r="E339" s="11">
        <f>IF(G339="conciliado","conciliado",I339)</f>
        <v/>
      </c>
      <c r="F339" s="11">
        <f>IF(SUM(COUNTIFS('Conciliacion de compuestos'!$D$2:$D$48,"conciliado",'Conciliacion de compuestos'!$E$2:$E$48,"OK",'Conciliacion de compuestos'!$M$2:$M$48,A339),COUNTIFS('Conciliacion de compuestos'!$D$2:$D$48,"conciliado",'Conciliacion de compuestos'!$E$2:$E$48,"OK",'Conciliacion de compuestos'!$N$2:$N$48,A339),COUNTIFS('Conciliacion de compuestos'!$D$2:$D$48,"conciliado",'Conciliacion de compuestos'!$E$2:$E$48,"OK",'Conciliacion de compuestos'!$O$2:$O$48,A339))&gt;0,IFERROR(TEXTJOIN(CHAR(10),TRUE,FILTER('Conciliacion de compuestos'!$A$2:$A$48,('Conciliacion de compuestos'!$D$2:$D$48="conciliado")*('Conciliacion de compuestos'!$E$2:$E$48="OK")*((('Conciliacion de compuestos'!$M$2:$M$48=A339)+('Conciliacion de compuestos'!$N$2:$N$48=A339)+('Conciliacion de compuestos'!$O$2:$O$48=A339))&gt;0))),""),"")</f>
        <v/>
      </c>
      <c r="G339" s="11">
        <f>IF(I339="conciliado","conciliado","por revisar")</f>
        <v/>
      </c>
      <c r="H339" s="11" t="inlineStr"/>
      <c r="I339" s="11">
        <f>IF(SUM(COUNTIFS('Conciliacion de compuestos'!$D$2:$D$48,"conciliado",'Conciliacion de compuestos'!$E$2:$E$48,"OK",'Conciliacion de compuestos'!$M$2:$M$48,A339),COUNTIFS('Conciliacion de compuestos'!$D$2:$D$48,"conciliado",'Conciliacion de compuestos'!$E$2:$E$48,"OK",'Conciliacion de compuestos'!$N$2:$N$48,A339),COUNTIFS('Conciliacion de compuestos'!$D$2:$D$48,"conciliado",'Conciliacion de compuestos'!$E$2:$E$48,"OK",'Conciliacion de compuestos'!$O$2:$O$48,A339))&gt;0,"conciliado","por revisar")</f>
        <v/>
      </c>
    </row>
    <row r="340">
      <c r="A340" s="11" t="n">
        <v>311</v>
      </c>
      <c r="B340" s="12" t="n">
        <v>46017</v>
      </c>
      <c r="C340" s="11" t="inlineStr">
        <is>
          <t>gelpud guinand juan</t>
        </is>
      </c>
      <c r="D340" s="13" t="n">
        <v>65000</v>
      </c>
      <c r="E340" s="11">
        <f>IF(G340="conciliado","conciliado",I340)</f>
        <v/>
      </c>
      <c r="F340" s="11">
        <f>IF(SUM(COUNTIFS('Conciliacion de compuestos'!$D$2:$D$48,"conciliado",'Conciliacion de compuestos'!$E$2:$E$48,"OK",'Conciliacion de compuestos'!$M$2:$M$48,A340),COUNTIFS('Conciliacion de compuestos'!$D$2:$D$48,"conciliado",'Conciliacion de compuestos'!$E$2:$E$48,"OK",'Conciliacion de compuestos'!$N$2:$N$48,A340),COUNTIFS('Conciliacion de compuestos'!$D$2:$D$48,"conciliado",'Conciliacion de compuestos'!$E$2:$E$48,"OK",'Conciliacion de compuestos'!$O$2:$O$48,A340))&gt;0,IFERROR(TEXTJOIN(CHAR(10),TRUE,FILTER('Conciliacion de compuestos'!$A$2:$A$48,('Conciliacion de compuestos'!$D$2:$D$48="conciliado")*('Conciliacion de compuestos'!$E$2:$E$48="OK")*((('Conciliacion de compuestos'!$M$2:$M$48=A340)+('Conciliacion de compuestos'!$N$2:$N$48=A340)+('Conciliacion de compuestos'!$O$2:$O$48=A340))&gt;0))),""),"")</f>
        <v/>
      </c>
      <c r="G340" s="11">
        <f>IF(I340="conciliado","conciliado","por revisar")</f>
        <v/>
      </c>
      <c r="H340" s="11" t="inlineStr"/>
      <c r="I340" s="11">
        <f>IF(SUM(COUNTIFS('Conciliacion de compuestos'!$D$2:$D$48,"conciliado",'Conciliacion de compuestos'!$E$2:$E$48,"OK",'Conciliacion de compuestos'!$M$2:$M$48,A340),COUNTIFS('Conciliacion de compuestos'!$D$2:$D$48,"conciliado",'Conciliacion de compuestos'!$E$2:$E$48,"OK",'Conciliacion de compuestos'!$N$2:$N$48,A340),COUNTIFS('Conciliacion de compuestos'!$D$2:$D$48,"conciliado",'Conciliacion de compuestos'!$E$2:$E$48,"OK",'Conciliacion de compuestos'!$O$2:$O$48,A340))&gt;0,"conciliado","por revisar")</f>
        <v/>
      </c>
    </row>
    <row r="341">
      <c r="A341" s="11" t="n">
        <v>313</v>
      </c>
      <c r="B341" s="12" t="n">
        <v>46018</v>
      </c>
      <c r="C341" s="11" t="inlineStr">
        <is>
          <t>bernal chamorro deys</t>
        </is>
      </c>
      <c r="D341" s="13" t="n">
        <v>39200</v>
      </c>
      <c r="E341" s="11">
        <f>IF(G341="conciliado","conciliado",I341)</f>
        <v/>
      </c>
      <c r="F341" s="11">
        <f>IF(SUM(COUNTIFS('Conciliacion de compuestos'!$D$2:$D$48,"conciliado",'Conciliacion de compuestos'!$E$2:$E$48,"OK",'Conciliacion de compuestos'!$M$2:$M$48,A341),COUNTIFS('Conciliacion de compuestos'!$D$2:$D$48,"conciliado",'Conciliacion de compuestos'!$E$2:$E$48,"OK",'Conciliacion de compuestos'!$N$2:$N$48,A341),COUNTIFS('Conciliacion de compuestos'!$D$2:$D$48,"conciliado",'Conciliacion de compuestos'!$E$2:$E$48,"OK",'Conciliacion de compuestos'!$O$2:$O$48,A341))&gt;0,IFERROR(TEXTJOIN(CHAR(10),TRUE,FILTER('Conciliacion de compuestos'!$A$2:$A$48,('Conciliacion de compuestos'!$D$2:$D$48="conciliado")*('Conciliacion de compuestos'!$E$2:$E$48="OK")*((('Conciliacion de compuestos'!$M$2:$M$48=A341)+('Conciliacion de compuestos'!$N$2:$N$48=A341)+('Conciliacion de compuestos'!$O$2:$O$48=A341))&gt;0))),""),"")</f>
        <v/>
      </c>
      <c r="G341" s="11">
        <f>IF(I341="conciliado","conciliado","por revisar")</f>
        <v/>
      </c>
      <c r="H341" s="11" t="inlineStr"/>
      <c r="I341" s="11">
        <f>IF(SUM(COUNTIFS('Conciliacion de compuestos'!$D$2:$D$48,"conciliado",'Conciliacion de compuestos'!$E$2:$E$48,"OK",'Conciliacion de compuestos'!$M$2:$M$48,A341),COUNTIFS('Conciliacion de compuestos'!$D$2:$D$48,"conciliado",'Conciliacion de compuestos'!$E$2:$E$48,"OK",'Conciliacion de compuestos'!$N$2:$N$48,A341),COUNTIFS('Conciliacion de compuestos'!$D$2:$D$48,"conciliado",'Conciliacion de compuestos'!$E$2:$E$48,"OK",'Conciliacion de compuestos'!$O$2:$O$48,A341))&gt;0,"conciliado","por revisar")</f>
        <v/>
      </c>
    </row>
    <row r="342">
      <c r="A342" s="11" t="n">
        <v>317</v>
      </c>
      <c r="B342" s="12" t="n">
        <v>46018</v>
      </c>
      <c r="C342" s="11" t="inlineStr">
        <is>
          <t>buelvas diaz jose mi</t>
        </is>
      </c>
      <c r="D342" s="13" t="n">
        <v>24400</v>
      </c>
      <c r="E342" s="11">
        <f>IF(G342="conciliado","conciliado",I342)</f>
        <v/>
      </c>
      <c r="F342" s="11">
        <f>IF(SUM(COUNTIFS('Conciliacion de compuestos'!$D$2:$D$48,"conciliado",'Conciliacion de compuestos'!$E$2:$E$48,"OK",'Conciliacion de compuestos'!$M$2:$M$48,A342),COUNTIFS('Conciliacion de compuestos'!$D$2:$D$48,"conciliado",'Conciliacion de compuestos'!$E$2:$E$48,"OK",'Conciliacion de compuestos'!$N$2:$N$48,A342),COUNTIFS('Conciliacion de compuestos'!$D$2:$D$48,"conciliado",'Conciliacion de compuestos'!$E$2:$E$48,"OK",'Conciliacion de compuestos'!$O$2:$O$48,A342))&gt;0,IFERROR(TEXTJOIN(CHAR(10),TRUE,FILTER('Conciliacion de compuestos'!$A$2:$A$48,('Conciliacion de compuestos'!$D$2:$D$48="conciliado")*('Conciliacion de compuestos'!$E$2:$E$48="OK")*((('Conciliacion de compuestos'!$M$2:$M$48=A342)+('Conciliacion de compuestos'!$N$2:$N$48=A342)+('Conciliacion de compuestos'!$O$2:$O$48=A342))&gt;0))),""),"")</f>
        <v/>
      </c>
      <c r="G342" s="11">
        <f>IF(I342="conciliado","conciliado","por revisar")</f>
        <v/>
      </c>
      <c r="H342" s="11" t="inlineStr"/>
      <c r="I342" s="11">
        <f>IF(SUM(COUNTIFS('Conciliacion de compuestos'!$D$2:$D$48,"conciliado",'Conciliacion de compuestos'!$E$2:$E$48,"OK",'Conciliacion de compuestos'!$M$2:$M$48,A342),COUNTIFS('Conciliacion de compuestos'!$D$2:$D$48,"conciliado",'Conciliacion de compuestos'!$E$2:$E$48,"OK",'Conciliacion de compuestos'!$N$2:$N$48,A342),COUNTIFS('Conciliacion de compuestos'!$D$2:$D$48,"conciliado",'Conciliacion de compuestos'!$E$2:$E$48,"OK",'Conciliacion de compuestos'!$O$2:$O$48,A342))&gt;0,"conciliado","por revisar")</f>
        <v/>
      </c>
    </row>
    <row r="343">
      <c r="A343" s="11" t="n">
        <v>318</v>
      </c>
      <c r="B343" s="12" t="n">
        <v>46018</v>
      </c>
      <c r="C343" s="11" t="inlineStr">
        <is>
          <t>coral fr hugo rosero</t>
        </is>
      </c>
      <c r="D343" s="13" t="n">
        <v>63460</v>
      </c>
      <c r="E343" s="11">
        <f>IF(G343="conciliado","conciliado",I343)</f>
        <v/>
      </c>
      <c r="F343" s="11">
        <f>IF(SUM(COUNTIFS('Conciliacion de compuestos'!$D$2:$D$48,"conciliado",'Conciliacion de compuestos'!$E$2:$E$48,"OK",'Conciliacion de compuestos'!$M$2:$M$48,A343),COUNTIFS('Conciliacion de compuestos'!$D$2:$D$48,"conciliado",'Conciliacion de compuestos'!$E$2:$E$48,"OK",'Conciliacion de compuestos'!$N$2:$N$48,A343),COUNTIFS('Conciliacion de compuestos'!$D$2:$D$48,"conciliado",'Conciliacion de compuestos'!$E$2:$E$48,"OK",'Conciliacion de compuestos'!$O$2:$O$48,A343))&gt;0,IFERROR(TEXTJOIN(CHAR(10),TRUE,FILTER('Conciliacion de compuestos'!$A$2:$A$48,('Conciliacion de compuestos'!$D$2:$D$48="conciliado")*('Conciliacion de compuestos'!$E$2:$E$48="OK")*((('Conciliacion de compuestos'!$M$2:$M$48=A343)+('Conciliacion de compuestos'!$N$2:$N$48=A343)+('Conciliacion de compuestos'!$O$2:$O$48=A343))&gt;0))),""),"")</f>
        <v/>
      </c>
      <c r="G343" s="11">
        <f>IF(I343="conciliado","conciliado","por revisar")</f>
        <v/>
      </c>
      <c r="H343" s="11" t="inlineStr"/>
      <c r="I343" s="11">
        <f>IF(SUM(COUNTIFS('Conciliacion de compuestos'!$D$2:$D$48,"conciliado",'Conciliacion de compuestos'!$E$2:$E$48,"OK",'Conciliacion de compuestos'!$M$2:$M$48,A343),COUNTIFS('Conciliacion de compuestos'!$D$2:$D$48,"conciliado",'Conciliacion de compuestos'!$E$2:$E$48,"OK",'Conciliacion de compuestos'!$N$2:$N$48,A343),COUNTIFS('Conciliacion de compuestos'!$D$2:$D$48,"conciliado",'Conciliacion de compuestos'!$E$2:$E$48,"OK",'Conciliacion de compuestos'!$O$2:$O$48,A343))&gt;0,"conciliado","por revisar")</f>
        <v/>
      </c>
    </row>
    <row r="344">
      <c r="A344" s="11" t="n">
        <v>319</v>
      </c>
      <c r="B344" s="12" t="n">
        <v>46018</v>
      </c>
      <c r="C344" s="11" t="inlineStr">
        <is>
          <t>ca cuasialpud rosero</t>
        </is>
      </c>
      <c r="D344" s="13" t="n">
        <v>25900</v>
      </c>
      <c r="E344" s="11">
        <f>IF(G344="conciliado","conciliado",I344)</f>
        <v/>
      </c>
      <c r="F344" s="11">
        <f>IF(SUM(COUNTIFS('Conciliacion de compuestos'!$D$2:$D$48,"conciliado",'Conciliacion de compuestos'!$E$2:$E$48,"OK",'Conciliacion de compuestos'!$M$2:$M$48,A344),COUNTIFS('Conciliacion de compuestos'!$D$2:$D$48,"conciliado",'Conciliacion de compuestos'!$E$2:$E$48,"OK",'Conciliacion de compuestos'!$N$2:$N$48,A344),COUNTIFS('Conciliacion de compuestos'!$D$2:$D$48,"conciliado",'Conciliacion de compuestos'!$E$2:$E$48,"OK",'Conciliacion de compuestos'!$O$2:$O$48,A344))&gt;0,IFERROR(TEXTJOIN(CHAR(10),TRUE,FILTER('Conciliacion de compuestos'!$A$2:$A$48,('Conciliacion de compuestos'!$D$2:$D$48="conciliado")*('Conciliacion de compuestos'!$E$2:$E$48="OK")*((('Conciliacion de compuestos'!$M$2:$M$48=A344)+('Conciliacion de compuestos'!$N$2:$N$48=A344)+('Conciliacion de compuestos'!$O$2:$O$48=A344))&gt;0))),""),"")</f>
        <v/>
      </c>
      <c r="G344" s="11">
        <f>IF(I344="conciliado","conciliado","por revisar")</f>
        <v/>
      </c>
      <c r="H344" s="11" t="inlineStr"/>
      <c r="I344" s="11">
        <f>IF(SUM(COUNTIFS('Conciliacion de compuestos'!$D$2:$D$48,"conciliado",'Conciliacion de compuestos'!$E$2:$E$48,"OK",'Conciliacion de compuestos'!$M$2:$M$48,A344),COUNTIFS('Conciliacion de compuestos'!$D$2:$D$48,"conciliado",'Conciliacion de compuestos'!$E$2:$E$48,"OK",'Conciliacion de compuestos'!$N$2:$N$48,A344),COUNTIFS('Conciliacion de compuestos'!$D$2:$D$48,"conciliado",'Conciliacion de compuestos'!$E$2:$E$48,"OK",'Conciliacion de compuestos'!$O$2:$O$48,A344))&gt;0,"conciliado","por revisar")</f>
        <v/>
      </c>
    </row>
    <row r="345">
      <c r="A345" s="11" t="n">
        <v>320</v>
      </c>
      <c r="B345" s="12" t="n">
        <v>46018</v>
      </c>
      <c r="C345" s="11" t="inlineStr">
        <is>
          <t>gutierrez juan rojas</t>
        </is>
      </c>
      <c r="D345" s="13" t="n">
        <v>46800</v>
      </c>
      <c r="E345" s="11">
        <f>IF(G345="conciliado","conciliado",I345)</f>
        <v/>
      </c>
      <c r="F345" s="11">
        <f>IF(SUM(COUNTIFS('Conciliacion de compuestos'!$D$2:$D$48,"conciliado",'Conciliacion de compuestos'!$E$2:$E$48,"OK",'Conciliacion de compuestos'!$M$2:$M$48,A345),COUNTIFS('Conciliacion de compuestos'!$D$2:$D$48,"conciliado",'Conciliacion de compuestos'!$E$2:$E$48,"OK",'Conciliacion de compuestos'!$N$2:$N$48,A345),COUNTIFS('Conciliacion de compuestos'!$D$2:$D$48,"conciliado",'Conciliacion de compuestos'!$E$2:$E$48,"OK",'Conciliacion de compuestos'!$O$2:$O$48,A345))&gt;0,IFERROR(TEXTJOIN(CHAR(10),TRUE,FILTER('Conciliacion de compuestos'!$A$2:$A$48,('Conciliacion de compuestos'!$D$2:$D$48="conciliado")*('Conciliacion de compuestos'!$E$2:$E$48="OK")*((('Conciliacion de compuestos'!$M$2:$M$48=A345)+('Conciliacion de compuestos'!$N$2:$N$48=A345)+('Conciliacion de compuestos'!$O$2:$O$48=A345))&gt;0))),""),"")</f>
        <v/>
      </c>
      <c r="G345" s="11">
        <f>IF(I345="conciliado","conciliado","por revisar")</f>
        <v/>
      </c>
      <c r="H345" s="11" t="inlineStr"/>
      <c r="I345" s="11">
        <f>IF(SUM(COUNTIFS('Conciliacion de compuestos'!$D$2:$D$48,"conciliado",'Conciliacion de compuestos'!$E$2:$E$48,"OK",'Conciliacion de compuestos'!$M$2:$M$48,A345),COUNTIFS('Conciliacion de compuestos'!$D$2:$D$48,"conciliado",'Conciliacion de compuestos'!$E$2:$E$48,"OK",'Conciliacion de compuestos'!$N$2:$N$48,A345),COUNTIFS('Conciliacion de compuestos'!$D$2:$D$48,"conciliado",'Conciliacion de compuestos'!$E$2:$E$48,"OK",'Conciliacion de compuestos'!$O$2:$O$48,A345))&gt;0,"conciliado","por revisar")</f>
        <v/>
      </c>
    </row>
    <row r="346">
      <c r="A346" s="11" t="n">
        <v>321</v>
      </c>
      <c r="B346" s="12" t="n">
        <v>46018</v>
      </c>
      <c r="C346" s="11" t="inlineStr">
        <is>
          <t>caicedo galindo yani</t>
        </is>
      </c>
      <c r="D346" s="13" t="n">
        <v>108000</v>
      </c>
      <c r="E346" s="11">
        <f>IF(G346="conciliado","conciliado",I346)</f>
        <v/>
      </c>
      <c r="F346" s="11">
        <f>IF(SUM(COUNTIFS('Conciliacion de compuestos'!$D$2:$D$48,"conciliado",'Conciliacion de compuestos'!$E$2:$E$48,"OK",'Conciliacion de compuestos'!$M$2:$M$48,A346),COUNTIFS('Conciliacion de compuestos'!$D$2:$D$48,"conciliado",'Conciliacion de compuestos'!$E$2:$E$48,"OK",'Conciliacion de compuestos'!$N$2:$N$48,A346),COUNTIFS('Conciliacion de compuestos'!$D$2:$D$48,"conciliado",'Conciliacion de compuestos'!$E$2:$E$48,"OK",'Conciliacion de compuestos'!$O$2:$O$48,A346))&gt;0,IFERROR(TEXTJOIN(CHAR(10),TRUE,FILTER('Conciliacion de compuestos'!$A$2:$A$48,('Conciliacion de compuestos'!$D$2:$D$48="conciliado")*('Conciliacion de compuestos'!$E$2:$E$48="OK")*((('Conciliacion de compuestos'!$M$2:$M$48=A346)+('Conciliacion de compuestos'!$N$2:$N$48=A346)+('Conciliacion de compuestos'!$O$2:$O$48=A346))&gt;0))),""),"")</f>
        <v/>
      </c>
      <c r="G346" s="11">
        <f>IF(I346="conciliado","conciliado","por revisar")</f>
        <v/>
      </c>
      <c r="H346" s="11" t="inlineStr"/>
      <c r="I346" s="11">
        <f>IF(SUM(COUNTIFS('Conciliacion de compuestos'!$D$2:$D$48,"conciliado",'Conciliacion de compuestos'!$E$2:$E$48,"OK",'Conciliacion de compuestos'!$M$2:$M$48,A346),COUNTIFS('Conciliacion de compuestos'!$D$2:$D$48,"conciliado",'Conciliacion de compuestos'!$E$2:$E$48,"OK",'Conciliacion de compuestos'!$N$2:$N$48,A346),COUNTIFS('Conciliacion de compuestos'!$D$2:$D$48,"conciliado",'Conciliacion de compuestos'!$E$2:$E$48,"OK",'Conciliacion de compuestos'!$O$2:$O$48,A346))&gt;0,"conciliado","por revisar")</f>
        <v/>
      </c>
    </row>
    <row r="347">
      <c r="A347" s="11" t="n">
        <v>328</v>
      </c>
      <c r="B347" s="12" t="n">
        <v>46018</v>
      </c>
      <c r="C347" s="11" t="inlineStr">
        <is>
          <t>alderete dani obando</t>
        </is>
      </c>
      <c r="D347" s="13" t="n">
        <v>20500</v>
      </c>
      <c r="E347" s="11">
        <f>IF(G347="conciliado","conciliado",I347)</f>
        <v/>
      </c>
      <c r="F347" s="11">
        <f>IF(SUM(COUNTIFS('Conciliacion de compuestos'!$D$2:$D$48,"conciliado",'Conciliacion de compuestos'!$E$2:$E$48,"OK",'Conciliacion de compuestos'!$M$2:$M$48,A347),COUNTIFS('Conciliacion de compuestos'!$D$2:$D$48,"conciliado",'Conciliacion de compuestos'!$E$2:$E$48,"OK",'Conciliacion de compuestos'!$N$2:$N$48,A347),COUNTIFS('Conciliacion de compuestos'!$D$2:$D$48,"conciliado",'Conciliacion de compuestos'!$E$2:$E$48,"OK",'Conciliacion de compuestos'!$O$2:$O$48,A347))&gt;0,IFERROR(TEXTJOIN(CHAR(10),TRUE,FILTER('Conciliacion de compuestos'!$A$2:$A$48,('Conciliacion de compuestos'!$D$2:$D$48="conciliado")*('Conciliacion de compuestos'!$E$2:$E$48="OK")*((('Conciliacion de compuestos'!$M$2:$M$48=A347)+('Conciliacion de compuestos'!$N$2:$N$48=A347)+('Conciliacion de compuestos'!$O$2:$O$48=A347))&gt;0))),""),"")</f>
        <v/>
      </c>
      <c r="G347" s="11">
        <f>IF(I347="conciliado","conciliado","por revisar")</f>
        <v/>
      </c>
      <c r="H347" s="11" t="inlineStr"/>
      <c r="I347" s="11">
        <f>IF(SUM(COUNTIFS('Conciliacion de compuestos'!$D$2:$D$48,"conciliado",'Conciliacion de compuestos'!$E$2:$E$48,"OK",'Conciliacion de compuestos'!$M$2:$M$48,A347),COUNTIFS('Conciliacion de compuestos'!$D$2:$D$48,"conciliado",'Conciliacion de compuestos'!$E$2:$E$48,"OK",'Conciliacion de compuestos'!$N$2:$N$48,A347),COUNTIFS('Conciliacion de compuestos'!$D$2:$D$48,"conciliado",'Conciliacion de compuestos'!$E$2:$E$48,"OK",'Conciliacion de compuestos'!$O$2:$O$48,A347))&gt;0,"conciliado","por revisar")</f>
        <v/>
      </c>
    </row>
    <row r="348">
      <c r="A348" s="11" t="n">
        <v>330</v>
      </c>
      <c r="B348" s="12" t="n">
        <v>46019</v>
      </c>
      <c r="C348" s="11" t="inlineStr">
        <is>
          <t>guanga seg sevillano</t>
        </is>
      </c>
      <c r="D348" s="13" t="n">
        <v>150000</v>
      </c>
      <c r="E348" s="11">
        <f>IF(G348="conciliado","conciliado",I348)</f>
        <v/>
      </c>
      <c r="F348" s="11">
        <f>IF(SUM(COUNTIFS('Conciliacion de compuestos'!$D$2:$D$48,"conciliado",'Conciliacion de compuestos'!$E$2:$E$48,"OK",'Conciliacion de compuestos'!$M$2:$M$48,A348),COUNTIFS('Conciliacion de compuestos'!$D$2:$D$48,"conciliado",'Conciliacion de compuestos'!$E$2:$E$48,"OK",'Conciliacion de compuestos'!$N$2:$N$48,A348),COUNTIFS('Conciliacion de compuestos'!$D$2:$D$48,"conciliado",'Conciliacion de compuestos'!$E$2:$E$48,"OK",'Conciliacion de compuestos'!$O$2:$O$48,A348))&gt;0,IFERROR(TEXTJOIN(CHAR(10),TRUE,FILTER('Conciliacion de compuestos'!$A$2:$A$48,('Conciliacion de compuestos'!$D$2:$D$48="conciliado")*('Conciliacion de compuestos'!$E$2:$E$48="OK")*((('Conciliacion de compuestos'!$M$2:$M$48=A348)+('Conciliacion de compuestos'!$N$2:$N$48=A348)+('Conciliacion de compuestos'!$O$2:$O$48=A348))&gt;0))),""),"")</f>
        <v/>
      </c>
      <c r="G348" s="11">
        <f>IF(I348="conciliado","conciliado","por revisar")</f>
        <v/>
      </c>
      <c r="H348" s="11" t="inlineStr"/>
      <c r="I348" s="11">
        <f>IF(SUM(COUNTIFS('Conciliacion de compuestos'!$D$2:$D$48,"conciliado",'Conciliacion de compuestos'!$E$2:$E$48,"OK",'Conciliacion de compuestos'!$M$2:$M$48,A348),COUNTIFS('Conciliacion de compuestos'!$D$2:$D$48,"conciliado",'Conciliacion de compuestos'!$E$2:$E$48,"OK",'Conciliacion de compuestos'!$N$2:$N$48,A348),COUNTIFS('Conciliacion de compuestos'!$D$2:$D$48,"conciliado",'Conciliacion de compuestos'!$E$2:$E$48,"OK",'Conciliacion de compuestos'!$O$2:$O$48,A348))&gt;0,"conciliado","por revisar")</f>
        <v/>
      </c>
    </row>
    <row r="349">
      <c r="A349" s="11" t="n">
        <v>332</v>
      </c>
      <c r="B349" s="12" t="n">
        <v>46019</v>
      </c>
      <c r="C349" s="11" t="inlineStr">
        <is>
          <t>consumidor final</t>
        </is>
      </c>
      <c r="D349" s="13" t="n">
        <v>150000</v>
      </c>
      <c r="E349" s="11">
        <f>IF(G349="conciliado","conciliado",I349)</f>
        <v/>
      </c>
      <c r="F349" s="11">
        <f>IF(SUM(COUNTIFS('Conciliacion de compuestos'!$D$2:$D$48,"conciliado",'Conciliacion de compuestos'!$E$2:$E$48,"OK",'Conciliacion de compuestos'!$M$2:$M$48,A349),COUNTIFS('Conciliacion de compuestos'!$D$2:$D$48,"conciliado",'Conciliacion de compuestos'!$E$2:$E$48,"OK",'Conciliacion de compuestos'!$N$2:$N$48,A349),COUNTIFS('Conciliacion de compuestos'!$D$2:$D$48,"conciliado",'Conciliacion de compuestos'!$E$2:$E$48,"OK",'Conciliacion de compuestos'!$O$2:$O$48,A349))&gt;0,IFERROR(TEXTJOIN(CHAR(10),TRUE,FILTER('Conciliacion de compuestos'!$A$2:$A$48,('Conciliacion de compuestos'!$D$2:$D$48="conciliado")*('Conciliacion de compuestos'!$E$2:$E$48="OK")*((('Conciliacion de compuestos'!$M$2:$M$48=A349)+('Conciliacion de compuestos'!$N$2:$N$48=A349)+('Conciliacion de compuestos'!$O$2:$O$48=A349))&gt;0))),""),"")</f>
        <v/>
      </c>
      <c r="G349" s="11">
        <f>IF(I349="conciliado","conciliado","por revisar")</f>
        <v/>
      </c>
      <c r="H349" s="11" t="inlineStr"/>
      <c r="I349" s="11">
        <f>IF(SUM(COUNTIFS('Conciliacion de compuestos'!$D$2:$D$48,"conciliado",'Conciliacion de compuestos'!$E$2:$E$48,"OK",'Conciliacion de compuestos'!$M$2:$M$48,A349),COUNTIFS('Conciliacion de compuestos'!$D$2:$D$48,"conciliado",'Conciliacion de compuestos'!$E$2:$E$48,"OK",'Conciliacion de compuestos'!$N$2:$N$48,A349),COUNTIFS('Conciliacion de compuestos'!$D$2:$D$48,"conciliado",'Conciliacion de compuestos'!$E$2:$E$48,"OK",'Conciliacion de compuestos'!$O$2:$O$48,A349))&gt;0,"conciliado","por revisar")</f>
        <v/>
      </c>
    </row>
    <row r="350">
      <c r="A350" s="11" t="n">
        <v>341</v>
      </c>
      <c r="B350" s="12" t="n">
        <v>46020</v>
      </c>
      <c r="C350" s="11" t="inlineStr">
        <is>
          <t>herrera ruales victo</t>
        </is>
      </c>
      <c r="D350" s="13" t="n">
        <v>56200</v>
      </c>
      <c r="E350" s="11">
        <f>IF(G350="conciliado","conciliado",I350)</f>
        <v/>
      </c>
      <c r="F350" s="11">
        <f>IF(SUM(COUNTIFS('Conciliacion de compuestos'!$D$2:$D$48,"conciliado",'Conciliacion de compuestos'!$E$2:$E$48,"OK",'Conciliacion de compuestos'!$M$2:$M$48,A350),COUNTIFS('Conciliacion de compuestos'!$D$2:$D$48,"conciliado",'Conciliacion de compuestos'!$E$2:$E$48,"OK",'Conciliacion de compuestos'!$N$2:$N$48,A350),COUNTIFS('Conciliacion de compuestos'!$D$2:$D$48,"conciliado",'Conciliacion de compuestos'!$E$2:$E$48,"OK",'Conciliacion de compuestos'!$O$2:$O$48,A350))&gt;0,IFERROR(TEXTJOIN(CHAR(10),TRUE,FILTER('Conciliacion de compuestos'!$A$2:$A$48,('Conciliacion de compuestos'!$D$2:$D$48="conciliado")*('Conciliacion de compuestos'!$E$2:$E$48="OK")*((('Conciliacion de compuestos'!$M$2:$M$48=A350)+('Conciliacion de compuestos'!$N$2:$N$48=A350)+('Conciliacion de compuestos'!$O$2:$O$48=A350))&gt;0))),""),"")</f>
        <v/>
      </c>
      <c r="G350" s="11">
        <f>IF(I350="conciliado","conciliado","por revisar")</f>
        <v/>
      </c>
      <c r="H350" s="11" t="inlineStr"/>
      <c r="I350" s="11">
        <f>IF(SUM(COUNTIFS('Conciliacion de compuestos'!$D$2:$D$48,"conciliado",'Conciliacion de compuestos'!$E$2:$E$48,"OK",'Conciliacion de compuestos'!$M$2:$M$48,A350),COUNTIFS('Conciliacion de compuestos'!$D$2:$D$48,"conciliado",'Conciliacion de compuestos'!$E$2:$E$48,"OK",'Conciliacion de compuestos'!$N$2:$N$48,A350),COUNTIFS('Conciliacion de compuestos'!$D$2:$D$48,"conciliado",'Conciliacion de compuestos'!$E$2:$E$48,"OK",'Conciliacion de compuestos'!$O$2:$O$48,A350))&gt;0,"conciliado","por revisar")</f>
        <v/>
      </c>
    </row>
    <row r="351">
      <c r="A351" s="11" t="n">
        <v>344</v>
      </c>
      <c r="B351" s="12" t="n">
        <v>46020</v>
      </c>
      <c r="C351" s="11" t="inlineStr">
        <is>
          <t>gina m moncayo ponce</t>
        </is>
      </c>
      <c r="D351" s="13" t="n">
        <v>67400</v>
      </c>
      <c r="E351" s="11">
        <f>IF(G351="conciliado","conciliado",I351)</f>
        <v/>
      </c>
      <c r="F351" s="11">
        <f>IF(SUM(COUNTIFS('Conciliacion de compuestos'!$D$2:$D$48,"conciliado",'Conciliacion de compuestos'!$E$2:$E$48,"OK",'Conciliacion de compuestos'!$M$2:$M$48,A351),COUNTIFS('Conciliacion de compuestos'!$D$2:$D$48,"conciliado",'Conciliacion de compuestos'!$E$2:$E$48,"OK",'Conciliacion de compuestos'!$N$2:$N$48,A351),COUNTIFS('Conciliacion de compuestos'!$D$2:$D$48,"conciliado",'Conciliacion de compuestos'!$E$2:$E$48,"OK",'Conciliacion de compuestos'!$O$2:$O$48,A351))&gt;0,IFERROR(TEXTJOIN(CHAR(10),TRUE,FILTER('Conciliacion de compuestos'!$A$2:$A$48,('Conciliacion de compuestos'!$D$2:$D$48="conciliado")*('Conciliacion de compuestos'!$E$2:$E$48="OK")*((('Conciliacion de compuestos'!$M$2:$M$48=A351)+('Conciliacion de compuestos'!$N$2:$N$48=A351)+('Conciliacion de compuestos'!$O$2:$O$48=A351))&gt;0))),""),"")</f>
        <v/>
      </c>
      <c r="G351" s="11">
        <f>IF(I351="conciliado","conciliado","por revisar")</f>
        <v/>
      </c>
      <c r="H351" s="11" t="inlineStr"/>
      <c r="I351" s="11">
        <f>IF(SUM(COUNTIFS('Conciliacion de compuestos'!$D$2:$D$48,"conciliado",'Conciliacion de compuestos'!$E$2:$E$48,"OK",'Conciliacion de compuestos'!$M$2:$M$48,A351),COUNTIFS('Conciliacion de compuestos'!$D$2:$D$48,"conciliado",'Conciliacion de compuestos'!$E$2:$E$48,"OK",'Conciliacion de compuestos'!$N$2:$N$48,A351),COUNTIFS('Conciliacion de compuestos'!$D$2:$D$48,"conciliado",'Conciliacion de compuestos'!$E$2:$E$48,"OK",'Conciliacion de compuestos'!$O$2:$O$48,A351))&gt;0,"conciliado","por revisar")</f>
        <v/>
      </c>
    </row>
    <row r="352">
      <c r="A352" s="11" t="n">
        <v>345</v>
      </c>
      <c r="B352" s="12" t="n">
        <v>46020</v>
      </c>
      <c r="C352" s="11" t="inlineStr">
        <is>
          <t>al enriquez yaguapaz</t>
        </is>
      </c>
      <c r="D352" s="13" t="n">
        <v>52100</v>
      </c>
      <c r="E352" s="11">
        <f>IF(G352="conciliado","conciliado",I352)</f>
        <v/>
      </c>
      <c r="F352" s="11">
        <f>IF(SUM(COUNTIFS('Conciliacion de compuestos'!$D$2:$D$48,"conciliado",'Conciliacion de compuestos'!$E$2:$E$48,"OK",'Conciliacion de compuestos'!$M$2:$M$48,A352),COUNTIFS('Conciliacion de compuestos'!$D$2:$D$48,"conciliado",'Conciliacion de compuestos'!$E$2:$E$48,"OK",'Conciliacion de compuestos'!$N$2:$N$48,A352),COUNTIFS('Conciliacion de compuestos'!$D$2:$D$48,"conciliado",'Conciliacion de compuestos'!$E$2:$E$48,"OK",'Conciliacion de compuestos'!$O$2:$O$48,A352))&gt;0,IFERROR(TEXTJOIN(CHAR(10),TRUE,FILTER('Conciliacion de compuestos'!$A$2:$A$48,('Conciliacion de compuestos'!$D$2:$D$48="conciliado")*('Conciliacion de compuestos'!$E$2:$E$48="OK")*((('Conciliacion de compuestos'!$M$2:$M$48=A352)+('Conciliacion de compuestos'!$N$2:$N$48=A352)+('Conciliacion de compuestos'!$O$2:$O$48=A352))&gt;0))),""),"")</f>
        <v/>
      </c>
      <c r="G352" s="11">
        <f>IF(I352="conciliado","conciliado","por revisar")</f>
        <v/>
      </c>
      <c r="H352" s="11" t="inlineStr"/>
      <c r="I352" s="11">
        <f>IF(SUM(COUNTIFS('Conciliacion de compuestos'!$D$2:$D$48,"conciliado",'Conciliacion de compuestos'!$E$2:$E$48,"OK",'Conciliacion de compuestos'!$M$2:$M$48,A352),COUNTIFS('Conciliacion de compuestos'!$D$2:$D$48,"conciliado",'Conciliacion de compuestos'!$E$2:$E$48,"OK",'Conciliacion de compuestos'!$N$2:$N$48,A352),COUNTIFS('Conciliacion de compuestos'!$D$2:$D$48,"conciliado",'Conciliacion de compuestos'!$E$2:$E$48,"OK",'Conciliacion de compuestos'!$O$2:$O$48,A352))&gt;0,"conciliado","por revisar")</f>
        <v/>
      </c>
    </row>
    <row r="353">
      <c r="A353" s="11" t="n">
        <v>346</v>
      </c>
      <c r="B353" s="12" t="n">
        <v>46020</v>
      </c>
      <c r="C353" s="11" t="inlineStr">
        <is>
          <t>angulo rayo sofi yul</t>
        </is>
      </c>
      <c r="D353" s="13" t="n">
        <v>110700</v>
      </c>
      <c r="E353" s="11">
        <f>IF(G353="conciliado","conciliado",I353)</f>
        <v/>
      </c>
      <c r="F353" s="11">
        <f>IF(SUM(COUNTIFS('Conciliacion de compuestos'!$D$2:$D$48,"conciliado",'Conciliacion de compuestos'!$E$2:$E$48,"OK",'Conciliacion de compuestos'!$M$2:$M$48,A353),COUNTIFS('Conciliacion de compuestos'!$D$2:$D$48,"conciliado",'Conciliacion de compuestos'!$E$2:$E$48,"OK",'Conciliacion de compuestos'!$N$2:$N$48,A353),COUNTIFS('Conciliacion de compuestos'!$D$2:$D$48,"conciliado",'Conciliacion de compuestos'!$E$2:$E$48,"OK",'Conciliacion de compuestos'!$O$2:$O$48,A353))&gt;0,IFERROR(TEXTJOIN(CHAR(10),TRUE,FILTER('Conciliacion de compuestos'!$A$2:$A$48,('Conciliacion de compuestos'!$D$2:$D$48="conciliado")*('Conciliacion de compuestos'!$E$2:$E$48="OK")*((('Conciliacion de compuestos'!$M$2:$M$48=A353)+('Conciliacion de compuestos'!$N$2:$N$48=A353)+('Conciliacion de compuestos'!$O$2:$O$48=A353))&gt;0))),""),"")</f>
        <v/>
      </c>
      <c r="G353" s="11">
        <f>IF(I353="conciliado","conciliado","por revisar")</f>
        <v/>
      </c>
      <c r="H353" s="11" t="inlineStr"/>
      <c r="I353" s="11">
        <f>IF(SUM(COUNTIFS('Conciliacion de compuestos'!$D$2:$D$48,"conciliado",'Conciliacion de compuestos'!$E$2:$E$48,"OK",'Conciliacion de compuestos'!$M$2:$M$48,A353),COUNTIFS('Conciliacion de compuestos'!$D$2:$D$48,"conciliado",'Conciliacion de compuestos'!$E$2:$E$48,"OK",'Conciliacion de compuestos'!$N$2:$N$48,A353),COUNTIFS('Conciliacion de compuestos'!$D$2:$D$48,"conciliado",'Conciliacion de compuestos'!$E$2:$E$48,"OK",'Conciliacion de compuestos'!$O$2:$O$48,A353))&gt;0,"conciliado","por revisar")</f>
        <v/>
      </c>
    </row>
    <row r="354">
      <c r="A354" s="11" t="n">
        <v>348</v>
      </c>
      <c r="B354" s="12" t="n">
        <v>46020</v>
      </c>
      <c r="C354" s="11" t="inlineStr">
        <is>
          <t>adria agredo astaiza</t>
        </is>
      </c>
      <c r="D354" s="13" t="n">
        <v>500000</v>
      </c>
      <c r="E354" s="11">
        <f>IF(G354="conciliado","conciliado",I354)</f>
        <v/>
      </c>
      <c r="F354" s="11">
        <f>IF(SUM(COUNTIFS('Conciliacion de compuestos'!$D$2:$D$48,"conciliado",'Conciliacion de compuestos'!$E$2:$E$48,"OK",'Conciliacion de compuestos'!$M$2:$M$48,A354),COUNTIFS('Conciliacion de compuestos'!$D$2:$D$48,"conciliado",'Conciliacion de compuestos'!$E$2:$E$48,"OK",'Conciliacion de compuestos'!$N$2:$N$48,A354),COUNTIFS('Conciliacion de compuestos'!$D$2:$D$48,"conciliado",'Conciliacion de compuestos'!$E$2:$E$48,"OK",'Conciliacion de compuestos'!$O$2:$O$48,A354))&gt;0,IFERROR(TEXTJOIN(CHAR(10),TRUE,FILTER('Conciliacion de compuestos'!$A$2:$A$48,('Conciliacion de compuestos'!$D$2:$D$48="conciliado")*('Conciliacion de compuestos'!$E$2:$E$48="OK")*((('Conciliacion de compuestos'!$M$2:$M$48=A354)+('Conciliacion de compuestos'!$N$2:$N$48=A354)+('Conciliacion de compuestos'!$O$2:$O$48=A354))&gt;0))),""),"")</f>
        <v/>
      </c>
      <c r="G354" s="11">
        <f>IF(I354="conciliado","conciliado","por revisar")</f>
        <v/>
      </c>
      <c r="H354" s="11" t="inlineStr"/>
      <c r="I354" s="11">
        <f>IF(SUM(COUNTIFS('Conciliacion de compuestos'!$D$2:$D$48,"conciliado",'Conciliacion de compuestos'!$E$2:$E$48,"OK",'Conciliacion de compuestos'!$M$2:$M$48,A354),COUNTIFS('Conciliacion de compuestos'!$D$2:$D$48,"conciliado",'Conciliacion de compuestos'!$E$2:$E$48,"OK",'Conciliacion de compuestos'!$N$2:$N$48,A354),COUNTIFS('Conciliacion de compuestos'!$D$2:$D$48,"conciliado",'Conciliacion de compuestos'!$E$2:$E$48,"OK",'Conciliacion de compuestos'!$O$2:$O$48,A354))&gt;0,"conciliado","por revisar")</f>
        <v/>
      </c>
    </row>
    <row r="355">
      <c r="A355" s="11" t="n">
        <v>349</v>
      </c>
      <c r="B355" s="12" t="n">
        <v>46020</v>
      </c>
      <c r="C355" s="11" t="inlineStr">
        <is>
          <t>cabezas fabio nustez</t>
        </is>
      </c>
      <c r="D355" s="13" t="n">
        <v>500000</v>
      </c>
      <c r="E355" s="11">
        <f>IF(G355="conciliado","conciliado",I355)</f>
        <v/>
      </c>
      <c r="F355" s="11">
        <f>IF(SUM(COUNTIFS('Conciliacion de compuestos'!$D$2:$D$48,"conciliado",'Conciliacion de compuestos'!$E$2:$E$48,"OK",'Conciliacion de compuestos'!$M$2:$M$48,A355),COUNTIFS('Conciliacion de compuestos'!$D$2:$D$48,"conciliado",'Conciliacion de compuestos'!$E$2:$E$48,"OK",'Conciliacion de compuestos'!$N$2:$N$48,A355),COUNTIFS('Conciliacion de compuestos'!$D$2:$D$48,"conciliado",'Conciliacion de compuestos'!$E$2:$E$48,"OK",'Conciliacion de compuestos'!$O$2:$O$48,A355))&gt;0,IFERROR(TEXTJOIN(CHAR(10),TRUE,FILTER('Conciliacion de compuestos'!$A$2:$A$48,('Conciliacion de compuestos'!$D$2:$D$48="conciliado")*('Conciliacion de compuestos'!$E$2:$E$48="OK")*((('Conciliacion de compuestos'!$M$2:$M$48=A355)+('Conciliacion de compuestos'!$N$2:$N$48=A355)+('Conciliacion de compuestos'!$O$2:$O$48=A355))&gt;0))),""),"")</f>
        <v/>
      </c>
      <c r="G355" s="11">
        <f>IF(I355="conciliado","conciliado","por revisar")</f>
        <v/>
      </c>
      <c r="H355" s="11" t="inlineStr"/>
      <c r="I355" s="11">
        <f>IF(SUM(COUNTIFS('Conciliacion de compuestos'!$D$2:$D$48,"conciliado",'Conciliacion de compuestos'!$E$2:$E$48,"OK",'Conciliacion de compuestos'!$M$2:$M$48,A355),COUNTIFS('Conciliacion de compuestos'!$D$2:$D$48,"conciliado",'Conciliacion de compuestos'!$E$2:$E$48,"OK",'Conciliacion de compuestos'!$N$2:$N$48,A355),COUNTIFS('Conciliacion de compuestos'!$D$2:$D$48,"conciliado",'Conciliacion de compuestos'!$E$2:$E$48,"OK",'Conciliacion de compuestos'!$O$2:$O$48,A355))&gt;0,"conciliado","por revisar")</f>
        <v/>
      </c>
    </row>
    <row r="356">
      <c r="A356" s="11" t="n">
        <v>351</v>
      </c>
      <c r="B356" s="12" t="n">
        <v>46021</v>
      </c>
      <c r="C356" s="11" t="inlineStr">
        <is>
          <t>d de empresa energia</t>
        </is>
      </c>
      <c r="D356" s="13" t="n">
        <v>-7417507</v>
      </c>
      <c r="E356" s="11">
        <f>IF(G356="conciliado","conciliado",I356)</f>
        <v/>
      </c>
      <c r="F356" s="11">
        <f>IF(SUM(COUNTIFS('Conciliacion de compuestos'!$D$2:$D$48,"conciliado",'Conciliacion de compuestos'!$E$2:$E$48,"OK",'Conciliacion de compuestos'!$M$2:$M$48,A356),COUNTIFS('Conciliacion de compuestos'!$D$2:$D$48,"conciliado",'Conciliacion de compuestos'!$E$2:$E$48,"OK",'Conciliacion de compuestos'!$N$2:$N$48,A356),COUNTIFS('Conciliacion de compuestos'!$D$2:$D$48,"conciliado",'Conciliacion de compuestos'!$E$2:$E$48,"OK",'Conciliacion de compuestos'!$O$2:$O$48,A356))&gt;0,IFERROR(TEXTJOIN(CHAR(10),TRUE,FILTER('Conciliacion de compuestos'!$A$2:$A$48,('Conciliacion de compuestos'!$D$2:$D$48="conciliado")*('Conciliacion de compuestos'!$E$2:$E$48="OK")*((('Conciliacion de compuestos'!$M$2:$M$48=A356)+('Conciliacion de compuestos'!$N$2:$N$48=A356)+('Conciliacion de compuestos'!$O$2:$O$48=A356))&gt;0))),""),"")</f>
        <v/>
      </c>
      <c r="G356" s="11">
        <f>IF(I356="conciliado","conciliado","por revisar")</f>
        <v/>
      </c>
      <c r="H356" s="11" t="inlineStr"/>
      <c r="I356" s="11">
        <f>IF(SUM(COUNTIFS('Conciliacion de compuestos'!$D$2:$D$48,"conciliado",'Conciliacion de compuestos'!$E$2:$E$48,"OK",'Conciliacion de compuestos'!$M$2:$M$48,A356),COUNTIFS('Conciliacion de compuestos'!$D$2:$D$48,"conciliado",'Conciliacion de compuestos'!$E$2:$E$48,"OK",'Conciliacion de compuestos'!$N$2:$N$48,A356),COUNTIFS('Conciliacion de compuestos'!$D$2:$D$48,"conciliado",'Conciliacion de compuestos'!$E$2:$E$48,"OK",'Conciliacion de compuestos'!$O$2:$O$48,A356))&gt;0,"conciliado","por revisar")</f>
        <v/>
      </c>
    </row>
    <row r="357">
      <c r="A357" s="11" t="n">
        <v>352</v>
      </c>
      <c r="B357" s="12" t="n">
        <v>46021</v>
      </c>
      <c r="C357" s="11" t="inlineStr">
        <is>
          <t>crist mafla palacios</t>
        </is>
      </c>
      <c r="D357" s="13" t="n">
        <v>44500</v>
      </c>
      <c r="E357" s="11">
        <f>IF(G357="conciliado","conciliado",I357)</f>
        <v/>
      </c>
      <c r="F357" s="11">
        <f>IF(SUM(COUNTIFS('Conciliacion de compuestos'!$D$2:$D$48,"conciliado",'Conciliacion de compuestos'!$E$2:$E$48,"OK",'Conciliacion de compuestos'!$M$2:$M$48,A357),COUNTIFS('Conciliacion de compuestos'!$D$2:$D$48,"conciliado",'Conciliacion de compuestos'!$E$2:$E$48,"OK",'Conciliacion de compuestos'!$N$2:$N$48,A357),COUNTIFS('Conciliacion de compuestos'!$D$2:$D$48,"conciliado",'Conciliacion de compuestos'!$E$2:$E$48,"OK",'Conciliacion de compuestos'!$O$2:$O$48,A357))&gt;0,IFERROR(TEXTJOIN(CHAR(10),TRUE,FILTER('Conciliacion de compuestos'!$A$2:$A$48,('Conciliacion de compuestos'!$D$2:$D$48="conciliado")*('Conciliacion de compuestos'!$E$2:$E$48="OK")*((('Conciliacion de compuestos'!$M$2:$M$48=A357)+('Conciliacion de compuestos'!$N$2:$N$48=A357)+('Conciliacion de compuestos'!$O$2:$O$48=A357))&gt;0))),""),"")</f>
        <v/>
      </c>
      <c r="G357" s="11">
        <f>IF(I357="conciliado","conciliado","por revisar")</f>
        <v/>
      </c>
      <c r="H357" s="11" t="inlineStr"/>
      <c r="I357" s="11">
        <f>IF(SUM(COUNTIFS('Conciliacion de compuestos'!$D$2:$D$48,"conciliado",'Conciliacion de compuestos'!$E$2:$E$48,"OK",'Conciliacion de compuestos'!$M$2:$M$48,A357),COUNTIFS('Conciliacion de compuestos'!$D$2:$D$48,"conciliado",'Conciliacion de compuestos'!$E$2:$E$48,"OK",'Conciliacion de compuestos'!$N$2:$N$48,A357),COUNTIFS('Conciliacion de compuestos'!$D$2:$D$48,"conciliado",'Conciliacion de compuestos'!$E$2:$E$48,"OK",'Conciliacion de compuestos'!$O$2:$O$48,A357))&gt;0,"conciliado","por revisar")</f>
        <v/>
      </c>
    </row>
    <row r="358">
      <c r="A358" s="11" t="n">
        <v>353</v>
      </c>
      <c r="B358" s="12" t="n">
        <v>46021</v>
      </c>
      <c r="C358" s="11" t="inlineStr">
        <is>
          <t>cr leidy mafla salas</t>
        </is>
      </c>
      <c r="D358" s="13" t="n">
        <v>133800</v>
      </c>
      <c r="E358" s="11">
        <f>IF(G358="conciliado","conciliado",I358)</f>
        <v/>
      </c>
      <c r="F358" s="11">
        <f>IF(SUM(COUNTIFS('Conciliacion de compuestos'!$D$2:$D$48,"conciliado",'Conciliacion de compuestos'!$E$2:$E$48,"OK",'Conciliacion de compuestos'!$M$2:$M$48,A358),COUNTIFS('Conciliacion de compuestos'!$D$2:$D$48,"conciliado",'Conciliacion de compuestos'!$E$2:$E$48,"OK",'Conciliacion de compuestos'!$N$2:$N$48,A358),COUNTIFS('Conciliacion de compuestos'!$D$2:$D$48,"conciliado",'Conciliacion de compuestos'!$E$2:$E$48,"OK",'Conciliacion de compuestos'!$O$2:$O$48,A358))&gt;0,IFERROR(TEXTJOIN(CHAR(10),TRUE,FILTER('Conciliacion de compuestos'!$A$2:$A$48,('Conciliacion de compuestos'!$D$2:$D$48="conciliado")*('Conciliacion de compuestos'!$E$2:$E$48="OK")*((('Conciliacion de compuestos'!$M$2:$M$48=A358)+('Conciliacion de compuestos'!$N$2:$N$48=A358)+('Conciliacion de compuestos'!$O$2:$O$48=A358))&gt;0))),""),"")</f>
        <v/>
      </c>
      <c r="G358" s="11">
        <f>IF(I358="conciliado","conciliado","por revisar")</f>
        <v/>
      </c>
      <c r="H358" s="11" t="inlineStr"/>
      <c r="I358" s="11">
        <f>IF(SUM(COUNTIFS('Conciliacion de compuestos'!$D$2:$D$48,"conciliado",'Conciliacion de compuestos'!$E$2:$E$48,"OK",'Conciliacion de compuestos'!$M$2:$M$48,A358),COUNTIFS('Conciliacion de compuestos'!$D$2:$D$48,"conciliado",'Conciliacion de compuestos'!$E$2:$E$48,"OK",'Conciliacion de compuestos'!$N$2:$N$48,A358),COUNTIFS('Conciliacion de compuestos'!$D$2:$D$48,"conciliado",'Conciliacion de compuestos'!$E$2:$E$48,"OK",'Conciliacion de compuestos'!$O$2:$O$48,A358))&gt;0,"conciliado","por revisar")</f>
        <v/>
      </c>
    </row>
    <row r="359">
      <c r="A359" s="11" t="n">
        <v>354</v>
      </c>
      <c r="B359" s="12" t="n">
        <v>46021</v>
      </c>
      <c r="C359" s="11" t="inlineStr">
        <is>
          <t>arboleda arias leidy</t>
        </is>
      </c>
      <c r="D359" s="13" t="n">
        <v>56795</v>
      </c>
      <c r="E359" s="11">
        <f>IF(G359="conciliado","conciliado",I359)</f>
        <v/>
      </c>
      <c r="F359" s="11">
        <f>IF(SUM(COUNTIFS('Conciliacion de compuestos'!$D$2:$D$48,"conciliado",'Conciliacion de compuestos'!$E$2:$E$48,"OK",'Conciliacion de compuestos'!$M$2:$M$48,A359),COUNTIFS('Conciliacion de compuestos'!$D$2:$D$48,"conciliado",'Conciliacion de compuestos'!$E$2:$E$48,"OK",'Conciliacion de compuestos'!$N$2:$N$48,A359),COUNTIFS('Conciliacion de compuestos'!$D$2:$D$48,"conciliado",'Conciliacion de compuestos'!$E$2:$E$48,"OK",'Conciliacion de compuestos'!$O$2:$O$48,A359))&gt;0,IFERROR(TEXTJOIN(CHAR(10),TRUE,FILTER('Conciliacion de compuestos'!$A$2:$A$48,('Conciliacion de compuestos'!$D$2:$D$48="conciliado")*('Conciliacion de compuestos'!$E$2:$E$48="OK")*((('Conciliacion de compuestos'!$M$2:$M$48=A359)+('Conciliacion de compuestos'!$N$2:$N$48=A359)+('Conciliacion de compuestos'!$O$2:$O$48=A359))&gt;0))),""),"")</f>
        <v/>
      </c>
      <c r="G359" s="11">
        <f>IF(I359="conciliado","conciliado","por revisar")</f>
        <v/>
      </c>
      <c r="H359" s="11" t="inlineStr"/>
      <c r="I359" s="11">
        <f>IF(SUM(COUNTIFS('Conciliacion de compuestos'!$D$2:$D$48,"conciliado",'Conciliacion de compuestos'!$E$2:$E$48,"OK",'Conciliacion de compuestos'!$M$2:$M$48,A359),COUNTIFS('Conciliacion de compuestos'!$D$2:$D$48,"conciliado",'Conciliacion de compuestos'!$E$2:$E$48,"OK",'Conciliacion de compuestos'!$N$2:$N$48,A359),COUNTIFS('Conciliacion de compuestos'!$D$2:$D$48,"conciliado",'Conciliacion de compuestos'!$E$2:$E$48,"OK",'Conciliacion de compuestos'!$O$2:$O$48,A359))&gt;0,"conciliado","por revisar")</f>
        <v/>
      </c>
    </row>
    <row r="360">
      <c r="A360" s="11" t="n">
        <v>355</v>
      </c>
      <c r="B360" s="12" t="n">
        <v>46021</v>
      </c>
      <c r="C360" s="11" t="inlineStr">
        <is>
          <t>a angel perez robayo</t>
        </is>
      </c>
      <c r="D360" s="13" t="n">
        <v>224300</v>
      </c>
      <c r="E360" s="11">
        <f>IF(G360="conciliado","conciliado",I360)</f>
        <v/>
      </c>
      <c r="F360" s="11">
        <f>IF(SUM(COUNTIFS('Conciliacion de compuestos'!$D$2:$D$48,"conciliado",'Conciliacion de compuestos'!$E$2:$E$48,"OK",'Conciliacion de compuestos'!$M$2:$M$48,A360),COUNTIFS('Conciliacion de compuestos'!$D$2:$D$48,"conciliado",'Conciliacion de compuestos'!$E$2:$E$48,"OK",'Conciliacion de compuestos'!$N$2:$N$48,A360),COUNTIFS('Conciliacion de compuestos'!$D$2:$D$48,"conciliado",'Conciliacion de compuestos'!$E$2:$E$48,"OK",'Conciliacion de compuestos'!$O$2:$O$48,A360))&gt;0,IFERROR(TEXTJOIN(CHAR(10),TRUE,FILTER('Conciliacion de compuestos'!$A$2:$A$48,('Conciliacion de compuestos'!$D$2:$D$48="conciliado")*('Conciliacion de compuestos'!$E$2:$E$48="OK")*((('Conciliacion de compuestos'!$M$2:$M$48=A360)+('Conciliacion de compuestos'!$N$2:$N$48=A360)+('Conciliacion de compuestos'!$O$2:$O$48=A360))&gt;0))),""),"")</f>
        <v/>
      </c>
      <c r="G360" s="11">
        <f>IF(I360="conciliado","conciliado","por revisar")</f>
        <v/>
      </c>
      <c r="H360" s="11" t="inlineStr"/>
      <c r="I360" s="11">
        <f>IF(SUM(COUNTIFS('Conciliacion de compuestos'!$D$2:$D$48,"conciliado",'Conciliacion de compuestos'!$E$2:$E$48,"OK",'Conciliacion de compuestos'!$M$2:$M$48,A360),COUNTIFS('Conciliacion de compuestos'!$D$2:$D$48,"conciliado",'Conciliacion de compuestos'!$E$2:$E$48,"OK",'Conciliacion de compuestos'!$N$2:$N$48,A360),COUNTIFS('Conciliacion de compuestos'!$D$2:$D$48,"conciliado",'Conciliacion de compuestos'!$E$2:$E$48,"OK",'Conciliacion de compuestos'!$O$2:$O$48,A360))&gt;0,"conciliado","por revisar")</f>
        <v/>
      </c>
    </row>
    <row r="361">
      <c r="A361" s="11" t="n">
        <v>356</v>
      </c>
      <c r="B361" s="12" t="n">
        <v>46021</v>
      </c>
      <c r="C361" s="11" t="inlineStr">
        <is>
          <t>ing mendieta ovalles</t>
        </is>
      </c>
      <c r="D361" s="13" t="n">
        <v>24800</v>
      </c>
      <c r="E361" s="11">
        <f>IF(G361="conciliado","conciliado",I361)</f>
        <v/>
      </c>
      <c r="F361" s="11">
        <f>IF(SUM(COUNTIFS('Conciliacion de compuestos'!$D$2:$D$48,"conciliado",'Conciliacion de compuestos'!$E$2:$E$48,"OK",'Conciliacion de compuestos'!$M$2:$M$48,A361),COUNTIFS('Conciliacion de compuestos'!$D$2:$D$48,"conciliado",'Conciliacion de compuestos'!$E$2:$E$48,"OK",'Conciliacion de compuestos'!$N$2:$N$48,A361),COUNTIFS('Conciliacion de compuestos'!$D$2:$D$48,"conciliado",'Conciliacion de compuestos'!$E$2:$E$48,"OK",'Conciliacion de compuestos'!$O$2:$O$48,A361))&gt;0,IFERROR(TEXTJOIN(CHAR(10),TRUE,FILTER('Conciliacion de compuestos'!$A$2:$A$48,('Conciliacion de compuestos'!$D$2:$D$48="conciliado")*('Conciliacion de compuestos'!$E$2:$E$48="OK")*((('Conciliacion de compuestos'!$M$2:$M$48=A361)+('Conciliacion de compuestos'!$N$2:$N$48=A361)+('Conciliacion de compuestos'!$O$2:$O$48=A361))&gt;0))),""),"")</f>
        <v/>
      </c>
      <c r="G361" s="11">
        <f>IF(I361="conciliado","conciliado","por revisar")</f>
        <v/>
      </c>
      <c r="H361" s="11" t="inlineStr"/>
      <c r="I361" s="11">
        <f>IF(SUM(COUNTIFS('Conciliacion de compuestos'!$D$2:$D$48,"conciliado",'Conciliacion de compuestos'!$E$2:$E$48,"OK",'Conciliacion de compuestos'!$M$2:$M$48,A361),COUNTIFS('Conciliacion de compuestos'!$D$2:$D$48,"conciliado",'Conciliacion de compuestos'!$E$2:$E$48,"OK",'Conciliacion de compuestos'!$N$2:$N$48,A361),COUNTIFS('Conciliacion de compuestos'!$D$2:$D$48,"conciliado",'Conciliacion de compuestos'!$E$2:$E$48,"OK",'Conciliacion de compuestos'!$O$2:$O$48,A361))&gt;0,"conciliado","por revisar")</f>
        <v/>
      </c>
    </row>
    <row r="362">
      <c r="A362" s="11" t="n">
        <v>357</v>
      </c>
      <c r="B362" s="12" t="n">
        <v>46021</v>
      </c>
      <c r="C362" s="11" t="inlineStr">
        <is>
          <t>buelvas diaz jose mi</t>
        </is>
      </c>
      <c r="D362" s="13" t="n">
        <v>50200</v>
      </c>
      <c r="E362" s="11">
        <f>IF(G362="conciliado","conciliado",I362)</f>
        <v/>
      </c>
      <c r="F362" s="11">
        <f>IF(SUM(COUNTIFS('Conciliacion de compuestos'!$D$2:$D$48,"conciliado",'Conciliacion de compuestos'!$E$2:$E$48,"OK",'Conciliacion de compuestos'!$M$2:$M$48,A362),COUNTIFS('Conciliacion de compuestos'!$D$2:$D$48,"conciliado",'Conciliacion de compuestos'!$E$2:$E$48,"OK",'Conciliacion de compuestos'!$N$2:$N$48,A362),COUNTIFS('Conciliacion de compuestos'!$D$2:$D$48,"conciliado",'Conciliacion de compuestos'!$E$2:$E$48,"OK",'Conciliacion de compuestos'!$O$2:$O$48,A362))&gt;0,IFERROR(TEXTJOIN(CHAR(10),TRUE,FILTER('Conciliacion de compuestos'!$A$2:$A$48,('Conciliacion de compuestos'!$D$2:$D$48="conciliado")*('Conciliacion de compuestos'!$E$2:$E$48="OK")*((('Conciliacion de compuestos'!$M$2:$M$48=A362)+('Conciliacion de compuestos'!$N$2:$N$48=A362)+('Conciliacion de compuestos'!$O$2:$O$48=A362))&gt;0))),""),"")</f>
        <v/>
      </c>
      <c r="G362" s="11">
        <f>IF(I362="conciliado","conciliado","por revisar")</f>
        <v/>
      </c>
      <c r="H362" s="11" t="inlineStr"/>
      <c r="I362" s="11">
        <f>IF(SUM(COUNTIFS('Conciliacion de compuestos'!$D$2:$D$48,"conciliado",'Conciliacion de compuestos'!$E$2:$E$48,"OK",'Conciliacion de compuestos'!$M$2:$M$48,A362),COUNTIFS('Conciliacion de compuestos'!$D$2:$D$48,"conciliado",'Conciliacion de compuestos'!$E$2:$E$48,"OK",'Conciliacion de compuestos'!$N$2:$N$48,A362),COUNTIFS('Conciliacion de compuestos'!$D$2:$D$48,"conciliado",'Conciliacion de compuestos'!$E$2:$E$48,"OK",'Conciliacion de compuestos'!$O$2:$O$48,A362))&gt;0,"conciliado","por revisar")</f>
        <v/>
      </c>
    </row>
    <row r="363">
      <c r="A363" s="11" t="n">
        <v>358</v>
      </c>
      <c r="B363" s="12" t="n">
        <v>46021</v>
      </c>
      <c r="C363" s="11" t="inlineStr">
        <is>
          <t>chavez galarza luis</t>
        </is>
      </c>
      <c r="D363" s="13" t="n">
        <v>37700</v>
      </c>
      <c r="E363" s="11">
        <f>IF(G363="conciliado","conciliado",I363)</f>
        <v/>
      </c>
      <c r="F363" s="11">
        <f>IF(SUM(COUNTIFS('Conciliacion de compuestos'!$D$2:$D$48,"conciliado",'Conciliacion de compuestos'!$E$2:$E$48,"OK",'Conciliacion de compuestos'!$M$2:$M$48,A363),COUNTIFS('Conciliacion de compuestos'!$D$2:$D$48,"conciliado",'Conciliacion de compuestos'!$E$2:$E$48,"OK",'Conciliacion de compuestos'!$N$2:$N$48,A363),COUNTIFS('Conciliacion de compuestos'!$D$2:$D$48,"conciliado",'Conciliacion de compuestos'!$E$2:$E$48,"OK",'Conciliacion de compuestos'!$O$2:$O$48,A363))&gt;0,IFERROR(TEXTJOIN(CHAR(10),TRUE,FILTER('Conciliacion de compuestos'!$A$2:$A$48,('Conciliacion de compuestos'!$D$2:$D$48="conciliado")*('Conciliacion de compuestos'!$E$2:$E$48="OK")*((('Conciliacion de compuestos'!$M$2:$M$48=A363)+('Conciliacion de compuestos'!$N$2:$N$48=A363)+('Conciliacion de compuestos'!$O$2:$O$48=A363))&gt;0))),""),"")</f>
        <v/>
      </c>
      <c r="G363" s="11">
        <f>IF(I363="conciliado","conciliado","por revisar")</f>
        <v/>
      </c>
      <c r="H363" s="11" t="inlineStr"/>
      <c r="I363" s="11">
        <f>IF(SUM(COUNTIFS('Conciliacion de compuestos'!$D$2:$D$48,"conciliado",'Conciliacion de compuestos'!$E$2:$E$48,"OK",'Conciliacion de compuestos'!$M$2:$M$48,A363),COUNTIFS('Conciliacion de compuestos'!$D$2:$D$48,"conciliado",'Conciliacion de compuestos'!$E$2:$E$48,"OK",'Conciliacion de compuestos'!$N$2:$N$48,A363),COUNTIFS('Conciliacion de compuestos'!$D$2:$D$48,"conciliado",'Conciliacion de compuestos'!$E$2:$E$48,"OK",'Conciliacion de compuestos'!$O$2:$O$48,A363))&gt;0,"conciliado","por revisar")</f>
        <v/>
      </c>
    </row>
    <row r="364">
      <c r="A364" s="11" t="n">
        <v>359</v>
      </c>
      <c r="B364" s="12" t="n">
        <v>46021</v>
      </c>
      <c r="C364" s="11" t="inlineStr">
        <is>
          <t>casanas cazanas jame</t>
        </is>
      </c>
      <c r="D364" s="13" t="n">
        <v>56000</v>
      </c>
      <c r="E364" s="11">
        <f>IF(G364="conciliado","conciliado",I364)</f>
        <v/>
      </c>
      <c r="F364" s="11">
        <f>IF(SUM(COUNTIFS('Conciliacion de compuestos'!$D$2:$D$48,"conciliado",'Conciliacion de compuestos'!$E$2:$E$48,"OK",'Conciliacion de compuestos'!$M$2:$M$48,A364),COUNTIFS('Conciliacion de compuestos'!$D$2:$D$48,"conciliado",'Conciliacion de compuestos'!$E$2:$E$48,"OK",'Conciliacion de compuestos'!$N$2:$N$48,A364),COUNTIFS('Conciliacion de compuestos'!$D$2:$D$48,"conciliado",'Conciliacion de compuestos'!$E$2:$E$48,"OK",'Conciliacion de compuestos'!$O$2:$O$48,A364))&gt;0,IFERROR(TEXTJOIN(CHAR(10),TRUE,FILTER('Conciliacion de compuestos'!$A$2:$A$48,('Conciliacion de compuestos'!$D$2:$D$48="conciliado")*('Conciliacion de compuestos'!$E$2:$E$48="OK")*((('Conciliacion de compuestos'!$M$2:$M$48=A364)+('Conciliacion de compuestos'!$N$2:$N$48=A364)+('Conciliacion de compuestos'!$O$2:$O$48=A364))&gt;0))),""),"")</f>
        <v/>
      </c>
      <c r="G364" s="11">
        <f>IF(I364="conciliado","conciliado","por revisar")</f>
        <v/>
      </c>
      <c r="H364" s="11" t="inlineStr"/>
      <c r="I364" s="11">
        <f>IF(SUM(COUNTIFS('Conciliacion de compuestos'!$D$2:$D$48,"conciliado",'Conciliacion de compuestos'!$E$2:$E$48,"OK",'Conciliacion de compuestos'!$M$2:$M$48,A364),COUNTIFS('Conciliacion de compuestos'!$D$2:$D$48,"conciliado",'Conciliacion de compuestos'!$E$2:$E$48,"OK",'Conciliacion de compuestos'!$N$2:$N$48,A364),COUNTIFS('Conciliacion de compuestos'!$D$2:$D$48,"conciliado",'Conciliacion de compuestos'!$E$2:$E$48,"OK",'Conciliacion de compuestos'!$O$2:$O$48,A364))&gt;0,"conciliado","por revisar")</f>
        <v/>
      </c>
    </row>
    <row r="365">
      <c r="A365" s="11" t="n">
        <v>360</v>
      </c>
      <c r="B365" s="12" t="n">
        <v>46021</v>
      </c>
      <c r="C365" s="11" t="inlineStr">
        <is>
          <t>aguirre al diaz luis</t>
        </is>
      </c>
      <c r="D365" s="13" t="n">
        <v>233000</v>
      </c>
      <c r="E365" s="11">
        <f>IF(G365="conciliado","conciliado",I365)</f>
        <v/>
      </c>
      <c r="F365" s="11">
        <f>IF(SUM(COUNTIFS('Conciliacion de compuestos'!$D$2:$D$48,"conciliado",'Conciliacion de compuestos'!$E$2:$E$48,"OK",'Conciliacion de compuestos'!$M$2:$M$48,A365),COUNTIFS('Conciliacion de compuestos'!$D$2:$D$48,"conciliado",'Conciliacion de compuestos'!$E$2:$E$48,"OK",'Conciliacion de compuestos'!$N$2:$N$48,A365),COUNTIFS('Conciliacion de compuestos'!$D$2:$D$48,"conciliado",'Conciliacion de compuestos'!$E$2:$E$48,"OK",'Conciliacion de compuestos'!$O$2:$O$48,A365))&gt;0,IFERROR(TEXTJOIN(CHAR(10),TRUE,FILTER('Conciliacion de compuestos'!$A$2:$A$48,('Conciliacion de compuestos'!$D$2:$D$48="conciliado")*('Conciliacion de compuestos'!$E$2:$E$48="OK")*((('Conciliacion de compuestos'!$M$2:$M$48=A365)+('Conciliacion de compuestos'!$N$2:$N$48=A365)+('Conciliacion de compuestos'!$O$2:$O$48=A365))&gt;0))),""),"")</f>
        <v/>
      </c>
      <c r="G365" s="11">
        <f>IF(I365="conciliado","conciliado","por revisar")</f>
        <v/>
      </c>
      <c r="H365" s="11" t="inlineStr"/>
      <c r="I365" s="11">
        <f>IF(SUM(COUNTIFS('Conciliacion de compuestos'!$D$2:$D$48,"conciliado",'Conciliacion de compuestos'!$E$2:$E$48,"OK",'Conciliacion de compuestos'!$M$2:$M$48,A365),COUNTIFS('Conciliacion de compuestos'!$D$2:$D$48,"conciliado",'Conciliacion de compuestos'!$E$2:$E$48,"OK",'Conciliacion de compuestos'!$N$2:$N$48,A365),COUNTIFS('Conciliacion de compuestos'!$D$2:$D$48,"conciliado",'Conciliacion de compuestos'!$E$2:$E$48,"OK",'Conciliacion de compuestos'!$O$2:$O$48,A365))&gt;0,"conciliado","por revisar")</f>
        <v/>
      </c>
    </row>
    <row r="366">
      <c r="A366" s="11" t="n">
        <v>361</v>
      </c>
      <c r="B366" s="12" t="n">
        <v>46021</v>
      </c>
      <c r="C366" s="11" t="inlineStr">
        <is>
          <t>dayan florez l reyes</t>
        </is>
      </c>
      <c r="D366" s="13" t="n">
        <v>51000</v>
      </c>
      <c r="E366" s="11">
        <f>IF(G366="conciliado","conciliado",I366)</f>
        <v/>
      </c>
      <c r="F366" s="11">
        <f>IF(SUM(COUNTIFS('Conciliacion de compuestos'!$D$2:$D$48,"conciliado",'Conciliacion de compuestos'!$E$2:$E$48,"OK",'Conciliacion de compuestos'!$M$2:$M$48,A366),COUNTIFS('Conciliacion de compuestos'!$D$2:$D$48,"conciliado",'Conciliacion de compuestos'!$E$2:$E$48,"OK",'Conciliacion de compuestos'!$N$2:$N$48,A366),COUNTIFS('Conciliacion de compuestos'!$D$2:$D$48,"conciliado",'Conciliacion de compuestos'!$E$2:$E$48,"OK",'Conciliacion de compuestos'!$O$2:$O$48,A366))&gt;0,IFERROR(TEXTJOIN(CHAR(10),TRUE,FILTER('Conciliacion de compuestos'!$A$2:$A$48,('Conciliacion de compuestos'!$D$2:$D$48="conciliado")*('Conciliacion de compuestos'!$E$2:$E$48="OK")*((('Conciliacion de compuestos'!$M$2:$M$48=A366)+('Conciliacion de compuestos'!$N$2:$N$48=A366)+('Conciliacion de compuestos'!$O$2:$O$48=A366))&gt;0))),""),"")</f>
        <v/>
      </c>
      <c r="G366" s="11">
        <f>IF(I366="conciliado","conciliado","por revisar")</f>
        <v/>
      </c>
      <c r="H366" s="11" t="inlineStr"/>
      <c r="I366" s="11">
        <f>IF(SUM(COUNTIFS('Conciliacion de compuestos'!$D$2:$D$48,"conciliado",'Conciliacion de compuestos'!$E$2:$E$48,"OK",'Conciliacion de compuestos'!$M$2:$M$48,A366),COUNTIFS('Conciliacion de compuestos'!$D$2:$D$48,"conciliado",'Conciliacion de compuestos'!$E$2:$E$48,"OK",'Conciliacion de compuestos'!$N$2:$N$48,A366),COUNTIFS('Conciliacion de compuestos'!$D$2:$D$48,"conciliado",'Conciliacion de compuestos'!$E$2:$E$48,"OK",'Conciliacion de compuestos'!$O$2:$O$48,A366))&gt;0,"conciliado","por revisar")</f>
        <v/>
      </c>
    </row>
    <row r="367">
      <c r="A367" s="11" t="n">
        <v>362</v>
      </c>
      <c r="B367" s="12" t="n">
        <v>46021</v>
      </c>
      <c r="C367" s="11" t="inlineStr">
        <is>
          <t>martinez pedr segura</t>
        </is>
      </c>
      <c r="D367" s="13" t="n">
        <v>120100</v>
      </c>
      <c r="E367" s="11">
        <f>IF(G367="conciliado","conciliado",I367)</f>
        <v/>
      </c>
      <c r="F367" s="11">
        <f>IF(SUM(COUNTIFS('Conciliacion de compuestos'!$D$2:$D$48,"conciliado",'Conciliacion de compuestos'!$E$2:$E$48,"OK",'Conciliacion de compuestos'!$M$2:$M$48,A367),COUNTIFS('Conciliacion de compuestos'!$D$2:$D$48,"conciliado",'Conciliacion de compuestos'!$E$2:$E$48,"OK",'Conciliacion de compuestos'!$N$2:$N$48,A367),COUNTIFS('Conciliacion de compuestos'!$D$2:$D$48,"conciliado",'Conciliacion de compuestos'!$E$2:$E$48,"OK",'Conciliacion de compuestos'!$O$2:$O$48,A367))&gt;0,IFERROR(TEXTJOIN(CHAR(10),TRUE,FILTER('Conciliacion de compuestos'!$A$2:$A$48,('Conciliacion de compuestos'!$D$2:$D$48="conciliado")*('Conciliacion de compuestos'!$E$2:$E$48="OK")*((('Conciliacion de compuestos'!$M$2:$M$48=A367)+('Conciliacion de compuestos'!$N$2:$N$48=A367)+('Conciliacion de compuestos'!$O$2:$O$48=A367))&gt;0))),""),"")</f>
        <v/>
      </c>
      <c r="G367" s="11">
        <f>IF(I367="conciliado","conciliado","por revisar")</f>
        <v/>
      </c>
      <c r="H367" s="11" t="inlineStr"/>
      <c r="I367" s="11">
        <f>IF(SUM(COUNTIFS('Conciliacion de compuestos'!$D$2:$D$48,"conciliado",'Conciliacion de compuestos'!$E$2:$E$48,"OK",'Conciliacion de compuestos'!$M$2:$M$48,A367),COUNTIFS('Conciliacion de compuestos'!$D$2:$D$48,"conciliado",'Conciliacion de compuestos'!$E$2:$E$48,"OK",'Conciliacion de compuestos'!$N$2:$N$48,A367),COUNTIFS('Conciliacion de compuestos'!$D$2:$D$48,"conciliado",'Conciliacion de compuestos'!$E$2:$E$48,"OK",'Conciliacion de compuestos'!$O$2:$O$48,A367))&gt;0,"conciliado","por revisar")</f>
        <v/>
      </c>
    </row>
    <row r="368">
      <c r="A368" s="11" t="n">
        <v>363</v>
      </c>
      <c r="B368" s="12" t="n">
        <v>46021</v>
      </c>
      <c r="C368" s="11" t="inlineStr">
        <is>
          <t>cardona juan zabala</t>
        </is>
      </c>
      <c r="D368" s="13" t="n">
        <v>29400</v>
      </c>
      <c r="E368" s="11">
        <f>IF(G368="conciliado","conciliado",I368)</f>
        <v/>
      </c>
      <c r="F368" s="11">
        <f>IF(SUM(COUNTIFS('Conciliacion de compuestos'!$D$2:$D$48,"conciliado",'Conciliacion de compuestos'!$E$2:$E$48,"OK",'Conciliacion de compuestos'!$M$2:$M$48,A368),COUNTIFS('Conciliacion de compuestos'!$D$2:$D$48,"conciliado",'Conciliacion de compuestos'!$E$2:$E$48,"OK",'Conciliacion de compuestos'!$N$2:$N$48,A368),COUNTIFS('Conciliacion de compuestos'!$D$2:$D$48,"conciliado",'Conciliacion de compuestos'!$E$2:$E$48,"OK",'Conciliacion de compuestos'!$O$2:$O$48,A368))&gt;0,IFERROR(TEXTJOIN(CHAR(10),TRUE,FILTER('Conciliacion de compuestos'!$A$2:$A$48,('Conciliacion de compuestos'!$D$2:$D$48="conciliado")*('Conciliacion de compuestos'!$E$2:$E$48="OK")*((('Conciliacion de compuestos'!$M$2:$M$48=A368)+('Conciliacion de compuestos'!$N$2:$N$48=A368)+('Conciliacion de compuestos'!$O$2:$O$48=A368))&gt;0))),""),"")</f>
        <v/>
      </c>
      <c r="G368" s="11">
        <f>IF(I368="conciliado","conciliado","por revisar")</f>
        <v/>
      </c>
      <c r="H368" s="11" t="inlineStr"/>
      <c r="I368" s="11">
        <f>IF(SUM(COUNTIFS('Conciliacion de compuestos'!$D$2:$D$48,"conciliado",'Conciliacion de compuestos'!$E$2:$E$48,"OK",'Conciliacion de compuestos'!$M$2:$M$48,A368),COUNTIFS('Conciliacion de compuestos'!$D$2:$D$48,"conciliado",'Conciliacion de compuestos'!$E$2:$E$48,"OK",'Conciliacion de compuestos'!$N$2:$N$48,A368),COUNTIFS('Conciliacion de compuestos'!$D$2:$D$48,"conciliado",'Conciliacion de compuestos'!$E$2:$E$48,"OK",'Conciliacion de compuestos'!$O$2:$O$48,A368))&gt;0,"conciliado","por revisar")</f>
        <v/>
      </c>
    </row>
    <row r="369">
      <c r="A369" s="11" t="n">
        <v>364</v>
      </c>
      <c r="B369" s="12" t="n">
        <v>46021</v>
      </c>
      <c r="C369" s="11" t="inlineStr">
        <is>
          <t>delgado flores sonia</t>
        </is>
      </c>
      <c r="D369" s="13" t="n">
        <v>50000</v>
      </c>
      <c r="E369" s="11">
        <f>IF(G369="conciliado","conciliado",I369)</f>
        <v/>
      </c>
      <c r="F369" s="11">
        <f>IF(SUM(COUNTIFS('Conciliacion de compuestos'!$D$2:$D$48,"conciliado",'Conciliacion de compuestos'!$E$2:$E$48,"OK",'Conciliacion de compuestos'!$M$2:$M$48,A369),COUNTIFS('Conciliacion de compuestos'!$D$2:$D$48,"conciliado",'Conciliacion de compuestos'!$E$2:$E$48,"OK",'Conciliacion de compuestos'!$N$2:$N$48,A369),COUNTIFS('Conciliacion de compuestos'!$D$2:$D$48,"conciliado",'Conciliacion de compuestos'!$E$2:$E$48,"OK",'Conciliacion de compuestos'!$O$2:$O$48,A369))&gt;0,IFERROR(TEXTJOIN(CHAR(10),TRUE,FILTER('Conciliacion de compuestos'!$A$2:$A$48,('Conciliacion de compuestos'!$D$2:$D$48="conciliado")*('Conciliacion de compuestos'!$E$2:$E$48="OK")*((('Conciliacion de compuestos'!$M$2:$M$48=A369)+('Conciliacion de compuestos'!$N$2:$N$48=A369)+('Conciliacion de compuestos'!$O$2:$O$48=A369))&gt;0))),""),"")</f>
        <v/>
      </c>
      <c r="G369" s="11">
        <f>IF(I369="conciliado","conciliado","por revisar")</f>
        <v/>
      </c>
      <c r="H369" s="11" t="inlineStr"/>
      <c r="I369" s="11">
        <f>IF(SUM(COUNTIFS('Conciliacion de compuestos'!$D$2:$D$48,"conciliado",'Conciliacion de compuestos'!$E$2:$E$48,"OK",'Conciliacion de compuestos'!$M$2:$M$48,A369),COUNTIFS('Conciliacion de compuestos'!$D$2:$D$48,"conciliado",'Conciliacion de compuestos'!$E$2:$E$48,"OK",'Conciliacion de compuestos'!$N$2:$N$48,A369),COUNTIFS('Conciliacion de compuestos'!$D$2:$D$48,"conciliado",'Conciliacion de compuestos'!$E$2:$E$48,"OK",'Conciliacion de compuestos'!$O$2:$O$48,A369))&gt;0,"conciliado","por revisar")</f>
        <v/>
      </c>
    </row>
    <row r="370">
      <c r="A370" s="11" t="n">
        <v>365</v>
      </c>
      <c r="B370" s="12" t="n">
        <v>46021</v>
      </c>
      <c r="C370" s="11" t="inlineStr">
        <is>
          <t>a de mier montes oca</t>
        </is>
      </c>
      <c r="D370" s="13" t="n">
        <v>152178</v>
      </c>
      <c r="E370" s="11">
        <f>IF(G370="conciliado","conciliado",I370)</f>
        <v/>
      </c>
      <c r="F370" s="11">
        <f>IF(SUM(COUNTIFS('Conciliacion de compuestos'!$D$2:$D$48,"conciliado",'Conciliacion de compuestos'!$E$2:$E$48,"OK",'Conciliacion de compuestos'!$M$2:$M$48,A370),COUNTIFS('Conciliacion de compuestos'!$D$2:$D$48,"conciliado",'Conciliacion de compuestos'!$E$2:$E$48,"OK",'Conciliacion de compuestos'!$N$2:$N$48,A370),COUNTIFS('Conciliacion de compuestos'!$D$2:$D$48,"conciliado",'Conciliacion de compuestos'!$E$2:$E$48,"OK",'Conciliacion de compuestos'!$O$2:$O$48,A370))&gt;0,IFERROR(TEXTJOIN(CHAR(10),TRUE,FILTER('Conciliacion de compuestos'!$A$2:$A$48,('Conciliacion de compuestos'!$D$2:$D$48="conciliado")*('Conciliacion de compuestos'!$E$2:$E$48="OK")*((('Conciliacion de compuestos'!$M$2:$M$48=A370)+('Conciliacion de compuestos'!$N$2:$N$48=A370)+('Conciliacion de compuestos'!$O$2:$O$48=A370))&gt;0))),""),"")</f>
        <v/>
      </c>
      <c r="G370" s="11">
        <f>IF(I370="conciliado","conciliado","por revisar")</f>
        <v/>
      </c>
      <c r="H370" s="11" t="inlineStr"/>
      <c r="I370" s="11">
        <f>IF(SUM(COUNTIFS('Conciliacion de compuestos'!$D$2:$D$48,"conciliado",'Conciliacion de compuestos'!$E$2:$E$48,"OK",'Conciliacion de compuestos'!$M$2:$M$48,A370),COUNTIFS('Conciliacion de compuestos'!$D$2:$D$48,"conciliado",'Conciliacion de compuestos'!$E$2:$E$48,"OK",'Conciliacion de compuestos'!$N$2:$N$48,A370),COUNTIFS('Conciliacion de compuestos'!$D$2:$D$48,"conciliado",'Conciliacion de compuestos'!$E$2:$E$48,"OK",'Conciliacion de compuestos'!$O$2:$O$48,A370))&gt;0,"conciliado","por revisar")</f>
        <v/>
      </c>
    </row>
    <row r="371">
      <c r="A371" s="11" t="n">
        <v>367</v>
      </c>
      <c r="B371" s="12" t="n">
        <v>46021</v>
      </c>
      <c r="C371" s="11" t="inlineStr">
        <is>
          <t>garzon l moriano</t>
        </is>
      </c>
      <c r="D371" s="13" t="n">
        <v>135900</v>
      </c>
      <c r="E371" s="11">
        <f>IF(G371="conciliado","conciliado",I371)</f>
        <v/>
      </c>
      <c r="F371" s="11">
        <f>IF(SUM(COUNTIFS('Conciliacion de compuestos'!$D$2:$D$48,"conciliado",'Conciliacion de compuestos'!$E$2:$E$48,"OK",'Conciliacion de compuestos'!$M$2:$M$48,A371),COUNTIFS('Conciliacion de compuestos'!$D$2:$D$48,"conciliado",'Conciliacion de compuestos'!$E$2:$E$48,"OK",'Conciliacion de compuestos'!$N$2:$N$48,A371),COUNTIFS('Conciliacion de compuestos'!$D$2:$D$48,"conciliado",'Conciliacion de compuestos'!$E$2:$E$48,"OK",'Conciliacion de compuestos'!$O$2:$O$48,A371))&gt;0,IFERROR(TEXTJOIN(CHAR(10),TRUE,FILTER('Conciliacion de compuestos'!$A$2:$A$48,('Conciliacion de compuestos'!$D$2:$D$48="conciliado")*('Conciliacion de compuestos'!$E$2:$E$48="OK")*((('Conciliacion de compuestos'!$M$2:$M$48=A371)+('Conciliacion de compuestos'!$N$2:$N$48=A371)+('Conciliacion de compuestos'!$O$2:$O$48=A371))&gt;0))),""),"")</f>
        <v/>
      </c>
      <c r="G371" s="11">
        <f>IF(I371="conciliado","conciliado","por revisar")</f>
        <v/>
      </c>
      <c r="H371" s="11" t="inlineStr"/>
      <c r="I371" s="11">
        <f>IF(SUM(COUNTIFS('Conciliacion de compuestos'!$D$2:$D$48,"conciliado",'Conciliacion de compuestos'!$E$2:$E$48,"OK",'Conciliacion de compuestos'!$M$2:$M$48,A371),COUNTIFS('Conciliacion de compuestos'!$D$2:$D$48,"conciliado",'Conciliacion de compuestos'!$E$2:$E$48,"OK",'Conciliacion de compuestos'!$N$2:$N$48,A371),COUNTIFS('Conciliacion de compuestos'!$D$2:$D$48,"conciliado",'Conciliacion de compuestos'!$E$2:$E$48,"OK",'Conciliacion de compuestos'!$O$2:$O$48,A371))&gt;0,"conciliado","por revisar")</f>
        <v/>
      </c>
    </row>
    <row r="372">
      <c r="A372" s="11" t="n">
        <v>368</v>
      </c>
      <c r="B372" s="12" t="n">
        <v>46021</v>
      </c>
      <c r="C372" s="11" t="inlineStr">
        <is>
          <t>david marino segura</t>
        </is>
      </c>
      <c r="D372" s="13" t="n">
        <v>32800</v>
      </c>
      <c r="E372" s="11">
        <f>IF(G372="conciliado","conciliado",I372)</f>
        <v/>
      </c>
      <c r="F372" s="11">
        <f>IF(SUM(COUNTIFS('Conciliacion de compuestos'!$D$2:$D$48,"conciliado",'Conciliacion de compuestos'!$E$2:$E$48,"OK",'Conciliacion de compuestos'!$M$2:$M$48,A372),COUNTIFS('Conciliacion de compuestos'!$D$2:$D$48,"conciliado",'Conciliacion de compuestos'!$E$2:$E$48,"OK",'Conciliacion de compuestos'!$N$2:$N$48,A372),COUNTIFS('Conciliacion de compuestos'!$D$2:$D$48,"conciliado",'Conciliacion de compuestos'!$E$2:$E$48,"OK",'Conciliacion de compuestos'!$O$2:$O$48,A372))&gt;0,IFERROR(TEXTJOIN(CHAR(10),TRUE,FILTER('Conciliacion de compuestos'!$A$2:$A$48,('Conciliacion de compuestos'!$D$2:$D$48="conciliado")*('Conciliacion de compuestos'!$E$2:$E$48="OK")*((('Conciliacion de compuestos'!$M$2:$M$48=A372)+('Conciliacion de compuestos'!$N$2:$N$48=A372)+('Conciliacion de compuestos'!$O$2:$O$48=A372))&gt;0))),""),"")</f>
        <v/>
      </c>
      <c r="G372" s="11">
        <f>IF(I372="conciliado","conciliado","por revisar")</f>
        <v/>
      </c>
      <c r="H372" s="11" t="inlineStr"/>
      <c r="I372" s="11">
        <f>IF(SUM(COUNTIFS('Conciliacion de compuestos'!$D$2:$D$48,"conciliado",'Conciliacion de compuestos'!$E$2:$E$48,"OK",'Conciliacion de compuestos'!$M$2:$M$48,A372),COUNTIFS('Conciliacion de compuestos'!$D$2:$D$48,"conciliado",'Conciliacion de compuestos'!$E$2:$E$48,"OK",'Conciliacion de compuestos'!$N$2:$N$48,A372),COUNTIFS('Conciliacion de compuestos'!$D$2:$D$48,"conciliado",'Conciliacion de compuestos'!$E$2:$E$48,"OK",'Conciliacion de compuestos'!$O$2:$O$48,A372))&gt;0,"conciliado","por revisar")</f>
        <v/>
      </c>
    </row>
    <row r="373">
      <c r="A373" s="11" t="n">
        <v>369</v>
      </c>
      <c r="B373" s="12" t="n">
        <v>46022</v>
      </c>
      <c r="C373" s="11" t="inlineStr">
        <is>
          <t>benavides sanseviero</t>
        </is>
      </c>
      <c r="D373" s="13" t="n">
        <v>-4152508</v>
      </c>
      <c r="E373" s="11">
        <f>IF(G373="conciliado","conciliado",I373)</f>
        <v/>
      </c>
      <c r="F373" s="11">
        <f>IF(SUM(COUNTIFS('Conciliacion de compuestos'!$D$2:$D$48,"conciliado",'Conciliacion de compuestos'!$E$2:$E$48,"OK",'Conciliacion de compuestos'!$M$2:$M$48,A373),COUNTIFS('Conciliacion de compuestos'!$D$2:$D$48,"conciliado",'Conciliacion de compuestos'!$E$2:$E$48,"OK",'Conciliacion de compuestos'!$N$2:$N$48,A373),COUNTIFS('Conciliacion de compuestos'!$D$2:$D$48,"conciliado",'Conciliacion de compuestos'!$E$2:$E$48,"OK",'Conciliacion de compuestos'!$O$2:$O$48,A373))&gt;0,IFERROR(TEXTJOIN(CHAR(10),TRUE,FILTER('Conciliacion de compuestos'!$A$2:$A$48,('Conciliacion de compuestos'!$D$2:$D$48="conciliado")*('Conciliacion de compuestos'!$E$2:$E$48="OK")*((('Conciliacion de compuestos'!$M$2:$M$48=A373)+('Conciliacion de compuestos'!$N$2:$N$48=A373)+('Conciliacion de compuestos'!$O$2:$O$48=A373))&gt;0))),""),"")</f>
        <v/>
      </c>
      <c r="G373" s="11">
        <f>IF(I373="conciliado","conciliado","por revisar")</f>
        <v/>
      </c>
      <c r="H373" s="11" t="inlineStr"/>
      <c r="I373" s="11">
        <f>IF(SUM(COUNTIFS('Conciliacion de compuestos'!$D$2:$D$48,"conciliado",'Conciliacion de compuestos'!$E$2:$E$48,"OK",'Conciliacion de compuestos'!$M$2:$M$48,A373),COUNTIFS('Conciliacion de compuestos'!$D$2:$D$48,"conciliado",'Conciliacion de compuestos'!$E$2:$E$48,"OK",'Conciliacion de compuestos'!$N$2:$N$48,A373),COUNTIFS('Conciliacion de compuestos'!$D$2:$D$48,"conciliado",'Conciliacion de compuestos'!$E$2:$E$48,"OK",'Conciliacion de compuestos'!$O$2:$O$48,A373))&gt;0,"conciliado","por revisar")</f>
        <v/>
      </c>
    </row>
    <row r="374">
      <c r="A374" s="11" t="n">
        <v>370</v>
      </c>
      <c r="B374" s="12" t="n">
        <v>46022</v>
      </c>
      <c r="C374" s="11" t="inlineStr">
        <is>
          <t>a rapiventas s s</t>
        </is>
      </c>
      <c r="D374" s="13" t="n">
        <v>-3312505</v>
      </c>
      <c r="E374" s="11">
        <f>IF(G374="conciliado","conciliado",I374)</f>
        <v/>
      </c>
      <c r="F374" s="11">
        <f>IF(SUM(COUNTIFS('Conciliacion de compuestos'!$D$2:$D$48,"conciliado",'Conciliacion de compuestos'!$E$2:$E$48,"OK",'Conciliacion de compuestos'!$M$2:$M$48,A374),COUNTIFS('Conciliacion de compuestos'!$D$2:$D$48,"conciliado",'Conciliacion de compuestos'!$E$2:$E$48,"OK",'Conciliacion de compuestos'!$N$2:$N$48,A374),COUNTIFS('Conciliacion de compuestos'!$D$2:$D$48,"conciliado",'Conciliacion de compuestos'!$E$2:$E$48,"OK",'Conciliacion de compuestos'!$O$2:$O$48,A374))&gt;0,IFERROR(TEXTJOIN(CHAR(10),TRUE,FILTER('Conciliacion de compuestos'!$A$2:$A$48,('Conciliacion de compuestos'!$D$2:$D$48="conciliado")*('Conciliacion de compuestos'!$E$2:$E$48="OK")*((('Conciliacion de compuestos'!$M$2:$M$48=A374)+('Conciliacion de compuestos'!$N$2:$N$48=A374)+('Conciliacion de compuestos'!$O$2:$O$48=A374))&gt;0))),""),"")</f>
        <v/>
      </c>
      <c r="G374" s="11">
        <f>IF(I374="conciliado","conciliado","por revisar")</f>
        <v/>
      </c>
      <c r="H374" s="11" t="inlineStr"/>
      <c r="I374" s="11">
        <f>IF(SUM(COUNTIFS('Conciliacion de compuestos'!$D$2:$D$48,"conciliado",'Conciliacion de compuestos'!$E$2:$E$48,"OK",'Conciliacion de compuestos'!$M$2:$M$48,A374),COUNTIFS('Conciliacion de compuestos'!$D$2:$D$48,"conciliado",'Conciliacion de compuestos'!$E$2:$E$48,"OK",'Conciliacion de compuestos'!$N$2:$N$48,A374),COUNTIFS('Conciliacion de compuestos'!$D$2:$D$48,"conciliado",'Conciliacion de compuestos'!$E$2:$E$48,"OK",'Conciliacion de compuestos'!$O$2:$O$48,A374))&gt;0,"conciliado","por revisar")</f>
        <v/>
      </c>
    </row>
    <row r="375">
      <c r="A375" s="11" t="n">
        <v>371</v>
      </c>
      <c r="B375" s="12" t="n">
        <v>46022</v>
      </c>
      <c r="C375" s="11" t="inlineStr">
        <is>
          <t>agrario banco col de</t>
        </is>
      </c>
      <c r="D375" s="13" t="n">
        <v>-1603334</v>
      </c>
      <c r="E375" s="11">
        <f>IF(G375="conciliado","conciliado",I375)</f>
        <v/>
      </c>
      <c r="F375" s="11">
        <f>IF(SUM(COUNTIFS('Conciliacion de compuestos'!$D$2:$D$48,"conciliado",'Conciliacion de compuestos'!$E$2:$E$48,"OK",'Conciliacion de compuestos'!$M$2:$M$48,A375),COUNTIFS('Conciliacion de compuestos'!$D$2:$D$48,"conciliado",'Conciliacion de compuestos'!$E$2:$E$48,"OK",'Conciliacion de compuestos'!$N$2:$N$48,A375),COUNTIFS('Conciliacion de compuestos'!$D$2:$D$48,"conciliado",'Conciliacion de compuestos'!$E$2:$E$48,"OK",'Conciliacion de compuestos'!$O$2:$O$48,A375))&gt;0,IFERROR(TEXTJOIN(CHAR(10),TRUE,FILTER('Conciliacion de compuestos'!$A$2:$A$48,('Conciliacion de compuestos'!$D$2:$D$48="conciliado")*('Conciliacion de compuestos'!$E$2:$E$48="OK")*((('Conciliacion de compuestos'!$M$2:$M$48=A375)+('Conciliacion de compuestos'!$N$2:$N$48=A375)+('Conciliacion de compuestos'!$O$2:$O$48=A375))&gt;0))),""),"")</f>
        <v/>
      </c>
      <c r="G375" s="11">
        <f>IF(I375="conciliado","conciliado","por revisar")</f>
        <v/>
      </c>
      <c r="H375" s="11" t="inlineStr"/>
      <c r="I375" s="11">
        <f>IF(SUM(COUNTIFS('Conciliacion de compuestos'!$D$2:$D$48,"conciliado",'Conciliacion de compuestos'!$E$2:$E$48,"OK",'Conciliacion de compuestos'!$M$2:$M$48,A375),COUNTIFS('Conciliacion de compuestos'!$D$2:$D$48,"conciliado",'Conciliacion de compuestos'!$E$2:$E$48,"OK",'Conciliacion de compuestos'!$N$2:$N$48,A375),COUNTIFS('Conciliacion de compuestos'!$D$2:$D$48,"conciliado",'Conciliacion de compuestos'!$E$2:$E$48,"OK",'Conciliacion de compuestos'!$O$2:$O$48,A375))&gt;0,"conciliado","por revisar")</f>
        <v/>
      </c>
    </row>
    <row r="376">
      <c r="A376" s="11" t="n">
        <v>372</v>
      </c>
      <c r="B376" s="12" t="n">
        <v>46022</v>
      </c>
      <c r="C376" s="11" t="inlineStr">
        <is>
          <t>ayl lopez rodriguez</t>
        </is>
      </c>
      <c r="D376" s="13" t="n">
        <v>119800</v>
      </c>
      <c r="E376" s="11">
        <f>IF(G376="conciliado","conciliado",I376)</f>
        <v/>
      </c>
      <c r="F376" s="11">
        <f>IF(SUM(COUNTIFS('Conciliacion de compuestos'!$D$2:$D$48,"conciliado",'Conciliacion de compuestos'!$E$2:$E$48,"OK",'Conciliacion de compuestos'!$M$2:$M$48,A376),COUNTIFS('Conciliacion de compuestos'!$D$2:$D$48,"conciliado",'Conciliacion de compuestos'!$E$2:$E$48,"OK",'Conciliacion de compuestos'!$N$2:$N$48,A376),COUNTIFS('Conciliacion de compuestos'!$D$2:$D$48,"conciliado",'Conciliacion de compuestos'!$E$2:$E$48,"OK",'Conciliacion de compuestos'!$O$2:$O$48,A376))&gt;0,IFERROR(TEXTJOIN(CHAR(10),TRUE,FILTER('Conciliacion de compuestos'!$A$2:$A$48,('Conciliacion de compuestos'!$D$2:$D$48="conciliado")*('Conciliacion de compuestos'!$E$2:$E$48="OK")*((('Conciliacion de compuestos'!$M$2:$M$48=A376)+('Conciliacion de compuestos'!$N$2:$N$48=A376)+('Conciliacion de compuestos'!$O$2:$O$48=A376))&gt;0))),""),"")</f>
        <v/>
      </c>
      <c r="G376" s="11">
        <f>IF(I376="conciliado","conciliado","por revisar")</f>
        <v/>
      </c>
      <c r="H376" s="11" t="inlineStr"/>
      <c r="I376" s="11">
        <f>IF(SUM(COUNTIFS('Conciliacion de compuestos'!$D$2:$D$48,"conciliado",'Conciliacion de compuestos'!$E$2:$E$48,"OK",'Conciliacion de compuestos'!$M$2:$M$48,A376),COUNTIFS('Conciliacion de compuestos'!$D$2:$D$48,"conciliado",'Conciliacion de compuestos'!$E$2:$E$48,"OK",'Conciliacion de compuestos'!$N$2:$N$48,A376),COUNTIFS('Conciliacion de compuestos'!$D$2:$D$48,"conciliado",'Conciliacion de compuestos'!$E$2:$E$48,"OK",'Conciliacion de compuestos'!$O$2:$O$48,A376))&gt;0,"conciliado","por revisar")</f>
        <v/>
      </c>
    </row>
    <row r="377">
      <c r="A377" s="11" t="n">
        <v>373</v>
      </c>
      <c r="B377" s="12" t="n">
        <v>46022</v>
      </c>
      <c r="C377" s="11" t="inlineStr">
        <is>
          <t>marquez nanc narvaez</t>
        </is>
      </c>
      <c r="D377" s="13" t="n">
        <v>49100</v>
      </c>
      <c r="E377" s="11">
        <f>IF(G377="conciliado","conciliado",I377)</f>
        <v/>
      </c>
      <c r="F377" s="11">
        <f>IF(SUM(COUNTIFS('Conciliacion de compuestos'!$D$2:$D$48,"conciliado",'Conciliacion de compuestos'!$E$2:$E$48,"OK",'Conciliacion de compuestos'!$M$2:$M$48,A377),COUNTIFS('Conciliacion de compuestos'!$D$2:$D$48,"conciliado",'Conciliacion de compuestos'!$E$2:$E$48,"OK",'Conciliacion de compuestos'!$N$2:$N$48,A377),COUNTIFS('Conciliacion de compuestos'!$D$2:$D$48,"conciliado",'Conciliacion de compuestos'!$E$2:$E$48,"OK",'Conciliacion de compuestos'!$O$2:$O$48,A377))&gt;0,IFERROR(TEXTJOIN(CHAR(10),TRUE,FILTER('Conciliacion de compuestos'!$A$2:$A$48,('Conciliacion de compuestos'!$D$2:$D$48="conciliado")*('Conciliacion de compuestos'!$E$2:$E$48="OK")*((('Conciliacion de compuestos'!$M$2:$M$48=A377)+('Conciliacion de compuestos'!$N$2:$N$48=A377)+('Conciliacion de compuestos'!$O$2:$O$48=A377))&gt;0))),""),"")</f>
        <v/>
      </c>
      <c r="G377" s="11">
        <f>IF(I377="conciliado","conciliado","por revisar")</f>
        <v/>
      </c>
      <c r="H377" s="11" t="inlineStr"/>
      <c r="I377" s="11">
        <f>IF(SUM(COUNTIFS('Conciliacion de compuestos'!$D$2:$D$48,"conciliado",'Conciliacion de compuestos'!$E$2:$E$48,"OK",'Conciliacion de compuestos'!$M$2:$M$48,A377),COUNTIFS('Conciliacion de compuestos'!$D$2:$D$48,"conciliado",'Conciliacion de compuestos'!$E$2:$E$48,"OK",'Conciliacion de compuestos'!$N$2:$N$48,A377),COUNTIFS('Conciliacion de compuestos'!$D$2:$D$48,"conciliado",'Conciliacion de compuestos'!$E$2:$E$48,"OK",'Conciliacion de compuestos'!$O$2:$O$48,A377))&gt;0,"conciliado","por revisar")</f>
        <v/>
      </c>
    </row>
    <row r="378">
      <c r="A378" s="11" t="n">
        <v>374</v>
      </c>
      <c r="B378" s="12" t="n">
        <v>46022</v>
      </c>
      <c r="C378" s="11" t="inlineStr">
        <is>
          <t>carretero diaz oscar</t>
        </is>
      </c>
      <c r="D378" s="13" t="n">
        <v>458400</v>
      </c>
      <c r="E378" s="11">
        <f>IF(G378="conciliado","conciliado",I378)</f>
        <v/>
      </c>
      <c r="F378" s="11">
        <f>IF(SUM(COUNTIFS('Conciliacion de compuestos'!$D$2:$D$48,"conciliado",'Conciliacion de compuestos'!$E$2:$E$48,"OK",'Conciliacion de compuestos'!$M$2:$M$48,A378),COUNTIFS('Conciliacion de compuestos'!$D$2:$D$48,"conciliado",'Conciliacion de compuestos'!$E$2:$E$48,"OK",'Conciliacion de compuestos'!$N$2:$N$48,A378),COUNTIFS('Conciliacion de compuestos'!$D$2:$D$48,"conciliado",'Conciliacion de compuestos'!$E$2:$E$48,"OK",'Conciliacion de compuestos'!$O$2:$O$48,A378))&gt;0,IFERROR(TEXTJOIN(CHAR(10),TRUE,FILTER('Conciliacion de compuestos'!$A$2:$A$48,('Conciliacion de compuestos'!$D$2:$D$48="conciliado")*('Conciliacion de compuestos'!$E$2:$E$48="OK")*((('Conciliacion de compuestos'!$M$2:$M$48=A378)+('Conciliacion de compuestos'!$N$2:$N$48=A378)+('Conciliacion de compuestos'!$O$2:$O$48=A378))&gt;0))),""),"")</f>
        <v/>
      </c>
      <c r="G378" s="11">
        <f>IF(I378="conciliado","conciliado","por revisar")</f>
        <v/>
      </c>
      <c r="H378" s="11" t="inlineStr"/>
      <c r="I378" s="11">
        <f>IF(SUM(COUNTIFS('Conciliacion de compuestos'!$D$2:$D$48,"conciliado",'Conciliacion de compuestos'!$E$2:$E$48,"OK",'Conciliacion de compuestos'!$M$2:$M$48,A378),COUNTIFS('Conciliacion de compuestos'!$D$2:$D$48,"conciliado",'Conciliacion de compuestos'!$E$2:$E$48,"OK",'Conciliacion de compuestos'!$N$2:$N$48,A378),COUNTIFS('Conciliacion de compuestos'!$D$2:$D$48,"conciliado",'Conciliacion de compuestos'!$E$2:$E$48,"OK",'Conciliacion de compuestos'!$O$2:$O$48,A378))&gt;0,"conciliado","por revisar")</f>
        <v/>
      </c>
    </row>
    <row r="379">
      <c r="A379" s="11" t="n">
        <v>375</v>
      </c>
      <c r="B379" s="12" t="n">
        <v>46022</v>
      </c>
      <c r="C379" s="11" t="inlineStr">
        <is>
          <t>luci martinez rosero</t>
        </is>
      </c>
      <c r="D379" s="13" t="n">
        <v>33700</v>
      </c>
      <c r="E379" s="11">
        <f>IF(G379="conciliado","conciliado",I379)</f>
        <v/>
      </c>
      <c r="F379" s="11">
        <f>IF(SUM(COUNTIFS('Conciliacion de compuestos'!$D$2:$D$48,"conciliado",'Conciliacion de compuestos'!$E$2:$E$48,"OK",'Conciliacion de compuestos'!$M$2:$M$48,A379),COUNTIFS('Conciliacion de compuestos'!$D$2:$D$48,"conciliado",'Conciliacion de compuestos'!$E$2:$E$48,"OK",'Conciliacion de compuestos'!$N$2:$N$48,A379),COUNTIFS('Conciliacion de compuestos'!$D$2:$D$48,"conciliado",'Conciliacion de compuestos'!$E$2:$E$48,"OK",'Conciliacion de compuestos'!$O$2:$O$48,A379))&gt;0,IFERROR(TEXTJOIN(CHAR(10),TRUE,FILTER('Conciliacion de compuestos'!$A$2:$A$48,('Conciliacion de compuestos'!$D$2:$D$48="conciliado")*('Conciliacion de compuestos'!$E$2:$E$48="OK")*((('Conciliacion de compuestos'!$M$2:$M$48=A379)+('Conciliacion de compuestos'!$N$2:$N$48=A379)+('Conciliacion de compuestos'!$O$2:$O$48=A379))&gt;0))),""),"")</f>
        <v/>
      </c>
      <c r="G379" s="11">
        <f>IF(I379="conciliado","conciliado","por revisar")</f>
        <v/>
      </c>
      <c r="H379" s="11" t="inlineStr"/>
      <c r="I379" s="11">
        <f>IF(SUM(COUNTIFS('Conciliacion de compuestos'!$D$2:$D$48,"conciliado",'Conciliacion de compuestos'!$E$2:$E$48,"OK",'Conciliacion de compuestos'!$M$2:$M$48,A379),COUNTIFS('Conciliacion de compuestos'!$D$2:$D$48,"conciliado",'Conciliacion de compuestos'!$E$2:$E$48,"OK",'Conciliacion de compuestos'!$N$2:$N$48,A379),COUNTIFS('Conciliacion de compuestos'!$D$2:$D$48,"conciliado",'Conciliacion de compuestos'!$E$2:$E$48,"OK",'Conciliacion de compuestos'!$O$2:$O$48,A379))&gt;0,"conciliado","por revisar")</f>
        <v/>
      </c>
    </row>
    <row r="380">
      <c r="A380" s="11" t="n">
        <v>376</v>
      </c>
      <c r="B380" s="12" t="n">
        <v>46022</v>
      </c>
      <c r="C380" s="11" t="inlineStr">
        <is>
          <t>alvarado valenzuela</t>
        </is>
      </c>
      <c r="D380" s="13" t="n">
        <v>113400</v>
      </c>
      <c r="E380" s="11">
        <f>IF(G380="conciliado","conciliado",I380)</f>
        <v/>
      </c>
      <c r="F380" s="11">
        <f>IF(SUM(COUNTIFS('Conciliacion de compuestos'!$D$2:$D$48,"conciliado",'Conciliacion de compuestos'!$E$2:$E$48,"OK",'Conciliacion de compuestos'!$M$2:$M$48,A380),COUNTIFS('Conciliacion de compuestos'!$D$2:$D$48,"conciliado",'Conciliacion de compuestos'!$E$2:$E$48,"OK",'Conciliacion de compuestos'!$N$2:$N$48,A380),COUNTIFS('Conciliacion de compuestos'!$D$2:$D$48,"conciliado",'Conciliacion de compuestos'!$E$2:$E$48,"OK",'Conciliacion de compuestos'!$O$2:$O$48,A380))&gt;0,IFERROR(TEXTJOIN(CHAR(10),TRUE,FILTER('Conciliacion de compuestos'!$A$2:$A$48,('Conciliacion de compuestos'!$D$2:$D$48="conciliado")*('Conciliacion de compuestos'!$E$2:$E$48="OK")*((('Conciliacion de compuestos'!$M$2:$M$48=A380)+('Conciliacion de compuestos'!$N$2:$N$48=A380)+('Conciliacion de compuestos'!$O$2:$O$48=A380))&gt;0))),""),"")</f>
        <v/>
      </c>
      <c r="G380" s="11">
        <f>IF(I380="conciliado","conciliado","por revisar")</f>
        <v/>
      </c>
      <c r="H380" s="11" t="inlineStr"/>
      <c r="I380" s="11">
        <f>IF(SUM(COUNTIFS('Conciliacion de compuestos'!$D$2:$D$48,"conciliado",'Conciliacion de compuestos'!$E$2:$E$48,"OK",'Conciliacion de compuestos'!$M$2:$M$48,A380),COUNTIFS('Conciliacion de compuestos'!$D$2:$D$48,"conciliado",'Conciliacion de compuestos'!$E$2:$E$48,"OK",'Conciliacion de compuestos'!$N$2:$N$48,A380),COUNTIFS('Conciliacion de compuestos'!$D$2:$D$48,"conciliado",'Conciliacion de compuestos'!$E$2:$E$48,"OK",'Conciliacion de compuestos'!$O$2:$O$48,A380))&gt;0,"conciliado","por revisar")</f>
        <v/>
      </c>
    </row>
    <row r="381">
      <c r="A381" s="11" t="n">
        <v>377</v>
      </c>
      <c r="B381" s="12" t="n">
        <v>46022</v>
      </c>
      <c r="C381" s="11" t="inlineStr">
        <is>
          <t>anyela diaz meneses</t>
        </is>
      </c>
      <c r="D381" s="13" t="n">
        <v>20200</v>
      </c>
      <c r="E381" s="11">
        <f>IF(G381="conciliado","conciliado",I381)</f>
        <v/>
      </c>
      <c r="F381" s="11">
        <f>IF(SUM(COUNTIFS('Conciliacion de compuestos'!$D$2:$D$48,"conciliado",'Conciliacion de compuestos'!$E$2:$E$48,"OK",'Conciliacion de compuestos'!$M$2:$M$48,A381),COUNTIFS('Conciliacion de compuestos'!$D$2:$D$48,"conciliado",'Conciliacion de compuestos'!$E$2:$E$48,"OK",'Conciliacion de compuestos'!$N$2:$N$48,A381),COUNTIFS('Conciliacion de compuestos'!$D$2:$D$48,"conciliado",'Conciliacion de compuestos'!$E$2:$E$48,"OK",'Conciliacion de compuestos'!$O$2:$O$48,A381))&gt;0,IFERROR(TEXTJOIN(CHAR(10),TRUE,FILTER('Conciliacion de compuestos'!$A$2:$A$48,('Conciliacion de compuestos'!$D$2:$D$48="conciliado")*('Conciliacion de compuestos'!$E$2:$E$48="OK")*((('Conciliacion de compuestos'!$M$2:$M$48=A381)+('Conciliacion de compuestos'!$N$2:$N$48=A381)+('Conciliacion de compuestos'!$O$2:$O$48=A381))&gt;0))),""),"")</f>
        <v/>
      </c>
      <c r="G381" s="11">
        <f>IF(I381="conciliado","conciliado","por revisar")</f>
        <v/>
      </c>
      <c r="H381" s="11" t="inlineStr"/>
      <c r="I381" s="11">
        <f>IF(SUM(COUNTIFS('Conciliacion de compuestos'!$D$2:$D$48,"conciliado",'Conciliacion de compuestos'!$E$2:$E$48,"OK",'Conciliacion de compuestos'!$M$2:$M$48,A381),COUNTIFS('Conciliacion de compuestos'!$D$2:$D$48,"conciliado",'Conciliacion de compuestos'!$E$2:$E$48,"OK",'Conciliacion de compuestos'!$N$2:$N$48,A381),COUNTIFS('Conciliacion de compuestos'!$D$2:$D$48,"conciliado",'Conciliacion de compuestos'!$E$2:$E$48,"OK",'Conciliacion de compuestos'!$O$2:$O$48,A381))&gt;0,"conciliado","por revisar")</f>
        <v/>
      </c>
    </row>
    <row r="382">
      <c r="A382" s="11" t="n">
        <v>378</v>
      </c>
      <c r="B382" s="12" t="n">
        <v>46022</v>
      </c>
      <c r="C382" s="11" t="inlineStr">
        <is>
          <t>lemus martinez pasto</t>
        </is>
      </c>
      <c r="D382" s="13" t="n">
        <v>128000</v>
      </c>
      <c r="E382" s="11">
        <f>IF(G382="conciliado","conciliado",I382)</f>
        <v/>
      </c>
      <c r="F382" s="11">
        <f>IF(SUM(COUNTIFS('Conciliacion de compuestos'!$D$2:$D$48,"conciliado",'Conciliacion de compuestos'!$E$2:$E$48,"OK",'Conciliacion de compuestos'!$M$2:$M$48,A382),COUNTIFS('Conciliacion de compuestos'!$D$2:$D$48,"conciliado",'Conciliacion de compuestos'!$E$2:$E$48,"OK",'Conciliacion de compuestos'!$N$2:$N$48,A382),COUNTIFS('Conciliacion de compuestos'!$D$2:$D$48,"conciliado",'Conciliacion de compuestos'!$E$2:$E$48,"OK",'Conciliacion de compuestos'!$O$2:$O$48,A382))&gt;0,IFERROR(TEXTJOIN(CHAR(10),TRUE,FILTER('Conciliacion de compuestos'!$A$2:$A$48,('Conciliacion de compuestos'!$D$2:$D$48="conciliado")*('Conciliacion de compuestos'!$E$2:$E$48="OK")*((('Conciliacion de compuestos'!$M$2:$M$48=A382)+('Conciliacion de compuestos'!$N$2:$N$48=A382)+('Conciliacion de compuestos'!$O$2:$O$48=A382))&gt;0))),""),"")</f>
        <v/>
      </c>
      <c r="G382" s="11">
        <f>IF(I382="conciliado","conciliado","por revisar")</f>
        <v/>
      </c>
      <c r="H382" s="11" t="inlineStr"/>
      <c r="I382" s="11">
        <f>IF(SUM(COUNTIFS('Conciliacion de compuestos'!$D$2:$D$48,"conciliado",'Conciliacion de compuestos'!$E$2:$E$48,"OK",'Conciliacion de compuestos'!$M$2:$M$48,A382),COUNTIFS('Conciliacion de compuestos'!$D$2:$D$48,"conciliado",'Conciliacion de compuestos'!$E$2:$E$48,"OK",'Conciliacion de compuestos'!$N$2:$N$48,A382),COUNTIFS('Conciliacion de compuestos'!$D$2:$D$48,"conciliado",'Conciliacion de compuestos'!$E$2:$E$48,"OK",'Conciliacion de compuestos'!$O$2:$O$48,A382))&gt;0,"conciliado","por revisar")</f>
        <v/>
      </c>
    </row>
    <row r="383">
      <c r="A383" s="11" t="n">
        <v>379</v>
      </c>
      <c r="B383" s="12" t="n">
        <v>46022</v>
      </c>
      <c r="C383" s="11" t="inlineStr">
        <is>
          <t>acosta jaiber rosero</t>
        </is>
      </c>
      <c r="D383" s="13" t="n">
        <v>133500</v>
      </c>
      <c r="E383" s="11">
        <f>IF(G383="conciliado","conciliado",I383)</f>
        <v/>
      </c>
      <c r="F383" s="11">
        <f>IF(SUM(COUNTIFS('Conciliacion de compuestos'!$D$2:$D$48,"conciliado",'Conciliacion de compuestos'!$E$2:$E$48,"OK",'Conciliacion de compuestos'!$M$2:$M$48,A383),COUNTIFS('Conciliacion de compuestos'!$D$2:$D$48,"conciliado",'Conciliacion de compuestos'!$E$2:$E$48,"OK",'Conciliacion de compuestos'!$N$2:$N$48,A383),COUNTIFS('Conciliacion de compuestos'!$D$2:$D$48,"conciliado",'Conciliacion de compuestos'!$E$2:$E$48,"OK",'Conciliacion de compuestos'!$O$2:$O$48,A383))&gt;0,IFERROR(TEXTJOIN(CHAR(10),TRUE,FILTER('Conciliacion de compuestos'!$A$2:$A$48,('Conciliacion de compuestos'!$D$2:$D$48="conciliado")*('Conciliacion de compuestos'!$E$2:$E$48="OK")*((('Conciliacion de compuestos'!$M$2:$M$48=A383)+('Conciliacion de compuestos'!$N$2:$N$48=A383)+('Conciliacion de compuestos'!$O$2:$O$48=A383))&gt;0))),""),"")</f>
        <v/>
      </c>
      <c r="G383" s="11">
        <f>IF(I383="conciliado","conciliado","por revisar")</f>
        <v/>
      </c>
      <c r="H383" s="11" t="inlineStr"/>
      <c r="I383" s="11">
        <f>IF(SUM(COUNTIFS('Conciliacion de compuestos'!$D$2:$D$48,"conciliado",'Conciliacion de compuestos'!$E$2:$E$48,"OK",'Conciliacion de compuestos'!$M$2:$M$48,A383),COUNTIFS('Conciliacion de compuestos'!$D$2:$D$48,"conciliado",'Conciliacion de compuestos'!$E$2:$E$48,"OK",'Conciliacion de compuestos'!$N$2:$N$48,A383),COUNTIFS('Conciliacion de compuestos'!$D$2:$D$48,"conciliado",'Conciliacion de compuestos'!$E$2:$E$48,"OK",'Conciliacion de compuestos'!$O$2:$O$48,A383))&gt;0,"conciliado","por revisar")</f>
        <v/>
      </c>
    </row>
    <row r="384">
      <c r="A384" s="11" t="n">
        <v>380</v>
      </c>
      <c r="B384" s="12" t="n">
        <v>46022</v>
      </c>
      <c r="C384" s="11" t="inlineStr">
        <is>
          <t>buelvas diaz jose mi</t>
        </is>
      </c>
      <c r="D384" s="13" t="n">
        <v>187400</v>
      </c>
      <c r="E384" s="11">
        <f>IF(G384="conciliado","conciliado",I384)</f>
        <v/>
      </c>
      <c r="F384" s="11">
        <f>IF(SUM(COUNTIFS('Conciliacion de compuestos'!$D$2:$D$48,"conciliado",'Conciliacion de compuestos'!$E$2:$E$48,"OK",'Conciliacion de compuestos'!$M$2:$M$48,A384),COUNTIFS('Conciliacion de compuestos'!$D$2:$D$48,"conciliado",'Conciliacion de compuestos'!$E$2:$E$48,"OK",'Conciliacion de compuestos'!$N$2:$N$48,A384),COUNTIFS('Conciliacion de compuestos'!$D$2:$D$48,"conciliado",'Conciliacion de compuestos'!$E$2:$E$48,"OK",'Conciliacion de compuestos'!$O$2:$O$48,A384))&gt;0,IFERROR(TEXTJOIN(CHAR(10),TRUE,FILTER('Conciliacion de compuestos'!$A$2:$A$48,('Conciliacion de compuestos'!$D$2:$D$48="conciliado")*('Conciliacion de compuestos'!$E$2:$E$48="OK")*((('Conciliacion de compuestos'!$M$2:$M$48=A384)+('Conciliacion de compuestos'!$N$2:$N$48=A384)+('Conciliacion de compuestos'!$O$2:$O$48=A384))&gt;0))),""),"")</f>
        <v/>
      </c>
      <c r="G384" s="11">
        <f>IF(I384="conciliado","conciliado","por revisar")</f>
        <v/>
      </c>
      <c r="H384" s="11" t="inlineStr"/>
      <c r="I384" s="11">
        <f>IF(SUM(COUNTIFS('Conciliacion de compuestos'!$D$2:$D$48,"conciliado",'Conciliacion de compuestos'!$E$2:$E$48,"OK",'Conciliacion de compuestos'!$M$2:$M$48,A384),COUNTIFS('Conciliacion de compuestos'!$D$2:$D$48,"conciliado",'Conciliacion de compuestos'!$E$2:$E$48,"OK",'Conciliacion de compuestos'!$N$2:$N$48,A384),COUNTIFS('Conciliacion de compuestos'!$D$2:$D$48,"conciliado",'Conciliacion de compuestos'!$E$2:$E$48,"OK",'Conciliacion de compuestos'!$O$2:$O$48,A384))&gt;0,"conciliado","por revisar")</f>
        <v/>
      </c>
    </row>
    <row r="385">
      <c r="A385" s="11" t="n">
        <v>381</v>
      </c>
      <c r="B385" s="12" t="n">
        <v>46022</v>
      </c>
      <c r="C385" s="11" t="inlineStr">
        <is>
          <t>chavez esmer urquijo</t>
        </is>
      </c>
      <c r="D385" s="13" t="n">
        <v>81500</v>
      </c>
      <c r="E385" s="11">
        <f>IF(G385="conciliado","conciliado",I385)</f>
        <v/>
      </c>
      <c r="F385" s="11">
        <f>IF(SUM(COUNTIFS('Conciliacion de compuestos'!$D$2:$D$48,"conciliado",'Conciliacion de compuestos'!$E$2:$E$48,"OK",'Conciliacion de compuestos'!$M$2:$M$48,A385),COUNTIFS('Conciliacion de compuestos'!$D$2:$D$48,"conciliado",'Conciliacion de compuestos'!$E$2:$E$48,"OK",'Conciliacion de compuestos'!$N$2:$N$48,A385),COUNTIFS('Conciliacion de compuestos'!$D$2:$D$48,"conciliado",'Conciliacion de compuestos'!$E$2:$E$48,"OK",'Conciliacion de compuestos'!$O$2:$O$48,A385))&gt;0,IFERROR(TEXTJOIN(CHAR(10),TRUE,FILTER('Conciliacion de compuestos'!$A$2:$A$48,('Conciliacion de compuestos'!$D$2:$D$48="conciliado")*('Conciliacion de compuestos'!$E$2:$E$48="OK")*((('Conciliacion de compuestos'!$M$2:$M$48=A385)+('Conciliacion de compuestos'!$N$2:$N$48=A385)+('Conciliacion de compuestos'!$O$2:$O$48=A385))&gt;0))),""),"")</f>
        <v/>
      </c>
      <c r="G385" s="11">
        <f>IF(I385="conciliado","conciliado","por revisar")</f>
        <v/>
      </c>
      <c r="H385" s="11" t="inlineStr"/>
      <c r="I385" s="11">
        <f>IF(SUM(COUNTIFS('Conciliacion de compuestos'!$D$2:$D$48,"conciliado",'Conciliacion de compuestos'!$E$2:$E$48,"OK",'Conciliacion de compuestos'!$M$2:$M$48,A385),COUNTIFS('Conciliacion de compuestos'!$D$2:$D$48,"conciliado",'Conciliacion de compuestos'!$E$2:$E$48,"OK",'Conciliacion de compuestos'!$N$2:$N$48,A385),COUNTIFS('Conciliacion de compuestos'!$D$2:$D$48,"conciliado",'Conciliacion de compuestos'!$E$2:$E$48,"OK",'Conciliacion de compuestos'!$O$2:$O$48,A385))&gt;0,"conciliado","por revisar")</f>
        <v/>
      </c>
    </row>
    <row r="386">
      <c r="A386" s="11" t="n">
        <v>382</v>
      </c>
      <c r="B386" s="12" t="n">
        <v>46022</v>
      </c>
      <c r="C386" s="11" t="inlineStr">
        <is>
          <t>carvajal gerar rojas</t>
        </is>
      </c>
      <c r="D386" s="13" t="n">
        <v>476100</v>
      </c>
      <c r="E386" s="11">
        <f>IF(G386="conciliado","conciliado",I386)</f>
        <v/>
      </c>
      <c r="F386" s="11">
        <f>IF(SUM(COUNTIFS('Conciliacion de compuestos'!$D$2:$D$48,"conciliado",'Conciliacion de compuestos'!$E$2:$E$48,"OK",'Conciliacion de compuestos'!$M$2:$M$48,A386),COUNTIFS('Conciliacion de compuestos'!$D$2:$D$48,"conciliado",'Conciliacion de compuestos'!$E$2:$E$48,"OK",'Conciliacion de compuestos'!$N$2:$N$48,A386),COUNTIFS('Conciliacion de compuestos'!$D$2:$D$48,"conciliado",'Conciliacion de compuestos'!$E$2:$E$48,"OK",'Conciliacion de compuestos'!$O$2:$O$48,A386))&gt;0,IFERROR(TEXTJOIN(CHAR(10),TRUE,FILTER('Conciliacion de compuestos'!$A$2:$A$48,('Conciliacion de compuestos'!$D$2:$D$48="conciliado")*('Conciliacion de compuestos'!$E$2:$E$48="OK")*((('Conciliacion de compuestos'!$M$2:$M$48=A386)+('Conciliacion de compuestos'!$N$2:$N$48=A386)+('Conciliacion de compuestos'!$O$2:$O$48=A386))&gt;0))),""),"")</f>
        <v/>
      </c>
      <c r="G386" s="11">
        <f>IF(I386="conciliado","conciliado","por revisar")</f>
        <v/>
      </c>
      <c r="H386" s="11" t="inlineStr"/>
      <c r="I386" s="11">
        <f>IF(SUM(COUNTIFS('Conciliacion de compuestos'!$D$2:$D$48,"conciliado",'Conciliacion de compuestos'!$E$2:$E$48,"OK",'Conciliacion de compuestos'!$M$2:$M$48,A386),COUNTIFS('Conciliacion de compuestos'!$D$2:$D$48,"conciliado",'Conciliacion de compuestos'!$E$2:$E$48,"OK",'Conciliacion de compuestos'!$N$2:$N$48,A386),COUNTIFS('Conciliacion de compuestos'!$D$2:$D$48,"conciliado",'Conciliacion de compuestos'!$E$2:$E$48,"OK",'Conciliacion de compuestos'!$O$2:$O$48,A386))&gt;0,"conciliado","por revisar")</f>
        <v/>
      </c>
    </row>
    <row r="387">
      <c r="A387" s="11" t="n">
        <v>383</v>
      </c>
      <c r="B387" s="12" t="n">
        <v>46022</v>
      </c>
      <c r="C387" s="11" t="inlineStr">
        <is>
          <t>burbano leyd meneses</t>
        </is>
      </c>
      <c r="D387" s="13" t="n">
        <v>64200</v>
      </c>
      <c r="E387" s="11">
        <f>IF(G387="conciliado","conciliado",I387)</f>
        <v/>
      </c>
      <c r="F387" s="11">
        <f>IF(SUM(COUNTIFS('Conciliacion de compuestos'!$D$2:$D$48,"conciliado",'Conciliacion de compuestos'!$E$2:$E$48,"OK",'Conciliacion de compuestos'!$M$2:$M$48,A387),COUNTIFS('Conciliacion de compuestos'!$D$2:$D$48,"conciliado",'Conciliacion de compuestos'!$E$2:$E$48,"OK",'Conciliacion de compuestos'!$N$2:$N$48,A387),COUNTIFS('Conciliacion de compuestos'!$D$2:$D$48,"conciliado",'Conciliacion de compuestos'!$E$2:$E$48,"OK",'Conciliacion de compuestos'!$O$2:$O$48,A387))&gt;0,IFERROR(TEXTJOIN(CHAR(10),TRUE,FILTER('Conciliacion de compuestos'!$A$2:$A$48,('Conciliacion de compuestos'!$D$2:$D$48="conciliado")*('Conciliacion de compuestos'!$E$2:$E$48="OK")*((('Conciliacion de compuestos'!$M$2:$M$48=A387)+('Conciliacion de compuestos'!$N$2:$N$48=A387)+('Conciliacion de compuestos'!$O$2:$O$48=A387))&gt;0))),""),"")</f>
        <v/>
      </c>
      <c r="G387" s="11">
        <f>IF(I387="conciliado","conciliado","por revisar")</f>
        <v/>
      </c>
      <c r="H387" s="11" t="inlineStr"/>
      <c r="I387" s="11">
        <f>IF(SUM(COUNTIFS('Conciliacion de compuestos'!$D$2:$D$48,"conciliado",'Conciliacion de compuestos'!$E$2:$E$48,"OK",'Conciliacion de compuestos'!$M$2:$M$48,A387),COUNTIFS('Conciliacion de compuestos'!$D$2:$D$48,"conciliado",'Conciliacion de compuestos'!$E$2:$E$48,"OK",'Conciliacion de compuestos'!$N$2:$N$48,A387),COUNTIFS('Conciliacion de compuestos'!$D$2:$D$48,"conciliado",'Conciliacion de compuestos'!$E$2:$E$48,"OK",'Conciliacion de compuestos'!$O$2:$O$48,A387))&gt;0,"conciliado","por revisar")</f>
        <v/>
      </c>
    </row>
    <row r="388">
      <c r="A388" s="11" t="n">
        <v>384</v>
      </c>
      <c r="B388" s="12" t="n">
        <v>46022</v>
      </c>
      <c r="C388" s="11" t="inlineStr">
        <is>
          <t>blandon ceballos lyn</t>
        </is>
      </c>
      <c r="D388" s="13" t="n">
        <v>26300</v>
      </c>
      <c r="E388" s="11">
        <f>IF(G388="conciliado","conciliado",I388)</f>
        <v/>
      </c>
      <c r="F388" s="11">
        <f>IF(SUM(COUNTIFS('Conciliacion de compuestos'!$D$2:$D$48,"conciliado",'Conciliacion de compuestos'!$E$2:$E$48,"OK",'Conciliacion de compuestos'!$M$2:$M$48,A388),COUNTIFS('Conciliacion de compuestos'!$D$2:$D$48,"conciliado",'Conciliacion de compuestos'!$E$2:$E$48,"OK",'Conciliacion de compuestos'!$N$2:$N$48,A388),COUNTIFS('Conciliacion de compuestos'!$D$2:$D$48,"conciliado",'Conciliacion de compuestos'!$E$2:$E$48,"OK",'Conciliacion de compuestos'!$O$2:$O$48,A388))&gt;0,IFERROR(TEXTJOIN(CHAR(10),TRUE,FILTER('Conciliacion de compuestos'!$A$2:$A$48,('Conciliacion de compuestos'!$D$2:$D$48="conciliado")*('Conciliacion de compuestos'!$E$2:$E$48="OK")*((('Conciliacion de compuestos'!$M$2:$M$48=A388)+('Conciliacion de compuestos'!$N$2:$N$48=A388)+('Conciliacion de compuestos'!$O$2:$O$48=A388))&gt;0))),""),"")</f>
        <v/>
      </c>
      <c r="G388" s="11">
        <f>IF(I388="conciliado","conciliado","por revisar")</f>
        <v/>
      </c>
      <c r="H388" s="11" t="inlineStr"/>
      <c r="I388" s="11">
        <f>IF(SUM(COUNTIFS('Conciliacion de compuestos'!$D$2:$D$48,"conciliado",'Conciliacion de compuestos'!$E$2:$E$48,"OK",'Conciliacion de compuestos'!$M$2:$M$48,A388),COUNTIFS('Conciliacion de compuestos'!$D$2:$D$48,"conciliado",'Conciliacion de compuestos'!$E$2:$E$48,"OK",'Conciliacion de compuestos'!$N$2:$N$48,A388),COUNTIFS('Conciliacion de compuestos'!$D$2:$D$48,"conciliado",'Conciliacion de compuestos'!$E$2:$E$48,"OK",'Conciliacion de compuestos'!$O$2:$O$48,A388))&gt;0,"conciliado","por revisar")</f>
        <v/>
      </c>
    </row>
    <row r="389">
      <c r="A389" s="11" t="n">
        <v>385</v>
      </c>
      <c r="B389" s="12" t="n">
        <v>46022</v>
      </c>
      <c r="C389" s="11" t="inlineStr">
        <is>
          <t>cerquera dieg ortega</t>
        </is>
      </c>
      <c r="D389" s="13" t="n">
        <v>279300</v>
      </c>
      <c r="E389" s="11">
        <f>IF(G389="conciliado","conciliado",I389)</f>
        <v/>
      </c>
      <c r="F389" s="11">
        <f>IF(SUM(COUNTIFS('Conciliacion de compuestos'!$D$2:$D$48,"conciliado",'Conciliacion de compuestos'!$E$2:$E$48,"OK",'Conciliacion de compuestos'!$M$2:$M$48,A389),COUNTIFS('Conciliacion de compuestos'!$D$2:$D$48,"conciliado",'Conciliacion de compuestos'!$E$2:$E$48,"OK",'Conciliacion de compuestos'!$N$2:$N$48,A389),COUNTIFS('Conciliacion de compuestos'!$D$2:$D$48,"conciliado",'Conciliacion de compuestos'!$E$2:$E$48,"OK",'Conciliacion de compuestos'!$O$2:$O$48,A389))&gt;0,IFERROR(TEXTJOIN(CHAR(10),TRUE,FILTER('Conciliacion de compuestos'!$A$2:$A$48,('Conciliacion de compuestos'!$D$2:$D$48="conciliado")*('Conciliacion de compuestos'!$E$2:$E$48="OK")*((('Conciliacion de compuestos'!$M$2:$M$48=A389)+('Conciliacion de compuestos'!$N$2:$N$48=A389)+('Conciliacion de compuestos'!$O$2:$O$48=A389))&gt;0))),""),"")</f>
        <v/>
      </c>
      <c r="G389" s="11">
        <f>IF(I389="conciliado","conciliado","por revisar")</f>
        <v/>
      </c>
      <c r="H389" s="11" t="inlineStr"/>
      <c r="I389" s="11">
        <f>IF(SUM(COUNTIFS('Conciliacion de compuestos'!$D$2:$D$48,"conciliado",'Conciliacion de compuestos'!$E$2:$E$48,"OK",'Conciliacion de compuestos'!$M$2:$M$48,A389),COUNTIFS('Conciliacion de compuestos'!$D$2:$D$48,"conciliado",'Conciliacion de compuestos'!$E$2:$E$48,"OK",'Conciliacion de compuestos'!$N$2:$N$48,A389),COUNTIFS('Conciliacion de compuestos'!$D$2:$D$48,"conciliado",'Conciliacion de compuestos'!$E$2:$E$48,"OK",'Conciliacion de compuestos'!$O$2:$O$48,A389))&gt;0,"conciliado","por revisar")</f>
        <v/>
      </c>
    </row>
    <row r="390">
      <c r="A390" s="11" t="n">
        <v>386</v>
      </c>
      <c r="B390" s="12" t="n">
        <v>46022</v>
      </c>
      <c r="C390" s="11" t="inlineStr">
        <is>
          <t>camacho maturana rob</t>
        </is>
      </c>
      <c r="D390" s="13" t="n">
        <v>150000</v>
      </c>
      <c r="E390" s="11">
        <f>IF(G390="conciliado","conciliado",I390)</f>
        <v/>
      </c>
      <c r="F390" s="11">
        <f>IF(SUM(COUNTIFS('Conciliacion de compuestos'!$D$2:$D$48,"conciliado",'Conciliacion de compuestos'!$E$2:$E$48,"OK",'Conciliacion de compuestos'!$M$2:$M$48,A390),COUNTIFS('Conciliacion de compuestos'!$D$2:$D$48,"conciliado",'Conciliacion de compuestos'!$E$2:$E$48,"OK",'Conciliacion de compuestos'!$N$2:$N$48,A390),COUNTIFS('Conciliacion de compuestos'!$D$2:$D$48,"conciliado",'Conciliacion de compuestos'!$E$2:$E$48,"OK",'Conciliacion de compuestos'!$O$2:$O$48,A390))&gt;0,IFERROR(TEXTJOIN(CHAR(10),TRUE,FILTER('Conciliacion de compuestos'!$A$2:$A$48,('Conciliacion de compuestos'!$D$2:$D$48="conciliado")*('Conciliacion de compuestos'!$E$2:$E$48="OK")*((('Conciliacion de compuestos'!$M$2:$M$48=A390)+('Conciliacion de compuestos'!$N$2:$N$48=A390)+('Conciliacion de compuestos'!$O$2:$O$48=A390))&gt;0))),""),"")</f>
        <v/>
      </c>
      <c r="G390" s="11">
        <f>IF(I390="conciliado","conciliado","por revisar")</f>
        <v/>
      </c>
      <c r="H390" s="11" t="inlineStr"/>
      <c r="I390" s="11">
        <f>IF(SUM(COUNTIFS('Conciliacion de compuestos'!$D$2:$D$48,"conciliado",'Conciliacion de compuestos'!$E$2:$E$48,"OK",'Conciliacion de compuestos'!$M$2:$M$48,A390),COUNTIFS('Conciliacion de compuestos'!$D$2:$D$48,"conciliado",'Conciliacion de compuestos'!$E$2:$E$48,"OK",'Conciliacion de compuestos'!$N$2:$N$48,A390),COUNTIFS('Conciliacion de compuestos'!$D$2:$D$48,"conciliado",'Conciliacion de compuestos'!$E$2:$E$48,"OK",'Conciliacion de compuestos'!$O$2:$O$48,A390))&gt;0,"conciliado","por revisar")</f>
        <v/>
      </c>
    </row>
    <row r="391">
      <c r="A391" s="11" t="n">
        <v>387</v>
      </c>
      <c r="B391" s="12" t="n">
        <v>46022</v>
      </c>
      <c r="C391" s="11" t="inlineStr">
        <is>
          <t>martinez pedr segura</t>
        </is>
      </c>
      <c r="D391" s="13" t="n">
        <v>45500</v>
      </c>
      <c r="E391" s="11">
        <f>IF(G391="conciliado","conciliado",I391)</f>
        <v/>
      </c>
      <c r="F391" s="11">
        <f>IF(SUM(COUNTIFS('Conciliacion de compuestos'!$D$2:$D$48,"conciliado",'Conciliacion de compuestos'!$E$2:$E$48,"OK",'Conciliacion de compuestos'!$M$2:$M$48,A391),COUNTIFS('Conciliacion de compuestos'!$D$2:$D$48,"conciliado",'Conciliacion de compuestos'!$E$2:$E$48,"OK",'Conciliacion de compuestos'!$N$2:$N$48,A391),COUNTIFS('Conciliacion de compuestos'!$D$2:$D$48,"conciliado",'Conciliacion de compuestos'!$E$2:$E$48,"OK",'Conciliacion de compuestos'!$O$2:$O$48,A391))&gt;0,IFERROR(TEXTJOIN(CHAR(10),TRUE,FILTER('Conciliacion de compuestos'!$A$2:$A$48,('Conciliacion de compuestos'!$D$2:$D$48="conciliado")*('Conciliacion de compuestos'!$E$2:$E$48="OK")*((('Conciliacion de compuestos'!$M$2:$M$48=A391)+('Conciliacion de compuestos'!$N$2:$N$48=A391)+('Conciliacion de compuestos'!$O$2:$O$48=A391))&gt;0))),""),"")</f>
        <v/>
      </c>
      <c r="G391" s="11">
        <f>IF(I391="conciliado","conciliado","por revisar")</f>
        <v/>
      </c>
      <c r="H391" s="11" t="inlineStr"/>
      <c r="I391" s="11">
        <f>IF(SUM(COUNTIFS('Conciliacion de compuestos'!$D$2:$D$48,"conciliado",'Conciliacion de compuestos'!$E$2:$E$48,"OK",'Conciliacion de compuestos'!$M$2:$M$48,A391),COUNTIFS('Conciliacion de compuestos'!$D$2:$D$48,"conciliado",'Conciliacion de compuestos'!$E$2:$E$48,"OK",'Conciliacion de compuestos'!$N$2:$N$48,A391),COUNTIFS('Conciliacion de compuestos'!$D$2:$D$48,"conciliado",'Conciliacion de compuestos'!$E$2:$E$48,"OK",'Conciliacion de compuestos'!$O$2:$O$48,A391))&gt;0,"conciliado","por revisar")</f>
        <v/>
      </c>
    </row>
    <row r="392">
      <c r="A392" s="11" t="n">
        <v>388</v>
      </c>
      <c r="B392" s="12" t="n">
        <v>46022</v>
      </c>
      <c r="C392" s="11" t="inlineStr">
        <is>
          <t>frank henao ordonez</t>
        </is>
      </c>
      <c r="D392" s="13" t="n">
        <v>35700</v>
      </c>
      <c r="E392" s="11">
        <f>IF(G392="conciliado","conciliado",I392)</f>
        <v/>
      </c>
      <c r="F392" s="11">
        <f>IF(SUM(COUNTIFS('Conciliacion de compuestos'!$D$2:$D$48,"conciliado",'Conciliacion de compuestos'!$E$2:$E$48,"OK",'Conciliacion de compuestos'!$M$2:$M$48,A392),COUNTIFS('Conciliacion de compuestos'!$D$2:$D$48,"conciliado",'Conciliacion de compuestos'!$E$2:$E$48,"OK",'Conciliacion de compuestos'!$N$2:$N$48,A392),COUNTIFS('Conciliacion de compuestos'!$D$2:$D$48,"conciliado",'Conciliacion de compuestos'!$E$2:$E$48,"OK",'Conciliacion de compuestos'!$O$2:$O$48,A392))&gt;0,IFERROR(TEXTJOIN(CHAR(10),TRUE,FILTER('Conciliacion de compuestos'!$A$2:$A$48,('Conciliacion de compuestos'!$D$2:$D$48="conciliado")*('Conciliacion de compuestos'!$E$2:$E$48="OK")*((('Conciliacion de compuestos'!$M$2:$M$48=A392)+('Conciliacion de compuestos'!$N$2:$N$48=A392)+('Conciliacion de compuestos'!$O$2:$O$48=A392))&gt;0))),""),"")</f>
        <v/>
      </c>
      <c r="G392" s="11">
        <f>IF(I392="conciliado","conciliado","por revisar")</f>
        <v/>
      </c>
      <c r="H392" s="11" t="inlineStr"/>
      <c r="I392" s="11">
        <f>IF(SUM(COUNTIFS('Conciliacion de compuestos'!$D$2:$D$48,"conciliado",'Conciliacion de compuestos'!$E$2:$E$48,"OK",'Conciliacion de compuestos'!$M$2:$M$48,A392),COUNTIFS('Conciliacion de compuestos'!$D$2:$D$48,"conciliado",'Conciliacion de compuestos'!$E$2:$E$48,"OK",'Conciliacion de compuestos'!$N$2:$N$48,A392),COUNTIFS('Conciliacion de compuestos'!$D$2:$D$48,"conciliado",'Conciliacion de compuestos'!$E$2:$E$48,"OK",'Conciliacion de compuestos'!$O$2:$O$48,A392))&gt;0,"conciliado","por revisar")</f>
        <v/>
      </c>
    </row>
    <row r="393">
      <c r="A393" s="11" t="n">
        <v>390</v>
      </c>
      <c r="B393" s="12" t="n">
        <v>46022</v>
      </c>
      <c r="C393" s="11" t="inlineStr">
        <is>
          <t>david marino segura</t>
        </is>
      </c>
      <c r="D393" s="13" t="n">
        <v>32500</v>
      </c>
      <c r="E393" s="11">
        <f>IF(G393="conciliado","conciliado",I393)</f>
        <v/>
      </c>
      <c r="F393" s="11">
        <f>IF(SUM(COUNTIFS('Conciliacion de compuestos'!$D$2:$D$48,"conciliado",'Conciliacion de compuestos'!$E$2:$E$48,"OK",'Conciliacion de compuestos'!$M$2:$M$48,A393),COUNTIFS('Conciliacion de compuestos'!$D$2:$D$48,"conciliado",'Conciliacion de compuestos'!$E$2:$E$48,"OK",'Conciliacion de compuestos'!$N$2:$N$48,A393),COUNTIFS('Conciliacion de compuestos'!$D$2:$D$48,"conciliado",'Conciliacion de compuestos'!$E$2:$E$48,"OK",'Conciliacion de compuestos'!$O$2:$O$48,A393))&gt;0,IFERROR(TEXTJOIN(CHAR(10),TRUE,FILTER('Conciliacion de compuestos'!$A$2:$A$48,('Conciliacion de compuestos'!$D$2:$D$48="conciliado")*('Conciliacion de compuestos'!$E$2:$E$48="OK")*((('Conciliacion de compuestos'!$M$2:$M$48=A393)+('Conciliacion de compuestos'!$N$2:$N$48=A393)+('Conciliacion de compuestos'!$O$2:$O$48=A393))&gt;0))),""),"")</f>
        <v/>
      </c>
      <c r="G393" s="11">
        <f>IF(I393="conciliado","conciliado","por revisar")</f>
        <v/>
      </c>
      <c r="H393" s="11" t="inlineStr"/>
      <c r="I393" s="11">
        <f>IF(SUM(COUNTIFS('Conciliacion de compuestos'!$D$2:$D$48,"conciliado",'Conciliacion de compuestos'!$E$2:$E$48,"OK",'Conciliacion de compuestos'!$M$2:$M$48,A393),COUNTIFS('Conciliacion de compuestos'!$D$2:$D$48,"conciliado",'Conciliacion de compuestos'!$E$2:$E$48,"OK",'Conciliacion de compuestos'!$N$2:$N$48,A393),COUNTIFS('Conciliacion de compuestos'!$D$2:$D$48,"conciliado",'Conciliacion de compuestos'!$E$2:$E$48,"OK",'Conciliacion de compuestos'!$O$2:$O$48,A393))&gt;0,"conciliado","por revisar")</f>
        <v/>
      </c>
    </row>
    <row r="394">
      <c r="A394" s="11" t="n">
        <v>391</v>
      </c>
      <c r="B394" s="12" t="n">
        <v>46022</v>
      </c>
      <c r="C394" s="11" t="inlineStr">
        <is>
          <t>acosta er villarreal</t>
        </is>
      </c>
      <c r="D394" s="13" t="n">
        <v>50800</v>
      </c>
      <c r="E394" s="11">
        <f>IF(G394="conciliado","conciliado",I394)</f>
        <v/>
      </c>
      <c r="F394" s="11">
        <f>IF(SUM(COUNTIFS('Conciliacion de compuestos'!$D$2:$D$48,"conciliado",'Conciliacion de compuestos'!$E$2:$E$48,"OK",'Conciliacion de compuestos'!$M$2:$M$48,A394),COUNTIFS('Conciliacion de compuestos'!$D$2:$D$48,"conciliado",'Conciliacion de compuestos'!$E$2:$E$48,"OK",'Conciliacion de compuestos'!$N$2:$N$48,A394),COUNTIFS('Conciliacion de compuestos'!$D$2:$D$48,"conciliado",'Conciliacion de compuestos'!$E$2:$E$48,"OK",'Conciliacion de compuestos'!$O$2:$O$48,A394))&gt;0,IFERROR(TEXTJOIN(CHAR(10),TRUE,FILTER('Conciliacion de compuestos'!$A$2:$A$48,('Conciliacion de compuestos'!$D$2:$D$48="conciliado")*('Conciliacion de compuestos'!$E$2:$E$48="OK")*((('Conciliacion de compuestos'!$M$2:$M$48=A394)+('Conciliacion de compuestos'!$N$2:$N$48=A394)+('Conciliacion de compuestos'!$O$2:$O$48=A394))&gt;0))),""),"")</f>
        <v/>
      </c>
      <c r="G394" s="11">
        <f>IF(I394="conciliado","conciliado","por revisar")</f>
        <v/>
      </c>
      <c r="H394" s="11" t="inlineStr"/>
      <c r="I394" s="11">
        <f>IF(SUM(COUNTIFS('Conciliacion de compuestos'!$D$2:$D$48,"conciliado",'Conciliacion de compuestos'!$E$2:$E$48,"OK",'Conciliacion de compuestos'!$M$2:$M$48,A394),COUNTIFS('Conciliacion de compuestos'!$D$2:$D$48,"conciliado",'Conciliacion de compuestos'!$E$2:$E$48,"OK",'Conciliacion de compuestos'!$N$2:$N$48,A394),COUNTIFS('Conciliacion de compuestos'!$D$2:$D$48,"conciliado",'Conciliacion de compuestos'!$E$2:$E$48,"OK",'Conciliacion de compuestos'!$O$2:$O$48,A394))&gt;0,"conciliado","por revisar")</f>
        <v/>
      </c>
    </row>
    <row r="395">
      <c r="A395" s="11" t="n">
        <v>392</v>
      </c>
      <c r="B395" s="12" t="n">
        <v>46022</v>
      </c>
      <c r="C395" s="11" t="inlineStr">
        <is>
          <t>albeiro narvaez</t>
        </is>
      </c>
      <c r="D395" s="13" t="n">
        <v>184000</v>
      </c>
      <c r="E395" s="11">
        <f>IF(G395="conciliado","conciliado",I395)</f>
        <v/>
      </c>
      <c r="F395" s="11">
        <f>IF(SUM(COUNTIFS('Conciliacion de compuestos'!$D$2:$D$48,"conciliado",'Conciliacion de compuestos'!$E$2:$E$48,"OK",'Conciliacion de compuestos'!$M$2:$M$48,A395),COUNTIFS('Conciliacion de compuestos'!$D$2:$D$48,"conciliado",'Conciliacion de compuestos'!$E$2:$E$48,"OK",'Conciliacion de compuestos'!$N$2:$N$48,A395),COUNTIFS('Conciliacion de compuestos'!$D$2:$D$48,"conciliado",'Conciliacion de compuestos'!$E$2:$E$48,"OK",'Conciliacion de compuestos'!$O$2:$O$48,A395))&gt;0,IFERROR(TEXTJOIN(CHAR(10),TRUE,FILTER('Conciliacion de compuestos'!$A$2:$A$48,('Conciliacion de compuestos'!$D$2:$D$48="conciliado")*('Conciliacion de compuestos'!$E$2:$E$48="OK")*((('Conciliacion de compuestos'!$M$2:$M$48=A395)+('Conciliacion de compuestos'!$N$2:$N$48=A395)+('Conciliacion de compuestos'!$O$2:$O$48=A395))&gt;0))),""),"")</f>
        <v/>
      </c>
      <c r="G395" s="11">
        <f>IF(I395="conciliado","conciliado","por revisar")</f>
        <v/>
      </c>
      <c r="H395" s="11" t="inlineStr"/>
      <c r="I395" s="11">
        <f>IF(SUM(COUNTIFS('Conciliacion de compuestos'!$D$2:$D$48,"conciliado",'Conciliacion de compuestos'!$E$2:$E$48,"OK",'Conciliacion de compuestos'!$M$2:$M$48,A395),COUNTIFS('Conciliacion de compuestos'!$D$2:$D$48,"conciliado",'Conciliacion de compuestos'!$E$2:$E$48,"OK",'Conciliacion de compuestos'!$N$2:$N$48,A395),COUNTIFS('Conciliacion de compuestos'!$D$2:$D$48,"conciliado",'Conciliacion de compuestos'!$E$2:$E$48,"OK",'Conciliacion de compuestos'!$O$2:$O$48,A395))&gt;0,"conciliado","por revisar")</f>
        <v/>
      </c>
    </row>
    <row r="396">
      <c r="A396" s="11" t="n">
        <v>393</v>
      </c>
      <c r="B396" s="12" t="n">
        <v>46022</v>
      </c>
      <c r="C396" s="11" t="inlineStr">
        <is>
          <t>erazo juliet rosales</t>
        </is>
      </c>
      <c r="D396" s="13" t="n">
        <v>57000</v>
      </c>
      <c r="E396" s="11">
        <f>IF(G396="conciliado","conciliado",I396)</f>
        <v/>
      </c>
      <c r="F396" s="11">
        <f>IF(SUM(COUNTIFS('Conciliacion de compuestos'!$D$2:$D$48,"conciliado",'Conciliacion de compuestos'!$E$2:$E$48,"OK",'Conciliacion de compuestos'!$M$2:$M$48,A396),COUNTIFS('Conciliacion de compuestos'!$D$2:$D$48,"conciliado",'Conciliacion de compuestos'!$E$2:$E$48,"OK",'Conciliacion de compuestos'!$N$2:$N$48,A396),COUNTIFS('Conciliacion de compuestos'!$D$2:$D$48,"conciliado",'Conciliacion de compuestos'!$E$2:$E$48,"OK",'Conciliacion de compuestos'!$O$2:$O$48,A396))&gt;0,IFERROR(TEXTJOIN(CHAR(10),TRUE,FILTER('Conciliacion de compuestos'!$A$2:$A$48,('Conciliacion de compuestos'!$D$2:$D$48="conciliado")*('Conciliacion de compuestos'!$E$2:$E$48="OK")*((('Conciliacion de compuestos'!$M$2:$M$48=A396)+('Conciliacion de compuestos'!$N$2:$N$48=A396)+('Conciliacion de compuestos'!$O$2:$O$48=A396))&gt;0))),""),"")</f>
        <v/>
      </c>
      <c r="G396" s="11">
        <f>IF(I396="conciliado","conciliado","por revisar")</f>
        <v/>
      </c>
      <c r="H396" s="11" t="inlineStr"/>
      <c r="I396" s="11">
        <f>IF(SUM(COUNTIFS('Conciliacion de compuestos'!$D$2:$D$48,"conciliado",'Conciliacion de compuestos'!$E$2:$E$48,"OK",'Conciliacion de compuestos'!$M$2:$M$48,A396),COUNTIFS('Conciliacion de compuestos'!$D$2:$D$48,"conciliado",'Conciliacion de compuestos'!$E$2:$E$48,"OK",'Conciliacion de compuestos'!$N$2:$N$48,A396),COUNTIFS('Conciliacion de compuestos'!$D$2:$D$48,"conciliado",'Conciliacion de compuestos'!$E$2:$E$48,"OK",'Conciliacion de compuestos'!$O$2:$O$48,A396))&gt;0,"conciliado","por revisar")</f>
        <v/>
      </c>
    </row>
    <row r="397">
      <c r="A397" s="11" t="n">
        <v>394</v>
      </c>
      <c r="B397" s="12" t="n">
        <v>46022</v>
      </c>
      <c r="C397" s="11" t="inlineStr">
        <is>
          <t>ed garcia lopez olga</t>
        </is>
      </c>
      <c r="D397" s="13" t="n">
        <v>500000</v>
      </c>
      <c r="E397" s="11">
        <f>IF(G397="conciliado","conciliado",I397)</f>
        <v/>
      </c>
      <c r="F397" s="11">
        <f>IF(SUM(COUNTIFS('Conciliacion de compuestos'!$D$2:$D$48,"conciliado",'Conciliacion de compuestos'!$E$2:$E$48,"OK",'Conciliacion de compuestos'!$M$2:$M$48,A397),COUNTIFS('Conciliacion de compuestos'!$D$2:$D$48,"conciliado",'Conciliacion de compuestos'!$E$2:$E$48,"OK",'Conciliacion de compuestos'!$N$2:$N$48,A397),COUNTIFS('Conciliacion de compuestos'!$D$2:$D$48,"conciliado",'Conciliacion de compuestos'!$E$2:$E$48,"OK",'Conciliacion de compuestos'!$O$2:$O$48,A397))&gt;0,IFERROR(TEXTJOIN(CHAR(10),TRUE,FILTER('Conciliacion de compuestos'!$A$2:$A$48,('Conciliacion de compuestos'!$D$2:$D$48="conciliado")*('Conciliacion de compuestos'!$E$2:$E$48="OK")*((('Conciliacion de compuestos'!$M$2:$M$48=A397)+('Conciliacion de compuestos'!$N$2:$N$48=A397)+('Conciliacion de compuestos'!$O$2:$O$48=A397))&gt;0))),""),"")</f>
        <v/>
      </c>
      <c r="G397" s="11">
        <f>IF(I397="conciliado","conciliado","por revisar")</f>
        <v/>
      </c>
      <c r="H397" s="11" t="inlineStr"/>
      <c r="I397" s="11">
        <f>IF(SUM(COUNTIFS('Conciliacion de compuestos'!$D$2:$D$48,"conciliado",'Conciliacion de compuestos'!$E$2:$E$48,"OK",'Conciliacion de compuestos'!$M$2:$M$48,A397),COUNTIFS('Conciliacion de compuestos'!$D$2:$D$48,"conciliado",'Conciliacion de compuestos'!$E$2:$E$48,"OK",'Conciliacion de compuestos'!$N$2:$N$48,A397),COUNTIFS('Conciliacion de compuestos'!$D$2:$D$48,"conciliado",'Conciliacion de compuestos'!$E$2:$E$48,"OK",'Conciliacion de compuestos'!$O$2:$O$48,A397))&gt;0,"conciliado","por revisar")</f>
        <v/>
      </c>
    </row>
  </sheetData>
  <autoFilter ref="A3:H397"/>
  <mergeCells count="4">
    <mergeCell ref="G2:H2"/>
    <mergeCell ref="E2:F2"/>
    <mergeCell ref="A2:D2"/>
    <mergeCell ref="A1:H1"/>
  </mergeCells>
  <conditionalFormatting sqref="A4:F397">
    <cfRule type="expression" priority="1" dxfId="0">
      <formula>$E4="conciliado"</formula>
    </cfRule>
    <cfRule type="expression" priority="2" dxfId="1">
      <formula>$E4="por revisar"</formula>
    </cfRule>
  </conditionalFormatting>
  <conditionalFormatting sqref="A4:H397">
    <cfRule type="expression" priority="3" dxfId="0">
      <formula>$G4="conciliado"</formula>
    </cfRule>
  </conditionalFormatting>
  <conditionalFormatting sqref="G4:H397">
    <cfRule type="expression" priority="4" dxfId="1">
      <formula>$G4="por revisar"</formula>
    </cfRule>
  </conditionalFormatting>
  <dataValidations count="1">
    <dataValidation sqref="G4:G397" showDropDown="0" showInputMessage="0" showErrorMessage="0" allowBlank="1" errorTitle="Estado inválido" error="Seleccioná conciliado o por revisar." promptTitle="Estado manual" prompt="Usá conciliado solo cuando completes la revisión manual." type="list">
      <formula1>"por revisar,conciliado"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3" customWidth="1" min="4" max="4"/>
    <col width="55" customWidth="1" min="5" max="5"/>
    <col width="55" customWidth="1" min="6" max="6"/>
    <col width="13" customWidth="1" min="7" max="7"/>
    <col hidden="1" width="18" customWidth="1" min="8" max="8"/>
    <col hidden="1" width="15" customWidth="1" min="9" max="9"/>
    <col hidden="1" width="12" customWidth="1" min="10" max="10"/>
    <col hidden="1" width="12" customWidth="1" min="11" max="11"/>
    <col hidden="1" width="12" customWidth="1" min="12" max="12"/>
    <col hidden="1" width="16" customWidth="1" min="13" max="13"/>
    <col hidden="1" width="16" customWidth="1" min="14" max="14"/>
    <col hidden="1" width="16" customWidth="1" min="15" max="15"/>
  </cols>
  <sheetData>
    <row r="1">
      <c r="A1" s="8" t="inlineStr">
        <is>
          <t>Movimientos banco</t>
        </is>
      </c>
      <c r="B1" s="8" t="inlineStr">
        <is>
          <t>Movimientos libro_aux</t>
        </is>
      </c>
      <c r="C1" s="8" t="inlineStr">
        <is>
          <t>Diferencia</t>
        </is>
      </c>
      <c r="D1" s="8" t="inlineStr">
        <is>
          <t>Estado</t>
        </is>
      </c>
      <c r="E1" s="8" t="inlineStr">
        <is>
          <t>Validacion</t>
        </is>
      </c>
      <c r="F1" s="8" t="inlineStr">
        <is>
          <t>Descripcion</t>
        </is>
      </c>
      <c r="G1" s="8" t="inlineStr">
        <is>
          <t>Observacion</t>
        </is>
      </c>
      <c r="H1" s="8" t="inlineStr">
        <is>
          <t>ids banco</t>
        </is>
      </c>
      <c r="I1" s="8" t="inlineStr">
        <is>
          <t>ids libro_aux</t>
        </is>
      </c>
      <c r="J1" s="8" t="inlineStr">
        <is>
          <t>id banco 1</t>
        </is>
      </c>
      <c r="K1" s="8" t="inlineStr">
        <is>
          <t>id banco 2</t>
        </is>
      </c>
      <c r="L1" s="8" t="inlineStr">
        <is>
          <t>id banco 3</t>
        </is>
      </c>
      <c r="M1" s="8" t="inlineStr">
        <is>
          <t>id libro_aux 1</t>
        </is>
      </c>
      <c r="N1" s="8" t="inlineStr">
        <is>
          <t>id libro_aux 2</t>
        </is>
      </c>
      <c r="O1" s="8" t="inlineStr">
        <is>
          <t>id libro_aux 3</t>
        </is>
      </c>
    </row>
    <row r="2">
      <c r="A2" s="11" t="inlineStr">
        <is>
          <t>1943 | 2025-12-30 | -27,932 | compra internet nd por pse
1945 | 2025-12-30 | -1,094,362 | compra internet nd por pse
1947 | 2025-12-30 | -6,295,213 | compra internet nd por pse</t>
        </is>
      </c>
      <c r="B2" s="11" t="inlineStr">
        <is>
          <t>351 | 2025-12-30 | -7,417,507 | d de empresa energia</t>
        </is>
      </c>
      <c r="C2" s="13" t="n">
        <v>0</v>
      </c>
      <c r="D2" s="11" t="inlineStr">
        <is>
          <t>por revisar</t>
        </is>
      </c>
      <c r="E2" s="11">
        <f>IF(D2&lt;&gt;"conciliado","Pendiente",IF(C2&lt;&gt;0,"ERROR: diferencia distinta de cero",IF(OR(AND(J2&lt;&gt;"",SUM(COUNTIFS($D$2:$D$48,"conciliado",$J$2:$J$48,J2),COUNTIFS($D$2:$D$48,"conciliado",$K$2:$K$48,J2),COUNTIFS($D$2:$D$48,"conciliado",$L$2:$L$48,J2))&gt;1),AND(K2&lt;&gt;"",SUM(COUNTIFS($D$2:$D$48,"conciliado",$J$2:$J$48,K2),COUNTIFS($D$2:$D$48,"conciliado",$K$2:$K$48,K2),COUNTIFS($D$2:$D$48,"conciliado",$L$2:$L$48,K2))&gt;1),AND(L2&lt;&gt;"",SUM(COUNTIFS($D$2:$D$48,"conciliado",$J$2:$J$48,L2),COUNTIFS($D$2:$D$48,"conciliado",$K$2:$K$48,L2),COUNTIFS($D$2:$D$48,"conciliado",$L$2:$L$48,L2))&gt;1)),"ERROR: banco ya usado en otro compuesto conciliado",IF(OR(AND(M2&lt;&gt;"",SUM(COUNTIFS($D$2:$D$48,"conciliado",$M$2:$M$48,M2),COUNTIFS($D$2:$D$48,"conciliado",$N$2:$N$48,M2),COUNTIFS($D$2:$D$48,"conciliado",$O$2:$O$48,M2))&gt;1),AND(N2&lt;&gt;"",SUM(COUNTIFS($D$2:$D$48,"conciliado",$M$2:$M$48,N2),COUNTIFS($D$2:$D$48,"conciliado",$N$2:$N$48,N2),COUNTIFS($D$2:$D$48,"conciliado",$O$2:$O$48,N2))&gt;1),AND(O2&lt;&gt;"",SUM(COUNTIFS($D$2:$D$48,"conciliado",$M$2:$M$48,O2),COUNTIFS($D$2:$D$48,"conciliado",$N$2:$N$48,O2),COUNTIFS($D$2:$D$48,"conciliado",$O$2:$O$48,O2))&gt;1)),"ERROR: libro_aux ya usado en otro compuesto conciliado","OK"))))</f>
        <v/>
      </c>
      <c r="F2" s="11" t="inlineStr">
        <is>
          <t>Posible compuesto detectado por suma exacta en la misma fecha. Revisar antes de conciliar.</t>
        </is>
      </c>
      <c r="G2" s="11" t="inlineStr"/>
      <c r="H2" s="11" t="inlineStr">
        <is>
          <t>1943, 1945, 1947</t>
        </is>
      </c>
      <c r="I2" s="11" t="inlineStr">
        <is>
          <t>351</t>
        </is>
      </c>
      <c r="J2" s="11" t="n">
        <v>1943</v>
      </c>
      <c r="K2" s="11" t="n">
        <v>1945</v>
      </c>
      <c r="L2" s="11" t="n">
        <v>1947</v>
      </c>
      <c r="M2" s="11" t="n">
        <v>351</v>
      </c>
      <c r="N2" s="11" t="inlineStr"/>
      <c r="O2" s="11" t="inlineStr"/>
    </row>
    <row r="3">
      <c r="A3" s="11" t="inlineStr">
        <is>
          <t>1007 | 2025-12-18 | 58,400 | depositos electronicos masterca transaccion
1012 | 2025-12-18 | 29,400 | depositos electronicos masterca transaccion</t>
        </is>
      </c>
      <c r="B3" s="11" t="inlineStr">
        <is>
          <t>183 | 2025-12-18 | 87,800 | luz ma manzano ortiz</t>
        </is>
      </c>
      <c r="C3" s="13" t="n">
        <v>0</v>
      </c>
      <c r="D3" s="11" t="inlineStr">
        <is>
          <t>por revisar</t>
        </is>
      </c>
      <c r="E3" s="11">
        <f>IF(D3&lt;&gt;"conciliado","Pendiente",IF(C3&lt;&gt;0,"ERROR: diferencia distinta de cero",IF(OR(AND(J3&lt;&gt;"",SUM(COUNTIFS($D$2:$D$48,"conciliado",$J$2:$J$48,J3),COUNTIFS($D$2:$D$48,"conciliado",$K$2:$K$48,J3),COUNTIFS($D$2:$D$48,"conciliado",$L$2:$L$48,J3))&gt;1),AND(K3&lt;&gt;"",SUM(COUNTIFS($D$2:$D$48,"conciliado",$J$2:$J$48,K3),COUNTIFS($D$2:$D$48,"conciliado",$K$2:$K$48,K3),COUNTIFS($D$2:$D$48,"conciliado",$L$2:$L$48,K3))&gt;1),AND(L3&lt;&gt;"",SUM(COUNTIFS($D$2:$D$48,"conciliado",$J$2:$J$48,L3),COUNTIFS($D$2:$D$48,"conciliado",$K$2:$K$48,L3),COUNTIFS($D$2:$D$48,"conciliado",$L$2:$L$48,L3))&gt;1)),"ERROR: banco ya usado en otro compuesto conciliado",IF(OR(AND(M3&lt;&gt;"",SUM(COUNTIFS($D$2:$D$48,"conciliado",$M$2:$M$48,M3),COUNTIFS($D$2:$D$48,"conciliado",$N$2:$N$48,M3),COUNTIFS($D$2:$D$48,"conciliado",$O$2:$O$48,M3))&gt;1),AND(N3&lt;&gt;"",SUM(COUNTIFS($D$2:$D$48,"conciliado",$M$2:$M$48,N3),COUNTIFS($D$2:$D$48,"conciliado",$N$2:$N$48,N3),COUNTIFS($D$2:$D$48,"conciliado",$O$2:$O$48,N3))&gt;1),AND(O3&lt;&gt;"",SUM(COUNTIFS($D$2:$D$48,"conciliado",$M$2:$M$48,O3),COUNTIFS($D$2:$D$48,"conciliado",$N$2:$N$48,O3),COUNTIFS($D$2:$D$48,"conciliado",$O$2:$O$48,O3))&gt;1)),"ERROR: libro_aux ya usado en otro compuesto conciliado","OK"))))</f>
        <v/>
      </c>
      <c r="F3" s="11" t="inlineStr">
        <is>
          <t>Posible compuesto detectado por suma exacta en la misma fecha. Revisar antes de conciliar.</t>
        </is>
      </c>
      <c r="G3" s="11" t="inlineStr"/>
      <c r="H3" s="11" t="inlineStr">
        <is>
          <t>1007, 1012</t>
        </is>
      </c>
      <c r="I3" s="11" t="inlineStr">
        <is>
          <t>183</t>
        </is>
      </c>
      <c r="J3" s="11" t="n">
        <v>1007</v>
      </c>
      <c r="K3" s="11" t="n">
        <v>1012</v>
      </c>
      <c r="L3" s="11" t="inlineStr"/>
      <c r="M3" s="11" t="n">
        <v>183</v>
      </c>
      <c r="N3" s="11" t="inlineStr"/>
      <c r="O3" s="11" t="inlineStr"/>
    </row>
    <row r="4">
      <c r="A4" s="11" t="inlineStr">
        <is>
          <t>1024 | 2025-12-19 | 87,800 | depositos electronicos masterca transaccion
1034 | 2025-12-19 | 99,400 | depositos electronicos masterca transaccion</t>
        </is>
      </c>
      <c r="B4" s="11" t="inlineStr">
        <is>
          <t>193 | 2025-12-19 | 187,200 | bolanos paladines st</t>
        </is>
      </c>
      <c r="C4" s="13" t="n">
        <v>0</v>
      </c>
      <c r="D4" s="11" t="inlineStr">
        <is>
          <t>por revisar</t>
        </is>
      </c>
      <c r="E4" s="11">
        <f>IF(D4&lt;&gt;"conciliado","Pendiente",IF(C4&lt;&gt;0,"ERROR: diferencia distinta de cero",IF(OR(AND(J4&lt;&gt;"",SUM(COUNTIFS($D$2:$D$48,"conciliado",$J$2:$J$48,J4),COUNTIFS($D$2:$D$48,"conciliado",$K$2:$K$48,J4),COUNTIFS($D$2:$D$48,"conciliado",$L$2:$L$48,J4))&gt;1),AND(K4&lt;&gt;"",SUM(COUNTIFS($D$2:$D$48,"conciliado",$J$2:$J$48,K4),COUNTIFS($D$2:$D$48,"conciliado",$K$2:$K$48,K4),COUNTIFS($D$2:$D$48,"conciliado",$L$2:$L$48,K4))&gt;1),AND(L4&lt;&gt;"",SUM(COUNTIFS($D$2:$D$48,"conciliado",$J$2:$J$48,L4),COUNTIFS($D$2:$D$48,"conciliado",$K$2:$K$48,L4),COUNTIFS($D$2:$D$48,"conciliado",$L$2:$L$48,L4))&gt;1)),"ERROR: banco ya usado en otro compuesto conciliado",IF(OR(AND(M4&lt;&gt;"",SUM(COUNTIFS($D$2:$D$48,"conciliado",$M$2:$M$48,M4),COUNTIFS($D$2:$D$48,"conciliado",$N$2:$N$48,M4),COUNTIFS($D$2:$D$48,"conciliado",$O$2:$O$48,M4))&gt;1),AND(N4&lt;&gt;"",SUM(COUNTIFS($D$2:$D$48,"conciliado",$M$2:$M$48,N4),COUNTIFS($D$2:$D$48,"conciliado",$N$2:$N$48,N4),COUNTIFS($D$2:$D$48,"conciliado",$O$2:$O$48,N4))&gt;1),AND(O4&lt;&gt;"",SUM(COUNTIFS($D$2:$D$48,"conciliado",$M$2:$M$48,O4),COUNTIFS($D$2:$D$48,"conciliado",$N$2:$N$48,O4),COUNTIFS($D$2:$D$48,"conciliado",$O$2:$O$48,O4))&gt;1)),"ERROR: libro_aux ya usado en otro compuesto conciliado","OK"))))</f>
        <v/>
      </c>
      <c r="F4" s="11" t="inlineStr">
        <is>
          <t>Posible compuesto detectado por suma exacta en la misma fecha. Revisar antes de conciliar.</t>
        </is>
      </c>
      <c r="G4" s="11" t="inlineStr"/>
      <c r="H4" s="11" t="inlineStr">
        <is>
          <t>1024, 1034</t>
        </is>
      </c>
      <c r="I4" s="11" t="inlineStr">
        <is>
          <t>193</t>
        </is>
      </c>
      <c r="J4" s="11" t="n">
        <v>1024</v>
      </c>
      <c r="K4" s="11" t="n">
        <v>1034</v>
      </c>
      <c r="L4" s="11" t="inlineStr"/>
      <c r="M4" s="11" t="n">
        <v>193</v>
      </c>
      <c r="N4" s="11" t="inlineStr"/>
      <c r="O4" s="11" t="inlineStr"/>
    </row>
    <row r="5">
      <c r="A5" s="11" t="inlineStr">
        <is>
          <t>1851 | 2025-12-29 | 39,200 | depositos electronicos masterca transaccion
1861 | 2025-12-29 | 28,200 | depositos electronicos masterca transaccion</t>
        </is>
      </c>
      <c r="B5" s="11" t="inlineStr">
        <is>
          <t>344 | 2025-12-29 | 67,400 | gina m moncayo ponce</t>
        </is>
      </c>
      <c r="C5" s="13" t="n">
        <v>0</v>
      </c>
      <c r="D5" s="11" t="inlineStr">
        <is>
          <t>por revisar</t>
        </is>
      </c>
      <c r="E5" s="11">
        <f>IF(D5&lt;&gt;"conciliado","Pendiente",IF(C5&lt;&gt;0,"ERROR: diferencia distinta de cero",IF(OR(AND(J5&lt;&gt;"",SUM(COUNTIFS($D$2:$D$48,"conciliado",$J$2:$J$48,J5),COUNTIFS($D$2:$D$48,"conciliado",$K$2:$K$48,J5),COUNTIFS($D$2:$D$48,"conciliado",$L$2:$L$48,J5))&gt;1),AND(K5&lt;&gt;"",SUM(COUNTIFS($D$2:$D$48,"conciliado",$J$2:$J$48,K5),COUNTIFS($D$2:$D$48,"conciliado",$K$2:$K$48,K5),COUNTIFS($D$2:$D$48,"conciliado",$L$2:$L$48,K5))&gt;1),AND(L5&lt;&gt;"",SUM(COUNTIFS($D$2:$D$48,"conciliado",$J$2:$J$48,L5),COUNTIFS($D$2:$D$48,"conciliado",$K$2:$K$48,L5),COUNTIFS($D$2:$D$48,"conciliado",$L$2:$L$48,L5))&gt;1)),"ERROR: banco ya usado en otro compuesto conciliado",IF(OR(AND(M5&lt;&gt;"",SUM(COUNTIFS($D$2:$D$48,"conciliado",$M$2:$M$48,M5),COUNTIFS($D$2:$D$48,"conciliado",$N$2:$N$48,M5),COUNTIFS($D$2:$D$48,"conciliado",$O$2:$O$48,M5))&gt;1),AND(N5&lt;&gt;"",SUM(COUNTIFS($D$2:$D$48,"conciliado",$M$2:$M$48,N5),COUNTIFS($D$2:$D$48,"conciliado",$N$2:$N$48,N5),COUNTIFS($D$2:$D$48,"conciliado",$O$2:$O$48,N5))&gt;1),AND(O5&lt;&gt;"",SUM(COUNTIFS($D$2:$D$48,"conciliado",$M$2:$M$48,O5),COUNTIFS($D$2:$D$48,"conciliado",$N$2:$N$48,O5),COUNTIFS($D$2:$D$48,"conciliado",$O$2:$O$48,O5))&gt;1)),"ERROR: libro_aux ya usado en otro compuesto conciliado","OK"))))</f>
        <v/>
      </c>
      <c r="F5" s="11" t="inlineStr">
        <is>
          <t>Posible compuesto detectado por suma exacta en la misma fecha. Revisar antes de conciliar.</t>
        </is>
      </c>
      <c r="G5" s="11" t="inlineStr"/>
      <c r="H5" s="11" t="inlineStr">
        <is>
          <t>1851, 1861</t>
        </is>
      </c>
      <c r="I5" s="11" t="inlineStr">
        <is>
          <t>344</t>
        </is>
      </c>
      <c r="J5" s="11" t="n">
        <v>1851</v>
      </c>
      <c r="K5" s="11" t="n">
        <v>1861</v>
      </c>
      <c r="L5" s="11" t="inlineStr"/>
      <c r="M5" s="11" t="n">
        <v>344</v>
      </c>
      <c r="N5" s="11" t="inlineStr"/>
      <c r="O5" s="11" t="inlineStr"/>
    </row>
    <row r="6">
      <c r="A6" s="11" t="inlineStr">
        <is>
          <t>26 | 2025-12-01 | 22,800 | consignacion credibanco d e
56 | 2025-12-01 | 22,400 | consignacion credibanco d e
106 | 2025-12-01 | 23,600 | consignacion credibanco d e</t>
        </is>
      </c>
      <c r="B6" s="11" t="inlineStr">
        <is>
          <t>3 | 2025-12-01 | 68,800 | buelvas diaz jose mi</t>
        </is>
      </c>
      <c r="C6" s="13" t="n">
        <v>0</v>
      </c>
      <c r="D6" s="11" t="inlineStr">
        <is>
          <t>por revisar</t>
        </is>
      </c>
      <c r="E6" s="11">
        <f>IF(D6&lt;&gt;"conciliado","Pendiente",IF(C6&lt;&gt;0,"ERROR: diferencia distinta de cero",IF(OR(AND(J6&lt;&gt;"",SUM(COUNTIFS($D$2:$D$48,"conciliado",$J$2:$J$48,J6),COUNTIFS($D$2:$D$48,"conciliado",$K$2:$K$48,J6),COUNTIFS($D$2:$D$48,"conciliado",$L$2:$L$48,J6))&gt;1),AND(K6&lt;&gt;"",SUM(COUNTIFS($D$2:$D$48,"conciliado",$J$2:$J$48,K6),COUNTIFS($D$2:$D$48,"conciliado",$K$2:$K$48,K6),COUNTIFS($D$2:$D$48,"conciliado",$L$2:$L$48,K6))&gt;1),AND(L6&lt;&gt;"",SUM(COUNTIFS($D$2:$D$48,"conciliado",$J$2:$J$48,L6),COUNTIFS($D$2:$D$48,"conciliado",$K$2:$K$48,L6),COUNTIFS($D$2:$D$48,"conciliado",$L$2:$L$48,L6))&gt;1)),"ERROR: banco ya usado en otro compuesto conciliado",IF(OR(AND(M6&lt;&gt;"",SUM(COUNTIFS($D$2:$D$48,"conciliado",$M$2:$M$48,M6),COUNTIFS($D$2:$D$48,"conciliado",$N$2:$N$48,M6),COUNTIFS($D$2:$D$48,"conciliado",$O$2:$O$48,M6))&gt;1),AND(N6&lt;&gt;"",SUM(COUNTIFS($D$2:$D$48,"conciliado",$M$2:$M$48,N6),COUNTIFS($D$2:$D$48,"conciliado",$N$2:$N$48,N6),COUNTIFS($D$2:$D$48,"conciliado",$O$2:$O$48,N6))&gt;1),AND(O6&lt;&gt;"",SUM(COUNTIFS($D$2:$D$48,"conciliado",$M$2:$M$48,O6),COUNTIFS($D$2:$D$48,"conciliado",$N$2:$N$48,O6),COUNTIFS($D$2:$D$48,"conciliado",$O$2:$O$48,O6))&gt;1)),"ERROR: libro_aux ya usado en otro compuesto conciliado","OK"))))</f>
        <v/>
      </c>
      <c r="F6" s="11" t="inlineStr">
        <is>
          <t>Posible compuesto detectado por suma exacta en la misma fecha. Revisar antes de conciliar.</t>
        </is>
      </c>
      <c r="G6" s="11" t="inlineStr"/>
      <c r="H6" s="11" t="inlineStr">
        <is>
          <t>26, 56, 106</t>
        </is>
      </c>
      <c r="I6" s="11" t="inlineStr">
        <is>
          <t>3</t>
        </is>
      </c>
      <c r="J6" s="11" t="n">
        <v>26</v>
      </c>
      <c r="K6" s="11" t="n">
        <v>56</v>
      </c>
      <c r="L6" s="11" t="n">
        <v>106</v>
      </c>
      <c r="M6" s="11" t="n">
        <v>3</v>
      </c>
      <c r="N6" s="11" t="inlineStr"/>
      <c r="O6" s="11" t="inlineStr"/>
    </row>
    <row r="7">
      <c r="A7" s="11" t="inlineStr">
        <is>
          <t>487 | 2025-12-09 | -888 | comision depositos electronicos mastercard
522 | 2025-12-09 | -722 | comision depositos electronicos mastercard
546 | 2025-12-09 | 28,500 | depositos electronicos masterca transaccion</t>
        </is>
      </c>
      <c r="B7" s="11" t="inlineStr">
        <is>
          <t>84 | 2025-12-09 | 26,890 | elm piaguaje riascos</t>
        </is>
      </c>
      <c r="C7" s="13" t="n">
        <v>0</v>
      </c>
      <c r="D7" s="11" t="inlineStr">
        <is>
          <t>por revisar</t>
        </is>
      </c>
      <c r="E7" s="11">
        <f>IF(D7&lt;&gt;"conciliado","Pendiente",IF(C7&lt;&gt;0,"ERROR: diferencia distinta de cero",IF(OR(AND(J7&lt;&gt;"",SUM(COUNTIFS($D$2:$D$48,"conciliado",$J$2:$J$48,J7),COUNTIFS($D$2:$D$48,"conciliado",$K$2:$K$48,J7),COUNTIFS($D$2:$D$48,"conciliado",$L$2:$L$48,J7))&gt;1),AND(K7&lt;&gt;"",SUM(COUNTIFS($D$2:$D$48,"conciliado",$J$2:$J$48,K7),COUNTIFS($D$2:$D$48,"conciliado",$K$2:$K$48,K7),COUNTIFS($D$2:$D$48,"conciliado",$L$2:$L$48,K7))&gt;1),AND(L7&lt;&gt;"",SUM(COUNTIFS($D$2:$D$48,"conciliado",$J$2:$J$48,L7),COUNTIFS($D$2:$D$48,"conciliado",$K$2:$K$48,L7),COUNTIFS($D$2:$D$48,"conciliado",$L$2:$L$48,L7))&gt;1)),"ERROR: banco ya usado en otro compuesto conciliado",IF(OR(AND(M7&lt;&gt;"",SUM(COUNTIFS($D$2:$D$48,"conciliado",$M$2:$M$48,M7),COUNTIFS($D$2:$D$48,"conciliado",$N$2:$N$48,M7),COUNTIFS($D$2:$D$48,"conciliado",$O$2:$O$48,M7))&gt;1),AND(N7&lt;&gt;"",SUM(COUNTIFS($D$2:$D$48,"conciliado",$M$2:$M$48,N7),COUNTIFS($D$2:$D$48,"conciliado",$N$2:$N$48,N7),COUNTIFS($D$2:$D$48,"conciliado",$O$2:$O$48,N7))&gt;1),AND(O7&lt;&gt;"",SUM(COUNTIFS($D$2:$D$48,"conciliado",$M$2:$M$48,O7),COUNTIFS($D$2:$D$48,"conciliado",$N$2:$N$48,O7),COUNTIFS($D$2:$D$48,"conciliado",$O$2:$O$48,O7))&gt;1)),"ERROR: libro_aux ya usado en otro compuesto conciliado","OK"))))</f>
        <v/>
      </c>
      <c r="F7" s="11" t="inlineStr">
        <is>
          <t>Posible compuesto detectado por suma exacta en la misma fecha. Revisar antes de conciliar.</t>
        </is>
      </c>
      <c r="G7" s="11" t="inlineStr"/>
      <c r="H7" s="11" t="inlineStr">
        <is>
          <t>487, 522, 546</t>
        </is>
      </c>
      <c r="I7" s="11" t="inlineStr">
        <is>
          <t>84</t>
        </is>
      </c>
      <c r="J7" s="11" t="n">
        <v>487</v>
      </c>
      <c r="K7" s="11" t="n">
        <v>522</v>
      </c>
      <c r="L7" s="11" t="n">
        <v>546</v>
      </c>
      <c r="M7" s="11" t="n">
        <v>84</v>
      </c>
      <c r="N7" s="11" t="inlineStr"/>
      <c r="O7" s="11" t="inlineStr"/>
    </row>
    <row r="8">
      <c r="A8" s="11" t="inlineStr">
        <is>
          <t>1099 | 2025-12-22 | 24,400 | consignacion credibanco d e
1209 | 2025-12-22 | 20,900 | consignacion credibanco d e
1219 | 2025-12-22 | 54,000 | consignacion credibanco d e</t>
        </is>
      </c>
      <c r="B8" s="11" t="inlineStr">
        <is>
          <t>248 | 2025-12-22 | 99,300 | alexa garcia varela</t>
        </is>
      </c>
      <c r="C8" s="13" t="n">
        <v>0</v>
      </c>
      <c r="D8" s="11" t="inlineStr">
        <is>
          <t>por revisar</t>
        </is>
      </c>
      <c r="E8" s="11">
        <f>IF(D8&lt;&gt;"conciliado","Pendiente",IF(C8&lt;&gt;0,"ERROR: diferencia distinta de cero",IF(OR(AND(J8&lt;&gt;"",SUM(COUNTIFS($D$2:$D$48,"conciliado",$J$2:$J$48,J8),COUNTIFS($D$2:$D$48,"conciliado",$K$2:$K$48,J8),COUNTIFS($D$2:$D$48,"conciliado",$L$2:$L$48,J8))&gt;1),AND(K8&lt;&gt;"",SUM(COUNTIFS($D$2:$D$48,"conciliado",$J$2:$J$48,K8),COUNTIFS($D$2:$D$48,"conciliado",$K$2:$K$48,K8),COUNTIFS($D$2:$D$48,"conciliado",$L$2:$L$48,K8))&gt;1),AND(L8&lt;&gt;"",SUM(COUNTIFS($D$2:$D$48,"conciliado",$J$2:$J$48,L8),COUNTIFS($D$2:$D$48,"conciliado",$K$2:$K$48,L8),COUNTIFS($D$2:$D$48,"conciliado",$L$2:$L$48,L8))&gt;1)),"ERROR: banco ya usado en otro compuesto conciliado",IF(OR(AND(M8&lt;&gt;"",SUM(COUNTIFS($D$2:$D$48,"conciliado",$M$2:$M$48,M8),COUNTIFS($D$2:$D$48,"conciliado",$N$2:$N$48,M8),COUNTIFS($D$2:$D$48,"conciliado",$O$2:$O$48,M8))&gt;1),AND(N8&lt;&gt;"",SUM(COUNTIFS($D$2:$D$48,"conciliado",$M$2:$M$48,N8),COUNTIFS($D$2:$D$48,"conciliado",$N$2:$N$48,N8),COUNTIFS($D$2:$D$48,"conciliado",$O$2:$O$48,N8))&gt;1),AND(O8&lt;&gt;"",SUM(COUNTIFS($D$2:$D$48,"conciliado",$M$2:$M$48,O8),COUNTIFS($D$2:$D$48,"conciliado",$N$2:$N$48,O8),COUNTIFS($D$2:$D$48,"conciliado",$O$2:$O$48,O8))&gt;1)),"ERROR: libro_aux ya usado en otro compuesto conciliado","OK"))))</f>
        <v/>
      </c>
      <c r="F8" s="11" t="inlineStr">
        <is>
          <t>Posible compuesto detectado por suma exacta en la misma fecha. Revisar antes de conciliar.</t>
        </is>
      </c>
      <c r="G8" s="11" t="inlineStr"/>
      <c r="H8" s="11" t="inlineStr">
        <is>
          <t>1099, 1209, 1219</t>
        </is>
      </c>
      <c r="I8" s="11" t="inlineStr">
        <is>
          <t>248</t>
        </is>
      </c>
      <c r="J8" s="11" t="n">
        <v>1099</v>
      </c>
      <c r="K8" s="11" t="n">
        <v>1209</v>
      </c>
      <c r="L8" s="11" t="n">
        <v>1219</v>
      </c>
      <c r="M8" s="11" t="n">
        <v>248</v>
      </c>
      <c r="N8" s="11" t="inlineStr"/>
      <c r="O8" s="11" t="inlineStr"/>
    </row>
    <row r="9">
      <c r="A9" s="11" t="inlineStr">
        <is>
          <t>1139 | 2025-12-22 | 905,300 | consignacion credibanco d e
1189 | 2025-12-22 | 40,700 | consignacion credibanco d e
1219 | 2025-12-22 | 54,000 | consignacion credibanco d e</t>
        </is>
      </c>
      <c r="B9" s="11" t="inlineStr">
        <is>
          <t>253 | 2025-12-22 | 1,000,000 | infor sio soluciones</t>
        </is>
      </c>
      <c r="C9" s="13" t="n">
        <v>0</v>
      </c>
      <c r="D9" s="11" t="inlineStr">
        <is>
          <t>por revisar</t>
        </is>
      </c>
      <c r="E9" s="11">
        <f>IF(D9&lt;&gt;"conciliado","Pendiente",IF(C9&lt;&gt;0,"ERROR: diferencia distinta de cero",IF(OR(AND(J9&lt;&gt;"",SUM(COUNTIFS($D$2:$D$48,"conciliado",$J$2:$J$48,J9),COUNTIFS($D$2:$D$48,"conciliado",$K$2:$K$48,J9),COUNTIFS($D$2:$D$48,"conciliado",$L$2:$L$48,J9))&gt;1),AND(K9&lt;&gt;"",SUM(COUNTIFS($D$2:$D$48,"conciliado",$J$2:$J$48,K9),COUNTIFS($D$2:$D$48,"conciliado",$K$2:$K$48,K9),COUNTIFS($D$2:$D$48,"conciliado",$L$2:$L$48,K9))&gt;1),AND(L9&lt;&gt;"",SUM(COUNTIFS($D$2:$D$48,"conciliado",$J$2:$J$48,L9),COUNTIFS($D$2:$D$48,"conciliado",$K$2:$K$48,L9),COUNTIFS($D$2:$D$48,"conciliado",$L$2:$L$48,L9))&gt;1)),"ERROR: banco ya usado en otro compuesto conciliado",IF(OR(AND(M9&lt;&gt;"",SUM(COUNTIFS($D$2:$D$48,"conciliado",$M$2:$M$48,M9),COUNTIFS($D$2:$D$48,"conciliado",$N$2:$N$48,M9),COUNTIFS($D$2:$D$48,"conciliado",$O$2:$O$48,M9))&gt;1),AND(N9&lt;&gt;"",SUM(COUNTIFS($D$2:$D$48,"conciliado",$M$2:$M$48,N9),COUNTIFS($D$2:$D$48,"conciliado",$N$2:$N$48,N9),COUNTIFS($D$2:$D$48,"conciliado",$O$2:$O$48,N9))&gt;1),AND(O9&lt;&gt;"",SUM(COUNTIFS($D$2:$D$48,"conciliado",$M$2:$M$48,O9),COUNTIFS($D$2:$D$48,"conciliado",$N$2:$N$48,O9),COUNTIFS($D$2:$D$48,"conciliado",$O$2:$O$48,O9))&gt;1)),"ERROR: libro_aux ya usado en otro compuesto conciliado","OK"))))</f>
        <v/>
      </c>
      <c r="F9" s="11" t="inlineStr">
        <is>
          <t>Posible compuesto detectado por suma exacta en la misma fecha. Revisar antes de conciliar.</t>
        </is>
      </c>
      <c r="G9" s="11" t="inlineStr"/>
      <c r="H9" s="11" t="inlineStr">
        <is>
          <t>1139, 1189, 1219</t>
        </is>
      </c>
      <c r="I9" s="11" t="inlineStr">
        <is>
          <t>253</t>
        </is>
      </c>
      <c r="J9" s="11" t="n">
        <v>1139</v>
      </c>
      <c r="K9" s="11" t="n">
        <v>1189</v>
      </c>
      <c r="L9" s="11" t="n">
        <v>1219</v>
      </c>
      <c r="M9" s="11" t="n">
        <v>253</v>
      </c>
      <c r="N9" s="11" t="inlineStr"/>
      <c r="O9" s="11" t="inlineStr"/>
    </row>
    <row r="10">
      <c r="A10" s="11" t="inlineStr">
        <is>
          <t>1094 | 2025-12-22 | 65,900 | consignacion credibanco d e
1109 | 2025-12-22 | 31,100 | consignacion credibanco d e
1194 | 2025-12-22 | 72,600 | consignacion credibanco d e</t>
        </is>
      </c>
      <c r="B10" s="11" t="inlineStr">
        <is>
          <t>239 | 2025-12-22 | 169,600 | bastidas cordoba nid</t>
        </is>
      </c>
      <c r="C10" s="13" t="n">
        <v>0</v>
      </c>
      <c r="D10" s="11" t="inlineStr">
        <is>
          <t>por revisar</t>
        </is>
      </c>
      <c r="E10" s="11">
        <f>IF(D10&lt;&gt;"conciliado","Pendiente",IF(C10&lt;&gt;0,"ERROR: diferencia distinta de cero",IF(OR(AND(J10&lt;&gt;"",SUM(COUNTIFS($D$2:$D$48,"conciliado",$J$2:$J$48,J10),COUNTIFS($D$2:$D$48,"conciliado",$K$2:$K$48,J10),COUNTIFS($D$2:$D$48,"conciliado",$L$2:$L$48,J10))&gt;1),AND(K10&lt;&gt;"",SUM(COUNTIFS($D$2:$D$48,"conciliado",$J$2:$J$48,K10),COUNTIFS($D$2:$D$48,"conciliado",$K$2:$K$48,K10),COUNTIFS($D$2:$D$48,"conciliado",$L$2:$L$48,K10))&gt;1),AND(L10&lt;&gt;"",SUM(COUNTIFS($D$2:$D$48,"conciliado",$J$2:$J$48,L10),COUNTIFS($D$2:$D$48,"conciliado",$K$2:$K$48,L10),COUNTIFS($D$2:$D$48,"conciliado",$L$2:$L$48,L10))&gt;1)),"ERROR: banco ya usado en otro compuesto conciliado",IF(OR(AND(M10&lt;&gt;"",SUM(COUNTIFS($D$2:$D$48,"conciliado",$M$2:$M$48,M10),COUNTIFS($D$2:$D$48,"conciliado",$N$2:$N$48,M10),COUNTIFS($D$2:$D$48,"conciliado",$O$2:$O$48,M10))&gt;1),AND(N10&lt;&gt;"",SUM(COUNTIFS($D$2:$D$48,"conciliado",$M$2:$M$48,N10),COUNTIFS($D$2:$D$48,"conciliado",$N$2:$N$48,N10),COUNTIFS($D$2:$D$48,"conciliado",$O$2:$O$48,N10))&gt;1),AND(O10&lt;&gt;"",SUM(COUNTIFS($D$2:$D$48,"conciliado",$M$2:$M$48,O10),COUNTIFS($D$2:$D$48,"conciliado",$N$2:$N$48,O10),COUNTIFS($D$2:$D$48,"conciliado",$O$2:$O$48,O10))&gt;1)),"ERROR: libro_aux ya usado en otro compuesto conciliado","OK"))))</f>
        <v/>
      </c>
      <c r="F10" s="11" t="inlineStr">
        <is>
          <t>Posible compuesto detectado por suma exacta en la misma fecha. Revisar antes de conciliar.</t>
        </is>
      </c>
      <c r="G10" s="11" t="inlineStr"/>
      <c r="H10" s="11" t="inlineStr">
        <is>
          <t>1094, 1109, 1194</t>
        </is>
      </c>
      <c r="I10" s="11" t="inlineStr">
        <is>
          <t>239</t>
        </is>
      </c>
      <c r="J10" s="11" t="n">
        <v>1094</v>
      </c>
      <c r="K10" s="11" t="n">
        <v>1109</v>
      </c>
      <c r="L10" s="11" t="n">
        <v>1194</v>
      </c>
      <c r="M10" s="11" t="n">
        <v>239</v>
      </c>
      <c r="N10" s="11" t="inlineStr"/>
      <c r="O10" s="11" t="inlineStr"/>
    </row>
    <row r="11">
      <c r="A11" s="11" t="inlineStr">
        <is>
          <t>1466 | 2025-12-24 | 23,900 | consignacion credibanco d e
1471 | 2025-12-24 | 59,900 | consignacion credibanco d e</t>
        </is>
      </c>
      <c r="B11" s="11" t="inlineStr">
        <is>
          <t>284 | 2025-12-24 | 83,800 | ortiz pai wanier</t>
        </is>
      </c>
      <c r="C11" s="13" t="n">
        <v>0</v>
      </c>
      <c r="D11" s="11" t="inlineStr">
        <is>
          <t>por revisar</t>
        </is>
      </c>
      <c r="E11" s="11">
        <f>IF(D11&lt;&gt;"conciliado","Pendiente",IF(C11&lt;&gt;0,"ERROR: diferencia distinta de cero",IF(OR(AND(J11&lt;&gt;"",SUM(COUNTIFS($D$2:$D$48,"conciliado",$J$2:$J$48,J11),COUNTIFS($D$2:$D$48,"conciliado",$K$2:$K$48,J11),COUNTIFS($D$2:$D$48,"conciliado",$L$2:$L$48,J11))&gt;1),AND(K11&lt;&gt;"",SUM(COUNTIFS($D$2:$D$48,"conciliado",$J$2:$J$48,K11),COUNTIFS($D$2:$D$48,"conciliado",$K$2:$K$48,K11),COUNTIFS($D$2:$D$48,"conciliado",$L$2:$L$48,K11))&gt;1),AND(L11&lt;&gt;"",SUM(COUNTIFS($D$2:$D$48,"conciliado",$J$2:$J$48,L11),COUNTIFS($D$2:$D$48,"conciliado",$K$2:$K$48,L11),COUNTIFS($D$2:$D$48,"conciliado",$L$2:$L$48,L11))&gt;1)),"ERROR: banco ya usado en otro compuesto conciliado",IF(OR(AND(M11&lt;&gt;"",SUM(COUNTIFS($D$2:$D$48,"conciliado",$M$2:$M$48,M11),COUNTIFS($D$2:$D$48,"conciliado",$N$2:$N$48,M11),COUNTIFS($D$2:$D$48,"conciliado",$O$2:$O$48,M11))&gt;1),AND(N11&lt;&gt;"",SUM(COUNTIFS($D$2:$D$48,"conciliado",$M$2:$M$48,N11),COUNTIFS($D$2:$D$48,"conciliado",$N$2:$N$48,N11),COUNTIFS($D$2:$D$48,"conciliado",$O$2:$O$48,N11))&gt;1),AND(O11&lt;&gt;"",SUM(COUNTIFS($D$2:$D$48,"conciliado",$M$2:$M$48,O11),COUNTIFS($D$2:$D$48,"conciliado",$N$2:$N$48,O11),COUNTIFS($D$2:$D$48,"conciliado",$O$2:$O$48,O11))&gt;1)),"ERROR: libro_aux ya usado en otro compuesto conciliado","OK"))))</f>
        <v/>
      </c>
      <c r="F11" s="11" t="inlineStr">
        <is>
          <t>Posible compuesto detectado por suma exacta en la misma fecha. Revisar antes de conciliar.</t>
        </is>
      </c>
      <c r="G11" s="11" t="inlineStr"/>
      <c r="H11" s="11" t="inlineStr">
        <is>
          <t>1466, 1471</t>
        </is>
      </c>
      <c r="I11" s="11" t="inlineStr">
        <is>
          <t>284</t>
        </is>
      </c>
      <c r="J11" s="11" t="n">
        <v>1466</v>
      </c>
      <c r="K11" s="11" t="n">
        <v>1471</v>
      </c>
      <c r="L11" s="11" t="inlineStr"/>
      <c r="M11" s="11" t="n">
        <v>284</v>
      </c>
      <c r="N11" s="11" t="inlineStr"/>
      <c r="O11" s="11" t="inlineStr"/>
    </row>
    <row r="12">
      <c r="A12" s="11" t="inlineStr">
        <is>
          <t>1436 | 2025-12-24 | 44,400 | consignacion credibanco d e
1466 | 2025-12-24 | 23,900 | consignacion credibanco d e</t>
        </is>
      </c>
      <c r="B12" s="11" t="inlineStr">
        <is>
          <t>290 | 2025-12-24 | 68,300 | cabezas neyne rivera</t>
        </is>
      </c>
      <c r="C12" s="13" t="n">
        <v>0</v>
      </c>
      <c r="D12" s="11" t="inlineStr">
        <is>
          <t>por revisar</t>
        </is>
      </c>
      <c r="E12" s="11">
        <f>IF(D12&lt;&gt;"conciliado","Pendiente",IF(C12&lt;&gt;0,"ERROR: diferencia distinta de cero",IF(OR(AND(J12&lt;&gt;"",SUM(COUNTIFS($D$2:$D$48,"conciliado",$J$2:$J$48,J12),COUNTIFS($D$2:$D$48,"conciliado",$K$2:$K$48,J12),COUNTIFS($D$2:$D$48,"conciliado",$L$2:$L$48,J12))&gt;1),AND(K12&lt;&gt;"",SUM(COUNTIFS($D$2:$D$48,"conciliado",$J$2:$J$48,K12),COUNTIFS($D$2:$D$48,"conciliado",$K$2:$K$48,K12),COUNTIFS($D$2:$D$48,"conciliado",$L$2:$L$48,K12))&gt;1),AND(L12&lt;&gt;"",SUM(COUNTIFS($D$2:$D$48,"conciliado",$J$2:$J$48,L12),COUNTIFS($D$2:$D$48,"conciliado",$K$2:$K$48,L12),COUNTIFS($D$2:$D$48,"conciliado",$L$2:$L$48,L12))&gt;1)),"ERROR: banco ya usado en otro compuesto conciliado",IF(OR(AND(M12&lt;&gt;"",SUM(COUNTIFS($D$2:$D$48,"conciliado",$M$2:$M$48,M12),COUNTIFS($D$2:$D$48,"conciliado",$N$2:$N$48,M12),COUNTIFS($D$2:$D$48,"conciliado",$O$2:$O$48,M12))&gt;1),AND(N12&lt;&gt;"",SUM(COUNTIFS($D$2:$D$48,"conciliado",$M$2:$M$48,N12),COUNTIFS($D$2:$D$48,"conciliado",$N$2:$N$48,N12),COUNTIFS($D$2:$D$48,"conciliado",$O$2:$O$48,N12))&gt;1),AND(O12&lt;&gt;"",SUM(COUNTIFS($D$2:$D$48,"conciliado",$M$2:$M$48,O12),COUNTIFS($D$2:$D$48,"conciliado",$N$2:$N$48,O12),COUNTIFS($D$2:$D$48,"conciliado",$O$2:$O$48,O12))&gt;1)),"ERROR: libro_aux ya usado en otro compuesto conciliado","OK"))))</f>
        <v/>
      </c>
      <c r="F12" s="11" t="inlineStr">
        <is>
          <t>Posible compuesto detectado por suma exacta en la misma fecha. Revisar antes de conciliar.</t>
        </is>
      </c>
      <c r="G12" s="11" t="inlineStr"/>
      <c r="H12" s="11" t="inlineStr">
        <is>
          <t>1436, 1466</t>
        </is>
      </c>
      <c r="I12" s="11" t="inlineStr">
        <is>
          <t>290</t>
        </is>
      </c>
      <c r="J12" s="11" t="n">
        <v>1436</v>
      </c>
      <c r="K12" s="11" t="n">
        <v>1466</v>
      </c>
      <c r="L12" s="11" t="inlineStr"/>
      <c r="M12" s="11" t="n">
        <v>290</v>
      </c>
      <c r="N12" s="11" t="inlineStr"/>
      <c r="O12" s="11" t="inlineStr"/>
    </row>
    <row r="13">
      <c r="A13" s="11" t="inlineStr">
        <is>
          <t>1661 | 2025-12-26 | 135,000 | depositos electronicos masterca transaccion
1679 | 2025-12-26 | -600 | depositos electronicos mastercar retefuente</t>
        </is>
      </c>
      <c r="B13" s="11" t="inlineStr">
        <is>
          <t>310 | 2025-12-26 | 134,400 | cruz espinoza manuel</t>
        </is>
      </c>
      <c r="C13" s="13" t="n">
        <v>0</v>
      </c>
      <c r="D13" s="11" t="inlineStr">
        <is>
          <t>por revisar</t>
        </is>
      </c>
      <c r="E13" s="11">
        <f>IF(D13&lt;&gt;"conciliado","Pendiente",IF(C13&lt;&gt;0,"ERROR: diferencia distinta de cero",IF(OR(AND(J13&lt;&gt;"",SUM(COUNTIFS($D$2:$D$48,"conciliado",$J$2:$J$48,J13),COUNTIFS($D$2:$D$48,"conciliado",$K$2:$K$48,J13),COUNTIFS($D$2:$D$48,"conciliado",$L$2:$L$48,J13))&gt;1),AND(K13&lt;&gt;"",SUM(COUNTIFS($D$2:$D$48,"conciliado",$J$2:$J$48,K13),COUNTIFS($D$2:$D$48,"conciliado",$K$2:$K$48,K13),COUNTIFS($D$2:$D$48,"conciliado",$L$2:$L$48,K13))&gt;1),AND(L13&lt;&gt;"",SUM(COUNTIFS($D$2:$D$48,"conciliado",$J$2:$J$48,L13),COUNTIFS($D$2:$D$48,"conciliado",$K$2:$K$48,L13),COUNTIFS($D$2:$D$48,"conciliado",$L$2:$L$48,L13))&gt;1)),"ERROR: banco ya usado en otro compuesto conciliado",IF(OR(AND(M13&lt;&gt;"",SUM(COUNTIFS($D$2:$D$48,"conciliado",$M$2:$M$48,M13),COUNTIFS($D$2:$D$48,"conciliado",$N$2:$N$48,M13),COUNTIFS($D$2:$D$48,"conciliado",$O$2:$O$48,M13))&gt;1),AND(N13&lt;&gt;"",SUM(COUNTIFS($D$2:$D$48,"conciliado",$M$2:$M$48,N13),COUNTIFS($D$2:$D$48,"conciliado",$N$2:$N$48,N13),COUNTIFS($D$2:$D$48,"conciliado",$O$2:$O$48,N13))&gt;1),AND(O13&lt;&gt;"",SUM(COUNTIFS($D$2:$D$48,"conciliado",$M$2:$M$48,O13),COUNTIFS($D$2:$D$48,"conciliado",$N$2:$N$48,O13),COUNTIFS($D$2:$D$48,"conciliado",$O$2:$O$48,O13))&gt;1)),"ERROR: libro_aux ya usado en otro compuesto conciliado","OK"))))</f>
        <v/>
      </c>
      <c r="F13" s="11" t="inlineStr">
        <is>
          <t>Posible compuesto detectado por suma exacta en la misma fecha. Revisar antes de conciliar.</t>
        </is>
      </c>
      <c r="G13" s="11" t="inlineStr"/>
      <c r="H13" s="11" t="inlineStr">
        <is>
          <t>1661, 1679</t>
        </is>
      </c>
      <c r="I13" s="11" t="inlineStr">
        <is>
          <t>310</t>
        </is>
      </c>
      <c r="J13" s="11" t="n">
        <v>1661</v>
      </c>
      <c r="K13" s="11" t="n">
        <v>1679</v>
      </c>
      <c r="L13" s="11" t="inlineStr"/>
      <c r="M13" s="11" t="n">
        <v>310</v>
      </c>
      <c r="N13" s="11" t="inlineStr"/>
      <c r="O13" s="11" t="inlineStr"/>
    </row>
    <row r="14">
      <c r="A14" s="11" t="inlineStr">
        <is>
          <t>1506 | 2025-12-26 | 46,000 | consignacion credibanco d e
1566 | 2025-12-26 | 62,300 | consignacion credibanco d e
1591 | 2025-12-26 | 170,000 | consignacion credibanco d e</t>
        </is>
      </c>
      <c r="B14" s="11" t="inlineStr">
        <is>
          <t>305 | 2025-12-26 | 278,300 | cisneros edwi norena</t>
        </is>
      </c>
      <c r="C14" s="13" t="n">
        <v>0</v>
      </c>
      <c r="D14" s="11" t="inlineStr">
        <is>
          <t>por revisar</t>
        </is>
      </c>
      <c r="E14" s="11">
        <f>IF(D14&lt;&gt;"conciliado","Pendiente",IF(C14&lt;&gt;0,"ERROR: diferencia distinta de cero",IF(OR(AND(J14&lt;&gt;"",SUM(COUNTIFS($D$2:$D$48,"conciliado",$J$2:$J$48,J14),COUNTIFS($D$2:$D$48,"conciliado",$K$2:$K$48,J14),COUNTIFS($D$2:$D$48,"conciliado",$L$2:$L$48,J14))&gt;1),AND(K14&lt;&gt;"",SUM(COUNTIFS($D$2:$D$48,"conciliado",$J$2:$J$48,K14),COUNTIFS($D$2:$D$48,"conciliado",$K$2:$K$48,K14),COUNTIFS($D$2:$D$48,"conciliado",$L$2:$L$48,K14))&gt;1),AND(L14&lt;&gt;"",SUM(COUNTIFS($D$2:$D$48,"conciliado",$J$2:$J$48,L14),COUNTIFS($D$2:$D$48,"conciliado",$K$2:$K$48,L14),COUNTIFS($D$2:$D$48,"conciliado",$L$2:$L$48,L14))&gt;1)),"ERROR: banco ya usado en otro compuesto conciliado",IF(OR(AND(M14&lt;&gt;"",SUM(COUNTIFS($D$2:$D$48,"conciliado",$M$2:$M$48,M14),COUNTIFS($D$2:$D$48,"conciliado",$N$2:$N$48,M14),COUNTIFS($D$2:$D$48,"conciliado",$O$2:$O$48,M14))&gt;1),AND(N14&lt;&gt;"",SUM(COUNTIFS($D$2:$D$48,"conciliado",$M$2:$M$48,N14),COUNTIFS($D$2:$D$48,"conciliado",$N$2:$N$48,N14),COUNTIFS($D$2:$D$48,"conciliado",$O$2:$O$48,N14))&gt;1),AND(O14&lt;&gt;"",SUM(COUNTIFS($D$2:$D$48,"conciliado",$M$2:$M$48,O14),COUNTIFS($D$2:$D$48,"conciliado",$N$2:$N$48,O14),COUNTIFS($D$2:$D$48,"conciliado",$O$2:$O$48,O14))&gt;1)),"ERROR: libro_aux ya usado en otro compuesto conciliado","OK"))))</f>
        <v/>
      </c>
      <c r="F14" s="11" t="inlineStr">
        <is>
          <t>Posible compuesto detectado por suma exacta en la misma fecha. Revisar antes de conciliar.</t>
        </is>
      </c>
      <c r="G14" s="11" t="inlineStr"/>
      <c r="H14" s="11" t="inlineStr">
        <is>
          <t>1506, 1566, 1591</t>
        </is>
      </c>
      <c r="I14" s="11" t="inlineStr">
        <is>
          <t>305</t>
        </is>
      </c>
      <c r="J14" s="11" t="n">
        <v>1506</v>
      </c>
      <c r="K14" s="11" t="n">
        <v>1566</v>
      </c>
      <c r="L14" s="11" t="n">
        <v>1591</v>
      </c>
      <c r="M14" s="11" t="n">
        <v>305</v>
      </c>
      <c r="N14" s="11" t="inlineStr"/>
      <c r="O14" s="11" t="inlineStr"/>
    </row>
    <row r="15">
      <c r="A15" s="11" t="inlineStr">
        <is>
          <t>1546 | 2025-12-26 | 20,600 | consignacion credibanco d e
1596 | 2025-12-26 | 25,800 | consignacion credibanco d e</t>
        </is>
      </c>
      <c r="B15" s="11" t="inlineStr">
        <is>
          <t>306 | 2025-12-26 | 46,400 | cristian he pai vega</t>
        </is>
      </c>
      <c r="C15" s="13" t="n">
        <v>0</v>
      </c>
      <c r="D15" s="11" t="inlineStr">
        <is>
          <t>por revisar</t>
        </is>
      </c>
      <c r="E15" s="11">
        <f>IF(D15&lt;&gt;"conciliado","Pendiente",IF(C15&lt;&gt;0,"ERROR: diferencia distinta de cero",IF(OR(AND(J15&lt;&gt;"",SUM(COUNTIFS($D$2:$D$48,"conciliado",$J$2:$J$48,J15),COUNTIFS($D$2:$D$48,"conciliado",$K$2:$K$48,J15),COUNTIFS($D$2:$D$48,"conciliado",$L$2:$L$48,J15))&gt;1),AND(K15&lt;&gt;"",SUM(COUNTIFS($D$2:$D$48,"conciliado",$J$2:$J$48,K15),COUNTIFS($D$2:$D$48,"conciliado",$K$2:$K$48,K15),COUNTIFS($D$2:$D$48,"conciliado",$L$2:$L$48,K15))&gt;1),AND(L15&lt;&gt;"",SUM(COUNTIFS($D$2:$D$48,"conciliado",$J$2:$J$48,L15),COUNTIFS($D$2:$D$48,"conciliado",$K$2:$K$48,L15),COUNTIFS($D$2:$D$48,"conciliado",$L$2:$L$48,L15))&gt;1)),"ERROR: banco ya usado en otro compuesto conciliado",IF(OR(AND(M15&lt;&gt;"",SUM(COUNTIFS($D$2:$D$48,"conciliado",$M$2:$M$48,M15),COUNTIFS($D$2:$D$48,"conciliado",$N$2:$N$48,M15),COUNTIFS($D$2:$D$48,"conciliado",$O$2:$O$48,M15))&gt;1),AND(N15&lt;&gt;"",SUM(COUNTIFS($D$2:$D$48,"conciliado",$M$2:$M$48,N15),COUNTIFS($D$2:$D$48,"conciliado",$N$2:$N$48,N15),COUNTIFS($D$2:$D$48,"conciliado",$O$2:$O$48,N15))&gt;1),AND(O15&lt;&gt;"",SUM(COUNTIFS($D$2:$D$48,"conciliado",$M$2:$M$48,O15),COUNTIFS($D$2:$D$48,"conciliado",$N$2:$N$48,O15),COUNTIFS($D$2:$D$48,"conciliado",$O$2:$O$48,O15))&gt;1)),"ERROR: libro_aux ya usado en otro compuesto conciliado","OK"))))</f>
        <v/>
      </c>
      <c r="F15" s="11" t="inlineStr">
        <is>
          <t>Posible compuesto detectado por suma exacta en la misma fecha. Revisar antes de conciliar.</t>
        </is>
      </c>
      <c r="G15" s="11" t="inlineStr"/>
      <c r="H15" s="11" t="inlineStr">
        <is>
          <t>1546, 1596</t>
        </is>
      </c>
      <c r="I15" s="11" t="inlineStr">
        <is>
          <t>306</t>
        </is>
      </c>
      <c r="J15" s="11" t="n">
        <v>1546</v>
      </c>
      <c r="K15" s="11" t="n">
        <v>1596</v>
      </c>
      <c r="L15" s="11" t="inlineStr"/>
      <c r="M15" s="11" t="n">
        <v>306</v>
      </c>
      <c r="N15" s="11" t="inlineStr"/>
      <c r="O15" s="11" t="inlineStr"/>
    </row>
    <row r="16">
      <c r="A16" s="11" t="inlineStr">
        <is>
          <t>1552 | 2025-12-26 | -1,814 | cobro comision depositos electronicos
1567 | 2025-12-26 | -1,346 | cobro comision depositos electronicos
1646 | 2025-12-26 | 42,688 | depositos electronicos masterca transaccion</t>
        </is>
      </c>
      <c r="B16" s="11" t="inlineStr">
        <is>
          <t>303 | 2025-12-26 | 39,528 | bastidas bolanos pao</t>
        </is>
      </c>
      <c r="C16" s="13" t="n">
        <v>0</v>
      </c>
      <c r="D16" s="11" t="inlineStr">
        <is>
          <t>por revisar</t>
        </is>
      </c>
      <c r="E16" s="11">
        <f>IF(D16&lt;&gt;"conciliado","Pendiente",IF(C16&lt;&gt;0,"ERROR: diferencia distinta de cero",IF(OR(AND(J16&lt;&gt;"",SUM(COUNTIFS($D$2:$D$48,"conciliado",$J$2:$J$48,J16),COUNTIFS($D$2:$D$48,"conciliado",$K$2:$K$48,J16),COUNTIFS($D$2:$D$48,"conciliado",$L$2:$L$48,J16))&gt;1),AND(K16&lt;&gt;"",SUM(COUNTIFS($D$2:$D$48,"conciliado",$J$2:$J$48,K16),COUNTIFS($D$2:$D$48,"conciliado",$K$2:$K$48,K16),COUNTIFS($D$2:$D$48,"conciliado",$L$2:$L$48,K16))&gt;1),AND(L16&lt;&gt;"",SUM(COUNTIFS($D$2:$D$48,"conciliado",$J$2:$J$48,L16),COUNTIFS($D$2:$D$48,"conciliado",$K$2:$K$48,L16),COUNTIFS($D$2:$D$48,"conciliado",$L$2:$L$48,L16))&gt;1)),"ERROR: banco ya usado en otro compuesto conciliado",IF(OR(AND(M16&lt;&gt;"",SUM(COUNTIFS($D$2:$D$48,"conciliado",$M$2:$M$48,M16),COUNTIFS($D$2:$D$48,"conciliado",$N$2:$N$48,M16),COUNTIFS($D$2:$D$48,"conciliado",$O$2:$O$48,M16))&gt;1),AND(N16&lt;&gt;"",SUM(COUNTIFS($D$2:$D$48,"conciliado",$M$2:$M$48,N16),COUNTIFS($D$2:$D$48,"conciliado",$N$2:$N$48,N16),COUNTIFS($D$2:$D$48,"conciliado",$O$2:$O$48,N16))&gt;1),AND(O16&lt;&gt;"",SUM(COUNTIFS($D$2:$D$48,"conciliado",$M$2:$M$48,O16),COUNTIFS($D$2:$D$48,"conciliado",$N$2:$N$48,O16),COUNTIFS($D$2:$D$48,"conciliado",$O$2:$O$48,O16))&gt;1)),"ERROR: libro_aux ya usado en otro compuesto conciliado","OK"))))</f>
        <v/>
      </c>
      <c r="F16" s="11" t="inlineStr">
        <is>
          <t>Posible compuesto detectado por suma exacta en la misma fecha. Revisar antes de conciliar.</t>
        </is>
      </c>
      <c r="G16" s="11" t="inlineStr"/>
      <c r="H16" s="11" t="inlineStr">
        <is>
          <t>1552, 1567, 1646</t>
        </is>
      </c>
      <c r="I16" s="11" t="inlineStr">
        <is>
          <t>303</t>
        </is>
      </c>
      <c r="J16" s="11" t="n">
        <v>1552</v>
      </c>
      <c r="K16" s="11" t="n">
        <v>1567</v>
      </c>
      <c r="L16" s="11" t="n">
        <v>1646</v>
      </c>
      <c r="M16" s="11" t="n">
        <v>303</v>
      </c>
      <c r="N16" s="11" t="inlineStr"/>
      <c r="O16" s="11" t="inlineStr"/>
    </row>
    <row r="17">
      <c r="A17" s="11" t="inlineStr">
        <is>
          <t>1691 | 2025-12-29 | 94,100 | consignacion credibanco d e
1771 | 2025-12-29 | 22,000 | consignacion credibanco d e
1811 | 2025-12-29 | 20,500 | consignacion credibanco d e</t>
        </is>
      </c>
      <c r="B17" s="11" t="inlineStr">
        <is>
          <t>343 | 2025-12-29 | 136,600 | benavides lopez sixt</t>
        </is>
      </c>
      <c r="C17" s="13" t="n">
        <v>0</v>
      </c>
      <c r="D17" s="11" t="inlineStr">
        <is>
          <t>por revisar</t>
        </is>
      </c>
      <c r="E17" s="11">
        <f>IF(D17&lt;&gt;"conciliado","Pendiente",IF(C17&lt;&gt;0,"ERROR: diferencia distinta de cero",IF(OR(AND(J17&lt;&gt;"",SUM(COUNTIFS($D$2:$D$48,"conciliado",$J$2:$J$48,J17),COUNTIFS($D$2:$D$48,"conciliado",$K$2:$K$48,J17),COUNTIFS($D$2:$D$48,"conciliado",$L$2:$L$48,J17))&gt;1),AND(K17&lt;&gt;"",SUM(COUNTIFS($D$2:$D$48,"conciliado",$J$2:$J$48,K17),COUNTIFS($D$2:$D$48,"conciliado",$K$2:$K$48,K17),COUNTIFS($D$2:$D$48,"conciliado",$L$2:$L$48,K17))&gt;1),AND(L17&lt;&gt;"",SUM(COUNTIFS($D$2:$D$48,"conciliado",$J$2:$J$48,L17),COUNTIFS($D$2:$D$48,"conciliado",$K$2:$K$48,L17),COUNTIFS($D$2:$D$48,"conciliado",$L$2:$L$48,L17))&gt;1)),"ERROR: banco ya usado en otro compuesto conciliado",IF(OR(AND(M17&lt;&gt;"",SUM(COUNTIFS($D$2:$D$48,"conciliado",$M$2:$M$48,M17),COUNTIFS($D$2:$D$48,"conciliado",$N$2:$N$48,M17),COUNTIFS($D$2:$D$48,"conciliado",$O$2:$O$48,M17))&gt;1),AND(N17&lt;&gt;"",SUM(COUNTIFS($D$2:$D$48,"conciliado",$M$2:$M$48,N17),COUNTIFS($D$2:$D$48,"conciliado",$N$2:$N$48,N17),COUNTIFS($D$2:$D$48,"conciliado",$O$2:$O$48,N17))&gt;1),AND(O17&lt;&gt;"",SUM(COUNTIFS($D$2:$D$48,"conciliado",$M$2:$M$48,O17),COUNTIFS($D$2:$D$48,"conciliado",$N$2:$N$48,O17),COUNTIFS($D$2:$D$48,"conciliado",$O$2:$O$48,O17))&gt;1)),"ERROR: libro_aux ya usado en otro compuesto conciliado","OK"))))</f>
        <v/>
      </c>
      <c r="F17" s="11" t="inlineStr">
        <is>
          <t>Posible compuesto detectado por suma exacta en la misma fecha. Revisar antes de conciliar.</t>
        </is>
      </c>
      <c r="G17" s="11" t="inlineStr"/>
      <c r="H17" s="11" t="inlineStr">
        <is>
          <t>1691, 1771, 1811</t>
        </is>
      </c>
      <c r="I17" s="11" t="inlineStr">
        <is>
          <t>343</t>
        </is>
      </c>
      <c r="J17" s="11" t="n">
        <v>1691</v>
      </c>
      <c r="K17" s="11" t="n">
        <v>1771</v>
      </c>
      <c r="L17" s="11" t="n">
        <v>1811</v>
      </c>
      <c r="M17" s="11" t="n">
        <v>343</v>
      </c>
      <c r="N17" s="11" t="inlineStr"/>
      <c r="O17" s="11" t="inlineStr"/>
    </row>
    <row r="18">
      <c r="A18" s="11" t="inlineStr">
        <is>
          <t>1782 | 2025-12-29 | -554 | cobro comision depositos electronicos
1802 | 2025-12-29 | -8,346 | cobro comision depositos electronicos
1851 | 2025-12-29 | 39,200 | depositos electronicos masterca transaccion</t>
        </is>
      </c>
      <c r="B18" s="11" t="inlineStr">
        <is>
          <t>342 | 2025-12-29 | 30,300 | au hector melo tobar</t>
        </is>
      </c>
      <c r="C18" s="13" t="n">
        <v>0</v>
      </c>
      <c r="D18" s="11" t="inlineStr">
        <is>
          <t>por revisar</t>
        </is>
      </c>
      <c r="E18" s="11">
        <f>IF(D18&lt;&gt;"conciliado","Pendiente",IF(C18&lt;&gt;0,"ERROR: diferencia distinta de cero",IF(OR(AND(J18&lt;&gt;"",SUM(COUNTIFS($D$2:$D$48,"conciliado",$J$2:$J$48,J18),COUNTIFS($D$2:$D$48,"conciliado",$K$2:$K$48,J18),COUNTIFS($D$2:$D$48,"conciliado",$L$2:$L$48,J18))&gt;1),AND(K18&lt;&gt;"",SUM(COUNTIFS($D$2:$D$48,"conciliado",$J$2:$J$48,K18),COUNTIFS($D$2:$D$48,"conciliado",$K$2:$K$48,K18),COUNTIFS($D$2:$D$48,"conciliado",$L$2:$L$48,K18))&gt;1),AND(L18&lt;&gt;"",SUM(COUNTIFS($D$2:$D$48,"conciliado",$J$2:$J$48,L18),COUNTIFS($D$2:$D$48,"conciliado",$K$2:$K$48,L18),COUNTIFS($D$2:$D$48,"conciliado",$L$2:$L$48,L18))&gt;1)),"ERROR: banco ya usado en otro compuesto conciliado",IF(OR(AND(M18&lt;&gt;"",SUM(COUNTIFS($D$2:$D$48,"conciliado",$M$2:$M$48,M18),COUNTIFS($D$2:$D$48,"conciliado",$N$2:$N$48,M18),COUNTIFS($D$2:$D$48,"conciliado",$O$2:$O$48,M18))&gt;1),AND(N18&lt;&gt;"",SUM(COUNTIFS($D$2:$D$48,"conciliado",$M$2:$M$48,N18),COUNTIFS($D$2:$D$48,"conciliado",$N$2:$N$48,N18),COUNTIFS($D$2:$D$48,"conciliado",$O$2:$O$48,N18))&gt;1),AND(O18&lt;&gt;"",SUM(COUNTIFS($D$2:$D$48,"conciliado",$M$2:$M$48,O18),COUNTIFS($D$2:$D$48,"conciliado",$N$2:$N$48,O18),COUNTIFS($D$2:$D$48,"conciliado",$O$2:$O$48,O18))&gt;1)),"ERROR: libro_aux ya usado en otro compuesto conciliado","OK"))))</f>
        <v/>
      </c>
      <c r="F18" s="11" t="inlineStr">
        <is>
          <t>Posible compuesto detectado por suma exacta en la misma fecha. Revisar antes de conciliar.</t>
        </is>
      </c>
      <c r="G18" s="11" t="inlineStr"/>
      <c r="H18" s="11" t="inlineStr">
        <is>
          <t>1782, 1802, 1851</t>
        </is>
      </c>
      <c r="I18" s="11" t="inlineStr">
        <is>
          <t>342</t>
        </is>
      </c>
      <c r="J18" s="11" t="n">
        <v>1782</v>
      </c>
      <c r="K18" s="11" t="n">
        <v>1802</v>
      </c>
      <c r="L18" s="11" t="n">
        <v>1851</v>
      </c>
      <c r="M18" s="11" t="n">
        <v>342</v>
      </c>
      <c r="N18" s="11" t="inlineStr"/>
      <c r="O18" s="11" t="inlineStr"/>
    </row>
    <row r="19">
      <c r="A19" s="11" t="inlineStr">
        <is>
          <t>1084 | 2025-12-22 | 28,000 | consignacion credibanco d e
1104 | 2025-12-22 | 14,000 | consignacion credibanco d e</t>
        </is>
      </c>
      <c r="B19" s="11" t="inlineStr">
        <is>
          <t>236 | 2025-12-22 | 42,000 | crist mafla palacios</t>
        </is>
      </c>
      <c r="C19" s="13" t="n">
        <v>0</v>
      </c>
      <c r="D19" s="11" t="inlineStr">
        <is>
          <t>por revisar</t>
        </is>
      </c>
      <c r="E19" s="11">
        <f>IF(D19&lt;&gt;"conciliado","Pendiente",IF(C19&lt;&gt;0,"ERROR: diferencia distinta de cero",IF(OR(AND(J19&lt;&gt;"",SUM(COUNTIFS($D$2:$D$48,"conciliado",$J$2:$J$48,J19),COUNTIFS($D$2:$D$48,"conciliado",$K$2:$K$48,J19),COUNTIFS($D$2:$D$48,"conciliado",$L$2:$L$48,J19))&gt;1),AND(K19&lt;&gt;"",SUM(COUNTIFS($D$2:$D$48,"conciliado",$J$2:$J$48,K19),COUNTIFS($D$2:$D$48,"conciliado",$K$2:$K$48,K19),COUNTIFS($D$2:$D$48,"conciliado",$L$2:$L$48,K19))&gt;1),AND(L19&lt;&gt;"",SUM(COUNTIFS($D$2:$D$48,"conciliado",$J$2:$J$48,L19),COUNTIFS($D$2:$D$48,"conciliado",$K$2:$K$48,L19),COUNTIFS($D$2:$D$48,"conciliado",$L$2:$L$48,L19))&gt;1)),"ERROR: banco ya usado en otro compuesto conciliado",IF(OR(AND(M19&lt;&gt;"",SUM(COUNTIFS($D$2:$D$48,"conciliado",$M$2:$M$48,M19),COUNTIFS($D$2:$D$48,"conciliado",$N$2:$N$48,M19),COUNTIFS($D$2:$D$48,"conciliado",$O$2:$O$48,M19))&gt;1),AND(N19&lt;&gt;"",SUM(COUNTIFS($D$2:$D$48,"conciliado",$M$2:$M$48,N19),COUNTIFS($D$2:$D$48,"conciliado",$N$2:$N$48,N19),COUNTIFS($D$2:$D$48,"conciliado",$O$2:$O$48,N19))&gt;1),AND(O19&lt;&gt;"",SUM(COUNTIFS($D$2:$D$48,"conciliado",$M$2:$M$48,O19),COUNTIFS($D$2:$D$48,"conciliado",$N$2:$N$48,O19),COUNTIFS($D$2:$D$48,"conciliado",$O$2:$O$48,O19))&gt;1)),"ERROR: libro_aux ya usado en otro compuesto conciliado","OK"))))</f>
        <v/>
      </c>
      <c r="F19" s="11" t="inlineStr">
        <is>
          <t>Posible compuesto detectado por suma exacta en la misma fecha. Revisar antes de conciliar.</t>
        </is>
      </c>
      <c r="G19" s="11" t="inlineStr"/>
      <c r="H19" s="11" t="inlineStr">
        <is>
          <t>1084, 1104</t>
        </is>
      </c>
      <c r="I19" s="11" t="inlineStr">
        <is>
          <t>236</t>
        </is>
      </c>
      <c r="J19" s="11" t="n">
        <v>1084</v>
      </c>
      <c r="K19" s="11" t="n">
        <v>1104</v>
      </c>
      <c r="L19" s="11" t="inlineStr"/>
      <c r="M19" s="11" t="n">
        <v>236</v>
      </c>
      <c r="N19" s="11" t="inlineStr"/>
      <c r="O19" s="11" t="inlineStr"/>
    </row>
    <row r="20">
      <c r="A20" s="11" t="inlineStr">
        <is>
          <t>26 | 2025-12-01 | 22,800 | consignacion credibanco d e
31 | 2025-12-01 | 41,900 | consignacion credibanco d e
104 | 2025-12-01 | -2,700 | credibanco d e retefuente voucher y</t>
        </is>
      </c>
      <c r="B20" s="11" t="inlineStr">
        <is>
          <t>7 | 2025-12-01 | 62,000 | ca caicedo jimenez</t>
        </is>
      </c>
      <c r="C20" s="13" t="n">
        <v>0</v>
      </c>
      <c r="D20" s="11" t="inlineStr">
        <is>
          <t>por revisar</t>
        </is>
      </c>
      <c r="E20" s="11">
        <f>IF(D20&lt;&gt;"conciliado","Pendiente",IF(C20&lt;&gt;0,"ERROR: diferencia distinta de cero",IF(OR(AND(J20&lt;&gt;"",SUM(COUNTIFS($D$2:$D$48,"conciliado",$J$2:$J$48,J20),COUNTIFS($D$2:$D$48,"conciliado",$K$2:$K$48,J20),COUNTIFS($D$2:$D$48,"conciliado",$L$2:$L$48,J20))&gt;1),AND(K20&lt;&gt;"",SUM(COUNTIFS($D$2:$D$48,"conciliado",$J$2:$J$48,K20),COUNTIFS($D$2:$D$48,"conciliado",$K$2:$K$48,K20),COUNTIFS($D$2:$D$48,"conciliado",$L$2:$L$48,K20))&gt;1),AND(L20&lt;&gt;"",SUM(COUNTIFS($D$2:$D$48,"conciliado",$J$2:$J$48,L20),COUNTIFS($D$2:$D$48,"conciliado",$K$2:$K$48,L20),COUNTIFS($D$2:$D$48,"conciliado",$L$2:$L$48,L20))&gt;1)),"ERROR: banco ya usado en otro compuesto conciliado",IF(OR(AND(M20&lt;&gt;"",SUM(COUNTIFS($D$2:$D$48,"conciliado",$M$2:$M$48,M20),COUNTIFS($D$2:$D$48,"conciliado",$N$2:$N$48,M20),COUNTIFS($D$2:$D$48,"conciliado",$O$2:$O$48,M20))&gt;1),AND(N20&lt;&gt;"",SUM(COUNTIFS($D$2:$D$48,"conciliado",$M$2:$M$48,N20),COUNTIFS($D$2:$D$48,"conciliado",$N$2:$N$48,N20),COUNTIFS($D$2:$D$48,"conciliado",$O$2:$O$48,N20))&gt;1),AND(O20&lt;&gt;"",SUM(COUNTIFS($D$2:$D$48,"conciliado",$M$2:$M$48,O20),COUNTIFS($D$2:$D$48,"conciliado",$N$2:$N$48,O20),COUNTIFS($D$2:$D$48,"conciliado",$O$2:$O$48,O20))&gt;1)),"ERROR: libro_aux ya usado en otro compuesto conciliado","OK"))))</f>
        <v/>
      </c>
      <c r="F20" s="11" t="inlineStr">
        <is>
          <t>Posible compuesto detectado por suma exacta en la misma fecha. Revisar antes de conciliar.</t>
        </is>
      </c>
      <c r="G20" s="11" t="inlineStr"/>
      <c r="H20" s="11" t="inlineStr">
        <is>
          <t>26, 31, 104</t>
        </is>
      </c>
      <c r="I20" s="11" t="inlineStr">
        <is>
          <t>7</t>
        </is>
      </c>
      <c r="J20" s="11" t="n">
        <v>26</v>
      </c>
      <c r="K20" s="11" t="n">
        <v>31</v>
      </c>
      <c r="L20" s="11" t="n">
        <v>104</v>
      </c>
      <c r="M20" s="11" t="n">
        <v>7</v>
      </c>
      <c r="N20" s="11" t="inlineStr"/>
      <c r="O20" s="11" t="inlineStr"/>
    </row>
    <row r="21">
      <c r="A21" s="11" t="inlineStr">
        <is>
          <t>26 | 2025-12-01 | 22,800 | consignacion credibanco d e
39 | 2025-12-01 | -320 | credibanco d e retefuente voucher y
56 | 2025-12-01 | 22,400 | consignacion credibanco d e</t>
        </is>
      </c>
      <c r="B21" s="11" t="inlineStr">
        <is>
          <t>2 | 2025-12-01 | 44,880 | gomez jimenez judith</t>
        </is>
      </c>
      <c r="C21" s="13" t="n">
        <v>0</v>
      </c>
      <c r="D21" s="11" t="inlineStr">
        <is>
          <t>por revisar</t>
        </is>
      </c>
      <c r="E21" s="11">
        <f>IF(D21&lt;&gt;"conciliado","Pendiente",IF(C21&lt;&gt;0,"ERROR: diferencia distinta de cero",IF(OR(AND(J21&lt;&gt;"",SUM(COUNTIFS($D$2:$D$48,"conciliado",$J$2:$J$48,J21),COUNTIFS($D$2:$D$48,"conciliado",$K$2:$K$48,J21),COUNTIFS($D$2:$D$48,"conciliado",$L$2:$L$48,J21))&gt;1),AND(K21&lt;&gt;"",SUM(COUNTIFS($D$2:$D$48,"conciliado",$J$2:$J$48,K21),COUNTIFS($D$2:$D$48,"conciliado",$K$2:$K$48,K21),COUNTIFS($D$2:$D$48,"conciliado",$L$2:$L$48,K21))&gt;1),AND(L21&lt;&gt;"",SUM(COUNTIFS($D$2:$D$48,"conciliado",$J$2:$J$48,L21),COUNTIFS($D$2:$D$48,"conciliado",$K$2:$K$48,L21),COUNTIFS($D$2:$D$48,"conciliado",$L$2:$L$48,L21))&gt;1)),"ERROR: banco ya usado en otro compuesto conciliado",IF(OR(AND(M21&lt;&gt;"",SUM(COUNTIFS($D$2:$D$48,"conciliado",$M$2:$M$48,M21),COUNTIFS($D$2:$D$48,"conciliado",$N$2:$N$48,M21),COUNTIFS($D$2:$D$48,"conciliado",$O$2:$O$48,M21))&gt;1),AND(N21&lt;&gt;"",SUM(COUNTIFS($D$2:$D$48,"conciliado",$M$2:$M$48,N21),COUNTIFS($D$2:$D$48,"conciliado",$N$2:$N$48,N21),COUNTIFS($D$2:$D$48,"conciliado",$O$2:$O$48,N21))&gt;1),AND(O21&lt;&gt;"",SUM(COUNTIFS($D$2:$D$48,"conciliado",$M$2:$M$48,O21),COUNTIFS($D$2:$D$48,"conciliado",$N$2:$N$48,O21),COUNTIFS($D$2:$D$48,"conciliado",$O$2:$O$48,O21))&gt;1)),"ERROR: libro_aux ya usado en otro compuesto conciliado","OK"))))</f>
        <v/>
      </c>
      <c r="F21" s="11" t="inlineStr">
        <is>
          <t>Posible compuesto detectado por suma exacta en la misma fecha. Revisar antes de conciliar.</t>
        </is>
      </c>
      <c r="G21" s="11" t="inlineStr"/>
      <c r="H21" s="11" t="inlineStr">
        <is>
          <t>26, 39, 56</t>
        </is>
      </c>
      <c r="I21" s="11" t="inlineStr">
        <is>
          <t>2</t>
        </is>
      </c>
      <c r="J21" s="11" t="n">
        <v>26</v>
      </c>
      <c r="K21" s="11" t="n">
        <v>39</v>
      </c>
      <c r="L21" s="11" t="n">
        <v>56</v>
      </c>
      <c r="M21" s="11" t="n">
        <v>2</v>
      </c>
      <c r="N21" s="11" t="inlineStr"/>
      <c r="O21" s="11" t="inlineStr"/>
    </row>
    <row r="22">
      <c r="A22" s="11" t="inlineStr">
        <is>
          <t>753 | 2025-12-15 | 45,900 | consignacion credibanco d e
791 | 2025-12-15 | -300 | credibanco d e retefuente voucher y</t>
        </is>
      </c>
      <c r="B22" s="11" t="inlineStr">
        <is>
          <t>142 | 2025-12-15 | 45,600 | a cruz garces manuel</t>
        </is>
      </c>
      <c r="C22" s="13" t="n">
        <v>0</v>
      </c>
      <c r="D22" s="11" t="inlineStr">
        <is>
          <t>por revisar</t>
        </is>
      </c>
      <c r="E22" s="11">
        <f>IF(D22&lt;&gt;"conciliado","Pendiente",IF(C22&lt;&gt;0,"ERROR: diferencia distinta de cero",IF(OR(AND(J22&lt;&gt;"",SUM(COUNTIFS($D$2:$D$48,"conciliado",$J$2:$J$48,J22),COUNTIFS($D$2:$D$48,"conciliado",$K$2:$K$48,J22),COUNTIFS($D$2:$D$48,"conciliado",$L$2:$L$48,J22))&gt;1),AND(K22&lt;&gt;"",SUM(COUNTIFS($D$2:$D$48,"conciliado",$J$2:$J$48,K22),COUNTIFS($D$2:$D$48,"conciliado",$K$2:$K$48,K22),COUNTIFS($D$2:$D$48,"conciliado",$L$2:$L$48,K22))&gt;1),AND(L22&lt;&gt;"",SUM(COUNTIFS($D$2:$D$48,"conciliado",$J$2:$J$48,L22),COUNTIFS($D$2:$D$48,"conciliado",$K$2:$K$48,L22),COUNTIFS($D$2:$D$48,"conciliado",$L$2:$L$48,L22))&gt;1)),"ERROR: banco ya usado en otro compuesto conciliado",IF(OR(AND(M22&lt;&gt;"",SUM(COUNTIFS($D$2:$D$48,"conciliado",$M$2:$M$48,M22),COUNTIFS($D$2:$D$48,"conciliado",$N$2:$N$48,M22),COUNTIFS($D$2:$D$48,"conciliado",$O$2:$O$48,M22))&gt;1),AND(N22&lt;&gt;"",SUM(COUNTIFS($D$2:$D$48,"conciliado",$M$2:$M$48,N22),COUNTIFS($D$2:$D$48,"conciliado",$N$2:$N$48,N22),COUNTIFS($D$2:$D$48,"conciliado",$O$2:$O$48,N22))&gt;1),AND(O22&lt;&gt;"",SUM(COUNTIFS($D$2:$D$48,"conciliado",$M$2:$M$48,O22),COUNTIFS($D$2:$D$48,"conciliado",$N$2:$N$48,O22),COUNTIFS($D$2:$D$48,"conciliado",$O$2:$O$48,O22))&gt;1)),"ERROR: libro_aux ya usado en otro compuesto conciliado","OK"))))</f>
        <v/>
      </c>
      <c r="F22" s="11" t="inlineStr">
        <is>
          <t>Posible compuesto detectado por suma exacta en la misma fecha. Revisar antes de conciliar.</t>
        </is>
      </c>
      <c r="G22" s="11" t="inlineStr"/>
      <c r="H22" s="11" t="inlineStr">
        <is>
          <t>753, 791</t>
        </is>
      </c>
      <c r="I22" s="11" t="inlineStr">
        <is>
          <t>142</t>
        </is>
      </c>
      <c r="J22" s="11" t="n">
        <v>753</v>
      </c>
      <c r="K22" s="11" t="n">
        <v>791</v>
      </c>
      <c r="L22" s="11" t="inlineStr"/>
      <c r="M22" s="11" t="n">
        <v>142</v>
      </c>
      <c r="N22" s="11" t="inlineStr"/>
      <c r="O22" s="11" t="inlineStr"/>
    </row>
    <row r="23">
      <c r="A23" s="11" t="inlineStr">
        <is>
          <t>738 | 2025-12-15 | 70,800 | consignacion credibanco d e
773 | 2025-12-15 | 26,500 | consignacion credibanco d e
791 | 2025-12-15 | -300 | credibanco d e retefuente voucher y</t>
        </is>
      </c>
      <c r="B23" s="11" t="inlineStr">
        <is>
          <t>150 | 2025-12-15 | 97,000 | hernandez lopez paol</t>
        </is>
      </c>
      <c r="C23" s="13" t="n">
        <v>0</v>
      </c>
      <c r="D23" s="11" t="inlineStr">
        <is>
          <t>por revisar</t>
        </is>
      </c>
      <c r="E23" s="11">
        <f>IF(D23&lt;&gt;"conciliado","Pendiente",IF(C23&lt;&gt;0,"ERROR: diferencia distinta de cero",IF(OR(AND(J23&lt;&gt;"",SUM(COUNTIFS($D$2:$D$48,"conciliado",$J$2:$J$48,J23),COUNTIFS($D$2:$D$48,"conciliado",$K$2:$K$48,J23),COUNTIFS($D$2:$D$48,"conciliado",$L$2:$L$48,J23))&gt;1),AND(K23&lt;&gt;"",SUM(COUNTIFS($D$2:$D$48,"conciliado",$J$2:$J$48,K23),COUNTIFS($D$2:$D$48,"conciliado",$K$2:$K$48,K23),COUNTIFS($D$2:$D$48,"conciliado",$L$2:$L$48,K23))&gt;1),AND(L23&lt;&gt;"",SUM(COUNTIFS($D$2:$D$48,"conciliado",$J$2:$J$48,L23),COUNTIFS($D$2:$D$48,"conciliado",$K$2:$K$48,L23),COUNTIFS($D$2:$D$48,"conciliado",$L$2:$L$48,L23))&gt;1)),"ERROR: banco ya usado en otro compuesto conciliado",IF(OR(AND(M23&lt;&gt;"",SUM(COUNTIFS($D$2:$D$48,"conciliado",$M$2:$M$48,M23),COUNTIFS($D$2:$D$48,"conciliado",$N$2:$N$48,M23),COUNTIFS($D$2:$D$48,"conciliado",$O$2:$O$48,M23))&gt;1),AND(N23&lt;&gt;"",SUM(COUNTIFS($D$2:$D$48,"conciliado",$M$2:$M$48,N23),COUNTIFS($D$2:$D$48,"conciliado",$N$2:$N$48,N23),COUNTIFS($D$2:$D$48,"conciliado",$O$2:$O$48,N23))&gt;1),AND(O23&lt;&gt;"",SUM(COUNTIFS($D$2:$D$48,"conciliado",$M$2:$M$48,O23),COUNTIFS($D$2:$D$48,"conciliado",$N$2:$N$48,O23),COUNTIFS($D$2:$D$48,"conciliado",$O$2:$O$48,O23))&gt;1)),"ERROR: libro_aux ya usado en otro compuesto conciliado","OK"))))</f>
        <v/>
      </c>
      <c r="F23" s="11" t="inlineStr">
        <is>
          <t>Posible compuesto detectado por suma exacta en la misma fecha. Revisar antes de conciliar.</t>
        </is>
      </c>
      <c r="G23" s="11" t="inlineStr"/>
      <c r="H23" s="11" t="inlineStr">
        <is>
          <t>738, 773, 791</t>
        </is>
      </c>
      <c r="I23" s="11" t="inlineStr">
        <is>
          <t>150</t>
        </is>
      </c>
      <c r="J23" s="11" t="n">
        <v>738</v>
      </c>
      <c r="K23" s="11" t="n">
        <v>773</v>
      </c>
      <c r="L23" s="11" t="n">
        <v>791</v>
      </c>
      <c r="M23" s="11" t="n">
        <v>150</v>
      </c>
      <c r="N23" s="11" t="inlineStr"/>
      <c r="O23" s="11" t="inlineStr"/>
    </row>
    <row r="24">
      <c r="A24" s="11" t="inlineStr">
        <is>
          <t>1117 | 2025-12-22 | -1,020 | credibanco d e retefuente voucher y
1119 | 2025-12-22 | 71,100 | consignacion credibanco d e
1142 | 2025-12-22 | -13,580 | credibanco d e retefuente voucher y</t>
        </is>
      </c>
      <c r="B24" s="11" t="inlineStr">
        <is>
          <t>240 | 2025-12-22 | 56,500 | cuartas egas sandra</t>
        </is>
      </c>
      <c r="C24" s="13" t="n">
        <v>0</v>
      </c>
      <c r="D24" s="11" t="inlineStr">
        <is>
          <t>por revisar</t>
        </is>
      </c>
      <c r="E24" s="11">
        <f>IF(D24&lt;&gt;"conciliado","Pendiente",IF(C24&lt;&gt;0,"ERROR: diferencia distinta de cero",IF(OR(AND(J24&lt;&gt;"",SUM(COUNTIFS($D$2:$D$48,"conciliado",$J$2:$J$48,J24),COUNTIFS($D$2:$D$48,"conciliado",$K$2:$K$48,J24),COUNTIFS($D$2:$D$48,"conciliado",$L$2:$L$48,J24))&gt;1),AND(K24&lt;&gt;"",SUM(COUNTIFS($D$2:$D$48,"conciliado",$J$2:$J$48,K24),COUNTIFS($D$2:$D$48,"conciliado",$K$2:$K$48,K24),COUNTIFS($D$2:$D$48,"conciliado",$L$2:$L$48,K24))&gt;1),AND(L24&lt;&gt;"",SUM(COUNTIFS($D$2:$D$48,"conciliado",$J$2:$J$48,L24),COUNTIFS($D$2:$D$48,"conciliado",$K$2:$K$48,L24),COUNTIFS($D$2:$D$48,"conciliado",$L$2:$L$48,L24))&gt;1)),"ERROR: banco ya usado en otro compuesto conciliado",IF(OR(AND(M24&lt;&gt;"",SUM(COUNTIFS($D$2:$D$48,"conciliado",$M$2:$M$48,M24),COUNTIFS($D$2:$D$48,"conciliado",$N$2:$N$48,M24),COUNTIFS($D$2:$D$48,"conciliado",$O$2:$O$48,M24))&gt;1),AND(N24&lt;&gt;"",SUM(COUNTIFS($D$2:$D$48,"conciliado",$M$2:$M$48,N24),COUNTIFS($D$2:$D$48,"conciliado",$N$2:$N$48,N24),COUNTIFS($D$2:$D$48,"conciliado",$O$2:$O$48,N24))&gt;1),AND(O24&lt;&gt;"",SUM(COUNTIFS($D$2:$D$48,"conciliado",$M$2:$M$48,O24),COUNTIFS($D$2:$D$48,"conciliado",$N$2:$N$48,O24),COUNTIFS($D$2:$D$48,"conciliado",$O$2:$O$48,O24))&gt;1)),"ERROR: libro_aux ya usado en otro compuesto conciliado","OK"))))</f>
        <v/>
      </c>
      <c r="F24" s="11" t="inlineStr">
        <is>
          <t>Posible compuesto detectado por suma exacta en la misma fecha. Revisar antes de conciliar.</t>
        </is>
      </c>
      <c r="G24" s="11" t="inlineStr"/>
      <c r="H24" s="11" t="inlineStr">
        <is>
          <t>1117, 1119, 1142</t>
        </is>
      </c>
      <c r="I24" s="11" t="inlineStr">
        <is>
          <t>240</t>
        </is>
      </c>
      <c r="J24" s="11" t="n">
        <v>1117</v>
      </c>
      <c r="K24" s="11" t="n">
        <v>1119</v>
      </c>
      <c r="L24" s="11" t="n">
        <v>1142</v>
      </c>
      <c r="M24" s="11" t="n">
        <v>240</v>
      </c>
      <c r="N24" s="11" t="inlineStr"/>
      <c r="O24" s="11" t="inlineStr"/>
    </row>
    <row r="25">
      <c r="A25" s="11" t="inlineStr">
        <is>
          <t>1561 | 2025-12-26 | 60,000 | consignacion credibanco d e
1564 | 2025-12-26 | -900 | credibanco d e retefuente voucher y
1589 | 2025-12-26 | -2,600 | credibanco d e retefuente voucher y</t>
        </is>
      </c>
      <c r="B25" s="11" t="inlineStr">
        <is>
          <t>307 | 2025-12-26 | 56,500 | aislamiento mantenim</t>
        </is>
      </c>
      <c r="C25" s="13" t="n">
        <v>0</v>
      </c>
      <c r="D25" s="11" t="inlineStr">
        <is>
          <t>por revisar</t>
        </is>
      </c>
      <c r="E25" s="11">
        <f>IF(D25&lt;&gt;"conciliado","Pendiente",IF(C25&lt;&gt;0,"ERROR: diferencia distinta de cero",IF(OR(AND(J25&lt;&gt;"",SUM(COUNTIFS($D$2:$D$48,"conciliado",$J$2:$J$48,J25),COUNTIFS($D$2:$D$48,"conciliado",$K$2:$K$48,J25),COUNTIFS($D$2:$D$48,"conciliado",$L$2:$L$48,J25))&gt;1),AND(K25&lt;&gt;"",SUM(COUNTIFS($D$2:$D$48,"conciliado",$J$2:$J$48,K25),COUNTIFS($D$2:$D$48,"conciliado",$K$2:$K$48,K25),COUNTIFS($D$2:$D$48,"conciliado",$L$2:$L$48,K25))&gt;1),AND(L25&lt;&gt;"",SUM(COUNTIFS($D$2:$D$48,"conciliado",$J$2:$J$48,L25),COUNTIFS($D$2:$D$48,"conciliado",$K$2:$K$48,L25),COUNTIFS($D$2:$D$48,"conciliado",$L$2:$L$48,L25))&gt;1)),"ERROR: banco ya usado en otro compuesto conciliado",IF(OR(AND(M25&lt;&gt;"",SUM(COUNTIFS($D$2:$D$48,"conciliado",$M$2:$M$48,M25),COUNTIFS($D$2:$D$48,"conciliado",$N$2:$N$48,M25),COUNTIFS($D$2:$D$48,"conciliado",$O$2:$O$48,M25))&gt;1),AND(N25&lt;&gt;"",SUM(COUNTIFS($D$2:$D$48,"conciliado",$M$2:$M$48,N25),COUNTIFS($D$2:$D$48,"conciliado",$N$2:$N$48,N25),COUNTIFS($D$2:$D$48,"conciliado",$O$2:$O$48,N25))&gt;1),AND(O25&lt;&gt;"",SUM(COUNTIFS($D$2:$D$48,"conciliado",$M$2:$M$48,O25),COUNTIFS($D$2:$D$48,"conciliado",$N$2:$N$48,O25),COUNTIFS($D$2:$D$48,"conciliado",$O$2:$O$48,O25))&gt;1)),"ERROR: libro_aux ya usado en otro compuesto conciliado","OK"))))</f>
        <v/>
      </c>
      <c r="F25" s="11" t="inlineStr">
        <is>
          <t>Posible compuesto detectado por suma exacta en la misma fecha. Revisar antes de conciliar.</t>
        </is>
      </c>
      <c r="G25" s="11" t="inlineStr"/>
      <c r="H25" s="11" t="inlineStr">
        <is>
          <t>1561, 1564, 1589</t>
        </is>
      </c>
      <c r="I25" s="11" t="inlineStr">
        <is>
          <t>307</t>
        </is>
      </c>
      <c r="J25" s="11" t="n">
        <v>1561</v>
      </c>
      <c r="K25" s="11" t="n">
        <v>1564</v>
      </c>
      <c r="L25" s="11" t="n">
        <v>1589</v>
      </c>
      <c r="M25" s="11" t="n">
        <v>307</v>
      </c>
      <c r="N25" s="11" t="inlineStr"/>
      <c r="O25" s="11" t="inlineStr"/>
    </row>
    <row r="26">
      <c r="A26" s="11" t="inlineStr">
        <is>
          <t>1894 | 2025-12-30 | -519 | credibanco d e retefuente voucher y
1901 | 2025-12-30 | 47,000 | consignacion credibanco d e
1948 | 2025-12-30 | -25,181 | a financiero gravamen movimiento</t>
        </is>
      </c>
      <c r="B26" s="11" t="inlineStr">
        <is>
          <t>366 | 2025-12-30 | 21,300 | barrera garcia harol</t>
        </is>
      </c>
      <c r="C26" s="13" t="n">
        <v>0</v>
      </c>
      <c r="D26" s="11" t="inlineStr">
        <is>
          <t>por revisar</t>
        </is>
      </c>
      <c r="E26" s="11">
        <f>IF(D26&lt;&gt;"conciliado","Pendiente",IF(C26&lt;&gt;0,"ERROR: diferencia distinta de cero",IF(OR(AND(J26&lt;&gt;"",SUM(COUNTIFS($D$2:$D$48,"conciliado",$J$2:$J$48,J26),COUNTIFS($D$2:$D$48,"conciliado",$K$2:$K$48,J26),COUNTIFS($D$2:$D$48,"conciliado",$L$2:$L$48,J26))&gt;1),AND(K26&lt;&gt;"",SUM(COUNTIFS($D$2:$D$48,"conciliado",$J$2:$J$48,K26),COUNTIFS($D$2:$D$48,"conciliado",$K$2:$K$48,K26),COUNTIFS($D$2:$D$48,"conciliado",$L$2:$L$48,K26))&gt;1),AND(L26&lt;&gt;"",SUM(COUNTIFS($D$2:$D$48,"conciliado",$J$2:$J$48,L26),COUNTIFS($D$2:$D$48,"conciliado",$K$2:$K$48,L26),COUNTIFS($D$2:$D$48,"conciliado",$L$2:$L$48,L26))&gt;1)),"ERROR: banco ya usado en otro compuesto conciliado",IF(OR(AND(M26&lt;&gt;"",SUM(COUNTIFS($D$2:$D$48,"conciliado",$M$2:$M$48,M26),COUNTIFS($D$2:$D$48,"conciliado",$N$2:$N$48,M26),COUNTIFS($D$2:$D$48,"conciliado",$O$2:$O$48,M26))&gt;1),AND(N26&lt;&gt;"",SUM(COUNTIFS($D$2:$D$48,"conciliado",$M$2:$M$48,N26),COUNTIFS($D$2:$D$48,"conciliado",$N$2:$N$48,N26),COUNTIFS($D$2:$D$48,"conciliado",$O$2:$O$48,N26))&gt;1),AND(O26&lt;&gt;"",SUM(COUNTIFS($D$2:$D$48,"conciliado",$M$2:$M$48,O26),COUNTIFS($D$2:$D$48,"conciliado",$N$2:$N$48,O26),COUNTIFS($D$2:$D$48,"conciliado",$O$2:$O$48,O26))&gt;1)),"ERROR: libro_aux ya usado en otro compuesto conciliado","OK"))))</f>
        <v/>
      </c>
      <c r="F26" s="11" t="inlineStr">
        <is>
          <t>Posible compuesto detectado por suma exacta en la misma fecha. Revisar antes de conciliar.</t>
        </is>
      </c>
      <c r="G26" s="11" t="inlineStr"/>
      <c r="H26" s="11" t="inlineStr">
        <is>
          <t>1894, 1901, 1948</t>
        </is>
      </c>
      <c r="I26" s="11" t="inlineStr">
        <is>
          <t>366</t>
        </is>
      </c>
      <c r="J26" s="11" t="n">
        <v>1894</v>
      </c>
      <c r="K26" s="11" t="n">
        <v>1901</v>
      </c>
      <c r="L26" s="11" t="n">
        <v>1948</v>
      </c>
      <c r="M26" s="11" t="n">
        <v>366</v>
      </c>
      <c r="N26" s="11" t="inlineStr"/>
      <c r="O26" s="11" t="inlineStr"/>
    </row>
    <row r="27">
      <c r="A27" s="11" t="inlineStr">
        <is>
          <t>11 | 2025-12-01 | 48,700 | consignacion credibanco d e
79 | 2025-12-01 | -5,418 | credibanco d e retefuente voucher y
107 | 2025-12-01 | -517 | cobro comision depositos electronicos</t>
        </is>
      </c>
      <c r="B27" s="11" t="inlineStr">
        <is>
          <t>6 | 2025-12-01 | 42,765 | gomez rene roque</t>
        </is>
      </c>
      <c r="C27" s="13" t="n">
        <v>0</v>
      </c>
      <c r="D27" s="11" t="inlineStr">
        <is>
          <t>por revisar</t>
        </is>
      </c>
      <c r="E27" s="11">
        <f>IF(D27&lt;&gt;"conciliado","Pendiente",IF(C27&lt;&gt;0,"ERROR: diferencia distinta de cero",IF(OR(AND(J27&lt;&gt;"",SUM(COUNTIFS($D$2:$D$48,"conciliado",$J$2:$J$48,J27),COUNTIFS($D$2:$D$48,"conciliado",$K$2:$K$48,J27),COUNTIFS($D$2:$D$48,"conciliado",$L$2:$L$48,J27))&gt;1),AND(K27&lt;&gt;"",SUM(COUNTIFS($D$2:$D$48,"conciliado",$J$2:$J$48,K27),COUNTIFS($D$2:$D$48,"conciliado",$K$2:$K$48,K27),COUNTIFS($D$2:$D$48,"conciliado",$L$2:$L$48,K27))&gt;1),AND(L27&lt;&gt;"",SUM(COUNTIFS($D$2:$D$48,"conciliado",$J$2:$J$48,L27),COUNTIFS($D$2:$D$48,"conciliado",$K$2:$K$48,L27),COUNTIFS($D$2:$D$48,"conciliado",$L$2:$L$48,L27))&gt;1)),"ERROR: banco ya usado en otro compuesto conciliado",IF(OR(AND(M27&lt;&gt;"",SUM(COUNTIFS($D$2:$D$48,"conciliado",$M$2:$M$48,M27),COUNTIFS($D$2:$D$48,"conciliado",$N$2:$N$48,M27),COUNTIFS($D$2:$D$48,"conciliado",$O$2:$O$48,M27))&gt;1),AND(N27&lt;&gt;"",SUM(COUNTIFS($D$2:$D$48,"conciliado",$M$2:$M$48,N27),COUNTIFS($D$2:$D$48,"conciliado",$N$2:$N$48,N27),COUNTIFS($D$2:$D$48,"conciliado",$O$2:$O$48,N27))&gt;1),AND(O27&lt;&gt;"",SUM(COUNTIFS($D$2:$D$48,"conciliado",$M$2:$M$48,O27),COUNTIFS($D$2:$D$48,"conciliado",$N$2:$N$48,O27),COUNTIFS($D$2:$D$48,"conciliado",$O$2:$O$48,O27))&gt;1)),"ERROR: libro_aux ya usado en otro compuesto conciliado","OK"))))</f>
        <v/>
      </c>
      <c r="F27" s="11" t="inlineStr">
        <is>
          <t>Posible compuesto detectado por suma exacta en la misma fecha. Revisar antes de conciliar.</t>
        </is>
      </c>
      <c r="G27" s="11" t="inlineStr"/>
      <c r="H27" s="11" t="inlineStr">
        <is>
          <t>11, 79, 107</t>
        </is>
      </c>
      <c r="I27" s="11" t="inlineStr">
        <is>
          <t>6</t>
        </is>
      </c>
      <c r="J27" s="11" t="n">
        <v>11</v>
      </c>
      <c r="K27" s="11" t="n">
        <v>79</v>
      </c>
      <c r="L27" s="11" t="n">
        <v>107</v>
      </c>
      <c r="M27" s="11" t="n">
        <v>6</v>
      </c>
      <c r="N27" s="11" t="inlineStr"/>
      <c r="O27" s="11" t="inlineStr"/>
    </row>
    <row r="28">
      <c r="A28" s="11" t="inlineStr">
        <is>
          <t>655 | 2025-12-12 | -22 | a financiero gravamen movimiento
671 | 2025-12-12 | -2,178 | credibanco d e retefuente voucher y
673 | 2025-12-12 | 73,000 | consignacion credibanco d e</t>
        </is>
      </c>
      <c r="B28" s="11" t="inlineStr">
        <is>
          <t>114 | 2025-12-12 | 70,800 | claudi diaz zandobal</t>
        </is>
      </c>
      <c r="C28" s="13" t="n">
        <v>0</v>
      </c>
      <c r="D28" s="11" t="inlineStr">
        <is>
          <t>por revisar</t>
        </is>
      </c>
      <c r="E28" s="11">
        <f>IF(D28&lt;&gt;"conciliado","Pendiente",IF(C28&lt;&gt;0,"ERROR: diferencia distinta de cero",IF(OR(AND(J28&lt;&gt;"",SUM(COUNTIFS($D$2:$D$48,"conciliado",$J$2:$J$48,J28),COUNTIFS($D$2:$D$48,"conciliado",$K$2:$K$48,J28),COUNTIFS($D$2:$D$48,"conciliado",$L$2:$L$48,J28))&gt;1),AND(K28&lt;&gt;"",SUM(COUNTIFS($D$2:$D$48,"conciliado",$J$2:$J$48,K28),COUNTIFS($D$2:$D$48,"conciliado",$K$2:$K$48,K28),COUNTIFS($D$2:$D$48,"conciliado",$L$2:$L$48,K28))&gt;1),AND(L28&lt;&gt;"",SUM(COUNTIFS($D$2:$D$48,"conciliado",$J$2:$J$48,L28),COUNTIFS($D$2:$D$48,"conciliado",$K$2:$K$48,L28),COUNTIFS($D$2:$D$48,"conciliado",$L$2:$L$48,L28))&gt;1)),"ERROR: banco ya usado en otro compuesto conciliado",IF(OR(AND(M28&lt;&gt;"",SUM(COUNTIFS($D$2:$D$48,"conciliado",$M$2:$M$48,M28),COUNTIFS($D$2:$D$48,"conciliado",$N$2:$N$48,M28),COUNTIFS($D$2:$D$48,"conciliado",$O$2:$O$48,M28))&gt;1),AND(N28&lt;&gt;"",SUM(COUNTIFS($D$2:$D$48,"conciliado",$M$2:$M$48,N28),COUNTIFS($D$2:$D$48,"conciliado",$N$2:$N$48,N28),COUNTIFS($D$2:$D$48,"conciliado",$O$2:$O$48,N28))&gt;1),AND(O28&lt;&gt;"",SUM(COUNTIFS($D$2:$D$48,"conciliado",$M$2:$M$48,O28),COUNTIFS($D$2:$D$48,"conciliado",$N$2:$N$48,O28),COUNTIFS($D$2:$D$48,"conciliado",$O$2:$O$48,O28))&gt;1)),"ERROR: libro_aux ya usado en otro compuesto conciliado","OK"))))</f>
        <v/>
      </c>
      <c r="F28" s="11" t="inlineStr">
        <is>
          <t>Posible compuesto detectado por suma exacta en la misma fecha. Revisar antes de conciliar.</t>
        </is>
      </c>
      <c r="G28" s="11" t="inlineStr"/>
      <c r="H28" s="11" t="inlineStr">
        <is>
          <t>655, 671, 673</t>
        </is>
      </c>
      <c r="I28" s="11" t="inlineStr">
        <is>
          <t>114</t>
        </is>
      </c>
      <c r="J28" s="11" t="n">
        <v>655</v>
      </c>
      <c r="K28" s="11" t="n">
        <v>671</v>
      </c>
      <c r="L28" s="11" t="n">
        <v>673</v>
      </c>
      <c r="M28" s="11" t="n">
        <v>114</v>
      </c>
      <c r="N28" s="11" t="inlineStr"/>
      <c r="O28" s="11" t="inlineStr"/>
    </row>
    <row r="29">
      <c r="A29" s="11" t="inlineStr">
        <is>
          <t>734 | 2025-12-15 | -546 | cobro comision depositos electronicos
749 | 2025-12-15 | -12,154 | cobro comision depositos electronicos
793 | 2025-12-15 | 45,300 | consignacion credibanco d e</t>
        </is>
      </c>
      <c r="B29" s="11" t="inlineStr">
        <is>
          <t>149 | 2025-12-15 | 32,600 | cano martines sebast</t>
        </is>
      </c>
      <c r="C29" s="13" t="n">
        <v>0</v>
      </c>
      <c r="D29" s="11" t="inlineStr">
        <is>
          <t>por revisar</t>
        </is>
      </c>
      <c r="E29" s="11">
        <f>IF(D29&lt;&gt;"conciliado","Pendiente",IF(C29&lt;&gt;0,"ERROR: diferencia distinta de cero",IF(OR(AND(J29&lt;&gt;"",SUM(COUNTIFS($D$2:$D$48,"conciliado",$J$2:$J$48,J29),COUNTIFS($D$2:$D$48,"conciliado",$K$2:$K$48,J29),COUNTIFS($D$2:$D$48,"conciliado",$L$2:$L$48,J29))&gt;1),AND(K29&lt;&gt;"",SUM(COUNTIFS($D$2:$D$48,"conciliado",$J$2:$J$48,K29),COUNTIFS($D$2:$D$48,"conciliado",$K$2:$K$48,K29),COUNTIFS($D$2:$D$48,"conciliado",$L$2:$L$48,K29))&gt;1),AND(L29&lt;&gt;"",SUM(COUNTIFS($D$2:$D$48,"conciliado",$J$2:$J$48,L29),COUNTIFS($D$2:$D$48,"conciliado",$K$2:$K$48,L29),COUNTIFS($D$2:$D$48,"conciliado",$L$2:$L$48,L29))&gt;1)),"ERROR: banco ya usado en otro compuesto conciliado",IF(OR(AND(M29&lt;&gt;"",SUM(COUNTIFS($D$2:$D$48,"conciliado",$M$2:$M$48,M29),COUNTIFS($D$2:$D$48,"conciliado",$N$2:$N$48,M29),COUNTIFS($D$2:$D$48,"conciliado",$O$2:$O$48,M29))&gt;1),AND(N29&lt;&gt;"",SUM(COUNTIFS($D$2:$D$48,"conciliado",$M$2:$M$48,N29),COUNTIFS($D$2:$D$48,"conciliado",$N$2:$N$48,N29),COUNTIFS($D$2:$D$48,"conciliado",$O$2:$O$48,N29))&gt;1),AND(O29&lt;&gt;"",SUM(COUNTIFS($D$2:$D$48,"conciliado",$M$2:$M$48,O29),COUNTIFS($D$2:$D$48,"conciliado",$N$2:$N$48,O29),COUNTIFS($D$2:$D$48,"conciliado",$O$2:$O$48,O29))&gt;1)),"ERROR: libro_aux ya usado en otro compuesto conciliado","OK"))))</f>
        <v/>
      </c>
      <c r="F29" s="11" t="inlineStr">
        <is>
          <t>Posible compuesto detectado por suma exacta en la misma fecha. Revisar antes de conciliar.</t>
        </is>
      </c>
      <c r="G29" s="11" t="inlineStr"/>
      <c r="H29" s="11" t="inlineStr">
        <is>
          <t>734, 749, 793</t>
        </is>
      </c>
      <c r="I29" s="11" t="inlineStr">
        <is>
          <t>149</t>
        </is>
      </c>
      <c r="J29" s="11" t="n">
        <v>734</v>
      </c>
      <c r="K29" s="11" t="n">
        <v>749</v>
      </c>
      <c r="L29" s="11" t="n">
        <v>793</v>
      </c>
      <c r="M29" s="11" t="n">
        <v>149</v>
      </c>
      <c r="N29" s="11" t="inlineStr"/>
      <c r="O29" s="11" t="inlineStr"/>
    </row>
    <row r="30">
      <c r="A30" s="11" t="inlineStr">
        <is>
          <t>915 | 2025-12-17 | 23,500 | consignacion credibanco d e
940 | 2025-12-17 | 132,500 | depositos electronicos masterca transaccion</t>
        </is>
      </c>
      <c r="B30" s="11" t="inlineStr">
        <is>
          <t>173 | 2025-12-17 | 156,000 | industriales meta</t>
        </is>
      </c>
      <c r="C30" s="13" t="n">
        <v>0</v>
      </c>
      <c r="D30" s="11" t="inlineStr">
        <is>
          <t>por revisar</t>
        </is>
      </c>
      <c r="E30" s="11">
        <f>IF(D30&lt;&gt;"conciliado","Pendiente",IF(C30&lt;&gt;0,"ERROR: diferencia distinta de cero",IF(OR(AND(J30&lt;&gt;"",SUM(COUNTIFS($D$2:$D$48,"conciliado",$J$2:$J$48,J30),COUNTIFS($D$2:$D$48,"conciliado",$K$2:$K$48,J30),COUNTIFS($D$2:$D$48,"conciliado",$L$2:$L$48,J30))&gt;1),AND(K30&lt;&gt;"",SUM(COUNTIFS($D$2:$D$48,"conciliado",$J$2:$J$48,K30),COUNTIFS($D$2:$D$48,"conciliado",$K$2:$K$48,K30),COUNTIFS($D$2:$D$48,"conciliado",$L$2:$L$48,K30))&gt;1),AND(L30&lt;&gt;"",SUM(COUNTIFS($D$2:$D$48,"conciliado",$J$2:$J$48,L30),COUNTIFS($D$2:$D$48,"conciliado",$K$2:$K$48,L30),COUNTIFS($D$2:$D$48,"conciliado",$L$2:$L$48,L30))&gt;1)),"ERROR: banco ya usado en otro compuesto conciliado",IF(OR(AND(M30&lt;&gt;"",SUM(COUNTIFS($D$2:$D$48,"conciliado",$M$2:$M$48,M30),COUNTIFS($D$2:$D$48,"conciliado",$N$2:$N$48,M30),COUNTIFS($D$2:$D$48,"conciliado",$O$2:$O$48,M30))&gt;1),AND(N30&lt;&gt;"",SUM(COUNTIFS($D$2:$D$48,"conciliado",$M$2:$M$48,N30),COUNTIFS($D$2:$D$48,"conciliado",$N$2:$N$48,N30),COUNTIFS($D$2:$D$48,"conciliado",$O$2:$O$48,N30))&gt;1),AND(O30&lt;&gt;"",SUM(COUNTIFS($D$2:$D$48,"conciliado",$M$2:$M$48,O30),COUNTIFS($D$2:$D$48,"conciliado",$N$2:$N$48,O30),COUNTIFS($D$2:$D$48,"conciliado",$O$2:$O$48,O30))&gt;1)),"ERROR: libro_aux ya usado en otro compuesto conciliado","OK"))))</f>
        <v/>
      </c>
      <c r="F30" s="11" t="inlineStr">
        <is>
          <t>Posible compuesto detectado por suma exacta en la misma fecha. Revisar antes de conciliar.</t>
        </is>
      </c>
      <c r="G30" s="11" t="inlineStr"/>
      <c r="H30" s="11" t="inlineStr">
        <is>
          <t>915, 940</t>
        </is>
      </c>
      <c r="I30" s="11" t="inlineStr">
        <is>
          <t>173</t>
        </is>
      </c>
      <c r="J30" s="11" t="n">
        <v>915</v>
      </c>
      <c r="K30" s="11" t="n">
        <v>940</v>
      </c>
      <c r="L30" s="11" t="inlineStr"/>
      <c r="M30" s="11" t="n">
        <v>173</v>
      </c>
      <c r="N30" s="11" t="inlineStr"/>
      <c r="O30" s="11" t="inlineStr"/>
    </row>
    <row r="31">
      <c r="A31" s="11" t="inlineStr">
        <is>
          <t>1431 | 2025-12-24 | 127,200 | consignacion credibanco d e
1471 | 2025-12-24 | 59,900 | consignacion credibanco d e
1487 | 2025-12-24 | -17,100 | comision depositos electronicos mastercard</t>
        </is>
      </c>
      <c r="B31" s="11" t="inlineStr">
        <is>
          <t>268 | 2025-12-24 | 170,000 | gomez karina urbina</t>
        </is>
      </c>
      <c r="C31" s="13" t="n">
        <v>0</v>
      </c>
      <c r="D31" s="11" t="inlineStr">
        <is>
          <t>por revisar</t>
        </is>
      </c>
      <c r="E31" s="11">
        <f>IF(D31&lt;&gt;"conciliado","Pendiente",IF(C31&lt;&gt;0,"ERROR: diferencia distinta de cero",IF(OR(AND(J31&lt;&gt;"",SUM(COUNTIFS($D$2:$D$48,"conciliado",$J$2:$J$48,J31),COUNTIFS($D$2:$D$48,"conciliado",$K$2:$K$48,J31),COUNTIFS($D$2:$D$48,"conciliado",$L$2:$L$48,J31))&gt;1),AND(K31&lt;&gt;"",SUM(COUNTIFS($D$2:$D$48,"conciliado",$J$2:$J$48,K31),COUNTIFS($D$2:$D$48,"conciliado",$K$2:$K$48,K31),COUNTIFS($D$2:$D$48,"conciliado",$L$2:$L$48,K31))&gt;1),AND(L31&lt;&gt;"",SUM(COUNTIFS($D$2:$D$48,"conciliado",$J$2:$J$48,L31),COUNTIFS($D$2:$D$48,"conciliado",$K$2:$K$48,L31),COUNTIFS($D$2:$D$48,"conciliado",$L$2:$L$48,L31))&gt;1)),"ERROR: banco ya usado en otro compuesto conciliado",IF(OR(AND(M31&lt;&gt;"",SUM(COUNTIFS($D$2:$D$48,"conciliado",$M$2:$M$48,M31),COUNTIFS($D$2:$D$48,"conciliado",$N$2:$N$48,M31),COUNTIFS($D$2:$D$48,"conciliado",$O$2:$O$48,M31))&gt;1),AND(N31&lt;&gt;"",SUM(COUNTIFS($D$2:$D$48,"conciliado",$M$2:$M$48,N31),COUNTIFS($D$2:$D$48,"conciliado",$N$2:$N$48,N31),COUNTIFS($D$2:$D$48,"conciliado",$O$2:$O$48,N31))&gt;1),AND(O31&lt;&gt;"",SUM(COUNTIFS($D$2:$D$48,"conciliado",$M$2:$M$48,O31),COUNTIFS($D$2:$D$48,"conciliado",$N$2:$N$48,O31),COUNTIFS($D$2:$D$48,"conciliado",$O$2:$O$48,O31))&gt;1)),"ERROR: libro_aux ya usado en otro compuesto conciliado","OK"))))</f>
        <v/>
      </c>
      <c r="F31" s="11" t="inlineStr">
        <is>
          <t>Posible compuesto detectado por suma exacta en la misma fecha. Revisar antes de conciliar.</t>
        </is>
      </c>
      <c r="G31" s="11" t="inlineStr"/>
      <c r="H31" s="11" t="inlineStr">
        <is>
          <t>1431, 1471, 1487</t>
        </is>
      </c>
      <c r="I31" s="11" t="inlineStr">
        <is>
          <t>268</t>
        </is>
      </c>
      <c r="J31" s="11" t="n">
        <v>1431</v>
      </c>
      <c r="K31" s="11" t="n">
        <v>1471</v>
      </c>
      <c r="L31" s="11" t="n">
        <v>1487</v>
      </c>
      <c r="M31" s="11" t="n">
        <v>268</v>
      </c>
      <c r="N31" s="11" t="inlineStr"/>
      <c r="O31" s="11" t="inlineStr"/>
    </row>
    <row r="32">
      <c r="A32" s="11" t="inlineStr">
        <is>
          <t>1462 | 2025-12-24 | -453 | cobro comision depositos electronicos
1469 | 2025-12-24 | -359 | credibanco d e retefuente voucher y
1481 | 2025-12-24 | 43,500 | depositos electronicos masterca transaccion</t>
        </is>
      </c>
      <c r="B32" s="11" t="inlineStr">
        <is>
          <t>269 | 2025-12-24 | 42,688 | buelvas diaz jose mi</t>
        </is>
      </c>
      <c r="C32" s="13" t="n">
        <v>0</v>
      </c>
      <c r="D32" s="11" t="inlineStr">
        <is>
          <t>por revisar</t>
        </is>
      </c>
      <c r="E32" s="11">
        <f>IF(D32&lt;&gt;"conciliado","Pendiente",IF(C32&lt;&gt;0,"ERROR: diferencia distinta de cero",IF(OR(AND(J32&lt;&gt;"",SUM(COUNTIFS($D$2:$D$48,"conciliado",$J$2:$J$48,J32),COUNTIFS($D$2:$D$48,"conciliado",$K$2:$K$48,J32),COUNTIFS($D$2:$D$48,"conciliado",$L$2:$L$48,J32))&gt;1),AND(K32&lt;&gt;"",SUM(COUNTIFS($D$2:$D$48,"conciliado",$J$2:$J$48,K32),COUNTIFS($D$2:$D$48,"conciliado",$K$2:$K$48,K32),COUNTIFS($D$2:$D$48,"conciliado",$L$2:$L$48,K32))&gt;1),AND(L32&lt;&gt;"",SUM(COUNTIFS($D$2:$D$48,"conciliado",$J$2:$J$48,L32),COUNTIFS($D$2:$D$48,"conciliado",$K$2:$K$48,L32),COUNTIFS($D$2:$D$48,"conciliado",$L$2:$L$48,L32))&gt;1)),"ERROR: banco ya usado en otro compuesto conciliado",IF(OR(AND(M32&lt;&gt;"",SUM(COUNTIFS($D$2:$D$48,"conciliado",$M$2:$M$48,M32),COUNTIFS($D$2:$D$48,"conciliado",$N$2:$N$48,M32),COUNTIFS($D$2:$D$48,"conciliado",$O$2:$O$48,M32))&gt;1),AND(N32&lt;&gt;"",SUM(COUNTIFS($D$2:$D$48,"conciliado",$M$2:$M$48,N32),COUNTIFS($D$2:$D$48,"conciliado",$N$2:$N$48,N32),COUNTIFS($D$2:$D$48,"conciliado",$O$2:$O$48,N32))&gt;1),AND(O32&lt;&gt;"",SUM(COUNTIFS($D$2:$D$48,"conciliado",$M$2:$M$48,O32),COUNTIFS($D$2:$D$48,"conciliado",$N$2:$N$48,O32),COUNTIFS($D$2:$D$48,"conciliado",$O$2:$O$48,O32))&gt;1)),"ERROR: libro_aux ya usado en otro compuesto conciliado","OK"))))</f>
        <v/>
      </c>
      <c r="F32" s="11" t="inlineStr">
        <is>
          <t>Posible compuesto detectado por suma exacta en la misma fecha. Revisar antes de conciliar.</t>
        </is>
      </c>
      <c r="G32" s="11" t="inlineStr"/>
      <c r="H32" s="11" t="inlineStr">
        <is>
          <t>1462, 1469, 1481</t>
        </is>
      </c>
      <c r="I32" s="11" t="inlineStr">
        <is>
          <t>269</t>
        </is>
      </c>
      <c r="J32" s="11" t="n">
        <v>1462</v>
      </c>
      <c r="K32" s="11" t="n">
        <v>1469</v>
      </c>
      <c r="L32" s="11" t="n">
        <v>1481</v>
      </c>
      <c r="M32" s="11" t="n">
        <v>269</v>
      </c>
      <c r="N32" s="11" t="inlineStr"/>
      <c r="O32" s="11" t="inlineStr"/>
    </row>
    <row r="33">
      <c r="A33" s="11" t="inlineStr">
        <is>
          <t>1526 | 2025-12-26 | 23,700 | consignacion credibanco d e
1586 | 2025-12-26 | 173,300 | consignacion credibanco d e
1661 | 2025-12-26 | 135,000 | depositos electronicos masterca transaccion</t>
        </is>
      </c>
      <c r="B33" s="11" t="inlineStr">
        <is>
          <t>302 | 2025-12-26 | 332,000 | canticus delgado hei</t>
        </is>
      </c>
      <c r="C33" s="13" t="n">
        <v>0</v>
      </c>
      <c r="D33" s="11" t="inlineStr">
        <is>
          <t>por revisar</t>
        </is>
      </c>
      <c r="E33" s="11">
        <f>IF(D33&lt;&gt;"conciliado","Pendiente",IF(C33&lt;&gt;0,"ERROR: diferencia distinta de cero",IF(OR(AND(J33&lt;&gt;"",SUM(COUNTIFS($D$2:$D$48,"conciliado",$J$2:$J$48,J33),COUNTIFS($D$2:$D$48,"conciliado",$K$2:$K$48,J33),COUNTIFS($D$2:$D$48,"conciliado",$L$2:$L$48,J33))&gt;1),AND(K33&lt;&gt;"",SUM(COUNTIFS($D$2:$D$48,"conciliado",$J$2:$J$48,K33),COUNTIFS($D$2:$D$48,"conciliado",$K$2:$K$48,K33),COUNTIFS($D$2:$D$48,"conciliado",$L$2:$L$48,K33))&gt;1),AND(L33&lt;&gt;"",SUM(COUNTIFS($D$2:$D$48,"conciliado",$J$2:$J$48,L33),COUNTIFS($D$2:$D$48,"conciliado",$K$2:$K$48,L33),COUNTIFS($D$2:$D$48,"conciliado",$L$2:$L$48,L33))&gt;1)),"ERROR: banco ya usado en otro compuesto conciliado",IF(OR(AND(M33&lt;&gt;"",SUM(COUNTIFS($D$2:$D$48,"conciliado",$M$2:$M$48,M33),COUNTIFS($D$2:$D$48,"conciliado",$N$2:$N$48,M33),COUNTIFS($D$2:$D$48,"conciliado",$O$2:$O$48,M33))&gt;1),AND(N33&lt;&gt;"",SUM(COUNTIFS($D$2:$D$48,"conciliado",$M$2:$M$48,N33),COUNTIFS($D$2:$D$48,"conciliado",$N$2:$N$48,N33),COUNTIFS($D$2:$D$48,"conciliado",$O$2:$O$48,N33))&gt;1),AND(O33&lt;&gt;"",SUM(COUNTIFS($D$2:$D$48,"conciliado",$M$2:$M$48,O33),COUNTIFS($D$2:$D$48,"conciliado",$N$2:$N$48,O33),COUNTIFS($D$2:$D$48,"conciliado",$O$2:$O$48,O33))&gt;1)),"ERROR: libro_aux ya usado en otro compuesto conciliado","OK"))))</f>
        <v/>
      </c>
      <c r="F33" s="11" t="inlineStr">
        <is>
          <t>Posible compuesto detectado por suma exacta en la misma fecha. Revisar antes de conciliar.</t>
        </is>
      </c>
      <c r="G33" s="11" t="inlineStr"/>
      <c r="H33" s="11" t="inlineStr">
        <is>
          <t>1526, 1586, 1661</t>
        </is>
      </c>
      <c r="I33" s="11" t="inlineStr">
        <is>
          <t>302</t>
        </is>
      </c>
      <c r="J33" s="11" t="n">
        <v>1526</v>
      </c>
      <c r="K33" s="11" t="n">
        <v>1586</v>
      </c>
      <c r="L33" s="11" t="n">
        <v>1661</v>
      </c>
      <c r="M33" s="11" t="n">
        <v>302</v>
      </c>
      <c r="N33" s="11" t="inlineStr"/>
      <c r="O33" s="11" t="inlineStr"/>
    </row>
    <row r="34">
      <c r="A34" s="11" t="inlineStr">
        <is>
          <t>593 | 2025-12-11 | 20,000 | consignacion credibanco d e
633 | 2025-12-11 | 60,700 | depositos electronicos masterca transaccion
638 | 2025-12-11 | 30,000 | depositos electronicos masterca transaccion</t>
        </is>
      </c>
      <c r="B34" s="11" t="inlineStr">
        <is>
          <t>108 | 2025-12-11 | 110,700 | gomez montenegro san</t>
        </is>
      </c>
      <c r="C34" s="13" t="n">
        <v>0</v>
      </c>
      <c r="D34" s="11" t="inlineStr">
        <is>
          <t>por revisar</t>
        </is>
      </c>
      <c r="E34" s="11">
        <f>IF(D34&lt;&gt;"conciliado","Pendiente",IF(C34&lt;&gt;0,"ERROR: diferencia distinta de cero",IF(OR(AND(J34&lt;&gt;"",SUM(COUNTIFS($D$2:$D$48,"conciliado",$J$2:$J$48,J34),COUNTIFS($D$2:$D$48,"conciliado",$K$2:$K$48,J34),COUNTIFS($D$2:$D$48,"conciliado",$L$2:$L$48,J34))&gt;1),AND(K34&lt;&gt;"",SUM(COUNTIFS($D$2:$D$48,"conciliado",$J$2:$J$48,K34),COUNTIFS($D$2:$D$48,"conciliado",$K$2:$K$48,K34),COUNTIFS($D$2:$D$48,"conciliado",$L$2:$L$48,K34))&gt;1),AND(L34&lt;&gt;"",SUM(COUNTIFS($D$2:$D$48,"conciliado",$J$2:$J$48,L34),COUNTIFS($D$2:$D$48,"conciliado",$K$2:$K$48,L34),COUNTIFS($D$2:$D$48,"conciliado",$L$2:$L$48,L34))&gt;1)),"ERROR: banco ya usado en otro compuesto conciliado",IF(OR(AND(M34&lt;&gt;"",SUM(COUNTIFS($D$2:$D$48,"conciliado",$M$2:$M$48,M34),COUNTIFS($D$2:$D$48,"conciliado",$N$2:$N$48,M34),COUNTIFS($D$2:$D$48,"conciliado",$O$2:$O$48,M34))&gt;1),AND(N34&lt;&gt;"",SUM(COUNTIFS($D$2:$D$48,"conciliado",$M$2:$M$48,N34),COUNTIFS($D$2:$D$48,"conciliado",$N$2:$N$48,N34),COUNTIFS($D$2:$D$48,"conciliado",$O$2:$O$48,N34))&gt;1),AND(O34&lt;&gt;"",SUM(COUNTIFS($D$2:$D$48,"conciliado",$M$2:$M$48,O34),COUNTIFS($D$2:$D$48,"conciliado",$N$2:$N$48,O34),COUNTIFS($D$2:$D$48,"conciliado",$O$2:$O$48,O34))&gt;1)),"ERROR: libro_aux ya usado en otro compuesto conciliado","OK"))))</f>
        <v/>
      </c>
      <c r="F34" s="11" t="inlineStr">
        <is>
          <t>Posible compuesto detectado por suma exacta en la misma fecha. Revisar antes de conciliar.</t>
        </is>
      </c>
      <c r="G34" s="11" t="inlineStr"/>
      <c r="H34" s="11" t="inlineStr">
        <is>
          <t>593, 633, 638</t>
        </is>
      </c>
      <c r="I34" s="11" t="inlineStr">
        <is>
          <t>108</t>
        </is>
      </c>
      <c r="J34" s="11" t="n">
        <v>593</v>
      </c>
      <c r="K34" s="11" t="n">
        <v>633</v>
      </c>
      <c r="L34" s="11" t="n">
        <v>638</v>
      </c>
      <c r="M34" s="11" t="n">
        <v>108</v>
      </c>
      <c r="N34" s="11" t="inlineStr"/>
      <c r="O34" s="11" t="inlineStr"/>
    </row>
    <row r="35">
      <c r="A35" s="11" t="inlineStr">
        <is>
          <t>1381 | 2025-12-23 | 42,000 | consignacion credibanco d e
1391 | 2025-12-23 | 25,900 | consignacion credibanco d e
1417 | 2025-12-23 | -23,500 | comision depositos electronicos mastercard</t>
        </is>
      </c>
      <c r="B35" s="11" t="inlineStr">
        <is>
          <t>262 | 2025-12-23 | 44,400 | alvarez mar zambrano</t>
        </is>
      </c>
      <c r="C35" s="13" t="n">
        <v>0</v>
      </c>
      <c r="D35" s="11" t="inlineStr">
        <is>
          <t>por revisar</t>
        </is>
      </c>
      <c r="E35" s="11">
        <f>IF(D35&lt;&gt;"conciliado","Pendiente",IF(C35&lt;&gt;0,"ERROR: diferencia distinta de cero",IF(OR(AND(J35&lt;&gt;"",SUM(COUNTIFS($D$2:$D$48,"conciliado",$J$2:$J$48,J35),COUNTIFS($D$2:$D$48,"conciliado",$K$2:$K$48,J35),COUNTIFS($D$2:$D$48,"conciliado",$L$2:$L$48,J35))&gt;1),AND(K35&lt;&gt;"",SUM(COUNTIFS($D$2:$D$48,"conciliado",$J$2:$J$48,K35),COUNTIFS($D$2:$D$48,"conciliado",$K$2:$K$48,K35),COUNTIFS($D$2:$D$48,"conciliado",$L$2:$L$48,K35))&gt;1),AND(L35&lt;&gt;"",SUM(COUNTIFS($D$2:$D$48,"conciliado",$J$2:$J$48,L35),COUNTIFS($D$2:$D$48,"conciliado",$K$2:$K$48,L35),COUNTIFS($D$2:$D$48,"conciliado",$L$2:$L$48,L35))&gt;1)),"ERROR: banco ya usado en otro compuesto conciliado",IF(OR(AND(M35&lt;&gt;"",SUM(COUNTIFS($D$2:$D$48,"conciliado",$M$2:$M$48,M35),COUNTIFS($D$2:$D$48,"conciliado",$N$2:$N$48,M35),COUNTIFS($D$2:$D$48,"conciliado",$O$2:$O$48,M35))&gt;1),AND(N35&lt;&gt;"",SUM(COUNTIFS($D$2:$D$48,"conciliado",$M$2:$M$48,N35),COUNTIFS($D$2:$D$48,"conciliado",$N$2:$N$48,N35),COUNTIFS($D$2:$D$48,"conciliado",$O$2:$O$48,N35))&gt;1),AND(O35&lt;&gt;"",SUM(COUNTIFS($D$2:$D$48,"conciliado",$M$2:$M$48,O35),COUNTIFS($D$2:$D$48,"conciliado",$N$2:$N$48,O35),COUNTIFS($D$2:$D$48,"conciliado",$O$2:$O$48,O35))&gt;1)),"ERROR: libro_aux ya usado en otro compuesto conciliado","OK"))))</f>
        <v/>
      </c>
      <c r="F35" s="11" t="inlineStr">
        <is>
          <t>Posible compuesto detectado por suma exacta en la misma fecha. Revisar antes de conciliar.</t>
        </is>
      </c>
      <c r="G35" s="11" t="inlineStr"/>
      <c r="H35" s="11" t="inlineStr">
        <is>
          <t>1381, 1391, 1417</t>
        </is>
      </c>
      <c r="I35" s="11" t="inlineStr">
        <is>
          <t>262</t>
        </is>
      </c>
      <c r="J35" s="11" t="n">
        <v>1381</v>
      </c>
      <c r="K35" s="11" t="n">
        <v>1391</v>
      </c>
      <c r="L35" s="11" t="n">
        <v>1417</v>
      </c>
      <c r="M35" s="11" t="n">
        <v>262</v>
      </c>
      <c r="N35" s="11" t="inlineStr"/>
      <c r="O35" s="11" t="inlineStr"/>
    </row>
    <row r="36">
      <c r="A36" s="11" t="inlineStr">
        <is>
          <t>1441 | 2025-12-24 | 28,000 | consignacion credibanco d e
1479 | 2025-12-24 | -8,946 | credibanco d e retefuente voucher y
1490 | 2025-12-24 | -54 | a financiero gravamen movimiento</t>
        </is>
      </c>
      <c r="B36" s="11" t="inlineStr">
        <is>
          <t>283 | 2025-12-24 | 19,000 | casanova m rodriguez</t>
        </is>
      </c>
      <c r="C36" s="13" t="n">
        <v>0</v>
      </c>
      <c r="D36" s="11" t="inlineStr">
        <is>
          <t>por revisar</t>
        </is>
      </c>
      <c r="E36" s="11">
        <f>IF(D36&lt;&gt;"conciliado","Pendiente",IF(C36&lt;&gt;0,"ERROR: diferencia distinta de cero",IF(OR(AND(J36&lt;&gt;"",SUM(COUNTIFS($D$2:$D$48,"conciliado",$J$2:$J$48,J36),COUNTIFS($D$2:$D$48,"conciliado",$K$2:$K$48,J36),COUNTIFS($D$2:$D$48,"conciliado",$L$2:$L$48,J36))&gt;1),AND(K36&lt;&gt;"",SUM(COUNTIFS($D$2:$D$48,"conciliado",$J$2:$J$48,K36),COUNTIFS($D$2:$D$48,"conciliado",$K$2:$K$48,K36),COUNTIFS($D$2:$D$48,"conciliado",$L$2:$L$48,K36))&gt;1),AND(L36&lt;&gt;"",SUM(COUNTIFS($D$2:$D$48,"conciliado",$J$2:$J$48,L36),COUNTIFS($D$2:$D$48,"conciliado",$K$2:$K$48,L36),COUNTIFS($D$2:$D$48,"conciliado",$L$2:$L$48,L36))&gt;1)),"ERROR: banco ya usado en otro compuesto conciliado",IF(OR(AND(M36&lt;&gt;"",SUM(COUNTIFS($D$2:$D$48,"conciliado",$M$2:$M$48,M36),COUNTIFS($D$2:$D$48,"conciliado",$N$2:$N$48,M36),COUNTIFS($D$2:$D$48,"conciliado",$O$2:$O$48,M36))&gt;1),AND(N36&lt;&gt;"",SUM(COUNTIFS($D$2:$D$48,"conciliado",$M$2:$M$48,N36),COUNTIFS($D$2:$D$48,"conciliado",$N$2:$N$48,N36),COUNTIFS($D$2:$D$48,"conciliado",$O$2:$O$48,N36))&gt;1),AND(O36&lt;&gt;"",SUM(COUNTIFS($D$2:$D$48,"conciliado",$M$2:$M$48,O36),COUNTIFS($D$2:$D$48,"conciliado",$N$2:$N$48,O36),COUNTIFS($D$2:$D$48,"conciliado",$O$2:$O$48,O36))&gt;1)),"ERROR: libro_aux ya usado en otro compuesto conciliado","OK"))))</f>
        <v/>
      </c>
      <c r="F36" s="11" t="inlineStr">
        <is>
          <t>Posible compuesto detectado por suma exacta en la misma fecha. Revisar antes de conciliar.</t>
        </is>
      </c>
      <c r="G36" s="11" t="inlineStr"/>
      <c r="H36" s="11" t="inlineStr">
        <is>
          <t>1441, 1479, 1490</t>
        </is>
      </c>
      <c r="I36" s="11" t="inlineStr">
        <is>
          <t>283</t>
        </is>
      </c>
      <c r="J36" s="11" t="n">
        <v>1441</v>
      </c>
      <c r="K36" s="11" t="n">
        <v>1479</v>
      </c>
      <c r="L36" s="11" t="n">
        <v>1490</v>
      </c>
      <c r="M36" s="11" t="n">
        <v>283</v>
      </c>
      <c r="N36" s="11" t="inlineStr"/>
      <c r="O36" s="11" t="inlineStr"/>
    </row>
    <row r="37">
      <c r="A37" s="11" t="inlineStr">
        <is>
          <t>1771 | 2025-12-29 | 22,000 | consignacion credibanco d e
1806 | 2025-12-29 | 41,460 | consignacion credibanco d e
1844 | 2025-12-29 | -7,260 | depositos electronicos mastercar retefuente</t>
        </is>
      </c>
      <c r="B37" s="11" t="inlineStr">
        <is>
          <t>341 | 2025-12-29 | 56,200 | herrera ruales victo</t>
        </is>
      </c>
      <c r="C37" s="13" t="n">
        <v>0</v>
      </c>
      <c r="D37" s="11" t="inlineStr">
        <is>
          <t>por revisar</t>
        </is>
      </c>
      <c r="E37" s="11">
        <f>IF(D37&lt;&gt;"conciliado","Pendiente",IF(C37&lt;&gt;0,"ERROR: diferencia distinta de cero",IF(OR(AND(J37&lt;&gt;"",SUM(COUNTIFS($D$2:$D$48,"conciliado",$J$2:$J$48,J37),COUNTIFS($D$2:$D$48,"conciliado",$K$2:$K$48,J37),COUNTIFS($D$2:$D$48,"conciliado",$L$2:$L$48,J37))&gt;1),AND(K37&lt;&gt;"",SUM(COUNTIFS($D$2:$D$48,"conciliado",$J$2:$J$48,K37),COUNTIFS($D$2:$D$48,"conciliado",$K$2:$K$48,K37),COUNTIFS($D$2:$D$48,"conciliado",$L$2:$L$48,K37))&gt;1),AND(L37&lt;&gt;"",SUM(COUNTIFS($D$2:$D$48,"conciliado",$J$2:$J$48,L37),COUNTIFS($D$2:$D$48,"conciliado",$K$2:$K$48,L37),COUNTIFS($D$2:$D$48,"conciliado",$L$2:$L$48,L37))&gt;1)),"ERROR: banco ya usado en otro compuesto conciliado",IF(OR(AND(M37&lt;&gt;"",SUM(COUNTIFS($D$2:$D$48,"conciliado",$M$2:$M$48,M37),COUNTIFS($D$2:$D$48,"conciliado",$N$2:$N$48,M37),COUNTIFS($D$2:$D$48,"conciliado",$O$2:$O$48,M37))&gt;1),AND(N37&lt;&gt;"",SUM(COUNTIFS($D$2:$D$48,"conciliado",$M$2:$M$48,N37),COUNTIFS($D$2:$D$48,"conciliado",$N$2:$N$48,N37),COUNTIFS($D$2:$D$48,"conciliado",$O$2:$O$48,N37))&gt;1),AND(O37&lt;&gt;"",SUM(COUNTIFS($D$2:$D$48,"conciliado",$M$2:$M$48,O37),COUNTIFS($D$2:$D$48,"conciliado",$N$2:$N$48,O37),COUNTIFS($D$2:$D$48,"conciliado",$O$2:$O$48,O37))&gt;1)),"ERROR: libro_aux ya usado en otro compuesto conciliado","OK"))))</f>
        <v/>
      </c>
      <c r="F37" s="11" t="inlineStr">
        <is>
          <t>Posible compuesto detectado por suma exacta en la misma fecha. Revisar antes de conciliar.</t>
        </is>
      </c>
      <c r="G37" s="11" t="inlineStr"/>
      <c r="H37" s="11" t="inlineStr">
        <is>
          <t>1771, 1806, 1844</t>
        </is>
      </c>
      <c r="I37" s="11" t="inlineStr">
        <is>
          <t>341</t>
        </is>
      </c>
      <c r="J37" s="11" t="n">
        <v>1771</v>
      </c>
      <c r="K37" s="11" t="n">
        <v>1806</v>
      </c>
      <c r="L37" s="11" t="n">
        <v>1844</v>
      </c>
      <c r="M37" s="11" t="n">
        <v>341</v>
      </c>
      <c r="N37" s="11" t="inlineStr"/>
      <c r="O37" s="11" t="inlineStr"/>
    </row>
    <row r="38">
      <c r="A38" s="11" t="inlineStr">
        <is>
          <t>1709 | 2025-12-29 | -2,325 | credibanco d e retefuente voucher y
1739 | 2025-12-29 | -975 | credibanco d e retefuente voucher y
1836 | 2025-12-29 | 55,400 | depositos electronicos masterca transaccion</t>
        </is>
      </c>
      <c r="B38" s="11" t="inlineStr">
        <is>
          <t>345 | 2025-12-29 | 52,100 | al enriquez yaguapaz</t>
        </is>
      </c>
      <c r="C38" s="13" t="n">
        <v>0</v>
      </c>
      <c r="D38" s="11" t="inlineStr">
        <is>
          <t>por revisar</t>
        </is>
      </c>
      <c r="E38" s="11">
        <f>IF(D38&lt;&gt;"conciliado","Pendiente",IF(C38&lt;&gt;0,"ERROR: diferencia distinta de cero",IF(OR(AND(J38&lt;&gt;"",SUM(COUNTIFS($D$2:$D$48,"conciliado",$J$2:$J$48,J38),COUNTIFS($D$2:$D$48,"conciliado",$K$2:$K$48,J38),COUNTIFS($D$2:$D$48,"conciliado",$L$2:$L$48,J38))&gt;1),AND(K38&lt;&gt;"",SUM(COUNTIFS($D$2:$D$48,"conciliado",$J$2:$J$48,K38),COUNTIFS($D$2:$D$48,"conciliado",$K$2:$K$48,K38),COUNTIFS($D$2:$D$48,"conciliado",$L$2:$L$48,K38))&gt;1),AND(L38&lt;&gt;"",SUM(COUNTIFS($D$2:$D$48,"conciliado",$J$2:$J$48,L38),COUNTIFS($D$2:$D$48,"conciliado",$K$2:$K$48,L38),COUNTIFS($D$2:$D$48,"conciliado",$L$2:$L$48,L38))&gt;1)),"ERROR: banco ya usado en otro compuesto conciliado",IF(OR(AND(M38&lt;&gt;"",SUM(COUNTIFS($D$2:$D$48,"conciliado",$M$2:$M$48,M38),COUNTIFS($D$2:$D$48,"conciliado",$N$2:$N$48,M38),COUNTIFS($D$2:$D$48,"conciliado",$O$2:$O$48,M38))&gt;1),AND(N38&lt;&gt;"",SUM(COUNTIFS($D$2:$D$48,"conciliado",$M$2:$M$48,N38),COUNTIFS($D$2:$D$48,"conciliado",$N$2:$N$48,N38),COUNTIFS($D$2:$D$48,"conciliado",$O$2:$O$48,N38))&gt;1),AND(O38&lt;&gt;"",SUM(COUNTIFS($D$2:$D$48,"conciliado",$M$2:$M$48,O38),COUNTIFS($D$2:$D$48,"conciliado",$N$2:$N$48,O38),COUNTIFS($D$2:$D$48,"conciliado",$O$2:$O$48,O38))&gt;1)),"ERROR: libro_aux ya usado en otro compuesto conciliado","OK"))))</f>
        <v/>
      </c>
      <c r="F38" s="11" t="inlineStr">
        <is>
          <t>Posible compuesto detectado por suma exacta en la misma fecha. Revisar antes de conciliar.</t>
        </is>
      </c>
      <c r="G38" s="11" t="inlineStr"/>
      <c r="H38" s="11" t="inlineStr">
        <is>
          <t>1709, 1739, 1836</t>
        </is>
      </c>
      <c r="I38" s="11" t="inlineStr">
        <is>
          <t>345</t>
        </is>
      </c>
      <c r="J38" s="11" t="n">
        <v>1709</v>
      </c>
      <c r="K38" s="11" t="n">
        <v>1739</v>
      </c>
      <c r="L38" s="11" t="n">
        <v>1836</v>
      </c>
      <c r="M38" s="11" t="n">
        <v>345</v>
      </c>
      <c r="N38" s="11" t="inlineStr"/>
      <c r="O38" s="11" t="inlineStr"/>
    </row>
    <row r="39">
      <c r="A39" s="11" t="inlineStr">
        <is>
          <t>1686 | 2025-12-29 | 41,600 | consignacion credibanco d e
1751 | 2025-12-29 | 29,900 | consignacion credibanco d e
1851 | 2025-12-29 | 39,200 | depositos electronicos masterca transaccion</t>
        </is>
      </c>
      <c r="B39" s="11" t="inlineStr">
        <is>
          <t>346 | 2025-12-29 | 110,700 | angulo rayo sofi yul</t>
        </is>
      </c>
      <c r="C39" s="13" t="n">
        <v>0</v>
      </c>
      <c r="D39" s="11" t="inlineStr">
        <is>
          <t>por revisar</t>
        </is>
      </c>
      <c r="E39" s="11">
        <f>IF(D39&lt;&gt;"conciliado","Pendiente",IF(C39&lt;&gt;0,"ERROR: diferencia distinta de cero",IF(OR(AND(J39&lt;&gt;"",SUM(COUNTIFS($D$2:$D$48,"conciliado",$J$2:$J$48,J39),COUNTIFS($D$2:$D$48,"conciliado",$K$2:$K$48,J39),COUNTIFS($D$2:$D$48,"conciliado",$L$2:$L$48,J39))&gt;1),AND(K39&lt;&gt;"",SUM(COUNTIFS($D$2:$D$48,"conciliado",$J$2:$J$48,K39),COUNTIFS($D$2:$D$48,"conciliado",$K$2:$K$48,K39),COUNTIFS($D$2:$D$48,"conciliado",$L$2:$L$48,K39))&gt;1),AND(L39&lt;&gt;"",SUM(COUNTIFS($D$2:$D$48,"conciliado",$J$2:$J$48,L39),COUNTIFS($D$2:$D$48,"conciliado",$K$2:$K$48,L39),COUNTIFS($D$2:$D$48,"conciliado",$L$2:$L$48,L39))&gt;1)),"ERROR: banco ya usado en otro compuesto conciliado",IF(OR(AND(M39&lt;&gt;"",SUM(COUNTIFS($D$2:$D$48,"conciliado",$M$2:$M$48,M39),COUNTIFS($D$2:$D$48,"conciliado",$N$2:$N$48,M39),COUNTIFS($D$2:$D$48,"conciliado",$O$2:$O$48,M39))&gt;1),AND(N39&lt;&gt;"",SUM(COUNTIFS($D$2:$D$48,"conciliado",$M$2:$M$48,N39),COUNTIFS($D$2:$D$48,"conciliado",$N$2:$N$48,N39),COUNTIFS($D$2:$D$48,"conciliado",$O$2:$O$48,N39))&gt;1),AND(O39&lt;&gt;"",SUM(COUNTIFS($D$2:$D$48,"conciliado",$M$2:$M$48,O39),COUNTIFS($D$2:$D$48,"conciliado",$N$2:$N$48,O39),COUNTIFS($D$2:$D$48,"conciliado",$O$2:$O$48,O39))&gt;1)),"ERROR: libro_aux ya usado en otro compuesto conciliado","OK"))))</f>
        <v/>
      </c>
      <c r="F39" s="11" t="inlineStr">
        <is>
          <t>Posible compuesto detectado por suma exacta en la misma fecha. Revisar antes de conciliar.</t>
        </is>
      </c>
      <c r="G39" s="11" t="inlineStr"/>
      <c r="H39" s="11" t="inlineStr">
        <is>
          <t>1686, 1751, 1851</t>
        </is>
      </c>
      <c r="I39" s="11" t="inlineStr">
        <is>
          <t>346</t>
        </is>
      </c>
      <c r="J39" s="11" t="n">
        <v>1686</v>
      </c>
      <c r="K39" s="11" t="n">
        <v>1751</v>
      </c>
      <c r="L39" s="11" t="n">
        <v>1851</v>
      </c>
      <c r="M39" s="11" t="n">
        <v>346</v>
      </c>
      <c r="N39" s="11" t="inlineStr"/>
      <c r="O39" s="11" t="inlineStr"/>
    </row>
    <row r="40">
      <c r="A40" s="11" t="inlineStr">
        <is>
          <t>1871 | 2025-12-30 | 136,600 | consignacion credibanco d e
1896 | 2025-12-30 | 119,900 | consignacion credibanco d e
1927 | 2025-12-30 | -23,500 | comision depositos electronicos mastercard</t>
        </is>
      </c>
      <c r="B40" s="11" t="inlineStr">
        <is>
          <t>360 | 2025-12-30 | 233,000 | aguirre al diaz luis</t>
        </is>
      </c>
      <c r="C40" s="13" t="n">
        <v>0</v>
      </c>
      <c r="D40" s="11" t="inlineStr">
        <is>
          <t>por revisar</t>
        </is>
      </c>
      <c r="E40" s="11">
        <f>IF(D40&lt;&gt;"conciliado","Pendiente",IF(C40&lt;&gt;0,"ERROR: diferencia distinta de cero",IF(OR(AND(J40&lt;&gt;"",SUM(COUNTIFS($D$2:$D$48,"conciliado",$J$2:$J$48,J40),COUNTIFS($D$2:$D$48,"conciliado",$K$2:$K$48,J40),COUNTIFS($D$2:$D$48,"conciliado",$L$2:$L$48,J40))&gt;1),AND(K40&lt;&gt;"",SUM(COUNTIFS($D$2:$D$48,"conciliado",$J$2:$J$48,K40),COUNTIFS($D$2:$D$48,"conciliado",$K$2:$K$48,K40),COUNTIFS($D$2:$D$48,"conciliado",$L$2:$L$48,K40))&gt;1),AND(L40&lt;&gt;"",SUM(COUNTIFS($D$2:$D$48,"conciliado",$J$2:$J$48,L40),COUNTIFS($D$2:$D$48,"conciliado",$K$2:$K$48,L40),COUNTIFS($D$2:$D$48,"conciliado",$L$2:$L$48,L40))&gt;1)),"ERROR: banco ya usado en otro compuesto conciliado",IF(OR(AND(M40&lt;&gt;"",SUM(COUNTIFS($D$2:$D$48,"conciliado",$M$2:$M$48,M40),COUNTIFS($D$2:$D$48,"conciliado",$N$2:$N$48,M40),COUNTIFS($D$2:$D$48,"conciliado",$O$2:$O$48,M40))&gt;1),AND(N40&lt;&gt;"",SUM(COUNTIFS($D$2:$D$48,"conciliado",$M$2:$M$48,N40),COUNTIFS($D$2:$D$48,"conciliado",$N$2:$N$48,N40),COUNTIFS($D$2:$D$48,"conciliado",$O$2:$O$48,N40))&gt;1),AND(O40&lt;&gt;"",SUM(COUNTIFS($D$2:$D$48,"conciliado",$M$2:$M$48,O40),COUNTIFS($D$2:$D$48,"conciliado",$N$2:$N$48,O40),COUNTIFS($D$2:$D$48,"conciliado",$O$2:$O$48,O40))&gt;1)),"ERROR: libro_aux ya usado en otro compuesto conciliado","OK"))))</f>
        <v/>
      </c>
      <c r="F40" s="11" t="inlineStr">
        <is>
          <t>Posible compuesto detectado por suma exacta en la misma fecha. Revisar antes de conciliar.</t>
        </is>
      </c>
      <c r="G40" s="11" t="inlineStr"/>
      <c r="H40" s="11" t="inlineStr">
        <is>
          <t>1871, 1896, 1927</t>
        </is>
      </c>
      <c r="I40" s="11" t="inlineStr">
        <is>
          <t>360</t>
        </is>
      </c>
      <c r="J40" s="11" t="n">
        <v>1871</v>
      </c>
      <c r="K40" s="11" t="n">
        <v>1896</v>
      </c>
      <c r="L40" s="11" t="n">
        <v>1927</v>
      </c>
      <c r="M40" s="11" t="n">
        <v>360</v>
      </c>
      <c r="N40" s="11" t="inlineStr"/>
      <c r="O40" s="11" t="inlineStr"/>
    </row>
    <row r="41">
      <c r="A41" s="11" t="inlineStr">
        <is>
          <t>1880 | 2025-12-30 | -21 | a financiero gravamen movimiento
1891 | 2025-12-30 | 34,620 | consignacion credibanco d e
1899 | 2025-12-30 | -1,799 | credibanco d e retefuente voucher y</t>
        </is>
      </c>
      <c r="B41" s="11" t="inlineStr">
        <is>
          <t>368 | 2025-12-30 | 32,800 | david marino segura</t>
        </is>
      </c>
      <c r="C41" s="13" t="n">
        <v>0</v>
      </c>
      <c r="D41" s="11" t="inlineStr">
        <is>
          <t>por revisar</t>
        </is>
      </c>
      <c r="E41" s="11">
        <f>IF(D41&lt;&gt;"conciliado","Pendiente",IF(C41&lt;&gt;0,"ERROR: diferencia distinta de cero",IF(OR(AND(J41&lt;&gt;"",SUM(COUNTIFS($D$2:$D$48,"conciliado",$J$2:$J$48,J41),COUNTIFS($D$2:$D$48,"conciliado",$K$2:$K$48,J41),COUNTIFS($D$2:$D$48,"conciliado",$L$2:$L$48,J41))&gt;1),AND(K41&lt;&gt;"",SUM(COUNTIFS($D$2:$D$48,"conciliado",$J$2:$J$48,K41),COUNTIFS($D$2:$D$48,"conciliado",$K$2:$K$48,K41),COUNTIFS($D$2:$D$48,"conciliado",$L$2:$L$48,K41))&gt;1),AND(L41&lt;&gt;"",SUM(COUNTIFS($D$2:$D$48,"conciliado",$J$2:$J$48,L41),COUNTIFS($D$2:$D$48,"conciliado",$K$2:$K$48,L41),COUNTIFS($D$2:$D$48,"conciliado",$L$2:$L$48,L41))&gt;1)),"ERROR: banco ya usado en otro compuesto conciliado",IF(OR(AND(M41&lt;&gt;"",SUM(COUNTIFS($D$2:$D$48,"conciliado",$M$2:$M$48,M41),COUNTIFS($D$2:$D$48,"conciliado",$N$2:$N$48,M41),COUNTIFS($D$2:$D$48,"conciliado",$O$2:$O$48,M41))&gt;1),AND(N41&lt;&gt;"",SUM(COUNTIFS($D$2:$D$48,"conciliado",$M$2:$M$48,N41),COUNTIFS($D$2:$D$48,"conciliado",$N$2:$N$48,N41),COUNTIFS($D$2:$D$48,"conciliado",$O$2:$O$48,N41))&gt;1),AND(O41&lt;&gt;"",SUM(COUNTIFS($D$2:$D$48,"conciliado",$M$2:$M$48,O41),COUNTIFS($D$2:$D$48,"conciliado",$N$2:$N$48,O41),COUNTIFS($D$2:$D$48,"conciliado",$O$2:$O$48,O41))&gt;1)),"ERROR: libro_aux ya usado en otro compuesto conciliado","OK"))))</f>
        <v/>
      </c>
      <c r="F41" s="11" t="inlineStr">
        <is>
          <t>Posible compuesto detectado por suma exacta en la misma fecha. Revisar antes de conciliar.</t>
        </is>
      </c>
      <c r="G41" s="11" t="inlineStr"/>
      <c r="H41" s="11" t="inlineStr">
        <is>
          <t>1880, 1891, 1899</t>
        </is>
      </c>
      <c r="I41" s="11" t="inlineStr">
        <is>
          <t>368</t>
        </is>
      </c>
      <c r="J41" s="11" t="n">
        <v>1880</v>
      </c>
      <c r="K41" s="11" t="n">
        <v>1891</v>
      </c>
      <c r="L41" s="11" t="n">
        <v>1899</v>
      </c>
      <c r="M41" s="11" t="n">
        <v>368</v>
      </c>
      <c r="N41" s="11" t="inlineStr"/>
      <c r="O41" s="11" t="inlineStr"/>
    </row>
    <row r="42">
      <c r="A42" s="11" t="inlineStr">
        <is>
          <t>668 | 2025-12-12 | 145,200 | consignacion credibanco d e</t>
        </is>
      </c>
      <c r="B42" s="11" t="inlineStr">
        <is>
          <t>116 | 2025-12-12 | 77,800 | d luis ruiz tarapuez
119 | 2025-12-12 | 67,400 | angulo cristhi gomez</t>
        </is>
      </c>
      <c r="C42" s="13" t="n">
        <v>0</v>
      </c>
      <c r="D42" s="11" t="inlineStr">
        <is>
          <t>por revisar</t>
        </is>
      </c>
      <c r="E42" s="11">
        <f>IF(D42&lt;&gt;"conciliado","Pendiente",IF(C42&lt;&gt;0,"ERROR: diferencia distinta de cero",IF(OR(AND(J42&lt;&gt;"",SUM(COUNTIFS($D$2:$D$48,"conciliado",$J$2:$J$48,J42),COUNTIFS($D$2:$D$48,"conciliado",$K$2:$K$48,J42),COUNTIFS($D$2:$D$48,"conciliado",$L$2:$L$48,J42))&gt;1),AND(K42&lt;&gt;"",SUM(COUNTIFS($D$2:$D$48,"conciliado",$J$2:$J$48,K42),COUNTIFS($D$2:$D$48,"conciliado",$K$2:$K$48,K42),COUNTIFS($D$2:$D$48,"conciliado",$L$2:$L$48,K42))&gt;1),AND(L42&lt;&gt;"",SUM(COUNTIFS($D$2:$D$48,"conciliado",$J$2:$J$48,L42),COUNTIFS($D$2:$D$48,"conciliado",$K$2:$K$48,L42),COUNTIFS($D$2:$D$48,"conciliado",$L$2:$L$48,L42))&gt;1)),"ERROR: banco ya usado en otro compuesto conciliado",IF(OR(AND(M42&lt;&gt;"",SUM(COUNTIFS($D$2:$D$48,"conciliado",$M$2:$M$48,M42),COUNTIFS($D$2:$D$48,"conciliado",$N$2:$N$48,M42),COUNTIFS($D$2:$D$48,"conciliado",$O$2:$O$48,M42))&gt;1),AND(N42&lt;&gt;"",SUM(COUNTIFS($D$2:$D$48,"conciliado",$M$2:$M$48,N42),COUNTIFS($D$2:$D$48,"conciliado",$N$2:$N$48,N42),COUNTIFS($D$2:$D$48,"conciliado",$O$2:$O$48,N42))&gt;1),AND(O42&lt;&gt;"",SUM(COUNTIFS($D$2:$D$48,"conciliado",$M$2:$M$48,O42),COUNTIFS($D$2:$D$48,"conciliado",$N$2:$N$48,O42),COUNTIFS($D$2:$D$48,"conciliado",$O$2:$O$48,O42))&gt;1)),"ERROR: libro_aux ya usado en otro compuesto conciliado","OK"))))</f>
        <v/>
      </c>
      <c r="F42" s="11" t="inlineStr">
        <is>
          <t>Posible compuesto detectado por suma exacta en la misma fecha. Revisar antes de conciliar.</t>
        </is>
      </c>
      <c r="G42" s="11" t="inlineStr"/>
      <c r="H42" s="11" t="inlineStr">
        <is>
          <t>668</t>
        </is>
      </c>
      <c r="I42" s="11" t="inlineStr">
        <is>
          <t>116, 119</t>
        </is>
      </c>
      <c r="J42" s="11" t="n">
        <v>668</v>
      </c>
      <c r="K42" s="11" t="inlineStr"/>
      <c r="L42" s="11" t="inlineStr"/>
      <c r="M42" s="11" t="n">
        <v>116</v>
      </c>
      <c r="N42" s="11" t="n">
        <v>119</v>
      </c>
      <c r="O42" s="11" t="inlineStr"/>
    </row>
    <row r="43">
      <c r="A43" s="11" t="inlineStr">
        <is>
          <t>803 | 2025-12-15 | 114,000 | depositos electronicos masterca transaccion</t>
        </is>
      </c>
      <c r="B43" s="11" t="inlineStr">
        <is>
          <t>149 | 2025-12-15 | 32,600 | cano martines sebast
147 | 2025-12-15 | 39,400 | arboleda burbano oma
146 | 2025-12-15 | 42,000 | au hector melo tobar</t>
        </is>
      </c>
      <c r="C43" s="13" t="n">
        <v>0</v>
      </c>
      <c r="D43" s="11" t="inlineStr">
        <is>
          <t>por revisar</t>
        </is>
      </c>
      <c r="E43" s="11">
        <f>IF(D43&lt;&gt;"conciliado","Pendiente",IF(C43&lt;&gt;0,"ERROR: diferencia distinta de cero",IF(OR(AND(J43&lt;&gt;"",SUM(COUNTIFS($D$2:$D$48,"conciliado",$J$2:$J$48,J43),COUNTIFS($D$2:$D$48,"conciliado",$K$2:$K$48,J43),COUNTIFS($D$2:$D$48,"conciliado",$L$2:$L$48,J43))&gt;1),AND(K43&lt;&gt;"",SUM(COUNTIFS($D$2:$D$48,"conciliado",$J$2:$J$48,K43),COUNTIFS($D$2:$D$48,"conciliado",$K$2:$K$48,K43),COUNTIFS($D$2:$D$48,"conciliado",$L$2:$L$48,K43))&gt;1),AND(L43&lt;&gt;"",SUM(COUNTIFS($D$2:$D$48,"conciliado",$J$2:$J$48,L43),COUNTIFS($D$2:$D$48,"conciliado",$K$2:$K$48,L43),COUNTIFS($D$2:$D$48,"conciliado",$L$2:$L$48,L43))&gt;1)),"ERROR: banco ya usado en otro compuesto conciliado",IF(OR(AND(M43&lt;&gt;"",SUM(COUNTIFS($D$2:$D$48,"conciliado",$M$2:$M$48,M43),COUNTIFS($D$2:$D$48,"conciliado",$N$2:$N$48,M43),COUNTIFS($D$2:$D$48,"conciliado",$O$2:$O$48,M43))&gt;1),AND(N43&lt;&gt;"",SUM(COUNTIFS($D$2:$D$48,"conciliado",$M$2:$M$48,N43),COUNTIFS($D$2:$D$48,"conciliado",$N$2:$N$48,N43),COUNTIFS($D$2:$D$48,"conciliado",$O$2:$O$48,N43))&gt;1),AND(O43&lt;&gt;"",SUM(COUNTIFS($D$2:$D$48,"conciliado",$M$2:$M$48,O43),COUNTIFS($D$2:$D$48,"conciliado",$N$2:$N$48,O43),COUNTIFS($D$2:$D$48,"conciliado",$O$2:$O$48,O43))&gt;1)),"ERROR: libro_aux ya usado en otro compuesto conciliado","OK"))))</f>
        <v/>
      </c>
      <c r="F43" s="11" t="inlineStr">
        <is>
          <t>Posible compuesto detectado por suma exacta en la misma fecha. Revisar antes de conciliar.</t>
        </is>
      </c>
      <c r="G43" s="11" t="inlineStr"/>
      <c r="H43" s="11" t="inlineStr">
        <is>
          <t>803</t>
        </is>
      </c>
      <c r="I43" s="11" t="inlineStr">
        <is>
          <t>149, 147, 146</t>
        </is>
      </c>
      <c r="J43" s="11" t="n">
        <v>803</v>
      </c>
      <c r="K43" s="11" t="inlineStr"/>
      <c r="L43" s="11" t="inlineStr"/>
      <c r="M43" s="11" t="n">
        <v>149</v>
      </c>
      <c r="N43" s="11" t="n">
        <v>147</v>
      </c>
      <c r="O43" s="11" t="n">
        <v>146</v>
      </c>
    </row>
    <row r="44">
      <c r="A44" s="11" t="inlineStr">
        <is>
          <t>972 | 2025-12-18 | 103,000 | consignacion credibanco d e</t>
        </is>
      </c>
      <c r="B44" s="11" t="inlineStr">
        <is>
          <t>184 | 2025-12-18 | 24,000 | au hector melo tobar
181 | 2025-12-18 | 65,000 | casanas cazanas jame
185 | 2025-12-18 | 14,000 | consumidor final</t>
        </is>
      </c>
      <c r="C44" s="13" t="n">
        <v>0</v>
      </c>
      <c r="D44" s="11" t="inlineStr">
        <is>
          <t>por revisar</t>
        </is>
      </c>
      <c r="E44" s="11">
        <f>IF(D44&lt;&gt;"conciliado","Pendiente",IF(C44&lt;&gt;0,"ERROR: diferencia distinta de cero",IF(OR(AND(J44&lt;&gt;"",SUM(COUNTIFS($D$2:$D$48,"conciliado",$J$2:$J$48,J44),COUNTIFS($D$2:$D$48,"conciliado",$K$2:$K$48,J44),COUNTIFS($D$2:$D$48,"conciliado",$L$2:$L$48,J44))&gt;1),AND(K44&lt;&gt;"",SUM(COUNTIFS($D$2:$D$48,"conciliado",$J$2:$J$48,K44),COUNTIFS($D$2:$D$48,"conciliado",$K$2:$K$48,K44),COUNTIFS($D$2:$D$48,"conciliado",$L$2:$L$48,K44))&gt;1),AND(L44&lt;&gt;"",SUM(COUNTIFS($D$2:$D$48,"conciliado",$J$2:$J$48,L44),COUNTIFS($D$2:$D$48,"conciliado",$K$2:$K$48,L44),COUNTIFS($D$2:$D$48,"conciliado",$L$2:$L$48,L44))&gt;1)),"ERROR: banco ya usado en otro compuesto conciliado",IF(OR(AND(M44&lt;&gt;"",SUM(COUNTIFS($D$2:$D$48,"conciliado",$M$2:$M$48,M44),COUNTIFS($D$2:$D$48,"conciliado",$N$2:$N$48,M44),COUNTIFS($D$2:$D$48,"conciliado",$O$2:$O$48,M44))&gt;1),AND(N44&lt;&gt;"",SUM(COUNTIFS($D$2:$D$48,"conciliado",$M$2:$M$48,N44),COUNTIFS($D$2:$D$48,"conciliado",$N$2:$N$48,N44),COUNTIFS($D$2:$D$48,"conciliado",$O$2:$O$48,N44))&gt;1),AND(O44&lt;&gt;"",SUM(COUNTIFS($D$2:$D$48,"conciliado",$M$2:$M$48,O44),COUNTIFS($D$2:$D$48,"conciliado",$N$2:$N$48,O44),COUNTIFS($D$2:$D$48,"conciliado",$O$2:$O$48,O44))&gt;1)),"ERROR: libro_aux ya usado en otro compuesto conciliado","OK"))))</f>
        <v/>
      </c>
      <c r="F44" s="11" t="inlineStr">
        <is>
          <t>Posible compuesto detectado por suma exacta en la misma fecha. Revisar antes de conciliar.</t>
        </is>
      </c>
      <c r="G44" s="11" t="inlineStr"/>
      <c r="H44" s="11" t="inlineStr">
        <is>
          <t>972</t>
        </is>
      </c>
      <c r="I44" s="11" t="inlineStr">
        <is>
          <t>184, 181, 185</t>
        </is>
      </c>
      <c r="J44" s="11" t="n">
        <v>972</v>
      </c>
      <c r="K44" s="11" t="inlineStr"/>
      <c r="L44" s="11" t="inlineStr"/>
      <c r="M44" s="11" t="n">
        <v>184</v>
      </c>
      <c r="N44" s="11" t="n">
        <v>181</v>
      </c>
      <c r="O44" s="11" t="n">
        <v>185</v>
      </c>
    </row>
    <row r="45">
      <c r="A45" s="11" t="inlineStr">
        <is>
          <t>997 | 2025-12-18 | 60,000 | depositos electronicos masterca transaccion</t>
        </is>
      </c>
      <c r="B45" s="11" t="inlineStr">
        <is>
          <t>180 | 2025-12-18 | 22,000 | carabali herna ocoro
184 | 2025-12-18 | 24,000 | au hector melo tobar
185 | 2025-12-18 | 14,000 | consumidor final</t>
        </is>
      </c>
      <c r="C45" s="13" t="n">
        <v>0</v>
      </c>
      <c r="D45" s="11" t="inlineStr">
        <is>
          <t>por revisar</t>
        </is>
      </c>
      <c r="E45" s="11">
        <f>IF(D45&lt;&gt;"conciliado","Pendiente",IF(C45&lt;&gt;0,"ERROR: diferencia distinta de cero",IF(OR(AND(J45&lt;&gt;"",SUM(COUNTIFS($D$2:$D$48,"conciliado",$J$2:$J$48,J45),COUNTIFS($D$2:$D$48,"conciliado",$K$2:$K$48,J45),COUNTIFS($D$2:$D$48,"conciliado",$L$2:$L$48,J45))&gt;1),AND(K45&lt;&gt;"",SUM(COUNTIFS($D$2:$D$48,"conciliado",$J$2:$J$48,K45),COUNTIFS($D$2:$D$48,"conciliado",$K$2:$K$48,K45),COUNTIFS($D$2:$D$48,"conciliado",$L$2:$L$48,K45))&gt;1),AND(L45&lt;&gt;"",SUM(COUNTIFS($D$2:$D$48,"conciliado",$J$2:$J$48,L45),COUNTIFS($D$2:$D$48,"conciliado",$K$2:$K$48,L45),COUNTIFS($D$2:$D$48,"conciliado",$L$2:$L$48,L45))&gt;1)),"ERROR: banco ya usado en otro compuesto conciliado",IF(OR(AND(M45&lt;&gt;"",SUM(COUNTIFS($D$2:$D$48,"conciliado",$M$2:$M$48,M45),COUNTIFS($D$2:$D$48,"conciliado",$N$2:$N$48,M45),COUNTIFS($D$2:$D$48,"conciliado",$O$2:$O$48,M45))&gt;1),AND(N45&lt;&gt;"",SUM(COUNTIFS($D$2:$D$48,"conciliado",$M$2:$M$48,N45),COUNTIFS($D$2:$D$48,"conciliado",$N$2:$N$48,N45),COUNTIFS($D$2:$D$48,"conciliado",$O$2:$O$48,N45))&gt;1),AND(O45&lt;&gt;"",SUM(COUNTIFS($D$2:$D$48,"conciliado",$M$2:$M$48,O45),COUNTIFS($D$2:$D$48,"conciliado",$N$2:$N$48,O45),COUNTIFS($D$2:$D$48,"conciliado",$O$2:$O$48,O45))&gt;1)),"ERROR: libro_aux ya usado en otro compuesto conciliado","OK"))))</f>
        <v/>
      </c>
      <c r="F45" s="11" t="inlineStr">
        <is>
          <t>Posible compuesto detectado por suma exacta en la misma fecha. Revisar antes de conciliar.</t>
        </is>
      </c>
      <c r="G45" s="11" t="inlineStr"/>
      <c r="H45" s="11" t="inlineStr">
        <is>
          <t>997</t>
        </is>
      </c>
      <c r="I45" s="11" t="inlineStr">
        <is>
          <t>180, 184, 185</t>
        </is>
      </c>
      <c r="J45" s="11" t="n">
        <v>997</v>
      </c>
      <c r="K45" s="11" t="inlineStr"/>
      <c r="L45" s="11" t="inlineStr"/>
      <c r="M45" s="11" t="n">
        <v>180</v>
      </c>
      <c r="N45" s="11" t="n">
        <v>184</v>
      </c>
      <c r="O45" s="11" t="n">
        <v>185</v>
      </c>
    </row>
    <row r="46">
      <c r="A46" s="11" t="inlineStr">
        <is>
          <t>1024 | 2025-12-19 | 87,800 | depositos electronicos masterca transaccion</t>
        </is>
      </c>
      <c r="B46" s="11" t="inlineStr">
        <is>
          <t>188 | 2025-12-19 | 24,600 | gaviria jenith munoz
199 | 2025-12-19 | 26,100 | championx colombi de
196 | 2025-12-19 | 37,100 | bastidas bolanos pao</t>
        </is>
      </c>
      <c r="C46" s="13" t="n">
        <v>0</v>
      </c>
      <c r="D46" s="11" t="inlineStr">
        <is>
          <t>por revisar</t>
        </is>
      </c>
      <c r="E46" s="11">
        <f>IF(D46&lt;&gt;"conciliado","Pendiente",IF(C46&lt;&gt;0,"ERROR: diferencia distinta de cero",IF(OR(AND(J46&lt;&gt;"",SUM(COUNTIFS($D$2:$D$48,"conciliado",$J$2:$J$48,J46),COUNTIFS($D$2:$D$48,"conciliado",$K$2:$K$48,J46),COUNTIFS($D$2:$D$48,"conciliado",$L$2:$L$48,J46))&gt;1),AND(K46&lt;&gt;"",SUM(COUNTIFS($D$2:$D$48,"conciliado",$J$2:$J$48,K46),COUNTIFS($D$2:$D$48,"conciliado",$K$2:$K$48,K46),COUNTIFS($D$2:$D$48,"conciliado",$L$2:$L$48,K46))&gt;1),AND(L46&lt;&gt;"",SUM(COUNTIFS($D$2:$D$48,"conciliado",$J$2:$J$48,L46),COUNTIFS($D$2:$D$48,"conciliado",$K$2:$K$48,L46),COUNTIFS($D$2:$D$48,"conciliado",$L$2:$L$48,L46))&gt;1)),"ERROR: banco ya usado en otro compuesto conciliado",IF(OR(AND(M46&lt;&gt;"",SUM(COUNTIFS($D$2:$D$48,"conciliado",$M$2:$M$48,M46),COUNTIFS($D$2:$D$48,"conciliado",$N$2:$N$48,M46),COUNTIFS($D$2:$D$48,"conciliado",$O$2:$O$48,M46))&gt;1),AND(N46&lt;&gt;"",SUM(COUNTIFS($D$2:$D$48,"conciliado",$M$2:$M$48,N46),COUNTIFS($D$2:$D$48,"conciliado",$N$2:$N$48,N46),COUNTIFS($D$2:$D$48,"conciliado",$O$2:$O$48,N46))&gt;1),AND(O46&lt;&gt;"",SUM(COUNTIFS($D$2:$D$48,"conciliado",$M$2:$M$48,O46),COUNTIFS($D$2:$D$48,"conciliado",$N$2:$N$48,O46),COUNTIFS($D$2:$D$48,"conciliado",$O$2:$O$48,O46))&gt;1)),"ERROR: libro_aux ya usado en otro compuesto conciliado","OK"))))</f>
        <v/>
      </c>
      <c r="F46" s="11" t="inlineStr">
        <is>
          <t>Posible compuesto detectado por suma exacta en la misma fecha. Revisar antes de conciliar.</t>
        </is>
      </c>
      <c r="G46" s="11" t="inlineStr"/>
      <c r="H46" s="11" t="inlineStr">
        <is>
          <t>1024</t>
        </is>
      </c>
      <c r="I46" s="11" t="inlineStr">
        <is>
          <t>188, 199, 196</t>
        </is>
      </c>
      <c r="J46" s="11" t="n">
        <v>1024</v>
      </c>
      <c r="K46" s="11" t="inlineStr"/>
      <c r="L46" s="11" t="inlineStr"/>
      <c r="M46" s="11" t="n">
        <v>188</v>
      </c>
      <c r="N46" s="11" t="n">
        <v>199</v>
      </c>
      <c r="O46" s="11" t="n">
        <v>196</v>
      </c>
    </row>
    <row r="47">
      <c r="A47" s="11" t="inlineStr">
        <is>
          <t>1234 | 2025-12-22 | 92,000 | consignacion credibanco d e</t>
        </is>
      </c>
      <c r="B47" s="11" t="inlineStr">
        <is>
          <t>236 | 2025-12-22 | 42,000 | crist mafla palacios
250 | 2025-12-22 | 50,000 | burbano s vanegas</t>
        </is>
      </c>
      <c r="C47" s="13" t="n">
        <v>0</v>
      </c>
      <c r="D47" s="11" t="inlineStr">
        <is>
          <t>por revisar</t>
        </is>
      </c>
      <c r="E47" s="11">
        <f>IF(D47&lt;&gt;"conciliado","Pendiente",IF(C47&lt;&gt;0,"ERROR: diferencia distinta de cero",IF(OR(AND(J47&lt;&gt;"",SUM(COUNTIFS($D$2:$D$48,"conciliado",$J$2:$J$48,J47),COUNTIFS($D$2:$D$48,"conciliado",$K$2:$K$48,J47),COUNTIFS($D$2:$D$48,"conciliado",$L$2:$L$48,J47))&gt;1),AND(K47&lt;&gt;"",SUM(COUNTIFS($D$2:$D$48,"conciliado",$J$2:$J$48,K47),COUNTIFS($D$2:$D$48,"conciliado",$K$2:$K$48,K47),COUNTIFS($D$2:$D$48,"conciliado",$L$2:$L$48,K47))&gt;1),AND(L47&lt;&gt;"",SUM(COUNTIFS($D$2:$D$48,"conciliado",$J$2:$J$48,L47),COUNTIFS($D$2:$D$48,"conciliado",$K$2:$K$48,L47),COUNTIFS($D$2:$D$48,"conciliado",$L$2:$L$48,L47))&gt;1)),"ERROR: banco ya usado en otro compuesto conciliado",IF(OR(AND(M47&lt;&gt;"",SUM(COUNTIFS($D$2:$D$48,"conciliado",$M$2:$M$48,M47),COUNTIFS($D$2:$D$48,"conciliado",$N$2:$N$48,M47),COUNTIFS($D$2:$D$48,"conciliado",$O$2:$O$48,M47))&gt;1),AND(N47&lt;&gt;"",SUM(COUNTIFS($D$2:$D$48,"conciliado",$M$2:$M$48,N47),COUNTIFS($D$2:$D$48,"conciliado",$N$2:$N$48,N47),COUNTIFS($D$2:$D$48,"conciliado",$O$2:$O$48,N47))&gt;1),AND(O47&lt;&gt;"",SUM(COUNTIFS($D$2:$D$48,"conciliado",$M$2:$M$48,O47),COUNTIFS($D$2:$D$48,"conciliado",$N$2:$N$48,O47),COUNTIFS($D$2:$D$48,"conciliado",$O$2:$O$48,O47))&gt;1)),"ERROR: libro_aux ya usado en otro compuesto conciliado","OK"))))</f>
        <v/>
      </c>
      <c r="F47" s="11" t="inlineStr">
        <is>
          <t>Posible compuesto detectado por suma exacta en la misma fecha. Revisar antes de conciliar.</t>
        </is>
      </c>
      <c r="G47" s="11" t="inlineStr"/>
      <c r="H47" s="11" t="inlineStr">
        <is>
          <t>1234</t>
        </is>
      </c>
      <c r="I47" s="11" t="inlineStr">
        <is>
          <t>236, 250</t>
        </is>
      </c>
      <c r="J47" s="11" t="n">
        <v>1234</v>
      </c>
      <c r="K47" s="11" t="inlineStr"/>
      <c r="L47" s="11" t="inlineStr"/>
      <c r="M47" s="11" t="n">
        <v>236</v>
      </c>
      <c r="N47" s="11" t="n">
        <v>250</v>
      </c>
      <c r="O47" s="11" t="inlineStr"/>
    </row>
    <row r="48">
      <c r="A48" s="11" t="inlineStr">
        <is>
          <t>1481 | 2025-12-24 | 43,500 | depositos electronicos masterca transaccion</t>
        </is>
      </c>
      <c r="B48" s="11" t="inlineStr">
        <is>
          <t>281 | 2025-12-24 | 23,500 | betancourt lui yepes
287 | 2025-12-24 | 20,000 | andres rueda</t>
        </is>
      </c>
      <c r="C48" s="13" t="n">
        <v>0</v>
      </c>
      <c r="D48" s="11" t="inlineStr">
        <is>
          <t>por revisar</t>
        </is>
      </c>
      <c r="E48" s="11">
        <f>IF(D48&lt;&gt;"conciliado","Pendiente",IF(C48&lt;&gt;0,"ERROR: diferencia distinta de cero",IF(OR(AND(J48&lt;&gt;"",SUM(COUNTIFS($D$2:$D$48,"conciliado",$J$2:$J$48,J48),COUNTIFS($D$2:$D$48,"conciliado",$K$2:$K$48,J48),COUNTIFS($D$2:$D$48,"conciliado",$L$2:$L$48,J48))&gt;1),AND(K48&lt;&gt;"",SUM(COUNTIFS($D$2:$D$48,"conciliado",$J$2:$J$48,K48),COUNTIFS($D$2:$D$48,"conciliado",$K$2:$K$48,K48),COUNTIFS($D$2:$D$48,"conciliado",$L$2:$L$48,K48))&gt;1),AND(L48&lt;&gt;"",SUM(COUNTIFS($D$2:$D$48,"conciliado",$J$2:$J$48,L48),COUNTIFS($D$2:$D$48,"conciliado",$K$2:$K$48,L48),COUNTIFS($D$2:$D$48,"conciliado",$L$2:$L$48,L48))&gt;1)),"ERROR: banco ya usado en otro compuesto conciliado",IF(OR(AND(M48&lt;&gt;"",SUM(COUNTIFS($D$2:$D$48,"conciliado",$M$2:$M$48,M48),COUNTIFS($D$2:$D$48,"conciliado",$N$2:$N$48,M48),COUNTIFS($D$2:$D$48,"conciliado",$O$2:$O$48,M48))&gt;1),AND(N48&lt;&gt;"",SUM(COUNTIFS($D$2:$D$48,"conciliado",$M$2:$M$48,N48),COUNTIFS($D$2:$D$48,"conciliado",$N$2:$N$48,N48),COUNTIFS($D$2:$D$48,"conciliado",$O$2:$O$48,N48))&gt;1),AND(O48&lt;&gt;"",SUM(COUNTIFS($D$2:$D$48,"conciliado",$M$2:$M$48,O48),COUNTIFS($D$2:$D$48,"conciliado",$N$2:$N$48,O48),COUNTIFS($D$2:$D$48,"conciliado",$O$2:$O$48,O48))&gt;1)),"ERROR: libro_aux ya usado en otro compuesto conciliado","OK"))))</f>
        <v/>
      </c>
      <c r="F48" s="11" t="inlineStr">
        <is>
          <t>Posible compuesto detectado por suma exacta en la misma fecha. Revisar antes de conciliar.</t>
        </is>
      </c>
      <c r="G48" s="11" t="inlineStr"/>
      <c r="H48" s="11" t="inlineStr">
        <is>
          <t>1481</t>
        </is>
      </c>
      <c r="I48" s="11" t="inlineStr">
        <is>
          <t>281, 287</t>
        </is>
      </c>
      <c r="J48" s="11" t="n">
        <v>1481</v>
      </c>
      <c r="K48" s="11" t="inlineStr"/>
      <c r="L48" s="11" t="inlineStr"/>
      <c r="M48" s="11" t="n">
        <v>281</v>
      </c>
      <c r="N48" s="11" t="n">
        <v>287</v>
      </c>
      <c r="O48" s="11" t="inlineStr"/>
    </row>
  </sheetData>
  <autoFilter ref="A1:O48"/>
  <conditionalFormatting sqref="A2:G48">
    <cfRule type="expression" priority="1" dxfId="2">
      <formula>LEFT($E2,5)="ERROR"</formula>
    </cfRule>
    <cfRule type="expression" priority="2" dxfId="0">
      <formula>AND($D2="conciliado",$E2="OK")</formula>
    </cfRule>
    <cfRule type="expression" priority="3" dxfId="1">
      <formula>$D2="por revisar"</formula>
    </cfRule>
  </conditionalFormatting>
  <conditionalFormatting sqref="E2:E48">
    <cfRule type="expression" priority="4" dxfId="3">
      <formula>$E2="Pendiente"</formula>
    </cfRule>
  </conditionalFormatting>
  <dataValidations count="1">
    <dataValidation sqref="D2:D48" showDropDown="0" showInputMessage="0" showErrorMessage="0" allowBlank="0" errorTitle="Estado inválido" error="Seleccioná conciliado o por revisar." promptTitle="Estado" prompt="Marcá conciliado solo si el compuesto fue revisado." type="list">
      <formula1>"por revisar,conciliado"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14" customWidth="1" min="4" max="4"/>
    <col width="36" customWidth="1" min="5" max="5"/>
  </cols>
  <sheetData>
    <row r="1">
      <c r="A1" s="3" t="inlineStr">
        <is>
          <t>Extractos bancarios</t>
        </is>
      </c>
      <c r="B1" s="11" t="n"/>
      <c r="C1" s="11" t="n"/>
      <c r="D1" s="11" t="n"/>
      <c r="E1" s="11" t="n"/>
    </row>
    <row r="2">
      <c r="A2" s="8" t="inlineStr">
        <is>
          <t>ID</t>
        </is>
      </c>
      <c r="B2" s="9" t="inlineStr">
        <is>
          <t>Fecha</t>
        </is>
      </c>
      <c r="C2" s="8" t="inlineStr">
        <is>
          <t>Nombre</t>
        </is>
      </c>
      <c r="D2" s="10" t="inlineStr">
        <is>
          <t>Valor</t>
        </is>
      </c>
      <c r="E2" s="8" t="inlineStr">
        <is>
          <t>Estado</t>
        </is>
      </c>
    </row>
    <row r="3">
      <c r="A3" s="11" t="n">
        <v>1</v>
      </c>
      <c r="B3" s="12" t="n">
        <v>45992</v>
      </c>
      <c r="C3" s="11" t="inlineStr">
        <is>
          <t>consignacion credibanco d e</t>
        </is>
      </c>
      <c r="D3" s="13" t="n">
        <v>120800</v>
      </c>
      <c r="E3" s="11">
        <f>IF(SUM(COUNTIFS('Conciliacion de compuestos'!$D$2:$D$48,"conciliado",'Conciliacion de compuestos'!$E$2:$E$48,"OK",'Conciliacion de compuestos'!$J$2:$J$48,A3),COUNTIFS('Conciliacion de compuestos'!$D$2:$D$48,"conciliado",'Conciliacion de compuestos'!$E$2:$E$48,"OK",'Conciliacion de compuestos'!$K$2:$K$48,A3),COUNTIFS('Conciliacion de compuestos'!$D$2:$D$48,"conciliado",'Conciliacion de compuestos'!$E$2:$E$48,"OK",'Conciliacion de compuestos'!$L$2:$L$48,A3))&gt;0,"conciliado en compuesto confirmado","disponible")</f>
        <v/>
      </c>
    </row>
    <row r="4">
      <c r="A4" s="11" t="n">
        <v>2</v>
      </c>
      <c r="B4" s="12" t="n">
        <v>45992</v>
      </c>
      <c r="C4" s="11" t="inlineStr">
        <is>
          <t>cobro comision depositos electronicos</t>
        </is>
      </c>
      <c r="D4" s="13" t="n">
        <v>-2609</v>
      </c>
      <c r="E4" s="11">
        <f>IF(SUM(COUNTIFS('Conciliacion de compuestos'!$D$2:$D$48,"conciliado",'Conciliacion de compuestos'!$E$2:$E$48,"OK",'Conciliacion de compuestos'!$J$2:$J$48,A4),COUNTIFS('Conciliacion de compuestos'!$D$2:$D$48,"conciliado",'Conciliacion de compuestos'!$E$2:$E$48,"OK",'Conciliacion de compuestos'!$K$2:$K$48,A4),COUNTIFS('Conciliacion de compuestos'!$D$2:$D$48,"conciliado",'Conciliacion de compuestos'!$E$2:$E$48,"OK",'Conciliacion de compuestos'!$L$2:$L$48,A4))&gt;0,"conciliado en compuesto confirmado","disponible")</f>
        <v/>
      </c>
    </row>
    <row r="5">
      <c r="A5" s="11" t="n">
        <v>3</v>
      </c>
      <c r="B5" s="12" t="n">
        <v>45992</v>
      </c>
      <c r="C5" s="11" t="inlineStr">
        <is>
          <t>a financiero gravamen movimiento</t>
        </is>
      </c>
      <c r="D5" s="13" t="n">
        <v>-10</v>
      </c>
      <c r="E5" s="11">
        <f>IF(SUM(COUNTIFS('Conciliacion de compuestos'!$D$2:$D$48,"conciliado",'Conciliacion de compuestos'!$E$2:$E$48,"OK",'Conciliacion de compuestos'!$J$2:$J$48,A5),COUNTIFS('Conciliacion de compuestos'!$D$2:$D$48,"conciliado",'Conciliacion de compuestos'!$E$2:$E$48,"OK",'Conciliacion de compuestos'!$K$2:$K$48,A5),COUNTIFS('Conciliacion de compuestos'!$D$2:$D$48,"conciliado",'Conciliacion de compuestos'!$E$2:$E$48,"OK",'Conciliacion de compuestos'!$L$2:$L$48,A5))&gt;0,"conciliado en compuesto confirmado","disponible")</f>
        <v/>
      </c>
    </row>
    <row r="6">
      <c r="A6" s="11" t="n">
        <v>4</v>
      </c>
      <c r="B6" s="12" t="n">
        <v>45992</v>
      </c>
      <c r="C6" s="11" t="inlineStr">
        <is>
          <t>credibanco d e retefuente voucher y</t>
        </is>
      </c>
      <c r="D6" s="13" t="n">
        <v>-1812</v>
      </c>
      <c r="E6" s="11">
        <f>IF(SUM(COUNTIFS('Conciliacion de compuestos'!$D$2:$D$48,"conciliado",'Conciliacion de compuestos'!$E$2:$E$48,"OK",'Conciliacion de compuestos'!$J$2:$J$48,A6),COUNTIFS('Conciliacion de compuestos'!$D$2:$D$48,"conciliado",'Conciliacion de compuestos'!$E$2:$E$48,"OK",'Conciliacion de compuestos'!$K$2:$K$48,A6),COUNTIFS('Conciliacion de compuestos'!$D$2:$D$48,"conciliado",'Conciliacion de compuestos'!$E$2:$E$48,"OK",'Conciliacion de compuestos'!$L$2:$L$48,A6))&gt;0,"conciliado en compuesto confirmado","disponible")</f>
        <v/>
      </c>
    </row>
    <row r="7">
      <c r="A7" s="11" t="n">
        <v>5</v>
      </c>
      <c r="B7" s="12" t="n">
        <v>45992</v>
      </c>
      <c r="C7" s="11" t="inlineStr">
        <is>
          <t>a financiero gravamen movimiento</t>
        </is>
      </c>
      <c r="D7" s="13" t="n">
        <v>-7</v>
      </c>
      <c r="E7" s="11">
        <f>IF(SUM(COUNTIFS('Conciliacion de compuestos'!$D$2:$D$48,"conciliado",'Conciliacion de compuestos'!$E$2:$E$48,"OK",'Conciliacion de compuestos'!$J$2:$J$48,A7),COUNTIFS('Conciliacion de compuestos'!$D$2:$D$48,"conciliado",'Conciliacion de compuestos'!$E$2:$E$48,"OK",'Conciliacion de compuestos'!$K$2:$K$48,A7),COUNTIFS('Conciliacion de compuestos'!$D$2:$D$48,"conciliado",'Conciliacion de compuestos'!$E$2:$E$48,"OK",'Conciliacion de compuestos'!$L$2:$L$48,A7))&gt;0,"conciliado en compuesto confirmado","disponible")</f>
        <v/>
      </c>
    </row>
    <row r="8">
      <c r="A8" s="11" t="n">
        <v>6</v>
      </c>
      <c r="B8" s="12" t="n">
        <v>45992</v>
      </c>
      <c r="C8" s="11" t="inlineStr">
        <is>
          <t>consignacion credibanco d e</t>
        </is>
      </c>
      <c r="D8" s="13" t="n">
        <v>144500</v>
      </c>
      <c r="E8" s="11">
        <f>IF(SUM(COUNTIFS('Conciliacion de compuestos'!$D$2:$D$48,"conciliado",'Conciliacion de compuestos'!$E$2:$E$48,"OK",'Conciliacion de compuestos'!$J$2:$J$48,A8),COUNTIFS('Conciliacion de compuestos'!$D$2:$D$48,"conciliado",'Conciliacion de compuestos'!$E$2:$E$48,"OK",'Conciliacion de compuestos'!$K$2:$K$48,A8),COUNTIFS('Conciliacion de compuestos'!$D$2:$D$48,"conciliado",'Conciliacion de compuestos'!$E$2:$E$48,"OK",'Conciliacion de compuestos'!$L$2:$L$48,A8))&gt;0,"conciliado en compuesto confirmado","disponible")</f>
        <v/>
      </c>
    </row>
    <row r="9">
      <c r="A9" s="11" t="n">
        <v>7</v>
      </c>
      <c r="B9" s="12" t="n">
        <v>45992</v>
      </c>
      <c r="C9" s="11" t="inlineStr">
        <is>
          <t>cobro comision depositos electronicos</t>
        </is>
      </c>
      <c r="D9" s="13" t="n">
        <v>-1170</v>
      </c>
      <c r="E9" s="11">
        <f>IF(SUM(COUNTIFS('Conciliacion de compuestos'!$D$2:$D$48,"conciliado",'Conciliacion de compuestos'!$E$2:$E$48,"OK",'Conciliacion de compuestos'!$J$2:$J$48,A9),COUNTIFS('Conciliacion de compuestos'!$D$2:$D$48,"conciliado",'Conciliacion de compuestos'!$E$2:$E$48,"OK",'Conciliacion de compuestos'!$K$2:$K$48,A9),COUNTIFS('Conciliacion de compuestos'!$D$2:$D$48,"conciliado",'Conciliacion de compuestos'!$E$2:$E$48,"OK",'Conciliacion de compuestos'!$L$2:$L$48,A9))&gt;0,"conciliado en compuesto confirmado","disponible")</f>
        <v/>
      </c>
    </row>
    <row r="10">
      <c r="A10" s="11" t="n">
        <v>8</v>
      </c>
      <c r="B10" s="12" t="n">
        <v>45992</v>
      </c>
      <c r="C10" s="11" t="inlineStr">
        <is>
          <t>a financiero gravamen movimiento</t>
        </is>
      </c>
      <c r="D10" s="13" t="n">
        <v>-5</v>
      </c>
      <c r="E10" s="11">
        <f>IF(SUM(COUNTIFS('Conciliacion de compuestos'!$D$2:$D$48,"conciliado",'Conciliacion de compuestos'!$E$2:$E$48,"OK",'Conciliacion de compuestos'!$J$2:$J$48,A10),COUNTIFS('Conciliacion de compuestos'!$D$2:$D$48,"conciliado",'Conciliacion de compuestos'!$E$2:$E$48,"OK",'Conciliacion de compuestos'!$K$2:$K$48,A10),COUNTIFS('Conciliacion de compuestos'!$D$2:$D$48,"conciliado",'Conciliacion de compuestos'!$E$2:$E$48,"OK",'Conciliacion de compuestos'!$L$2:$L$48,A10))&gt;0,"conciliado en compuesto confirmado","disponible")</f>
        <v/>
      </c>
    </row>
    <row r="11">
      <c r="A11" s="11" t="n">
        <v>9</v>
      </c>
      <c r="B11" s="12" t="n">
        <v>45992</v>
      </c>
      <c r="C11" s="11" t="inlineStr">
        <is>
          <t>credibanco d e retefuente voucher y</t>
        </is>
      </c>
      <c r="D11" s="13" t="n">
        <v>-2168</v>
      </c>
      <c r="E11" s="11">
        <f>IF(SUM(COUNTIFS('Conciliacion de compuestos'!$D$2:$D$48,"conciliado",'Conciliacion de compuestos'!$E$2:$E$48,"OK",'Conciliacion de compuestos'!$J$2:$J$48,A11),COUNTIFS('Conciliacion de compuestos'!$D$2:$D$48,"conciliado",'Conciliacion de compuestos'!$E$2:$E$48,"OK",'Conciliacion de compuestos'!$K$2:$K$48,A11),COUNTIFS('Conciliacion de compuestos'!$D$2:$D$48,"conciliado",'Conciliacion de compuestos'!$E$2:$E$48,"OK",'Conciliacion de compuestos'!$L$2:$L$48,A11))&gt;0,"conciliado en compuesto confirmado","disponible")</f>
        <v/>
      </c>
    </row>
    <row r="12">
      <c r="A12" s="11" t="n">
        <v>10</v>
      </c>
      <c r="B12" s="12" t="n">
        <v>45992</v>
      </c>
      <c r="C12" s="11" t="inlineStr">
        <is>
          <t>a financiero gravamen movimiento</t>
        </is>
      </c>
      <c r="D12" s="13" t="n">
        <v>-9</v>
      </c>
      <c r="E12" s="11">
        <f>IF(SUM(COUNTIFS('Conciliacion de compuestos'!$D$2:$D$48,"conciliado",'Conciliacion de compuestos'!$E$2:$E$48,"OK",'Conciliacion de compuestos'!$J$2:$J$48,A12),COUNTIFS('Conciliacion de compuestos'!$D$2:$D$48,"conciliado",'Conciliacion de compuestos'!$E$2:$E$48,"OK",'Conciliacion de compuestos'!$K$2:$K$48,A12),COUNTIFS('Conciliacion de compuestos'!$D$2:$D$48,"conciliado",'Conciliacion de compuestos'!$E$2:$E$48,"OK",'Conciliacion de compuestos'!$L$2:$L$48,A12))&gt;0,"conciliado en compuesto confirmado","disponible")</f>
        <v/>
      </c>
    </row>
    <row r="13">
      <c r="A13" s="11" t="n">
        <v>11</v>
      </c>
      <c r="B13" s="12" t="n">
        <v>45992</v>
      </c>
      <c r="C13" s="11" t="inlineStr">
        <is>
          <t>consignacion credibanco d e</t>
        </is>
      </c>
      <c r="D13" s="13" t="n">
        <v>48700</v>
      </c>
      <c r="E13" s="11">
        <f>IF(SUM(COUNTIFS('Conciliacion de compuestos'!$D$2:$D$48,"conciliado",'Conciliacion de compuestos'!$E$2:$E$48,"OK",'Conciliacion de compuestos'!$J$2:$J$48,A13),COUNTIFS('Conciliacion de compuestos'!$D$2:$D$48,"conciliado",'Conciliacion de compuestos'!$E$2:$E$48,"OK",'Conciliacion de compuestos'!$K$2:$K$48,A13),COUNTIFS('Conciliacion de compuestos'!$D$2:$D$48,"conciliado",'Conciliacion de compuestos'!$E$2:$E$48,"OK",'Conciliacion de compuestos'!$L$2:$L$48,A13))&gt;0,"conciliado en compuesto confirmado","disponible")</f>
        <v/>
      </c>
    </row>
    <row r="14">
      <c r="A14" s="11" t="n">
        <v>12</v>
      </c>
      <c r="B14" s="12" t="n">
        <v>45992</v>
      </c>
      <c r="C14" s="11" t="inlineStr">
        <is>
          <t>cobro comision depositos electronicos</t>
        </is>
      </c>
      <c r="D14" s="13" t="n">
        <v>-394</v>
      </c>
      <c r="E14" s="11">
        <f>IF(SUM(COUNTIFS('Conciliacion de compuestos'!$D$2:$D$48,"conciliado",'Conciliacion de compuestos'!$E$2:$E$48,"OK",'Conciliacion de compuestos'!$J$2:$J$48,A14),COUNTIFS('Conciliacion de compuestos'!$D$2:$D$48,"conciliado",'Conciliacion de compuestos'!$E$2:$E$48,"OK",'Conciliacion de compuestos'!$K$2:$K$48,A14),COUNTIFS('Conciliacion de compuestos'!$D$2:$D$48,"conciliado",'Conciliacion de compuestos'!$E$2:$E$48,"OK",'Conciliacion de compuestos'!$L$2:$L$48,A14))&gt;0,"conciliado en compuesto confirmado","disponible")</f>
        <v/>
      </c>
    </row>
    <row r="15">
      <c r="A15" s="11" t="n">
        <v>13</v>
      </c>
      <c r="B15" s="12" t="n">
        <v>45992</v>
      </c>
      <c r="C15" s="11" t="inlineStr">
        <is>
          <t>a financiero gravamen movimiento</t>
        </is>
      </c>
      <c r="D15" s="13" t="n">
        <v>-2</v>
      </c>
      <c r="E15" s="11">
        <f>IF(SUM(COUNTIFS('Conciliacion de compuestos'!$D$2:$D$48,"conciliado",'Conciliacion de compuestos'!$E$2:$E$48,"OK",'Conciliacion de compuestos'!$J$2:$J$48,A15),COUNTIFS('Conciliacion de compuestos'!$D$2:$D$48,"conciliado",'Conciliacion de compuestos'!$E$2:$E$48,"OK",'Conciliacion de compuestos'!$K$2:$K$48,A15),COUNTIFS('Conciliacion de compuestos'!$D$2:$D$48,"conciliado",'Conciliacion de compuestos'!$E$2:$E$48,"OK",'Conciliacion de compuestos'!$L$2:$L$48,A15))&gt;0,"conciliado en compuesto confirmado","disponible")</f>
        <v/>
      </c>
    </row>
    <row r="16">
      <c r="A16" s="11" t="n">
        <v>14</v>
      </c>
      <c r="B16" s="12" t="n">
        <v>45992</v>
      </c>
      <c r="C16" s="11" t="inlineStr">
        <is>
          <t>credibanco d e retefuente voucher y</t>
        </is>
      </c>
      <c r="D16" s="13" t="n">
        <v>-731</v>
      </c>
      <c r="E16" s="11">
        <f>IF(SUM(COUNTIFS('Conciliacion de compuestos'!$D$2:$D$48,"conciliado",'Conciliacion de compuestos'!$E$2:$E$48,"OK",'Conciliacion de compuestos'!$J$2:$J$48,A16),COUNTIFS('Conciliacion de compuestos'!$D$2:$D$48,"conciliado",'Conciliacion de compuestos'!$E$2:$E$48,"OK",'Conciliacion de compuestos'!$K$2:$K$48,A16),COUNTIFS('Conciliacion de compuestos'!$D$2:$D$48,"conciliado",'Conciliacion de compuestos'!$E$2:$E$48,"OK",'Conciliacion de compuestos'!$L$2:$L$48,A16))&gt;0,"conciliado en compuesto confirmado","disponible")</f>
        <v/>
      </c>
    </row>
    <row r="17">
      <c r="A17" s="11" t="n">
        <v>15</v>
      </c>
      <c r="B17" s="12" t="n">
        <v>45992</v>
      </c>
      <c r="C17" s="11" t="inlineStr">
        <is>
          <t>a financiero gravamen movimiento</t>
        </is>
      </c>
      <c r="D17" s="13" t="n">
        <v>-3</v>
      </c>
      <c r="E17" s="11">
        <f>IF(SUM(COUNTIFS('Conciliacion de compuestos'!$D$2:$D$48,"conciliado",'Conciliacion de compuestos'!$E$2:$E$48,"OK",'Conciliacion de compuestos'!$J$2:$J$48,A17),COUNTIFS('Conciliacion de compuestos'!$D$2:$D$48,"conciliado",'Conciliacion de compuestos'!$E$2:$E$48,"OK",'Conciliacion de compuestos'!$K$2:$K$48,A17),COUNTIFS('Conciliacion de compuestos'!$D$2:$D$48,"conciliado",'Conciliacion de compuestos'!$E$2:$E$48,"OK",'Conciliacion de compuestos'!$L$2:$L$48,A17))&gt;0,"conciliado en compuesto confirmado","disponible")</f>
        <v/>
      </c>
    </row>
    <row r="18">
      <c r="A18" s="11" t="n">
        <v>16</v>
      </c>
      <c r="B18" s="12" t="n">
        <v>45992</v>
      </c>
      <c r="C18" s="11" t="inlineStr">
        <is>
          <t>consignacion credibanco d e</t>
        </is>
      </c>
      <c r="D18" s="13" t="n">
        <v>804000</v>
      </c>
      <c r="E18" s="11">
        <f>IF(SUM(COUNTIFS('Conciliacion de compuestos'!$D$2:$D$48,"conciliado",'Conciliacion de compuestos'!$E$2:$E$48,"OK",'Conciliacion de compuestos'!$J$2:$J$48,A18),COUNTIFS('Conciliacion de compuestos'!$D$2:$D$48,"conciliado",'Conciliacion de compuestos'!$E$2:$E$48,"OK",'Conciliacion de compuestos'!$K$2:$K$48,A18),COUNTIFS('Conciliacion de compuestos'!$D$2:$D$48,"conciliado",'Conciliacion de compuestos'!$E$2:$E$48,"OK",'Conciliacion de compuestos'!$L$2:$L$48,A18))&gt;0,"conciliado en compuesto confirmado","disponible")</f>
        <v/>
      </c>
    </row>
    <row r="19">
      <c r="A19" s="11" t="n">
        <v>17</v>
      </c>
      <c r="B19" s="12" t="n">
        <v>45992</v>
      </c>
      <c r="C19" s="11" t="inlineStr">
        <is>
          <t>cobro comision depositos electronicos</t>
        </is>
      </c>
      <c r="D19" s="13" t="n">
        <v>-17366</v>
      </c>
      <c r="E19" s="11">
        <f>IF(SUM(COUNTIFS('Conciliacion de compuestos'!$D$2:$D$48,"conciliado",'Conciliacion de compuestos'!$E$2:$E$48,"OK",'Conciliacion de compuestos'!$J$2:$J$48,A19),COUNTIFS('Conciliacion de compuestos'!$D$2:$D$48,"conciliado",'Conciliacion de compuestos'!$E$2:$E$48,"OK",'Conciliacion de compuestos'!$K$2:$K$48,A19),COUNTIFS('Conciliacion de compuestos'!$D$2:$D$48,"conciliado",'Conciliacion de compuestos'!$E$2:$E$48,"OK",'Conciliacion de compuestos'!$L$2:$L$48,A19))&gt;0,"conciliado en compuesto confirmado","disponible")</f>
        <v/>
      </c>
    </row>
    <row r="20">
      <c r="A20" s="11" t="n">
        <v>18</v>
      </c>
      <c r="B20" s="12" t="n">
        <v>45992</v>
      </c>
      <c r="C20" s="11" t="inlineStr">
        <is>
          <t>a financiero gravamen movimiento</t>
        </is>
      </c>
      <c r="D20" s="13" t="n">
        <v>-69</v>
      </c>
      <c r="E20" s="11">
        <f>IF(SUM(COUNTIFS('Conciliacion de compuestos'!$D$2:$D$48,"conciliado",'Conciliacion de compuestos'!$E$2:$E$48,"OK",'Conciliacion de compuestos'!$J$2:$J$48,A20),COUNTIFS('Conciliacion de compuestos'!$D$2:$D$48,"conciliado",'Conciliacion de compuestos'!$E$2:$E$48,"OK",'Conciliacion de compuestos'!$K$2:$K$48,A20),COUNTIFS('Conciliacion de compuestos'!$D$2:$D$48,"conciliado",'Conciliacion de compuestos'!$E$2:$E$48,"OK",'Conciliacion de compuestos'!$L$2:$L$48,A20))&gt;0,"conciliado en compuesto confirmado","disponible")</f>
        <v/>
      </c>
    </row>
    <row r="21">
      <c r="A21" s="11" t="n">
        <v>19</v>
      </c>
      <c r="B21" s="12" t="n">
        <v>45992</v>
      </c>
      <c r="C21" s="11" t="inlineStr">
        <is>
          <t>credibanco d e retefuente voucher y</t>
        </is>
      </c>
      <c r="D21" s="13" t="n">
        <v>-12060</v>
      </c>
      <c r="E21" s="11">
        <f>IF(SUM(COUNTIFS('Conciliacion de compuestos'!$D$2:$D$48,"conciliado",'Conciliacion de compuestos'!$E$2:$E$48,"OK",'Conciliacion de compuestos'!$J$2:$J$48,A21),COUNTIFS('Conciliacion de compuestos'!$D$2:$D$48,"conciliado",'Conciliacion de compuestos'!$E$2:$E$48,"OK",'Conciliacion de compuestos'!$K$2:$K$48,A21),COUNTIFS('Conciliacion de compuestos'!$D$2:$D$48,"conciliado",'Conciliacion de compuestos'!$E$2:$E$48,"OK",'Conciliacion de compuestos'!$L$2:$L$48,A21))&gt;0,"conciliado en compuesto confirmado","disponible")</f>
        <v/>
      </c>
    </row>
    <row r="22">
      <c r="A22" s="11" t="n">
        <v>20</v>
      </c>
      <c r="B22" s="12" t="n">
        <v>45992</v>
      </c>
      <c r="C22" s="11" t="inlineStr">
        <is>
          <t>a financiero gravamen movimiento</t>
        </is>
      </c>
      <c r="D22" s="13" t="n">
        <v>-48</v>
      </c>
      <c r="E22" s="11">
        <f>IF(SUM(COUNTIFS('Conciliacion de compuestos'!$D$2:$D$48,"conciliado",'Conciliacion de compuestos'!$E$2:$E$48,"OK",'Conciliacion de compuestos'!$J$2:$J$48,A22),COUNTIFS('Conciliacion de compuestos'!$D$2:$D$48,"conciliado",'Conciliacion de compuestos'!$E$2:$E$48,"OK",'Conciliacion de compuestos'!$K$2:$K$48,A22),COUNTIFS('Conciliacion de compuestos'!$D$2:$D$48,"conciliado",'Conciliacion de compuestos'!$E$2:$E$48,"OK",'Conciliacion de compuestos'!$L$2:$L$48,A22))&gt;0,"conciliado en compuesto confirmado","disponible")</f>
        <v/>
      </c>
    </row>
    <row r="23">
      <c r="A23" s="11" t="n">
        <v>21</v>
      </c>
      <c r="B23" s="12" t="n">
        <v>45992</v>
      </c>
      <c r="C23" s="11" t="inlineStr">
        <is>
          <t>consignacion credibanco d e</t>
        </is>
      </c>
      <c r="D23" s="13" t="n">
        <v>126225</v>
      </c>
      <c r="E23" s="11">
        <f>IF(SUM(COUNTIFS('Conciliacion de compuestos'!$D$2:$D$48,"conciliado",'Conciliacion de compuestos'!$E$2:$E$48,"OK",'Conciliacion de compuestos'!$J$2:$J$48,A23),COUNTIFS('Conciliacion de compuestos'!$D$2:$D$48,"conciliado",'Conciliacion de compuestos'!$E$2:$E$48,"OK",'Conciliacion de compuestos'!$K$2:$K$48,A23),COUNTIFS('Conciliacion de compuestos'!$D$2:$D$48,"conciliado",'Conciliacion de compuestos'!$E$2:$E$48,"OK",'Conciliacion de compuestos'!$L$2:$L$48,A23))&gt;0,"conciliado en compuesto confirmado","disponible")</f>
        <v/>
      </c>
    </row>
    <row r="24">
      <c r="A24" s="11" t="n">
        <v>22</v>
      </c>
      <c r="B24" s="12" t="n">
        <v>45992</v>
      </c>
      <c r="C24" s="11" t="inlineStr">
        <is>
          <t>cobro comision depositos electronicos</t>
        </is>
      </c>
      <c r="D24" s="13" t="n">
        <v>-2726</v>
      </c>
      <c r="E24" s="11">
        <f>IF(SUM(COUNTIFS('Conciliacion de compuestos'!$D$2:$D$48,"conciliado",'Conciliacion de compuestos'!$E$2:$E$48,"OK",'Conciliacion de compuestos'!$J$2:$J$48,A24),COUNTIFS('Conciliacion de compuestos'!$D$2:$D$48,"conciliado",'Conciliacion de compuestos'!$E$2:$E$48,"OK",'Conciliacion de compuestos'!$K$2:$K$48,A24),COUNTIFS('Conciliacion de compuestos'!$D$2:$D$48,"conciliado",'Conciliacion de compuestos'!$E$2:$E$48,"OK",'Conciliacion de compuestos'!$L$2:$L$48,A24))&gt;0,"conciliado en compuesto confirmado","disponible")</f>
        <v/>
      </c>
    </row>
    <row r="25">
      <c r="A25" s="11" t="n">
        <v>23</v>
      </c>
      <c r="B25" s="12" t="n">
        <v>45992</v>
      </c>
      <c r="C25" s="11" t="inlineStr">
        <is>
          <t>a financiero gravamen movimiento</t>
        </is>
      </c>
      <c r="D25" s="13" t="n">
        <v>-11</v>
      </c>
      <c r="E25" s="11">
        <f>IF(SUM(COUNTIFS('Conciliacion de compuestos'!$D$2:$D$48,"conciliado",'Conciliacion de compuestos'!$E$2:$E$48,"OK",'Conciliacion de compuestos'!$J$2:$J$48,A25),COUNTIFS('Conciliacion de compuestos'!$D$2:$D$48,"conciliado",'Conciliacion de compuestos'!$E$2:$E$48,"OK",'Conciliacion de compuestos'!$K$2:$K$48,A25),COUNTIFS('Conciliacion de compuestos'!$D$2:$D$48,"conciliado",'Conciliacion de compuestos'!$E$2:$E$48,"OK",'Conciliacion de compuestos'!$L$2:$L$48,A25))&gt;0,"conciliado en compuesto confirmado","disponible")</f>
        <v/>
      </c>
    </row>
    <row r="26">
      <c r="A26" s="11" t="n">
        <v>24</v>
      </c>
      <c r="B26" s="12" t="n">
        <v>45992</v>
      </c>
      <c r="C26" s="11" t="inlineStr">
        <is>
          <t>credibanco d e retefuente voucher y</t>
        </is>
      </c>
      <c r="D26" s="13" t="n">
        <v>-1893</v>
      </c>
      <c r="E26" s="11">
        <f>IF(SUM(COUNTIFS('Conciliacion de compuestos'!$D$2:$D$48,"conciliado",'Conciliacion de compuestos'!$E$2:$E$48,"OK",'Conciliacion de compuestos'!$J$2:$J$48,A26),COUNTIFS('Conciliacion de compuestos'!$D$2:$D$48,"conciliado",'Conciliacion de compuestos'!$E$2:$E$48,"OK",'Conciliacion de compuestos'!$K$2:$K$48,A26),COUNTIFS('Conciliacion de compuestos'!$D$2:$D$48,"conciliado",'Conciliacion de compuestos'!$E$2:$E$48,"OK",'Conciliacion de compuestos'!$L$2:$L$48,A26))&gt;0,"conciliado en compuesto confirmado","disponible")</f>
        <v/>
      </c>
    </row>
    <row r="27">
      <c r="A27" s="11" t="n">
        <v>25</v>
      </c>
      <c r="B27" s="12" t="n">
        <v>45992</v>
      </c>
      <c r="C27" s="11" t="inlineStr">
        <is>
          <t>a financiero gravamen movimiento</t>
        </is>
      </c>
      <c r="D27" s="13" t="n">
        <v>-8</v>
      </c>
      <c r="E27" s="11">
        <f>IF(SUM(COUNTIFS('Conciliacion de compuestos'!$D$2:$D$48,"conciliado",'Conciliacion de compuestos'!$E$2:$E$48,"OK",'Conciliacion de compuestos'!$J$2:$J$48,A27),COUNTIFS('Conciliacion de compuestos'!$D$2:$D$48,"conciliado",'Conciliacion de compuestos'!$E$2:$E$48,"OK",'Conciliacion de compuestos'!$K$2:$K$48,A27),COUNTIFS('Conciliacion de compuestos'!$D$2:$D$48,"conciliado",'Conciliacion de compuestos'!$E$2:$E$48,"OK",'Conciliacion de compuestos'!$L$2:$L$48,A27))&gt;0,"conciliado en compuesto confirmado","disponible")</f>
        <v/>
      </c>
    </row>
    <row r="28">
      <c r="A28" s="11" t="n">
        <v>26</v>
      </c>
      <c r="B28" s="12" t="n">
        <v>45992</v>
      </c>
      <c r="C28" s="11" t="inlineStr">
        <is>
          <t>consignacion credibanco d e</t>
        </is>
      </c>
      <c r="D28" s="13" t="n">
        <v>22800</v>
      </c>
      <c r="E28" s="11">
        <f>IF(SUM(COUNTIFS('Conciliacion de compuestos'!$D$2:$D$48,"conciliado",'Conciliacion de compuestos'!$E$2:$E$48,"OK",'Conciliacion de compuestos'!$J$2:$J$48,A28),COUNTIFS('Conciliacion de compuestos'!$D$2:$D$48,"conciliado",'Conciliacion de compuestos'!$E$2:$E$48,"OK",'Conciliacion de compuestos'!$K$2:$K$48,A28),COUNTIFS('Conciliacion de compuestos'!$D$2:$D$48,"conciliado",'Conciliacion de compuestos'!$E$2:$E$48,"OK",'Conciliacion de compuestos'!$L$2:$L$48,A28))&gt;0,"conciliado en compuesto confirmado","disponible")</f>
        <v/>
      </c>
    </row>
    <row r="29">
      <c r="A29" s="11" t="n">
        <v>27</v>
      </c>
      <c r="B29" s="12" t="n">
        <v>45992</v>
      </c>
      <c r="C29" s="11" t="inlineStr">
        <is>
          <t>cobro comision depositos electronicos</t>
        </is>
      </c>
      <c r="D29" s="13" t="n">
        <v>-492</v>
      </c>
      <c r="E29" s="11">
        <f>IF(SUM(COUNTIFS('Conciliacion de compuestos'!$D$2:$D$48,"conciliado",'Conciliacion de compuestos'!$E$2:$E$48,"OK",'Conciliacion de compuestos'!$J$2:$J$48,A29),COUNTIFS('Conciliacion de compuestos'!$D$2:$D$48,"conciliado",'Conciliacion de compuestos'!$E$2:$E$48,"OK",'Conciliacion de compuestos'!$K$2:$K$48,A29),COUNTIFS('Conciliacion de compuestos'!$D$2:$D$48,"conciliado",'Conciliacion de compuestos'!$E$2:$E$48,"OK",'Conciliacion de compuestos'!$L$2:$L$48,A29))&gt;0,"conciliado en compuesto confirmado","disponible")</f>
        <v/>
      </c>
    </row>
    <row r="30">
      <c r="A30" s="11" t="n">
        <v>28</v>
      </c>
      <c r="B30" s="12" t="n">
        <v>45992</v>
      </c>
      <c r="C30" s="11" t="inlineStr">
        <is>
          <t>a financiero gravamen movimiento</t>
        </is>
      </c>
      <c r="D30" s="13" t="n">
        <v>-2</v>
      </c>
      <c r="E30" s="11">
        <f>IF(SUM(COUNTIFS('Conciliacion de compuestos'!$D$2:$D$48,"conciliado",'Conciliacion de compuestos'!$E$2:$E$48,"OK",'Conciliacion de compuestos'!$J$2:$J$48,A30),COUNTIFS('Conciliacion de compuestos'!$D$2:$D$48,"conciliado",'Conciliacion de compuestos'!$E$2:$E$48,"OK",'Conciliacion de compuestos'!$K$2:$K$48,A30),COUNTIFS('Conciliacion de compuestos'!$D$2:$D$48,"conciliado",'Conciliacion de compuestos'!$E$2:$E$48,"OK",'Conciliacion de compuestos'!$L$2:$L$48,A30))&gt;0,"conciliado en compuesto confirmado","disponible")</f>
        <v/>
      </c>
    </row>
    <row r="31">
      <c r="A31" s="11" t="n">
        <v>29</v>
      </c>
      <c r="B31" s="12" t="n">
        <v>45992</v>
      </c>
      <c r="C31" s="11" t="inlineStr">
        <is>
          <t>credibanco d e retefuente voucher y</t>
        </is>
      </c>
      <c r="D31" s="13" t="n">
        <v>-342</v>
      </c>
      <c r="E31" s="11">
        <f>IF(SUM(COUNTIFS('Conciliacion de compuestos'!$D$2:$D$48,"conciliado",'Conciliacion de compuestos'!$E$2:$E$48,"OK",'Conciliacion de compuestos'!$J$2:$J$48,A31),COUNTIFS('Conciliacion de compuestos'!$D$2:$D$48,"conciliado",'Conciliacion de compuestos'!$E$2:$E$48,"OK",'Conciliacion de compuestos'!$K$2:$K$48,A31),COUNTIFS('Conciliacion de compuestos'!$D$2:$D$48,"conciliado",'Conciliacion de compuestos'!$E$2:$E$48,"OK",'Conciliacion de compuestos'!$L$2:$L$48,A31))&gt;0,"conciliado en compuesto confirmado","disponible")</f>
        <v/>
      </c>
    </row>
    <row r="32">
      <c r="A32" s="11" t="n">
        <v>30</v>
      </c>
      <c r="B32" s="12" t="n">
        <v>45992</v>
      </c>
      <c r="C32" s="11" t="inlineStr">
        <is>
          <t>a financiero gravamen movimiento</t>
        </is>
      </c>
      <c r="D32" s="13" t="n">
        <v>-1</v>
      </c>
      <c r="E32" s="11">
        <f>IF(SUM(COUNTIFS('Conciliacion de compuestos'!$D$2:$D$48,"conciliado",'Conciliacion de compuestos'!$E$2:$E$48,"OK",'Conciliacion de compuestos'!$J$2:$J$48,A32),COUNTIFS('Conciliacion de compuestos'!$D$2:$D$48,"conciliado",'Conciliacion de compuestos'!$E$2:$E$48,"OK",'Conciliacion de compuestos'!$K$2:$K$48,A32),COUNTIFS('Conciliacion de compuestos'!$D$2:$D$48,"conciliado",'Conciliacion de compuestos'!$E$2:$E$48,"OK",'Conciliacion de compuestos'!$L$2:$L$48,A32))&gt;0,"conciliado en compuesto confirmado","disponible")</f>
        <v/>
      </c>
    </row>
    <row r="33">
      <c r="A33" s="11" t="n">
        <v>31</v>
      </c>
      <c r="B33" s="12" t="n">
        <v>45992</v>
      </c>
      <c r="C33" s="11" t="inlineStr">
        <is>
          <t>consignacion credibanco d e</t>
        </is>
      </c>
      <c r="D33" s="13" t="n">
        <v>41900</v>
      </c>
      <c r="E33" s="11">
        <f>IF(SUM(COUNTIFS('Conciliacion de compuestos'!$D$2:$D$48,"conciliado",'Conciliacion de compuestos'!$E$2:$E$48,"OK",'Conciliacion de compuestos'!$J$2:$J$48,A33),COUNTIFS('Conciliacion de compuestos'!$D$2:$D$48,"conciliado",'Conciliacion de compuestos'!$E$2:$E$48,"OK",'Conciliacion de compuestos'!$K$2:$K$48,A33),COUNTIFS('Conciliacion de compuestos'!$D$2:$D$48,"conciliado",'Conciliacion de compuestos'!$E$2:$E$48,"OK",'Conciliacion de compuestos'!$L$2:$L$48,A33))&gt;0,"conciliado en compuesto confirmado","disponible")</f>
        <v/>
      </c>
    </row>
    <row r="34">
      <c r="A34" s="11" t="n">
        <v>32</v>
      </c>
      <c r="B34" s="12" t="n">
        <v>45992</v>
      </c>
      <c r="C34" s="11" t="inlineStr">
        <is>
          <t>cobro comision depositos electronicos</t>
        </is>
      </c>
      <c r="D34" s="13" t="n">
        <v>-905</v>
      </c>
      <c r="E34" s="11">
        <f>IF(SUM(COUNTIFS('Conciliacion de compuestos'!$D$2:$D$48,"conciliado",'Conciliacion de compuestos'!$E$2:$E$48,"OK",'Conciliacion de compuestos'!$J$2:$J$48,A34),COUNTIFS('Conciliacion de compuestos'!$D$2:$D$48,"conciliado",'Conciliacion de compuestos'!$E$2:$E$48,"OK",'Conciliacion de compuestos'!$K$2:$K$48,A34),COUNTIFS('Conciliacion de compuestos'!$D$2:$D$48,"conciliado",'Conciliacion de compuestos'!$E$2:$E$48,"OK",'Conciliacion de compuestos'!$L$2:$L$48,A34))&gt;0,"conciliado en compuesto confirmado","disponible")</f>
        <v/>
      </c>
    </row>
    <row r="35">
      <c r="A35" s="11" t="n">
        <v>33</v>
      </c>
      <c r="B35" s="12" t="n">
        <v>45992</v>
      </c>
      <c r="C35" s="11" t="inlineStr">
        <is>
          <t>a financiero gravamen movimiento</t>
        </is>
      </c>
      <c r="D35" s="13" t="n">
        <v>-4</v>
      </c>
      <c r="E35" s="11">
        <f>IF(SUM(COUNTIFS('Conciliacion de compuestos'!$D$2:$D$48,"conciliado",'Conciliacion de compuestos'!$E$2:$E$48,"OK",'Conciliacion de compuestos'!$J$2:$J$48,A35),COUNTIFS('Conciliacion de compuestos'!$D$2:$D$48,"conciliado",'Conciliacion de compuestos'!$E$2:$E$48,"OK",'Conciliacion de compuestos'!$K$2:$K$48,A35),COUNTIFS('Conciliacion de compuestos'!$D$2:$D$48,"conciliado",'Conciliacion de compuestos'!$E$2:$E$48,"OK",'Conciliacion de compuestos'!$L$2:$L$48,A35))&gt;0,"conciliado en compuesto confirmado","disponible")</f>
        <v/>
      </c>
    </row>
    <row r="36">
      <c r="A36" s="11" t="n">
        <v>34</v>
      </c>
      <c r="B36" s="12" t="n">
        <v>45992</v>
      </c>
      <c r="C36" s="11" t="inlineStr">
        <is>
          <t>credibanco d e retefuente voucher y</t>
        </is>
      </c>
      <c r="D36" s="13" t="n">
        <v>-629</v>
      </c>
      <c r="E36" s="11">
        <f>IF(SUM(COUNTIFS('Conciliacion de compuestos'!$D$2:$D$48,"conciliado",'Conciliacion de compuestos'!$E$2:$E$48,"OK",'Conciliacion de compuestos'!$J$2:$J$48,A36),COUNTIFS('Conciliacion de compuestos'!$D$2:$D$48,"conciliado",'Conciliacion de compuestos'!$E$2:$E$48,"OK",'Conciliacion de compuestos'!$K$2:$K$48,A36),COUNTIFS('Conciliacion de compuestos'!$D$2:$D$48,"conciliado",'Conciliacion de compuestos'!$E$2:$E$48,"OK",'Conciliacion de compuestos'!$L$2:$L$48,A36))&gt;0,"conciliado en compuesto confirmado","disponible")</f>
        <v/>
      </c>
    </row>
    <row r="37">
      <c r="A37" s="11" t="n">
        <v>35</v>
      </c>
      <c r="B37" s="12" t="n">
        <v>45992</v>
      </c>
      <c r="C37" s="11" t="inlineStr">
        <is>
          <t>a financiero gravamen movimiento</t>
        </is>
      </c>
      <c r="D37" s="13" t="n">
        <v>-3</v>
      </c>
      <c r="E37" s="11">
        <f>IF(SUM(COUNTIFS('Conciliacion de compuestos'!$D$2:$D$48,"conciliado",'Conciliacion de compuestos'!$E$2:$E$48,"OK",'Conciliacion de compuestos'!$J$2:$J$48,A37),COUNTIFS('Conciliacion de compuestos'!$D$2:$D$48,"conciliado",'Conciliacion de compuestos'!$E$2:$E$48,"OK",'Conciliacion de compuestos'!$K$2:$K$48,A37),COUNTIFS('Conciliacion de compuestos'!$D$2:$D$48,"conciliado",'Conciliacion de compuestos'!$E$2:$E$48,"OK",'Conciliacion de compuestos'!$L$2:$L$48,A37))&gt;0,"conciliado en compuesto confirmado","disponible")</f>
        <v/>
      </c>
    </row>
    <row r="38">
      <c r="A38" s="11" t="n">
        <v>36</v>
      </c>
      <c r="B38" s="12" t="n">
        <v>45992</v>
      </c>
      <c r="C38" s="11" t="inlineStr">
        <is>
          <t>consignacion credibanco d e</t>
        </is>
      </c>
      <c r="D38" s="13" t="n">
        <v>21300</v>
      </c>
      <c r="E38" s="11">
        <f>IF(SUM(COUNTIFS('Conciliacion de compuestos'!$D$2:$D$48,"conciliado",'Conciliacion de compuestos'!$E$2:$E$48,"OK",'Conciliacion de compuestos'!$J$2:$J$48,A38),COUNTIFS('Conciliacion de compuestos'!$D$2:$D$48,"conciliado",'Conciliacion de compuestos'!$E$2:$E$48,"OK",'Conciliacion de compuestos'!$K$2:$K$48,A38),COUNTIFS('Conciliacion de compuestos'!$D$2:$D$48,"conciliado",'Conciliacion de compuestos'!$E$2:$E$48,"OK",'Conciliacion de compuestos'!$L$2:$L$48,A38))&gt;0,"conciliado en compuesto confirmado","disponible")</f>
        <v/>
      </c>
    </row>
    <row r="39">
      <c r="A39" s="11" t="n">
        <v>37</v>
      </c>
      <c r="B39" s="12" t="n">
        <v>45992</v>
      </c>
      <c r="C39" s="11" t="inlineStr">
        <is>
          <t>cobro comision depositos electronicos</t>
        </is>
      </c>
      <c r="D39" s="13" t="n">
        <v>-460</v>
      </c>
      <c r="E39" s="11">
        <f>IF(SUM(COUNTIFS('Conciliacion de compuestos'!$D$2:$D$48,"conciliado",'Conciliacion de compuestos'!$E$2:$E$48,"OK",'Conciliacion de compuestos'!$J$2:$J$48,A39),COUNTIFS('Conciliacion de compuestos'!$D$2:$D$48,"conciliado",'Conciliacion de compuestos'!$E$2:$E$48,"OK",'Conciliacion de compuestos'!$K$2:$K$48,A39),COUNTIFS('Conciliacion de compuestos'!$D$2:$D$48,"conciliado",'Conciliacion de compuestos'!$E$2:$E$48,"OK",'Conciliacion de compuestos'!$L$2:$L$48,A39))&gt;0,"conciliado en compuesto confirmado","disponible")</f>
        <v/>
      </c>
    </row>
    <row r="40">
      <c r="A40" s="11" t="n">
        <v>38</v>
      </c>
      <c r="B40" s="12" t="n">
        <v>45992</v>
      </c>
      <c r="C40" s="11" t="inlineStr">
        <is>
          <t>a financiero gravamen movimiento</t>
        </is>
      </c>
      <c r="D40" s="13" t="n">
        <v>-2</v>
      </c>
      <c r="E40" s="11">
        <f>IF(SUM(COUNTIFS('Conciliacion de compuestos'!$D$2:$D$48,"conciliado",'Conciliacion de compuestos'!$E$2:$E$48,"OK",'Conciliacion de compuestos'!$J$2:$J$48,A40),COUNTIFS('Conciliacion de compuestos'!$D$2:$D$48,"conciliado",'Conciliacion de compuestos'!$E$2:$E$48,"OK",'Conciliacion de compuestos'!$K$2:$K$48,A40),COUNTIFS('Conciliacion de compuestos'!$D$2:$D$48,"conciliado",'Conciliacion de compuestos'!$E$2:$E$48,"OK",'Conciliacion de compuestos'!$L$2:$L$48,A40))&gt;0,"conciliado en compuesto confirmado","disponible")</f>
        <v/>
      </c>
    </row>
    <row r="41">
      <c r="A41" s="11" t="n">
        <v>39</v>
      </c>
      <c r="B41" s="12" t="n">
        <v>45992</v>
      </c>
      <c r="C41" s="11" t="inlineStr">
        <is>
          <t>credibanco d e retefuente voucher y</t>
        </is>
      </c>
      <c r="D41" s="13" t="n">
        <v>-320</v>
      </c>
      <c r="E41" s="11">
        <f>IF(SUM(COUNTIFS('Conciliacion de compuestos'!$D$2:$D$48,"conciliado",'Conciliacion de compuestos'!$E$2:$E$48,"OK",'Conciliacion de compuestos'!$J$2:$J$48,A41),COUNTIFS('Conciliacion de compuestos'!$D$2:$D$48,"conciliado",'Conciliacion de compuestos'!$E$2:$E$48,"OK",'Conciliacion de compuestos'!$K$2:$K$48,A41),COUNTIFS('Conciliacion de compuestos'!$D$2:$D$48,"conciliado",'Conciliacion de compuestos'!$E$2:$E$48,"OK",'Conciliacion de compuestos'!$L$2:$L$48,A41))&gt;0,"conciliado en compuesto confirmado","disponible")</f>
        <v/>
      </c>
    </row>
    <row r="42">
      <c r="A42" s="11" t="n">
        <v>40</v>
      </c>
      <c r="B42" s="12" t="n">
        <v>45992</v>
      </c>
      <c r="C42" s="11" t="inlineStr">
        <is>
          <t>a financiero gravamen movimiento</t>
        </is>
      </c>
      <c r="D42" s="13" t="n">
        <v>-1</v>
      </c>
      <c r="E42" s="11">
        <f>IF(SUM(COUNTIFS('Conciliacion de compuestos'!$D$2:$D$48,"conciliado",'Conciliacion de compuestos'!$E$2:$E$48,"OK",'Conciliacion de compuestos'!$J$2:$J$48,A42),COUNTIFS('Conciliacion de compuestos'!$D$2:$D$48,"conciliado",'Conciliacion de compuestos'!$E$2:$E$48,"OK",'Conciliacion de compuestos'!$K$2:$K$48,A42),COUNTIFS('Conciliacion de compuestos'!$D$2:$D$48,"conciliado",'Conciliacion de compuestos'!$E$2:$E$48,"OK",'Conciliacion de compuestos'!$L$2:$L$48,A42))&gt;0,"conciliado en compuesto confirmado","disponible")</f>
        <v/>
      </c>
    </row>
    <row r="43">
      <c r="A43" s="11" t="n">
        <v>41</v>
      </c>
      <c r="B43" s="12" t="n">
        <v>45992</v>
      </c>
      <c r="C43" s="11" t="inlineStr">
        <is>
          <t>consignacion credibanco d e</t>
        </is>
      </c>
      <c r="D43" s="13" t="n">
        <v>20900</v>
      </c>
      <c r="E43" s="11">
        <f>IF(SUM(COUNTIFS('Conciliacion de compuestos'!$D$2:$D$48,"conciliado",'Conciliacion de compuestos'!$E$2:$E$48,"OK",'Conciliacion de compuestos'!$J$2:$J$48,A43),COUNTIFS('Conciliacion de compuestos'!$D$2:$D$48,"conciliado",'Conciliacion de compuestos'!$E$2:$E$48,"OK",'Conciliacion de compuestos'!$K$2:$K$48,A43),COUNTIFS('Conciliacion de compuestos'!$D$2:$D$48,"conciliado",'Conciliacion de compuestos'!$E$2:$E$48,"OK",'Conciliacion de compuestos'!$L$2:$L$48,A43))&gt;0,"conciliado en compuesto confirmado","disponible")</f>
        <v/>
      </c>
    </row>
    <row r="44">
      <c r="A44" s="11" t="n">
        <v>42</v>
      </c>
      <c r="B44" s="12" t="n">
        <v>45992</v>
      </c>
      <c r="C44" s="11" t="inlineStr">
        <is>
          <t>cobro comision depositos electronicos</t>
        </is>
      </c>
      <c r="D44" s="13" t="n">
        <v>-451</v>
      </c>
      <c r="E44" s="11">
        <f>IF(SUM(COUNTIFS('Conciliacion de compuestos'!$D$2:$D$48,"conciliado",'Conciliacion de compuestos'!$E$2:$E$48,"OK",'Conciliacion de compuestos'!$J$2:$J$48,A44),COUNTIFS('Conciliacion de compuestos'!$D$2:$D$48,"conciliado",'Conciliacion de compuestos'!$E$2:$E$48,"OK",'Conciliacion de compuestos'!$K$2:$K$48,A44),COUNTIFS('Conciliacion de compuestos'!$D$2:$D$48,"conciliado",'Conciliacion de compuestos'!$E$2:$E$48,"OK",'Conciliacion de compuestos'!$L$2:$L$48,A44))&gt;0,"conciliado en compuesto confirmado","disponible")</f>
        <v/>
      </c>
    </row>
    <row r="45">
      <c r="A45" s="11" t="n">
        <v>43</v>
      </c>
      <c r="B45" s="12" t="n">
        <v>45992</v>
      </c>
      <c r="C45" s="11" t="inlineStr">
        <is>
          <t>a financiero gravamen movimiento</t>
        </is>
      </c>
      <c r="D45" s="13" t="n">
        <v>-2</v>
      </c>
      <c r="E45" s="11">
        <f>IF(SUM(COUNTIFS('Conciliacion de compuestos'!$D$2:$D$48,"conciliado",'Conciliacion de compuestos'!$E$2:$E$48,"OK",'Conciliacion de compuestos'!$J$2:$J$48,A45),COUNTIFS('Conciliacion de compuestos'!$D$2:$D$48,"conciliado",'Conciliacion de compuestos'!$E$2:$E$48,"OK",'Conciliacion de compuestos'!$K$2:$K$48,A45),COUNTIFS('Conciliacion de compuestos'!$D$2:$D$48,"conciliado",'Conciliacion de compuestos'!$E$2:$E$48,"OK",'Conciliacion de compuestos'!$L$2:$L$48,A45))&gt;0,"conciliado en compuesto confirmado","disponible")</f>
        <v/>
      </c>
    </row>
    <row r="46">
      <c r="A46" s="11" t="n">
        <v>44</v>
      </c>
      <c r="B46" s="12" t="n">
        <v>45992</v>
      </c>
      <c r="C46" s="11" t="inlineStr">
        <is>
          <t>credibanco d e retefuente voucher y</t>
        </is>
      </c>
      <c r="D46" s="13" t="n">
        <v>-314</v>
      </c>
      <c r="E46" s="11">
        <f>IF(SUM(COUNTIFS('Conciliacion de compuestos'!$D$2:$D$48,"conciliado",'Conciliacion de compuestos'!$E$2:$E$48,"OK",'Conciliacion de compuestos'!$J$2:$J$48,A46),COUNTIFS('Conciliacion de compuestos'!$D$2:$D$48,"conciliado",'Conciliacion de compuestos'!$E$2:$E$48,"OK",'Conciliacion de compuestos'!$K$2:$K$48,A46),COUNTIFS('Conciliacion de compuestos'!$D$2:$D$48,"conciliado",'Conciliacion de compuestos'!$E$2:$E$48,"OK",'Conciliacion de compuestos'!$L$2:$L$48,A46))&gt;0,"conciliado en compuesto confirmado","disponible")</f>
        <v/>
      </c>
    </row>
    <row r="47">
      <c r="A47" s="11" t="n">
        <v>45</v>
      </c>
      <c r="B47" s="12" t="n">
        <v>45992</v>
      </c>
      <c r="C47" s="11" t="inlineStr">
        <is>
          <t>a financiero gravamen movimiento</t>
        </is>
      </c>
      <c r="D47" s="13" t="n">
        <v>-1</v>
      </c>
      <c r="E47" s="11">
        <f>IF(SUM(COUNTIFS('Conciliacion de compuestos'!$D$2:$D$48,"conciliado",'Conciliacion de compuestos'!$E$2:$E$48,"OK",'Conciliacion de compuestos'!$J$2:$J$48,A47),COUNTIFS('Conciliacion de compuestos'!$D$2:$D$48,"conciliado",'Conciliacion de compuestos'!$E$2:$E$48,"OK",'Conciliacion de compuestos'!$K$2:$K$48,A47),COUNTIFS('Conciliacion de compuestos'!$D$2:$D$48,"conciliado",'Conciliacion de compuestos'!$E$2:$E$48,"OK",'Conciliacion de compuestos'!$L$2:$L$48,A47))&gt;0,"conciliado en compuesto confirmado","disponible")</f>
        <v/>
      </c>
    </row>
    <row r="48">
      <c r="A48" s="11" t="n">
        <v>46</v>
      </c>
      <c r="B48" s="12" t="n">
        <v>45992</v>
      </c>
      <c r="C48" s="11" t="inlineStr">
        <is>
          <t>consignacion credibanco d e</t>
        </is>
      </c>
      <c r="D48" s="13" t="n">
        <v>521700</v>
      </c>
      <c r="E48" s="11">
        <f>IF(SUM(COUNTIFS('Conciliacion de compuestos'!$D$2:$D$48,"conciliado",'Conciliacion de compuestos'!$E$2:$E$48,"OK",'Conciliacion de compuestos'!$J$2:$J$48,A48),COUNTIFS('Conciliacion de compuestos'!$D$2:$D$48,"conciliado",'Conciliacion de compuestos'!$E$2:$E$48,"OK",'Conciliacion de compuestos'!$K$2:$K$48,A48),COUNTIFS('Conciliacion de compuestos'!$D$2:$D$48,"conciliado",'Conciliacion de compuestos'!$E$2:$E$48,"OK",'Conciliacion de compuestos'!$L$2:$L$48,A48))&gt;0,"conciliado en compuesto confirmado","disponible")</f>
        <v/>
      </c>
    </row>
    <row r="49">
      <c r="A49" s="11" t="n">
        <v>47</v>
      </c>
      <c r="B49" s="12" t="n">
        <v>45992</v>
      </c>
      <c r="C49" s="11" t="inlineStr">
        <is>
          <t>cobro comision depositos electronicos</t>
        </is>
      </c>
      <c r="D49" s="13" t="n">
        <v>-11269</v>
      </c>
      <c r="E49" s="11">
        <f>IF(SUM(COUNTIFS('Conciliacion de compuestos'!$D$2:$D$48,"conciliado",'Conciliacion de compuestos'!$E$2:$E$48,"OK",'Conciliacion de compuestos'!$J$2:$J$48,A49),COUNTIFS('Conciliacion de compuestos'!$D$2:$D$48,"conciliado",'Conciliacion de compuestos'!$E$2:$E$48,"OK",'Conciliacion de compuestos'!$K$2:$K$48,A49),COUNTIFS('Conciliacion de compuestos'!$D$2:$D$48,"conciliado",'Conciliacion de compuestos'!$E$2:$E$48,"OK",'Conciliacion de compuestos'!$L$2:$L$48,A49))&gt;0,"conciliado en compuesto confirmado","disponible")</f>
        <v/>
      </c>
    </row>
    <row r="50">
      <c r="A50" s="11" t="n">
        <v>48</v>
      </c>
      <c r="B50" s="12" t="n">
        <v>45992</v>
      </c>
      <c r="C50" s="11" t="inlineStr">
        <is>
          <t>a financiero gravamen movimiento</t>
        </is>
      </c>
      <c r="D50" s="13" t="n">
        <v>-45</v>
      </c>
      <c r="E50" s="11">
        <f>IF(SUM(COUNTIFS('Conciliacion de compuestos'!$D$2:$D$48,"conciliado",'Conciliacion de compuestos'!$E$2:$E$48,"OK",'Conciliacion de compuestos'!$J$2:$J$48,A50),COUNTIFS('Conciliacion de compuestos'!$D$2:$D$48,"conciliado",'Conciliacion de compuestos'!$E$2:$E$48,"OK",'Conciliacion de compuestos'!$K$2:$K$48,A50),COUNTIFS('Conciliacion de compuestos'!$D$2:$D$48,"conciliado",'Conciliacion de compuestos'!$E$2:$E$48,"OK",'Conciliacion de compuestos'!$L$2:$L$48,A50))&gt;0,"conciliado en compuesto confirmado","disponible")</f>
        <v/>
      </c>
    </row>
    <row r="51">
      <c r="A51" s="11" t="n">
        <v>49</v>
      </c>
      <c r="B51" s="12" t="n">
        <v>45992</v>
      </c>
      <c r="C51" s="11" t="inlineStr">
        <is>
          <t>credibanco d e retefuente voucher y</t>
        </is>
      </c>
      <c r="D51" s="13" t="n">
        <v>-7826</v>
      </c>
      <c r="E51" s="11">
        <f>IF(SUM(COUNTIFS('Conciliacion de compuestos'!$D$2:$D$48,"conciliado",'Conciliacion de compuestos'!$E$2:$E$48,"OK",'Conciliacion de compuestos'!$J$2:$J$48,A51),COUNTIFS('Conciliacion de compuestos'!$D$2:$D$48,"conciliado",'Conciliacion de compuestos'!$E$2:$E$48,"OK",'Conciliacion de compuestos'!$K$2:$K$48,A51),COUNTIFS('Conciliacion de compuestos'!$D$2:$D$48,"conciliado",'Conciliacion de compuestos'!$E$2:$E$48,"OK",'Conciliacion de compuestos'!$L$2:$L$48,A51))&gt;0,"conciliado en compuesto confirmado","disponible")</f>
        <v/>
      </c>
    </row>
    <row r="52">
      <c r="A52" s="11" t="n">
        <v>50</v>
      </c>
      <c r="B52" s="12" t="n">
        <v>45992</v>
      </c>
      <c r="C52" s="11" t="inlineStr">
        <is>
          <t>a financiero gravamen movimiento</t>
        </is>
      </c>
      <c r="D52" s="13" t="n">
        <v>-31</v>
      </c>
      <c r="E52" s="11">
        <f>IF(SUM(COUNTIFS('Conciliacion de compuestos'!$D$2:$D$48,"conciliado",'Conciliacion de compuestos'!$E$2:$E$48,"OK",'Conciliacion de compuestos'!$J$2:$J$48,A52),COUNTIFS('Conciliacion de compuestos'!$D$2:$D$48,"conciliado",'Conciliacion de compuestos'!$E$2:$E$48,"OK",'Conciliacion de compuestos'!$K$2:$K$48,A52),COUNTIFS('Conciliacion de compuestos'!$D$2:$D$48,"conciliado",'Conciliacion de compuestos'!$E$2:$E$48,"OK",'Conciliacion de compuestos'!$L$2:$L$48,A52))&gt;0,"conciliado en compuesto confirmado","disponible")</f>
        <v/>
      </c>
    </row>
    <row r="53">
      <c r="A53" s="11" t="n">
        <v>51</v>
      </c>
      <c r="B53" s="12" t="n">
        <v>45992</v>
      </c>
      <c r="C53" s="11" t="inlineStr">
        <is>
          <t>consignacion credibanco d e</t>
        </is>
      </c>
      <c r="D53" s="13" t="n">
        <v>331500</v>
      </c>
      <c r="E53" s="11">
        <f>IF(SUM(COUNTIFS('Conciliacion de compuestos'!$D$2:$D$48,"conciliado",'Conciliacion de compuestos'!$E$2:$E$48,"OK",'Conciliacion de compuestos'!$J$2:$J$48,A53),COUNTIFS('Conciliacion de compuestos'!$D$2:$D$48,"conciliado",'Conciliacion de compuestos'!$E$2:$E$48,"OK",'Conciliacion de compuestos'!$K$2:$K$48,A53),COUNTIFS('Conciliacion de compuestos'!$D$2:$D$48,"conciliado",'Conciliacion de compuestos'!$E$2:$E$48,"OK",'Conciliacion de compuestos'!$L$2:$L$48,A53))&gt;0,"conciliado en compuesto confirmado","disponible")</f>
        <v/>
      </c>
    </row>
    <row r="54">
      <c r="A54" s="11" t="n">
        <v>52</v>
      </c>
      <c r="B54" s="12" t="n">
        <v>45992</v>
      </c>
      <c r="C54" s="11" t="inlineStr">
        <is>
          <t>cobro comision depositos electronicos</t>
        </is>
      </c>
      <c r="D54" s="13" t="n">
        <v>-7160</v>
      </c>
      <c r="E54" s="11">
        <f>IF(SUM(COUNTIFS('Conciliacion de compuestos'!$D$2:$D$48,"conciliado",'Conciliacion de compuestos'!$E$2:$E$48,"OK",'Conciliacion de compuestos'!$J$2:$J$48,A54),COUNTIFS('Conciliacion de compuestos'!$D$2:$D$48,"conciliado",'Conciliacion de compuestos'!$E$2:$E$48,"OK",'Conciliacion de compuestos'!$K$2:$K$48,A54),COUNTIFS('Conciliacion de compuestos'!$D$2:$D$48,"conciliado",'Conciliacion de compuestos'!$E$2:$E$48,"OK",'Conciliacion de compuestos'!$L$2:$L$48,A54))&gt;0,"conciliado en compuesto confirmado","disponible")</f>
        <v/>
      </c>
    </row>
    <row r="55">
      <c r="A55" s="11" t="n">
        <v>53</v>
      </c>
      <c r="B55" s="12" t="n">
        <v>45992</v>
      </c>
      <c r="C55" s="11" t="inlineStr">
        <is>
          <t>a financiero gravamen movimiento</t>
        </is>
      </c>
      <c r="D55" s="13" t="n">
        <v>-29</v>
      </c>
      <c r="E55" s="11">
        <f>IF(SUM(COUNTIFS('Conciliacion de compuestos'!$D$2:$D$48,"conciliado",'Conciliacion de compuestos'!$E$2:$E$48,"OK",'Conciliacion de compuestos'!$J$2:$J$48,A55),COUNTIFS('Conciliacion de compuestos'!$D$2:$D$48,"conciliado",'Conciliacion de compuestos'!$E$2:$E$48,"OK",'Conciliacion de compuestos'!$K$2:$K$48,A55),COUNTIFS('Conciliacion de compuestos'!$D$2:$D$48,"conciliado",'Conciliacion de compuestos'!$E$2:$E$48,"OK",'Conciliacion de compuestos'!$L$2:$L$48,A55))&gt;0,"conciliado en compuesto confirmado","disponible")</f>
        <v/>
      </c>
    </row>
    <row r="56">
      <c r="A56" s="11" t="n">
        <v>54</v>
      </c>
      <c r="B56" s="12" t="n">
        <v>45992</v>
      </c>
      <c r="C56" s="11" t="inlineStr">
        <is>
          <t>credibanco d e retefuente voucher y</t>
        </is>
      </c>
      <c r="D56" s="13" t="n">
        <v>-4973</v>
      </c>
      <c r="E56" s="11">
        <f>IF(SUM(COUNTIFS('Conciliacion de compuestos'!$D$2:$D$48,"conciliado",'Conciliacion de compuestos'!$E$2:$E$48,"OK",'Conciliacion de compuestos'!$J$2:$J$48,A56),COUNTIFS('Conciliacion de compuestos'!$D$2:$D$48,"conciliado",'Conciliacion de compuestos'!$E$2:$E$48,"OK",'Conciliacion de compuestos'!$K$2:$K$48,A56),COUNTIFS('Conciliacion de compuestos'!$D$2:$D$48,"conciliado",'Conciliacion de compuestos'!$E$2:$E$48,"OK",'Conciliacion de compuestos'!$L$2:$L$48,A56))&gt;0,"conciliado en compuesto confirmado","disponible")</f>
        <v/>
      </c>
    </row>
    <row r="57">
      <c r="A57" s="11" t="n">
        <v>55</v>
      </c>
      <c r="B57" s="12" t="n">
        <v>45992</v>
      </c>
      <c r="C57" s="11" t="inlineStr">
        <is>
          <t>a financiero gravamen movimiento</t>
        </is>
      </c>
      <c r="D57" s="13" t="n">
        <v>-20</v>
      </c>
      <c r="E57" s="11">
        <f>IF(SUM(COUNTIFS('Conciliacion de compuestos'!$D$2:$D$48,"conciliado",'Conciliacion de compuestos'!$E$2:$E$48,"OK",'Conciliacion de compuestos'!$J$2:$J$48,A57),COUNTIFS('Conciliacion de compuestos'!$D$2:$D$48,"conciliado",'Conciliacion de compuestos'!$E$2:$E$48,"OK",'Conciliacion de compuestos'!$K$2:$K$48,A57),COUNTIFS('Conciliacion de compuestos'!$D$2:$D$48,"conciliado",'Conciliacion de compuestos'!$E$2:$E$48,"OK",'Conciliacion de compuestos'!$L$2:$L$48,A57))&gt;0,"conciliado en compuesto confirmado","disponible")</f>
        <v/>
      </c>
    </row>
    <row r="58">
      <c r="A58" s="11" t="n">
        <v>56</v>
      </c>
      <c r="B58" s="12" t="n">
        <v>45992</v>
      </c>
      <c r="C58" s="11" t="inlineStr">
        <is>
          <t>consignacion credibanco d e</t>
        </is>
      </c>
      <c r="D58" s="13" t="n">
        <v>22400</v>
      </c>
      <c r="E58" s="11">
        <f>IF(SUM(COUNTIFS('Conciliacion de compuestos'!$D$2:$D$48,"conciliado",'Conciliacion de compuestos'!$E$2:$E$48,"OK",'Conciliacion de compuestos'!$J$2:$J$48,A58),COUNTIFS('Conciliacion de compuestos'!$D$2:$D$48,"conciliado",'Conciliacion de compuestos'!$E$2:$E$48,"OK",'Conciliacion de compuestos'!$K$2:$K$48,A58),COUNTIFS('Conciliacion de compuestos'!$D$2:$D$48,"conciliado",'Conciliacion de compuestos'!$E$2:$E$48,"OK",'Conciliacion de compuestos'!$L$2:$L$48,A58))&gt;0,"conciliado en compuesto confirmado","disponible")</f>
        <v/>
      </c>
    </row>
    <row r="59">
      <c r="A59" s="11" t="n">
        <v>57</v>
      </c>
      <c r="B59" s="12" t="n">
        <v>45992</v>
      </c>
      <c r="C59" s="11" t="inlineStr">
        <is>
          <t>cobro comision depositos electronicos</t>
        </is>
      </c>
      <c r="D59" s="13" t="n">
        <v>-181</v>
      </c>
      <c r="E59" s="11">
        <f>IF(SUM(COUNTIFS('Conciliacion de compuestos'!$D$2:$D$48,"conciliado",'Conciliacion de compuestos'!$E$2:$E$48,"OK",'Conciliacion de compuestos'!$J$2:$J$48,A59),COUNTIFS('Conciliacion de compuestos'!$D$2:$D$48,"conciliado",'Conciliacion de compuestos'!$E$2:$E$48,"OK",'Conciliacion de compuestos'!$K$2:$K$48,A59),COUNTIFS('Conciliacion de compuestos'!$D$2:$D$48,"conciliado",'Conciliacion de compuestos'!$E$2:$E$48,"OK",'Conciliacion de compuestos'!$L$2:$L$48,A59))&gt;0,"conciliado en compuesto confirmado","disponible")</f>
        <v/>
      </c>
    </row>
    <row r="60">
      <c r="A60" s="11" t="n">
        <v>58</v>
      </c>
      <c r="B60" s="12" t="n">
        <v>45992</v>
      </c>
      <c r="C60" s="11" t="inlineStr">
        <is>
          <t>a financiero gravamen movimiento</t>
        </is>
      </c>
      <c r="D60" s="13" t="n">
        <v>-1</v>
      </c>
      <c r="E60" s="11">
        <f>IF(SUM(COUNTIFS('Conciliacion de compuestos'!$D$2:$D$48,"conciliado",'Conciliacion de compuestos'!$E$2:$E$48,"OK",'Conciliacion de compuestos'!$J$2:$J$48,A60),COUNTIFS('Conciliacion de compuestos'!$D$2:$D$48,"conciliado",'Conciliacion de compuestos'!$E$2:$E$48,"OK",'Conciliacion de compuestos'!$K$2:$K$48,A60),COUNTIFS('Conciliacion de compuestos'!$D$2:$D$48,"conciliado",'Conciliacion de compuestos'!$E$2:$E$48,"OK",'Conciliacion de compuestos'!$L$2:$L$48,A60))&gt;0,"conciliado en compuesto confirmado","disponible")</f>
        <v/>
      </c>
    </row>
    <row r="61">
      <c r="A61" s="11" t="n">
        <v>59</v>
      </c>
      <c r="B61" s="12" t="n">
        <v>45992</v>
      </c>
      <c r="C61" s="11" t="inlineStr">
        <is>
          <t>credibanco d e retefuente voucher y</t>
        </is>
      </c>
      <c r="D61" s="13" t="n">
        <v>-336</v>
      </c>
      <c r="E61" s="11">
        <f>IF(SUM(COUNTIFS('Conciliacion de compuestos'!$D$2:$D$48,"conciliado",'Conciliacion de compuestos'!$E$2:$E$48,"OK",'Conciliacion de compuestos'!$J$2:$J$48,A61),COUNTIFS('Conciliacion de compuestos'!$D$2:$D$48,"conciliado",'Conciliacion de compuestos'!$E$2:$E$48,"OK",'Conciliacion de compuestos'!$K$2:$K$48,A61),COUNTIFS('Conciliacion de compuestos'!$D$2:$D$48,"conciliado",'Conciliacion de compuestos'!$E$2:$E$48,"OK",'Conciliacion de compuestos'!$L$2:$L$48,A61))&gt;0,"conciliado en compuesto confirmado","disponible")</f>
        <v/>
      </c>
    </row>
    <row r="62">
      <c r="A62" s="11" t="n">
        <v>60</v>
      </c>
      <c r="B62" s="12" t="n">
        <v>45992</v>
      </c>
      <c r="C62" s="11" t="inlineStr">
        <is>
          <t>a financiero gravamen movimiento</t>
        </is>
      </c>
      <c r="D62" s="13" t="n">
        <v>-1</v>
      </c>
      <c r="E62" s="11">
        <f>IF(SUM(COUNTIFS('Conciliacion de compuestos'!$D$2:$D$48,"conciliado",'Conciliacion de compuestos'!$E$2:$E$48,"OK",'Conciliacion de compuestos'!$J$2:$J$48,A62),COUNTIFS('Conciliacion de compuestos'!$D$2:$D$48,"conciliado",'Conciliacion de compuestos'!$E$2:$E$48,"OK",'Conciliacion de compuestos'!$K$2:$K$48,A62),COUNTIFS('Conciliacion de compuestos'!$D$2:$D$48,"conciliado",'Conciliacion de compuestos'!$E$2:$E$48,"OK",'Conciliacion de compuestos'!$L$2:$L$48,A62))&gt;0,"conciliado en compuesto confirmado","disponible")</f>
        <v/>
      </c>
    </row>
    <row r="63">
      <c r="A63" s="11" t="n">
        <v>61</v>
      </c>
      <c r="B63" s="12" t="n">
        <v>45992</v>
      </c>
      <c r="C63" s="11" t="inlineStr">
        <is>
          <t>consignacion credibanco d e</t>
        </is>
      </c>
      <c r="D63" s="13" t="n">
        <v>22000</v>
      </c>
      <c r="E63" s="11">
        <f>IF(SUM(COUNTIFS('Conciliacion de compuestos'!$D$2:$D$48,"conciliado",'Conciliacion de compuestos'!$E$2:$E$48,"OK",'Conciliacion de compuestos'!$J$2:$J$48,A63),COUNTIFS('Conciliacion de compuestos'!$D$2:$D$48,"conciliado",'Conciliacion de compuestos'!$E$2:$E$48,"OK",'Conciliacion de compuestos'!$K$2:$K$48,A63),COUNTIFS('Conciliacion de compuestos'!$D$2:$D$48,"conciliado",'Conciliacion de compuestos'!$E$2:$E$48,"OK",'Conciliacion de compuestos'!$L$2:$L$48,A63))&gt;0,"conciliado en compuesto confirmado","disponible")</f>
        <v/>
      </c>
    </row>
    <row r="64">
      <c r="A64" s="11" t="n">
        <v>62</v>
      </c>
      <c r="B64" s="12" t="n">
        <v>45992</v>
      </c>
      <c r="C64" s="11" t="inlineStr">
        <is>
          <t>cobro comision depositos electronicos</t>
        </is>
      </c>
      <c r="D64" s="13" t="n">
        <v>-453</v>
      </c>
      <c r="E64" s="11">
        <f>IF(SUM(COUNTIFS('Conciliacion de compuestos'!$D$2:$D$48,"conciliado",'Conciliacion de compuestos'!$E$2:$E$48,"OK",'Conciliacion de compuestos'!$J$2:$J$48,A64),COUNTIFS('Conciliacion de compuestos'!$D$2:$D$48,"conciliado",'Conciliacion de compuestos'!$E$2:$E$48,"OK",'Conciliacion de compuestos'!$K$2:$K$48,A64),COUNTIFS('Conciliacion de compuestos'!$D$2:$D$48,"conciliado",'Conciliacion de compuestos'!$E$2:$E$48,"OK",'Conciliacion de compuestos'!$L$2:$L$48,A64))&gt;0,"conciliado en compuesto confirmado","disponible")</f>
        <v/>
      </c>
    </row>
    <row r="65">
      <c r="A65" s="11" t="n">
        <v>63</v>
      </c>
      <c r="B65" s="12" t="n">
        <v>45992</v>
      </c>
      <c r="C65" s="11" t="inlineStr">
        <is>
          <t>a financiero gravamen movimiento</t>
        </is>
      </c>
      <c r="D65" s="13" t="n">
        <v>-2</v>
      </c>
      <c r="E65" s="11">
        <f>IF(SUM(COUNTIFS('Conciliacion de compuestos'!$D$2:$D$48,"conciliado",'Conciliacion de compuestos'!$E$2:$E$48,"OK",'Conciliacion de compuestos'!$J$2:$J$48,A65),COUNTIFS('Conciliacion de compuestos'!$D$2:$D$48,"conciliado",'Conciliacion de compuestos'!$E$2:$E$48,"OK",'Conciliacion de compuestos'!$K$2:$K$48,A65),COUNTIFS('Conciliacion de compuestos'!$D$2:$D$48,"conciliado",'Conciliacion de compuestos'!$E$2:$E$48,"OK",'Conciliacion de compuestos'!$L$2:$L$48,A65))&gt;0,"conciliado en compuesto confirmado","disponible")</f>
        <v/>
      </c>
    </row>
    <row r="66">
      <c r="A66" s="11" t="n">
        <v>64</v>
      </c>
      <c r="B66" s="12" t="n">
        <v>45992</v>
      </c>
      <c r="C66" s="11" t="inlineStr">
        <is>
          <t>credibanco d e retefuente voucher y</t>
        </is>
      </c>
      <c r="D66" s="13" t="n">
        <v>-330</v>
      </c>
      <c r="E66" s="11">
        <f>IF(SUM(COUNTIFS('Conciliacion de compuestos'!$D$2:$D$48,"conciliado",'Conciliacion de compuestos'!$E$2:$E$48,"OK",'Conciliacion de compuestos'!$J$2:$J$48,A66),COUNTIFS('Conciliacion de compuestos'!$D$2:$D$48,"conciliado",'Conciliacion de compuestos'!$E$2:$E$48,"OK",'Conciliacion de compuestos'!$K$2:$K$48,A66),COUNTIFS('Conciliacion de compuestos'!$D$2:$D$48,"conciliado",'Conciliacion de compuestos'!$E$2:$E$48,"OK",'Conciliacion de compuestos'!$L$2:$L$48,A66))&gt;0,"conciliado en compuesto confirmado","disponible")</f>
        <v/>
      </c>
    </row>
    <row r="67">
      <c r="A67" s="11" t="n">
        <v>65</v>
      </c>
      <c r="B67" s="12" t="n">
        <v>45992</v>
      </c>
      <c r="C67" s="11" t="inlineStr">
        <is>
          <t>a financiero gravamen movimiento</t>
        </is>
      </c>
      <c r="D67" s="13" t="n">
        <v>-1</v>
      </c>
      <c r="E67" s="11">
        <f>IF(SUM(COUNTIFS('Conciliacion de compuestos'!$D$2:$D$48,"conciliado",'Conciliacion de compuestos'!$E$2:$E$48,"OK",'Conciliacion de compuestos'!$J$2:$J$48,A67),COUNTIFS('Conciliacion de compuestos'!$D$2:$D$48,"conciliado",'Conciliacion de compuestos'!$E$2:$E$48,"OK",'Conciliacion de compuestos'!$K$2:$K$48,A67),COUNTIFS('Conciliacion de compuestos'!$D$2:$D$48,"conciliado",'Conciliacion de compuestos'!$E$2:$E$48,"OK",'Conciliacion de compuestos'!$L$2:$L$48,A67))&gt;0,"conciliado en compuesto confirmado","disponible")</f>
        <v/>
      </c>
    </row>
    <row r="68">
      <c r="A68" s="11" t="n">
        <v>66</v>
      </c>
      <c r="B68" s="12" t="n">
        <v>45992</v>
      </c>
      <c r="C68" s="11" t="inlineStr">
        <is>
          <t>consignacion credibanco d e</t>
        </is>
      </c>
      <c r="D68" s="13" t="n">
        <v>89900</v>
      </c>
      <c r="E68" s="11">
        <f>IF(SUM(COUNTIFS('Conciliacion de compuestos'!$D$2:$D$48,"conciliado",'Conciliacion de compuestos'!$E$2:$E$48,"OK",'Conciliacion de compuestos'!$J$2:$J$48,A68),COUNTIFS('Conciliacion de compuestos'!$D$2:$D$48,"conciliado",'Conciliacion de compuestos'!$E$2:$E$48,"OK",'Conciliacion de compuestos'!$K$2:$K$48,A68),COUNTIFS('Conciliacion de compuestos'!$D$2:$D$48,"conciliado",'Conciliacion de compuestos'!$E$2:$E$48,"OK",'Conciliacion de compuestos'!$L$2:$L$48,A68))&gt;0,"conciliado en compuesto confirmado","disponible")</f>
        <v/>
      </c>
    </row>
    <row r="69">
      <c r="A69" s="11" t="n">
        <v>67</v>
      </c>
      <c r="B69" s="12" t="n">
        <v>45992</v>
      </c>
      <c r="C69" s="11" t="inlineStr">
        <is>
          <t>cobro comision depositos electronicos</t>
        </is>
      </c>
      <c r="D69" s="13" t="n">
        <v>-1852</v>
      </c>
      <c r="E69" s="11">
        <f>IF(SUM(COUNTIFS('Conciliacion de compuestos'!$D$2:$D$48,"conciliado",'Conciliacion de compuestos'!$E$2:$E$48,"OK",'Conciliacion de compuestos'!$J$2:$J$48,A69),COUNTIFS('Conciliacion de compuestos'!$D$2:$D$48,"conciliado",'Conciliacion de compuestos'!$E$2:$E$48,"OK",'Conciliacion de compuestos'!$K$2:$K$48,A69),COUNTIFS('Conciliacion de compuestos'!$D$2:$D$48,"conciliado",'Conciliacion de compuestos'!$E$2:$E$48,"OK",'Conciliacion de compuestos'!$L$2:$L$48,A69))&gt;0,"conciliado en compuesto confirmado","disponible")</f>
        <v/>
      </c>
    </row>
    <row r="70">
      <c r="A70" s="11" t="n">
        <v>68</v>
      </c>
      <c r="B70" s="12" t="n">
        <v>45992</v>
      </c>
      <c r="C70" s="11" t="inlineStr">
        <is>
          <t>a financiero gravamen movimiento</t>
        </is>
      </c>
      <c r="D70" s="13" t="n">
        <v>-7</v>
      </c>
      <c r="E70" s="11">
        <f>IF(SUM(COUNTIFS('Conciliacion de compuestos'!$D$2:$D$48,"conciliado",'Conciliacion de compuestos'!$E$2:$E$48,"OK",'Conciliacion de compuestos'!$J$2:$J$48,A70),COUNTIFS('Conciliacion de compuestos'!$D$2:$D$48,"conciliado",'Conciliacion de compuestos'!$E$2:$E$48,"OK",'Conciliacion de compuestos'!$K$2:$K$48,A70),COUNTIFS('Conciliacion de compuestos'!$D$2:$D$48,"conciliado",'Conciliacion de compuestos'!$E$2:$E$48,"OK",'Conciliacion de compuestos'!$L$2:$L$48,A70))&gt;0,"conciliado en compuesto confirmado","disponible")</f>
        <v/>
      </c>
    </row>
    <row r="71">
      <c r="A71" s="11" t="n">
        <v>69</v>
      </c>
      <c r="B71" s="12" t="n">
        <v>45992</v>
      </c>
      <c r="C71" s="11" t="inlineStr">
        <is>
          <t>credibanco d e retefuente voucher y</t>
        </is>
      </c>
      <c r="D71" s="13" t="n">
        <v>-1349</v>
      </c>
      <c r="E71" s="11">
        <f>IF(SUM(COUNTIFS('Conciliacion de compuestos'!$D$2:$D$48,"conciliado",'Conciliacion de compuestos'!$E$2:$E$48,"OK",'Conciliacion de compuestos'!$J$2:$J$48,A71),COUNTIFS('Conciliacion de compuestos'!$D$2:$D$48,"conciliado",'Conciliacion de compuestos'!$E$2:$E$48,"OK",'Conciliacion de compuestos'!$K$2:$K$48,A71),COUNTIFS('Conciliacion de compuestos'!$D$2:$D$48,"conciliado",'Conciliacion de compuestos'!$E$2:$E$48,"OK",'Conciliacion de compuestos'!$L$2:$L$48,A71))&gt;0,"conciliado en compuesto confirmado","disponible")</f>
        <v/>
      </c>
    </row>
    <row r="72">
      <c r="A72" s="11" t="n">
        <v>70</v>
      </c>
      <c r="B72" s="12" t="n">
        <v>45992</v>
      </c>
      <c r="C72" s="11" t="inlineStr">
        <is>
          <t>a financiero gravamen movimiento</t>
        </is>
      </c>
      <c r="D72" s="13" t="n">
        <v>-5</v>
      </c>
      <c r="E72" s="11">
        <f>IF(SUM(COUNTIFS('Conciliacion de compuestos'!$D$2:$D$48,"conciliado",'Conciliacion de compuestos'!$E$2:$E$48,"OK",'Conciliacion de compuestos'!$J$2:$J$48,A72),COUNTIFS('Conciliacion de compuestos'!$D$2:$D$48,"conciliado",'Conciliacion de compuestos'!$E$2:$E$48,"OK",'Conciliacion de compuestos'!$K$2:$K$48,A72),COUNTIFS('Conciliacion de compuestos'!$D$2:$D$48,"conciliado",'Conciliacion de compuestos'!$E$2:$E$48,"OK",'Conciliacion de compuestos'!$L$2:$L$48,A72))&gt;0,"conciliado en compuesto confirmado","disponible")</f>
        <v/>
      </c>
    </row>
    <row r="73">
      <c r="A73" s="11" t="n">
        <v>71</v>
      </c>
      <c r="B73" s="12" t="n">
        <v>45992</v>
      </c>
      <c r="C73" s="11" t="inlineStr">
        <is>
          <t>consignacion credibanco d e</t>
        </is>
      </c>
      <c r="D73" s="13" t="n">
        <v>159800</v>
      </c>
      <c r="E73" s="11">
        <f>IF(SUM(COUNTIFS('Conciliacion de compuestos'!$D$2:$D$48,"conciliado",'Conciliacion de compuestos'!$E$2:$E$48,"OK",'Conciliacion de compuestos'!$J$2:$J$48,A73),COUNTIFS('Conciliacion de compuestos'!$D$2:$D$48,"conciliado",'Conciliacion de compuestos'!$E$2:$E$48,"OK",'Conciliacion de compuestos'!$K$2:$K$48,A73),COUNTIFS('Conciliacion de compuestos'!$D$2:$D$48,"conciliado",'Conciliacion de compuestos'!$E$2:$E$48,"OK",'Conciliacion de compuestos'!$L$2:$L$48,A73))&gt;0,"conciliado en compuesto confirmado","disponible")</f>
        <v/>
      </c>
    </row>
    <row r="74">
      <c r="A74" s="11" t="n">
        <v>72</v>
      </c>
      <c r="B74" s="12" t="n">
        <v>45992</v>
      </c>
      <c r="C74" s="11" t="inlineStr">
        <is>
          <t>cobro comision depositos electronicos</t>
        </is>
      </c>
      <c r="D74" s="13" t="n">
        <v>-3452</v>
      </c>
      <c r="E74" s="11">
        <f>IF(SUM(COUNTIFS('Conciliacion de compuestos'!$D$2:$D$48,"conciliado",'Conciliacion de compuestos'!$E$2:$E$48,"OK",'Conciliacion de compuestos'!$J$2:$J$48,A74),COUNTIFS('Conciliacion de compuestos'!$D$2:$D$48,"conciliado",'Conciliacion de compuestos'!$E$2:$E$48,"OK",'Conciliacion de compuestos'!$K$2:$K$48,A74),COUNTIFS('Conciliacion de compuestos'!$D$2:$D$48,"conciliado",'Conciliacion de compuestos'!$E$2:$E$48,"OK",'Conciliacion de compuestos'!$L$2:$L$48,A74))&gt;0,"conciliado en compuesto confirmado","disponible")</f>
        <v/>
      </c>
    </row>
    <row r="75">
      <c r="A75" s="11" t="n">
        <v>73</v>
      </c>
      <c r="B75" s="12" t="n">
        <v>45992</v>
      </c>
      <c r="C75" s="11" t="inlineStr">
        <is>
          <t>a financiero gravamen movimiento</t>
        </is>
      </c>
      <c r="D75" s="13" t="n">
        <v>-14</v>
      </c>
      <c r="E75" s="11">
        <f>IF(SUM(COUNTIFS('Conciliacion de compuestos'!$D$2:$D$48,"conciliado",'Conciliacion de compuestos'!$E$2:$E$48,"OK",'Conciliacion de compuestos'!$J$2:$J$48,A75),COUNTIFS('Conciliacion de compuestos'!$D$2:$D$48,"conciliado",'Conciliacion de compuestos'!$E$2:$E$48,"OK",'Conciliacion de compuestos'!$K$2:$K$48,A75),COUNTIFS('Conciliacion de compuestos'!$D$2:$D$48,"conciliado",'Conciliacion de compuestos'!$E$2:$E$48,"OK",'Conciliacion de compuestos'!$L$2:$L$48,A75))&gt;0,"conciliado en compuesto confirmado","disponible")</f>
        <v/>
      </c>
    </row>
    <row r="76">
      <c r="A76" s="11" t="n">
        <v>74</v>
      </c>
      <c r="B76" s="12" t="n">
        <v>45992</v>
      </c>
      <c r="C76" s="11" t="inlineStr">
        <is>
          <t>credibanco d e retefuente voucher y</t>
        </is>
      </c>
      <c r="D76" s="13" t="n">
        <v>-2397</v>
      </c>
      <c r="E76" s="11">
        <f>IF(SUM(COUNTIFS('Conciliacion de compuestos'!$D$2:$D$48,"conciliado",'Conciliacion de compuestos'!$E$2:$E$48,"OK",'Conciliacion de compuestos'!$J$2:$J$48,A76),COUNTIFS('Conciliacion de compuestos'!$D$2:$D$48,"conciliado",'Conciliacion de compuestos'!$E$2:$E$48,"OK",'Conciliacion de compuestos'!$K$2:$K$48,A76),COUNTIFS('Conciliacion de compuestos'!$D$2:$D$48,"conciliado",'Conciliacion de compuestos'!$E$2:$E$48,"OK",'Conciliacion de compuestos'!$L$2:$L$48,A76))&gt;0,"conciliado en compuesto confirmado","disponible")</f>
        <v/>
      </c>
    </row>
    <row r="77">
      <c r="A77" s="11" t="n">
        <v>75</v>
      </c>
      <c r="B77" s="12" t="n">
        <v>45992</v>
      </c>
      <c r="C77" s="11" t="inlineStr">
        <is>
          <t>a financiero gravamen movimiento</t>
        </is>
      </c>
      <c r="D77" s="13" t="n">
        <v>-10</v>
      </c>
      <c r="E77" s="11">
        <f>IF(SUM(COUNTIFS('Conciliacion de compuestos'!$D$2:$D$48,"conciliado",'Conciliacion de compuestos'!$E$2:$E$48,"OK",'Conciliacion de compuestos'!$J$2:$J$48,A77),COUNTIFS('Conciliacion de compuestos'!$D$2:$D$48,"conciliado",'Conciliacion de compuestos'!$E$2:$E$48,"OK",'Conciliacion de compuestos'!$K$2:$K$48,A77),COUNTIFS('Conciliacion de compuestos'!$D$2:$D$48,"conciliado",'Conciliacion de compuestos'!$E$2:$E$48,"OK",'Conciliacion de compuestos'!$L$2:$L$48,A77))&gt;0,"conciliado en compuesto confirmado","disponible")</f>
        <v/>
      </c>
    </row>
    <row r="78">
      <c r="A78" s="11" t="n">
        <v>76</v>
      </c>
      <c r="B78" s="12" t="n">
        <v>45992</v>
      </c>
      <c r="C78" s="11" t="inlineStr">
        <is>
          <t>consignacion credibanco d e</t>
        </is>
      </c>
      <c r="D78" s="13" t="n">
        <v>361200</v>
      </c>
      <c r="E78" s="11">
        <f>IF(SUM(COUNTIFS('Conciliacion de compuestos'!$D$2:$D$48,"conciliado",'Conciliacion de compuestos'!$E$2:$E$48,"OK",'Conciliacion de compuestos'!$J$2:$J$48,A78),COUNTIFS('Conciliacion de compuestos'!$D$2:$D$48,"conciliado",'Conciliacion de compuestos'!$E$2:$E$48,"OK",'Conciliacion de compuestos'!$K$2:$K$48,A78),COUNTIFS('Conciliacion de compuestos'!$D$2:$D$48,"conciliado",'Conciliacion de compuestos'!$E$2:$E$48,"OK",'Conciliacion de compuestos'!$L$2:$L$48,A78))&gt;0,"conciliado en compuesto confirmado","disponible")</f>
        <v/>
      </c>
    </row>
    <row r="79">
      <c r="A79" s="11" t="n">
        <v>77</v>
      </c>
      <c r="B79" s="12" t="n">
        <v>45992</v>
      </c>
      <c r="C79" s="11" t="inlineStr">
        <is>
          <t>cobro comision depositos electronicos</t>
        </is>
      </c>
      <c r="D79" s="13" t="n">
        <v>-2926</v>
      </c>
      <c r="E79" s="11">
        <f>IF(SUM(COUNTIFS('Conciliacion de compuestos'!$D$2:$D$48,"conciliado",'Conciliacion de compuestos'!$E$2:$E$48,"OK",'Conciliacion de compuestos'!$J$2:$J$48,A79),COUNTIFS('Conciliacion de compuestos'!$D$2:$D$48,"conciliado",'Conciliacion de compuestos'!$E$2:$E$48,"OK",'Conciliacion de compuestos'!$K$2:$K$48,A79),COUNTIFS('Conciliacion de compuestos'!$D$2:$D$48,"conciliado",'Conciliacion de compuestos'!$E$2:$E$48,"OK",'Conciliacion de compuestos'!$L$2:$L$48,A79))&gt;0,"conciliado en compuesto confirmado","disponible")</f>
        <v/>
      </c>
    </row>
    <row r="80">
      <c r="A80" s="11" t="n">
        <v>78</v>
      </c>
      <c r="B80" s="12" t="n">
        <v>45992</v>
      </c>
      <c r="C80" s="11" t="inlineStr">
        <is>
          <t>a financiero gravamen movimiento</t>
        </is>
      </c>
      <c r="D80" s="13" t="n">
        <v>-12</v>
      </c>
      <c r="E80" s="11">
        <f>IF(SUM(COUNTIFS('Conciliacion de compuestos'!$D$2:$D$48,"conciliado",'Conciliacion de compuestos'!$E$2:$E$48,"OK",'Conciliacion de compuestos'!$J$2:$J$48,A80),COUNTIFS('Conciliacion de compuestos'!$D$2:$D$48,"conciliado",'Conciliacion de compuestos'!$E$2:$E$48,"OK",'Conciliacion de compuestos'!$K$2:$K$48,A80),COUNTIFS('Conciliacion de compuestos'!$D$2:$D$48,"conciliado",'Conciliacion de compuestos'!$E$2:$E$48,"OK",'Conciliacion de compuestos'!$L$2:$L$48,A80))&gt;0,"conciliado en compuesto confirmado","disponible")</f>
        <v/>
      </c>
    </row>
    <row r="81">
      <c r="A81" s="11" t="n">
        <v>79</v>
      </c>
      <c r="B81" s="12" t="n">
        <v>45992</v>
      </c>
      <c r="C81" s="11" t="inlineStr">
        <is>
          <t>credibanco d e retefuente voucher y</t>
        </is>
      </c>
      <c r="D81" s="13" t="n">
        <v>-5418</v>
      </c>
      <c r="E81" s="11">
        <f>IF(SUM(COUNTIFS('Conciliacion de compuestos'!$D$2:$D$48,"conciliado",'Conciliacion de compuestos'!$E$2:$E$48,"OK",'Conciliacion de compuestos'!$J$2:$J$48,A81),COUNTIFS('Conciliacion de compuestos'!$D$2:$D$48,"conciliado",'Conciliacion de compuestos'!$E$2:$E$48,"OK",'Conciliacion de compuestos'!$K$2:$K$48,A81),COUNTIFS('Conciliacion de compuestos'!$D$2:$D$48,"conciliado",'Conciliacion de compuestos'!$E$2:$E$48,"OK",'Conciliacion de compuestos'!$L$2:$L$48,A81))&gt;0,"conciliado en compuesto confirmado","disponible")</f>
        <v/>
      </c>
    </row>
    <row r="82">
      <c r="A82" s="11" t="n">
        <v>80</v>
      </c>
      <c r="B82" s="12" t="n">
        <v>45992</v>
      </c>
      <c r="C82" s="11" t="inlineStr">
        <is>
          <t>a financiero gravamen movimiento</t>
        </is>
      </c>
      <c r="D82" s="13" t="n">
        <v>-22</v>
      </c>
      <c r="E82" s="11">
        <f>IF(SUM(COUNTIFS('Conciliacion de compuestos'!$D$2:$D$48,"conciliado",'Conciliacion de compuestos'!$E$2:$E$48,"OK",'Conciliacion de compuestos'!$J$2:$J$48,A82),COUNTIFS('Conciliacion de compuestos'!$D$2:$D$48,"conciliado",'Conciliacion de compuestos'!$E$2:$E$48,"OK",'Conciliacion de compuestos'!$K$2:$K$48,A82),COUNTIFS('Conciliacion de compuestos'!$D$2:$D$48,"conciliado",'Conciliacion de compuestos'!$E$2:$E$48,"OK",'Conciliacion de compuestos'!$L$2:$L$48,A82))&gt;0,"conciliado en compuesto confirmado","disponible")</f>
        <v/>
      </c>
    </row>
    <row r="83">
      <c r="A83" s="11" t="n">
        <v>81</v>
      </c>
      <c r="B83" s="12" t="n">
        <v>45992</v>
      </c>
      <c r="C83" s="11" t="inlineStr">
        <is>
          <t>consignacion credibanco d e</t>
        </is>
      </c>
      <c r="D83" s="13" t="n">
        <v>103800</v>
      </c>
      <c r="E83" s="11">
        <f>IF(SUM(COUNTIFS('Conciliacion de compuestos'!$D$2:$D$48,"conciliado",'Conciliacion de compuestos'!$E$2:$E$48,"OK",'Conciliacion de compuestos'!$J$2:$J$48,A83),COUNTIFS('Conciliacion de compuestos'!$D$2:$D$48,"conciliado",'Conciliacion de compuestos'!$E$2:$E$48,"OK",'Conciliacion de compuestos'!$K$2:$K$48,A83),COUNTIFS('Conciliacion de compuestos'!$D$2:$D$48,"conciliado",'Conciliacion de compuestos'!$E$2:$E$48,"OK",'Conciliacion de compuestos'!$L$2:$L$48,A83))&gt;0,"conciliado en compuesto confirmado","disponible")</f>
        <v/>
      </c>
    </row>
    <row r="84">
      <c r="A84" s="11" t="n">
        <v>82</v>
      </c>
      <c r="B84" s="12" t="n">
        <v>45992</v>
      </c>
      <c r="C84" s="11" t="inlineStr">
        <is>
          <t>cobro comision depositos electronicos</t>
        </is>
      </c>
      <c r="D84" s="13" t="n">
        <v>-2138</v>
      </c>
      <c r="E84" s="11">
        <f>IF(SUM(COUNTIFS('Conciliacion de compuestos'!$D$2:$D$48,"conciliado",'Conciliacion de compuestos'!$E$2:$E$48,"OK",'Conciliacion de compuestos'!$J$2:$J$48,A84),COUNTIFS('Conciliacion de compuestos'!$D$2:$D$48,"conciliado",'Conciliacion de compuestos'!$E$2:$E$48,"OK",'Conciliacion de compuestos'!$K$2:$K$48,A84),COUNTIFS('Conciliacion de compuestos'!$D$2:$D$48,"conciliado",'Conciliacion de compuestos'!$E$2:$E$48,"OK",'Conciliacion de compuestos'!$L$2:$L$48,A84))&gt;0,"conciliado en compuesto confirmado","disponible")</f>
        <v/>
      </c>
    </row>
    <row r="85">
      <c r="A85" s="11" t="n">
        <v>83</v>
      </c>
      <c r="B85" s="12" t="n">
        <v>45992</v>
      </c>
      <c r="C85" s="11" t="inlineStr">
        <is>
          <t>a financiero gravamen movimiento</t>
        </is>
      </c>
      <c r="D85" s="13" t="n">
        <v>-9</v>
      </c>
      <c r="E85" s="11">
        <f>IF(SUM(COUNTIFS('Conciliacion de compuestos'!$D$2:$D$48,"conciliado",'Conciliacion de compuestos'!$E$2:$E$48,"OK",'Conciliacion de compuestos'!$J$2:$J$48,A85),COUNTIFS('Conciliacion de compuestos'!$D$2:$D$48,"conciliado",'Conciliacion de compuestos'!$E$2:$E$48,"OK",'Conciliacion de compuestos'!$K$2:$K$48,A85),COUNTIFS('Conciliacion de compuestos'!$D$2:$D$48,"conciliado",'Conciliacion de compuestos'!$E$2:$E$48,"OK",'Conciliacion de compuestos'!$L$2:$L$48,A85))&gt;0,"conciliado en compuesto confirmado","disponible")</f>
        <v/>
      </c>
    </row>
    <row r="86">
      <c r="A86" s="11" t="n">
        <v>84</v>
      </c>
      <c r="B86" s="12" t="n">
        <v>45992</v>
      </c>
      <c r="C86" s="11" t="inlineStr">
        <is>
          <t>credibanco d e retefuente voucher y</t>
        </is>
      </c>
      <c r="D86" s="13" t="n">
        <v>-1557</v>
      </c>
      <c r="E86" s="11">
        <f>IF(SUM(COUNTIFS('Conciliacion de compuestos'!$D$2:$D$48,"conciliado",'Conciliacion de compuestos'!$E$2:$E$48,"OK",'Conciliacion de compuestos'!$J$2:$J$48,A86),COUNTIFS('Conciliacion de compuestos'!$D$2:$D$48,"conciliado",'Conciliacion de compuestos'!$E$2:$E$48,"OK",'Conciliacion de compuestos'!$K$2:$K$48,A86),COUNTIFS('Conciliacion de compuestos'!$D$2:$D$48,"conciliado",'Conciliacion de compuestos'!$E$2:$E$48,"OK",'Conciliacion de compuestos'!$L$2:$L$48,A86))&gt;0,"conciliado en compuesto confirmado","disponible")</f>
        <v/>
      </c>
    </row>
    <row r="87">
      <c r="A87" s="11" t="n">
        <v>85</v>
      </c>
      <c r="B87" s="12" t="n">
        <v>45992</v>
      </c>
      <c r="C87" s="11" t="inlineStr">
        <is>
          <t>a financiero gravamen movimiento</t>
        </is>
      </c>
      <c r="D87" s="13" t="n">
        <v>-6</v>
      </c>
      <c r="E87" s="11">
        <f>IF(SUM(COUNTIFS('Conciliacion de compuestos'!$D$2:$D$48,"conciliado",'Conciliacion de compuestos'!$E$2:$E$48,"OK",'Conciliacion de compuestos'!$J$2:$J$48,A87),COUNTIFS('Conciliacion de compuestos'!$D$2:$D$48,"conciliado",'Conciliacion de compuestos'!$E$2:$E$48,"OK",'Conciliacion de compuestos'!$K$2:$K$48,A87),COUNTIFS('Conciliacion de compuestos'!$D$2:$D$48,"conciliado",'Conciliacion de compuestos'!$E$2:$E$48,"OK",'Conciliacion de compuestos'!$L$2:$L$48,A87))&gt;0,"conciliado en compuesto confirmado","disponible")</f>
        <v/>
      </c>
    </row>
    <row r="88">
      <c r="A88" s="11" t="n">
        <v>86</v>
      </c>
      <c r="B88" s="12" t="n">
        <v>45992</v>
      </c>
      <c r="C88" s="11" t="inlineStr">
        <is>
          <t>consignacion credibanco d e</t>
        </is>
      </c>
      <c r="D88" s="13" t="n">
        <v>254000</v>
      </c>
      <c r="E88" s="11">
        <f>IF(SUM(COUNTIFS('Conciliacion de compuestos'!$D$2:$D$48,"conciliado",'Conciliacion de compuestos'!$E$2:$E$48,"OK",'Conciliacion de compuestos'!$J$2:$J$48,A88),COUNTIFS('Conciliacion de compuestos'!$D$2:$D$48,"conciliado",'Conciliacion de compuestos'!$E$2:$E$48,"OK",'Conciliacion de compuestos'!$K$2:$K$48,A88),COUNTIFS('Conciliacion de compuestos'!$D$2:$D$48,"conciliado",'Conciliacion de compuestos'!$E$2:$E$48,"OK",'Conciliacion de compuestos'!$L$2:$L$48,A88))&gt;0,"conciliado en compuesto confirmado","disponible")</f>
        <v/>
      </c>
    </row>
    <row r="89">
      <c r="A89" s="11" t="n">
        <v>87</v>
      </c>
      <c r="B89" s="12" t="n">
        <v>45992</v>
      </c>
      <c r="C89" s="11" t="inlineStr">
        <is>
          <t>cobro comision depositos electronicos</t>
        </is>
      </c>
      <c r="D89" s="13" t="n">
        <v>-5486</v>
      </c>
      <c r="E89" s="11">
        <f>IF(SUM(COUNTIFS('Conciliacion de compuestos'!$D$2:$D$48,"conciliado",'Conciliacion de compuestos'!$E$2:$E$48,"OK",'Conciliacion de compuestos'!$J$2:$J$48,A89),COUNTIFS('Conciliacion de compuestos'!$D$2:$D$48,"conciliado",'Conciliacion de compuestos'!$E$2:$E$48,"OK",'Conciliacion de compuestos'!$K$2:$K$48,A89),COUNTIFS('Conciliacion de compuestos'!$D$2:$D$48,"conciliado",'Conciliacion de compuestos'!$E$2:$E$48,"OK",'Conciliacion de compuestos'!$L$2:$L$48,A89))&gt;0,"conciliado en compuesto confirmado","disponible")</f>
        <v/>
      </c>
    </row>
    <row r="90">
      <c r="A90" s="11" t="n">
        <v>88</v>
      </c>
      <c r="B90" s="12" t="n">
        <v>45992</v>
      </c>
      <c r="C90" s="11" t="inlineStr">
        <is>
          <t>a financiero gravamen movimiento</t>
        </is>
      </c>
      <c r="D90" s="13" t="n">
        <v>-22</v>
      </c>
      <c r="E90" s="11">
        <f>IF(SUM(COUNTIFS('Conciliacion de compuestos'!$D$2:$D$48,"conciliado",'Conciliacion de compuestos'!$E$2:$E$48,"OK",'Conciliacion de compuestos'!$J$2:$J$48,A90),COUNTIFS('Conciliacion de compuestos'!$D$2:$D$48,"conciliado",'Conciliacion de compuestos'!$E$2:$E$48,"OK",'Conciliacion de compuestos'!$K$2:$K$48,A90),COUNTIFS('Conciliacion de compuestos'!$D$2:$D$48,"conciliado",'Conciliacion de compuestos'!$E$2:$E$48,"OK",'Conciliacion de compuestos'!$L$2:$L$48,A90))&gt;0,"conciliado en compuesto confirmado","disponible")</f>
        <v/>
      </c>
    </row>
    <row r="91">
      <c r="A91" s="11" t="n">
        <v>89</v>
      </c>
      <c r="B91" s="12" t="n">
        <v>45992</v>
      </c>
      <c r="C91" s="11" t="inlineStr">
        <is>
          <t>credibanco d e retefuente voucher y</t>
        </is>
      </c>
      <c r="D91" s="13" t="n">
        <v>-3810</v>
      </c>
      <c r="E91" s="11">
        <f>IF(SUM(COUNTIFS('Conciliacion de compuestos'!$D$2:$D$48,"conciliado",'Conciliacion de compuestos'!$E$2:$E$48,"OK",'Conciliacion de compuestos'!$J$2:$J$48,A91),COUNTIFS('Conciliacion de compuestos'!$D$2:$D$48,"conciliado",'Conciliacion de compuestos'!$E$2:$E$48,"OK",'Conciliacion de compuestos'!$K$2:$K$48,A91),COUNTIFS('Conciliacion de compuestos'!$D$2:$D$48,"conciliado",'Conciliacion de compuestos'!$E$2:$E$48,"OK",'Conciliacion de compuestos'!$L$2:$L$48,A91))&gt;0,"conciliado en compuesto confirmado","disponible")</f>
        <v/>
      </c>
    </row>
    <row r="92">
      <c r="A92" s="11" t="n">
        <v>90</v>
      </c>
      <c r="B92" s="12" t="n">
        <v>45992</v>
      </c>
      <c r="C92" s="11" t="inlineStr">
        <is>
          <t>a financiero gravamen movimiento</t>
        </is>
      </c>
      <c r="D92" s="13" t="n">
        <v>-15</v>
      </c>
      <c r="E92" s="11">
        <f>IF(SUM(COUNTIFS('Conciliacion de compuestos'!$D$2:$D$48,"conciliado",'Conciliacion de compuestos'!$E$2:$E$48,"OK",'Conciliacion de compuestos'!$J$2:$J$48,A92),COUNTIFS('Conciliacion de compuestos'!$D$2:$D$48,"conciliado",'Conciliacion de compuestos'!$E$2:$E$48,"OK",'Conciliacion de compuestos'!$K$2:$K$48,A92),COUNTIFS('Conciliacion de compuestos'!$D$2:$D$48,"conciliado",'Conciliacion de compuestos'!$E$2:$E$48,"OK",'Conciliacion de compuestos'!$L$2:$L$48,A92))&gt;0,"conciliado en compuesto confirmado","disponible")</f>
        <v/>
      </c>
    </row>
    <row r="93">
      <c r="A93" s="11" t="n">
        <v>91</v>
      </c>
      <c r="B93" s="12" t="n">
        <v>45992</v>
      </c>
      <c r="C93" s="11" t="inlineStr">
        <is>
          <t>consignacion credibanco d e</t>
        </is>
      </c>
      <c r="D93" s="13" t="n">
        <v>67300</v>
      </c>
      <c r="E93" s="11">
        <f>IF(SUM(COUNTIFS('Conciliacion de compuestos'!$D$2:$D$48,"conciliado",'Conciliacion de compuestos'!$E$2:$E$48,"OK",'Conciliacion de compuestos'!$J$2:$J$48,A93),COUNTIFS('Conciliacion de compuestos'!$D$2:$D$48,"conciliado",'Conciliacion de compuestos'!$E$2:$E$48,"OK",'Conciliacion de compuestos'!$K$2:$K$48,A93),COUNTIFS('Conciliacion de compuestos'!$D$2:$D$48,"conciliado",'Conciliacion de compuestos'!$E$2:$E$48,"OK",'Conciliacion de compuestos'!$L$2:$L$48,A93))&gt;0,"conciliado en compuesto confirmado","disponible")</f>
        <v/>
      </c>
    </row>
    <row r="94">
      <c r="A94" s="11" t="n">
        <v>92</v>
      </c>
      <c r="B94" s="12" t="n">
        <v>45992</v>
      </c>
      <c r="C94" s="11" t="inlineStr">
        <is>
          <t>cobro comision depositos electronicos</t>
        </is>
      </c>
      <c r="D94" s="13" t="n">
        <v>-1454</v>
      </c>
      <c r="E94" s="11">
        <f>IF(SUM(COUNTIFS('Conciliacion de compuestos'!$D$2:$D$48,"conciliado",'Conciliacion de compuestos'!$E$2:$E$48,"OK",'Conciliacion de compuestos'!$J$2:$J$48,A94),COUNTIFS('Conciliacion de compuestos'!$D$2:$D$48,"conciliado",'Conciliacion de compuestos'!$E$2:$E$48,"OK",'Conciliacion de compuestos'!$K$2:$K$48,A94),COUNTIFS('Conciliacion de compuestos'!$D$2:$D$48,"conciliado",'Conciliacion de compuestos'!$E$2:$E$48,"OK",'Conciliacion de compuestos'!$L$2:$L$48,A94))&gt;0,"conciliado en compuesto confirmado","disponible")</f>
        <v/>
      </c>
    </row>
    <row r="95">
      <c r="A95" s="11" t="n">
        <v>93</v>
      </c>
      <c r="B95" s="12" t="n">
        <v>45992</v>
      </c>
      <c r="C95" s="11" t="inlineStr">
        <is>
          <t>a financiero gravamen movimiento</t>
        </is>
      </c>
      <c r="D95" s="13" t="n">
        <v>-6</v>
      </c>
      <c r="E95" s="11">
        <f>IF(SUM(COUNTIFS('Conciliacion de compuestos'!$D$2:$D$48,"conciliado",'Conciliacion de compuestos'!$E$2:$E$48,"OK",'Conciliacion de compuestos'!$J$2:$J$48,A95),COUNTIFS('Conciliacion de compuestos'!$D$2:$D$48,"conciliado",'Conciliacion de compuestos'!$E$2:$E$48,"OK",'Conciliacion de compuestos'!$K$2:$K$48,A95),COUNTIFS('Conciliacion de compuestos'!$D$2:$D$48,"conciliado",'Conciliacion de compuestos'!$E$2:$E$48,"OK",'Conciliacion de compuestos'!$L$2:$L$48,A95))&gt;0,"conciliado en compuesto confirmado","disponible")</f>
        <v/>
      </c>
    </row>
    <row r="96">
      <c r="A96" s="11" t="n">
        <v>94</v>
      </c>
      <c r="B96" s="12" t="n">
        <v>45992</v>
      </c>
      <c r="C96" s="11" t="inlineStr">
        <is>
          <t>credibanco d e retefuente voucher y</t>
        </is>
      </c>
      <c r="D96" s="13" t="n">
        <v>-1010</v>
      </c>
      <c r="E96" s="11">
        <f>IF(SUM(COUNTIFS('Conciliacion de compuestos'!$D$2:$D$48,"conciliado",'Conciliacion de compuestos'!$E$2:$E$48,"OK",'Conciliacion de compuestos'!$J$2:$J$48,A96),COUNTIFS('Conciliacion de compuestos'!$D$2:$D$48,"conciliado",'Conciliacion de compuestos'!$E$2:$E$48,"OK",'Conciliacion de compuestos'!$K$2:$K$48,A96),COUNTIFS('Conciliacion de compuestos'!$D$2:$D$48,"conciliado",'Conciliacion de compuestos'!$E$2:$E$48,"OK",'Conciliacion de compuestos'!$L$2:$L$48,A96))&gt;0,"conciliado en compuesto confirmado","disponible")</f>
        <v/>
      </c>
    </row>
    <row r="97">
      <c r="A97" s="11" t="n">
        <v>95</v>
      </c>
      <c r="B97" s="12" t="n">
        <v>45992</v>
      </c>
      <c r="C97" s="11" t="inlineStr">
        <is>
          <t>a financiero gravamen movimiento</t>
        </is>
      </c>
      <c r="D97" s="13" t="n">
        <v>-4</v>
      </c>
      <c r="E97" s="11">
        <f>IF(SUM(COUNTIFS('Conciliacion de compuestos'!$D$2:$D$48,"conciliado",'Conciliacion de compuestos'!$E$2:$E$48,"OK",'Conciliacion de compuestos'!$J$2:$J$48,A97),COUNTIFS('Conciliacion de compuestos'!$D$2:$D$48,"conciliado",'Conciliacion de compuestos'!$E$2:$E$48,"OK",'Conciliacion de compuestos'!$K$2:$K$48,A97),COUNTIFS('Conciliacion de compuestos'!$D$2:$D$48,"conciliado",'Conciliacion de compuestos'!$E$2:$E$48,"OK",'Conciliacion de compuestos'!$L$2:$L$48,A97))&gt;0,"conciliado en compuesto confirmado","disponible")</f>
        <v/>
      </c>
    </row>
    <row r="98">
      <c r="A98" s="11" t="n">
        <v>96</v>
      </c>
      <c r="B98" s="12" t="n">
        <v>45992</v>
      </c>
      <c r="C98" s="11" t="inlineStr">
        <is>
          <t>consignacion credibanco d e</t>
        </is>
      </c>
      <c r="D98" s="13" t="n">
        <v>20000</v>
      </c>
      <c r="E98" s="11">
        <f>IF(SUM(COUNTIFS('Conciliacion de compuestos'!$D$2:$D$48,"conciliado",'Conciliacion de compuestos'!$E$2:$E$48,"OK",'Conciliacion de compuestos'!$J$2:$J$48,A98),COUNTIFS('Conciliacion de compuestos'!$D$2:$D$48,"conciliado",'Conciliacion de compuestos'!$E$2:$E$48,"OK",'Conciliacion de compuestos'!$K$2:$K$48,A98),COUNTIFS('Conciliacion de compuestos'!$D$2:$D$48,"conciliado",'Conciliacion de compuestos'!$E$2:$E$48,"OK",'Conciliacion de compuestos'!$L$2:$L$48,A98))&gt;0,"conciliado en compuesto confirmado","disponible")</f>
        <v/>
      </c>
    </row>
    <row r="99">
      <c r="A99" s="11" t="n">
        <v>97</v>
      </c>
      <c r="B99" s="12" t="n">
        <v>45992</v>
      </c>
      <c r="C99" s="11" t="inlineStr">
        <is>
          <t>cobro comision depositos electronicos</t>
        </is>
      </c>
      <c r="D99" s="13" t="n">
        <v>-438</v>
      </c>
      <c r="E99" s="11">
        <f>IF(SUM(COUNTIFS('Conciliacion de compuestos'!$D$2:$D$48,"conciliado",'Conciliacion de compuestos'!$E$2:$E$48,"OK",'Conciliacion de compuestos'!$J$2:$J$48,A99),COUNTIFS('Conciliacion de compuestos'!$D$2:$D$48,"conciliado",'Conciliacion de compuestos'!$E$2:$E$48,"OK",'Conciliacion de compuestos'!$K$2:$K$48,A99),COUNTIFS('Conciliacion de compuestos'!$D$2:$D$48,"conciliado",'Conciliacion de compuestos'!$E$2:$E$48,"OK",'Conciliacion de compuestos'!$L$2:$L$48,A99))&gt;0,"conciliado en compuesto confirmado","disponible")</f>
        <v/>
      </c>
    </row>
    <row r="100">
      <c r="A100" s="11" t="n">
        <v>98</v>
      </c>
      <c r="B100" s="12" t="n">
        <v>45992</v>
      </c>
      <c r="C100" s="11" t="inlineStr">
        <is>
          <t>a financiero gravamen movimiento</t>
        </is>
      </c>
      <c r="D100" s="13" t="n">
        <v>-2</v>
      </c>
      <c r="E100" s="11">
        <f>IF(SUM(COUNTIFS('Conciliacion de compuestos'!$D$2:$D$48,"conciliado",'Conciliacion de compuestos'!$E$2:$E$48,"OK",'Conciliacion de compuestos'!$J$2:$J$48,A100),COUNTIFS('Conciliacion de compuestos'!$D$2:$D$48,"conciliado",'Conciliacion de compuestos'!$E$2:$E$48,"OK",'Conciliacion de compuestos'!$K$2:$K$48,A100),COUNTIFS('Conciliacion de compuestos'!$D$2:$D$48,"conciliado",'Conciliacion de compuestos'!$E$2:$E$48,"OK",'Conciliacion de compuestos'!$L$2:$L$48,A100))&gt;0,"conciliado en compuesto confirmado","disponible")</f>
        <v/>
      </c>
    </row>
    <row r="101">
      <c r="A101" s="11" t="n">
        <v>99</v>
      </c>
      <c r="B101" s="12" t="n">
        <v>45992</v>
      </c>
      <c r="C101" s="11" t="inlineStr">
        <is>
          <t>credibanco d e retefuente voucher y</t>
        </is>
      </c>
      <c r="D101" s="13" t="n">
        <v>-300</v>
      </c>
      <c r="E101" s="11">
        <f>IF(SUM(COUNTIFS('Conciliacion de compuestos'!$D$2:$D$48,"conciliado",'Conciliacion de compuestos'!$E$2:$E$48,"OK",'Conciliacion de compuestos'!$J$2:$J$48,A101),COUNTIFS('Conciliacion de compuestos'!$D$2:$D$48,"conciliado",'Conciliacion de compuestos'!$E$2:$E$48,"OK",'Conciliacion de compuestos'!$K$2:$K$48,A101),COUNTIFS('Conciliacion de compuestos'!$D$2:$D$48,"conciliado",'Conciliacion de compuestos'!$E$2:$E$48,"OK",'Conciliacion de compuestos'!$L$2:$L$48,A101))&gt;0,"conciliado en compuesto confirmado","disponible")</f>
        <v/>
      </c>
    </row>
    <row r="102">
      <c r="A102" s="11" t="n">
        <v>100</v>
      </c>
      <c r="B102" s="12" t="n">
        <v>45992</v>
      </c>
      <c r="C102" s="11" t="inlineStr">
        <is>
          <t>a financiero gravamen movimiento</t>
        </is>
      </c>
      <c r="D102" s="13" t="n">
        <v>-1</v>
      </c>
      <c r="E102" s="11">
        <f>IF(SUM(COUNTIFS('Conciliacion de compuestos'!$D$2:$D$48,"conciliado",'Conciliacion de compuestos'!$E$2:$E$48,"OK",'Conciliacion de compuestos'!$J$2:$J$48,A102),COUNTIFS('Conciliacion de compuestos'!$D$2:$D$48,"conciliado",'Conciliacion de compuestos'!$E$2:$E$48,"OK",'Conciliacion de compuestos'!$K$2:$K$48,A102),COUNTIFS('Conciliacion de compuestos'!$D$2:$D$48,"conciliado",'Conciliacion de compuestos'!$E$2:$E$48,"OK",'Conciliacion de compuestos'!$L$2:$L$48,A102))&gt;0,"conciliado en compuesto confirmado","disponible")</f>
        <v/>
      </c>
    </row>
    <row r="103">
      <c r="A103" s="11" t="n">
        <v>101</v>
      </c>
      <c r="B103" s="12" t="n">
        <v>45992</v>
      </c>
      <c r="C103" s="11" t="inlineStr">
        <is>
          <t>consignacion credibanco d e</t>
        </is>
      </c>
      <c r="D103" s="13" t="n">
        <v>180000</v>
      </c>
      <c r="E103" s="11">
        <f>IF(SUM(COUNTIFS('Conciliacion de compuestos'!$D$2:$D$48,"conciliado",'Conciliacion de compuestos'!$E$2:$E$48,"OK",'Conciliacion de compuestos'!$J$2:$J$48,A103),COUNTIFS('Conciliacion de compuestos'!$D$2:$D$48,"conciliado",'Conciliacion de compuestos'!$E$2:$E$48,"OK",'Conciliacion de compuestos'!$K$2:$K$48,A103),COUNTIFS('Conciliacion de compuestos'!$D$2:$D$48,"conciliado",'Conciliacion de compuestos'!$E$2:$E$48,"OK",'Conciliacion de compuestos'!$L$2:$L$48,A103))&gt;0,"conciliado en compuesto confirmado","disponible")</f>
        <v/>
      </c>
    </row>
    <row r="104">
      <c r="A104" s="11" t="n">
        <v>102</v>
      </c>
      <c r="B104" s="12" t="n">
        <v>45992</v>
      </c>
      <c r="C104" s="11" t="inlineStr">
        <is>
          <t>cobro comision depositos electronicos</t>
        </is>
      </c>
      <c r="D104" s="13" t="n">
        <v>-3942</v>
      </c>
      <c r="E104" s="11">
        <f>IF(SUM(COUNTIFS('Conciliacion de compuestos'!$D$2:$D$48,"conciliado",'Conciliacion de compuestos'!$E$2:$E$48,"OK",'Conciliacion de compuestos'!$J$2:$J$48,A104),COUNTIFS('Conciliacion de compuestos'!$D$2:$D$48,"conciliado",'Conciliacion de compuestos'!$E$2:$E$48,"OK",'Conciliacion de compuestos'!$K$2:$K$48,A104),COUNTIFS('Conciliacion de compuestos'!$D$2:$D$48,"conciliado",'Conciliacion de compuestos'!$E$2:$E$48,"OK",'Conciliacion de compuestos'!$L$2:$L$48,A104))&gt;0,"conciliado en compuesto confirmado","disponible")</f>
        <v/>
      </c>
    </row>
    <row r="105">
      <c r="A105" s="11" t="n">
        <v>103</v>
      </c>
      <c r="B105" s="12" t="n">
        <v>45992</v>
      </c>
      <c r="C105" s="11" t="inlineStr">
        <is>
          <t>a financiero gravamen movimiento</t>
        </is>
      </c>
      <c r="D105" s="13" t="n">
        <v>-16</v>
      </c>
      <c r="E105" s="11">
        <f>IF(SUM(COUNTIFS('Conciliacion de compuestos'!$D$2:$D$48,"conciliado",'Conciliacion de compuestos'!$E$2:$E$48,"OK",'Conciliacion de compuestos'!$J$2:$J$48,A105),COUNTIFS('Conciliacion de compuestos'!$D$2:$D$48,"conciliado",'Conciliacion de compuestos'!$E$2:$E$48,"OK",'Conciliacion de compuestos'!$K$2:$K$48,A105),COUNTIFS('Conciliacion de compuestos'!$D$2:$D$48,"conciliado",'Conciliacion de compuestos'!$E$2:$E$48,"OK",'Conciliacion de compuestos'!$L$2:$L$48,A105))&gt;0,"conciliado en compuesto confirmado","disponible")</f>
        <v/>
      </c>
    </row>
    <row r="106">
      <c r="A106" s="11" t="n">
        <v>104</v>
      </c>
      <c r="B106" s="12" t="n">
        <v>45992</v>
      </c>
      <c r="C106" s="11" t="inlineStr">
        <is>
          <t>credibanco d e retefuente voucher y</t>
        </is>
      </c>
      <c r="D106" s="13" t="n">
        <v>-2700</v>
      </c>
      <c r="E106" s="11">
        <f>IF(SUM(COUNTIFS('Conciliacion de compuestos'!$D$2:$D$48,"conciliado",'Conciliacion de compuestos'!$E$2:$E$48,"OK",'Conciliacion de compuestos'!$J$2:$J$48,A106),COUNTIFS('Conciliacion de compuestos'!$D$2:$D$48,"conciliado",'Conciliacion de compuestos'!$E$2:$E$48,"OK",'Conciliacion de compuestos'!$K$2:$K$48,A106),COUNTIFS('Conciliacion de compuestos'!$D$2:$D$48,"conciliado",'Conciliacion de compuestos'!$E$2:$E$48,"OK",'Conciliacion de compuestos'!$L$2:$L$48,A106))&gt;0,"conciliado en compuesto confirmado","disponible")</f>
        <v/>
      </c>
    </row>
    <row r="107">
      <c r="A107" s="11" t="n">
        <v>105</v>
      </c>
      <c r="B107" s="12" t="n">
        <v>45992</v>
      </c>
      <c r="C107" s="11" t="inlineStr">
        <is>
          <t>a financiero gravamen movimiento</t>
        </is>
      </c>
      <c r="D107" s="13" t="n">
        <v>-11</v>
      </c>
      <c r="E107" s="11">
        <f>IF(SUM(COUNTIFS('Conciliacion de compuestos'!$D$2:$D$48,"conciliado",'Conciliacion de compuestos'!$E$2:$E$48,"OK",'Conciliacion de compuestos'!$J$2:$J$48,A107),COUNTIFS('Conciliacion de compuestos'!$D$2:$D$48,"conciliado",'Conciliacion de compuestos'!$E$2:$E$48,"OK",'Conciliacion de compuestos'!$K$2:$K$48,A107),COUNTIFS('Conciliacion de compuestos'!$D$2:$D$48,"conciliado",'Conciliacion de compuestos'!$E$2:$E$48,"OK",'Conciliacion de compuestos'!$L$2:$L$48,A107))&gt;0,"conciliado en compuesto confirmado","disponible")</f>
        <v/>
      </c>
    </row>
    <row r="108">
      <c r="A108" s="11" t="n">
        <v>106</v>
      </c>
      <c r="B108" s="12" t="n">
        <v>45992</v>
      </c>
      <c r="C108" s="11" t="inlineStr">
        <is>
          <t>consignacion credibanco d e</t>
        </is>
      </c>
      <c r="D108" s="13" t="n">
        <v>23600</v>
      </c>
      <c r="E108" s="11">
        <f>IF(SUM(COUNTIFS('Conciliacion de compuestos'!$D$2:$D$48,"conciliado",'Conciliacion de compuestos'!$E$2:$E$48,"OK",'Conciliacion de compuestos'!$J$2:$J$48,A108),COUNTIFS('Conciliacion de compuestos'!$D$2:$D$48,"conciliado",'Conciliacion de compuestos'!$E$2:$E$48,"OK",'Conciliacion de compuestos'!$K$2:$K$48,A108),COUNTIFS('Conciliacion de compuestos'!$D$2:$D$48,"conciliado",'Conciliacion de compuestos'!$E$2:$E$48,"OK",'Conciliacion de compuestos'!$L$2:$L$48,A108))&gt;0,"conciliado en compuesto confirmado","disponible")</f>
        <v/>
      </c>
    </row>
    <row r="109">
      <c r="A109" s="11" t="n">
        <v>107</v>
      </c>
      <c r="B109" s="12" t="n">
        <v>45992</v>
      </c>
      <c r="C109" s="11" t="inlineStr">
        <is>
          <t>cobro comision depositos electronicos</t>
        </is>
      </c>
      <c r="D109" s="13" t="n">
        <v>-517</v>
      </c>
      <c r="E109" s="11">
        <f>IF(SUM(COUNTIFS('Conciliacion de compuestos'!$D$2:$D$48,"conciliado",'Conciliacion de compuestos'!$E$2:$E$48,"OK",'Conciliacion de compuestos'!$J$2:$J$48,A109),COUNTIFS('Conciliacion de compuestos'!$D$2:$D$48,"conciliado",'Conciliacion de compuestos'!$E$2:$E$48,"OK",'Conciliacion de compuestos'!$K$2:$K$48,A109),COUNTIFS('Conciliacion de compuestos'!$D$2:$D$48,"conciliado",'Conciliacion de compuestos'!$E$2:$E$48,"OK",'Conciliacion de compuestos'!$L$2:$L$48,A109))&gt;0,"conciliado en compuesto confirmado","disponible")</f>
        <v/>
      </c>
    </row>
    <row r="110">
      <c r="A110" s="11" t="n">
        <v>108</v>
      </c>
      <c r="B110" s="12" t="n">
        <v>45992</v>
      </c>
      <c r="C110" s="11" t="inlineStr">
        <is>
          <t>a financiero gravamen movimiento</t>
        </is>
      </c>
      <c r="D110" s="13" t="n">
        <v>-2</v>
      </c>
      <c r="E110" s="11">
        <f>IF(SUM(COUNTIFS('Conciliacion de compuestos'!$D$2:$D$48,"conciliado",'Conciliacion de compuestos'!$E$2:$E$48,"OK",'Conciliacion de compuestos'!$J$2:$J$48,A110),COUNTIFS('Conciliacion de compuestos'!$D$2:$D$48,"conciliado",'Conciliacion de compuestos'!$E$2:$E$48,"OK",'Conciliacion de compuestos'!$K$2:$K$48,A110),COUNTIFS('Conciliacion de compuestos'!$D$2:$D$48,"conciliado",'Conciliacion de compuestos'!$E$2:$E$48,"OK",'Conciliacion de compuestos'!$L$2:$L$48,A110))&gt;0,"conciliado en compuesto confirmado","disponible")</f>
        <v/>
      </c>
    </row>
    <row r="111">
      <c r="A111" s="11" t="n">
        <v>109</v>
      </c>
      <c r="B111" s="12" t="n">
        <v>45992</v>
      </c>
      <c r="C111" s="11" t="inlineStr">
        <is>
          <t>credibanco d e retefuente voucher y</t>
        </is>
      </c>
      <c r="D111" s="13" t="n">
        <v>-354</v>
      </c>
      <c r="E111" s="11">
        <f>IF(SUM(COUNTIFS('Conciliacion de compuestos'!$D$2:$D$48,"conciliado",'Conciliacion de compuestos'!$E$2:$E$48,"OK",'Conciliacion de compuestos'!$J$2:$J$48,A111),COUNTIFS('Conciliacion de compuestos'!$D$2:$D$48,"conciliado",'Conciliacion de compuestos'!$E$2:$E$48,"OK",'Conciliacion de compuestos'!$K$2:$K$48,A111),COUNTIFS('Conciliacion de compuestos'!$D$2:$D$48,"conciliado",'Conciliacion de compuestos'!$E$2:$E$48,"OK",'Conciliacion de compuestos'!$L$2:$L$48,A111))&gt;0,"conciliado en compuesto confirmado","disponible")</f>
        <v/>
      </c>
    </row>
    <row r="112">
      <c r="A112" s="11" t="n">
        <v>110</v>
      </c>
      <c r="B112" s="12" t="n">
        <v>45992</v>
      </c>
      <c r="C112" s="11" t="inlineStr">
        <is>
          <t>a financiero gravamen movimiento</t>
        </is>
      </c>
      <c r="D112" s="13" t="n">
        <v>-1</v>
      </c>
      <c r="E112" s="11">
        <f>IF(SUM(COUNTIFS('Conciliacion de compuestos'!$D$2:$D$48,"conciliado",'Conciliacion de compuestos'!$E$2:$E$48,"OK",'Conciliacion de compuestos'!$J$2:$J$48,A112),COUNTIFS('Conciliacion de compuestos'!$D$2:$D$48,"conciliado",'Conciliacion de compuestos'!$E$2:$E$48,"OK",'Conciliacion de compuestos'!$K$2:$K$48,A112),COUNTIFS('Conciliacion de compuestos'!$D$2:$D$48,"conciliado",'Conciliacion de compuestos'!$E$2:$E$48,"OK",'Conciliacion de compuestos'!$L$2:$L$48,A112))&gt;0,"conciliado en compuesto confirmado","disponible")</f>
        <v/>
      </c>
    </row>
    <row r="113">
      <c r="A113" s="11" t="n">
        <v>111</v>
      </c>
      <c r="B113" s="12" t="n">
        <v>45992</v>
      </c>
      <c r="C113" s="11" t="inlineStr">
        <is>
          <t>depositos electronicos masterca transaccion</t>
        </is>
      </c>
      <c r="D113" s="13" t="n">
        <v>32200</v>
      </c>
      <c r="E113" s="11">
        <f>IF(SUM(COUNTIFS('Conciliacion de compuestos'!$D$2:$D$48,"conciliado",'Conciliacion de compuestos'!$E$2:$E$48,"OK",'Conciliacion de compuestos'!$J$2:$J$48,A113),COUNTIFS('Conciliacion de compuestos'!$D$2:$D$48,"conciliado",'Conciliacion de compuestos'!$E$2:$E$48,"OK",'Conciliacion de compuestos'!$K$2:$K$48,A113),COUNTIFS('Conciliacion de compuestos'!$D$2:$D$48,"conciliado",'Conciliacion de compuestos'!$E$2:$E$48,"OK",'Conciliacion de compuestos'!$L$2:$L$48,A113))&gt;0,"conciliado en compuesto confirmado","disponible")</f>
        <v/>
      </c>
    </row>
    <row r="114">
      <c r="A114" s="11" t="n">
        <v>112</v>
      </c>
      <c r="B114" s="12" t="n">
        <v>45992</v>
      </c>
      <c r="C114" s="11" t="inlineStr">
        <is>
          <t>comision depositos electronicos mastercard</t>
        </is>
      </c>
      <c r="D114" s="13" t="n">
        <v>-612</v>
      </c>
      <c r="E114" s="11">
        <f>IF(SUM(COUNTIFS('Conciliacion de compuestos'!$D$2:$D$48,"conciliado",'Conciliacion de compuestos'!$E$2:$E$48,"OK",'Conciliacion de compuestos'!$J$2:$J$48,A114),COUNTIFS('Conciliacion de compuestos'!$D$2:$D$48,"conciliado",'Conciliacion de compuestos'!$E$2:$E$48,"OK",'Conciliacion de compuestos'!$K$2:$K$48,A114),COUNTIFS('Conciliacion de compuestos'!$D$2:$D$48,"conciliado",'Conciliacion de compuestos'!$E$2:$E$48,"OK",'Conciliacion de compuestos'!$L$2:$L$48,A114))&gt;0,"conciliado en compuesto confirmado","disponible")</f>
        <v/>
      </c>
    </row>
    <row r="115">
      <c r="A115" s="11" t="n">
        <v>113</v>
      </c>
      <c r="B115" s="12" t="n">
        <v>45992</v>
      </c>
      <c r="C115" s="11" t="inlineStr">
        <is>
          <t>a financiero gravamen movimiento</t>
        </is>
      </c>
      <c r="D115" s="13" t="n">
        <v>-2</v>
      </c>
      <c r="E115" s="11">
        <f>IF(SUM(COUNTIFS('Conciliacion de compuestos'!$D$2:$D$48,"conciliado",'Conciliacion de compuestos'!$E$2:$E$48,"OK",'Conciliacion de compuestos'!$J$2:$J$48,A115),COUNTIFS('Conciliacion de compuestos'!$D$2:$D$48,"conciliado",'Conciliacion de compuestos'!$E$2:$E$48,"OK",'Conciliacion de compuestos'!$K$2:$K$48,A115),COUNTIFS('Conciliacion de compuestos'!$D$2:$D$48,"conciliado",'Conciliacion de compuestos'!$E$2:$E$48,"OK",'Conciliacion de compuestos'!$L$2:$L$48,A115))&gt;0,"conciliado en compuesto confirmado","disponible")</f>
        <v/>
      </c>
    </row>
    <row r="116">
      <c r="A116" s="11" t="n">
        <v>114</v>
      </c>
      <c r="B116" s="12" t="n">
        <v>45992</v>
      </c>
      <c r="C116" s="11" t="inlineStr">
        <is>
          <t>depositos electronicos mastercar retefuente</t>
        </is>
      </c>
      <c r="D116" s="13" t="n">
        <v>-483</v>
      </c>
      <c r="E116" s="11">
        <f>IF(SUM(COUNTIFS('Conciliacion de compuestos'!$D$2:$D$48,"conciliado",'Conciliacion de compuestos'!$E$2:$E$48,"OK",'Conciliacion de compuestos'!$J$2:$J$48,A116),COUNTIFS('Conciliacion de compuestos'!$D$2:$D$48,"conciliado",'Conciliacion de compuestos'!$E$2:$E$48,"OK",'Conciliacion de compuestos'!$K$2:$K$48,A116),COUNTIFS('Conciliacion de compuestos'!$D$2:$D$48,"conciliado",'Conciliacion de compuestos'!$E$2:$E$48,"OK",'Conciliacion de compuestos'!$L$2:$L$48,A116))&gt;0,"conciliado en compuesto confirmado","disponible")</f>
        <v/>
      </c>
    </row>
    <row r="117">
      <c r="A117" s="11" t="n">
        <v>115</v>
      </c>
      <c r="B117" s="12" t="n">
        <v>45992</v>
      </c>
      <c r="C117" s="11" t="inlineStr">
        <is>
          <t>a financiero gravamen movimiento</t>
        </is>
      </c>
      <c r="D117" s="13" t="n">
        <v>-2</v>
      </c>
      <c r="E117" s="11">
        <f>IF(SUM(COUNTIFS('Conciliacion de compuestos'!$D$2:$D$48,"conciliado",'Conciliacion de compuestos'!$E$2:$E$48,"OK",'Conciliacion de compuestos'!$J$2:$J$48,A117),COUNTIFS('Conciliacion de compuestos'!$D$2:$D$48,"conciliado",'Conciliacion de compuestos'!$E$2:$E$48,"OK",'Conciliacion de compuestos'!$K$2:$K$48,A117),COUNTIFS('Conciliacion de compuestos'!$D$2:$D$48,"conciliado",'Conciliacion de compuestos'!$E$2:$E$48,"OK",'Conciliacion de compuestos'!$L$2:$L$48,A117))&gt;0,"conciliado en compuesto confirmado","disponible")</f>
        <v/>
      </c>
    </row>
    <row r="118">
      <c r="A118" s="11" t="n">
        <v>116</v>
      </c>
      <c r="B118" s="12" t="n">
        <v>45992</v>
      </c>
      <c r="C118" s="11" t="inlineStr">
        <is>
          <t>depositos electronicos masterca transaccion</t>
        </is>
      </c>
      <c r="D118" s="13" t="n">
        <v>59700</v>
      </c>
      <c r="E118" s="11">
        <f>IF(SUM(COUNTIFS('Conciliacion de compuestos'!$D$2:$D$48,"conciliado",'Conciliacion de compuestos'!$E$2:$E$48,"OK",'Conciliacion de compuestos'!$J$2:$J$48,A118),COUNTIFS('Conciliacion de compuestos'!$D$2:$D$48,"conciliado",'Conciliacion de compuestos'!$E$2:$E$48,"OK",'Conciliacion de compuestos'!$K$2:$K$48,A118),COUNTIFS('Conciliacion de compuestos'!$D$2:$D$48,"conciliado",'Conciliacion de compuestos'!$E$2:$E$48,"OK",'Conciliacion de compuestos'!$L$2:$L$48,A118))&gt;0,"conciliado en compuesto confirmado","disponible")</f>
        <v/>
      </c>
    </row>
    <row r="119">
      <c r="A119" s="11" t="n">
        <v>117</v>
      </c>
      <c r="B119" s="12" t="n">
        <v>45992</v>
      </c>
      <c r="C119" s="11" t="inlineStr">
        <is>
          <t>comision depositos electronicos mastercard</t>
        </is>
      </c>
      <c r="D119" s="13" t="n">
        <v>-1134</v>
      </c>
      <c r="E119" s="11">
        <f>IF(SUM(COUNTIFS('Conciliacion de compuestos'!$D$2:$D$48,"conciliado",'Conciliacion de compuestos'!$E$2:$E$48,"OK",'Conciliacion de compuestos'!$J$2:$J$48,A119),COUNTIFS('Conciliacion de compuestos'!$D$2:$D$48,"conciliado",'Conciliacion de compuestos'!$E$2:$E$48,"OK",'Conciliacion de compuestos'!$K$2:$K$48,A119),COUNTIFS('Conciliacion de compuestos'!$D$2:$D$48,"conciliado",'Conciliacion de compuestos'!$E$2:$E$48,"OK",'Conciliacion de compuestos'!$L$2:$L$48,A119))&gt;0,"conciliado en compuesto confirmado","disponible")</f>
        <v/>
      </c>
    </row>
    <row r="120">
      <c r="A120" s="11" t="n">
        <v>118</v>
      </c>
      <c r="B120" s="12" t="n">
        <v>45992</v>
      </c>
      <c r="C120" s="11" t="inlineStr">
        <is>
          <t>a financiero gravamen movimiento</t>
        </is>
      </c>
      <c r="D120" s="13" t="n">
        <v>-5</v>
      </c>
      <c r="E120" s="11">
        <f>IF(SUM(COUNTIFS('Conciliacion de compuestos'!$D$2:$D$48,"conciliado",'Conciliacion de compuestos'!$E$2:$E$48,"OK",'Conciliacion de compuestos'!$J$2:$J$48,A120),COUNTIFS('Conciliacion de compuestos'!$D$2:$D$48,"conciliado",'Conciliacion de compuestos'!$E$2:$E$48,"OK",'Conciliacion de compuestos'!$K$2:$K$48,A120),COUNTIFS('Conciliacion de compuestos'!$D$2:$D$48,"conciliado",'Conciliacion de compuestos'!$E$2:$E$48,"OK",'Conciliacion de compuestos'!$L$2:$L$48,A120))&gt;0,"conciliado en compuesto confirmado","disponible")</f>
        <v/>
      </c>
    </row>
    <row r="121">
      <c r="A121" s="11" t="n">
        <v>119</v>
      </c>
      <c r="B121" s="12" t="n">
        <v>45992</v>
      </c>
      <c r="C121" s="11" t="inlineStr">
        <is>
          <t>depositos electronicos mastercar retefuente</t>
        </is>
      </c>
      <c r="D121" s="13" t="n">
        <v>-896</v>
      </c>
      <c r="E121" s="11">
        <f>IF(SUM(COUNTIFS('Conciliacion de compuestos'!$D$2:$D$48,"conciliado",'Conciliacion de compuestos'!$E$2:$E$48,"OK",'Conciliacion de compuestos'!$J$2:$J$48,A121),COUNTIFS('Conciliacion de compuestos'!$D$2:$D$48,"conciliado",'Conciliacion de compuestos'!$E$2:$E$48,"OK",'Conciliacion de compuestos'!$K$2:$K$48,A121),COUNTIFS('Conciliacion de compuestos'!$D$2:$D$48,"conciliado",'Conciliacion de compuestos'!$E$2:$E$48,"OK",'Conciliacion de compuestos'!$L$2:$L$48,A121))&gt;0,"conciliado en compuesto confirmado","disponible")</f>
        <v/>
      </c>
    </row>
    <row r="122">
      <c r="A122" s="11" t="n">
        <v>120</v>
      </c>
      <c r="B122" s="12" t="n">
        <v>45992</v>
      </c>
      <c r="C122" s="11" t="inlineStr">
        <is>
          <t>a financiero gravamen movimiento</t>
        </is>
      </c>
      <c r="D122" s="13" t="n">
        <v>-4</v>
      </c>
      <c r="E122" s="11">
        <f>IF(SUM(COUNTIFS('Conciliacion de compuestos'!$D$2:$D$48,"conciliado",'Conciliacion de compuestos'!$E$2:$E$48,"OK",'Conciliacion de compuestos'!$J$2:$J$48,A122),COUNTIFS('Conciliacion de compuestos'!$D$2:$D$48,"conciliado",'Conciliacion de compuestos'!$E$2:$E$48,"OK",'Conciliacion de compuestos'!$K$2:$K$48,A122),COUNTIFS('Conciliacion de compuestos'!$D$2:$D$48,"conciliado",'Conciliacion de compuestos'!$E$2:$E$48,"OK",'Conciliacion de compuestos'!$L$2:$L$48,A122))&gt;0,"conciliado en compuesto confirmado","disponible")</f>
        <v/>
      </c>
    </row>
    <row r="123">
      <c r="A123" s="11" t="n">
        <v>121</v>
      </c>
      <c r="B123" s="12" t="n">
        <v>45992</v>
      </c>
      <c r="C123" s="11" t="inlineStr">
        <is>
          <t>depositos electronicos masterca transaccion</t>
        </is>
      </c>
      <c r="D123" s="13" t="n">
        <v>22400</v>
      </c>
      <c r="E123" s="11">
        <f>IF(SUM(COUNTIFS('Conciliacion de compuestos'!$D$2:$D$48,"conciliado",'Conciliacion de compuestos'!$E$2:$E$48,"OK",'Conciliacion de compuestos'!$J$2:$J$48,A123),COUNTIFS('Conciliacion de compuestos'!$D$2:$D$48,"conciliado",'Conciliacion de compuestos'!$E$2:$E$48,"OK",'Conciliacion de compuestos'!$K$2:$K$48,A123),COUNTIFS('Conciliacion de compuestos'!$D$2:$D$48,"conciliado",'Conciliacion de compuestos'!$E$2:$E$48,"OK",'Conciliacion de compuestos'!$L$2:$L$48,A123))&gt;0,"conciliado en compuesto confirmado","disponible")</f>
        <v/>
      </c>
    </row>
    <row r="124">
      <c r="A124" s="11" t="n">
        <v>122</v>
      </c>
      <c r="B124" s="12" t="n">
        <v>45992</v>
      </c>
      <c r="C124" s="11" t="inlineStr">
        <is>
          <t>comision depositos electronicos mastercard</t>
        </is>
      </c>
      <c r="D124" s="13" t="n">
        <v>-426</v>
      </c>
      <c r="E124" s="11">
        <f>IF(SUM(COUNTIFS('Conciliacion de compuestos'!$D$2:$D$48,"conciliado",'Conciliacion de compuestos'!$E$2:$E$48,"OK",'Conciliacion de compuestos'!$J$2:$J$48,A124),COUNTIFS('Conciliacion de compuestos'!$D$2:$D$48,"conciliado",'Conciliacion de compuestos'!$E$2:$E$48,"OK",'Conciliacion de compuestos'!$K$2:$K$48,A124),COUNTIFS('Conciliacion de compuestos'!$D$2:$D$48,"conciliado",'Conciliacion de compuestos'!$E$2:$E$48,"OK",'Conciliacion de compuestos'!$L$2:$L$48,A124))&gt;0,"conciliado en compuesto confirmado","disponible")</f>
        <v/>
      </c>
    </row>
    <row r="125">
      <c r="A125" s="11" t="n">
        <v>123</v>
      </c>
      <c r="B125" s="12" t="n">
        <v>45992</v>
      </c>
      <c r="C125" s="11" t="inlineStr">
        <is>
          <t>a financiero gravamen movimiento</t>
        </is>
      </c>
      <c r="D125" s="13" t="n">
        <v>-2</v>
      </c>
      <c r="E125" s="11">
        <f>IF(SUM(COUNTIFS('Conciliacion de compuestos'!$D$2:$D$48,"conciliado",'Conciliacion de compuestos'!$E$2:$E$48,"OK",'Conciliacion de compuestos'!$J$2:$J$48,A125),COUNTIFS('Conciliacion de compuestos'!$D$2:$D$48,"conciliado",'Conciliacion de compuestos'!$E$2:$E$48,"OK",'Conciliacion de compuestos'!$K$2:$K$48,A125),COUNTIFS('Conciliacion de compuestos'!$D$2:$D$48,"conciliado",'Conciliacion de compuestos'!$E$2:$E$48,"OK",'Conciliacion de compuestos'!$L$2:$L$48,A125))&gt;0,"conciliado en compuesto confirmado","disponible")</f>
        <v/>
      </c>
    </row>
    <row r="126">
      <c r="A126" s="11" t="n">
        <v>124</v>
      </c>
      <c r="B126" s="12" t="n">
        <v>45992</v>
      </c>
      <c r="C126" s="11" t="inlineStr">
        <is>
          <t>depositos electronicos mastercar retefuente</t>
        </is>
      </c>
      <c r="D126" s="13" t="n">
        <v>-336</v>
      </c>
      <c r="E126" s="11">
        <f>IF(SUM(COUNTIFS('Conciliacion de compuestos'!$D$2:$D$48,"conciliado",'Conciliacion de compuestos'!$E$2:$E$48,"OK",'Conciliacion de compuestos'!$J$2:$J$48,A126),COUNTIFS('Conciliacion de compuestos'!$D$2:$D$48,"conciliado",'Conciliacion de compuestos'!$E$2:$E$48,"OK",'Conciliacion de compuestos'!$K$2:$K$48,A126),COUNTIFS('Conciliacion de compuestos'!$D$2:$D$48,"conciliado",'Conciliacion de compuestos'!$E$2:$E$48,"OK",'Conciliacion de compuestos'!$L$2:$L$48,A126))&gt;0,"conciliado en compuesto confirmado","disponible")</f>
        <v/>
      </c>
    </row>
    <row r="127">
      <c r="A127" s="11" t="n">
        <v>125</v>
      </c>
      <c r="B127" s="12" t="n">
        <v>45992</v>
      </c>
      <c r="C127" s="11" t="inlineStr">
        <is>
          <t>a financiero gravamen movimiento</t>
        </is>
      </c>
      <c r="D127" s="13" t="n">
        <v>-1</v>
      </c>
      <c r="E127" s="11">
        <f>IF(SUM(COUNTIFS('Conciliacion de compuestos'!$D$2:$D$48,"conciliado",'Conciliacion de compuestos'!$E$2:$E$48,"OK",'Conciliacion de compuestos'!$J$2:$J$48,A127),COUNTIFS('Conciliacion de compuestos'!$D$2:$D$48,"conciliado",'Conciliacion de compuestos'!$E$2:$E$48,"OK",'Conciliacion de compuestos'!$K$2:$K$48,A127),COUNTIFS('Conciliacion de compuestos'!$D$2:$D$48,"conciliado",'Conciliacion de compuestos'!$E$2:$E$48,"OK",'Conciliacion de compuestos'!$L$2:$L$48,A127))&gt;0,"conciliado en compuesto confirmado","disponible")</f>
        <v/>
      </c>
    </row>
    <row r="128">
      <c r="A128" s="11" t="n">
        <v>126</v>
      </c>
      <c r="B128" s="12" t="n">
        <v>45993</v>
      </c>
      <c r="C128" s="11" t="inlineStr">
        <is>
          <t>consignacion credibanco d e</t>
        </is>
      </c>
      <c r="D128" s="13" t="n">
        <v>282550</v>
      </c>
      <c r="E128" s="11">
        <f>IF(SUM(COUNTIFS('Conciliacion de compuestos'!$D$2:$D$48,"conciliado",'Conciliacion de compuestos'!$E$2:$E$48,"OK",'Conciliacion de compuestos'!$J$2:$J$48,A128),COUNTIFS('Conciliacion de compuestos'!$D$2:$D$48,"conciliado",'Conciliacion de compuestos'!$E$2:$E$48,"OK",'Conciliacion de compuestos'!$K$2:$K$48,A128),COUNTIFS('Conciliacion de compuestos'!$D$2:$D$48,"conciliado",'Conciliacion de compuestos'!$E$2:$E$48,"OK",'Conciliacion de compuestos'!$L$2:$L$48,A128))&gt;0,"conciliado en compuesto confirmado","disponible")</f>
        <v/>
      </c>
    </row>
    <row r="129">
      <c r="A129" s="11" t="n">
        <v>127</v>
      </c>
      <c r="B129" s="12" t="n">
        <v>45993</v>
      </c>
      <c r="C129" s="11" t="inlineStr">
        <is>
          <t>cobro comision depositos electronicos</t>
        </is>
      </c>
      <c r="D129" s="13" t="n">
        <v>-2289</v>
      </c>
      <c r="E129" s="11">
        <f>IF(SUM(COUNTIFS('Conciliacion de compuestos'!$D$2:$D$48,"conciliado",'Conciliacion de compuestos'!$E$2:$E$48,"OK",'Conciliacion de compuestos'!$J$2:$J$48,A129),COUNTIFS('Conciliacion de compuestos'!$D$2:$D$48,"conciliado",'Conciliacion de compuestos'!$E$2:$E$48,"OK",'Conciliacion de compuestos'!$K$2:$K$48,A129),COUNTIFS('Conciliacion de compuestos'!$D$2:$D$48,"conciliado",'Conciliacion de compuestos'!$E$2:$E$48,"OK",'Conciliacion de compuestos'!$L$2:$L$48,A129))&gt;0,"conciliado en compuesto confirmado","disponible")</f>
        <v/>
      </c>
    </row>
    <row r="130">
      <c r="A130" s="11" t="n">
        <v>128</v>
      </c>
      <c r="B130" s="12" t="n">
        <v>45993</v>
      </c>
      <c r="C130" s="11" t="inlineStr">
        <is>
          <t>a financiero gravamen movimiento</t>
        </is>
      </c>
      <c r="D130" s="13" t="n">
        <v>-9</v>
      </c>
      <c r="E130" s="11">
        <f>IF(SUM(COUNTIFS('Conciliacion de compuestos'!$D$2:$D$48,"conciliado",'Conciliacion de compuestos'!$E$2:$E$48,"OK",'Conciliacion de compuestos'!$J$2:$J$48,A130),COUNTIFS('Conciliacion de compuestos'!$D$2:$D$48,"conciliado",'Conciliacion de compuestos'!$E$2:$E$48,"OK",'Conciliacion de compuestos'!$K$2:$K$48,A130),COUNTIFS('Conciliacion de compuestos'!$D$2:$D$48,"conciliado",'Conciliacion de compuestos'!$E$2:$E$48,"OK",'Conciliacion de compuestos'!$L$2:$L$48,A130))&gt;0,"conciliado en compuesto confirmado","disponible")</f>
        <v/>
      </c>
    </row>
    <row r="131">
      <c r="A131" s="11" t="n">
        <v>129</v>
      </c>
      <c r="B131" s="12" t="n">
        <v>45993</v>
      </c>
      <c r="C131" s="11" t="inlineStr">
        <is>
          <t>credibanco d e retefuente voucher y</t>
        </is>
      </c>
      <c r="D131" s="13" t="n">
        <v>-4238</v>
      </c>
      <c r="E131" s="11">
        <f>IF(SUM(COUNTIFS('Conciliacion de compuestos'!$D$2:$D$48,"conciliado",'Conciliacion de compuestos'!$E$2:$E$48,"OK",'Conciliacion de compuestos'!$J$2:$J$48,A131),COUNTIFS('Conciliacion de compuestos'!$D$2:$D$48,"conciliado",'Conciliacion de compuestos'!$E$2:$E$48,"OK",'Conciliacion de compuestos'!$K$2:$K$48,A131),COUNTIFS('Conciliacion de compuestos'!$D$2:$D$48,"conciliado",'Conciliacion de compuestos'!$E$2:$E$48,"OK",'Conciliacion de compuestos'!$L$2:$L$48,A131))&gt;0,"conciliado en compuesto confirmado","disponible")</f>
        <v/>
      </c>
    </row>
    <row r="132">
      <c r="A132" s="11" t="n">
        <v>130</v>
      </c>
      <c r="B132" s="12" t="n">
        <v>45993</v>
      </c>
      <c r="C132" s="11" t="inlineStr">
        <is>
          <t>a financiero gravamen movimiento</t>
        </is>
      </c>
      <c r="D132" s="13" t="n">
        <v>-17</v>
      </c>
      <c r="E132" s="11">
        <f>IF(SUM(COUNTIFS('Conciliacion de compuestos'!$D$2:$D$48,"conciliado",'Conciliacion de compuestos'!$E$2:$E$48,"OK",'Conciliacion de compuestos'!$J$2:$J$48,A132),COUNTIFS('Conciliacion de compuestos'!$D$2:$D$48,"conciliado",'Conciliacion de compuestos'!$E$2:$E$48,"OK",'Conciliacion de compuestos'!$K$2:$K$48,A132),COUNTIFS('Conciliacion de compuestos'!$D$2:$D$48,"conciliado",'Conciliacion de compuestos'!$E$2:$E$48,"OK",'Conciliacion de compuestos'!$L$2:$L$48,A132))&gt;0,"conciliado en compuesto confirmado","disponible")</f>
        <v/>
      </c>
    </row>
    <row r="133">
      <c r="A133" s="11" t="n">
        <v>131</v>
      </c>
      <c r="B133" s="12" t="n">
        <v>45993</v>
      </c>
      <c r="C133" s="11" t="inlineStr">
        <is>
          <t>consignacion credibanco d e</t>
        </is>
      </c>
      <c r="D133" s="13" t="n">
        <v>504500</v>
      </c>
      <c r="E133" s="11">
        <f>IF(SUM(COUNTIFS('Conciliacion de compuestos'!$D$2:$D$48,"conciliado",'Conciliacion de compuestos'!$E$2:$E$48,"OK",'Conciliacion de compuestos'!$J$2:$J$48,A133),COUNTIFS('Conciliacion de compuestos'!$D$2:$D$48,"conciliado",'Conciliacion de compuestos'!$E$2:$E$48,"OK",'Conciliacion de compuestos'!$K$2:$K$48,A133),COUNTIFS('Conciliacion de compuestos'!$D$2:$D$48,"conciliado",'Conciliacion de compuestos'!$E$2:$E$48,"OK",'Conciliacion de compuestos'!$L$2:$L$48,A133))&gt;0,"conciliado en compuesto confirmado","disponible")</f>
        <v/>
      </c>
    </row>
    <row r="134">
      <c r="A134" s="11" t="n">
        <v>132</v>
      </c>
      <c r="B134" s="12" t="n">
        <v>45993</v>
      </c>
      <c r="C134" s="11" t="inlineStr">
        <is>
          <t>cobro comision depositos electronicos</t>
        </is>
      </c>
      <c r="D134" s="13" t="n">
        <v>-10897</v>
      </c>
      <c r="E134" s="11">
        <f>IF(SUM(COUNTIFS('Conciliacion de compuestos'!$D$2:$D$48,"conciliado",'Conciliacion de compuestos'!$E$2:$E$48,"OK",'Conciliacion de compuestos'!$J$2:$J$48,A134),COUNTIFS('Conciliacion de compuestos'!$D$2:$D$48,"conciliado",'Conciliacion de compuestos'!$E$2:$E$48,"OK",'Conciliacion de compuestos'!$K$2:$K$48,A134),COUNTIFS('Conciliacion de compuestos'!$D$2:$D$48,"conciliado",'Conciliacion de compuestos'!$E$2:$E$48,"OK",'Conciliacion de compuestos'!$L$2:$L$48,A134))&gt;0,"conciliado en compuesto confirmado","disponible")</f>
        <v/>
      </c>
    </row>
    <row r="135">
      <c r="A135" s="11" t="n">
        <v>133</v>
      </c>
      <c r="B135" s="12" t="n">
        <v>45993</v>
      </c>
      <c r="C135" s="11" t="inlineStr">
        <is>
          <t>a financiero gravamen movimiento</t>
        </is>
      </c>
      <c r="D135" s="13" t="n">
        <v>-44</v>
      </c>
      <c r="E135" s="11">
        <f>IF(SUM(COUNTIFS('Conciliacion de compuestos'!$D$2:$D$48,"conciliado",'Conciliacion de compuestos'!$E$2:$E$48,"OK",'Conciliacion de compuestos'!$J$2:$J$48,A135),COUNTIFS('Conciliacion de compuestos'!$D$2:$D$48,"conciliado",'Conciliacion de compuestos'!$E$2:$E$48,"OK",'Conciliacion de compuestos'!$K$2:$K$48,A135),COUNTIFS('Conciliacion de compuestos'!$D$2:$D$48,"conciliado",'Conciliacion de compuestos'!$E$2:$E$48,"OK",'Conciliacion de compuestos'!$L$2:$L$48,A135))&gt;0,"conciliado en compuesto confirmado","disponible")</f>
        <v/>
      </c>
    </row>
    <row r="136">
      <c r="A136" s="11" t="n">
        <v>134</v>
      </c>
      <c r="B136" s="12" t="n">
        <v>45993</v>
      </c>
      <c r="C136" s="11" t="inlineStr">
        <is>
          <t>credibanco d e retefuente voucher y</t>
        </is>
      </c>
      <c r="D136" s="13" t="n">
        <v>-7568</v>
      </c>
      <c r="E136" s="11">
        <f>IF(SUM(COUNTIFS('Conciliacion de compuestos'!$D$2:$D$48,"conciliado",'Conciliacion de compuestos'!$E$2:$E$48,"OK",'Conciliacion de compuestos'!$J$2:$J$48,A136),COUNTIFS('Conciliacion de compuestos'!$D$2:$D$48,"conciliado",'Conciliacion de compuestos'!$E$2:$E$48,"OK",'Conciliacion de compuestos'!$K$2:$K$48,A136),COUNTIFS('Conciliacion de compuestos'!$D$2:$D$48,"conciliado",'Conciliacion de compuestos'!$E$2:$E$48,"OK",'Conciliacion de compuestos'!$L$2:$L$48,A136))&gt;0,"conciliado en compuesto confirmado","disponible")</f>
        <v/>
      </c>
    </row>
    <row r="137">
      <c r="A137" s="11" t="n">
        <v>135</v>
      </c>
      <c r="B137" s="12" t="n">
        <v>45993</v>
      </c>
      <c r="C137" s="11" t="inlineStr">
        <is>
          <t>a financiero gravamen movimiento</t>
        </is>
      </c>
      <c r="D137" s="13" t="n">
        <v>-30</v>
      </c>
      <c r="E137" s="11">
        <f>IF(SUM(COUNTIFS('Conciliacion de compuestos'!$D$2:$D$48,"conciliado",'Conciliacion de compuestos'!$E$2:$E$48,"OK",'Conciliacion de compuestos'!$J$2:$J$48,A137),COUNTIFS('Conciliacion de compuestos'!$D$2:$D$48,"conciliado",'Conciliacion de compuestos'!$E$2:$E$48,"OK",'Conciliacion de compuestos'!$K$2:$K$48,A137),COUNTIFS('Conciliacion de compuestos'!$D$2:$D$48,"conciliado",'Conciliacion de compuestos'!$E$2:$E$48,"OK",'Conciliacion de compuestos'!$L$2:$L$48,A137))&gt;0,"conciliado en compuesto confirmado","disponible")</f>
        <v/>
      </c>
    </row>
    <row r="138">
      <c r="A138" s="11" t="n">
        <v>136</v>
      </c>
      <c r="B138" s="12" t="n">
        <v>45993</v>
      </c>
      <c r="C138" s="11" t="inlineStr">
        <is>
          <t>consignacion credibanco d e</t>
        </is>
      </c>
      <c r="D138" s="13" t="n">
        <v>66200</v>
      </c>
      <c r="E138" s="11">
        <f>IF(SUM(COUNTIFS('Conciliacion de compuestos'!$D$2:$D$48,"conciliado",'Conciliacion de compuestos'!$E$2:$E$48,"OK",'Conciliacion de compuestos'!$J$2:$J$48,A138),COUNTIFS('Conciliacion de compuestos'!$D$2:$D$48,"conciliado",'Conciliacion de compuestos'!$E$2:$E$48,"OK",'Conciliacion de compuestos'!$K$2:$K$48,A138),COUNTIFS('Conciliacion de compuestos'!$D$2:$D$48,"conciliado",'Conciliacion de compuestos'!$E$2:$E$48,"OK",'Conciliacion de compuestos'!$L$2:$L$48,A138))&gt;0,"conciliado en compuesto confirmado","disponible")</f>
        <v/>
      </c>
    </row>
    <row r="139">
      <c r="A139" s="11" t="n">
        <v>137</v>
      </c>
      <c r="B139" s="12" t="n">
        <v>45993</v>
      </c>
      <c r="C139" s="11" t="inlineStr">
        <is>
          <t>cobro comision depositos electronicos</t>
        </is>
      </c>
      <c r="D139" s="13" t="n">
        <v>-1364</v>
      </c>
      <c r="E139" s="11">
        <f>IF(SUM(COUNTIFS('Conciliacion de compuestos'!$D$2:$D$48,"conciliado",'Conciliacion de compuestos'!$E$2:$E$48,"OK",'Conciliacion de compuestos'!$J$2:$J$48,A139),COUNTIFS('Conciliacion de compuestos'!$D$2:$D$48,"conciliado",'Conciliacion de compuestos'!$E$2:$E$48,"OK",'Conciliacion de compuestos'!$K$2:$K$48,A139),COUNTIFS('Conciliacion de compuestos'!$D$2:$D$48,"conciliado",'Conciliacion de compuestos'!$E$2:$E$48,"OK",'Conciliacion de compuestos'!$L$2:$L$48,A139))&gt;0,"conciliado en compuesto confirmado","disponible")</f>
        <v/>
      </c>
    </row>
    <row r="140">
      <c r="A140" s="11" t="n">
        <v>138</v>
      </c>
      <c r="B140" s="12" t="n">
        <v>45993</v>
      </c>
      <c r="C140" s="11" t="inlineStr">
        <is>
          <t>a financiero gravamen movimiento</t>
        </is>
      </c>
      <c r="D140" s="13" t="n">
        <v>-5</v>
      </c>
      <c r="E140" s="11">
        <f>IF(SUM(COUNTIFS('Conciliacion de compuestos'!$D$2:$D$48,"conciliado",'Conciliacion de compuestos'!$E$2:$E$48,"OK",'Conciliacion de compuestos'!$J$2:$J$48,A140),COUNTIFS('Conciliacion de compuestos'!$D$2:$D$48,"conciliado",'Conciliacion de compuestos'!$E$2:$E$48,"OK",'Conciliacion de compuestos'!$K$2:$K$48,A140),COUNTIFS('Conciliacion de compuestos'!$D$2:$D$48,"conciliado",'Conciliacion de compuestos'!$E$2:$E$48,"OK",'Conciliacion de compuestos'!$L$2:$L$48,A140))&gt;0,"conciliado en compuesto confirmado","disponible")</f>
        <v/>
      </c>
    </row>
    <row r="141">
      <c r="A141" s="11" t="n">
        <v>139</v>
      </c>
      <c r="B141" s="12" t="n">
        <v>45993</v>
      </c>
      <c r="C141" s="11" t="inlineStr">
        <is>
          <t>credibanco d e retefuente voucher y</t>
        </is>
      </c>
      <c r="D141" s="13" t="n">
        <v>-993</v>
      </c>
      <c r="E141" s="11">
        <f>IF(SUM(COUNTIFS('Conciliacion de compuestos'!$D$2:$D$48,"conciliado",'Conciliacion de compuestos'!$E$2:$E$48,"OK",'Conciliacion de compuestos'!$J$2:$J$48,A141),COUNTIFS('Conciliacion de compuestos'!$D$2:$D$48,"conciliado",'Conciliacion de compuestos'!$E$2:$E$48,"OK",'Conciliacion de compuestos'!$K$2:$K$48,A141),COUNTIFS('Conciliacion de compuestos'!$D$2:$D$48,"conciliado",'Conciliacion de compuestos'!$E$2:$E$48,"OK",'Conciliacion de compuestos'!$L$2:$L$48,A141))&gt;0,"conciliado en compuesto confirmado","disponible")</f>
        <v/>
      </c>
    </row>
    <row r="142">
      <c r="A142" s="11" t="n">
        <v>140</v>
      </c>
      <c r="B142" s="12" t="n">
        <v>45993</v>
      </c>
      <c r="C142" s="11" t="inlineStr">
        <is>
          <t>a financiero gravamen movimiento</t>
        </is>
      </c>
      <c r="D142" s="13" t="n">
        <v>-4</v>
      </c>
      <c r="E142" s="11">
        <f>IF(SUM(COUNTIFS('Conciliacion de compuestos'!$D$2:$D$48,"conciliado",'Conciliacion de compuestos'!$E$2:$E$48,"OK",'Conciliacion de compuestos'!$J$2:$J$48,A142),COUNTIFS('Conciliacion de compuestos'!$D$2:$D$48,"conciliado",'Conciliacion de compuestos'!$E$2:$E$48,"OK",'Conciliacion de compuestos'!$K$2:$K$48,A142),COUNTIFS('Conciliacion de compuestos'!$D$2:$D$48,"conciliado",'Conciliacion de compuestos'!$E$2:$E$48,"OK",'Conciliacion de compuestos'!$L$2:$L$48,A142))&gt;0,"conciliado en compuesto confirmado","disponible")</f>
        <v/>
      </c>
    </row>
    <row r="143">
      <c r="A143" s="11" t="n">
        <v>141</v>
      </c>
      <c r="B143" s="12" t="n">
        <v>45993</v>
      </c>
      <c r="C143" s="11" t="inlineStr">
        <is>
          <t>consignacion credibanco d e</t>
        </is>
      </c>
      <c r="D143" s="13" t="n">
        <v>42765</v>
      </c>
      <c r="E143" s="11">
        <f>IF(SUM(COUNTIFS('Conciliacion de compuestos'!$D$2:$D$48,"conciliado",'Conciliacion de compuestos'!$E$2:$E$48,"OK",'Conciliacion de compuestos'!$J$2:$J$48,A143),COUNTIFS('Conciliacion de compuestos'!$D$2:$D$48,"conciliado",'Conciliacion de compuestos'!$E$2:$E$48,"OK",'Conciliacion de compuestos'!$K$2:$K$48,A143),COUNTIFS('Conciliacion de compuestos'!$D$2:$D$48,"conciliado",'Conciliacion de compuestos'!$E$2:$E$48,"OK",'Conciliacion de compuestos'!$L$2:$L$48,A143))&gt;0,"conciliado en compuesto confirmado","disponible")</f>
        <v/>
      </c>
    </row>
    <row r="144">
      <c r="A144" s="11" t="n">
        <v>142</v>
      </c>
      <c r="B144" s="12" t="n">
        <v>45993</v>
      </c>
      <c r="C144" s="11" t="inlineStr">
        <is>
          <t>cobro comision depositos electronicos</t>
        </is>
      </c>
      <c r="D144" s="13" t="n">
        <v>-937</v>
      </c>
      <c r="E144" s="11">
        <f>IF(SUM(COUNTIFS('Conciliacion de compuestos'!$D$2:$D$48,"conciliado",'Conciliacion de compuestos'!$E$2:$E$48,"OK",'Conciliacion de compuestos'!$J$2:$J$48,A144),COUNTIFS('Conciliacion de compuestos'!$D$2:$D$48,"conciliado",'Conciliacion de compuestos'!$E$2:$E$48,"OK",'Conciliacion de compuestos'!$K$2:$K$48,A144),COUNTIFS('Conciliacion de compuestos'!$D$2:$D$48,"conciliado",'Conciliacion de compuestos'!$E$2:$E$48,"OK",'Conciliacion de compuestos'!$L$2:$L$48,A144))&gt;0,"conciliado en compuesto confirmado","disponible")</f>
        <v/>
      </c>
    </row>
    <row r="145">
      <c r="A145" s="11" t="n">
        <v>143</v>
      </c>
      <c r="B145" s="12" t="n">
        <v>45993</v>
      </c>
      <c r="C145" s="11" t="inlineStr">
        <is>
          <t>a financiero gravamen movimiento</t>
        </is>
      </c>
      <c r="D145" s="13" t="n">
        <v>-4</v>
      </c>
      <c r="E145" s="11">
        <f>IF(SUM(COUNTIFS('Conciliacion de compuestos'!$D$2:$D$48,"conciliado",'Conciliacion de compuestos'!$E$2:$E$48,"OK",'Conciliacion de compuestos'!$J$2:$J$48,A145),COUNTIFS('Conciliacion de compuestos'!$D$2:$D$48,"conciliado",'Conciliacion de compuestos'!$E$2:$E$48,"OK",'Conciliacion de compuestos'!$K$2:$K$48,A145),COUNTIFS('Conciliacion de compuestos'!$D$2:$D$48,"conciliado",'Conciliacion de compuestos'!$E$2:$E$48,"OK",'Conciliacion de compuestos'!$L$2:$L$48,A145))&gt;0,"conciliado en compuesto confirmado","disponible")</f>
        <v/>
      </c>
    </row>
    <row r="146">
      <c r="A146" s="11" t="n">
        <v>144</v>
      </c>
      <c r="B146" s="12" t="n">
        <v>45993</v>
      </c>
      <c r="C146" s="11" t="inlineStr">
        <is>
          <t>credibanco d e retefuente voucher y</t>
        </is>
      </c>
      <c r="D146" s="13" t="n">
        <v>-641</v>
      </c>
      <c r="E146" s="11">
        <f>IF(SUM(COUNTIFS('Conciliacion de compuestos'!$D$2:$D$48,"conciliado",'Conciliacion de compuestos'!$E$2:$E$48,"OK",'Conciliacion de compuestos'!$J$2:$J$48,A146),COUNTIFS('Conciliacion de compuestos'!$D$2:$D$48,"conciliado",'Conciliacion de compuestos'!$E$2:$E$48,"OK",'Conciliacion de compuestos'!$K$2:$K$48,A146),COUNTIFS('Conciliacion de compuestos'!$D$2:$D$48,"conciliado",'Conciliacion de compuestos'!$E$2:$E$48,"OK",'Conciliacion de compuestos'!$L$2:$L$48,A146))&gt;0,"conciliado en compuesto confirmado","disponible")</f>
        <v/>
      </c>
    </row>
    <row r="147">
      <c r="A147" s="11" t="n">
        <v>145</v>
      </c>
      <c r="B147" s="12" t="n">
        <v>45993</v>
      </c>
      <c r="C147" s="11" t="inlineStr">
        <is>
          <t>a financiero gravamen movimiento</t>
        </is>
      </c>
      <c r="D147" s="13" t="n">
        <v>-3</v>
      </c>
      <c r="E147" s="11">
        <f>IF(SUM(COUNTIFS('Conciliacion de compuestos'!$D$2:$D$48,"conciliado",'Conciliacion de compuestos'!$E$2:$E$48,"OK",'Conciliacion de compuestos'!$J$2:$J$48,A147),COUNTIFS('Conciliacion de compuestos'!$D$2:$D$48,"conciliado",'Conciliacion de compuestos'!$E$2:$E$48,"OK",'Conciliacion de compuestos'!$K$2:$K$48,A147),COUNTIFS('Conciliacion de compuestos'!$D$2:$D$48,"conciliado",'Conciliacion de compuestos'!$E$2:$E$48,"OK",'Conciliacion de compuestos'!$L$2:$L$48,A147))&gt;0,"conciliado en compuesto confirmado","disponible")</f>
        <v/>
      </c>
    </row>
    <row r="148">
      <c r="A148" s="11" t="n">
        <v>146</v>
      </c>
      <c r="B148" s="12" t="n">
        <v>45993</v>
      </c>
      <c r="C148" s="11" t="inlineStr">
        <is>
          <t>consignacion credibanco d e</t>
        </is>
      </c>
      <c r="D148" s="13" t="n">
        <v>62000</v>
      </c>
      <c r="E148" s="11">
        <f>IF(SUM(COUNTIFS('Conciliacion de compuestos'!$D$2:$D$48,"conciliado",'Conciliacion de compuestos'!$E$2:$E$48,"OK",'Conciliacion de compuestos'!$J$2:$J$48,A148),COUNTIFS('Conciliacion de compuestos'!$D$2:$D$48,"conciliado",'Conciliacion de compuestos'!$E$2:$E$48,"OK",'Conciliacion de compuestos'!$K$2:$K$48,A148),COUNTIFS('Conciliacion de compuestos'!$D$2:$D$48,"conciliado",'Conciliacion de compuestos'!$E$2:$E$48,"OK",'Conciliacion de compuestos'!$L$2:$L$48,A148))&gt;0,"conciliado en compuesto confirmado","disponible")</f>
        <v/>
      </c>
    </row>
    <row r="149">
      <c r="A149" s="11" t="n">
        <v>147</v>
      </c>
      <c r="B149" s="12" t="n">
        <v>45993</v>
      </c>
      <c r="C149" s="11" t="inlineStr">
        <is>
          <t>cobro comision depositos electronicos</t>
        </is>
      </c>
      <c r="D149" s="13" t="n">
        <v>-1358</v>
      </c>
      <c r="E149" s="11">
        <f>IF(SUM(COUNTIFS('Conciliacion de compuestos'!$D$2:$D$48,"conciliado",'Conciliacion de compuestos'!$E$2:$E$48,"OK",'Conciliacion de compuestos'!$J$2:$J$48,A149),COUNTIFS('Conciliacion de compuestos'!$D$2:$D$48,"conciliado",'Conciliacion de compuestos'!$E$2:$E$48,"OK",'Conciliacion de compuestos'!$K$2:$K$48,A149),COUNTIFS('Conciliacion de compuestos'!$D$2:$D$48,"conciliado",'Conciliacion de compuestos'!$E$2:$E$48,"OK",'Conciliacion de compuestos'!$L$2:$L$48,A149))&gt;0,"conciliado en compuesto confirmado","disponible")</f>
        <v/>
      </c>
    </row>
    <row r="150">
      <c r="A150" s="11" t="n">
        <v>148</v>
      </c>
      <c r="B150" s="12" t="n">
        <v>45993</v>
      </c>
      <c r="C150" s="11" t="inlineStr">
        <is>
          <t>a financiero gravamen movimiento</t>
        </is>
      </c>
      <c r="D150" s="13" t="n">
        <v>-5</v>
      </c>
      <c r="E150" s="11">
        <f>IF(SUM(COUNTIFS('Conciliacion de compuestos'!$D$2:$D$48,"conciliado",'Conciliacion de compuestos'!$E$2:$E$48,"OK",'Conciliacion de compuestos'!$J$2:$J$48,A150),COUNTIFS('Conciliacion de compuestos'!$D$2:$D$48,"conciliado",'Conciliacion de compuestos'!$E$2:$E$48,"OK",'Conciliacion de compuestos'!$K$2:$K$48,A150),COUNTIFS('Conciliacion de compuestos'!$D$2:$D$48,"conciliado",'Conciliacion de compuestos'!$E$2:$E$48,"OK",'Conciliacion de compuestos'!$L$2:$L$48,A150))&gt;0,"conciliado en compuesto confirmado","disponible")</f>
        <v/>
      </c>
    </row>
    <row r="151">
      <c r="A151" s="11" t="n">
        <v>149</v>
      </c>
      <c r="B151" s="12" t="n">
        <v>45993</v>
      </c>
      <c r="C151" s="11" t="inlineStr">
        <is>
          <t>credibanco d e retefuente voucher y</t>
        </is>
      </c>
      <c r="D151" s="13" t="n">
        <v>-930</v>
      </c>
      <c r="E151" s="11">
        <f>IF(SUM(COUNTIFS('Conciliacion de compuestos'!$D$2:$D$48,"conciliado",'Conciliacion de compuestos'!$E$2:$E$48,"OK",'Conciliacion de compuestos'!$J$2:$J$48,A151),COUNTIFS('Conciliacion de compuestos'!$D$2:$D$48,"conciliado",'Conciliacion de compuestos'!$E$2:$E$48,"OK",'Conciliacion de compuestos'!$K$2:$K$48,A151),COUNTIFS('Conciliacion de compuestos'!$D$2:$D$48,"conciliado",'Conciliacion de compuestos'!$E$2:$E$48,"OK",'Conciliacion de compuestos'!$L$2:$L$48,A151))&gt;0,"conciliado en compuesto confirmado","disponible")</f>
        <v/>
      </c>
    </row>
    <row r="152">
      <c r="A152" s="11" t="n">
        <v>150</v>
      </c>
      <c r="B152" s="12" t="n">
        <v>45993</v>
      </c>
      <c r="C152" s="11" t="inlineStr">
        <is>
          <t>a financiero gravamen movimiento</t>
        </is>
      </c>
      <c r="D152" s="13" t="n">
        <v>-4</v>
      </c>
      <c r="E152" s="11">
        <f>IF(SUM(COUNTIFS('Conciliacion de compuestos'!$D$2:$D$48,"conciliado",'Conciliacion de compuestos'!$E$2:$E$48,"OK",'Conciliacion de compuestos'!$J$2:$J$48,A152),COUNTIFS('Conciliacion de compuestos'!$D$2:$D$48,"conciliado",'Conciliacion de compuestos'!$E$2:$E$48,"OK",'Conciliacion de compuestos'!$K$2:$K$48,A152),COUNTIFS('Conciliacion de compuestos'!$D$2:$D$48,"conciliado",'Conciliacion de compuestos'!$E$2:$E$48,"OK",'Conciliacion de compuestos'!$L$2:$L$48,A152))&gt;0,"conciliado en compuesto confirmado","disponible")</f>
        <v/>
      </c>
    </row>
    <row r="153">
      <c r="A153" s="11" t="n">
        <v>151</v>
      </c>
      <c r="B153" s="12" t="n">
        <v>45993</v>
      </c>
      <c r="C153" s="11" t="inlineStr">
        <is>
          <t>depositos electronicos masterca transaccion</t>
        </is>
      </c>
      <c r="D153" s="13" t="n">
        <v>44880</v>
      </c>
      <c r="E153" s="11">
        <f>IF(SUM(COUNTIFS('Conciliacion de compuestos'!$D$2:$D$48,"conciliado",'Conciliacion de compuestos'!$E$2:$E$48,"OK",'Conciliacion de compuestos'!$J$2:$J$48,A153),COUNTIFS('Conciliacion de compuestos'!$D$2:$D$48,"conciliado",'Conciliacion de compuestos'!$E$2:$E$48,"OK",'Conciliacion de compuestos'!$K$2:$K$48,A153),COUNTIFS('Conciliacion de compuestos'!$D$2:$D$48,"conciliado",'Conciliacion de compuestos'!$E$2:$E$48,"OK",'Conciliacion de compuestos'!$L$2:$L$48,A153))&gt;0,"conciliado en compuesto confirmado","disponible")</f>
        <v/>
      </c>
    </row>
    <row r="154">
      <c r="A154" s="11" t="n">
        <v>152</v>
      </c>
      <c r="B154" s="12" t="n">
        <v>45993</v>
      </c>
      <c r="C154" s="11" t="inlineStr">
        <is>
          <t>comision depositos electronicos mastercard</t>
        </is>
      </c>
      <c r="D154" s="13" t="n">
        <v>-1055</v>
      </c>
      <c r="E154" s="11">
        <f>IF(SUM(COUNTIFS('Conciliacion de compuestos'!$D$2:$D$48,"conciliado",'Conciliacion de compuestos'!$E$2:$E$48,"OK",'Conciliacion de compuestos'!$J$2:$J$48,A154),COUNTIFS('Conciliacion de compuestos'!$D$2:$D$48,"conciliado",'Conciliacion de compuestos'!$E$2:$E$48,"OK",'Conciliacion de compuestos'!$K$2:$K$48,A154),COUNTIFS('Conciliacion de compuestos'!$D$2:$D$48,"conciliado",'Conciliacion de compuestos'!$E$2:$E$48,"OK",'Conciliacion de compuestos'!$L$2:$L$48,A154))&gt;0,"conciliado en compuesto confirmado","disponible")</f>
        <v/>
      </c>
    </row>
    <row r="155">
      <c r="A155" s="11" t="n">
        <v>153</v>
      </c>
      <c r="B155" s="12" t="n">
        <v>45993</v>
      </c>
      <c r="C155" s="11" t="inlineStr">
        <is>
          <t>a financiero gravamen movimiento</t>
        </is>
      </c>
      <c r="D155" s="13" t="n">
        <v>-4</v>
      </c>
      <c r="E155" s="11">
        <f>IF(SUM(COUNTIFS('Conciliacion de compuestos'!$D$2:$D$48,"conciliado",'Conciliacion de compuestos'!$E$2:$E$48,"OK",'Conciliacion de compuestos'!$J$2:$J$48,A155),COUNTIFS('Conciliacion de compuestos'!$D$2:$D$48,"conciliado",'Conciliacion de compuestos'!$E$2:$E$48,"OK",'Conciliacion de compuestos'!$K$2:$K$48,A155),COUNTIFS('Conciliacion de compuestos'!$D$2:$D$48,"conciliado",'Conciliacion de compuestos'!$E$2:$E$48,"OK",'Conciliacion de compuestos'!$L$2:$L$48,A155))&gt;0,"conciliado en compuesto confirmado","disponible")</f>
        <v/>
      </c>
    </row>
    <row r="156">
      <c r="A156" s="11" t="n">
        <v>154</v>
      </c>
      <c r="B156" s="12" t="n">
        <v>45993</v>
      </c>
      <c r="C156" s="11" t="inlineStr">
        <is>
          <t>depositos electronicos mastercar retefuente</t>
        </is>
      </c>
      <c r="D156" s="13" t="n">
        <v>-673</v>
      </c>
      <c r="E156" s="11">
        <f>IF(SUM(COUNTIFS('Conciliacion de compuestos'!$D$2:$D$48,"conciliado",'Conciliacion de compuestos'!$E$2:$E$48,"OK",'Conciliacion de compuestos'!$J$2:$J$48,A156),COUNTIFS('Conciliacion de compuestos'!$D$2:$D$48,"conciliado",'Conciliacion de compuestos'!$E$2:$E$48,"OK",'Conciliacion de compuestos'!$K$2:$K$48,A156),COUNTIFS('Conciliacion de compuestos'!$D$2:$D$48,"conciliado",'Conciliacion de compuestos'!$E$2:$E$48,"OK",'Conciliacion de compuestos'!$L$2:$L$48,A156))&gt;0,"conciliado en compuesto confirmado","disponible")</f>
        <v/>
      </c>
    </row>
    <row r="157">
      <c r="A157" s="11" t="n">
        <v>155</v>
      </c>
      <c r="B157" s="12" t="n">
        <v>45993</v>
      </c>
      <c r="C157" s="11" t="inlineStr">
        <is>
          <t>a financiero gravamen movimiento</t>
        </is>
      </c>
      <c r="D157" s="13" t="n">
        <v>-3</v>
      </c>
      <c r="E157" s="11">
        <f>IF(SUM(COUNTIFS('Conciliacion de compuestos'!$D$2:$D$48,"conciliado",'Conciliacion de compuestos'!$E$2:$E$48,"OK",'Conciliacion de compuestos'!$J$2:$J$48,A157),COUNTIFS('Conciliacion de compuestos'!$D$2:$D$48,"conciliado",'Conciliacion de compuestos'!$E$2:$E$48,"OK",'Conciliacion de compuestos'!$K$2:$K$48,A157),COUNTIFS('Conciliacion de compuestos'!$D$2:$D$48,"conciliado",'Conciliacion de compuestos'!$E$2:$E$48,"OK",'Conciliacion de compuestos'!$L$2:$L$48,A157))&gt;0,"conciliado en compuesto confirmado","disponible")</f>
        <v/>
      </c>
    </row>
    <row r="158">
      <c r="A158" s="11" t="n">
        <v>156</v>
      </c>
      <c r="B158" s="12" t="n">
        <v>45993</v>
      </c>
      <c r="C158" s="11" t="inlineStr">
        <is>
          <t>depositos electronicos masterca transaccion</t>
        </is>
      </c>
      <c r="D158" s="13" t="n">
        <v>68800</v>
      </c>
      <c r="E158" s="11">
        <f>IF(SUM(COUNTIFS('Conciliacion de compuestos'!$D$2:$D$48,"conciliado",'Conciliacion de compuestos'!$E$2:$E$48,"OK",'Conciliacion de compuestos'!$J$2:$J$48,A158),COUNTIFS('Conciliacion de compuestos'!$D$2:$D$48,"conciliado",'Conciliacion de compuestos'!$E$2:$E$48,"OK",'Conciliacion de compuestos'!$K$2:$K$48,A158),COUNTIFS('Conciliacion de compuestos'!$D$2:$D$48,"conciliado",'Conciliacion de compuestos'!$E$2:$E$48,"OK",'Conciliacion de compuestos'!$L$2:$L$48,A158))&gt;0,"conciliado en compuesto confirmado","disponible")</f>
        <v/>
      </c>
    </row>
    <row r="159">
      <c r="A159" s="11" t="n">
        <v>157</v>
      </c>
      <c r="B159" s="12" t="n">
        <v>45993</v>
      </c>
      <c r="C159" s="11" t="inlineStr">
        <is>
          <t>comision depositos electronicos mastercard</t>
        </is>
      </c>
      <c r="D159" s="13" t="n">
        <v>-1307</v>
      </c>
      <c r="E159" s="11">
        <f>IF(SUM(COUNTIFS('Conciliacion de compuestos'!$D$2:$D$48,"conciliado",'Conciliacion de compuestos'!$E$2:$E$48,"OK",'Conciliacion de compuestos'!$J$2:$J$48,A159),COUNTIFS('Conciliacion de compuestos'!$D$2:$D$48,"conciliado",'Conciliacion de compuestos'!$E$2:$E$48,"OK",'Conciliacion de compuestos'!$K$2:$K$48,A159),COUNTIFS('Conciliacion de compuestos'!$D$2:$D$48,"conciliado",'Conciliacion de compuestos'!$E$2:$E$48,"OK",'Conciliacion de compuestos'!$L$2:$L$48,A159))&gt;0,"conciliado en compuesto confirmado","disponible")</f>
        <v/>
      </c>
    </row>
    <row r="160">
      <c r="A160" s="11" t="n">
        <v>158</v>
      </c>
      <c r="B160" s="12" t="n">
        <v>45993</v>
      </c>
      <c r="C160" s="11" t="inlineStr">
        <is>
          <t>a financiero gravamen movimiento</t>
        </is>
      </c>
      <c r="D160" s="13" t="n">
        <v>-5</v>
      </c>
      <c r="E160" s="11">
        <f>IF(SUM(COUNTIFS('Conciliacion de compuestos'!$D$2:$D$48,"conciliado",'Conciliacion de compuestos'!$E$2:$E$48,"OK",'Conciliacion de compuestos'!$J$2:$J$48,A160),COUNTIFS('Conciliacion de compuestos'!$D$2:$D$48,"conciliado",'Conciliacion de compuestos'!$E$2:$E$48,"OK",'Conciliacion de compuestos'!$K$2:$K$48,A160),COUNTIFS('Conciliacion de compuestos'!$D$2:$D$48,"conciliado",'Conciliacion de compuestos'!$E$2:$E$48,"OK",'Conciliacion de compuestos'!$L$2:$L$48,A160))&gt;0,"conciliado en compuesto confirmado","disponible")</f>
        <v/>
      </c>
    </row>
    <row r="161">
      <c r="A161" s="11" t="n">
        <v>159</v>
      </c>
      <c r="B161" s="12" t="n">
        <v>45993</v>
      </c>
      <c r="C161" s="11" t="inlineStr">
        <is>
          <t>depositos electronicos mastercar retefuente</t>
        </is>
      </c>
      <c r="D161" s="13" t="n">
        <v>-1032</v>
      </c>
      <c r="E161" s="11">
        <f>IF(SUM(COUNTIFS('Conciliacion de compuestos'!$D$2:$D$48,"conciliado",'Conciliacion de compuestos'!$E$2:$E$48,"OK",'Conciliacion de compuestos'!$J$2:$J$48,A161),COUNTIFS('Conciliacion de compuestos'!$D$2:$D$48,"conciliado",'Conciliacion de compuestos'!$E$2:$E$48,"OK",'Conciliacion de compuestos'!$K$2:$K$48,A161),COUNTIFS('Conciliacion de compuestos'!$D$2:$D$48,"conciliado",'Conciliacion de compuestos'!$E$2:$E$48,"OK",'Conciliacion de compuestos'!$L$2:$L$48,A161))&gt;0,"conciliado en compuesto confirmado","disponible")</f>
        <v/>
      </c>
    </row>
    <row r="162">
      <c r="A162" s="11" t="n">
        <v>160</v>
      </c>
      <c r="B162" s="12" t="n">
        <v>45993</v>
      </c>
      <c r="C162" s="11" t="inlineStr">
        <is>
          <t>a financiero gravamen movimiento</t>
        </is>
      </c>
      <c r="D162" s="13" t="n">
        <v>-4</v>
      </c>
      <c r="E162" s="11">
        <f>IF(SUM(COUNTIFS('Conciliacion de compuestos'!$D$2:$D$48,"conciliado",'Conciliacion de compuestos'!$E$2:$E$48,"OK",'Conciliacion de compuestos'!$J$2:$J$48,A162),COUNTIFS('Conciliacion de compuestos'!$D$2:$D$48,"conciliado",'Conciliacion de compuestos'!$E$2:$E$48,"OK",'Conciliacion de compuestos'!$K$2:$K$48,A162),COUNTIFS('Conciliacion de compuestos'!$D$2:$D$48,"conciliado",'Conciliacion de compuestos'!$E$2:$E$48,"OK",'Conciliacion de compuestos'!$L$2:$L$48,A162))&gt;0,"conciliado en compuesto confirmado","disponible")</f>
        <v/>
      </c>
    </row>
    <row r="163">
      <c r="A163" s="11" t="n">
        <v>161</v>
      </c>
      <c r="B163" s="12" t="n">
        <v>45993</v>
      </c>
      <c r="C163" s="11" t="inlineStr">
        <is>
          <t>depositos electronicos masterca transaccion</t>
        </is>
      </c>
      <c r="D163" s="13" t="n">
        <v>26000</v>
      </c>
      <c r="E163" s="11">
        <f>IF(SUM(COUNTIFS('Conciliacion de compuestos'!$D$2:$D$48,"conciliado",'Conciliacion de compuestos'!$E$2:$E$48,"OK",'Conciliacion de compuestos'!$J$2:$J$48,A163),COUNTIFS('Conciliacion de compuestos'!$D$2:$D$48,"conciliado",'Conciliacion de compuestos'!$E$2:$E$48,"OK",'Conciliacion de compuestos'!$K$2:$K$48,A163),COUNTIFS('Conciliacion de compuestos'!$D$2:$D$48,"conciliado",'Conciliacion de compuestos'!$E$2:$E$48,"OK",'Conciliacion de compuestos'!$L$2:$L$48,A163))&gt;0,"conciliado en compuesto confirmado","disponible")</f>
        <v/>
      </c>
    </row>
    <row r="164">
      <c r="A164" s="11" t="n">
        <v>162</v>
      </c>
      <c r="B164" s="12" t="n">
        <v>45993</v>
      </c>
      <c r="C164" s="11" t="inlineStr">
        <is>
          <t>comision depositos electronicos mastercard</t>
        </is>
      </c>
      <c r="D164" s="13" t="n">
        <v>-494</v>
      </c>
      <c r="E164" s="11">
        <f>IF(SUM(COUNTIFS('Conciliacion de compuestos'!$D$2:$D$48,"conciliado",'Conciliacion de compuestos'!$E$2:$E$48,"OK",'Conciliacion de compuestos'!$J$2:$J$48,A164),COUNTIFS('Conciliacion de compuestos'!$D$2:$D$48,"conciliado",'Conciliacion de compuestos'!$E$2:$E$48,"OK",'Conciliacion de compuestos'!$K$2:$K$48,A164),COUNTIFS('Conciliacion de compuestos'!$D$2:$D$48,"conciliado",'Conciliacion de compuestos'!$E$2:$E$48,"OK",'Conciliacion de compuestos'!$L$2:$L$48,A164))&gt;0,"conciliado en compuesto confirmado","disponible")</f>
        <v/>
      </c>
    </row>
    <row r="165">
      <c r="A165" s="11" t="n">
        <v>163</v>
      </c>
      <c r="B165" s="12" t="n">
        <v>45993</v>
      </c>
      <c r="C165" s="11" t="inlineStr">
        <is>
          <t>a financiero gravamen movimiento</t>
        </is>
      </c>
      <c r="D165" s="13" t="n">
        <v>-2</v>
      </c>
      <c r="E165" s="11">
        <f>IF(SUM(COUNTIFS('Conciliacion de compuestos'!$D$2:$D$48,"conciliado",'Conciliacion de compuestos'!$E$2:$E$48,"OK",'Conciliacion de compuestos'!$J$2:$J$48,A165),COUNTIFS('Conciliacion de compuestos'!$D$2:$D$48,"conciliado",'Conciliacion de compuestos'!$E$2:$E$48,"OK",'Conciliacion de compuestos'!$K$2:$K$48,A165),COUNTIFS('Conciliacion de compuestos'!$D$2:$D$48,"conciliado",'Conciliacion de compuestos'!$E$2:$E$48,"OK",'Conciliacion de compuestos'!$L$2:$L$48,A165))&gt;0,"conciliado en compuesto confirmado","disponible")</f>
        <v/>
      </c>
    </row>
    <row r="166">
      <c r="A166" s="11" t="n">
        <v>164</v>
      </c>
      <c r="B166" s="12" t="n">
        <v>45993</v>
      </c>
      <c r="C166" s="11" t="inlineStr">
        <is>
          <t>depositos electronicos mastercar retefuente</t>
        </is>
      </c>
      <c r="D166" s="13" t="n">
        <v>-390</v>
      </c>
      <c r="E166" s="11">
        <f>IF(SUM(COUNTIFS('Conciliacion de compuestos'!$D$2:$D$48,"conciliado",'Conciliacion de compuestos'!$E$2:$E$48,"OK",'Conciliacion de compuestos'!$J$2:$J$48,A166),COUNTIFS('Conciliacion de compuestos'!$D$2:$D$48,"conciliado",'Conciliacion de compuestos'!$E$2:$E$48,"OK",'Conciliacion de compuestos'!$K$2:$K$48,A166),COUNTIFS('Conciliacion de compuestos'!$D$2:$D$48,"conciliado",'Conciliacion de compuestos'!$E$2:$E$48,"OK",'Conciliacion de compuestos'!$L$2:$L$48,A166))&gt;0,"conciliado en compuesto confirmado","disponible")</f>
        <v/>
      </c>
    </row>
    <row r="167">
      <c r="A167" s="11" t="n">
        <v>165</v>
      </c>
      <c r="B167" s="12" t="n">
        <v>45993</v>
      </c>
      <c r="C167" s="11" t="inlineStr">
        <is>
          <t>a financiero gravamen movimiento</t>
        </is>
      </c>
      <c r="D167" s="13" t="n">
        <v>-2</v>
      </c>
      <c r="E167" s="11">
        <f>IF(SUM(COUNTIFS('Conciliacion de compuestos'!$D$2:$D$48,"conciliado",'Conciliacion de compuestos'!$E$2:$E$48,"OK",'Conciliacion de compuestos'!$J$2:$J$48,A167),COUNTIFS('Conciliacion de compuestos'!$D$2:$D$48,"conciliado",'Conciliacion de compuestos'!$E$2:$E$48,"OK",'Conciliacion de compuestos'!$K$2:$K$48,A167),COUNTIFS('Conciliacion de compuestos'!$D$2:$D$48,"conciliado",'Conciliacion de compuestos'!$E$2:$E$48,"OK",'Conciliacion de compuestos'!$L$2:$L$48,A167))&gt;0,"conciliado en compuesto confirmado","disponible")</f>
        <v/>
      </c>
    </row>
    <row r="168">
      <c r="A168" s="11" t="n">
        <v>166</v>
      </c>
      <c r="B168" s="12" t="n">
        <v>45994</v>
      </c>
      <c r="C168" s="11" t="inlineStr">
        <is>
          <t>consignacion credibanco d e</t>
        </is>
      </c>
      <c r="D168" s="13" t="n">
        <v>43400</v>
      </c>
      <c r="E168" s="11">
        <f>IF(SUM(COUNTIFS('Conciliacion de compuestos'!$D$2:$D$48,"conciliado",'Conciliacion de compuestos'!$E$2:$E$48,"OK",'Conciliacion de compuestos'!$J$2:$J$48,A168),COUNTIFS('Conciliacion de compuestos'!$D$2:$D$48,"conciliado",'Conciliacion de compuestos'!$E$2:$E$48,"OK",'Conciliacion de compuestos'!$K$2:$K$48,A168),COUNTIFS('Conciliacion de compuestos'!$D$2:$D$48,"conciliado",'Conciliacion de compuestos'!$E$2:$E$48,"OK",'Conciliacion de compuestos'!$L$2:$L$48,A168))&gt;0,"conciliado en compuesto confirmado","disponible")</f>
        <v/>
      </c>
    </row>
    <row r="169">
      <c r="A169" s="11" t="n">
        <v>167</v>
      </c>
      <c r="B169" s="12" t="n">
        <v>45994</v>
      </c>
      <c r="C169" s="11" t="inlineStr">
        <is>
          <t>cobro comision depositos electronicos</t>
        </is>
      </c>
      <c r="D169" s="13" t="n">
        <v>-937</v>
      </c>
      <c r="E169" s="11">
        <f>IF(SUM(COUNTIFS('Conciliacion de compuestos'!$D$2:$D$48,"conciliado",'Conciliacion de compuestos'!$E$2:$E$48,"OK",'Conciliacion de compuestos'!$J$2:$J$48,A169),COUNTIFS('Conciliacion de compuestos'!$D$2:$D$48,"conciliado",'Conciliacion de compuestos'!$E$2:$E$48,"OK",'Conciliacion de compuestos'!$K$2:$K$48,A169),COUNTIFS('Conciliacion de compuestos'!$D$2:$D$48,"conciliado",'Conciliacion de compuestos'!$E$2:$E$48,"OK",'Conciliacion de compuestos'!$L$2:$L$48,A169))&gt;0,"conciliado en compuesto confirmado","disponible")</f>
        <v/>
      </c>
    </row>
    <row r="170">
      <c r="A170" s="11" t="n">
        <v>168</v>
      </c>
      <c r="B170" s="12" t="n">
        <v>45994</v>
      </c>
      <c r="C170" s="11" t="inlineStr">
        <is>
          <t>a financiero gravamen movimiento</t>
        </is>
      </c>
      <c r="D170" s="13" t="n">
        <v>-4</v>
      </c>
      <c r="E170" s="11">
        <f>IF(SUM(COUNTIFS('Conciliacion de compuestos'!$D$2:$D$48,"conciliado",'Conciliacion de compuestos'!$E$2:$E$48,"OK",'Conciliacion de compuestos'!$J$2:$J$48,A170),COUNTIFS('Conciliacion de compuestos'!$D$2:$D$48,"conciliado",'Conciliacion de compuestos'!$E$2:$E$48,"OK",'Conciliacion de compuestos'!$K$2:$K$48,A170),COUNTIFS('Conciliacion de compuestos'!$D$2:$D$48,"conciliado",'Conciliacion de compuestos'!$E$2:$E$48,"OK",'Conciliacion de compuestos'!$L$2:$L$48,A170))&gt;0,"conciliado en compuesto confirmado","disponible")</f>
        <v/>
      </c>
    </row>
    <row r="171">
      <c r="A171" s="11" t="n">
        <v>169</v>
      </c>
      <c r="B171" s="12" t="n">
        <v>45994</v>
      </c>
      <c r="C171" s="11" t="inlineStr">
        <is>
          <t>credibanco d e retefuente voucher y</t>
        </is>
      </c>
      <c r="D171" s="13" t="n">
        <v>-651</v>
      </c>
      <c r="E171" s="11">
        <f>IF(SUM(COUNTIFS('Conciliacion de compuestos'!$D$2:$D$48,"conciliado",'Conciliacion de compuestos'!$E$2:$E$48,"OK",'Conciliacion de compuestos'!$J$2:$J$48,A171),COUNTIFS('Conciliacion de compuestos'!$D$2:$D$48,"conciliado",'Conciliacion de compuestos'!$E$2:$E$48,"OK",'Conciliacion de compuestos'!$K$2:$K$48,A171),COUNTIFS('Conciliacion de compuestos'!$D$2:$D$48,"conciliado",'Conciliacion de compuestos'!$E$2:$E$48,"OK",'Conciliacion de compuestos'!$L$2:$L$48,A171))&gt;0,"conciliado en compuesto confirmado","disponible")</f>
        <v/>
      </c>
    </row>
    <row r="172">
      <c r="A172" s="11" t="n">
        <v>170</v>
      </c>
      <c r="B172" s="12" t="n">
        <v>45994</v>
      </c>
      <c r="C172" s="11" t="inlineStr">
        <is>
          <t>a financiero gravamen movimiento</t>
        </is>
      </c>
      <c r="D172" s="13" t="n">
        <v>-3</v>
      </c>
      <c r="E172" s="11">
        <f>IF(SUM(COUNTIFS('Conciliacion de compuestos'!$D$2:$D$48,"conciliado",'Conciliacion de compuestos'!$E$2:$E$48,"OK",'Conciliacion de compuestos'!$J$2:$J$48,A172),COUNTIFS('Conciliacion de compuestos'!$D$2:$D$48,"conciliado",'Conciliacion de compuestos'!$E$2:$E$48,"OK",'Conciliacion de compuestos'!$K$2:$K$48,A172),COUNTIFS('Conciliacion de compuestos'!$D$2:$D$48,"conciliado",'Conciliacion de compuestos'!$E$2:$E$48,"OK",'Conciliacion de compuestos'!$L$2:$L$48,A172))&gt;0,"conciliado en compuesto confirmado","disponible")</f>
        <v/>
      </c>
    </row>
    <row r="173">
      <c r="A173" s="11" t="n">
        <v>171</v>
      </c>
      <c r="B173" s="12" t="n">
        <v>45994</v>
      </c>
      <c r="C173" s="11" t="inlineStr">
        <is>
          <t>consignacion credibanco d e</t>
        </is>
      </c>
      <c r="D173" s="13" t="n">
        <v>95200</v>
      </c>
      <c r="E173" s="11">
        <f>IF(SUM(COUNTIFS('Conciliacion de compuestos'!$D$2:$D$48,"conciliado",'Conciliacion de compuestos'!$E$2:$E$48,"OK",'Conciliacion de compuestos'!$J$2:$J$48,A173),COUNTIFS('Conciliacion de compuestos'!$D$2:$D$48,"conciliado",'Conciliacion de compuestos'!$E$2:$E$48,"OK",'Conciliacion de compuestos'!$K$2:$K$48,A173),COUNTIFS('Conciliacion de compuestos'!$D$2:$D$48,"conciliado",'Conciliacion de compuestos'!$E$2:$E$48,"OK",'Conciliacion de compuestos'!$L$2:$L$48,A173))&gt;0,"conciliado en compuesto confirmado","disponible")</f>
        <v/>
      </c>
    </row>
    <row r="174">
      <c r="A174" s="11" t="n">
        <v>172</v>
      </c>
      <c r="B174" s="12" t="n">
        <v>45994</v>
      </c>
      <c r="C174" s="11" t="inlineStr">
        <is>
          <t>cobro comision depositos electronicos</t>
        </is>
      </c>
      <c r="D174" s="13" t="n">
        <v>-2085</v>
      </c>
      <c r="E174" s="11">
        <f>IF(SUM(COUNTIFS('Conciliacion de compuestos'!$D$2:$D$48,"conciliado",'Conciliacion de compuestos'!$E$2:$E$48,"OK",'Conciliacion de compuestos'!$J$2:$J$48,A174),COUNTIFS('Conciliacion de compuestos'!$D$2:$D$48,"conciliado",'Conciliacion de compuestos'!$E$2:$E$48,"OK",'Conciliacion de compuestos'!$K$2:$K$48,A174),COUNTIFS('Conciliacion de compuestos'!$D$2:$D$48,"conciliado",'Conciliacion de compuestos'!$E$2:$E$48,"OK",'Conciliacion de compuestos'!$L$2:$L$48,A174))&gt;0,"conciliado en compuesto confirmado","disponible")</f>
        <v/>
      </c>
    </row>
    <row r="175">
      <c r="A175" s="11" t="n">
        <v>173</v>
      </c>
      <c r="B175" s="12" t="n">
        <v>45994</v>
      </c>
      <c r="C175" s="11" t="inlineStr">
        <is>
          <t>a financiero gravamen movimiento</t>
        </is>
      </c>
      <c r="D175" s="13" t="n">
        <v>-8</v>
      </c>
      <c r="E175" s="11">
        <f>IF(SUM(COUNTIFS('Conciliacion de compuestos'!$D$2:$D$48,"conciliado",'Conciliacion de compuestos'!$E$2:$E$48,"OK",'Conciliacion de compuestos'!$J$2:$J$48,A175),COUNTIFS('Conciliacion de compuestos'!$D$2:$D$48,"conciliado",'Conciliacion de compuestos'!$E$2:$E$48,"OK",'Conciliacion de compuestos'!$K$2:$K$48,A175),COUNTIFS('Conciliacion de compuestos'!$D$2:$D$48,"conciliado",'Conciliacion de compuestos'!$E$2:$E$48,"OK",'Conciliacion de compuestos'!$L$2:$L$48,A175))&gt;0,"conciliado en compuesto confirmado","disponible")</f>
        <v/>
      </c>
    </row>
    <row r="176">
      <c r="A176" s="11" t="n">
        <v>174</v>
      </c>
      <c r="B176" s="12" t="n">
        <v>45994</v>
      </c>
      <c r="C176" s="11" t="inlineStr">
        <is>
          <t>credibanco d e retefuente voucher y</t>
        </is>
      </c>
      <c r="D176" s="13" t="n">
        <v>-1428</v>
      </c>
      <c r="E176" s="11">
        <f>IF(SUM(COUNTIFS('Conciliacion de compuestos'!$D$2:$D$48,"conciliado",'Conciliacion de compuestos'!$E$2:$E$48,"OK",'Conciliacion de compuestos'!$J$2:$J$48,A176),COUNTIFS('Conciliacion de compuestos'!$D$2:$D$48,"conciliado",'Conciliacion de compuestos'!$E$2:$E$48,"OK",'Conciliacion de compuestos'!$K$2:$K$48,A176),COUNTIFS('Conciliacion de compuestos'!$D$2:$D$48,"conciliado",'Conciliacion de compuestos'!$E$2:$E$48,"OK",'Conciliacion de compuestos'!$L$2:$L$48,A176))&gt;0,"conciliado en compuesto confirmado","disponible")</f>
        <v/>
      </c>
    </row>
    <row r="177">
      <c r="A177" s="11" t="n">
        <v>175</v>
      </c>
      <c r="B177" s="12" t="n">
        <v>45994</v>
      </c>
      <c r="C177" s="11" t="inlineStr">
        <is>
          <t>a financiero gravamen movimiento</t>
        </is>
      </c>
      <c r="D177" s="13" t="n">
        <v>-6</v>
      </c>
      <c r="E177" s="11">
        <f>IF(SUM(COUNTIFS('Conciliacion de compuestos'!$D$2:$D$48,"conciliado",'Conciliacion de compuestos'!$E$2:$E$48,"OK",'Conciliacion de compuestos'!$J$2:$J$48,A177),COUNTIFS('Conciliacion de compuestos'!$D$2:$D$48,"conciliado",'Conciliacion de compuestos'!$E$2:$E$48,"OK",'Conciliacion de compuestos'!$K$2:$K$48,A177),COUNTIFS('Conciliacion de compuestos'!$D$2:$D$48,"conciliado",'Conciliacion de compuestos'!$E$2:$E$48,"OK",'Conciliacion de compuestos'!$L$2:$L$48,A177))&gt;0,"conciliado en compuesto confirmado","disponible")</f>
        <v/>
      </c>
    </row>
    <row r="178">
      <c r="A178" s="11" t="n">
        <v>176</v>
      </c>
      <c r="B178" s="12" t="n">
        <v>45994</v>
      </c>
      <c r="C178" s="11" t="inlineStr">
        <is>
          <t>depositos electronicos masterca transaccion</t>
        </is>
      </c>
      <c r="D178" s="13" t="n">
        <v>52220</v>
      </c>
      <c r="E178" s="11">
        <f>IF(SUM(COUNTIFS('Conciliacion de compuestos'!$D$2:$D$48,"conciliado",'Conciliacion de compuestos'!$E$2:$E$48,"OK",'Conciliacion de compuestos'!$J$2:$J$48,A178),COUNTIFS('Conciliacion de compuestos'!$D$2:$D$48,"conciliado",'Conciliacion de compuestos'!$E$2:$E$48,"OK",'Conciliacion de compuestos'!$K$2:$K$48,A178),COUNTIFS('Conciliacion de compuestos'!$D$2:$D$48,"conciliado",'Conciliacion de compuestos'!$E$2:$E$48,"OK",'Conciliacion de compuestos'!$L$2:$L$48,A178))&gt;0,"conciliado en compuesto confirmado","disponible")</f>
        <v/>
      </c>
    </row>
    <row r="179">
      <c r="A179" s="11" t="n">
        <v>177</v>
      </c>
      <c r="B179" s="12" t="n">
        <v>45994</v>
      </c>
      <c r="C179" s="11" t="inlineStr">
        <is>
          <t>comision depositos electronicos mastercard</t>
        </is>
      </c>
      <c r="D179" s="13" t="n">
        <v>-992</v>
      </c>
      <c r="E179" s="11">
        <f>IF(SUM(COUNTIFS('Conciliacion de compuestos'!$D$2:$D$48,"conciliado",'Conciliacion de compuestos'!$E$2:$E$48,"OK",'Conciliacion de compuestos'!$J$2:$J$48,A179),COUNTIFS('Conciliacion de compuestos'!$D$2:$D$48,"conciliado",'Conciliacion de compuestos'!$E$2:$E$48,"OK",'Conciliacion de compuestos'!$K$2:$K$48,A179),COUNTIFS('Conciliacion de compuestos'!$D$2:$D$48,"conciliado",'Conciliacion de compuestos'!$E$2:$E$48,"OK",'Conciliacion de compuestos'!$L$2:$L$48,A179))&gt;0,"conciliado en compuesto confirmado","disponible")</f>
        <v/>
      </c>
    </row>
    <row r="180">
      <c r="A180" s="11" t="n">
        <v>178</v>
      </c>
      <c r="B180" s="12" t="n">
        <v>45994</v>
      </c>
      <c r="C180" s="11" t="inlineStr">
        <is>
          <t>a financiero gravamen movimiento</t>
        </is>
      </c>
      <c r="D180" s="13" t="n">
        <v>-4</v>
      </c>
      <c r="E180" s="11">
        <f>IF(SUM(COUNTIFS('Conciliacion de compuestos'!$D$2:$D$48,"conciliado",'Conciliacion de compuestos'!$E$2:$E$48,"OK",'Conciliacion de compuestos'!$J$2:$J$48,A180),COUNTIFS('Conciliacion de compuestos'!$D$2:$D$48,"conciliado",'Conciliacion de compuestos'!$E$2:$E$48,"OK",'Conciliacion de compuestos'!$K$2:$K$48,A180),COUNTIFS('Conciliacion de compuestos'!$D$2:$D$48,"conciliado",'Conciliacion de compuestos'!$E$2:$E$48,"OK",'Conciliacion de compuestos'!$L$2:$L$48,A180))&gt;0,"conciliado en compuesto confirmado","disponible")</f>
        <v/>
      </c>
    </row>
    <row r="181">
      <c r="A181" s="11" t="n">
        <v>179</v>
      </c>
      <c r="B181" s="12" t="n">
        <v>45994</v>
      </c>
      <c r="C181" s="11" t="inlineStr">
        <is>
          <t>depositos electronicos mastercar retefuente</t>
        </is>
      </c>
      <c r="D181" s="13" t="n">
        <v>-783</v>
      </c>
      <c r="E181" s="11">
        <f>IF(SUM(COUNTIFS('Conciliacion de compuestos'!$D$2:$D$48,"conciliado",'Conciliacion de compuestos'!$E$2:$E$48,"OK",'Conciliacion de compuestos'!$J$2:$J$48,A181),COUNTIFS('Conciliacion de compuestos'!$D$2:$D$48,"conciliado",'Conciliacion de compuestos'!$E$2:$E$48,"OK",'Conciliacion de compuestos'!$K$2:$K$48,A181),COUNTIFS('Conciliacion de compuestos'!$D$2:$D$48,"conciliado",'Conciliacion de compuestos'!$E$2:$E$48,"OK",'Conciliacion de compuestos'!$L$2:$L$48,A181))&gt;0,"conciliado en compuesto confirmado","disponible")</f>
        <v/>
      </c>
    </row>
    <row r="182">
      <c r="A182" s="11" t="n">
        <v>180</v>
      </c>
      <c r="B182" s="12" t="n">
        <v>45994</v>
      </c>
      <c r="C182" s="11" t="inlineStr">
        <is>
          <t>a financiero gravamen movimiento</t>
        </is>
      </c>
      <c r="D182" s="13" t="n">
        <v>-3</v>
      </c>
      <c r="E182" s="11">
        <f>IF(SUM(COUNTIFS('Conciliacion de compuestos'!$D$2:$D$48,"conciliado",'Conciliacion de compuestos'!$E$2:$E$48,"OK",'Conciliacion de compuestos'!$J$2:$J$48,A182),COUNTIFS('Conciliacion de compuestos'!$D$2:$D$48,"conciliado",'Conciliacion de compuestos'!$E$2:$E$48,"OK",'Conciliacion de compuestos'!$K$2:$K$48,A182),COUNTIFS('Conciliacion de compuestos'!$D$2:$D$48,"conciliado",'Conciliacion de compuestos'!$E$2:$E$48,"OK",'Conciliacion de compuestos'!$L$2:$L$48,A182))&gt;0,"conciliado en compuesto confirmado","disponible")</f>
        <v/>
      </c>
    </row>
    <row r="183">
      <c r="A183" s="11" t="n">
        <v>181</v>
      </c>
      <c r="B183" s="12" t="n">
        <v>45994</v>
      </c>
      <c r="C183" s="11" t="inlineStr">
        <is>
          <t>depositos electronicos masterca transaccion</t>
        </is>
      </c>
      <c r="D183" s="13" t="n">
        <v>31500</v>
      </c>
      <c r="E183" s="11">
        <f>IF(SUM(COUNTIFS('Conciliacion de compuestos'!$D$2:$D$48,"conciliado",'Conciliacion de compuestos'!$E$2:$E$48,"OK",'Conciliacion de compuestos'!$J$2:$J$48,A183),COUNTIFS('Conciliacion de compuestos'!$D$2:$D$48,"conciliado",'Conciliacion de compuestos'!$E$2:$E$48,"OK",'Conciliacion de compuestos'!$K$2:$K$48,A183),COUNTIFS('Conciliacion de compuestos'!$D$2:$D$48,"conciliado",'Conciliacion de compuestos'!$E$2:$E$48,"OK",'Conciliacion de compuestos'!$L$2:$L$48,A183))&gt;0,"conciliado en compuesto confirmado","disponible")</f>
        <v/>
      </c>
    </row>
    <row r="184">
      <c r="A184" s="11" t="n">
        <v>182</v>
      </c>
      <c r="B184" s="12" t="n">
        <v>45994</v>
      </c>
      <c r="C184" s="11" t="inlineStr">
        <is>
          <t>comision depositos electronicos mastercard</t>
        </is>
      </c>
      <c r="D184" s="13" t="n">
        <v>-599</v>
      </c>
      <c r="E184" s="11">
        <f>IF(SUM(COUNTIFS('Conciliacion de compuestos'!$D$2:$D$48,"conciliado",'Conciliacion de compuestos'!$E$2:$E$48,"OK",'Conciliacion de compuestos'!$J$2:$J$48,A184),COUNTIFS('Conciliacion de compuestos'!$D$2:$D$48,"conciliado",'Conciliacion de compuestos'!$E$2:$E$48,"OK",'Conciliacion de compuestos'!$K$2:$K$48,A184),COUNTIFS('Conciliacion de compuestos'!$D$2:$D$48,"conciliado",'Conciliacion de compuestos'!$E$2:$E$48,"OK",'Conciliacion de compuestos'!$L$2:$L$48,A184))&gt;0,"conciliado en compuesto confirmado","disponible")</f>
        <v/>
      </c>
    </row>
    <row r="185">
      <c r="A185" s="11" t="n">
        <v>183</v>
      </c>
      <c r="B185" s="12" t="n">
        <v>45994</v>
      </c>
      <c r="C185" s="11" t="inlineStr">
        <is>
          <t>a financiero gravamen movimiento</t>
        </is>
      </c>
      <c r="D185" s="13" t="n">
        <v>-2</v>
      </c>
      <c r="E185" s="11">
        <f>IF(SUM(COUNTIFS('Conciliacion de compuestos'!$D$2:$D$48,"conciliado",'Conciliacion de compuestos'!$E$2:$E$48,"OK",'Conciliacion de compuestos'!$J$2:$J$48,A185),COUNTIFS('Conciliacion de compuestos'!$D$2:$D$48,"conciliado",'Conciliacion de compuestos'!$E$2:$E$48,"OK",'Conciliacion de compuestos'!$K$2:$K$48,A185),COUNTIFS('Conciliacion de compuestos'!$D$2:$D$48,"conciliado",'Conciliacion de compuestos'!$E$2:$E$48,"OK",'Conciliacion de compuestos'!$L$2:$L$48,A185))&gt;0,"conciliado en compuesto confirmado","disponible")</f>
        <v/>
      </c>
    </row>
    <row r="186">
      <c r="A186" s="11" t="n">
        <v>184</v>
      </c>
      <c r="B186" s="12" t="n">
        <v>45994</v>
      </c>
      <c r="C186" s="11" t="inlineStr">
        <is>
          <t>depositos electronicos mastercar retefuente</t>
        </is>
      </c>
      <c r="D186" s="13" t="n">
        <v>-473</v>
      </c>
      <c r="E186" s="11">
        <f>IF(SUM(COUNTIFS('Conciliacion de compuestos'!$D$2:$D$48,"conciliado",'Conciliacion de compuestos'!$E$2:$E$48,"OK",'Conciliacion de compuestos'!$J$2:$J$48,A186),COUNTIFS('Conciliacion de compuestos'!$D$2:$D$48,"conciliado",'Conciliacion de compuestos'!$E$2:$E$48,"OK",'Conciliacion de compuestos'!$K$2:$K$48,A186),COUNTIFS('Conciliacion de compuestos'!$D$2:$D$48,"conciliado",'Conciliacion de compuestos'!$E$2:$E$48,"OK",'Conciliacion de compuestos'!$L$2:$L$48,A186))&gt;0,"conciliado en compuesto confirmado","disponible")</f>
        <v/>
      </c>
    </row>
    <row r="187">
      <c r="A187" s="11" t="n">
        <v>185</v>
      </c>
      <c r="B187" s="12" t="n">
        <v>45994</v>
      </c>
      <c r="C187" s="11" t="inlineStr">
        <is>
          <t>a financiero gravamen movimiento</t>
        </is>
      </c>
      <c r="D187" s="13" t="n">
        <v>-2</v>
      </c>
      <c r="E187" s="11">
        <f>IF(SUM(COUNTIFS('Conciliacion de compuestos'!$D$2:$D$48,"conciliado",'Conciliacion de compuestos'!$E$2:$E$48,"OK",'Conciliacion de compuestos'!$J$2:$J$48,A187),COUNTIFS('Conciliacion de compuestos'!$D$2:$D$48,"conciliado",'Conciliacion de compuestos'!$E$2:$E$48,"OK",'Conciliacion de compuestos'!$K$2:$K$48,A187),COUNTIFS('Conciliacion de compuestos'!$D$2:$D$48,"conciliado",'Conciliacion de compuestos'!$E$2:$E$48,"OK",'Conciliacion de compuestos'!$L$2:$L$48,A187))&gt;0,"conciliado en compuesto confirmado","disponible")</f>
        <v/>
      </c>
    </row>
    <row r="188">
      <c r="A188" s="11" t="n">
        <v>186</v>
      </c>
      <c r="B188" s="12" t="n">
        <v>45994</v>
      </c>
      <c r="C188" s="11" t="inlineStr">
        <is>
          <t>depositos electronicos masterca transaccion</t>
        </is>
      </c>
      <c r="D188" s="13" t="n">
        <v>196000</v>
      </c>
      <c r="E188" s="11">
        <f>IF(SUM(COUNTIFS('Conciliacion de compuestos'!$D$2:$D$48,"conciliado",'Conciliacion de compuestos'!$E$2:$E$48,"OK",'Conciliacion de compuestos'!$J$2:$J$48,A188),COUNTIFS('Conciliacion de compuestos'!$D$2:$D$48,"conciliado",'Conciliacion de compuestos'!$E$2:$E$48,"OK",'Conciliacion de compuestos'!$K$2:$K$48,A188),COUNTIFS('Conciliacion de compuestos'!$D$2:$D$48,"conciliado",'Conciliacion de compuestos'!$E$2:$E$48,"OK",'Conciliacion de compuestos'!$L$2:$L$48,A188))&gt;0,"conciliado en compuesto confirmado","disponible")</f>
        <v/>
      </c>
    </row>
    <row r="189">
      <c r="A189" s="11" t="n">
        <v>187</v>
      </c>
      <c r="B189" s="12" t="n">
        <v>45994</v>
      </c>
      <c r="C189" s="11" t="inlineStr">
        <is>
          <t>comision depositos electronicos mastercard</t>
        </is>
      </c>
      <c r="D189" s="13" t="n">
        <v>-3724</v>
      </c>
      <c r="E189" s="11">
        <f>IF(SUM(COUNTIFS('Conciliacion de compuestos'!$D$2:$D$48,"conciliado",'Conciliacion de compuestos'!$E$2:$E$48,"OK",'Conciliacion de compuestos'!$J$2:$J$48,A189),COUNTIFS('Conciliacion de compuestos'!$D$2:$D$48,"conciliado",'Conciliacion de compuestos'!$E$2:$E$48,"OK",'Conciliacion de compuestos'!$K$2:$K$48,A189),COUNTIFS('Conciliacion de compuestos'!$D$2:$D$48,"conciliado",'Conciliacion de compuestos'!$E$2:$E$48,"OK",'Conciliacion de compuestos'!$L$2:$L$48,A189))&gt;0,"conciliado en compuesto confirmado","disponible")</f>
        <v/>
      </c>
    </row>
    <row r="190">
      <c r="A190" s="11" t="n">
        <v>188</v>
      </c>
      <c r="B190" s="12" t="n">
        <v>45994</v>
      </c>
      <c r="C190" s="11" t="inlineStr">
        <is>
          <t>a financiero gravamen movimiento</t>
        </is>
      </c>
      <c r="D190" s="13" t="n">
        <v>-15</v>
      </c>
      <c r="E190" s="11">
        <f>IF(SUM(COUNTIFS('Conciliacion de compuestos'!$D$2:$D$48,"conciliado",'Conciliacion de compuestos'!$E$2:$E$48,"OK",'Conciliacion de compuestos'!$J$2:$J$48,A190),COUNTIFS('Conciliacion de compuestos'!$D$2:$D$48,"conciliado",'Conciliacion de compuestos'!$E$2:$E$48,"OK",'Conciliacion de compuestos'!$K$2:$K$48,A190),COUNTIFS('Conciliacion de compuestos'!$D$2:$D$48,"conciliado",'Conciliacion de compuestos'!$E$2:$E$48,"OK",'Conciliacion de compuestos'!$L$2:$L$48,A190))&gt;0,"conciliado en compuesto confirmado","disponible")</f>
        <v/>
      </c>
    </row>
    <row r="191">
      <c r="A191" s="11" t="n">
        <v>189</v>
      </c>
      <c r="B191" s="12" t="n">
        <v>45994</v>
      </c>
      <c r="C191" s="11" t="inlineStr">
        <is>
          <t>depositos electronicos mastercar retefuente</t>
        </is>
      </c>
      <c r="D191" s="13" t="n">
        <v>-2940</v>
      </c>
      <c r="E191" s="11">
        <f>IF(SUM(COUNTIFS('Conciliacion de compuestos'!$D$2:$D$48,"conciliado",'Conciliacion de compuestos'!$E$2:$E$48,"OK",'Conciliacion de compuestos'!$J$2:$J$48,A191),COUNTIFS('Conciliacion de compuestos'!$D$2:$D$48,"conciliado",'Conciliacion de compuestos'!$E$2:$E$48,"OK",'Conciliacion de compuestos'!$K$2:$K$48,A191),COUNTIFS('Conciliacion de compuestos'!$D$2:$D$48,"conciliado",'Conciliacion de compuestos'!$E$2:$E$48,"OK",'Conciliacion de compuestos'!$L$2:$L$48,A191))&gt;0,"conciliado en compuesto confirmado","disponible")</f>
        <v/>
      </c>
    </row>
    <row r="192">
      <c r="A192" s="11" t="n">
        <v>190</v>
      </c>
      <c r="B192" s="12" t="n">
        <v>45994</v>
      </c>
      <c r="C192" s="11" t="inlineStr">
        <is>
          <t>a financiero gravamen movimiento</t>
        </is>
      </c>
      <c r="D192" s="13" t="n">
        <v>-12</v>
      </c>
      <c r="E192" s="11">
        <f>IF(SUM(COUNTIFS('Conciliacion de compuestos'!$D$2:$D$48,"conciliado",'Conciliacion de compuestos'!$E$2:$E$48,"OK",'Conciliacion de compuestos'!$J$2:$J$48,A192),COUNTIFS('Conciliacion de compuestos'!$D$2:$D$48,"conciliado",'Conciliacion de compuestos'!$E$2:$E$48,"OK",'Conciliacion de compuestos'!$K$2:$K$48,A192),COUNTIFS('Conciliacion de compuestos'!$D$2:$D$48,"conciliado",'Conciliacion de compuestos'!$E$2:$E$48,"OK",'Conciliacion de compuestos'!$L$2:$L$48,A192))&gt;0,"conciliado en compuesto confirmado","disponible")</f>
        <v/>
      </c>
    </row>
    <row r="193">
      <c r="A193" s="11" t="n">
        <v>192</v>
      </c>
      <c r="B193" s="12" t="n">
        <v>45994</v>
      </c>
      <c r="C193" s="11" t="inlineStr">
        <is>
          <t>a financiero gravamen movimiento</t>
        </is>
      </c>
      <c r="D193" s="13" t="n">
        <v>-5688</v>
      </c>
      <c r="E193" s="11">
        <f>IF(SUM(COUNTIFS('Conciliacion de compuestos'!$D$2:$D$48,"conciliado",'Conciliacion de compuestos'!$E$2:$E$48,"OK",'Conciliacion de compuestos'!$J$2:$J$48,A193),COUNTIFS('Conciliacion de compuestos'!$D$2:$D$48,"conciliado",'Conciliacion de compuestos'!$E$2:$E$48,"OK",'Conciliacion de compuestos'!$K$2:$K$48,A193),COUNTIFS('Conciliacion de compuestos'!$D$2:$D$48,"conciliado",'Conciliacion de compuestos'!$E$2:$E$48,"OK",'Conciliacion de compuestos'!$L$2:$L$48,A193))&gt;0,"conciliado en compuesto confirmado","disponible")</f>
        <v/>
      </c>
    </row>
    <row r="194">
      <c r="A194" s="11" t="n">
        <v>194</v>
      </c>
      <c r="B194" s="12" t="n">
        <v>45994</v>
      </c>
      <c r="C194" s="11" t="inlineStr">
        <is>
          <t>a financiero gravamen movimiento</t>
        </is>
      </c>
      <c r="D194" s="13" t="n">
        <v>-9428</v>
      </c>
      <c r="E194" s="11">
        <f>IF(SUM(COUNTIFS('Conciliacion de compuestos'!$D$2:$D$48,"conciliado",'Conciliacion de compuestos'!$E$2:$E$48,"OK",'Conciliacion de compuestos'!$J$2:$J$48,A194),COUNTIFS('Conciliacion de compuestos'!$D$2:$D$48,"conciliado",'Conciliacion de compuestos'!$E$2:$E$48,"OK",'Conciliacion de compuestos'!$K$2:$K$48,A194),COUNTIFS('Conciliacion de compuestos'!$D$2:$D$48,"conciliado",'Conciliacion de compuestos'!$E$2:$E$48,"OK",'Conciliacion de compuestos'!$L$2:$L$48,A194))&gt;0,"conciliado en compuesto confirmado","disponible")</f>
        <v/>
      </c>
    </row>
    <row r="195">
      <c r="A195" s="11" t="n">
        <v>195</v>
      </c>
      <c r="B195" s="12" t="n">
        <v>45995</v>
      </c>
      <c r="C195" s="11" t="inlineStr">
        <is>
          <t>consignacion credibanco d e</t>
        </is>
      </c>
      <c r="D195" s="13" t="n">
        <v>52800</v>
      </c>
      <c r="E195" s="11">
        <f>IF(SUM(COUNTIFS('Conciliacion de compuestos'!$D$2:$D$48,"conciliado",'Conciliacion de compuestos'!$E$2:$E$48,"OK",'Conciliacion de compuestos'!$J$2:$J$48,A195),COUNTIFS('Conciliacion de compuestos'!$D$2:$D$48,"conciliado",'Conciliacion de compuestos'!$E$2:$E$48,"OK",'Conciliacion de compuestos'!$K$2:$K$48,A195),COUNTIFS('Conciliacion de compuestos'!$D$2:$D$48,"conciliado",'Conciliacion de compuestos'!$E$2:$E$48,"OK",'Conciliacion de compuestos'!$L$2:$L$48,A195))&gt;0,"conciliado en compuesto confirmado","disponible")</f>
        <v/>
      </c>
    </row>
    <row r="196">
      <c r="A196" s="11" t="n">
        <v>196</v>
      </c>
      <c r="B196" s="12" t="n">
        <v>45995</v>
      </c>
      <c r="C196" s="11" t="inlineStr">
        <is>
          <t>cobro comision depositos electronicos</t>
        </is>
      </c>
      <c r="D196" s="13" t="n">
        <v>-428</v>
      </c>
      <c r="E196" s="11">
        <f>IF(SUM(COUNTIFS('Conciliacion de compuestos'!$D$2:$D$48,"conciliado",'Conciliacion de compuestos'!$E$2:$E$48,"OK",'Conciliacion de compuestos'!$J$2:$J$48,A196),COUNTIFS('Conciliacion de compuestos'!$D$2:$D$48,"conciliado",'Conciliacion de compuestos'!$E$2:$E$48,"OK",'Conciliacion de compuestos'!$K$2:$K$48,A196),COUNTIFS('Conciliacion de compuestos'!$D$2:$D$48,"conciliado",'Conciliacion de compuestos'!$E$2:$E$48,"OK",'Conciliacion de compuestos'!$L$2:$L$48,A196))&gt;0,"conciliado en compuesto confirmado","disponible")</f>
        <v/>
      </c>
    </row>
    <row r="197">
      <c r="A197" s="11" t="n">
        <v>197</v>
      </c>
      <c r="B197" s="12" t="n">
        <v>45995</v>
      </c>
      <c r="C197" s="11" t="inlineStr">
        <is>
          <t>a financiero gravamen movimiento</t>
        </is>
      </c>
      <c r="D197" s="13" t="n">
        <v>-2</v>
      </c>
      <c r="E197" s="11">
        <f>IF(SUM(COUNTIFS('Conciliacion de compuestos'!$D$2:$D$48,"conciliado",'Conciliacion de compuestos'!$E$2:$E$48,"OK",'Conciliacion de compuestos'!$J$2:$J$48,A197),COUNTIFS('Conciliacion de compuestos'!$D$2:$D$48,"conciliado",'Conciliacion de compuestos'!$E$2:$E$48,"OK",'Conciliacion de compuestos'!$K$2:$K$48,A197),COUNTIFS('Conciliacion de compuestos'!$D$2:$D$48,"conciliado",'Conciliacion de compuestos'!$E$2:$E$48,"OK",'Conciliacion de compuestos'!$L$2:$L$48,A197))&gt;0,"conciliado en compuesto confirmado","disponible")</f>
        <v/>
      </c>
    </row>
    <row r="198">
      <c r="A198" s="11" t="n">
        <v>198</v>
      </c>
      <c r="B198" s="12" t="n">
        <v>45995</v>
      </c>
      <c r="C198" s="11" t="inlineStr">
        <is>
          <t>credibanco d e retefuente voucher y</t>
        </is>
      </c>
      <c r="D198" s="13" t="n">
        <v>-792</v>
      </c>
      <c r="E198" s="11">
        <f>IF(SUM(COUNTIFS('Conciliacion de compuestos'!$D$2:$D$48,"conciliado",'Conciliacion de compuestos'!$E$2:$E$48,"OK",'Conciliacion de compuestos'!$J$2:$J$48,A198),COUNTIFS('Conciliacion de compuestos'!$D$2:$D$48,"conciliado",'Conciliacion de compuestos'!$E$2:$E$48,"OK",'Conciliacion de compuestos'!$K$2:$K$48,A198),COUNTIFS('Conciliacion de compuestos'!$D$2:$D$48,"conciliado",'Conciliacion de compuestos'!$E$2:$E$48,"OK",'Conciliacion de compuestos'!$L$2:$L$48,A198))&gt;0,"conciliado en compuesto confirmado","disponible")</f>
        <v/>
      </c>
    </row>
    <row r="199">
      <c r="A199" s="11" t="n">
        <v>199</v>
      </c>
      <c r="B199" s="12" t="n">
        <v>45995</v>
      </c>
      <c r="C199" s="11" t="inlineStr">
        <is>
          <t>a financiero gravamen movimiento</t>
        </is>
      </c>
      <c r="D199" s="13" t="n">
        <v>-3</v>
      </c>
      <c r="E199" s="11">
        <f>IF(SUM(COUNTIFS('Conciliacion de compuestos'!$D$2:$D$48,"conciliado",'Conciliacion de compuestos'!$E$2:$E$48,"OK",'Conciliacion de compuestos'!$J$2:$J$48,A199),COUNTIFS('Conciliacion de compuestos'!$D$2:$D$48,"conciliado",'Conciliacion de compuestos'!$E$2:$E$48,"OK",'Conciliacion de compuestos'!$K$2:$K$48,A199),COUNTIFS('Conciliacion de compuestos'!$D$2:$D$48,"conciliado",'Conciliacion de compuestos'!$E$2:$E$48,"OK",'Conciliacion de compuestos'!$L$2:$L$48,A199))&gt;0,"conciliado en compuesto confirmado","disponible")</f>
        <v/>
      </c>
    </row>
    <row r="200">
      <c r="A200" s="11" t="n">
        <v>200</v>
      </c>
      <c r="B200" s="12" t="n">
        <v>45995</v>
      </c>
      <c r="C200" s="11" t="inlineStr">
        <is>
          <t>consignacion credibanco d e</t>
        </is>
      </c>
      <c r="D200" s="13" t="n">
        <v>38200</v>
      </c>
      <c r="E200" s="11">
        <f>IF(SUM(COUNTIFS('Conciliacion de compuestos'!$D$2:$D$48,"conciliado",'Conciliacion de compuestos'!$E$2:$E$48,"OK",'Conciliacion de compuestos'!$J$2:$J$48,A200),COUNTIFS('Conciliacion de compuestos'!$D$2:$D$48,"conciliado",'Conciliacion de compuestos'!$E$2:$E$48,"OK",'Conciliacion de compuestos'!$K$2:$K$48,A200),COUNTIFS('Conciliacion de compuestos'!$D$2:$D$48,"conciliado",'Conciliacion de compuestos'!$E$2:$E$48,"OK",'Conciliacion de compuestos'!$L$2:$L$48,A200))&gt;0,"conciliado en compuesto confirmado","disponible")</f>
        <v/>
      </c>
    </row>
    <row r="201">
      <c r="A201" s="11" t="n">
        <v>201</v>
      </c>
      <c r="B201" s="12" t="n">
        <v>45995</v>
      </c>
      <c r="C201" s="11" t="inlineStr">
        <is>
          <t>cobro comision depositos electronicos</t>
        </is>
      </c>
      <c r="D201" s="13" t="n">
        <v>-825</v>
      </c>
      <c r="E201" s="11">
        <f>IF(SUM(COUNTIFS('Conciliacion de compuestos'!$D$2:$D$48,"conciliado",'Conciliacion de compuestos'!$E$2:$E$48,"OK",'Conciliacion de compuestos'!$J$2:$J$48,A201),COUNTIFS('Conciliacion de compuestos'!$D$2:$D$48,"conciliado",'Conciliacion de compuestos'!$E$2:$E$48,"OK",'Conciliacion de compuestos'!$K$2:$K$48,A201),COUNTIFS('Conciliacion de compuestos'!$D$2:$D$48,"conciliado",'Conciliacion de compuestos'!$E$2:$E$48,"OK",'Conciliacion de compuestos'!$L$2:$L$48,A201))&gt;0,"conciliado en compuesto confirmado","disponible")</f>
        <v/>
      </c>
    </row>
    <row r="202">
      <c r="A202" s="11" t="n">
        <v>202</v>
      </c>
      <c r="B202" s="12" t="n">
        <v>45995</v>
      </c>
      <c r="C202" s="11" t="inlineStr">
        <is>
          <t>a financiero gravamen movimiento</t>
        </is>
      </c>
      <c r="D202" s="13" t="n">
        <v>-3</v>
      </c>
      <c r="E202" s="11">
        <f>IF(SUM(COUNTIFS('Conciliacion de compuestos'!$D$2:$D$48,"conciliado",'Conciliacion de compuestos'!$E$2:$E$48,"OK",'Conciliacion de compuestos'!$J$2:$J$48,A202),COUNTIFS('Conciliacion de compuestos'!$D$2:$D$48,"conciliado",'Conciliacion de compuestos'!$E$2:$E$48,"OK",'Conciliacion de compuestos'!$K$2:$K$48,A202),COUNTIFS('Conciliacion de compuestos'!$D$2:$D$48,"conciliado",'Conciliacion de compuestos'!$E$2:$E$48,"OK",'Conciliacion de compuestos'!$L$2:$L$48,A202))&gt;0,"conciliado en compuesto confirmado","disponible")</f>
        <v/>
      </c>
    </row>
    <row r="203">
      <c r="A203" s="11" t="n">
        <v>203</v>
      </c>
      <c r="B203" s="12" t="n">
        <v>45995</v>
      </c>
      <c r="C203" s="11" t="inlineStr">
        <is>
          <t>credibanco d e retefuente voucher y</t>
        </is>
      </c>
      <c r="D203" s="13" t="n">
        <v>-573</v>
      </c>
      <c r="E203" s="11">
        <f>IF(SUM(COUNTIFS('Conciliacion de compuestos'!$D$2:$D$48,"conciliado",'Conciliacion de compuestos'!$E$2:$E$48,"OK",'Conciliacion de compuestos'!$J$2:$J$48,A203),COUNTIFS('Conciliacion de compuestos'!$D$2:$D$48,"conciliado",'Conciliacion de compuestos'!$E$2:$E$48,"OK",'Conciliacion de compuestos'!$K$2:$K$48,A203),COUNTIFS('Conciliacion de compuestos'!$D$2:$D$48,"conciliado",'Conciliacion de compuestos'!$E$2:$E$48,"OK",'Conciliacion de compuestos'!$L$2:$L$48,A203))&gt;0,"conciliado en compuesto confirmado","disponible")</f>
        <v/>
      </c>
    </row>
    <row r="204">
      <c r="A204" s="11" t="n">
        <v>204</v>
      </c>
      <c r="B204" s="12" t="n">
        <v>45995</v>
      </c>
      <c r="C204" s="11" t="inlineStr">
        <is>
          <t>a financiero gravamen movimiento</t>
        </is>
      </c>
      <c r="D204" s="13" t="n">
        <v>-2</v>
      </c>
      <c r="E204" s="11">
        <f>IF(SUM(COUNTIFS('Conciliacion de compuestos'!$D$2:$D$48,"conciliado",'Conciliacion de compuestos'!$E$2:$E$48,"OK",'Conciliacion de compuestos'!$J$2:$J$48,A204),COUNTIFS('Conciliacion de compuestos'!$D$2:$D$48,"conciliado",'Conciliacion de compuestos'!$E$2:$E$48,"OK",'Conciliacion de compuestos'!$K$2:$K$48,A204),COUNTIFS('Conciliacion de compuestos'!$D$2:$D$48,"conciliado",'Conciliacion de compuestos'!$E$2:$E$48,"OK",'Conciliacion de compuestos'!$L$2:$L$48,A204))&gt;0,"conciliado en compuesto confirmado","disponible")</f>
        <v/>
      </c>
    </row>
    <row r="205">
      <c r="A205" s="11" t="n">
        <v>205</v>
      </c>
      <c r="B205" s="12" t="n">
        <v>45995</v>
      </c>
      <c r="C205" s="11" t="inlineStr">
        <is>
          <t>consignacion credibanco d e</t>
        </is>
      </c>
      <c r="D205" s="13" t="n">
        <v>43300</v>
      </c>
      <c r="E205" s="11">
        <f>IF(SUM(COUNTIFS('Conciliacion de compuestos'!$D$2:$D$48,"conciliado",'Conciliacion de compuestos'!$E$2:$E$48,"OK",'Conciliacion de compuestos'!$J$2:$J$48,A205),COUNTIFS('Conciliacion de compuestos'!$D$2:$D$48,"conciliado",'Conciliacion de compuestos'!$E$2:$E$48,"OK",'Conciliacion de compuestos'!$K$2:$K$48,A205),COUNTIFS('Conciliacion de compuestos'!$D$2:$D$48,"conciliado",'Conciliacion de compuestos'!$E$2:$E$48,"OK",'Conciliacion de compuestos'!$L$2:$L$48,A205))&gt;0,"conciliado en compuesto confirmado","disponible")</f>
        <v/>
      </c>
    </row>
    <row r="206">
      <c r="A206" s="11" t="n">
        <v>206</v>
      </c>
      <c r="B206" s="12" t="n">
        <v>45995</v>
      </c>
      <c r="C206" s="11" t="inlineStr">
        <is>
          <t>cobro comision depositos electronicos</t>
        </is>
      </c>
      <c r="D206" s="13" t="n">
        <v>-948</v>
      </c>
      <c r="E206" s="11">
        <f>IF(SUM(COUNTIFS('Conciliacion de compuestos'!$D$2:$D$48,"conciliado",'Conciliacion de compuestos'!$E$2:$E$48,"OK",'Conciliacion de compuestos'!$J$2:$J$48,A206),COUNTIFS('Conciliacion de compuestos'!$D$2:$D$48,"conciliado",'Conciliacion de compuestos'!$E$2:$E$48,"OK",'Conciliacion de compuestos'!$K$2:$K$48,A206),COUNTIFS('Conciliacion de compuestos'!$D$2:$D$48,"conciliado",'Conciliacion de compuestos'!$E$2:$E$48,"OK",'Conciliacion de compuestos'!$L$2:$L$48,A206))&gt;0,"conciliado en compuesto confirmado","disponible")</f>
        <v/>
      </c>
    </row>
    <row r="207">
      <c r="A207" s="11" t="n">
        <v>207</v>
      </c>
      <c r="B207" s="12" t="n">
        <v>45995</v>
      </c>
      <c r="C207" s="11" t="inlineStr">
        <is>
          <t>a financiero gravamen movimiento</t>
        </is>
      </c>
      <c r="D207" s="13" t="n">
        <v>-4</v>
      </c>
      <c r="E207" s="11">
        <f>IF(SUM(COUNTIFS('Conciliacion de compuestos'!$D$2:$D$48,"conciliado",'Conciliacion de compuestos'!$E$2:$E$48,"OK",'Conciliacion de compuestos'!$J$2:$J$48,A207),COUNTIFS('Conciliacion de compuestos'!$D$2:$D$48,"conciliado",'Conciliacion de compuestos'!$E$2:$E$48,"OK",'Conciliacion de compuestos'!$K$2:$K$48,A207),COUNTIFS('Conciliacion de compuestos'!$D$2:$D$48,"conciliado",'Conciliacion de compuestos'!$E$2:$E$48,"OK",'Conciliacion de compuestos'!$L$2:$L$48,A207))&gt;0,"conciliado en compuesto confirmado","disponible")</f>
        <v/>
      </c>
    </row>
    <row r="208">
      <c r="A208" s="11" t="n">
        <v>208</v>
      </c>
      <c r="B208" s="12" t="n">
        <v>45995</v>
      </c>
      <c r="C208" s="11" t="inlineStr">
        <is>
          <t>credibanco d e retefuente voucher y</t>
        </is>
      </c>
      <c r="D208" s="13" t="n">
        <v>-650</v>
      </c>
      <c r="E208" s="11">
        <f>IF(SUM(COUNTIFS('Conciliacion de compuestos'!$D$2:$D$48,"conciliado",'Conciliacion de compuestos'!$E$2:$E$48,"OK",'Conciliacion de compuestos'!$J$2:$J$48,A208),COUNTIFS('Conciliacion de compuestos'!$D$2:$D$48,"conciliado",'Conciliacion de compuestos'!$E$2:$E$48,"OK",'Conciliacion de compuestos'!$K$2:$K$48,A208),COUNTIFS('Conciliacion de compuestos'!$D$2:$D$48,"conciliado",'Conciliacion de compuestos'!$E$2:$E$48,"OK",'Conciliacion de compuestos'!$L$2:$L$48,A208))&gt;0,"conciliado en compuesto confirmado","disponible")</f>
        <v/>
      </c>
    </row>
    <row r="209">
      <c r="A209" s="11" t="n">
        <v>209</v>
      </c>
      <c r="B209" s="12" t="n">
        <v>45995</v>
      </c>
      <c r="C209" s="11" t="inlineStr">
        <is>
          <t>a financiero gravamen movimiento</t>
        </is>
      </c>
      <c r="D209" s="13" t="n">
        <v>-3</v>
      </c>
      <c r="E209" s="11">
        <f>IF(SUM(COUNTIFS('Conciliacion de compuestos'!$D$2:$D$48,"conciliado",'Conciliacion de compuestos'!$E$2:$E$48,"OK",'Conciliacion de compuestos'!$J$2:$J$48,A209),COUNTIFS('Conciliacion de compuestos'!$D$2:$D$48,"conciliado",'Conciliacion de compuestos'!$E$2:$E$48,"OK",'Conciliacion de compuestos'!$K$2:$K$48,A209),COUNTIFS('Conciliacion de compuestos'!$D$2:$D$48,"conciliado",'Conciliacion de compuestos'!$E$2:$E$48,"OK",'Conciliacion de compuestos'!$L$2:$L$48,A209))&gt;0,"conciliado en compuesto confirmado","disponible")</f>
        <v/>
      </c>
    </row>
    <row r="210">
      <c r="A210" s="11" t="n">
        <v>210</v>
      </c>
      <c r="B210" s="12" t="n">
        <v>45995</v>
      </c>
      <c r="C210" s="11" t="inlineStr">
        <is>
          <t>consignacion credibanco d e</t>
        </is>
      </c>
      <c r="D210" s="13" t="n">
        <v>33000</v>
      </c>
      <c r="E210" s="11">
        <f>IF(SUM(COUNTIFS('Conciliacion de compuestos'!$D$2:$D$48,"conciliado",'Conciliacion de compuestos'!$E$2:$E$48,"OK",'Conciliacion de compuestos'!$J$2:$J$48,A210),COUNTIFS('Conciliacion de compuestos'!$D$2:$D$48,"conciliado",'Conciliacion de compuestos'!$E$2:$E$48,"OK",'Conciliacion de compuestos'!$K$2:$K$48,A210),COUNTIFS('Conciliacion de compuestos'!$D$2:$D$48,"conciliado",'Conciliacion de compuestos'!$E$2:$E$48,"OK",'Conciliacion de compuestos'!$L$2:$L$48,A210))&gt;0,"conciliado en compuesto confirmado","disponible")</f>
        <v/>
      </c>
    </row>
    <row r="211">
      <c r="A211" s="11" t="n">
        <v>211</v>
      </c>
      <c r="B211" s="12" t="n">
        <v>45995</v>
      </c>
      <c r="C211" s="11" t="inlineStr">
        <is>
          <t>cobro comision depositos electronicos</t>
        </is>
      </c>
      <c r="D211" s="13" t="n">
        <v>-723</v>
      </c>
      <c r="E211" s="11">
        <f>IF(SUM(COUNTIFS('Conciliacion de compuestos'!$D$2:$D$48,"conciliado",'Conciliacion de compuestos'!$E$2:$E$48,"OK",'Conciliacion de compuestos'!$J$2:$J$48,A211),COUNTIFS('Conciliacion de compuestos'!$D$2:$D$48,"conciliado",'Conciliacion de compuestos'!$E$2:$E$48,"OK",'Conciliacion de compuestos'!$K$2:$K$48,A211),COUNTIFS('Conciliacion de compuestos'!$D$2:$D$48,"conciliado",'Conciliacion de compuestos'!$E$2:$E$48,"OK",'Conciliacion de compuestos'!$L$2:$L$48,A211))&gt;0,"conciliado en compuesto confirmado","disponible")</f>
        <v/>
      </c>
    </row>
    <row r="212">
      <c r="A212" s="11" t="n">
        <v>212</v>
      </c>
      <c r="B212" s="12" t="n">
        <v>45995</v>
      </c>
      <c r="C212" s="11" t="inlineStr">
        <is>
          <t>a financiero gravamen movimiento</t>
        </is>
      </c>
      <c r="D212" s="13" t="n">
        <v>-3</v>
      </c>
      <c r="E212" s="11">
        <f>IF(SUM(COUNTIFS('Conciliacion de compuestos'!$D$2:$D$48,"conciliado",'Conciliacion de compuestos'!$E$2:$E$48,"OK",'Conciliacion de compuestos'!$J$2:$J$48,A212),COUNTIFS('Conciliacion de compuestos'!$D$2:$D$48,"conciliado",'Conciliacion de compuestos'!$E$2:$E$48,"OK",'Conciliacion de compuestos'!$K$2:$K$48,A212),COUNTIFS('Conciliacion de compuestos'!$D$2:$D$48,"conciliado",'Conciliacion de compuestos'!$E$2:$E$48,"OK",'Conciliacion de compuestos'!$L$2:$L$48,A212))&gt;0,"conciliado en compuesto confirmado","disponible")</f>
        <v/>
      </c>
    </row>
    <row r="213">
      <c r="A213" s="11" t="n">
        <v>213</v>
      </c>
      <c r="B213" s="12" t="n">
        <v>45995</v>
      </c>
      <c r="C213" s="11" t="inlineStr">
        <is>
          <t>credibanco d e retefuente voucher y</t>
        </is>
      </c>
      <c r="D213" s="13" t="n">
        <v>-495</v>
      </c>
      <c r="E213" s="11">
        <f>IF(SUM(COUNTIFS('Conciliacion de compuestos'!$D$2:$D$48,"conciliado",'Conciliacion de compuestos'!$E$2:$E$48,"OK",'Conciliacion de compuestos'!$J$2:$J$48,A213),COUNTIFS('Conciliacion de compuestos'!$D$2:$D$48,"conciliado",'Conciliacion de compuestos'!$E$2:$E$48,"OK",'Conciliacion de compuestos'!$K$2:$K$48,A213),COUNTIFS('Conciliacion de compuestos'!$D$2:$D$48,"conciliado",'Conciliacion de compuestos'!$E$2:$E$48,"OK",'Conciliacion de compuestos'!$L$2:$L$48,A213))&gt;0,"conciliado en compuesto confirmado","disponible")</f>
        <v/>
      </c>
    </row>
    <row r="214">
      <c r="A214" s="11" t="n">
        <v>214</v>
      </c>
      <c r="B214" s="12" t="n">
        <v>45995</v>
      </c>
      <c r="C214" s="11" t="inlineStr">
        <is>
          <t>a financiero gravamen movimiento</t>
        </is>
      </c>
      <c r="D214" s="13" t="n">
        <v>-2</v>
      </c>
      <c r="E214" s="11">
        <f>IF(SUM(COUNTIFS('Conciliacion de compuestos'!$D$2:$D$48,"conciliado",'Conciliacion de compuestos'!$E$2:$E$48,"OK",'Conciliacion de compuestos'!$J$2:$J$48,A214),COUNTIFS('Conciliacion de compuestos'!$D$2:$D$48,"conciliado",'Conciliacion de compuestos'!$E$2:$E$48,"OK",'Conciliacion de compuestos'!$K$2:$K$48,A214),COUNTIFS('Conciliacion de compuestos'!$D$2:$D$48,"conciliado",'Conciliacion de compuestos'!$E$2:$E$48,"OK",'Conciliacion de compuestos'!$L$2:$L$48,A214))&gt;0,"conciliado en compuesto confirmado","disponible")</f>
        <v/>
      </c>
    </row>
    <row r="215">
      <c r="A215" s="11" t="n">
        <v>215</v>
      </c>
      <c r="B215" s="12" t="n">
        <v>45995</v>
      </c>
      <c r="C215" s="11" t="inlineStr">
        <is>
          <t>consignacion credibanco d e</t>
        </is>
      </c>
      <c r="D215" s="13" t="n">
        <v>23564</v>
      </c>
      <c r="E215" s="11">
        <f>IF(SUM(COUNTIFS('Conciliacion de compuestos'!$D$2:$D$48,"conciliado",'Conciliacion de compuestos'!$E$2:$E$48,"OK",'Conciliacion de compuestos'!$J$2:$J$48,A215),COUNTIFS('Conciliacion de compuestos'!$D$2:$D$48,"conciliado",'Conciliacion de compuestos'!$E$2:$E$48,"OK",'Conciliacion de compuestos'!$K$2:$K$48,A215),COUNTIFS('Conciliacion de compuestos'!$D$2:$D$48,"conciliado",'Conciliacion de compuestos'!$E$2:$E$48,"OK",'Conciliacion de compuestos'!$L$2:$L$48,A215))&gt;0,"conciliado en compuesto confirmado","disponible")</f>
        <v/>
      </c>
    </row>
    <row r="216">
      <c r="A216" s="11" t="n">
        <v>216</v>
      </c>
      <c r="B216" s="12" t="n">
        <v>45995</v>
      </c>
      <c r="C216" s="11" t="inlineStr">
        <is>
          <t>cobro comision depositos electronicos</t>
        </is>
      </c>
      <c r="D216" s="13" t="n">
        <v>-516</v>
      </c>
      <c r="E216" s="11">
        <f>IF(SUM(COUNTIFS('Conciliacion de compuestos'!$D$2:$D$48,"conciliado",'Conciliacion de compuestos'!$E$2:$E$48,"OK",'Conciliacion de compuestos'!$J$2:$J$48,A216),COUNTIFS('Conciliacion de compuestos'!$D$2:$D$48,"conciliado",'Conciliacion de compuestos'!$E$2:$E$48,"OK",'Conciliacion de compuestos'!$K$2:$K$48,A216),COUNTIFS('Conciliacion de compuestos'!$D$2:$D$48,"conciliado",'Conciliacion de compuestos'!$E$2:$E$48,"OK",'Conciliacion de compuestos'!$L$2:$L$48,A216))&gt;0,"conciliado en compuesto confirmado","disponible")</f>
        <v/>
      </c>
    </row>
    <row r="217">
      <c r="A217" s="11" t="n">
        <v>217</v>
      </c>
      <c r="B217" s="12" t="n">
        <v>45995</v>
      </c>
      <c r="C217" s="11" t="inlineStr">
        <is>
          <t>a financiero gravamen movimiento</t>
        </is>
      </c>
      <c r="D217" s="13" t="n">
        <v>-2</v>
      </c>
      <c r="E217" s="11">
        <f>IF(SUM(COUNTIFS('Conciliacion de compuestos'!$D$2:$D$48,"conciliado",'Conciliacion de compuestos'!$E$2:$E$48,"OK",'Conciliacion de compuestos'!$J$2:$J$48,A217),COUNTIFS('Conciliacion de compuestos'!$D$2:$D$48,"conciliado",'Conciliacion de compuestos'!$E$2:$E$48,"OK",'Conciliacion de compuestos'!$K$2:$K$48,A217),COUNTIFS('Conciliacion de compuestos'!$D$2:$D$48,"conciliado",'Conciliacion de compuestos'!$E$2:$E$48,"OK",'Conciliacion de compuestos'!$L$2:$L$48,A217))&gt;0,"conciliado en compuesto confirmado","disponible")</f>
        <v/>
      </c>
    </row>
    <row r="218">
      <c r="A218" s="11" t="n">
        <v>218</v>
      </c>
      <c r="B218" s="12" t="n">
        <v>45995</v>
      </c>
      <c r="C218" s="11" t="inlineStr">
        <is>
          <t>credibanco d e retefuente voucher y</t>
        </is>
      </c>
      <c r="D218" s="13" t="n">
        <v>-353</v>
      </c>
      <c r="E218" s="11">
        <f>IF(SUM(COUNTIFS('Conciliacion de compuestos'!$D$2:$D$48,"conciliado",'Conciliacion de compuestos'!$E$2:$E$48,"OK",'Conciliacion de compuestos'!$J$2:$J$48,A218),COUNTIFS('Conciliacion de compuestos'!$D$2:$D$48,"conciliado",'Conciliacion de compuestos'!$E$2:$E$48,"OK",'Conciliacion de compuestos'!$K$2:$K$48,A218),COUNTIFS('Conciliacion de compuestos'!$D$2:$D$48,"conciliado",'Conciliacion de compuestos'!$E$2:$E$48,"OK",'Conciliacion de compuestos'!$L$2:$L$48,A218))&gt;0,"conciliado en compuesto confirmado","disponible")</f>
        <v/>
      </c>
    </row>
    <row r="219">
      <c r="A219" s="11" t="n">
        <v>219</v>
      </c>
      <c r="B219" s="12" t="n">
        <v>45995</v>
      </c>
      <c r="C219" s="11" t="inlineStr">
        <is>
          <t>a financiero gravamen movimiento</t>
        </is>
      </c>
      <c r="D219" s="13" t="n">
        <v>-1</v>
      </c>
      <c r="E219" s="11">
        <f>IF(SUM(COUNTIFS('Conciliacion de compuestos'!$D$2:$D$48,"conciliado",'Conciliacion de compuestos'!$E$2:$E$48,"OK",'Conciliacion de compuestos'!$J$2:$J$48,A219),COUNTIFS('Conciliacion de compuestos'!$D$2:$D$48,"conciliado",'Conciliacion de compuestos'!$E$2:$E$48,"OK",'Conciliacion de compuestos'!$K$2:$K$48,A219),COUNTIFS('Conciliacion de compuestos'!$D$2:$D$48,"conciliado",'Conciliacion de compuestos'!$E$2:$E$48,"OK",'Conciliacion de compuestos'!$L$2:$L$48,A219))&gt;0,"conciliado en compuesto confirmado","disponible")</f>
        <v/>
      </c>
    </row>
    <row r="220">
      <c r="A220" s="11" t="n">
        <v>220</v>
      </c>
      <c r="B220" s="12" t="n">
        <v>45995</v>
      </c>
      <c r="C220" s="11" t="inlineStr">
        <is>
          <t>depositos electronicos masterca transaccion</t>
        </is>
      </c>
      <c r="D220" s="13" t="n">
        <v>20300</v>
      </c>
      <c r="E220" s="11">
        <f>IF(SUM(COUNTIFS('Conciliacion de compuestos'!$D$2:$D$48,"conciliado",'Conciliacion de compuestos'!$E$2:$E$48,"OK",'Conciliacion de compuestos'!$J$2:$J$48,A220),COUNTIFS('Conciliacion de compuestos'!$D$2:$D$48,"conciliado",'Conciliacion de compuestos'!$E$2:$E$48,"OK",'Conciliacion de compuestos'!$K$2:$K$48,A220),COUNTIFS('Conciliacion de compuestos'!$D$2:$D$48,"conciliado",'Conciliacion de compuestos'!$E$2:$E$48,"OK",'Conciliacion de compuestos'!$L$2:$L$48,A220))&gt;0,"conciliado en compuesto confirmado","disponible")</f>
        <v/>
      </c>
    </row>
    <row r="221">
      <c r="A221" s="11" t="n">
        <v>221</v>
      </c>
      <c r="B221" s="12" t="n">
        <v>45995</v>
      </c>
      <c r="C221" s="11" t="inlineStr">
        <is>
          <t>comision depositos electronicos mastercard</t>
        </is>
      </c>
      <c r="D221" s="13" t="n">
        <v>-386</v>
      </c>
      <c r="E221" s="11">
        <f>IF(SUM(COUNTIFS('Conciliacion de compuestos'!$D$2:$D$48,"conciliado",'Conciliacion de compuestos'!$E$2:$E$48,"OK",'Conciliacion de compuestos'!$J$2:$J$48,A221),COUNTIFS('Conciliacion de compuestos'!$D$2:$D$48,"conciliado",'Conciliacion de compuestos'!$E$2:$E$48,"OK",'Conciliacion de compuestos'!$K$2:$K$48,A221),COUNTIFS('Conciliacion de compuestos'!$D$2:$D$48,"conciliado",'Conciliacion de compuestos'!$E$2:$E$48,"OK",'Conciliacion de compuestos'!$L$2:$L$48,A221))&gt;0,"conciliado en compuesto confirmado","disponible")</f>
        <v/>
      </c>
    </row>
    <row r="222">
      <c r="A222" s="11" t="n">
        <v>222</v>
      </c>
      <c r="B222" s="12" t="n">
        <v>45995</v>
      </c>
      <c r="C222" s="11" t="inlineStr">
        <is>
          <t>a financiero gravamen movimiento</t>
        </is>
      </c>
      <c r="D222" s="13" t="n">
        <v>-2</v>
      </c>
      <c r="E222" s="11">
        <f>IF(SUM(COUNTIFS('Conciliacion de compuestos'!$D$2:$D$48,"conciliado",'Conciliacion de compuestos'!$E$2:$E$48,"OK",'Conciliacion de compuestos'!$J$2:$J$48,A222),COUNTIFS('Conciliacion de compuestos'!$D$2:$D$48,"conciliado",'Conciliacion de compuestos'!$E$2:$E$48,"OK",'Conciliacion de compuestos'!$K$2:$K$48,A222),COUNTIFS('Conciliacion de compuestos'!$D$2:$D$48,"conciliado",'Conciliacion de compuestos'!$E$2:$E$48,"OK",'Conciliacion de compuestos'!$L$2:$L$48,A222))&gt;0,"conciliado en compuesto confirmado","disponible")</f>
        <v/>
      </c>
    </row>
    <row r="223">
      <c r="A223" s="11" t="n">
        <v>223</v>
      </c>
      <c r="B223" s="12" t="n">
        <v>45995</v>
      </c>
      <c r="C223" s="11" t="inlineStr">
        <is>
          <t>depositos electronicos mastercar retefuente</t>
        </is>
      </c>
      <c r="D223" s="13" t="n">
        <v>-305</v>
      </c>
      <c r="E223" s="11">
        <f>IF(SUM(COUNTIFS('Conciliacion de compuestos'!$D$2:$D$48,"conciliado",'Conciliacion de compuestos'!$E$2:$E$48,"OK",'Conciliacion de compuestos'!$J$2:$J$48,A223),COUNTIFS('Conciliacion de compuestos'!$D$2:$D$48,"conciliado",'Conciliacion de compuestos'!$E$2:$E$48,"OK",'Conciliacion de compuestos'!$K$2:$K$48,A223),COUNTIFS('Conciliacion de compuestos'!$D$2:$D$48,"conciliado",'Conciliacion de compuestos'!$E$2:$E$48,"OK",'Conciliacion de compuestos'!$L$2:$L$48,A223))&gt;0,"conciliado en compuesto confirmado","disponible")</f>
        <v/>
      </c>
    </row>
    <row r="224">
      <c r="A224" s="11" t="n">
        <v>224</v>
      </c>
      <c r="B224" s="12" t="n">
        <v>45995</v>
      </c>
      <c r="C224" s="11" t="inlineStr">
        <is>
          <t>a financiero gravamen movimiento</t>
        </is>
      </c>
      <c r="D224" s="13" t="n">
        <v>-1</v>
      </c>
      <c r="E224" s="11">
        <f>IF(SUM(COUNTIFS('Conciliacion de compuestos'!$D$2:$D$48,"conciliado",'Conciliacion de compuestos'!$E$2:$E$48,"OK",'Conciliacion de compuestos'!$J$2:$J$48,A224),COUNTIFS('Conciliacion de compuestos'!$D$2:$D$48,"conciliado",'Conciliacion de compuestos'!$E$2:$E$48,"OK",'Conciliacion de compuestos'!$K$2:$K$48,A224),COUNTIFS('Conciliacion de compuestos'!$D$2:$D$48,"conciliado",'Conciliacion de compuestos'!$E$2:$E$48,"OK",'Conciliacion de compuestos'!$L$2:$L$48,A224))&gt;0,"conciliado en compuesto confirmado","disponible")</f>
        <v/>
      </c>
    </row>
    <row r="225">
      <c r="A225" s="11" t="n">
        <v>226</v>
      </c>
      <c r="B225" s="12" t="n">
        <v>45995</v>
      </c>
      <c r="C225" s="11" t="inlineStr">
        <is>
          <t>a financiero gravamen movimiento</t>
        </is>
      </c>
      <c r="D225" s="13" t="n">
        <v>-15005</v>
      </c>
      <c r="E225" s="11">
        <f>IF(SUM(COUNTIFS('Conciliacion de compuestos'!$D$2:$D$48,"conciliado",'Conciliacion de compuestos'!$E$2:$E$48,"OK",'Conciliacion de compuestos'!$J$2:$J$48,A225),COUNTIFS('Conciliacion de compuestos'!$D$2:$D$48,"conciliado",'Conciliacion de compuestos'!$E$2:$E$48,"OK",'Conciliacion de compuestos'!$K$2:$K$48,A225),COUNTIFS('Conciliacion de compuestos'!$D$2:$D$48,"conciliado",'Conciliacion de compuestos'!$E$2:$E$48,"OK",'Conciliacion de compuestos'!$L$2:$L$48,A225))&gt;0,"conciliado en compuesto confirmado","disponible")</f>
        <v/>
      </c>
    </row>
    <row r="226">
      <c r="A226" s="11" t="n">
        <v>228</v>
      </c>
      <c r="B226" s="12" t="n">
        <v>45995</v>
      </c>
      <c r="C226" s="11" t="inlineStr">
        <is>
          <t>a financiero gravamen movimiento</t>
        </is>
      </c>
      <c r="D226" s="13" t="n">
        <v>-17450</v>
      </c>
      <c r="E226" s="11">
        <f>IF(SUM(COUNTIFS('Conciliacion de compuestos'!$D$2:$D$48,"conciliado",'Conciliacion de compuestos'!$E$2:$E$48,"OK",'Conciliacion de compuestos'!$J$2:$J$48,A226),COUNTIFS('Conciliacion de compuestos'!$D$2:$D$48,"conciliado",'Conciliacion de compuestos'!$E$2:$E$48,"OK",'Conciliacion de compuestos'!$K$2:$K$48,A226),COUNTIFS('Conciliacion de compuestos'!$D$2:$D$48,"conciliado",'Conciliacion de compuestos'!$E$2:$E$48,"OK",'Conciliacion de compuestos'!$L$2:$L$48,A226))&gt;0,"conciliado en compuesto confirmado","disponible")</f>
        <v/>
      </c>
    </row>
    <row r="227">
      <c r="A227" s="11" t="n">
        <v>230</v>
      </c>
      <c r="B227" s="12" t="n">
        <v>45995</v>
      </c>
      <c r="C227" s="11" t="inlineStr">
        <is>
          <t>a financiero gravamen movimiento</t>
        </is>
      </c>
      <c r="D227" s="13" t="n">
        <v>-18042</v>
      </c>
      <c r="E227" s="11">
        <f>IF(SUM(COUNTIFS('Conciliacion de compuestos'!$D$2:$D$48,"conciliado",'Conciliacion de compuestos'!$E$2:$E$48,"OK",'Conciliacion de compuestos'!$J$2:$J$48,A227),COUNTIFS('Conciliacion de compuestos'!$D$2:$D$48,"conciliado",'Conciliacion de compuestos'!$E$2:$E$48,"OK",'Conciliacion de compuestos'!$K$2:$K$48,A227),COUNTIFS('Conciliacion de compuestos'!$D$2:$D$48,"conciliado",'Conciliacion de compuestos'!$E$2:$E$48,"OK",'Conciliacion de compuestos'!$L$2:$L$48,A227))&gt;0,"conciliado en compuesto confirmado","disponible")</f>
        <v/>
      </c>
    </row>
    <row r="228">
      <c r="A228" s="11" t="n">
        <v>231</v>
      </c>
      <c r="B228" s="12" t="n">
        <v>45996</v>
      </c>
      <c r="C228" s="11" t="inlineStr">
        <is>
          <t>consignacion credibanco d e</t>
        </is>
      </c>
      <c r="D228" s="13" t="n">
        <v>27500</v>
      </c>
      <c r="E228" s="11">
        <f>IF(SUM(COUNTIFS('Conciliacion de compuestos'!$D$2:$D$48,"conciliado",'Conciliacion de compuestos'!$E$2:$E$48,"OK",'Conciliacion de compuestos'!$J$2:$J$48,A228),COUNTIFS('Conciliacion de compuestos'!$D$2:$D$48,"conciliado",'Conciliacion de compuestos'!$E$2:$E$48,"OK",'Conciliacion de compuestos'!$K$2:$K$48,A228),COUNTIFS('Conciliacion de compuestos'!$D$2:$D$48,"conciliado",'Conciliacion de compuestos'!$E$2:$E$48,"OK",'Conciliacion de compuestos'!$L$2:$L$48,A228))&gt;0,"conciliado en compuesto confirmado","disponible")</f>
        <v/>
      </c>
    </row>
    <row r="229">
      <c r="A229" s="11" t="n">
        <v>232</v>
      </c>
      <c r="B229" s="12" t="n">
        <v>45996</v>
      </c>
      <c r="C229" s="11" t="inlineStr">
        <is>
          <t>cobro comision depositos electronicos</t>
        </is>
      </c>
      <c r="D229" s="13" t="n">
        <v>-594</v>
      </c>
      <c r="E229" s="11">
        <f>IF(SUM(COUNTIFS('Conciliacion de compuestos'!$D$2:$D$48,"conciliado",'Conciliacion de compuestos'!$E$2:$E$48,"OK",'Conciliacion de compuestos'!$J$2:$J$48,A229),COUNTIFS('Conciliacion de compuestos'!$D$2:$D$48,"conciliado",'Conciliacion de compuestos'!$E$2:$E$48,"OK",'Conciliacion de compuestos'!$K$2:$K$48,A229),COUNTIFS('Conciliacion de compuestos'!$D$2:$D$48,"conciliado",'Conciliacion de compuestos'!$E$2:$E$48,"OK",'Conciliacion de compuestos'!$L$2:$L$48,A229))&gt;0,"conciliado en compuesto confirmado","disponible")</f>
        <v/>
      </c>
    </row>
    <row r="230">
      <c r="A230" s="11" t="n">
        <v>233</v>
      </c>
      <c r="B230" s="12" t="n">
        <v>45996</v>
      </c>
      <c r="C230" s="11" t="inlineStr">
        <is>
          <t>a financiero gravamen movimiento</t>
        </is>
      </c>
      <c r="D230" s="13" t="n">
        <v>-2</v>
      </c>
      <c r="E230" s="11">
        <f>IF(SUM(COUNTIFS('Conciliacion de compuestos'!$D$2:$D$48,"conciliado",'Conciliacion de compuestos'!$E$2:$E$48,"OK",'Conciliacion de compuestos'!$J$2:$J$48,A230),COUNTIFS('Conciliacion de compuestos'!$D$2:$D$48,"conciliado",'Conciliacion de compuestos'!$E$2:$E$48,"OK",'Conciliacion de compuestos'!$K$2:$K$48,A230),COUNTIFS('Conciliacion de compuestos'!$D$2:$D$48,"conciliado",'Conciliacion de compuestos'!$E$2:$E$48,"OK",'Conciliacion de compuestos'!$L$2:$L$48,A230))&gt;0,"conciliado en compuesto confirmado","disponible")</f>
        <v/>
      </c>
    </row>
    <row r="231">
      <c r="A231" s="11" t="n">
        <v>234</v>
      </c>
      <c r="B231" s="12" t="n">
        <v>45996</v>
      </c>
      <c r="C231" s="11" t="inlineStr">
        <is>
          <t>credibanco d e retefuente voucher y</t>
        </is>
      </c>
      <c r="D231" s="13" t="n">
        <v>-413</v>
      </c>
      <c r="E231" s="11">
        <f>IF(SUM(COUNTIFS('Conciliacion de compuestos'!$D$2:$D$48,"conciliado",'Conciliacion de compuestos'!$E$2:$E$48,"OK",'Conciliacion de compuestos'!$J$2:$J$48,A231),COUNTIFS('Conciliacion de compuestos'!$D$2:$D$48,"conciliado",'Conciliacion de compuestos'!$E$2:$E$48,"OK",'Conciliacion de compuestos'!$K$2:$K$48,A231),COUNTIFS('Conciliacion de compuestos'!$D$2:$D$48,"conciliado",'Conciliacion de compuestos'!$E$2:$E$48,"OK",'Conciliacion de compuestos'!$L$2:$L$48,A231))&gt;0,"conciliado en compuesto confirmado","disponible")</f>
        <v/>
      </c>
    </row>
    <row r="232">
      <c r="A232" s="11" t="n">
        <v>235</v>
      </c>
      <c r="B232" s="12" t="n">
        <v>45996</v>
      </c>
      <c r="C232" s="11" t="inlineStr">
        <is>
          <t>a financiero gravamen movimiento</t>
        </is>
      </c>
      <c r="D232" s="13" t="n">
        <v>-2</v>
      </c>
      <c r="E232" s="11">
        <f>IF(SUM(COUNTIFS('Conciliacion de compuestos'!$D$2:$D$48,"conciliado",'Conciliacion de compuestos'!$E$2:$E$48,"OK",'Conciliacion de compuestos'!$J$2:$J$48,A232),COUNTIFS('Conciliacion de compuestos'!$D$2:$D$48,"conciliado",'Conciliacion de compuestos'!$E$2:$E$48,"OK",'Conciliacion de compuestos'!$K$2:$K$48,A232),COUNTIFS('Conciliacion de compuestos'!$D$2:$D$48,"conciliado",'Conciliacion de compuestos'!$E$2:$E$48,"OK",'Conciliacion de compuestos'!$L$2:$L$48,A232))&gt;0,"conciliado en compuesto confirmado","disponible")</f>
        <v/>
      </c>
    </row>
    <row r="233">
      <c r="A233" s="11" t="n">
        <v>236</v>
      </c>
      <c r="B233" s="12" t="n">
        <v>45996</v>
      </c>
      <c r="C233" s="11" t="inlineStr">
        <is>
          <t>consignacion credibanco d e</t>
        </is>
      </c>
      <c r="D233" s="13" t="n">
        <v>239000</v>
      </c>
      <c r="E233" s="11">
        <f>IF(SUM(COUNTIFS('Conciliacion de compuestos'!$D$2:$D$48,"conciliado",'Conciliacion de compuestos'!$E$2:$E$48,"OK",'Conciliacion de compuestos'!$J$2:$J$48,A233),COUNTIFS('Conciliacion de compuestos'!$D$2:$D$48,"conciliado",'Conciliacion de compuestos'!$E$2:$E$48,"OK",'Conciliacion de compuestos'!$K$2:$K$48,A233),COUNTIFS('Conciliacion de compuestos'!$D$2:$D$48,"conciliado",'Conciliacion de compuestos'!$E$2:$E$48,"OK",'Conciliacion de compuestos'!$L$2:$L$48,A233))&gt;0,"conciliado en compuesto confirmado","disponible")</f>
        <v/>
      </c>
    </row>
    <row r="234">
      <c r="A234" s="11" t="n">
        <v>237</v>
      </c>
      <c r="B234" s="12" t="n">
        <v>45996</v>
      </c>
      <c r="C234" s="11" t="inlineStr">
        <is>
          <t>cobro comision depositos electronicos</t>
        </is>
      </c>
      <c r="D234" s="13" t="n">
        <v>-5162</v>
      </c>
      <c r="E234" s="11">
        <f>IF(SUM(COUNTIFS('Conciliacion de compuestos'!$D$2:$D$48,"conciliado",'Conciliacion de compuestos'!$E$2:$E$48,"OK",'Conciliacion de compuestos'!$J$2:$J$48,A234),COUNTIFS('Conciliacion de compuestos'!$D$2:$D$48,"conciliado",'Conciliacion de compuestos'!$E$2:$E$48,"OK",'Conciliacion de compuestos'!$K$2:$K$48,A234),COUNTIFS('Conciliacion de compuestos'!$D$2:$D$48,"conciliado",'Conciliacion de compuestos'!$E$2:$E$48,"OK",'Conciliacion de compuestos'!$L$2:$L$48,A234))&gt;0,"conciliado en compuesto confirmado","disponible")</f>
        <v/>
      </c>
    </row>
    <row r="235">
      <c r="A235" s="11" t="n">
        <v>238</v>
      </c>
      <c r="B235" s="12" t="n">
        <v>45996</v>
      </c>
      <c r="C235" s="11" t="inlineStr">
        <is>
          <t>a financiero gravamen movimiento</t>
        </is>
      </c>
      <c r="D235" s="13" t="n">
        <v>-21</v>
      </c>
      <c r="E235" s="11">
        <f>IF(SUM(COUNTIFS('Conciliacion de compuestos'!$D$2:$D$48,"conciliado",'Conciliacion de compuestos'!$E$2:$E$48,"OK",'Conciliacion de compuestos'!$J$2:$J$48,A235),COUNTIFS('Conciliacion de compuestos'!$D$2:$D$48,"conciliado",'Conciliacion de compuestos'!$E$2:$E$48,"OK",'Conciliacion de compuestos'!$K$2:$K$48,A235),COUNTIFS('Conciliacion de compuestos'!$D$2:$D$48,"conciliado",'Conciliacion de compuestos'!$E$2:$E$48,"OK",'Conciliacion de compuestos'!$L$2:$L$48,A235))&gt;0,"conciliado en compuesto confirmado","disponible")</f>
        <v/>
      </c>
    </row>
    <row r="236">
      <c r="A236" s="11" t="n">
        <v>239</v>
      </c>
      <c r="B236" s="12" t="n">
        <v>45996</v>
      </c>
      <c r="C236" s="11" t="inlineStr">
        <is>
          <t>credibanco d e retefuente voucher y</t>
        </is>
      </c>
      <c r="D236" s="13" t="n">
        <v>-3585</v>
      </c>
      <c r="E236" s="11">
        <f>IF(SUM(COUNTIFS('Conciliacion de compuestos'!$D$2:$D$48,"conciliado",'Conciliacion de compuestos'!$E$2:$E$48,"OK",'Conciliacion de compuestos'!$J$2:$J$48,A236),COUNTIFS('Conciliacion de compuestos'!$D$2:$D$48,"conciliado",'Conciliacion de compuestos'!$E$2:$E$48,"OK",'Conciliacion de compuestos'!$K$2:$K$48,A236),COUNTIFS('Conciliacion de compuestos'!$D$2:$D$48,"conciliado",'Conciliacion de compuestos'!$E$2:$E$48,"OK",'Conciliacion de compuestos'!$L$2:$L$48,A236))&gt;0,"conciliado en compuesto confirmado","disponible")</f>
        <v/>
      </c>
    </row>
    <row r="237">
      <c r="A237" s="11" t="n">
        <v>240</v>
      </c>
      <c r="B237" s="12" t="n">
        <v>45996</v>
      </c>
      <c r="C237" s="11" t="inlineStr">
        <is>
          <t>a financiero gravamen movimiento</t>
        </is>
      </c>
      <c r="D237" s="13" t="n">
        <v>-14</v>
      </c>
      <c r="E237" s="11">
        <f>IF(SUM(COUNTIFS('Conciliacion de compuestos'!$D$2:$D$48,"conciliado",'Conciliacion de compuestos'!$E$2:$E$48,"OK",'Conciliacion de compuestos'!$J$2:$J$48,A237),COUNTIFS('Conciliacion de compuestos'!$D$2:$D$48,"conciliado",'Conciliacion de compuestos'!$E$2:$E$48,"OK",'Conciliacion de compuestos'!$K$2:$K$48,A237),COUNTIFS('Conciliacion de compuestos'!$D$2:$D$48,"conciliado",'Conciliacion de compuestos'!$E$2:$E$48,"OK",'Conciliacion de compuestos'!$L$2:$L$48,A237))&gt;0,"conciliado en compuesto confirmado","disponible")</f>
        <v/>
      </c>
    </row>
    <row r="238">
      <c r="A238" s="11" t="n">
        <v>241</v>
      </c>
      <c r="B238" s="12" t="n">
        <v>45996</v>
      </c>
      <c r="C238" s="11" t="inlineStr">
        <is>
          <t>consignacion credibanco d e</t>
        </is>
      </c>
      <c r="D238" s="13" t="n">
        <v>35900</v>
      </c>
      <c r="E238" s="11">
        <f>IF(SUM(COUNTIFS('Conciliacion de compuestos'!$D$2:$D$48,"conciliado",'Conciliacion de compuestos'!$E$2:$E$48,"OK",'Conciliacion de compuestos'!$J$2:$J$48,A238),COUNTIFS('Conciliacion de compuestos'!$D$2:$D$48,"conciliado",'Conciliacion de compuestos'!$E$2:$E$48,"OK",'Conciliacion de compuestos'!$K$2:$K$48,A238),COUNTIFS('Conciliacion de compuestos'!$D$2:$D$48,"conciliado",'Conciliacion de compuestos'!$E$2:$E$48,"OK",'Conciliacion de compuestos'!$L$2:$L$48,A238))&gt;0,"conciliado en compuesto confirmado","disponible")</f>
        <v/>
      </c>
    </row>
    <row r="239">
      <c r="A239" s="11" t="n">
        <v>242</v>
      </c>
      <c r="B239" s="12" t="n">
        <v>45996</v>
      </c>
      <c r="C239" s="11" t="inlineStr">
        <is>
          <t>cobro comision depositos electronicos</t>
        </is>
      </c>
      <c r="D239" s="13" t="n">
        <v>-786</v>
      </c>
      <c r="E239" s="11">
        <f>IF(SUM(COUNTIFS('Conciliacion de compuestos'!$D$2:$D$48,"conciliado",'Conciliacion de compuestos'!$E$2:$E$48,"OK",'Conciliacion de compuestos'!$J$2:$J$48,A239),COUNTIFS('Conciliacion de compuestos'!$D$2:$D$48,"conciliado",'Conciliacion de compuestos'!$E$2:$E$48,"OK",'Conciliacion de compuestos'!$K$2:$K$48,A239),COUNTIFS('Conciliacion de compuestos'!$D$2:$D$48,"conciliado",'Conciliacion de compuestos'!$E$2:$E$48,"OK",'Conciliacion de compuestos'!$L$2:$L$48,A239))&gt;0,"conciliado en compuesto confirmado","disponible")</f>
        <v/>
      </c>
    </row>
    <row r="240">
      <c r="A240" s="11" t="n">
        <v>243</v>
      </c>
      <c r="B240" s="12" t="n">
        <v>45996</v>
      </c>
      <c r="C240" s="11" t="inlineStr">
        <is>
          <t>a financiero gravamen movimiento</t>
        </is>
      </c>
      <c r="D240" s="13" t="n">
        <v>-3</v>
      </c>
      <c r="E240" s="11">
        <f>IF(SUM(COUNTIFS('Conciliacion de compuestos'!$D$2:$D$48,"conciliado",'Conciliacion de compuestos'!$E$2:$E$48,"OK",'Conciliacion de compuestos'!$J$2:$J$48,A240),COUNTIFS('Conciliacion de compuestos'!$D$2:$D$48,"conciliado",'Conciliacion de compuestos'!$E$2:$E$48,"OK",'Conciliacion de compuestos'!$K$2:$K$48,A240),COUNTIFS('Conciliacion de compuestos'!$D$2:$D$48,"conciliado",'Conciliacion de compuestos'!$E$2:$E$48,"OK",'Conciliacion de compuestos'!$L$2:$L$48,A240))&gt;0,"conciliado en compuesto confirmado","disponible")</f>
        <v/>
      </c>
    </row>
    <row r="241">
      <c r="A241" s="11" t="n">
        <v>244</v>
      </c>
      <c r="B241" s="12" t="n">
        <v>45996</v>
      </c>
      <c r="C241" s="11" t="inlineStr">
        <is>
          <t>credibanco d e retefuente voucher y</t>
        </is>
      </c>
      <c r="D241" s="13" t="n">
        <v>-539</v>
      </c>
      <c r="E241" s="11">
        <f>IF(SUM(COUNTIFS('Conciliacion de compuestos'!$D$2:$D$48,"conciliado",'Conciliacion de compuestos'!$E$2:$E$48,"OK",'Conciliacion de compuestos'!$J$2:$J$48,A241),COUNTIFS('Conciliacion de compuestos'!$D$2:$D$48,"conciliado",'Conciliacion de compuestos'!$E$2:$E$48,"OK",'Conciliacion de compuestos'!$K$2:$K$48,A241),COUNTIFS('Conciliacion de compuestos'!$D$2:$D$48,"conciliado",'Conciliacion de compuestos'!$E$2:$E$48,"OK",'Conciliacion de compuestos'!$L$2:$L$48,A241))&gt;0,"conciliado en compuesto confirmado","disponible")</f>
        <v/>
      </c>
    </row>
    <row r="242">
      <c r="A242" s="11" t="n">
        <v>245</v>
      </c>
      <c r="B242" s="12" t="n">
        <v>45996</v>
      </c>
      <c r="C242" s="11" t="inlineStr">
        <is>
          <t>a financiero gravamen movimiento</t>
        </is>
      </c>
      <c r="D242" s="13" t="n">
        <v>-2</v>
      </c>
      <c r="E242" s="11">
        <f>IF(SUM(COUNTIFS('Conciliacion de compuestos'!$D$2:$D$48,"conciliado",'Conciliacion de compuestos'!$E$2:$E$48,"OK",'Conciliacion de compuestos'!$J$2:$J$48,A242),COUNTIFS('Conciliacion de compuestos'!$D$2:$D$48,"conciliado",'Conciliacion de compuestos'!$E$2:$E$48,"OK",'Conciliacion de compuestos'!$K$2:$K$48,A242),COUNTIFS('Conciliacion de compuestos'!$D$2:$D$48,"conciliado",'Conciliacion de compuestos'!$E$2:$E$48,"OK",'Conciliacion de compuestos'!$L$2:$L$48,A242))&gt;0,"conciliado en compuesto confirmado","disponible")</f>
        <v/>
      </c>
    </row>
    <row r="243">
      <c r="A243" s="11" t="n">
        <v>246</v>
      </c>
      <c r="B243" s="12" t="n">
        <v>45996</v>
      </c>
      <c r="C243" s="11" t="inlineStr">
        <is>
          <t>depositos electronicos masterca transaccion</t>
        </is>
      </c>
      <c r="D243" s="13" t="n">
        <v>36000</v>
      </c>
      <c r="E243" s="11">
        <f>IF(SUM(COUNTIFS('Conciliacion de compuestos'!$D$2:$D$48,"conciliado",'Conciliacion de compuestos'!$E$2:$E$48,"OK",'Conciliacion de compuestos'!$J$2:$J$48,A243),COUNTIFS('Conciliacion de compuestos'!$D$2:$D$48,"conciliado",'Conciliacion de compuestos'!$E$2:$E$48,"OK",'Conciliacion de compuestos'!$K$2:$K$48,A243),COUNTIFS('Conciliacion de compuestos'!$D$2:$D$48,"conciliado",'Conciliacion de compuestos'!$E$2:$E$48,"OK",'Conciliacion de compuestos'!$L$2:$L$48,A243))&gt;0,"conciliado en compuesto confirmado","disponible")</f>
        <v/>
      </c>
    </row>
    <row r="244">
      <c r="A244" s="11" t="n">
        <v>247</v>
      </c>
      <c r="B244" s="12" t="n">
        <v>45996</v>
      </c>
      <c r="C244" s="11" t="inlineStr">
        <is>
          <t>comision depositos electronicos mastercard</t>
        </is>
      </c>
      <c r="D244" s="13" t="n">
        <v>-684</v>
      </c>
      <c r="E244" s="11">
        <f>IF(SUM(COUNTIFS('Conciliacion de compuestos'!$D$2:$D$48,"conciliado",'Conciliacion de compuestos'!$E$2:$E$48,"OK",'Conciliacion de compuestos'!$J$2:$J$48,A244),COUNTIFS('Conciliacion de compuestos'!$D$2:$D$48,"conciliado",'Conciliacion de compuestos'!$E$2:$E$48,"OK",'Conciliacion de compuestos'!$K$2:$K$48,A244),COUNTIFS('Conciliacion de compuestos'!$D$2:$D$48,"conciliado",'Conciliacion de compuestos'!$E$2:$E$48,"OK",'Conciliacion de compuestos'!$L$2:$L$48,A244))&gt;0,"conciliado en compuesto confirmado","disponible")</f>
        <v/>
      </c>
    </row>
    <row r="245">
      <c r="A245" s="11" t="n">
        <v>248</v>
      </c>
      <c r="B245" s="12" t="n">
        <v>45996</v>
      </c>
      <c r="C245" s="11" t="inlineStr">
        <is>
          <t>a financiero gravamen movimiento</t>
        </is>
      </c>
      <c r="D245" s="13" t="n">
        <v>-3</v>
      </c>
      <c r="E245" s="11">
        <f>IF(SUM(COUNTIFS('Conciliacion de compuestos'!$D$2:$D$48,"conciliado",'Conciliacion de compuestos'!$E$2:$E$48,"OK",'Conciliacion de compuestos'!$J$2:$J$48,A245),COUNTIFS('Conciliacion de compuestos'!$D$2:$D$48,"conciliado",'Conciliacion de compuestos'!$E$2:$E$48,"OK",'Conciliacion de compuestos'!$K$2:$K$48,A245),COUNTIFS('Conciliacion de compuestos'!$D$2:$D$48,"conciliado",'Conciliacion de compuestos'!$E$2:$E$48,"OK",'Conciliacion de compuestos'!$L$2:$L$48,A245))&gt;0,"conciliado en compuesto confirmado","disponible")</f>
        <v/>
      </c>
    </row>
    <row r="246">
      <c r="A246" s="11" t="n">
        <v>249</v>
      </c>
      <c r="B246" s="12" t="n">
        <v>45996</v>
      </c>
      <c r="C246" s="11" t="inlineStr">
        <is>
          <t>depositos electronicos mastercar retefuente</t>
        </is>
      </c>
      <c r="D246" s="13" t="n">
        <v>-540</v>
      </c>
      <c r="E246" s="11">
        <f>IF(SUM(COUNTIFS('Conciliacion de compuestos'!$D$2:$D$48,"conciliado",'Conciliacion de compuestos'!$E$2:$E$48,"OK",'Conciliacion de compuestos'!$J$2:$J$48,A246),COUNTIFS('Conciliacion de compuestos'!$D$2:$D$48,"conciliado",'Conciliacion de compuestos'!$E$2:$E$48,"OK",'Conciliacion de compuestos'!$K$2:$K$48,A246),COUNTIFS('Conciliacion de compuestos'!$D$2:$D$48,"conciliado",'Conciliacion de compuestos'!$E$2:$E$48,"OK",'Conciliacion de compuestos'!$L$2:$L$48,A246))&gt;0,"conciliado en compuesto confirmado","disponible")</f>
        <v/>
      </c>
    </row>
    <row r="247">
      <c r="A247" s="11" t="n">
        <v>250</v>
      </c>
      <c r="B247" s="12" t="n">
        <v>45996</v>
      </c>
      <c r="C247" s="11" t="inlineStr">
        <is>
          <t>a financiero gravamen movimiento</t>
        </is>
      </c>
      <c r="D247" s="13" t="n">
        <v>-2</v>
      </c>
      <c r="E247" s="11">
        <f>IF(SUM(COUNTIFS('Conciliacion de compuestos'!$D$2:$D$48,"conciliado",'Conciliacion de compuestos'!$E$2:$E$48,"OK",'Conciliacion de compuestos'!$J$2:$J$48,A247),COUNTIFS('Conciliacion de compuestos'!$D$2:$D$48,"conciliado",'Conciliacion de compuestos'!$E$2:$E$48,"OK",'Conciliacion de compuestos'!$K$2:$K$48,A247),COUNTIFS('Conciliacion de compuestos'!$D$2:$D$48,"conciliado",'Conciliacion de compuestos'!$E$2:$E$48,"OK",'Conciliacion de compuestos'!$L$2:$L$48,A247))&gt;0,"conciliado en compuesto confirmado","disponible")</f>
        <v/>
      </c>
    </row>
    <row r="248">
      <c r="A248" s="11" t="n">
        <v>251</v>
      </c>
      <c r="B248" s="12" t="n">
        <v>45996</v>
      </c>
      <c r="C248" s="11" t="inlineStr">
        <is>
          <t>depositos electronicos masterca transaccion</t>
        </is>
      </c>
      <c r="D248" s="13" t="n">
        <v>92500</v>
      </c>
      <c r="E248" s="11">
        <f>IF(SUM(COUNTIFS('Conciliacion de compuestos'!$D$2:$D$48,"conciliado",'Conciliacion de compuestos'!$E$2:$E$48,"OK",'Conciliacion de compuestos'!$J$2:$J$48,A248),COUNTIFS('Conciliacion de compuestos'!$D$2:$D$48,"conciliado",'Conciliacion de compuestos'!$E$2:$E$48,"OK",'Conciliacion de compuestos'!$K$2:$K$48,A248),COUNTIFS('Conciliacion de compuestos'!$D$2:$D$48,"conciliado",'Conciliacion de compuestos'!$E$2:$E$48,"OK",'Conciliacion de compuestos'!$L$2:$L$48,A248))&gt;0,"conciliado en compuesto confirmado","disponible")</f>
        <v/>
      </c>
    </row>
    <row r="249">
      <c r="A249" s="11" t="n">
        <v>252</v>
      </c>
      <c r="B249" s="12" t="n">
        <v>45996</v>
      </c>
      <c r="C249" s="11" t="inlineStr">
        <is>
          <t>comision depositos electronicos mastercard</t>
        </is>
      </c>
      <c r="D249" s="13" t="n">
        <v>-2174</v>
      </c>
      <c r="E249" s="11">
        <f>IF(SUM(COUNTIFS('Conciliacion de compuestos'!$D$2:$D$48,"conciliado",'Conciliacion de compuestos'!$E$2:$E$48,"OK",'Conciliacion de compuestos'!$J$2:$J$48,A249),COUNTIFS('Conciliacion de compuestos'!$D$2:$D$48,"conciliado",'Conciliacion de compuestos'!$E$2:$E$48,"OK",'Conciliacion de compuestos'!$K$2:$K$48,A249),COUNTIFS('Conciliacion de compuestos'!$D$2:$D$48,"conciliado",'Conciliacion de compuestos'!$E$2:$E$48,"OK",'Conciliacion de compuestos'!$L$2:$L$48,A249))&gt;0,"conciliado en compuesto confirmado","disponible")</f>
        <v/>
      </c>
    </row>
    <row r="250">
      <c r="A250" s="11" t="n">
        <v>253</v>
      </c>
      <c r="B250" s="12" t="n">
        <v>45996</v>
      </c>
      <c r="C250" s="11" t="inlineStr">
        <is>
          <t>a financiero gravamen movimiento</t>
        </is>
      </c>
      <c r="D250" s="13" t="n">
        <v>-9</v>
      </c>
      <c r="E250" s="11">
        <f>IF(SUM(COUNTIFS('Conciliacion de compuestos'!$D$2:$D$48,"conciliado",'Conciliacion de compuestos'!$E$2:$E$48,"OK",'Conciliacion de compuestos'!$J$2:$J$48,A250),COUNTIFS('Conciliacion de compuestos'!$D$2:$D$48,"conciliado",'Conciliacion de compuestos'!$E$2:$E$48,"OK",'Conciliacion de compuestos'!$K$2:$K$48,A250),COUNTIFS('Conciliacion de compuestos'!$D$2:$D$48,"conciliado",'Conciliacion de compuestos'!$E$2:$E$48,"OK",'Conciliacion de compuestos'!$L$2:$L$48,A250))&gt;0,"conciliado en compuesto confirmado","disponible")</f>
        <v/>
      </c>
    </row>
    <row r="251">
      <c r="A251" s="11" t="n">
        <v>254</v>
      </c>
      <c r="B251" s="12" t="n">
        <v>45996</v>
      </c>
      <c r="C251" s="11" t="inlineStr">
        <is>
          <t>depositos electronicos mastercar retefuente</t>
        </is>
      </c>
      <c r="D251" s="13" t="n">
        <v>-1388</v>
      </c>
      <c r="E251" s="11">
        <f>IF(SUM(COUNTIFS('Conciliacion de compuestos'!$D$2:$D$48,"conciliado",'Conciliacion de compuestos'!$E$2:$E$48,"OK",'Conciliacion de compuestos'!$J$2:$J$48,A251),COUNTIFS('Conciliacion de compuestos'!$D$2:$D$48,"conciliado",'Conciliacion de compuestos'!$E$2:$E$48,"OK",'Conciliacion de compuestos'!$K$2:$K$48,A251),COUNTIFS('Conciliacion de compuestos'!$D$2:$D$48,"conciliado",'Conciliacion de compuestos'!$E$2:$E$48,"OK",'Conciliacion de compuestos'!$L$2:$L$48,A251))&gt;0,"conciliado en compuesto confirmado","disponible")</f>
        <v/>
      </c>
    </row>
    <row r="252">
      <c r="A252" s="11" t="n">
        <v>255</v>
      </c>
      <c r="B252" s="12" t="n">
        <v>45996</v>
      </c>
      <c r="C252" s="11" t="inlineStr">
        <is>
          <t>a financiero gravamen movimiento</t>
        </is>
      </c>
      <c r="D252" s="13" t="n">
        <v>-6</v>
      </c>
      <c r="E252" s="11">
        <f>IF(SUM(COUNTIFS('Conciliacion de compuestos'!$D$2:$D$48,"conciliado",'Conciliacion de compuestos'!$E$2:$E$48,"OK",'Conciliacion de compuestos'!$J$2:$J$48,A252),COUNTIFS('Conciliacion de compuestos'!$D$2:$D$48,"conciliado",'Conciliacion de compuestos'!$E$2:$E$48,"OK",'Conciliacion de compuestos'!$K$2:$K$48,A252),COUNTIFS('Conciliacion de compuestos'!$D$2:$D$48,"conciliado",'Conciliacion de compuestos'!$E$2:$E$48,"OK",'Conciliacion de compuestos'!$L$2:$L$48,A252))&gt;0,"conciliado en compuesto confirmado","disponible")</f>
        <v/>
      </c>
    </row>
    <row r="253">
      <c r="A253" s="11" t="n">
        <v>256</v>
      </c>
      <c r="B253" s="12" t="n">
        <v>46000</v>
      </c>
      <c r="C253" s="11" t="inlineStr">
        <is>
          <t>consignacion credibanco d e</t>
        </is>
      </c>
      <c r="D253" s="13" t="n">
        <v>40000</v>
      </c>
      <c r="E253" s="11">
        <f>IF(SUM(COUNTIFS('Conciliacion de compuestos'!$D$2:$D$48,"conciliado",'Conciliacion de compuestos'!$E$2:$E$48,"OK",'Conciliacion de compuestos'!$J$2:$J$48,A253),COUNTIFS('Conciliacion de compuestos'!$D$2:$D$48,"conciliado",'Conciliacion de compuestos'!$E$2:$E$48,"OK",'Conciliacion de compuestos'!$K$2:$K$48,A253),COUNTIFS('Conciliacion de compuestos'!$D$2:$D$48,"conciliado",'Conciliacion de compuestos'!$E$2:$E$48,"OK",'Conciliacion de compuestos'!$L$2:$L$48,A253))&gt;0,"conciliado en compuesto confirmado","disponible")</f>
        <v/>
      </c>
    </row>
    <row r="254">
      <c r="A254" s="11" t="n">
        <v>257</v>
      </c>
      <c r="B254" s="12" t="n">
        <v>46000</v>
      </c>
      <c r="C254" s="11" t="inlineStr">
        <is>
          <t>cobro comision depositos electronicos</t>
        </is>
      </c>
      <c r="D254" s="13" t="n">
        <v>-824</v>
      </c>
      <c r="E254" s="11">
        <f>IF(SUM(COUNTIFS('Conciliacion de compuestos'!$D$2:$D$48,"conciliado",'Conciliacion de compuestos'!$E$2:$E$48,"OK",'Conciliacion de compuestos'!$J$2:$J$48,A254),COUNTIFS('Conciliacion de compuestos'!$D$2:$D$48,"conciliado",'Conciliacion de compuestos'!$E$2:$E$48,"OK",'Conciliacion de compuestos'!$K$2:$K$48,A254),COUNTIFS('Conciliacion de compuestos'!$D$2:$D$48,"conciliado",'Conciliacion de compuestos'!$E$2:$E$48,"OK",'Conciliacion de compuestos'!$L$2:$L$48,A254))&gt;0,"conciliado en compuesto confirmado","disponible")</f>
        <v/>
      </c>
    </row>
    <row r="255">
      <c r="A255" s="11" t="n">
        <v>258</v>
      </c>
      <c r="B255" s="12" t="n">
        <v>46000</v>
      </c>
      <c r="C255" s="11" t="inlineStr">
        <is>
          <t>a financiero gravamen movimiento</t>
        </is>
      </c>
      <c r="D255" s="13" t="n">
        <v>-3</v>
      </c>
      <c r="E255" s="11">
        <f>IF(SUM(COUNTIFS('Conciliacion de compuestos'!$D$2:$D$48,"conciliado",'Conciliacion de compuestos'!$E$2:$E$48,"OK",'Conciliacion de compuestos'!$J$2:$J$48,A255),COUNTIFS('Conciliacion de compuestos'!$D$2:$D$48,"conciliado",'Conciliacion de compuestos'!$E$2:$E$48,"OK",'Conciliacion de compuestos'!$K$2:$K$48,A255),COUNTIFS('Conciliacion de compuestos'!$D$2:$D$48,"conciliado",'Conciliacion de compuestos'!$E$2:$E$48,"OK",'Conciliacion de compuestos'!$L$2:$L$48,A255))&gt;0,"conciliado en compuesto confirmado","disponible")</f>
        <v/>
      </c>
    </row>
    <row r="256">
      <c r="A256" s="11" t="n">
        <v>259</v>
      </c>
      <c r="B256" s="12" t="n">
        <v>46000</v>
      </c>
      <c r="C256" s="11" t="inlineStr">
        <is>
          <t>credibanco d e retefuente voucher y</t>
        </is>
      </c>
      <c r="D256" s="13" t="n">
        <v>-600</v>
      </c>
      <c r="E256" s="11">
        <f>IF(SUM(COUNTIFS('Conciliacion de compuestos'!$D$2:$D$48,"conciliado",'Conciliacion de compuestos'!$E$2:$E$48,"OK",'Conciliacion de compuestos'!$J$2:$J$48,A256),COUNTIFS('Conciliacion de compuestos'!$D$2:$D$48,"conciliado",'Conciliacion de compuestos'!$E$2:$E$48,"OK",'Conciliacion de compuestos'!$K$2:$K$48,A256),COUNTIFS('Conciliacion de compuestos'!$D$2:$D$48,"conciliado",'Conciliacion de compuestos'!$E$2:$E$48,"OK",'Conciliacion de compuestos'!$L$2:$L$48,A256))&gt;0,"conciliado en compuesto confirmado","disponible")</f>
        <v/>
      </c>
    </row>
    <row r="257">
      <c r="A257" s="11" t="n">
        <v>260</v>
      </c>
      <c r="B257" s="12" t="n">
        <v>46000</v>
      </c>
      <c r="C257" s="11" t="inlineStr">
        <is>
          <t>a financiero gravamen movimiento</t>
        </is>
      </c>
      <c r="D257" s="13" t="n">
        <v>-2</v>
      </c>
      <c r="E257" s="11">
        <f>IF(SUM(COUNTIFS('Conciliacion de compuestos'!$D$2:$D$48,"conciliado",'Conciliacion de compuestos'!$E$2:$E$48,"OK",'Conciliacion de compuestos'!$J$2:$J$48,A257),COUNTIFS('Conciliacion de compuestos'!$D$2:$D$48,"conciliado",'Conciliacion de compuestos'!$E$2:$E$48,"OK",'Conciliacion de compuestos'!$K$2:$K$48,A257),COUNTIFS('Conciliacion de compuestos'!$D$2:$D$48,"conciliado",'Conciliacion de compuestos'!$E$2:$E$48,"OK",'Conciliacion de compuestos'!$L$2:$L$48,A257))&gt;0,"conciliado en compuesto confirmado","disponible")</f>
        <v/>
      </c>
    </row>
    <row r="258">
      <c r="A258" s="11" t="n">
        <v>261</v>
      </c>
      <c r="B258" s="12" t="n">
        <v>46000</v>
      </c>
      <c r="C258" s="11" t="inlineStr">
        <is>
          <t>consignacion credibanco d e</t>
        </is>
      </c>
      <c r="D258" s="13" t="n">
        <v>65600</v>
      </c>
      <c r="E258" s="11">
        <f>IF(SUM(COUNTIFS('Conciliacion de compuestos'!$D$2:$D$48,"conciliado",'Conciliacion de compuestos'!$E$2:$E$48,"OK",'Conciliacion de compuestos'!$J$2:$J$48,A258),COUNTIFS('Conciliacion de compuestos'!$D$2:$D$48,"conciliado",'Conciliacion de compuestos'!$E$2:$E$48,"OK",'Conciliacion de compuestos'!$K$2:$K$48,A258),COUNTIFS('Conciliacion de compuestos'!$D$2:$D$48,"conciliado",'Conciliacion de compuestos'!$E$2:$E$48,"OK",'Conciliacion de compuestos'!$L$2:$L$48,A258))&gt;0,"conciliado en compuesto confirmado","disponible")</f>
        <v/>
      </c>
    </row>
    <row r="259">
      <c r="A259" s="11" t="n">
        <v>262</v>
      </c>
      <c r="B259" s="12" t="n">
        <v>46000</v>
      </c>
      <c r="C259" s="11" t="inlineStr">
        <is>
          <t>cobro comision depositos electronicos</t>
        </is>
      </c>
      <c r="D259" s="13" t="n">
        <v>-531</v>
      </c>
      <c r="E259" s="11">
        <f>IF(SUM(COUNTIFS('Conciliacion de compuestos'!$D$2:$D$48,"conciliado",'Conciliacion de compuestos'!$E$2:$E$48,"OK",'Conciliacion de compuestos'!$J$2:$J$48,A259),COUNTIFS('Conciliacion de compuestos'!$D$2:$D$48,"conciliado",'Conciliacion de compuestos'!$E$2:$E$48,"OK",'Conciliacion de compuestos'!$K$2:$K$48,A259),COUNTIFS('Conciliacion de compuestos'!$D$2:$D$48,"conciliado",'Conciliacion de compuestos'!$E$2:$E$48,"OK",'Conciliacion de compuestos'!$L$2:$L$48,A259))&gt;0,"conciliado en compuesto confirmado","disponible")</f>
        <v/>
      </c>
    </row>
    <row r="260">
      <c r="A260" s="11" t="n">
        <v>263</v>
      </c>
      <c r="B260" s="12" t="n">
        <v>46000</v>
      </c>
      <c r="C260" s="11" t="inlineStr">
        <is>
          <t>a financiero gravamen movimiento</t>
        </is>
      </c>
      <c r="D260" s="13" t="n">
        <v>-2</v>
      </c>
      <c r="E260" s="11">
        <f>IF(SUM(COUNTIFS('Conciliacion de compuestos'!$D$2:$D$48,"conciliado",'Conciliacion de compuestos'!$E$2:$E$48,"OK",'Conciliacion de compuestos'!$J$2:$J$48,A260),COUNTIFS('Conciliacion de compuestos'!$D$2:$D$48,"conciliado",'Conciliacion de compuestos'!$E$2:$E$48,"OK",'Conciliacion de compuestos'!$K$2:$K$48,A260),COUNTIFS('Conciliacion de compuestos'!$D$2:$D$48,"conciliado",'Conciliacion de compuestos'!$E$2:$E$48,"OK",'Conciliacion de compuestos'!$L$2:$L$48,A260))&gt;0,"conciliado en compuesto confirmado","disponible")</f>
        <v/>
      </c>
    </row>
    <row r="261">
      <c r="A261" s="11" t="n">
        <v>264</v>
      </c>
      <c r="B261" s="12" t="n">
        <v>46000</v>
      </c>
      <c r="C261" s="11" t="inlineStr">
        <is>
          <t>credibanco d e retefuente voucher y</t>
        </is>
      </c>
      <c r="D261" s="13" t="n">
        <v>-984</v>
      </c>
      <c r="E261" s="11">
        <f>IF(SUM(COUNTIFS('Conciliacion de compuestos'!$D$2:$D$48,"conciliado",'Conciliacion de compuestos'!$E$2:$E$48,"OK",'Conciliacion de compuestos'!$J$2:$J$48,A261),COUNTIFS('Conciliacion de compuestos'!$D$2:$D$48,"conciliado",'Conciliacion de compuestos'!$E$2:$E$48,"OK",'Conciliacion de compuestos'!$K$2:$K$48,A261),COUNTIFS('Conciliacion de compuestos'!$D$2:$D$48,"conciliado",'Conciliacion de compuestos'!$E$2:$E$48,"OK",'Conciliacion de compuestos'!$L$2:$L$48,A261))&gt;0,"conciliado en compuesto confirmado","disponible")</f>
        <v/>
      </c>
    </row>
    <row r="262">
      <c r="A262" s="11" t="n">
        <v>265</v>
      </c>
      <c r="B262" s="12" t="n">
        <v>46000</v>
      </c>
      <c r="C262" s="11" t="inlineStr">
        <is>
          <t>a financiero gravamen movimiento</t>
        </is>
      </c>
      <c r="D262" s="13" t="n">
        <v>-4</v>
      </c>
      <c r="E262" s="11">
        <f>IF(SUM(COUNTIFS('Conciliacion de compuestos'!$D$2:$D$48,"conciliado",'Conciliacion de compuestos'!$E$2:$E$48,"OK",'Conciliacion de compuestos'!$J$2:$J$48,A262),COUNTIFS('Conciliacion de compuestos'!$D$2:$D$48,"conciliado",'Conciliacion de compuestos'!$E$2:$E$48,"OK",'Conciliacion de compuestos'!$K$2:$K$48,A262),COUNTIFS('Conciliacion de compuestos'!$D$2:$D$48,"conciliado",'Conciliacion de compuestos'!$E$2:$E$48,"OK",'Conciliacion de compuestos'!$L$2:$L$48,A262))&gt;0,"conciliado en compuesto confirmado","disponible")</f>
        <v/>
      </c>
    </row>
    <row r="263">
      <c r="A263" s="11" t="n">
        <v>266</v>
      </c>
      <c r="B263" s="12" t="n">
        <v>46000</v>
      </c>
      <c r="C263" s="11" t="inlineStr">
        <is>
          <t>consignacion credibanco d e</t>
        </is>
      </c>
      <c r="D263" s="13" t="n">
        <v>60700</v>
      </c>
      <c r="E263" s="11">
        <f>IF(SUM(COUNTIFS('Conciliacion de compuestos'!$D$2:$D$48,"conciliado",'Conciliacion de compuestos'!$E$2:$E$48,"OK",'Conciliacion de compuestos'!$J$2:$J$48,A263),COUNTIFS('Conciliacion de compuestos'!$D$2:$D$48,"conciliado",'Conciliacion de compuestos'!$E$2:$E$48,"OK",'Conciliacion de compuestos'!$K$2:$K$48,A263),COUNTIFS('Conciliacion de compuestos'!$D$2:$D$48,"conciliado",'Conciliacion de compuestos'!$E$2:$E$48,"OK",'Conciliacion de compuestos'!$L$2:$L$48,A263))&gt;0,"conciliado en compuesto confirmado","disponible")</f>
        <v/>
      </c>
    </row>
    <row r="264">
      <c r="A264" s="11" t="n">
        <v>267</v>
      </c>
      <c r="B264" s="12" t="n">
        <v>46000</v>
      </c>
      <c r="C264" s="11" t="inlineStr">
        <is>
          <t>cobro comision depositos electronicos</t>
        </is>
      </c>
      <c r="D264" s="13" t="n">
        <v>-1250</v>
      </c>
      <c r="E264" s="11">
        <f>IF(SUM(COUNTIFS('Conciliacion de compuestos'!$D$2:$D$48,"conciliado",'Conciliacion de compuestos'!$E$2:$E$48,"OK",'Conciliacion de compuestos'!$J$2:$J$48,A264),COUNTIFS('Conciliacion de compuestos'!$D$2:$D$48,"conciliado",'Conciliacion de compuestos'!$E$2:$E$48,"OK",'Conciliacion de compuestos'!$K$2:$K$48,A264),COUNTIFS('Conciliacion de compuestos'!$D$2:$D$48,"conciliado",'Conciliacion de compuestos'!$E$2:$E$48,"OK",'Conciliacion de compuestos'!$L$2:$L$48,A264))&gt;0,"conciliado en compuesto confirmado","disponible")</f>
        <v/>
      </c>
    </row>
    <row r="265">
      <c r="A265" s="11" t="n">
        <v>268</v>
      </c>
      <c r="B265" s="12" t="n">
        <v>46000</v>
      </c>
      <c r="C265" s="11" t="inlineStr">
        <is>
          <t>a financiero gravamen movimiento</t>
        </is>
      </c>
      <c r="D265" s="13" t="n">
        <v>-5</v>
      </c>
      <c r="E265" s="11">
        <f>IF(SUM(COUNTIFS('Conciliacion de compuestos'!$D$2:$D$48,"conciliado",'Conciliacion de compuestos'!$E$2:$E$48,"OK",'Conciliacion de compuestos'!$J$2:$J$48,A265),COUNTIFS('Conciliacion de compuestos'!$D$2:$D$48,"conciliado",'Conciliacion de compuestos'!$E$2:$E$48,"OK",'Conciliacion de compuestos'!$K$2:$K$48,A265),COUNTIFS('Conciliacion de compuestos'!$D$2:$D$48,"conciliado",'Conciliacion de compuestos'!$E$2:$E$48,"OK",'Conciliacion de compuestos'!$L$2:$L$48,A265))&gt;0,"conciliado en compuesto confirmado","disponible")</f>
        <v/>
      </c>
    </row>
    <row r="266">
      <c r="A266" s="11" t="n">
        <v>269</v>
      </c>
      <c r="B266" s="12" t="n">
        <v>46000</v>
      </c>
      <c r="C266" s="11" t="inlineStr">
        <is>
          <t>credibanco d e retefuente voucher y</t>
        </is>
      </c>
      <c r="D266" s="13" t="n">
        <v>-911</v>
      </c>
      <c r="E266" s="11">
        <f>IF(SUM(COUNTIFS('Conciliacion de compuestos'!$D$2:$D$48,"conciliado",'Conciliacion de compuestos'!$E$2:$E$48,"OK",'Conciliacion de compuestos'!$J$2:$J$48,A266),COUNTIFS('Conciliacion de compuestos'!$D$2:$D$48,"conciliado",'Conciliacion de compuestos'!$E$2:$E$48,"OK",'Conciliacion de compuestos'!$K$2:$K$48,A266),COUNTIFS('Conciliacion de compuestos'!$D$2:$D$48,"conciliado",'Conciliacion de compuestos'!$E$2:$E$48,"OK",'Conciliacion de compuestos'!$L$2:$L$48,A266))&gt;0,"conciliado en compuesto confirmado","disponible")</f>
        <v/>
      </c>
    </row>
    <row r="267">
      <c r="A267" s="11" t="n">
        <v>270</v>
      </c>
      <c r="B267" s="12" t="n">
        <v>46000</v>
      </c>
      <c r="C267" s="11" t="inlineStr">
        <is>
          <t>a financiero gravamen movimiento</t>
        </is>
      </c>
      <c r="D267" s="13" t="n">
        <v>-4</v>
      </c>
      <c r="E267" s="11">
        <f>IF(SUM(COUNTIFS('Conciliacion de compuestos'!$D$2:$D$48,"conciliado",'Conciliacion de compuestos'!$E$2:$E$48,"OK",'Conciliacion de compuestos'!$J$2:$J$48,A267),COUNTIFS('Conciliacion de compuestos'!$D$2:$D$48,"conciliado",'Conciliacion de compuestos'!$E$2:$E$48,"OK",'Conciliacion de compuestos'!$K$2:$K$48,A267),COUNTIFS('Conciliacion de compuestos'!$D$2:$D$48,"conciliado",'Conciliacion de compuestos'!$E$2:$E$48,"OK",'Conciliacion de compuestos'!$L$2:$L$48,A267))&gt;0,"conciliado en compuesto confirmado","disponible")</f>
        <v/>
      </c>
    </row>
    <row r="268">
      <c r="A268" s="11" t="n">
        <v>271</v>
      </c>
      <c r="B268" s="12" t="n">
        <v>46000</v>
      </c>
      <c r="C268" s="11" t="inlineStr">
        <is>
          <t>consignacion credibanco d e</t>
        </is>
      </c>
      <c r="D268" s="13" t="n">
        <v>151800</v>
      </c>
      <c r="E268" s="11">
        <f>IF(SUM(COUNTIFS('Conciliacion de compuestos'!$D$2:$D$48,"conciliado",'Conciliacion de compuestos'!$E$2:$E$48,"OK",'Conciliacion de compuestos'!$J$2:$J$48,A268),COUNTIFS('Conciliacion de compuestos'!$D$2:$D$48,"conciliado",'Conciliacion de compuestos'!$E$2:$E$48,"OK",'Conciliacion de compuestos'!$K$2:$K$48,A268),COUNTIFS('Conciliacion de compuestos'!$D$2:$D$48,"conciliado",'Conciliacion de compuestos'!$E$2:$E$48,"OK",'Conciliacion de compuestos'!$L$2:$L$48,A268))&gt;0,"conciliado en compuesto confirmado","disponible")</f>
        <v/>
      </c>
    </row>
    <row r="269">
      <c r="A269" s="11" t="n">
        <v>272</v>
      </c>
      <c r="B269" s="12" t="n">
        <v>46000</v>
      </c>
      <c r="C269" s="11" t="inlineStr">
        <is>
          <t>cobro comision depositos electronicos</t>
        </is>
      </c>
      <c r="D269" s="13" t="n">
        <v>-3279</v>
      </c>
      <c r="E269" s="11">
        <f>IF(SUM(COUNTIFS('Conciliacion de compuestos'!$D$2:$D$48,"conciliado",'Conciliacion de compuestos'!$E$2:$E$48,"OK",'Conciliacion de compuestos'!$J$2:$J$48,A269),COUNTIFS('Conciliacion de compuestos'!$D$2:$D$48,"conciliado",'Conciliacion de compuestos'!$E$2:$E$48,"OK",'Conciliacion de compuestos'!$K$2:$K$48,A269),COUNTIFS('Conciliacion de compuestos'!$D$2:$D$48,"conciliado",'Conciliacion de compuestos'!$E$2:$E$48,"OK",'Conciliacion de compuestos'!$L$2:$L$48,A269))&gt;0,"conciliado en compuesto confirmado","disponible")</f>
        <v/>
      </c>
    </row>
    <row r="270">
      <c r="A270" s="11" t="n">
        <v>273</v>
      </c>
      <c r="B270" s="12" t="n">
        <v>46000</v>
      </c>
      <c r="C270" s="11" t="inlineStr">
        <is>
          <t>a financiero gravamen movimiento</t>
        </is>
      </c>
      <c r="D270" s="13" t="n">
        <v>-13</v>
      </c>
      <c r="E270" s="11">
        <f>IF(SUM(COUNTIFS('Conciliacion de compuestos'!$D$2:$D$48,"conciliado",'Conciliacion de compuestos'!$E$2:$E$48,"OK",'Conciliacion de compuestos'!$J$2:$J$48,A270),COUNTIFS('Conciliacion de compuestos'!$D$2:$D$48,"conciliado",'Conciliacion de compuestos'!$E$2:$E$48,"OK",'Conciliacion de compuestos'!$K$2:$K$48,A270),COUNTIFS('Conciliacion de compuestos'!$D$2:$D$48,"conciliado",'Conciliacion de compuestos'!$E$2:$E$48,"OK",'Conciliacion de compuestos'!$L$2:$L$48,A270))&gt;0,"conciliado en compuesto confirmado","disponible")</f>
        <v/>
      </c>
    </row>
    <row r="271">
      <c r="A271" s="11" t="n">
        <v>274</v>
      </c>
      <c r="B271" s="12" t="n">
        <v>46000</v>
      </c>
      <c r="C271" s="11" t="inlineStr">
        <is>
          <t>credibanco d e retefuente voucher y</t>
        </is>
      </c>
      <c r="D271" s="13" t="n">
        <v>-2277</v>
      </c>
      <c r="E271" s="11">
        <f>IF(SUM(COUNTIFS('Conciliacion de compuestos'!$D$2:$D$48,"conciliado",'Conciliacion de compuestos'!$E$2:$E$48,"OK",'Conciliacion de compuestos'!$J$2:$J$48,A271),COUNTIFS('Conciliacion de compuestos'!$D$2:$D$48,"conciliado",'Conciliacion de compuestos'!$E$2:$E$48,"OK",'Conciliacion de compuestos'!$K$2:$K$48,A271),COUNTIFS('Conciliacion de compuestos'!$D$2:$D$48,"conciliado",'Conciliacion de compuestos'!$E$2:$E$48,"OK",'Conciliacion de compuestos'!$L$2:$L$48,A271))&gt;0,"conciliado en compuesto confirmado","disponible")</f>
        <v/>
      </c>
    </row>
    <row r="272">
      <c r="A272" s="11" t="n">
        <v>275</v>
      </c>
      <c r="B272" s="12" t="n">
        <v>46000</v>
      </c>
      <c r="C272" s="11" t="inlineStr">
        <is>
          <t>a financiero gravamen movimiento</t>
        </is>
      </c>
      <c r="D272" s="13" t="n">
        <v>-9</v>
      </c>
      <c r="E272" s="11">
        <f>IF(SUM(COUNTIFS('Conciliacion de compuestos'!$D$2:$D$48,"conciliado",'Conciliacion de compuestos'!$E$2:$E$48,"OK",'Conciliacion de compuestos'!$J$2:$J$48,A272),COUNTIFS('Conciliacion de compuestos'!$D$2:$D$48,"conciliado",'Conciliacion de compuestos'!$E$2:$E$48,"OK",'Conciliacion de compuestos'!$K$2:$K$48,A272),COUNTIFS('Conciliacion de compuestos'!$D$2:$D$48,"conciliado",'Conciliacion de compuestos'!$E$2:$E$48,"OK",'Conciliacion de compuestos'!$L$2:$L$48,A272))&gt;0,"conciliado en compuesto confirmado","disponible")</f>
        <v/>
      </c>
    </row>
    <row r="273">
      <c r="A273" s="11" t="n">
        <v>276</v>
      </c>
      <c r="B273" s="12" t="n">
        <v>46000</v>
      </c>
      <c r="C273" s="11" t="inlineStr">
        <is>
          <t>consignacion credibanco d e</t>
        </is>
      </c>
      <c r="D273" s="13" t="n">
        <v>28300</v>
      </c>
      <c r="E273" s="11">
        <f>IF(SUM(COUNTIFS('Conciliacion de compuestos'!$D$2:$D$48,"conciliado",'Conciliacion de compuestos'!$E$2:$E$48,"OK",'Conciliacion de compuestos'!$J$2:$J$48,A273),COUNTIFS('Conciliacion de compuestos'!$D$2:$D$48,"conciliado",'Conciliacion de compuestos'!$E$2:$E$48,"OK",'Conciliacion de compuestos'!$K$2:$K$48,A273),COUNTIFS('Conciliacion de compuestos'!$D$2:$D$48,"conciliado",'Conciliacion de compuestos'!$E$2:$E$48,"OK",'Conciliacion de compuestos'!$L$2:$L$48,A273))&gt;0,"conciliado en compuesto confirmado","disponible")</f>
        <v/>
      </c>
    </row>
    <row r="274">
      <c r="A274" s="11" t="n">
        <v>277</v>
      </c>
      <c r="B274" s="12" t="n">
        <v>46000</v>
      </c>
      <c r="C274" s="11" t="inlineStr">
        <is>
          <t>cobro comision depositos electronicos</t>
        </is>
      </c>
      <c r="D274" s="13" t="n">
        <v>-611</v>
      </c>
      <c r="E274" s="11">
        <f>IF(SUM(COUNTIFS('Conciliacion de compuestos'!$D$2:$D$48,"conciliado",'Conciliacion de compuestos'!$E$2:$E$48,"OK",'Conciliacion de compuestos'!$J$2:$J$48,A274),COUNTIFS('Conciliacion de compuestos'!$D$2:$D$48,"conciliado",'Conciliacion de compuestos'!$E$2:$E$48,"OK",'Conciliacion de compuestos'!$K$2:$K$48,A274),COUNTIFS('Conciliacion de compuestos'!$D$2:$D$48,"conciliado",'Conciliacion de compuestos'!$E$2:$E$48,"OK",'Conciliacion de compuestos'!$L$2:$L$48,A274))&gt;0,"conciliado en compuesto confirmado","disponible")</f>
        <v/>
      </c>
    </row>
    <row r="275">
      <c r="A275" s="11" t="n">
        <v>278</v>
      </c>
      <c r="B275" s="12" t="n">
        <v>46000</v>
      </c>
      <c r="C275" s="11" t="inlineStr">
        <is>
          <t>a financiero gravamen movimiento</t>
        </is>
      </c>
      <c r="D275" s="13" t="n">
        <v>-2</v>
      </c>
      <c r="E275" s="11">
        <f>IF(SUM(COUNTIFS('Conciliacion de compuestos'!$D$2:$D$48,"conciliado",'Conciliacion de compuestos'!$E$2:$E$48,"OK",'Conciliacion de compuestos'!$J$2:$J$48,A275),COUNTIFS('Conciliacion de compuestos'!$D$2:$D$48,"conciliado",'Conciliacion de compuestos'!$E$2:$E$48,"OK",'Conciliacion de compuestos'!$K$2:$K$48,A275),COUNTIFS('Conciliacion de compuestos'!$D$2:$D$48,"conciliado",'Conciliacion de compuestos'!$E$2:$E$48,"OK",'Conciliacion de compuestos'!$L$2:$L$48,A275))&gt;0,"conciliado en compuesto confirmado","disponible")</f>
        <v/>
      </c>
    </row>
    <row r="276">
      <c r="A276" s="11" t="n">
        <v>279</v>
      </c>
      <c r="B276" s="12" t="n">
        <v>46000</v>
      </c>
      <c r="C276" s="11" t="inlineStr">
        <is>
          <t>credibanco d e retefuente voucher y</t>
        </is>
      </c>
      <c r="D276" s="13" t="n">
        <v>-425</v>
      </c>
      <c r="E276" s="11">
        <f>IF(SUM(COUNTIFS('Conciliacion de compuestos'!$D$2:$D$48,"conciliado",'Conciliacion de compuestos'!$E$2:$E$48,"OK",'Conciliacion de compuestos'!$J$2:$J$48,A276),COUNTIFS('Conciliacion de compuestos'!$D$2:$D$48,"conciliado",'Conciliacion de compuestos'!$E$2:$E$48,"OK",'Conciliacion de compuestos'!$K$2:$K$48,A276),COUNTIFS('Conciliacion de compuestos'!$D$2:$D$48,"conciliado",'Conciliacion de compuestos'!$E$2:$E$48,"OK",'Conciliacion de compuestos'!$L$2:$L$48,A276))&gt;0,"conciliado en compuesto confirmado","disponible")</f>
        <v/>
      </c>
    </row>
    <row r="277">
      <c r="A277" s="11" t="n">
        <v>280</v>
      </c>
      <c r="B277" s="12" t="n">
        <v>46000</v>
      </c>
      <c r="C277" s="11" t="inlineStr">
        <is>
          <t>a financiero gravamen movimiento</t>
        </is>
      </c>
      <c r="D277" s="13" t="n">
        <v>-2</v>
      </c>
      <c r="E277" s="11">
        <f>IF(SUM(COUNTIFS('Conciliacion de compuestos'!$D$2:$D$48,"conciliado",'Conciliacion de compuestos'!$E$2:$E$48,"OK",'Conciliacion de compuestos'!$J$2:$J$48,A277),COUNTIFS('Conciliacion de compuestos'!$D$2:$D$48,"conciliado",'Conciliacion de compuestos'!$E$2:$E$48,"OK",'Conciliacion de compuestos'!$K$2:$K$48,A277),COUNTIFS('Conciliacion de compuestos'!$D$2:$D$48,"conciliado",'Conciliacion de compuestos'!$E$2:$E$48,"OK",'Conciliacion de compuestos'!$L$2:$L$48,A277))&gt;0,"conciliado en compuesto confirmado","disponible")</f>
        <v/>
      </c>
    </row>
    <row r="278">
      <c r="A278" s="11" t="n">
        <v>281</v>
      </c>
      <c r="B278" s="12" t="n">
        <v>46000</v>
      </c>
      <c r="C278" s="11" t="inlineStr">
        <is>
          <t>consignacion credibanco d e</t>
        </is>
      </c>
      <c r="D278" s="13" t="n">
        <v>67800</v>
      </c>
      <c r="E278" s="11">
        <f>IF(SUM(COUNTIFS('Conciliacion de compuestos'!$D$2:$D$48,"conciliado",'Conciliacion de compuestos'!$E$2:$E$48,"OK",'Conciliacion de compuestos'!$J$2:$J$48,A278),COUNTIFS('Conciliacion de compuestos'!$D$2:$D$48,"conciliado",'Conciliacion de compuestos'!$E$2:$E$48,"OK",'Conciliacion de compuestos'!$K$2:$K$48,A278),COUNTIFS('Conciliacion de compuestos'!$D$2:$D$48,"conciliado",'Conciliacion de compuestos'!$E$2:$E$48,"OK",'Conciliacion de compuestos'!$L$2:$L$48,A278))&gt;0,"conciliado en compuesto confirmado","disponible")</f>
        <v/>
      </c>
    </row>
    <row r="279">
      <c r="A279" s="11" t="n">
        <v>282</v>
      </c>
      <c r="B279" s="12" t="n">
        <v>46000</v>
      </c>
      <c r="C279" s="11" t="inlineStr">
        <is>
          <t>cobro comision depositos electronicos</t>
        </is>
      </c>
      <c r="D279" s="13" t="n">
        <v>-1464</v>
      </c>
      <c r="E279" s="11">
        <f>IF(SUM(COUNTIFS('Conciliacion de compuestos'!$D$2:$D$48,"conciliado",'Conciliacion de compuestos'!$E$2:$E$48,"OK",'Conciliacion de compuestos'!$J$2:$J$48,A279),COUNTIFS('Conciliacion de compuestos'!$D$2:$D$48,"conciliado",'Conciliacion de compuestos'!$E$2:$E$48,"OK",'Conciliacion de compuestos'!$K$2:$K$48,A279),COUNTIFS('Conciliacion de compuestos'!$D$2:$D$48,"conciliado",'Conciliacion de compuestos'!$E$2:$E$48,"OK",'Conciliacion de compuestos'!$L$2:$L$48,A279))&gt;0,"conciliado en compuesto confirmado","disponible")</f>
        <v/>
      </c>
    </row>
    <row r="280">
      <c r="A280" s="11" t="n">
        <v>283</v>
      </c>
      <c r="B280" s="12" t="n">
        <v>46000</v>
      </c>
      <c r="C280" s="11" t="inlineStr">
        <is>
          <t>a financiero gravamen movimiento</t>
        </is>
      </c>
      <c r="D280" s="13" t="n">
        <v>-6</v>
      </c>
      <c r="E280" s="11">
        <f>IF(SUM(COUNTIFS('Conciliacion de compuestos'!$D$2:$D$48,"conciliado",'Conciliacion de compuestos'!$E$2:$E$48,"OK",'Conciliacion de compuestos'!$J$2:$J$48,A280),COUNTIFS('Conciliacion de compuestos'!$D$2:$D$48,"conciliado",'Conciliacion de compuestos'!$E$2:$E$48,"OK",'Conciliacion de compuestos'!$K$2:$K$48,A280),COUNTIFS('Conciliacion de compuestos'!$D$2:$D$48,"conciliado",'Conciliacion de compuestos'!$E$2:$E$48,"OK",'Conciliacion de compuestos'!$L$2:$L$48,A280))&gt;0,"conciliado en compuesto confirmado","disponible")</f>
        <v/>
      </c>
    </row>
    <row r="281">
      <c r="A281" s="11" t="n">
        <v>284</v>
      </c>
      <c r="B281" s="12" t="n">
        <v>46000</v>
      </c>
      <c r="C281" s="11" t="inlineStr">
        <is>
          <t>credibanco d e retefuente voucher y</t>
        </is>
      </c>
      <c r="D281" s="13" t="n">
        <v>-1017</v>
      </c>
      <c r="E281" s="11">
        <f>IF(SUM(COUNTIFS('Conciliacion de compuestos'!$D$2:$D$48,"conciliado",'Conciliacion de compuestos'!$E$2:$E$48,"OK",'Conciliacion de compuestos'!$J$2:$J$48,A281),COUNTIFS('Conciliacion de compuestos'!$D$2:$D$48,"conciliado",'Conciliacion de compuestos'!$E$2:$E$48,"OK",'Conciliacion de compuestos'!$K$2:$K$48,A281),COUNTIFS('Conciliacion de compuestos'!$D$2:$D$48,"conciliado",'Conciliacion de compuestos'!$E$2:$E$48,"OK",'Conciliacion de compuestos'!$L$2:$L$48,A281))&gt;0,"conciliado en compuesto confirmado","disponible")</f>
        <v/>
      </c>
    </row>
    <row r="282">
      <c r="A282" s="11" t="n">
        <v>285</v>
      </c>
      <c r="B282" s="12" t="n">
        <v>46000</v>
      </c>
      <c r="C282" s="11" t="inlineStr">
        <is>
          <t>a financiero gravamen movimiento</t>
        </is>
      </c>
      <c r="D282" s="13" t="n">
        <v>-4</v>
      </c>
      <c r="E282" s="11">
        <f>IF(SUM(COUNTIFS('Conciliacion de compuestos'!$D$2:$D$48,"conciliado",'Conciliacion de compuestos'!$E$2:$E$48,"OK",'Conciliacion de compuestos'!$J$2:$J$48,A282),COUNTIFS('Conciliacion de compuestos'!$D$2:$D$48,"conciliado",'Conciliacion de compuestos'!$E$2:$E$48,"OK",'Conciliacion de compuestos'!$K$2:$K$48,A282),COUNTIFS('Conciliacion de compuestos'!$D$2:$D$48,"conciliado",'Conciliacion de compuestos'!$E$2:$E$48,"OK",'Conciliacion de compuestos'!$L$2:$L$48,A282))&gt;0,"conciliado en compuesto confirmado","disponible")</f>
        <v/>
      </c>
    </row>
    <row r="283">
      <c r="A283" s="11" t="n">
        <v>286</v>
      </c>
      <c r="B283" s="12" t="n">
        <v>46000</v>
      </c>
      <c r="C283" s="11" t="inlineStr">
        <is>
          <t>consignacion credibanco d e</t>
        </is>
      </c>
      <c r="D283" s="13" t="n">
        <v>43958</v>
      </c>
      <c r="E283" s="11">
        <f>IF(SUM(COUNTIFS('Conciliacion de compuestos'!$D$2:$D$48,"conciliado",'Conciliacion de compuestos'!$E$2:$E$48,"OK",'Conciliacion de compuestos'!$J$2:$J$48,A283),COUNTIFS('Conciliacion de compuestos'!$D$2:$D$48,"conciliado",'Conciliacion de compuestos'!$E$2:$E$48,"OK",'Conciliacion de compuestos'!$K$2:$K$48,A283),COUNTIFS('Conciliacion de compuestos'!$D$2:$D$48,"conciliado",'Conciliacion de compuestos'!$E$2:$E$48,"OK",'Conciliacion de compuestos'!$L$2:$L$48,A283))&gt;0,"conciliado en compuesto confirmado","disponible")</f>
        <v/>
      </c>
    </row>
    <row r="284">
      <c r="A284" s="11" t="n">
        <v>287</v>
      </c>
      <c r="B284" s="12" t="n">
        <v>46000</v>
      </c>
      <c r="C284" s="11" t="inlineStr">
        <is>
          <t>cobro comision depositos electronicos</t>
        </is>
      </c>
      <c r="D284" s="13" t="n">
        <v>-949</v>
      </c>
      <c r="E284" s="11">
        <f>IF(SUM(COUNTIFS('Conciliacion de compuestos'!$D$2:$D$48,"conciliado",'Conciliacion de compuestos'!$E$2:$E$48,"OK",'Conciliacion de compuestos'!$J$2:$J$48,A284),COUNTIFS('Conciliacion de compuestos'!$D$2:$D$48,"conciliado",'Conciliacion de compuestos'!$E$2:$E$48,"OK",'Conciliacion de compuestos'!$K$2:$K$48,A284),COUNTIFS('Conciliacion de compuestos'!$D$2:$D$48,"conciliado",'Conciliacion de compuestos'!$E$2:$E$48,"OK",'Conciliacion de compuestos'!$L$2:$L$48,A284))&gt;0,"conciliado en compuesto confirmado","disponible")</f>
        <v/>
      </c>
    </row>
    <row r="285">
      <c r="A285" s="11" t="n">
        <v>288</v>
      </c>
      <c r="B285" s="12" t="n">
        <v>46000</v>
      </c>
      <c r="C285" s="11" t="inlineStr">
        <is>
          <t>a financiero gravamen movimiento</t>
        </is>
      </c>
      <c r="D285" s="13" t="n">
        <v>-4</v>
      </c>
      <c r="E285" s="11">
        <f>IF(SUM(COUNTIFS('Conciliacion de compuestos'!$D$2:$D$48,"conciliado",'Conciliacion de compuestos'!$E$2:$E$48,"OK",'Conciliacion de compuestos'!$J$2:$J$48,A285),COUNTIFS('Conciliacion de compuestos'!$D$2:$D$48,"conciliado",'Conciliacion de compuestos'!$E$2:$E$48,"OK",'Conciliacion de compuestos'!$K$2:$K$48,A285),COUNTIFS('Conciliacion de compuestos'!$D$2:$D$48,"conciliado",'Conciliacion de compuestos'!$E$2:$E$48,"OK",'Conciliacion de compuestos'!$L$2:$L$48,A285))&gt;0,"conciliado en compuesto confirmado","disponible")</f>
        <v/>
      </c>
    </row>
    <row r="286">
      <c r="A286" s="11" t="n">
        <v>289</v>
      </c>
      <c r="B286" s="12" t="n">
        <v>46000</v>
      </c>
      <c r="C286" s="11" t="inlineStr">
        <is>
          <t>credibanco d e retefuente voucher y</t>
        </is>
      </c>
      <c r="D286" s="13" t="n">
        <v>-659</v>
      </c>
      <c r="E286" s="11">
        <f>IF(SUM(COUNTIFS('Conciliacion de compuestos'!$D$2:$D$48,"conciliado",'Conciliacion de compuestos'!$E$2:$E$48,"OK",'Conciliacion de compuestos'!$J$2:$J$48,A286),COUNTIFS('Conciliacion de compuestos'!$D$2:$D$48,"conciliado",'Conciliacion de compuestos'!$E$2:$E$48,"OK",'Conciliacion de compuestos'!$K$2:$K$48,A286),COUNTIFS('Conciliacion de compuestos'!$D$2:$D$48,"conciliado",'Conciliacion de compuestos'!$E$2:$E$48,"OK",'Conciliacion de compuestos'!$L$2:$L$48,A286))&gt;0,"conciliado en compuesto confirmado","disponible")</f>
        <v/>
      </c>
    </row>
    <row r="287">
      <c r="A287" s="11" t="n">
        <v>290</v>
      </c>
      <c r="B287" s="12" t="n">
        <v>46000</v>
      </c>
      <c r="C287" s="11" t="inlineStr">
        <is>
          <t>a financiero gravamen movimiento</t>
        </is>
      </c>
      <c r="D287" s="13" t="n">
        <v>-3</v>
      </c>
      <c r="E287" s="11">
        <f>IF(SUM(COUNTIFS('Conciliacion de compuestos'!$D$2:$D$48,"conciliado",'Conciliacion de compuestos'!$E$2:$E$48,"OK",'Conciliacion de compuestos'!$J$2:$J$48,A287),COUNTIFS('Conciliacion de compuestos'!$D$2:$D$48,"conciliado",'Conciliacion de compuestos'!$E$2:$E$48,"OK",'Conciliacion de compuestos'!$K$2:$K$48,A287),COUNTIFS('Conciliacion de compuestos'!$D$2:$D$48,"conciliado",'Conciliacion de compuestos'!$E$2:$E$48,"OK",'Conciliacion de compuestos'!$L$2:$L$48,A287))&gt;0,"conciliado en compuesto confirmado","disponible")</f>
        <v/>
      </c>
    </row>
    <row r="288">
      <c r="A288" s="11" t="n">
        <v>291</v>
      </c>
      <c r="B288" s="12" t="n">
        <v>46000</v>
      </c>
      <c r="C288" s="11" t="inlineStr">
        <is>
          <t>consignacion credibanco d e</t>
        </is>
      </c>
      <c r="D288" s="13" t="n">
        <v>62750</v>
      </c>
      <c r="E288" s="11">
        <f>IF(SUM(COUNTIFS('Conciliacion de compuestos'!$D$2:$D$48,"conciliado",'Conciliacion de compuestos'!$E$2:$E$48,"OK",'Conciliacion de compuestos'!$J$2:$J$48,A288),COUNTIFS('Conciliacion de compuestos'!$D$2:$D$48,"conciliado",'Conciliacion de compuestos'!$E$2:$E$48,"OK",'Conciliacion de compuestos'!$K$2:$K$48,A288),COUNTIFS('Conciliacion de compuestos'!$D$2:$D$48,"conciliado",'Conciliacion de compuestos'!$E$2:$E$48,"OK",'Conciliacion de compuestos'!$L$2:$L$48,A288))&gt;0,"conciliado en compuesto confirmado","disponible")</f>
        <v/>
      </c>
    </row>
    <row r="289">
      <c r="A289" s="11" t="n">
        <v>292</v>
      </c>
      <c r="B289" s="12" t="n">
        <v>46000</v>
      </c>
      <c r="C289" s="11" t="inlineStr">
        <is>
          <t>cobro comision depositos electronicos</t>
        </is>
      </c>
      <c r="D289" s="13" t="n">
        <v>-1355</v>
      </c>
      <c r="E289" s="11">
        <f>IF(SUM(COUNTIFS('Conciliacion de compuestos'!$D$2:$D$48,"conciliado",'Conciliacion de compuestos'!$E$2:$E$48,"OK",'Conciliacion de compuestos'!$J$2:$J$48,A289),COUNTIFS('Conciliacion de compuestos'!$D$2:$D$48,"conciliado",'Conciliacion de compuestos'!$E$2:$E$48,"OK",'Conciliacion de compuestos'!$K$2:$K$48,A289),COUNTIFS('Conciliacion de compuestos'!$D$2:$D$48,"conciliado",'Conciliacion de compuestos'!$E$2:$E$48,"OK",'Conciliacion de compuestos'!$L$2:$L$48,A289))&gt;0,"conciliado en compuesto confirmado","disponible")</f>
        <v/>
      </c>
    </row>
    <row r="290">
      <c r="A290" s="11" t="n">
        <v>293</v>
      </c>
      <c r="B290" s="12" t="n">
        <v>46000</v>
      </c>
      <c r="C290" s="11" t="inlineStr">
        <is>
          <t>a financiero gravamen movimiento</t>
        </is>
      </c>
      <c r="D290" s="13" t="n">
        <v>-5</v>
      </c>
      <c r="E290" s="11">
        <f>IF(SUM(COUNTIFS('Conciliacion de compuestos'!$D$2:$D$48,"conciliado",'Conciliacion de compuestos'!$E$2:$E$48,"OK",'Conciliacion de compuestos'!$J$2:$J$48,A290),COUNTIFS('Conciliacion de compuestos'!$D$2:$D$48,"conciliado",'Conciliacion de compuestos'!$E$2:$E$48,"OK",'Conciliacion de compuestos'!$K$2:$K$48,A290),COUNTIFS('Conciliacion de compuestos'!$D$2:$D$48,"conciliado",'Conciliacion de compuestos'!$E$2:$E$48,"OK",'Conciliacion de compuestos'!$L$2:$L$48,A290))&gt;0,"conciliado en compuesto confirmado","disponible")</f>
        <v/>
      </c>
    </row>
    <row r="291">
      <c r="A291" s="11" t="n">
        <v>294</v>
      </c>
      <c r="B291" s="12" t="n">
        <v>46000</v>
      </c>
      <c r="C291" s="11" t="inlineStr">
        <is>
          <t>credibanco d e retefuente voucher y</t>
        </is>
      </c>
      <c r="D291" s="13" t="n">
        <v>-941</v>
      </c>
      <c r="E291" s="11">
        <f>IF(SUM(COUNTIFS('Conciliacion de compuestos'!$D$2:$D$48,"conciliado",'Conciliacion de compuestos'!$E$2:$E$48,"OK",'Conciliacion de compuestos'!$J$2:$J$48,A291),COUNTIFS('Conciliacion de compuestos'!$D$2:$D$48,"conciliado",'Conciliacion de compuestos'!$E$2:$E$48,"OK",'Conciliacion de compuestos'!$K$2:$K$48,A291),COUNTIFS('Conciliacion de compuestos'!$D$2:$D$48,"conciliado",'Conciliacion de compuestos'!$E$2:$E$48,"OK",'Conciliacion de compuestos'!$L$2:$L$48,A291))&gt;0,"conciliado en compuesto confirmado","disponible")</f>
        <v/>
      </c>
    </row>
    <row r="292">
      <c r="A292" s="11" t="n">
        <v>295</v>
      </c>
      <c r="B292" s="12" t="n">
        <v>46000</v>
      </c>
      <c r="C292" s="11" t="inlineStr">
        <is>
          <t>a financiero gravamen movimiento</t>
        </is>
      </c>
      <c r="D292" s="13" t="n">
        <v>-4</v>
      </c>
      <c r="E292" s="11">
        <f>IF(SUM(COUNTIFS('Conciliacion de compuestos'!$D$2:$D$48,"conciliado",'Conciliacion de compuestos'!$E$2:$E$48,"OK",'Conciliacion de compuestos'!$J$2:$J$48,A292),COUNTIFS('Conciliacion de compuestos'!$D$2:$D$48,"conciliado",'Conciliacion de compuestos'!$E$2:$E$48,"OK",'Conciliacion de compuestos'!$K$2:$K$48,A292),COUNTIFS('Conciliacion de compuestos'!$D$2:$D$48,"conciliado",'Conciliacion de compuestos'!$E$2:$E$48,"OK",'Conciliacion de compuestos'!$L$2:$L$48,A292))&gt;0,"conciliado en compuesto confirmado","disponible")</f>
        <v/>
      </c>
    </row>
    <row r="293">
      <c r="A293" s="11" t="n">
        <v>296</v>
      </c>
      <c r="B293" s="12" t="n">
        <v>46000</v>
      </c>
      <c r="C293" s="11" t="inlineStr">
        <is>
          <t>consignacion credibanco d e</t>
        </is>
      </c>
      <c r="D293" s="13" t="n">
        <v>249500</v>
      </c>
      <c r="E293" s="11">
        <f>IF(SUM(COUNTIFS('Conciliacion de compuestos'!$D$2:$D$48,"conciliado",'Conciliacion de compuestos'!$E$2:$E$48,"OK",'Conciliacion de compuestos'!$J$2:$J$48,A293),COUNTIFS('Conciliacion de compuestos'!$D$2:$D$48,"conciliado",'Conciliacion de compuestos'!$E$2:$E$48,"OK",'Conciliacion de compuestos'!$K$2:$K$48,A293),COUNTIFS('Conciliacion de compuestos'!$D$2:$D$48,"conciliado",'Conciliacion de compuestos'!$E$2:$E$48,"OK",'Conciliacion de compuestos'!$L$2:$L$48,A293))&gt;0,"conciliado en compuesto confirmado","disponible")</f>
        <v/>
      </c>
    </row>
    <row r="294">
      <c r="A294" s="11" t="n">
        <v>297</v>
      </c>
      <c r="B294" s="12" t="n">
        <v>46000</v>
      </c>
      <c r="C294" s="11" t="inlineStr">
        <is>
          <t>cobro comision depositos electronicos</t>
        </is>
      </c>
      <c r="D294" s="13" t="n">
        <v>-5389</v>
      </c>
      <c r="E294" s="11">
        <f>IF(SUM(COUNTIFS('Conciliacion de compuestos'!$D$2:$D$48,"conciliado",'Conciliacion de compuestos'!$E$2:$E$48,"OK",'Conciliacion de compuestos'!$J$2:$J$48,A294),COUNTIFS('Conciliacion de compuestos'!$D$2:$D$48,"conciliado",'Conciliacion de compuestos'!$E$2:$E$48,"OK",'Conciliacion de compuestos'!$K$2:$K$48,A294),COUNTIFS('Conciliacion de compuestos'!$D$2:$D$48,"conciliado",'Conciliacion de compuestos'!$E$2:$E$48,"OK",'Conciliacion de compuestos'!$L$2:$L$48,A294))&gt;0,"conciliado en compuesto confirmado","disponible")</f>
        <v/>
      </c>
    </row>
    <row r="295">
      <c r="A295" s="11" t="n">
        <v>298</v>
      </c>
      <c r="B295" s="12" t="n">
        <v>46000</v>
      </c>
      <c r="C295" s="11" t="inlineStr">
        <is>
          <t>a financiero gravamen movimiento</t>
        </is>
      </c>
      <c r="D295" s="13" t="n">
        <v>-22</v>
      </c>
      <c r="E295" s="11">
        <f>IF(SUM(COUNTIFS('Conciliacion de compuestos'!$D$2:$D$48,"conciliado",'Conciliacion de compuestos'!$E$2:$E$48,"OK",'Conciliacion de compuestos'!$J$2:$J$48,A295),COUNTIFS('Conciliacion de compuestos'!$D$2:$D$48,"conciliado",'Conciliacion de compuestos'!$E$2:$E$48,"OK",'Conciliacion de compuestos'!$K$2:$K$48,A295),COUNTIFS('Conciliacion de compuestos'!$D$2:$D$48,"conciliado",'Conciliacion de compuestos'!$E$2:$E$48,"OK",'Conciliacion de compuestos'!$L$2:$L$48,A295))&gt;0,"conciliado en compuesto confirmado","disponible")</f>
        <v/>
      </c>
    </row>
    <row r="296">
      <c r="A296" s="11" t="n">
        <v>299</v>
      </c>
      <c r="B296" s="12" t="n">
        <v>46000</v>
      </c>
      <c r="C296" s="11" t="inlineStr">
        <is>
          <t>credibanco d e retefuente voucher y</t>
        </is>
      </c>
      <c r="D296" s="13" t="n">
        <v>-3743</v>
      </c>
      <c r="E296" s="11">
        <f>IF(SUM(COUNTIFS('Conciliacion de compuestos'!$D$2:$D$48,"conciliado",'Conciliacion de compuestos'!$E$2:$E$48,"OK",'Conciliacion de compuestos'!$J$2:$J$48,A296),COUNTIFS('Conciliacion de compuestos'!$D$2:$D$48,"conciliado",'Conciliacion de compuestos'!$E$2:$E$48,"OK",'Conciliacion de compuestos'!$K$2:$K$48,A296),COUNTIFS('Conciliacion de compuestos'!$D$2:$D$48,"conciliado",'Conciliacion de compuestos'!$E$2:$E$48,"OK",'Conciliacion de compuestos'!$L$2:$L$48,A296))&gt;0,"conciliado en compuesto confirmado","disponible")</f>
        <v/>
      </c>
    </row>
    <row r="297">
      <c r="A297" s="11" t="n">
        <v>300</v>
      </c>
      <c r="B297" s="12" t="n">
        <v>46000</v>
      </c>
      <c r="C297" s="11" t="inlineStr">
        <is>
          <t>a financiero gravamen movimiento</t>
        </is>
      </c>
      <c r="D297" s="13" t="n">
        <v>-15</v>
      </c>
      <c r="E297" s="11">
        <f>IF(SUM(COUNTIFS('Conciliacion de compuestos'!$D$2:$D$48,"conciliado",'Conciliacion de compuestos'!$E$2:$E$48,"OK",'Conciliacion de compuestos'!$J$2:$J$48,A297),COUNTIFS('Conciliacion de compuestos'!$D$2:$D$48,"conciliado",'Conciliacion de compuestos'!$E$2:$E$48,"OK",'Conciliacion de compuestos'!$K$2:$K$48,A297),COUNTIFS('Conciliacion de compuestos'!$D$2:$D$48,"conciliado",'Conciliacion de compuestos'!$E$2:$E$48,"OK",'Conciliacion de compuestos'!$L$2:$L$48,A297))&gt;0,"conciliado en compuesto confirmado","disponible")</f>
        <v/>
      </c>
    </row>
    <row r="298">
      <c r="A298" s="11" t="n">
        <v>301</v>
      </c>
      <c r="B298" s="12" t="n">
        <v>46000</v>
      </c>
      <c r="C298" s="11" t="inlineStr">
        <is>
          <t>consignacion credibanco d e</t>
        </is>
      </c>
      <c r="D298" s="13" t="n">
        <v>234200</v>
      </c>
      <c r="E298" s="11">
        <f>IF(SUM(COUNTIFS('Conciliacion de compuestos'!$D$2:$D$48,"conciliado",'Conciliacion de compuestos'!$E$2:$E$48,"OK",'Conciliacion de compuestos'!$J$2:$J$48,A298),COUNTIFS('Conciliacion de compuestos'!$D$2:$D$48,"conciliado",'Conciliacion de compuestos'!$E$2:$E$48,"OK",'Conciliacion de compuestos'!$K$2:$K$48,A298),COUNTIFS('Conciliacion de compuestos'!$D$2:$D$48,"conciliado",'Conciliacion de compuestos'!$E$2:$E$48,"OK",'Conciliacion de compuestos'!$L$2:$L$48,A298))&gt;0,"conciliado en compuesto confirmado","disponible")</f>
        <v/>
      </c>
    </row>
    <row r="299">
      <c r="A299" s="11" t="n">
        <v>302</v>
      </c>
      <c r="B299" s="12" t="n">
        <v>46000</v>
      </c>
      <c r="C299" s="11" t="inlineStr">
        <is>
          <t>cobro comision depositos electronicos</t>
        </is>
      </c>
      <c r="D299" s="13" t="n">
        <v>-5059</v>
      </c>
      <c r="E299" s="11">
        <f>IF(SUM(COUNTIFS('Conciliacion de compuestos'!$D$2:$D$48,"conciliado",'Conciliacion de compuestos'!$E$2:$E$48,"OK",'Conciliacion de compuestos'!$J$2:$J$48,A299),COUNTIFS('Conciliacion de compuestos'!$D$2:$D$48,"conciliado",'Conciliacion de compuestos'!$E$2:$E$48,"OK",'Conciliacion de compuestos'!$K$2:$K$48,A299),COUNTIFS('Conciliacion de compuestos'!$D$2:$D$48,"conciliado",'Conciliacion de compuestos'!$E$2:$E$48,"OK",'Conciliacion de compuestos'!$L$2:$L$48,A299))&gt;0,"conciliado en compuesto confirmado","disponible")</f>
        <v/>
      </c>
    </row>
    <row r="300">
      <c r="A300" s="11" t="n">
        <v>303</v>
      </c>
      <c r="B300" s="12" t="n">
        <v>46000</v>
      </c>
      <c r="C300" s="11" t="inlineStr">
        <is>
          <t>a financiero gravamen movimiento</t>
        </is>
      </c>
      <c r="D300" s="13" t="n">
        <v>-20</v>
      </c>
      <c r="E300" s="11">
        <f>IF(SUM(COUNTIFS('Conciliacion de compuestos'!$D$2:$D$48,"conciliado",'Conciliacion de compuestos'!$E$2:$E$48,"OK",'Conciliacion de compuestos'!$J$2:$J$48,A300),COUNTIFS('Conciliacion de compuestos'!$D$2:$D$48,"conciliado",'Conciliacion de compuestos'!$E$2:$E$48,"OK",'Conciliacion de compuestos'!$K$2:$K$48,A300),COUNTIFS('Conciliacion de compuestos'!$D$2:$D$48,"conciliado",'Conciliacion de compuestos'!$E$2:$E$48,"OK",'Conciliacion de compuestos'!$L$2:$L$48,A300))&gt;0,"conciliado en compuesto confirmado","disponible")</f>
        <v/>
      </c>
    </row>
    <row r="301">
      <c r="A301" s="11" t="n">
        <v>304</v>
      </c>
      <c r="B301" s="12" t="n">
        <v>46000</v>
      </c>
      <c r="C301" s="11" t="inlineStr">
        <is>
          <t>credibanco d e retefuente voucher y</t>
        </is>
      </c>
      <c r="D301" s="13" t="n">
        <v>-3513</v>
      </c>
      <c r="E301" s="11">
        <f>IF(SUM(COUNTIFS('Conciliacion de compuestos'!$D$2:$D$48,"conciliado",'Conciliacion de compuestos'!$E$2:$E$48,"OK",'Conciliacion de compuestos'!$J$2:$J$48,A301),COUNTIFS('Conciliacion de compuestos'!$D$2:$D$48,"conciliado",'Conciliacion de compuestos'!$E$2:$E$48,"OK",'Conciliacion de compuestos'!$K$2:$K$48,A301),COUNTIFS('Conciliacion de compuestos'!$D$2:$D$48,"conciliado",'Conciliacion de compuestos'!$E$2:$E$48,"OK",'Conciliacion de compuestos'!$L$2:$L$48,A301))&gt;0,"conciliado en compuesto confirmado","disponible")</f>
        <v/>
      </c>
    </row>
    <row r="302">
      <c r="A302" s="11" t="n">
        <v>305</v>
      </c>
      <c r="B302" s="12" t="n">
        <v>46000</v>
      </c>
      <c r="C302" s="11" t="inlineStr">
        <is>
          <t>a financiero gravamen movimiento</t>
        </is>
      </c>
      <c r="D302" s="13" t="n">
        <v>-14</v>
      </c>
      <c r="E302" s="11">
        <f>IF(SUM(COUNTIFS('Conciliacion de compuestos'!$D$2:$D$48,"conciliado",'Conciliacion de compuestos'!$E$2:$E$48,"OK",'Conciliacion de compuestos'!$J$2:$J$48,A302),COUNTIFS('Conciliacion de compuestos'!$D$2:$D$48,"conciliado",'Conciliacion de compuestos'!$E$2:$E$48,"OK",'Conciliacion de compuestos'!$K$2:$K$48,A302),COUNTIFS('Conciliacion de compuestos'!$D$2:$D$48,"conciliado",'Conciliacion de compuestos'!$E$2:$E$48,"OK",'Conciliacion de compuestos'!$L$2:$L$48,A302))&gt;0,"conciliado en compuesto confirmado","disponible")</f>
        <v/>
      </c>
    </row>
    <row r="303">
      <c r="A303" s="11" t="n">
        <v>306</v>
      </c>
      <c r="B303" s="12" t="n">
        <v>46000</v>
      </c>
      <c r="C303" s="11" t="inlineStr">
        <is>
          <t>consignacion credibanco d e</t>
        </is>
      </c>
      <c r="D303" s="13" t="n">
        <v>77000</v>
      </c>
      <c r="E303" s="11">
        <f>IF(SUM(COUNTIFS('Conciliacion de compuestos'!$D$2:$D$48,"conciliado",'Conciliacion de compuestos'!$E$2:$E$48,"OK",'Conciliacion de compuestos'!$J$2:$J$48,A303),COUNTIFS('Conciliacion de compuestos'!$D$2:$D$48,"conciliado",'Conciliacion de compuestos'!$E$2:$E$48,"OK",'Conciliacion de compuestos'!$K$2:$K$48,A303),COUNTIFS('Conciliacion de compuestos'!$D$2:$D$48,"conciliado",'Conciliacion de compuestos'!$E$2:$E$48,"OK",'Conciliacion de compuestos'!$L$2:$L$48,A303))&gt;0,"conciliado en compuesto confirmado","disponible")</f>
        <v/>
      </c>
    </row>
    <row r="304">
      <c r="A304" s="11" t="n">
        <v>307</v>
      </c>
      <c r="B304" s="12" t="n">
        <v>46000</v>
      </c>
      <c r="C304" s="11" t="inlineStr">
        <is>
          <t>cobro comision depositos electronicos</t>
        </is>
      </c>
      <c r="D304" s="13" t="n">
        <v>-1663</v>
      </c>
      <c r="E304" s="11">
        <f>IF(SUM(COUNTIFS('Conciliacion de compuestos'!$D$2:$D$48,"conciliado",'Conciliacion de compuestos'!$E$2:$E$48,"OK",'Conciliacion de compuestos'!$J$2:$J$48,A304),COUNTIFS('Conciliacion de compuestos'!$D$2:$D$48,"conciliado",'Conciliacion de compuestos'!$E$2:$E$48,"OK",'Conciliacion de compuestos'!$K$2:$K$48,A304),COUNTIFS('Conciliacion de compuestos'!$D$2:$D$48,"conciliado",'Conciliacion de compuestos'!$E$2:$E$48,"OK",'Conciliacion de compuestos'!$L$2:$L$48,A304))&gt;0,"conciliado en compuesto confirmado","disponible")</f>
        <v/>
      </c>
    </row>
    <row r="305">
      <c r="A305" s="11" t="n">
        <v>308</v>
      </c>
      <c r="B305" s="12" t="n">
        <v>46000</v>
      </c>
      <c r="C305" s="11" t="inlineStr">
        <is>
          <t>a financiero gravamen movimiento</t>
        </is>
      </c>
      <c r="D305" s="13" t="n">
        <v>-7</v>
      </c>
      <c r="E305" s="11">
        <f>IF(SUM(COUNTIFS('Conciliacion de compuestos'!$D$2:$D$48,"conciliado",'Conciliacion de compuestos'!$E$2:$E$48,"OK",'Conciliacion de compuestos'!$J$2:$J$48,A305),COUNTIFS('Conciliacion de compuestos'!$D$2:$D$48,"conciliado",'Conciliacion de compuestos'!$E$2:$E$48,"OK",'Conciliacion de compuestos'!$K$2:$K$48,A305),COUNTIFS('Conciliacion de compuestos'!$D$2:$D$48,"conciliado",'Conciliacion de compuestos'!$E$2:$E$48,"OK",'Conciliacion de compuestos'!$L$2:$L$48,A305))&gt;0,"conciliado en compuesto confirmado","disponible")</f>
        <v/>
      </c>
    </row>
    <row r="306">
      <c r="A306" s="11" t="n">
        <v>309</v>
      </c>
      <c r="B306" s="12" t="n">
        <v>46000</v>
      </c>
      <c r="C306" s="11" t="inlineStr">
        <is>
          <t>credibanco d e retefuente voucher y</t>
        </is>
      </c>
      <c r="D306" s="13" t="n">
        <v>-1155</v>
      </c>
      <c r="E306" s="11">
        <f>IF(SUM(COUNTIFS('Conciliacion de compuestos'!$D$2:$D$48,"conciliado",'Conciliacion de compuestos'!$E$2:$E$48,"OK",'Conciliacion de compuestos'!$J$2:$J$48,A306),COUNTIFS('Conciliacion de compuestos'!$D$2:$D$48,"conciliado",'Conciliacion de compuestos'!$E$2:$E$48,"OK",'Conciliacion de compuestos'!$K$2:$K$48,A306),COUNTIFS('Conciliacion de compuestos'!$D$2:$D$48,"conciliado",'Conciliacion de compuestos'!$E$2:$E$48,"OK",'Conciliacion de compuestos'!$L$2:$L$48,A306))&gt;0,"conciliado en compuesto confirmado","disponible")</f>
        <v/>
      </c>
    </row>
    <row r="307">
      <c r="A307" s="11" t="n">
        <v>310</v>
      </c>
      <c r="B307" s="12" t="n">
        <v>46000</v>
      </c>
      <c r="C307" s="11" t="inlineStr">
        <is>
          <t>a financiero gravamen movimiento</t>
        </is>
      </c>
      <c r="D307" s="13" t="n">
        <v>-5</v>
      </c>
      <c r="E307" s="11">
        <f>IF(SUM(COUNTIFS('Conciliacion de compuestos'!$D$2:$D$48,"conciliado",'Conciliacion de compuestos'!$E$2:$E$48,"OK",'Conciliacion de compuestos'!$J$2:$J$48,A307),COUNTIFS('Conciliacion de compuestos'!$D$2:$D$48,"conciliado",'Conciliacion de compuestos'!$E$2:$E$48,"OK",'Conciliacion de compuestos'!$K$2:$K$48,A307),COUNTIFS('Conciliacion de compuestos'!$D$2:$D$48,"conciliado",'Conciliacion de compuestos'!$E$2:$E$48,"OK",'Conciliacion de compuestos'!$L$2:$L$48,A307))&gt;0,"conciliado en compuesto confirmado","disponible")</f>
        <v/>
      </c>
    </row>
    <row r="308">
      <c r="A308" s="11" t="n">
        <v>311</v>
      </c>
      <c r="B308" s="12" t="n">
        <v>46000</v>
      </c>
      <c r="C308" s="11" t="inlineStr">
        <is>
          <t>consignacion credibanco d e</t>
        </is>
      </c>
      <c r="D308" s="13" t="n">
        <v>68093</v>
      </c>
      <c r="E308" s="11">
        <f>IF(SUM(COUNTIFS('Conciliacion de compuestos'!$D$2:$D$48,"conciliado",'Conciliacion de compuestos'!$E$2:$E$48,"OK",'Conciliacion de compuestos'!$J$2:$J$48,A308),COUNTIFS('Conciliacion de compuestos'!$D$2:$D$48,"conciliado",'Conciliacion de compuestos'!$E$2:$E$48,"OK",'Conciliacion de compuestos'!$K$2:$K$48,A308),COUNTIFS('Conciliacion de compuestos'!$D$2:$D$48,"conciliado",'Conciliacion de compuestos'!$E$2:$E$48,"OK",'Conciliacion de compuestos'!$L$2:$L$48,A308))&gt;0,"conciliado en compuesto confirmado","disponible")</f>
        <v/>
      </c>
    </row>
    <row r="309">
      <c r="A309" s="11" t="n">
        <v>312</v>
      </c>
      <c r="B309" s="12" t="n">
        <v>46000</v>
      </c>
      <c r="C309" s="11" t="inlineStr">
        <is>
          <t>cobro comision depositos electronicos</t>
        </is>
      </c>
      <c r="D309" s="13" t="n">
        <v>-1471</v>
      </c>
      <c r="E309" s="11">
        <f>IF(SUM(COUNTIFS('Conciliacion de compuestos'!$D$2:$D$48,"conciliado",'Conciliacion de compuestos'!$E$2:$E$48,"OK",'Conciliacion de compuestos'!$J$2:$J$48,A309),COUNTIFS('Conciliacion de compuestos'!$D$2:$D$48,"conciliado",'Conciliacion de compuestos'!$E$2:$E$48,"OK",'Conciliacion de compuestos'!$K$2:$K$48,A309),COUNTIFS('Conciliacion de compuestos'!$D$2:$D$48,"conciliado",'Conciliacion de compuestos'!$E$2:$E$48,"OK",'Conciliacion de compuestos'!$L$2:$L$48,A309))&gt;0,"conciliado en compuesto confirmado","disponible")</f>
        <v/>
      </c>
    </row>
    <row r="310">
      <c r="A310" s="11" t="n">
        <v>313</v>
      </c>
      <c r="B310" s="12" t="n">
        <v>46000</v>
      </c>
      <c r="C310" s="11" t="inlineStr">
        <is>
          <t>a financiero gravamen movimiento</t>
        </is>
      </c>
      <c r="D310" s="13" t="n">
        <v>-6</v>
      </c>
      <c r="E310" s="11">
        <f>IF(SUM(COUNTIFS('Conciliacion de compuestos'!$D$2:$D$48,"conciliado",'Conciliacion de compuestos'!$E$2:$E$48,"OK",'Conciliacion de compuestos'!$J$2:$J$48,A310),COUNTIFS('Conciliacion de compuestos'!$D$2:$D$48,"conciliado",'Conciliacion de compuestos'!$E$2:$E$48,"OK",'Conciliacion de compuestos'!$K$2:$K$48,A310),COUNTIFS('Conciliacion de compuestos'!$D$2:$D$48,"conciliado",'Conciliacion de compuestos'!$E$2:$E$48,"OK",'Conciliacion de compuestos'!$L$2:$L$48,A310))&gt;0,"conciliado en compuesto confirmado","disponible")</f>
        <v/>
      </c>
    </row>
    <row r="311">
      <c r="A311" s="11" t="n">
        <v>314</v>
      </c>
      <c r="B311" s="12" t="n">
        <v>46000</v>
      </c>
      <c r="C311" s="11" t="inlineStr">
        <is>
          <t>credibanco d e retefuente voucher y</t>
        </is>
      </c>
      <c r="D311" s="13" t="n">
        <v>-1021</v>
      </c>
      <c r="E311" s="11">
        <f>IF(SUM(COUNTIFS('Conciliacion de compuestos'!$D$2:$D$48,"conciliado",'Conciliacion de compuestos'!$E$2:$E$48,"OK",'Conciliacion de compuestos'!$J$2:$J$48,A311),COUNTIFS('Conciliacion de compuestos'!$D$2:$D$48,"conciliado",'Conciliacion de compuestos'!$E$2:$E$48,"OK",'Conciliacion de compuestos'!$K$2:$K$48,A311),COUNTIFS('Conciliacion de compuestos'!$D$2:$D$48,"conciliado",'Conciliacion de compuestos'!$E$2:$E$48,"OK",'Conciliacion de compuestos'!$L$2:$L$48,A311))&gt;0,"conciliado en compuesto confirmado","disponible")</f>
        <v/>
      </c>
    </row>
    <row r="312">
      <c r="A312" s="11" t="n">
        <v>315</v>
      </c>
      <c r="B312" s="12" t="n">
        <v>46000</v>
      </c>
      <c r="C312" s="11" t="inlineStr">
        <is>
          <t>a financiero gravamen movimiento</t>
        </is>
      </c>
      <c r="D312" s="13" t="n">
        <v>-4</v>
      </c>
      <c r="E312" s="11">
        <f>IF(SUM(COUNTIFS('Conciliacion de compuestos'!$D$2:$D$48,"conciliado",'Conciliacion de compuestos'!$E$2:$E$48,"OK",'Conciliacion de compuestos'!$J$2:$J$48,A312),COUNTIFS('Conciliacion de compuestos'!$D$2:$D$48,"conciliado",'Conciliacion de compuestos'!$E$2:$E$48,"OK",'Conciliacion de compuestos'!$K$2:$K$48,A312),COUNTIFS('Conciliacion de compuestos'!$D$2:$D$48,"conciliado",'Conciliacion de compuestos'!$E$2:$E$48,"OK",'Conciliacion de compuestos'!$L$2:$L$48,A312))&gt;0,"conciliado en compuesto confirmado","disponible")</f>
        <v/>
      </c>
    </row>
    <row r="313">
      <c r="A313" s="11" t="n">
        <v>316</v>
      </c>
      <c r="B313" s="12" t="n">
        <v>46000</v>
      </c>
      <c r="C313" s="11" t="inlineStr">
        <is>
          <t>consignacion credibanco d e</t>
        </is>
      </c>
      <c r="D313" s="13" t="n">
        <v>35400</v>
      </c>
      <c r="E313" s="11">
        <f>IF(SUM(COUNTIFS('Conciliacion de compuestos'!$D$2:$D$48,"conciliado",'Conciliacion de compuestos'!$E$2:$E$48,"OK",'Conciliacion de compuestos'!$J$2:$J$48,A313),COUNTIFS('Conciliacion de compuestos'!$D$2:$D$48,"conciliado",'Conciliacion de compuestos'!$E$2:$E$48,"OK",'Conciliacion de compuestos'!$K$2:$K$48,A313),COUNTIFS('Conciliacion de compuestos'!$D$2:$D$48,"conciliado",'Conciliacion de compuestos'!$E$2:$E$48,"OK",'Conciliacion de compuestos'!$L$2:$L$48,A313))&gt;0,"conciliado en compuesto confirmado","disponible")</f>
        <v/>
      </c>
    </row>
    <row r="314">
      <c r="A314" s="11" t="n">
        <v>317</v>
      </c>
      <c r="B314" s="12" t="n">
        <v>46000</v>
      </c>
      <c r="C314" s="11" t="inlineStr">
        <is>
          <t>cobro comision depositos electronicos</t>
        </is>
      </c>
      <c r="D314" s="13" t="n">
        <v>-775</v>
      </c>
      <c r="E314" s="11">
        <f>IF(SUM(COUNTIFS('Conciliacion de compuestos'!$D$2:$D$48,"conciliado",'Conciliacion de compuestos'!$E$2:$E$48,"OK",'Conciliacion de compuestos'!$J$2:$J$48,A314),COUNTIFS('Conciliacion de compuestos'!$D$2:$D$48,"conciliado",'Conciliacion de compuestos'!$E$2:$E$48,"OK",'Conciliacion de compuestos'!$K$2:$K$48,A314),COUNTIFS('Conciliacion de compuestos'!$D$2:$D$48,"conciliado",'Conciliacion de compuestos'!$E$2:$E$48,"OK",'Conciliacion de compuestos'!$L$2:$L$48,A314))&gt;0,"conciliado en compuesto confirmado","disponible")</f>
        <v/>
      </c>
    </row>
    <row r="315">
      <c r="A315" s="11" t="n">
        <v>318</v>
      </c>
      <c r="B315" s="12" t="n">
        <v>46000</v>
      </c>
      <c r="C315" s="11" t="inlineStr">
        <is>
          <t>a financiero gravamen movimiento</t>
        </is>
      </c>
      <c r="D315" s="13" t="n">
        <v>-3</v>
      </c>
      <c r="E315" s="11">
        <f>IF(SUM(COUNTIFS('Conciliacion de compuestos'!$D$2:$D$48,"conciliado",'Conciliacion de compuestos'!$E$2:$E$48,"OK",'Conciliacion de compuestos'!$J$2:$J$48,A315),COUNTIFS('Conciliacion de compuestos'!$D$2:$D$48,"conciliado",'Conciliacion de compuestos'!$E$2:$E$48,"OK",'Conciliacion de compuestos'!$K$2:$K$48,A315),COUNTIFS('Conciliacion de compuestos'!$D$2:$D$48,"conciliado",'Conciliacion de compuestos'!$E$2:$E$48,"OK",'Conciliacion de compuestos'!$L$2:$L$48,A315))&gt;0,"conciliado en compuesto confirmado","disponible")</f>
        <v/>
      </c>
    </row>
    <row r="316">
      <c r="A316" s="11" t="n">
        <v>319</v>
      </c>
      <c r="B316" s="12" t="n">
        <v>46000</v>
      </c>
      <c r="C316" s="11" t="inlineStr">
        <is>
          <t>credibanco d e retefuente voucher y</t>
        </is>
      </c>
      <c r="D316" s="13" t="n">
        <v>-531</v>
      </c>
      <c r="E316" s="11">
        <f>IF(SUM(COUNTIFS('Conciliacion de compuestos'!$D$2:$D$48,"conciliado",'Conciliacion de compuestos'!$E$2:$E$48,"OK",'Conciliacion de compuestos'!$J$2:$J$48,A316),COUNTIFS('Conciliacion de compuestos'!$D$2:$D$48,"conciliado",'Conciliacion de compuestos'!$E$2:$E$48,"OK",'Conciliacion de compuestos'!$K$2:$K$48,A316),COUNTIFS('Conciliacion de compuestos'!$D$2:$D$48,"conciliado",'Conciliacion de compuestos'!$E$2:$E$48,"OK",'Conciliacion de compuestos'!$L$2:$L$48,A316))&gt;0,"conciliado en compuesto confirmado","disponible")</f>
        <v/>
      </c>
    </row>
    <row r="317">
      <c r="A317" s="11" t="n">
        <v>320</v>
      </c>
      <c r="B317" s="12" t="n">
        <v>46000</v>
      </c>
      <c r="C317" s="11" t="inlineStr">
        <is>
          <t>a financiero gravamen movimiento</t>
        </is>
      </c>
      <c r="D317" s="13" t="n">
        <v>-2</v>
      </c>
      <c r="E317" s="11">
        <f>IF(SUM(COUNTIFS('Conciliacion de compuestos'!$D$2:$D$48,"conciliado",'Conciliacion de compuestos'!$E$2:$E$48,"OK",'Conciliacion de compuestos'!$J$2:$J$48,A317),COUNTIFS('Conciliacion de compuestos'!$D$2:$D$48,"conciliado",'Conciliacion de compuestos'!$E$2:$E$48,"OK",'Conciliacion de compuestos'!$K$2:$K$48,A317),COUNTIFS('Conciliacion de compuestos'!$D$2:$D$48,"conciliado",'Conciliacion de compuestos'!$E$2:$E$48,"OK",'Conciliacion de compuestos'!$L$2:$L$48,A317))&gt;0,"conciliado en compuesto confirmado","disponible")</f>
        <v/>
      </c>
    </row>
    <row r="318">
      <c r="A318" s="11" t="n">
        <v>321</v>
      </c>
      <c r="B318" s="12" t="n">
        <v>46000</v>
      </c>
      <c r="C318" s="11" t="inlineStr">
        <is>
          <t>consignacion credibanco d e</t>
        </is>
      </c>
      <c r="D318" s="13" t="n">
        <v>60800</v>
      </c>
      <c r="E318" s="11">
        <f>IF(SUM(COUNTIFS('Conciliacion de compuestos'!$D$2:$D$48,"conciliado",'Conciliacion de compuestos'!$E$2:$E$48,"OK",'Conciliacion de compuestos'!$J$2:$J$48,A318),COUNTIFS('Conciliacion de compuestos'!$D$2:$D$48,"conciliado",'Conciliacion de compuestos'!$E$2:$E$48,"OK",'Conciliacion de compuestos'!$K$2:$K$48,A318),COUNTIFS('Conciliacion de compuestos'!$D$2:$D$48,"conciliado",'Conciliacion de compuestos'!$E$2:$E$48,"OK",'Conciliacion de compuestos'!$L$2:$L$48,A318))&gt;0,"conciliado en compuesto confirmado","disponible")</f>
        <v/>
      </c>
    </row>
    <row r="319">
      <c r="A319" s="11" t="n">
        <v>322</v>
      </c>
      <c r="B319" s="12" t="n">
        <v>46000</v>
      </c>
      <c r="C319" s="11" t="inlineStr">
        <is>
          <t>cobro comision depositos electronicos</t>
        </is>
      </c>
      <c r="D319" s="13" t="n">
        <v>-1332</v>
      </c>
      <c r="E319" s="11">
        <f>IF(SUM(COUNTIFS('Conciliacion de compuestos'!$D$2:$D$48,"conciliado",'Conciliacion de compuestos'!$E$2:$E$48,"OK",'Conciliacion de compuestos'!$J$2:$J$48,A319),COUNTIFS('Conciliacion de compuestos'!$D$2:$D$48,"conciliado",'Conciliacion de compuestos'!$E$2:$E$48,"OK",'Conciliacion de compuestos'!$K$2:$K$48,A319),COUNTIFS('Conciliacion de compuestos'!$D$2:$D$48,"conciliado",'Conciliacion de compuestos'!$E$2:$E$48,"OK",'Conciliacion de compuestos'!$L$2:$L$48,A319))&gt;0,"conciliado en compuesto confirmado","disponible")</f>
        <v/>
      </c>
    </row>
    <row r="320">
      <c r="A320" s="11" t="n">
        <v>323</v>
      </c>
      <c r="B320" s="12" t="n">
        <v>46000</v>
      </c>
      <c r="C320" s="11" t="inlineStr">
        <is>
          <t>a financiero gravamen movimiento</t>
        </is>
      </c>
      <c r="D320" s="13" t="n">
        <v>-5</v>
      </c>
      <c r="E320" s="11">
        <f>IF(SUM(COUNTIFS('Conciliacion de compuestos'!$D$2:$D$48,"conciliado",'Conciliacion de compuestos'!$E$2:$E$48,"OK",'Conciliacion de compuestos'!$J$2:$J$48,A320),COUNTIFS('Conciliacion de compuestos'!$D$2:$D$48,"conciliado",'Conciliacion de compuestos'!$E$2:$E$48,"OK",'Conciliacion de compuestos'!$K$2:$K$48,A320),COUNTIFS('Conciliacion de compuestos'!$D$2:$D$48,"conciliado",'Conciliacion de compuestos'!$E$2:$E$48,"OK",'Conciliacion de compuestos'!$L$2:$L$48,A320))&gt;0,"conciliado en compuesto confirmado","disponible")</f>
        <v/>
      </c>
    </row>
    <row r="321">
      <c r="A321" s="11" t="n">
        <v>324</v>
      </c>
      <c r="B321" s="12" t="n">
        <v>46000</v>
      </c>
      <c r="C321" s="11" t="inlineStr">
        <is>
          <t>credibanco d e retefuente voucher y</t>
        </is>
      </c>
      <c r="D321" s="13" t="n">
        <v>-912</v>
      </c>
      <c r="E321" s="11">
        <f>IF(SUM(COUNTIFS('Conciliacion de compuestos'!$D$2:$D$48,"conciliado",'Conciliacion de compuestos'!$E$2:$E$48,"OK",'Conciliacion de compuestos'!$J$2:$J$48,A321),COUNTIFS('Conciliacion de compuestos'!$D$2:$D$48,"conciliado",'Conciliacion de compuestos'!$E$2:$E$48,"OK",'Conciliacion de compuestos'!$K$2:$K$48,A321),COUNTIFS('Conciliacion de compuestos'!$D$2:$D$48,"conciliado",'Conciliacion de compuestos'!$E$2:$E$48,"OK",'Conciliacion de compuestos'!$L$2:$L$48,A321))&gt;0,"conciliado en compuesto confirmado","disponible")</f>
        <v/>
      </c>
    </row>
    <row r="322">
      <c r="A322" s="11" t="n">
        <v>325</v>
      </c>
      <c r="B322" s="12" t="n">
        <v>46000</v>
      </c>
      <c r="C322" s="11" t="inlineStr">
        <is>
          <t>a financiero gravamen movimiento</t>
        </is>
      </c>
      <c r="D322" s="13" t="n">
        <v>-4</v>
      </c>
      <c r="E322" s="11">
        <f>IF(SUM(COUNTIFS('Conciliacion de compuestos'!$D$2:$D$48,"conciliado",'Conciliacion de compuestos'!$E$2:$E$48,"OK",'Conciliacion de compuestos'!$J$2:$J$48,A322),COUNTIFS('Conciliacion de compuestos'!$D$2:$D$48,"conciliado",'Conciliacion de compuestos'!$E$2:$E$48,"OK",'Conciliacion de compuestos'!$K$2:$K$48,A322),COUNTIFS('Conciliacion de compuestos'!$D$2:$D$48,"conciliado",'Conciliacion de compuestos'!$E$2:$E$48,"OK",'Conciliacion de compuestos'!$L$2:$L$48,A322))&gt;0,"conciliado en compuesto confirmado","disponible")</f>
        <v/>
      </c>
    </row>
    <row r="323">
      <c r="A323" s="11" t="n">
        <v>326</v>
      </c>
      <c r="B323" s="12" t="n">
        <v>46000</v>
      </c>
      <c r="C323" s="11" t="inlineStr">
        <is>
          <t>consignacion credibanco d e</t>
        </is>
      </c>
      <c r="D323" s="13" t="n">
        <v>48748</v>
      </c>
      <c r="E323" s="11">
        <f>IF(SUM(COUNTIFS('Conciliacion de compuestos'!$D$2:$D$48,"conciliado",'Conciliacion de compuestos'!$E$2:$E$48,"OK",'Conciliacion de compuestos'!$J$2:$J$48,A323),COUNTIFS('Conciliacion de compuestos'!$D$2:$D$48,"conciliado",'Conciliacion de compuestos'!$E$2:$E$48,"OK",'Conciliacion de compuestos'!$K$2:$K$48,A323),COUNTIFS('Conciliacion de compuestos'!$D$2:$D$48,"conciliado",'Conciliacion de compuestos'!$E$2:$E$48,"OK",'Conciliacion de compuestos'!$L$2:$L$48,A323))&gt;0,"conciliado en compuesto confirmado","disponible")</f>
        <v/>
      </c>
    </row>
    <row r="324">
      <c r="A324" s="11" t="n">
        <v>327</v>
      </c>
      <c r="B324" s="12" t="n">
        <v>46000</v>
      </c>
      <c r="C324" s="11" t="inlineStr">
        <is>
          <t>cobro comision depositos electronicos</t>
        </is>
      </c>
      <c r="D324" s="13" t="n">
        <v>-395</v>
      </c>
      <c r="E324" s="11">
        <f>IF(SUM(COUNTIFS('Conciliacion de compuestos'!$D$2:$D$48,"conciliado",'Conciliacion de compuestos'!$E$2:$E$48,"OK",'Conciliacion de compuestos'!$J$2:$J$48,A324),COUNTIFS('Conciliacion de compuestos'!$D$2:$D$48,"conciliado",'Conciliacion de compuestos'!$E$2:$E$48,"OK",'Conciliacion de compuestos'!$K$2:$K$48,A324),COUNTIFS('Conciliacion de compuestos'!$D$2:$D$48,"conciliado",'Conciliacion de compuestos'!$E$2:$E$48,"OK",'Conciliacion de compuestos'!$L$2:$L$48,A324))&gt;0,"conciliado en compuesto confirmado","disponible")</f>
        <v/>
      </c>
    </row>
    <row r="325">
      <c r="A325" s="11" t="n">
        <v>328</v>
      </c>
      <c r="B325" s="12" t="n">
        <v>46000</v>
      </c>
      <c r="C325" s="11" t="inlineStr">
        <is>
          <t>a financiero gravamen movimiento</t>
        </is>
      </c>
      <c r="D325" s="13" t="n">
        <v>-2</v>
      </c>
      <c r="E325" s="11">
        <f>IF(SUM(COUNTIFS('Conciliacion de compuestos'!$D$2:$D$48,"conciliado",'Conciliacion de compuestos'!$E$2:$E$48,"OK",'Conciliacion de compuestos'!$J$2:$J$48,A325),COUNTIFS('Conciliacion de compuestos'!$D$2:$D$48,"conciliado",'Conciliacion de compuestos'!$E$2:$E$48,"OK",'Conciliacion de compuestos'!$K$2:$K$48,A325),COUNTIFS('Conciliacion de compuestos'!$D$2:$D$48,"conciliado",'Conciliacion de compuestos'!$E$2:$E$48,"OK",'Conciliacion de compuestos'!$L$2:$L$48,A325))&gt;0,"conciliado en compuesto confirmado","disponible")</f>
        <v/>
      </c>
    </row>
    <row r="326">
      <c r="A326" s="11" t="n">
        <v>329</v>
      </c>
      <c r="B326" s="12" t="n">
        <v>46000</v>
      </c>
      <c r="C326" s="11" t="inlineStr">
        <is>
          <t>credibanco d e retefuente voucher y</t>
        </is>
      </c>
      <c r="D326" s="13" t="n">
        <v>-731</v>
      </c>
      <c r="E326" s="11">
        <f>IF(SUM(COUNTIFS('Conciliacion de compuestos'!$D$2:$D$48,"conciliado",'Conciliacion de compuestos'!$E$2:$E$48,"OK",'Conciliacion de compuestos'!$J$2:$J$48,A326),COUNTIFS('Conciliacion de compuestos'!$D$2:$D$48,"conciliado",'Conciliacion de compuestos'!$E$2:$E$48,"OK",'Conciliacion de compuestos'!$K$2:$K$48,A326),COUNTIFS('Conciliacion de compuestos'!$D$2:$D$48,"conciliado",'Conciliacion de compuestos'!$E$2:$E$48,"OK",'Conciliacion de compuestos'!$L$2:$L$48,A326))&gt;0,"conciliado en compuesto confirmado","disponible")</f>
        <v/>
      </c>
    </row>
    <row r="327">
      <c r="A327" s="11" t="n">
        <v>330</v>
      </c>
      <c r="B327" s="12" t="n">
        <v>46000</v>
      </c>
      <c r="C327" s="11" t="inlineStr">
        <is>
          <t>a financiero gravamen movimiento</t>
        </is>
      </c>
      <c r="D327" s="13" t="n">
        <v>-3</v>
      </c>
      <c r="E327" s="11">
        <f>IF(SUM(COUNTIFS('Conciliacion de compuestos'!$D$2:$D$48,"conciliado",'Conciliacion de compuestos'!$E$2:$E$48,"OK",'Conciliacion de compuestos'!$J$2:$J$48,A327),COUNTIFS('Conciliacion de compuestos'!$D$2:$D$48,"conciliado",'Conciliacion de compuestos'!$E$2:$E$48,"OK",'Conciliacion de compuestos'!$K$2:$K$48,A327),COUNTIFS('Conciliacion de compuestos'!$D$2:$D$48,"conciliado",'Conciliacion de compuestos'!$E$2:$E$48,"OK",'Conciliacion de compuestos'!$L$2:$L$48,A327))&gt;0,"conciliado en compuesto confirmado","disponible")</f>
        <v/>
      </c>
    </row>
    <row r="328">
      <c r="A328" s="11" t="n">
        <v>331</v>
      </c>
      <c r="B328" s="12" t="n">
        <v>46000</v>
      </c>
      <c r="C328" s="11" t="inlineStr">
        <is>
          <t>consignacion credibanco d e</t>
        </is>
      </c>
      <c r="D328" s="13" t="n">
        <v>70500</v>
      </c>
      <c r="E328" s="11">
        <f>IF(SUM(COUNTIFS('Conciliacion de compuestos'!$D$2:$D$48,"conciliado",'Conciliacion de compuestos'!$E$2:$E$48,"OK",'Conciliacion de compuestos'!$J$2:$J$48,A328),COUNTIFS('Conciliacion de compuestos'!$D$2:$D$48,"conciliado",'Conciliacion de compuestos'!$E$2:$E$48,"OK",'Conciliacion de compuestos'!$K$2:$K$48,A328),COUNTIFS('Conciliacion de compuestos'!$D$2:$D$48,"conciliado",'Conciliacion de compuestos'!$E$2:$E$48,"OK",'Conciliacion de compuestos'!$L$2:$L$48,A328))&gt;0,"conciliado en compuesto confirmado","disponible")</f>
        <v/>
      </c>
    </row>
    <row r="329">
      <c r="A329" s="11" t="n">
        <v>332</v>
      </c>
      <c r="B329" s="12" t="n">
        <v>46000</v>
      </c>
      <c r="C329" s="11" t="inlineStr">
        <is>
          <t>cobro comision depositos electronicos</t>
        </is>
      </c>
      <c r="D329" s="13" t="n">
        <v>-1452</v>
      </c>
      <c r="E329" s="11">
        <f>IF(SUM(COUNTIFS('Conciliacion de compuestos'!$D$2:$D$48,"conciliado",'Conciliacion de compuestos'!$E$2:$E$48,"OK",'Conciliacion de compuestos'!$J$2:$J$48,A329),COUNTIFS('Conciliacion de compuestos'!$D$2:$D$48,"conciliado",'Conciliacion de compuestos'!$E$2:$E$48,"OK",'Conciliacion de compuestos'!$K$2:$K$48,A329),COUNTIFS('Conciliacion de compuestos'!$D$2:$D$48,"conciliado",'Conciliacion de compuestos'!$E$2:$E$48,"OK",'Conciliacion de compuestos'!$L$2:$L$48,A329))&gt;0,"conciliado en compuesto confirmado","disponible")</f>
        <v/>
      </c>
    </row>
    <row r="330">
      <c r="A330" s="11" t="n">
        <v>333</v>
      </c>
      <c r="B330" s="12" t="n">
        <v>46000</v>
      </c>
      <c r="C330" s="11" t="inlineStr">
        <is>
          <t>a financiero gravamen movimiento</t>
        </is>
      </c>
      <c r="D330" s="13" t="n">
        <v>-6</v>
      </c>
      <c r="E330" s="11">
        <f>IF(SUM(COUNTIFS('Conciliacion de compuestos'!$D$2:$D$48,"conciliado",'Conciliacion de compuestos'!$E$2:$E$48,"OK",'Conciliacion de compuestos'!$J$2:$J$48,A330),COUNTIFS('Conciliacion de compuestos'!$D$2:$D$48,"conciliado",'Conciliacion de compuestos'!$E$2:$E$48,"OK",'Conciliacion de compuestos'!$K$2:$K$48,A330),COUNTIFS('Conciliacion de compuestos'!$D$2:$D$48,"conciliado",'Conciliacion de compuestos'!$E$2:$E$48,"OK",'Conciliacion de compuestos'!$L$2:$L$48,A330))&gt;0,"conciliado en compuesto confirmado","disponible")</f>
        <v/>
      </c>
    </row>
    <row r="331">
      <c r="A331" s="11" t="n">
        <v>334</v>
      </c>
      <c r="B331" s="12" t="n">
        <v>46000</v>
      </c>
      <c r="C331" s="11" t="inlineStr">
        <is>
          <t>credibanco d e retefuente voucher y</t>
        </is>
      </c>
      <c r="D331" s="13" t="n">
        <v>-1058</v>
      </c>
      <c r="E331" s="11">
        <f>IF(SUM(COUNTIFS('Conciliacion de compuestos'!$D$2:$D$48,"conciliado",'Conciliacion de compuestos'!$E$2:$E$48,"OK",'Conciliacion de compuestos'!$J$2:$J$48,A331),COUNTIFS('Conciliacion de compuestos'!$D$2:$D$48,"conciliado",'Conciliacion de compuestos'!$E$2:$E$48,"OK",'Conciliacion de compuestos'!$K$2:$K$48,A331),COUNTIFS('Conciliacion de compuestos'!$D$2:$D$48,"conciliado",'Conciliacion de compuestos'!$E$2:$E$48,"OK",'Conciliacion de compuestos'!$L$2:$L$48,A331))&gt;0,"conciliado en compuesto confirmado","disponible")</f>
        <v/>
      </c>
    </row>
    <row r="332">
      <c r="A332" s="11" t="n">
        <v>335</v>
      </c>
      <c r="B332" s="12" t="n">
        <v>46000</v>
      </c>
      <c r="C332" s="11" t="inlineStr">
        <is>
          <t>a financiero gravamen movimiento</t>
        </is>
      </c>
      <c r="D332" s="13" t="n">
        <v>-4</v>
      </c>
      <c r="E332" s="11">
        <f>IF(SUM(COUNTIFS('Conciliacion de compuestos'!$D$2:$D$48,"conciliado",'Conciliacion de compuestos'!$E$2:$E$48,"OK",'Conciliacion de compuestos'!$J$2:$J$48,A332),COUNTIFS('Conciliacion de compuestos'!$D$2:$D$48,"conciliado",'Conciliacion de compuestos'!$E$2:$E$48,"OK",'Conciliacion de compuestos'!$K$2:$K$48,A332),COUNTIFS('Conciliacion de compuestos'!$D$2:$D$48,"conciliado",'Conciliacion de compuestos'!$E$2:$E$48,"OK",'Conciliacion de compuestos'!$L$2:$L$48,A332))&gt;0,"conciliado en compuesto confirmado","disponible")</f>
        <v/>
      </c>
    </row>
    <row r="333">
      <c r="A333" s="11" t="n">
        <v>336</v>
      </c>
      <c r="B333" s="12" t="n">
        <v>46000</v>
      </c>
      <c r="C333" s="11" t="inlineStr">
        <is>
          <t>consignacion credibanco d e</t>
        </is>
      </c>
      <c r="D333" s="13" t="n">
        <v>450673</v>
      </c>
      <c r="E333" s="11">
        <f>IF(SUM(COUNTIFS('Conciliacion de compuestos'!$D$2:$D$48,"conciliado",'Conciliacion de compuestos'!$E$2:$E$48,"OK",'Conciliacion de compuestos'!$J$2:$J$48,A333),COUNTIFS('Conciliacion de compuestos'!$D$2:$D$48,"conciliado",'Conciliacion de compuestos'!$E$2:$E$48,"OK",'Conciliacion de compuestos'!$K$2:$K$48,A333),COUNTIFS('Conciliacion de compuestos'!$D$2:$D$48,"conciliado",'Conciliacion de compuestos'!$E$2:$E$48,"OK",'Conciliacion de compuestos'!$L$2:$L$48,A333))&gt;0,"conciliado en compuesto confirmado","disponible")</f>
        <v/>
      </c>
    </row>
    <row r="334">
      <c r="A334" s="11" t="n">
        <v>337</v>
      </c>
      <c r="B334" s="12" t="n">
        <v>46000</v>
      </c>
      <c r="C334" s="11" t="inlineStr">
        <is>
          <t>cobro comision depositos electronicos</t>
        </is>
      </c>
      <c r="D334" s="13" t="n">
        <v>-9735</v>
      </c>
      <c r="E334" s="11">
        <f>IF(SUM(COUNTIFS('Conciliacion de compuestos'!$D$2:$D$48,"conciliado",'Conciliacion de compuestos'!$E$2:$E$48,"OK",'Conciliacion de compuestos'!$J$2:$J$48,A334),COUNTIFS('Conciliacion de compuestos'!$D$2:$D$48,"conciliado",'Conciliacion de compuestos'!$E$2:$E$48,"OK",'Conciliacion de compuestos'!$K$2:$K$48,A334),COUNTIFS('Conciliacion de compuestos'!$D$2:$D$48,"conciliado",'Conciliacion de compuestos'!$E$2:$E$48,"OK",'Conciliacion de compuestos'!$L$2:$L$48,A334))&gt;0,"conciliado en compuesto confirmado","disponible")</f>
        <v/>
      </c>
    </row>
    <row r="335">
      <c r="A335" s="11" t="n">
        <v>338</v>
      </c>
      <c r="B335" s="12" t="n">
        <v>46000</v>
      </c>
      <c r="C335" s="11" t="inlineStr">
        <is>
          <t>a financiero gravamen movimiento</t>
        </is>
      </c>
      <c r="D335" s="13" t="n">
        <v>-39</v>
      </c>
      <c r="E335" s="11">
        <f>IF(SUM(COUNTIFS('Conciliacion de compuestos'!$D$2:$D$48,"conciliado",'Conciliacion de compuestos'!$E$2:$E$48,"OK",'Conciliacion de compuestos'!$J$2:$J$48,A335),COUNTIFS('Conciliacion de compuestos'!$D$2:$D$48,"conciliado",'Conciliacion de compuestos'!$E$2:$E$48,"OK",'Conciliacion de compuestos'!$K$2:$K$48,A335),COUNTIFS('Conciliacion de compuestos'!$D$2:$D$48,"conciliado",'Conciliacion de compuestos'!$E$2:$E$48,"OK",'Conciliacion de compuestos'!$L$2:$L$48,A335))&gt;0,"conciliado en compuesto confirmado","disponible")</f>
        <v/>
      </c>
    </row>
    <row r="336">
      <c r="A336" s="11" t="n">
        <v>339</v>
      </c>
      <c r="B336" s="12" t="n">
        <v>46000</v>
      </c>
      <c r="C336" s="11" t="inlineStr">
        <is>
          <t>credibanco d e retefuente voucher y</t>
        </is>
      </c>
      <c r="D336" s="13" t="n">
        <v>-6760</v>
      </c>
      <c r="E336" s="11">
        <f>IF(SUM(COUNTIFS('Conciliacion de compuestos'!$D$2:$D$48,"conciliado",'Conciliacion de compuestos'!$E$2:$E$48,"OK",'Conciliacion de compuestos'!$J$2:$J$48,A336),COUNTIFS('Conciliacion de compuestos'!$D$2:$D$48,"conciliado",'Conciliacion de compuestos'!$E$2:$E$48,"OK",'Conciliacion de compuestos'!$K$2:$K$48,A336),COUNTIFS('Conciliacion de compuestos'!$D$2:$D$48,"conciliado",'Conciliacion de compuestos'!$E$2:$E$48,"OK",'Conciliacion de compuestos'!$L$2:$L$48,A336))&gt;0,"conciliado en compuesto confirmado","disponible")</f>
        <v/>
      </c>
    </row>
    <row r="337">
      <c r="A337" s="11" t="n">
        <v>340</v>
      </c>
      <c r="B337" s="12" t="n">
        <v>46000</v>
      </c>
      <c r="C337" s="11" t="inlineStr">
        <is>
          <t>a financiero gravamen movimiento</t>
        </is>
      </c>
      <c r="D337" s="13" t="n">
        <v>-27</v>
      </c>
      <c r="E337" s="11">
        <f>IF(SUM(COUNTIFS('Conciliacion de compuestos'!$D$2:$D$48,"conciliado",'Conciliacion de compuestos'!$E$2:$E$48,"OK",'Conciliacion de compuestos'!$J$2:$J$48,A337),COUNTIFS('Conciliacion de compuestos'!$D$2:$D$48,"conciliado",'Conciliacion de compuestos'!$E$2:$E$48,"OK",'Conciliacion de compuestos'!$K$2:$K$48,A337),COUNTIFS('Conciliacion de compuestos'!$D$2:$D$48,"conciliado",'Conciliacion de compuestos'!$E$2:$E$48,"OK",'Conciliacion de compuestos'!$L$2:$L$48,A337))&gt;0,"conciliado en compuesto confirmado","disponible")</f>
        <v/>
      </c>
    </row>
    <row r="338">
      <c r="A338" s="11" t="n">
        <v>341</v>
      </c>
      <c r="B338" s="12" t="n">
        <v>46000</v>
      </c>
      <c r="C338" s="11" t="inlineStr">
        <is>
          <t>consignacion credibanco d e</t>
        </is>
      </c>
      <c r="D338" s="13" t="n">
        <v>38820</v>
      </c>
      <c r="E338" s="11">
        <f>IF(SUM(COUNTIFS('Conciliacion de compuestos'!$D$2:$D$48,"conciliado",'Conciliacion de compuestos'!$E$2:$E$48,"OK",'Conciliacion de compuestos'!$J$2:$J$48,A338),COUNTIFS('Conciliacion de compuestos'!$D$2:$D$48,"conciliado",'Conciliacion de compuestos'!$E$2:$E$48,"OK",'Conciliacion de compuestos'!$K$2:$K$48,A338),COUNTIFS('Conciliacion de compuestos'!$D$2:$D$48,"conciliado",'Conciliacion de compuestos'!$E$2:$E$48,"OK",'Conciliacion de compuestos'!$L$2:$L$48,A338))&gt;0,"conciliado en compuesto confirmado","disponible")</f>
        <v/>
      </c>
    </row>
    <row r="339">
      <c r="A339" s="11" t="n">
        <v>342</v>
      </c>
      <c r="B339" s="12" t="n">
        <v>46000</v>
      </c>
      <c r="C339" s="11" t="inlineStr">
        <is>
          <t>cobro comision depositos electronicos</t>
        </is>
      </c>
      <c r="D339" s="13" t="n">
        <v>-839</v>
      </c>
      <c r="E339" s="11">
        <f>IF(SUM(COUNTIFS('Conciliacion de compuestos'!$D$2:$D$48,"conciliado",'Conciliacion de compuestos'!$E$2:$E$48,"OK",'Conciliacion de compuestos'!$J$2:$J$48,A339),COUNTIFS('Conciliacion de compuestos'!$D$2:$D$48,"conciliado",'Conciliacion de compuestos'!$E$2:$E$48,"OK",'Conciliacion de compuestos'!$K$2:$K$48,A339),COUNTIFS('Conciliacion de compuestos'!$D$2:$D$48,"conciliado",'Conciliacion de compuestos'!$E$2:$E$48,"OK",'Conciliacion de compuestos'!$L$2:$L$48,A339))&gt;0,"conciliado en compuesto confirmado","disponible")</f>
        <v/>
      </c>
    </row>
    <row r="340">
      <c r="A340" s="11" t="n">
        <v>343</v>
      </c>
      <c r="B340" s="12" t="n">
        <v>46000</v>
      </c>
      <c r="C340" s="11" t="inlineStr">
        <is>
          <t>a financiero gravamen movimiento</t>
        </is>
      </c>
      <c r="D340" s="13" t="n">
        <v>-3</v>
      </c>
      <c r="E340" s="11">
        <f>IF(SUM(COUNTIFS('Conciliacion de compuestos'!$D$2:$D$48,"conciliado",'Conciliacion de compuestos'!$E$2:$E$48,"OK",'Conciliacion de compuestos'!$J$2:$J$48,A340),COUNTIFS('Conciliacion de compuestos'!$D$2:$D$48,"conciliado",'Conciliacion de compuestos'!$E$2:$E$48,"OK",'Conciliacion de compuestos'!$K$2:$K$48,A340),COUNTIFS('Conciliacion de compuestos'!$D$2:$D$48,"conciliado",'Conciliacion de compuestos'!$E$2:$E$48,"OK",'Conciliacion de compuestos'!$L$2:$L$48,A340))&gt;0,"conciliado en compuesto confirmado","disponible")</f>
        <v/>
      </c>
    </row>
    <row r="341">
      <c r="A341" s="11" t="n">
        <v>344</v>
      </c>
      <c r="B341" s="12" t="n">
        <v>46000</v>
      </c>
      <c r="C341" s="11" t="inlineStr">
        <is>
          <t>credibanco d e retefuente voucher y</t>
        </is>
      </c>
      <c r="D341" s="13" t="n">
        <v>-582</v>
      </c>
      <c r="E341" s="11">
        <f>IF(SUM(COUNTIFS('Conciliacion de compuestos'!$D$2:$D$48,"conciliado",'Conciliacion de compuestos'!$E$2:$E$48,"OK",'Conciliacion de compuestos'!$J$2:$J$48,A341),COUNTIFS('Conciliacion de compuestos'!$D$2:$D$48,"conciliado",'Conciliacion de compuestos'!$E$2:$E$48,"OK",'Conciliacion de compuestos'!$K$2:$K$48,A341),COUNTIFS('Conciliacion de compuestos'!$D$2:$D$48,"conciliado",'Conciliacion de compuestos'!$E$2:$E$48,"OK",'Conciliacion de compuestos'!$L$2:$L$48,A341))&gt;0,"conciliado en compuesto confirmado","disponible")</f>
        <v/>
      </c>
    </row>
    <row r="342">
      <c r="A342" s="11" t="n">
        <v>345</v>
      </c>
      <c r="B342" s="12" t="n">
        <v>46000</v>
      </c>
      <c r="C342" s="11" t="inlineStr">
        <is>
          <t>a financiero gravamen movimiento</t>
        </is>
      </c>
      <c r="D342" s="13" t="n">
        <v>-2</v>
      </c>
      <c r="E342" s="11">
        <f>IF(SUM(COUNTIFS('Conciliacion de compuestos'!$D$2:$D$48,"conciliado",'Conciliacion de compuestos'!$E$2:$E$48,"OK",'Conciliacion de compuestos'!$J$2:$J$48,A342),COUNTIFS('Conciliacion de compuestos'!$D$2:$D$48,"conciliado",'Conciliacion de compuestos'!$E$2:$E$48,"OK",'Conciliacion de compuestos'!$K$2:$K$48,A342),COUNTIFS('Conciliacion de compuestos'!$D$2:$D$48,"conciliado",'Conciliacion de compuestos'!$E$2:$E$48,"OK",'Conciliacion de compuestos'!$L$2:$L$48,A342))&gt;0,"conciliado en compuesto confirmado","disponible")</f>
        <v/>
      </c>
    </row>
    <row r="343">
      <c r="A343" s="11" t="n">
        <v>346</v>
      </c>
      <c r="B343" s="12" t="n">
        <v>46000</v>
      </c>
      <c r="C343" s="11" t="inlineStr">
        <is>
          <t>consignacion credibanco d e</t>
        </is>
      </c>
      <c r="D343" s="13" t="n">
        <v>46100</v>
      </c>
      <c r="E343" s="11">
        <f>IF(SUM(COUNTIFS('Conciliacion de compuestos'!$D$2:$D$48,"conciliado",'Conciliacion de compuestos'!$E$2:$E$48,"OK",'Conciliacion de compuestos'!$J$2:$J$48,A343),COUNTIFS('Conciliacion de compuestos'!$D$2:$D$48,"conciliado",'Conciliacion de compuestos'!$E$2:$E$48,"OK",'Conciliacion de compuestos'!$K$2:$K$48,A343),COUNTIFS('Conciliacion de compuestos'!$D$2:$D$48,"conciliado",'Conciliacion de compuestos'!$E$2:$E$48,"OK",'Conciliacion de compuestos'!$L$2:$L$48,A343))&gt;0,"conciliado en compuesto confirmado","disponible")</f>
        <v/>
      </c>
    </row>
    <row r="344">
      <c r="A344" s="11" t="n">
        <v>347</v>
      </c>
      <c r="B344" s="12" t="n">
        <v>46000</v>
      </c>
      <c r="C344" s="11" t="inlineStr">
        <is>
          <t>cobro comision depositos electronicos</t>
        </is>
      </c>
      <c r="D344" s="13" t="n">
        <v>-1010</v>
      </c>
      <c r="E344" s="11">
        <f>IF(SUM(COUNTIFS('Conciliacion de compuestos'!$D$2:$D$48,"conciliado",'Conciliacion de compuestos'!$E$2:$E$48,"OK",'Conciliacion de compuestos'!$J$2:$J$48,A344),COUNTIFS('Conciliacion de compuestos'!$D$2:$D$48,"conciliado",'Conciliacion de compuestos'!$E$2:$E$48,"OK",'Conciliacion de compuestos'!$K$2:$K$48,A344),COUNTIFS('Conciliacion de compuestos'!$D$2:$D$48,"conciliado",'Conciliacion de compuestos'!$E$2:$E$48,"OK",'Conciliacion de compuestos'!$L$2:$L$48,A344))&gt;0,"conciliado en compuesto confirmado","disponible")</f>
        <v/>
      </c>
    </row>
    <row r="345">
      <c r="A345" s="11" t="n">
        <v>348</v>
      </c>
      <c r="B345" s="12" t="n">
        <v>46000</v>
      </c>
      <c r="C345" s="11" t="inlineStr">
        <is>
          <t>a financiero gravamen movimiento</t>
        </is>
      </c>
      <c r="D345" s="13" t="n">
        <v>-4</v>
      </c>
      <c r="E345" s="11">
        <f>IF(SUM(COUNTIFS('Conciliacion de compuestos'!$D$2:$D$48,"conciliado",'Conciliacion de compuestos'!$E$2:$E$48,"OK",'Conciliacion de compuestos'!$J$2:$J$48,A345),COUNTIFS('Conciliacion de compuestos'!$D$2:$D$48,"conciliado",'Conciliacion de compuestos'!$E$2:$E$48,"OK",'Conciliacion de compuestos'!$K$2:$K$48,A345),COUNTIFS('Conciliacion de compuestos'!$D$2:$D$48,"conciliado",'Conciliacion de compuestos'!$E$2:$E$48,"OK",'Conciliacion de compuestos'!$L$2:$L$48,A345))&gt;0,"conciliado en compuesto confirmado","disponible")</f>
        <v/>
      </c>
    </row>
    <row r="346">
      <c r="A346" s="11" t="n">
        <v>349</v>
      </c>
      <c r="B346" s="12" t="n">
        <v>46000</v>
      </c>
      <c r="C346" s="11" t="inlineStr">
        <is>
          <t>credibanco d e retefuente voucher y</t>
        </is>
      </c>
      <c r="D346" s="13" t="n">
        <v>-692</v>
      </c>
      <c r="E346" s="11">
        <f>IF(SUM(COUNTIFS('Conciliacion de compuestos'!$D$2:$D$48,"conciliado",'Conciliacion de compuestos'!$E$2:$E$48,"OK",'Conciliacion de compuestos'!$J$2:$J$48,A346),COUNTIFS('Conciliacion de compuestos'!$D$2:$D$48,"conciliado",'Conciliacion de compuestos'!$E$2:$E$48,"OK",'Conciliacion de compuestos'!$K$2:$K$48,A346),COUNTIFS('Conciliacion de compuestos'!$D$2:$D$48,"conciliado",'Conciliacion de compuestos'!$E$2:$E$48,"OK",'Conciliacion de compuestos'!$L$2:$L$48,A346))&gt;0,"conciliado en compuesto confirmado","disponible")</f>
        <v/>
      </c>
    </row>
    <row r="347">
      <c r="A347" s="11" t="n">
        <v>350</v>
      </c>
      <c r="B347" s="12" t="n">
        <v>46000</v>
      </c>
      <c r="C347" s="11" t="inlineStr">
        <is>
          <t>a financiero gravamen movimiento</t>
        </is>
      </c>
      <c r="D347" s="13" t="n">
        <v>-3</v>
      </c>
      <c r="E347" s="11">
        <f>IF(SUM(COUNTIFS('Conciliacion de compuestos'!$D$2:$D$48,"conciliado",'Conciliacion de compuestos'!$E$2:$E$48,"OK",'Conciliacion de compuestos'!$J$2:$J$48,A347),COUNTIFS('Conciliacion de compuestos'!$D$2:$D$48,"conciliado",'Conciliacion de compuestos'!$E$2:$E$48,"OK",'Conciliacion de compuestos'!$K$2:$K$48,A347),COUNTIFS('Conciliacion de compuestos'!$D$2:$D$48,"conciliado",'Conciliacion de compuestos'!$E$2:$E$48,"OK",'Conciliacion de compuestos'!$L$2:$L$48,A347))&gt;0,"conciliado en compuesto confirmado","disponible")</f>
        <v/>
      </c>
    </row>
    <row r="348">
      <c r="A348" s="11" t="n">
        <v>351</v>
      </c>
      <c r="B348" s="12" t="n">
        <v>46000</v>
      </c>
      <c r="C348" s="11" t="inlineStr">
        <is>
          <t>consignacion credibanco d e</t>
        </is>
      </c>
      <c r="D348" s="13" t="n">
        <v>21200</v>
      </c>
      <c r="E348" s="11">
        <f>IF(SUM(COUNTIFS('Conciliacion de compuestos'!$D$2:$D$48,"conciliado",'Conciliacion de compuestos'!$E$2:$E$48,"OK",'Conciliacion de compuestos'!$J$2:$J$48,A348),COUNTIFS('Conciliacion de compuestos'!$D$2:$D$48,"conciliado",'Conciliacion de compuestos'!$E$2:$E$48,"OK",'Conciliacion de compuestos'!$K$2:$K$48,A348),COUNTIFS('Conciliacion de compuestos'!$D$2:$D$48,"conciliado",'Conciliacion de compuestos'!$E$2:$E$48,"OK",'Conciliacion de compuestos'!$L$2:$L$48,A348))&gt;0,"conciliado en compuesto confirmado","disponible")</f>
        <v/>
      </c>
    </row>
    <row r="349">
      <c r="A349" s="11" t="n">
        <v>352</v>
      </c>
      <c r="B349" s="12" t="n">
        <v>46000</v>
      </c>
      <c r="C349" s="11" t="inlineStr">
        <is>
          <t>cobro comision depositos electronicos</t>
        </is>
      </c>
      <c r="D349" s="13" t="n">
        <v>-464</v>
      </c>
      <c r="E349" s="11">
        <f>IF(SUM(COUNTIFS('Conciliacion de compuestos'!$D$2:$D$48,"conciliado",'Conciliacion de compuestos'!$E$2:$E$48,"OK",'Conciliacion de compuestos'!$J$2:$J$48,A349),COUNTIFS('Conciliacion de compuestos'!$D$2:$D$48,"conciliado",'Conciliacion de compuestos'!$E$2:$E$48,"OK",'Conciliacion de compuestos'!$K$2:$K$48,A349),COUNTIFS('Conciliacion de compuestos'!$D$2:$D$48,"conciliado",'Conciliacion de compuestos'!$E$2:$E$48,"OK",'Conciliacion de compuestos'!$L$2:$L$48,A349))&gt;0,"conciliado en compuesto confirmado","disponible")</f>
        <v/>
      </c>
    </row>
    <row r="350">
      <c r="A350" s="11" t="n">
        <v>353</v>
      </c>
      <c r="B350" s="12" t="n">
        <v>46000</v>
      </c>
      <c r="C350" s="11" t="inlineStr">
        <is>
          <t>a financiero gravamen movimiento</t>
        </is>
      </c>
      <c r="D350" s="13" t="n">
        <v>-2</v>
      </c>
      <c r="E350" s="11">
        <f>IF(SUM(COUNTIFS('Conciliacion de compuestos'!$D$2:$D$48,"conciliado",'Conciliacion de compuestos'!$E$2:$E$48,"OK",'Conciliacion de compuestos'!$J$2:$J$48,A350),COUNTIFS('Conciliacion de compuestos'!$D$2:$D$48,"conciliado",'Conciliacion de compuestos'!$E$2:$E$48,"OK",'Conciliacion de compuestos'!$K$2:$K$48,A350),COUNTIFS('Conciliacion de compuestos'!$D$2:$D$48,"conciliado",'Conciliacion de compuestos'!$E$2:$E$48,"OK",'Conciliacion de compuestos'!$L$2:$L$48,A350))&gt;0,"conciliado en compuesto confirmado","disponible")</f>
        <v/>
      </c>
    </row>
    <row r="351">
      <c r="A351" s="11" t="n">
        <v>354</v>
      </c>
      <c r="B351" s="12" t="n">
        <v>46000</v>
      </c>
      <c r="C351" s="11" t="inlineStr">
        <is>
          <t>credibanco d e retefuente voucher y</t>
        </is>
      </c>
      <c r="D351" s="13" t="n">
        <v>-318</v>
      </c>
      <c r="E351" s="11">
        <f>IF(SUM(COUNTIFS('Conciliacion de compuestos'!$D$2:$D$48,"conciliado",'Conciliacion de compuestos'!$E$2:$E$48,"OK",'Conciliacion de compuestos'!$J$2:$J$48,A351),COUNTIFS('Conciliacion de compuestos'!$D$2:$D$48,"conciliado",'Conciliacion de compuestos'!$E$2:$E$48,"OK",'Conciliacion de compuestos'!$K$2:$K$48,A351),COUNTIFS('Conciliacion de compuestos'!$D$2:$D$48,"conciliado",'Conciliacion de compuestos'!$E$2:$E$48,"OK",'Conciliacion de compuestos'!$L$2:$L$48,A351))&gt;0,"conciliado en compuesto confirmado","disponible")</f>
        <v/>
      </c>
    </row>
    <row r="352">
      <c r="A352" s="11" t="n">
        <v>355</v>
      </c>
      <c r="B352" s="12" t="n">
        <v>46000</v>
      </c>
      <c r="C352" s="11" t="inlineStr">
        <is>
          <t>a financiero gravamen movimiento</t>
        </is>
      </c>
      <c r="D352" s="13" t="n">
        <v>-1</v>
      </c>
      <c r="E352" s="11">
        <f>IF(SUM(COUNTIFS('Conciliacion de compuestos'!$D$2:$D$48,"conciliado",'Conciliacion de compuestos'!$E$2:$E$48,"OK",'Conciliacion de compuestos'!$J$2:$J$48,A352),COUNTIFS('Conciliacion de compuestos'!$D$2:$D$48,"conciliado",'Conciliacion de compuestos'!$E$2:$E$48,"OK",'Conciliacion de compuestos'!$K$2:$K$48,A352),COUNTIFS('Conciliacion de compuestos'!$D$2:$D$48,"conciliado",'Conciliacion de compuestos'!$E$2:$E$48,"OK",'Conciliacion de compuestos'!$L$2:$L$48,A352))&gt;0,"conciliado en compuesto confirmado","disponible")</f>
        <v/>
      </c>
    </row>
    <row r="353">
      <c r="A353" s="11" t="n">
        <v>356</v>
      </c>
      <c r="B353" s="12" t="n">
        <v>46000</v>
      </c>
      <c r="C353" s="11" t="inlineStr">
        <is>
          <t>consignacion credibanco d e</t>
        </is>
      </c>
      <c r="D353" s="13" t="n">
        <v>36400</v>
      </c>
      <c r="E353" s="11">
        <f>IF(SUM(COUNTIFS('Conciliacion de compuestos'!$D$2:$D$48,"conciliado",'Conciliacion de compuestos'!$E$2:$E$48,"OK",'Conciliacion de compuestos'!$J$2:$J$48,A353),COUNTIFS('Conciliacion de compuestos'!$D$2:$D$48,"conciliado",'Conciliacion de compuestos'!$E$2:$E$48,"OK",'Conciliacion de compuestos'!$K$2:$K$48,A353),COUNTIFS('Conciliacion de compuestos'!$D$2:$D$48,"conciliado",'Conciliacion de compuestos'!$E$2:$E$48,"OK",'Conciliacion de compuestos'!$L$2:$L$48,A353))&gt;0,"conciliado en compuesto confirmado","disponible")</f>
        <v/>
      </c>
    </row>
    <row r="354">
      <c r="A354" s="11" t="n">
        <v>357</v>
      </c>
      <c r="B354" s="12" t="n">
        <v>46000</v>
      </c>
      <c r="C354" s="11" t="inlineStr">
        <is>
          <t>cobro comision depositos electronicos</t>
        </is>
      </c>
      <c r="D354" s="13" t="n">
        <v>-797</v>
      </c>
      <c r="E354" s="11">
        <f>IF(SUM(COUNTIFS('Conciliacion de compuestos'!$D$2:$D$48,"conciliado",'Conciliacion de compuestos'!$E$2:$E$48,"OK",'Conciliacion de compuestos'!$J$2:$J$48,A354),COUNTIFS('Conciliacion de compuestos'!$D$2:$D$48,"conciliado",'Conciliacion de compuestos'!$E$2:$E$48,"OK",'Conciliacion de compuestos'!$K$2:$K$48,A354),COUNTIFS('Conciliacion de compuestos'!$D$2:$D$48,"conciliado",'Conciliacion de compuestos'!$E$2:$E$48,"OK",'Conciliacion de compuestos'!$L$2:$L$48,A354))&gt;0,"conciliado en compuesto confirmado","disponible")</f>
        <v/>
      </c>
    </row>
    <row r="355">
      <c r="A355" s="11" t="n">
        <v>358</v>
      </c>
      <c r="B355" s="12" t="n">
        <v>46000</v>
      </c>
      <c r="C355" s="11" t="inlineStr">
        <is>
          <t>a financiero gravamen movimiento</t>
        </is>
      </c>
      <c r="D355" s="13" t="n">
        <v>-3</v>
      </c>
      <c r="E355" s="11">
        <f>IF(SUM(COUNTIFS('Conciliacion de compuestos'!$D$2:$D$48,"conciliado",'Conciliacion de compuestos'!$E$2:$E$48,"OK",'Conciliacion de compuestos'!$J$2:$J$48,A355),COUNTIFS('Conciliacion de compuestos'!$D$2:$D$48,"conciliado",'Conciliacion de compuestos'!$E$2:$E$48,"OK",'Conciliacion de compuestos'!$K$2:$K$48,A355),COUNTIFS('Conciliacion de compuestos'!$D$2:$D$48,"conciliado",'Conciliacion de compuestos'!$E$2:$E$48,"OK",'Conciliacion de compuestos'!$L$2:$L$48,A355))&gt;0,"conciliado en compuesto confirmado","disponible")</f>
        <v/>
      </c>
    </row>
    <row r="356">
      <c r="A356" s="11" t="n">
        <v>359</v>
      </c>
      <c r="B356" s="12" t="n">
        <v>46000</v>
      </c>
      <c r="C356" s="11" t="inlineStr">
        <is>
          <t>credibanco d e retefuente voucher y</t>
        </is>
      </c>
      <c r="D356" s="13" t="n">
        <v>-546</v>
      </c>
      <c r="E356" s="11">
        <f>IF(SUM(COUNTIFS('Conciliacion de compuestos'!$D$2:$D$48,"conciliado",'Conciliacion de compuestos'!$E$2:$E$48,"OK",'Conciliacion de compuestos'!$J$2:$J$48,A356),COUNTIFS('Conciliacion de compuestos'!$D$2:$D$48,"conciliado",'Conciliacion de compuestos'!$E$2:$E$48,"OK",'Conciliacion de compuestos'!$K$2:$K$48,A356),COUNTIFS('Conciliacion de compuestos'!$D$2:$D$48,"conciliado",'Conciliacion de compuestos'!$E$2:$E$48,"OK",'Conciliacion de compuestos'!$L$2:$L$48,A356))&gt;0,"conciliado en compuesto confirmado","disponible")</f>
        <v/>
      </c>
    </row>
    <row r="357">
      <c r="A357" s="11" t="n">
        <v>360</v>
      </c>
      <c r="B357" s="12" t="n">
        <v>46000</v>
      </c>
      <c r="C357" s="11" t="inlineStr">
        <is>
          <t>a financiero gravamen movimiento</t>
        </is>
      </c>
      <c r="D357" s="13" t="n">
        <v>-2</v>
      </c>
      <c r="E357" s="11">
        <f>IF(SUM(COUNTIFS('Conciliacion de compuestos'!$D$2:$D$48,"conciliado",'Conciliacion de compuestos'!$E$2:$E$48,"OK",'Conciliacion de compuestos'!$J$2:$J$48,A357),COUNTIFS('Conciliacion de compuestos'!$D$2:$D$48,"conciliado",'Conciliacion de compuestos'!$E$2:$E$48,"OK",'Conciliacion de compuestos'!$K$2:$K$48,A357),COUNTIFS('Conciliacion de compuestos'!$D$2:$D$48,"conciliado",'Conciliacion de compuestos'!$E$2:$E$48,"OK",'Conciliacion de compuestos'!$L$2:$L$48,A357))&gt;0,"conciliado en compuesto confirmado","disponible")</f>
        <v/>
      </c>
    </row>
    <row r="358">
      <c r="A358" s="11" t="n">
        <v>361</v>
      </c>
      <c r="B358" s="12" t="n">
        <v>46000</v>
      </c>
      <c r="C358" s="11" t="inlineStr">
        <is>
          <t>consignacion credibanco d e</t>
        </is>
      </c>
      <c r="D358" s="13" t="n">
        <v>66300</v>
      </c>
      <c r="E358" s="11">
        <f>IF(SUM(COUNTIFS('Conciliacion de compuestos'!$D$2:$D$48,"conciliado",'Conciliacion de compuestos'!$E$2:$E$48,"OK",'Conciliacion de compuestos'!$J$2:$J$48,A358),COUNTIFS('Conciliacion de compuestos'!$D$2:$D$48,"conciliado",'Conciliacion de compuestos'!$E$2:$E$48,"OK",'Conciliacion de compuestos'!$K$2:$K$48,A358),COUNTIFS('Conciliacion de compuestos'!$D$2:$D$48,"conciliado",'Conciliacion de compuestos'!$E$2:$E$48,"OK",'Conciliacion de compuestos'!$L$2:$L$48,A358))&gt;0,"conciliado en compuesto confirmado","disponible")</f>
        <v/>
      </c>
    </row>
    <row r="359">
      <c r="A359" s="11" t="n">
        <v>362</v>
      </c>
      <c r="B359" s="12" t="n">
        <v>46000</v>
      </c>
      <c r="C359" s="11" t="inlineStr">
        <is>
          <t>cobro comision depositos electronicos</t>
        </is>
      </c>
      <c r="D359" s="13" t="n">
        <v>-1366</v>
      </c>
      <c r="E359" s="11">
        <f>IF(SUM(COUNTIFS('Conciliacion de compuestos'!$D$2:$D$48,"conciliado",'Conciliacion de compuestos'!$E$2:$E$48,"OK",'Conciliacion de compuestos'!$J$2:$J$48,A359),COUNTIFS('Conciliacion de compuestos'!$D$2:$D$48,"conciliado",'Conciliacion de compuestos'!$E$2:$E$48,"OK",'Conciliacion de compuestos'!$K$2:$K$48,A359),COUNTIFS('Conciliacion de compuestos'!$D$2:$D$48,"conciliado",'Conciliacion de compuestos'!$E$2:$E$48,"OK",'Conciliacion de compuestos'!$L$2:$L$48,A359))&gt;0,"conciliado en compuesto confirmado","disponible")</f>
        <v/>
      </c>
    </row>
    <row r="360">
      <c r="A360" s="11" t="n">
        <v>363</v>
      </c>
      <c r="B360" s="12" t="n">
        <v>46000</v>
      </c>
      <c r="C360" s="11" t="inlineStr">
        <is>
          <t>a financiero gravamen movimiento</t>
        </is>
      </c>
      <c r="D360" s="13" t="n">
        <v>-5</v>
      </c>
      <c r="E360" s="11">
        <f>IF(SUM(COUNTIFS('Conciliacion de compuestos'!$D$2:$D$48,"conciliado",'Conciliacion de compuestos'!$E$2:$E$48,"OK",'Conciliacion de compuestos'!$J$2:$J$48,A360),COUNTIFS('Conciliacion de compuestos'!$D$2:$D$48,"conciliado",'Conciliacion de compuestos'!$E$2:$E$48,"OK",'Conciliacion de compuestos'!$K$2:$K$48,A360),COUNTIFS('Conciliacion de compuestos'!$D$2:$D$48,"conciliado",'Conciliacion de compuestos'!$E$2:$E$48,"OK",'Conciliacion de compuestos'!$L$2:$L$48,A360))&gt;0,"conciliado en compuesto confirmado","disponible")</f>
        <v/>
      </c>
    </row>
    <row r="361">
      <c r="A361" s="11" t="n">
        <v>364</v>
      </c>
      <c r="B361" s="12" t="n">
        <v>46000</v>
      </c>
      <c r="C361" s="11" t="inlineStr">
        <is>
          <t>credibanco d e retefuente voucher y</t>
        </is>
      </c>
      <c r="D361" s="13" t="n">
        <v>-995</v>
      </c>
      <c r="E361" s="11">
        <f>IF(SUM(COUNTIFS('Conciliacion de compuestos'!$D$2:$D$48,"conciliado",'Conciliacion de compuestos'!$E$2:$E$48,"OK",'Conciliacion de compuestos'!$J$2:$J$48,A361),COUNTIFS('Conciliacion de compuestos'!$D$2:$D$48,"conciliado",'Conciliacion de compuestos'!$E$2:$E$48,"OK",'Conciliacion de compuestos'!$K$2:$K$48,A361),COUNTIFS('Conciliacion de compuestos'!$D$2:$D$48,"conciliado",'Conciliacion de compuestos'!$E$2:$E$48,"OK",'Conciliacion de compuestos'!$L$2:$L$48,A361))&gt;0,"conciliado en compuesto confirmado","disponible")</f>
        <v/>
      </c>
    </row>
    <row r="362">
      <c r="A362" s="11" t="n">
        <v>365</v>
      </c>
      <c r="B362" s="12" t="n">
        <v>46000</v>
      </c>
      <c r="C362" s="11" t="inlineStr">
        <is>
          <t>a financiero gravamen movimiento</t>
        </is>
      </c>
      <c r="D362" s="13" t="n">
        <v>-4</v>
      </c>
      <c r="E362" s="11">
        <f>IF(SUM(COUNTIFS('Conciliacion de compuestos'!$D$2:$D$48,"conciliado",'Conciliacion de compuestos'!$E$2:$E$48,"OK",'Conciliacion de compuestos'!$J$2:$J$48,A362),COUNTIFS('Conciliacion de compuestos'!$D$2:$D$48,"conciliado",'Conciliacion de compuestos'!$E$2:$E$48,"OK",'Conciliacion de compuestos'!$K$2:$K$48,A362),COUNTIFS('Conciliacion de compuestos'!$D$2:$D$48,"conciliado",'Conciliacion de compuestos'!$E$2:$E$48,"OK",'Conciliacion de compuestos'!$L$2:$L$48,A362))&gt;0,"conciliado en compuesto confirmado","disponible")</f>
        <v/>
      </c>
    </row>
    <row r="363">
      <c r="A363" s="11" t="n">
        <v>366</v>
      </c>
      <c r="B363" s="12" t="n">
        <v>46000</v>
      </c>
      <c r="C363" s="11" t="inlineStr">
        <is>
          <t>consignacion credibanco d e</t>
        </is>
      </c>
      <c r="D363" s="13" t="n">
        <v>30600</v>
      </c>
      <c r="E363" s="11">
        <f>IF(SUM(COUNTIFS('Conciliacion de compuestos'!$D$2:$D$48,"conciliado",'Conciliacion de compuestos'!$E$2:$E$48,"OK",'Conciliacion de compuestos'!$J$2:$J$48,A363),COUNTIFS('Conciliacion de compuestos'!$D$2:$D$48,"conciliado",'Conciliacion de compuestos'!$E$2:$E$48,"OK",'Conciliacion de compuestos'!$K$2:$K$48,A363),COUNTIFS('Conciliacion de compuestos'!$D$2:$D$48,"conciliado",'Conciliacion de compuestos'!$E$2:$E$48,"OK",'Conciliacion de compuestos'!$L$2:$L$48,A363))&gt;0,"conciliado en compuesto confirmado","disponible")</f>
        <v/>
      </c>
    </row>
    <row r="364">
      <c r="A364" s="11" t="n">
        <v>367</v>
      </c>
      <c r="B364" s="12" t="n">
        <v>46000</v>
      </c>
      <c r="C364" s="11" t="inlineStr">
        <is>
          <t>cobro comision depositos electronicos</t>
        </is>
      </c>
      <c r="D364" s="13" t="n">
        <v>-670</v>
      </c>
      <c r="E364" s="11">
        <f>IF(SUM(COUNTIFS('Conciliacion de compuestos'!$D$2:$D$48,"conciliado",'Conciliacion de compuestos'!$E$2:$E$48,"OK",'Conciliacion de compuestos'!$J$2:$J$48,A364),COUNTIFS('Conciliacion de compuestos'!$D$2:$D$48,"conciliado",'Conciliacion de compuestos'!$E$2:$E$48,"OK",'Conciliacion de compuestos'!$K$2:$K$48,A364),COUNTIFS('Conciliacion de compuestos'!$D$2:$D$48,"conciliado",'Conciliacion de compuestos'!$E$2:$E$48,"OK",'Conciliacion de compuestos'!$L$2:$L$48,A364))&gt;0,"conciliado en compuesto confirmado","disponible")</f>
        <v/>
      </c>
    </row>
    <row r="365">
      <c r="A365" s="11" t="n">
        <v>368</v>
      </c>
      <c r="B365" s="12" t="n">
        <v>46000</v>
      </c>
      <c r="C365" s="11" t="inlineStr">
        <is>
          <t>a financiero gravamen movimiento</t>
        </is>
      </c>
      <c r="D365" s="13" t="n">
        <v>-3</v>
      </c>
      <c r="E365" s="11">
        <f>IF(SUM(COUNTIFS('Conciliacion de compuestos'!$D$2:$D$48,"conciliado",'Conciliacion de compuestos'!$E$2:$E$48,"OK",'Conciliacion de compuestos'!$J$2:$J$48,A365),COUNTIFS('Conciliacion de compuestos'!$D$2:$D$48,"conciliado",'Conciliacion de compuestos'!$E$2:$E$48,"OK",'Conciliacion de compuestos'!$K$2:$K$48,A365),COUNTIFS('Conciliacion de compuestos'!$D$2:$D$48,"conciliado",'Conciliacion de compuestos'!$E$2:$E$48,"OK",'Conciliacion de compuestos'!$L$2:$L$48,A365))&gt;0,"conciliado en compuesto confirmado","disponible")</f>
        <v/>
      </c>
    </row>
    <row r="366">
      <c r="A366" s="11" t="n">
        <v>369</v>
      </c>
      <c r="B366" s="12" t="n">
        <v>46000</v>
      </c>
      <c r="C366" s="11" t="inlineStr">
        <is>
          <t>credibanco d e retefuente voucher y</t>
        </is>
      </c>
      <c r="D366" s="13" t="n">
        <v>-459</v>
      </c>
      <c r="E366" s="11">
        <f>IF(SUM(COUNTIFS('Conciliacion de compuestos'!$D$2:$D$48,"conciliado",'Conciliacion de compuestos'!$E$2:$E$48,"OK",'Conciliacion de compuestos'!$J$2:$J$48,A366),COUNTIFS('Conciliacion de compuestos'!$D$2:$D$48,"conciliado",'Conciliacion de compuestos'!$E$2:$E$48,"OK",'Conciliacion de compuestos'!$K$2:$K$48,A366),COUNTIFS('Conciliacion de compuestos'!$D$2:$D$48,"conciliado",'Conciliacion de compuestos'!$E$2:$E$48,"OK",'Conciliacion de compuestos'!$L$2:$L$48,A366))&gt;0,"conciliado en compuesto confirmado","disponible")</f>
        <v/>
      </c>
    </row>
    <row r="367">
      <c r="A367" s="11" t="n">
        <v>370</v>
      </c>
      <c r="B367" s="12" t="n">
        <v>46000</v>
      </c>
      <c r="C367" s="11" t="inlineStr">
        <is>
          <t>a financiero gravamen movimiento</t>
        </is>
      </c>
      <c r="D367" s="13" t="n">
        <v>-2</v>
      </c>
      <c r="E367" s="11">
        <f>IF(SUM(COUNTIFS('Conciliacion de compuestos'!$D$2:$D$48,"conciliado",'Conciliacion de compuestos'!$E$2:$E$48,"OK",'Conciliacion de compuestos'!$J$2:$J$48,A367),COUNTIFS('Conciliacion de compuestos'!$D$2:$D$48,"conciliado",'Conciliacion de compuestos'!$E$2:$E$48,"OK",'Conciliacion de compuestos'!$K$2:$K$48,A367),COUNTIFS('Conciliacion de compuestos'!$D$2:$D$48,"conciliado",'Conciliacion de compuestos'!$E$2:$E$48,"OK",'Conciliacion de compuestos'!$L$2:$L$48,A367))&gt;0,"conciliado en compuesto confirmado","disponible")</f>
        <v/>
      </c>
    </row>
    <row r="368">
      <c r="A368" s="11" t="n">
        <v>371</v>
      </c>
      <c r="B368" s="12" t="n">
        <v>46000</v>
      </c>
      <c r="C368" s="11" t="inlineStr">
        <is>
          <t>consignacion credibanco d e</t>
        </is>
      </c>
      <c r="D368" s="13" t="n">
        <v>57415</v>
      </c>
      <c r="E368" s="11">
        <f>IF(SUM(COUNTIFS('Conciliacion de compuestos'!$D$2:$D$48,"conciliado",'Conciliacion de compuestos'!$E$2:$E$48,"OK",'Conciliacion de compuestos'!$J$2:$J$48,A368),COUNTIFS('Conciliacion de compuestos'!$D$2:$D$48,"conciliado",'Conciliacion de compuestos'!$E$2:$E$48,"OK",'Conciliacion de compuestos'!$K$2:$K$48,A368),COUNTIFS('Conciliacion de compuestos'!$D$2:$D$48,"conciliado",'Conciliacion de compuestos'!$E$2:$E$48,"OK",'Conciliacion de compuestos'!$L$2:$L$48,A368))&gt;0,"conciliado en compuesto confirmado","disponible")</f>
        <v/>
      </c>
    </row>
    <row r="369">
      <c r="A369" s="11" t="n">
        <v>372</v>
      </c>
      <c r="B369" s="12" t="n">
        <v>46000</v>
      </c>
      <c r="C369" s="11" t="inlineStr">
        <is>
          <t>cobro comision depositos electronicos</t>
        </is>
      </c>
      <c r="D369" s="13" t="n">
        <v>-465</v>
      </c>
      <c r="E369" s="11">
        <f>IF(SUM(COUNTIFS('Conciliacion de compuestos'!$D$2:$D$48,"conciliado",'Conciliacion de compuestos'!$E$2:$E$48,"OK",'Conciliacion de compuestos'!$J$2:$J$48,A369),COUNTIFS('Conciliacion de compuestos'!$D$2:$D$48,"conciliado",'Conciliacion de compuestos'!$E$2:$E$48,"OK",'Conciliacion de compuestos'!$K$2:$K$48,A369),COUNTIFS('Conciliacion de compuestos'!$D$2:$D$48,"conciliado",'Conciliacion de compuestos'!$E$2:$E$48,"OK",'Conciliacion de compuestos'!$L$2:$L$48,A369))&gt;0,"conciliado en compuesto confirmado","disponible")</f>
        <v/>
      </c>
    </row>
    <row r="370">
      <c r="A370" s="11" t="n">
        <v>373</v>
      </c>
      <c r="B370" s="12" t="n">
        <v>46000</v>
      </c>
      <c r="C370" s="11" t="inlineStr">
        <is>
          <t>a financiero gravamen movimiento</t>
        </is>
      </c>
      <c r="D370" s="13" t="n">
        <v>-2</v>
      </c>
      <c r="E370" s="11">
        <f>IF(SUM(COUNTIFS('Conciliacion de compuestos'!$D$2:$D$48,"conciliado",'Conciliacion de compuestos'!$E$2:$E$48,"OK",'Conciliacion de compuestos'!$J$2:$J$48,A370),COUNTIFS('Conciliacion de compuestos'!$D$2:$D$48,"conciliado",'Conciliacion de compuestos'!$E$2:$E$48,"OK",'Conciliacion de compuestos'!$K$2:$K$48,A370),COUNTIFS('Conciliacion de compuestos'!$D$2:$D$48,"conciliado",'Conciliacion de compuestos'!$E$2:$E$48,"OK",'Conciliacion de compuestos'!$L$2:$L$48,A370))&gt;0,"conciliado en compuesto confirmado","disponible")</f>
        <v/>
      </c>
    </row>
    <row r="371">
      <c r="A371" s="11" t="n">
        <v>374</v>
      </c>
      <c r="B371" s="12" t="n">
        <v>46000</v>
      </c>
      <c r="C371" s="11" t="inlineStr">
        <is>
          <t>credibanco d e retefuente voucher y</t>
        </is>
      </c>
      <c r="D371" s="13" t="n">
        <v>-861</v>
      </c>
      <c r="E371" s="11">
        <f>IF(SUM(COUNTIFS('Conciliacion de compuestos'!$D$2:$D$48,"conciliado",'Conciliacion de compuestos'!$E$2:$E$48,"OK",'Conciliacion de compuestos'!$J$2:$J$48,A371),COUNTIFS('Conciliacion de compuestos'!$D$2:$D$48,"conciliado",'Conciliacion de compuestos'!$E$2:$E$48,"OK",'Conciliacion de compuestos'!$K$2:$K$48,A371),COUNTIFS('Conciliacion de compuestos'!$D$2:$D$48,"conciliado",'Conciliacion de compuestos'!$E$2:$E$48,"OK",'Conciliacion de compuestos'!$L$2:$L$48,A371))&gt;0,"conciliado en compuesto confirmado","disponible")</f>
        <v/>
      </c>
    </row>
    <row r="372">
      <c r="A372" s="11" t="n">
        <v>375</v>
      </c>
      <c r="B372" s="12" t="n">
        <v>46000</v>
      </c>
      <c r="C372" s="11" t="inlineStr">
        <is>
          <t>a financiero gravamen movimiento</t>
        </is>
      </c>
      <c r="D372" s="13" t="n">
        <v>-3</v>
      </c>
      <c r="E372" s="11">
        <f>IF(SUM(COUNTIFS('Conciliacion de compuestos'!$D$2:$D$48,"conciliado",'Conciliacion de compuestos'!$E$2:$E$48,"OK",'Conciliacion de compuestos'!$J$2:$J$48,A372),COUNTIFS('Conciliacion de compuestos'!$D$2:$D$48,"conciliado",'Conciliacion de compuestos'!$E$2:$E$48,"OK",'Conciliacion de compuestos'!$K$2:$K$48,A372),COUNTIFS('Conciliacion de compuestos'!$D$2:$D$48,"conciliado",'Conciliacion de compuestos'!$E$2:$E$48,"OK",'Conciliacion de compuestos'!$L$2:$L$48,A372))&gt;0,"conciliado en compuesto confirmado","disponible")</f>
        <v/>
      </c>
    </row>
    <row r="373">
      <c r="A373" s="11" t="n">
        <v>376</v>
      </c>
      <c r="B373" s="12" t="n">
        <v>46000</v>
      </c>
      <c r="C373" s="11" t="inlineStr">
        <is>
          <t>consignacion credibanco d e</t>
        </is>
      </c>
      <c r="D373" s="13" t="n">
        <v>222700</v>
      </c>
      <c r="E373" s="11">
        <f>IF(SUM(COUNTIFS('Conciliacion de compuestos'!$D$2:$D$48,"conciliado",'Conciliacion de compuestos'!$E$2:$E$48,"OK",'Conciliacion de compuestos'!$J$2:$J$48,A373),COUNTIFS('Conciliacion de compuestos'!$D$2:$D$48,"conciliado",'Conciliacion de compuestos'!$E$2:$E$48,"OK",'Conciliacion de compuestos'!$K$2:$K$48,A373),COUNTIFS('Conciliacion de compuestos'!$D$2:$D$48,"conciliado",'Conciliacion de compuestos'!$E$2:$E$48,"OK",'Conciliacion de compuestos'!$L$2:$L$48,A373))&gt;0,"conciliado en compuesto confirmado","disponible")</f>
        <v/>
      </c>
    </row>
    <row r="374">
      <c r="A374" s="11" t="n">
        <v>377</v>
      </c>
      <c r="B374" s="12" t="n">
        <v>46000</v>
      </c>
      <c r="C374" s="11" t="inlineStr">
        <is>
          <t>cobro comision depositos electronicos</t>
        </is>
      </c>
      <c r="D374" s="13" t="n">
        <v>-4810</v>
      </c>
      <c r="E374" s="11">
        <f>IF(SUM(COUNTIFS('Conciliacion de compuestos'!$D$2:$D$48,"conciliado",'Conciliacion de compuestos'!$E$2:$E$48,"OK",'Conciliacion de compuestos'!$J$2:$J$48,A374),COUNTIFS('Conciliacion de compuestos'!$D$2:$D$48,"conciliado",'Conciliacion de compuestos'!$E$2:$E$48,"OK",'Conciliacion de compuestos'!$K$2:$K$48,A374),COUNTIFS('Conciliacion de compuestos'!$D$2:$D$48,"conciliado",'Conciliacion de compuestos'!$E$2:$E$48,"OK",'Conciliacion de compuestos'!$L$2:$L$48,A374))&gt;0,"conciliado en compuesto confirmado","disponible")</f>
        <v/>
      </c>
    </row>
    <row r="375">
      <c r="A375" s="11" t="n">
        <v>378</v>
      </c>
      <c r="B375" s="12" t="n">
        <v>46000</v>
      </c>
      <c r="C375" s="11" t="inlineStr">
        <is>
          <t>a financiero gravamen movimiento</t>
        </is>
      </c>
      <c r="D375" s="13" t="n">
        <v>-19</v>
      </c>
      <c r="E375" s="11">
        <f>IF(SUM(COUNTIFS('Conciliacion de compuestos'!$D$2:$D$48,"conciliado",'Conciliacion de compuestos'!$E$2:$E$48,"OK",'Conciliacion de compuestos'!$J$2:$J$48,A375),COUNTIFS('Conciliacion de compuestos'!$D$2:$D$48,"conciliado",'Conciliacion de compuestos'!$E$2:$E$48,"OK",'Conciliacion de compuestos'!$K$2:$K$48,A375),COUNTIFS('Conciliacion de compuestos'!$D$2:$D$48,"conciliado",'Conciliacion de compuestos'!$E$2:$E$48,"OK",'Conciliacion de compuestos'!$L$2:$L$48,A375))&gt;0,"conciliado en compuesto confirmado","disponible")</f>
        <v/>
      </c>
    </row>
    <row r="376">
      <c r="A376" s="11" t="n">
        <v>379</v>
      </c>
      <c r="B376" s="12" t="n">
        <v>46000</v>
      </c>
      <c r="C376" s="11" t="inlineStr">
        <is>
          <t>credibanco d e retefuente voucher y</t>
        </is>
      </c>
      <c r="D376" s="13" t="n">
        <v>-3341</v>
      </c>
      <c r="E376" s="11">
        <f>IF(SUM(COUNTIFS('Conciliacion de compuestos'!$D$2:$D$48,"conciliado",'Conciliacion de compuestos'!$E$2:$E$48,"OK",'Conciliacion de compuestos'!$J$2:$J$48,A376),COUNTIFS('Conciliacion de compuestos'!$D$2:$D$48,"conciliado",'Conciliacion de compuestos'!$E$2:$E$48,"OK",'Conciliacion de compuestos'!$K$2:$K$48,A376),COUNTIFS('Conciliacion de compuestos'!$D$2:$D$48,"conciliado",'Conciliacion de compuestos'!$E$2:$E$48,"OK",'Conciliacion de compuestos'!$L$2:$L$48,A376))&gt;0,"conciliado en compuesto confirmado","disponible")</f>
        <v/>
      </c>
    </row>
    <row r="377">
      <c r="A377" s="11" t="n">
        <v>380</v>
      </c>
      <c r="B377" s="12" t="n">
        <v>46000</v>
      </c>
      <c r="C377" s="11" t="inlineStr">
        <is>
          <t>a financiero gravamen movimiento</t>
        </is>
      </c>
      <c r="D377" s="13" t="n">
        <v>-13</v>
      </c>
      <c r="E377" s="11">
        <f>IF(SUM(COUNTIFS('Conciliacion de compuestos'!$D$2:$D$48,"conciliado",'Conciliacion de compuestos'!$E$2:$E$48,"OK",'Conciliacion de compuestos'!$J$2:$J$48,A377),COUNTIFS('Conciliacion de compuestos'!$D$2:$D$48,"conciliado",'Conciliacion de compuestos'!$E$2:$E$48,"OK",'Conciliacion de compuestos'!$K$2:$K$48,A377),COUNTIFS('Conciliacion de compuestos'!$D$2:$D$48,"conciliado",'Conciliacion de compuestos'!$E$2:$E$48,"OK",'Conciliacion de compuestos'!$L$2:$L$48,A377))&gt;0,"conciliado en compuesto confirmado","disponible")</f>
        <v/>
      </c>
    </row>
    <row r="378">
      <c r="A378" s="11" t="n">
        <v>382</v>
      </c>
      <c r="B378" s="12" t="n">
        <v>46000</v>
      </c>
      <c r="C378" s="11" t="inlineStr">
        <is>
          <t>cobro comision depositos electronicos</t>
        </is>
      </c>
      <c r="D378" s="13" t="n">
        <v>-432</v>
      </c>
      <c r="E378" s="11">
        <f>IF(SUM(COUNTIFS('Conciliacion de compuestos'!$D$2:$D$48,"conciliado",'Conciliacion de compuestos'!$E$2:$E$48,"OK",'Conciliacion de compuestos'!$J$2:$J$48,A378),COUNTIFS('Conciliacion de compuestos'!$D$2:$D$48,"conciliado",'Conciliacion de compuestos'!$E$2:$E$48,"OK",'Conciliacion de compuestos'!$K$2:$K$48,A378),COUNTIFS('Conciliacion de compuestos'!$D$2:$D$48,"conciliado",'Conciliacion de compuestos'!$E$2:$E$48,"OK",'Conciliacion de compuestos'!$L$2:$L$48,A378))&gt;0,"conciliado en compuesto confirmado","disponible")</f>
        <v/>
      </c>
    </row>
    <row r="379">
      <c r="A379" s="11" t="n">
        <v>383</v>
      </c>
      <c r="B379" s="12" t="n">
        <v>46000</v>
      </c>
      <c r="C379" s="11" t="inlineStr">
        <is>
          <t>a financiero gravamen movimiento</t>
        </is>
      </c>
      <c r="D379" s="13" t="n">
        <v>-2</v>
      </c>
      <c r="E379" s="11">
        <f>IF(SUM(COUNTIFS('Conciliacion de compuestos'!$D$2:$D$48,"conciliado",'Conciliacion de compuestos'!$E$2:$E$48,"OK",'Conciliacion de compuestos'!$J$2:$J$48,A379),COUNTIFS('Conciliacion de compuestos'!$D$2:$D$48,"conciliado",'Conciliacion de compuestos'!$E$2:$E$48,"OK",'Conciliacion de compuestos'!$K$2:$K$48,A379),COUNTIFS('Conciliacion de compuestos'!$D$2:$D$48,"conciliado",'Conciliacion de compuestos'!$E$2:$E$48,"OK",'Conciliacion de compuestos'!$L$2:$L$48,A379))&gt;0,"conciliado en compuesto confirmado","disponible")</f>
        <v/>
      </c>
    </row>
    <row r="380">
      <c r="A380" s="11" t="n">
        <v>384</v>
      </c>
      <c r="B380" s="12" t="n">
        <v>46000</v>
      </c>
      <c r="C380" s="11" t="inlineStr">
        <is>
          <t>credibanco d e retefuente voucher y</t>
        </is>
      </c>
      <c r="D380" s="13" t="n">
        <v>-300</v>
      </c>
      <c r="E380" s="11">
        <f>IF(SUM(COUNTIFS('Conciliacion de compuestos'!$D$2:$D$48,"conciliado",'Conciliacion de compuestos'!$E$2:$E$48,"OK",'Conciliacion de compuestos'!$J$2:$J$48,A380),COUNTIFS('Conciliacion de compuestos'!$D$2:$D$48,"conciliado",'Conciliacion de compuestos'!$E$2:$E$48,"OK",'Conciliacion de compuestos'!$K$2:$K$48,A380),COUNTIFS('Conciliacion de compuestos'!$D$2:$D$48,"conciliado",'Conciliacion de compuestos'!$E$2:$E$48,"OK",'Conciliacion de compuestos'!$L$2:$L$48,A380))&gt;0,"conciliado en compuesto confirmado","disponible")</f>
        <v/>
      </c>
    </row>
    <row r="381">
      <c r="A381" s="11" t="n">
        <v>385</v>
      </c>
      <c r="B381" s="12" t="n">
        <v>46000</v>
      </c>
      <c r="C381" s="11" t="inlineStr">
        <is>
          <t>a financiero gravamen movimiento</t>
        </is>
      </c>
      <c r="D381" s="13" t="n">
        <v>-1</v>
      </c>
      <c r="E381" s="11">
        <f>IF(SUM(COUNTIFS('Conciliacion de compuestos'!$D$2:$D$48,"conciliado",'Conciliacion de compuestos'!$E$2:$E$48,"OK",'Conciliacion de compuestos'!$J$2:$J$48,A381),COUNTIFS('Conciliacion de compuestos'!$D$2:$D$48,"conciliado",'Conciliacion de compuestos'!$E$2:$E$48,"OK",'Conciliacion de compuestos'!$K$2:$K$48,A381),COUNTIFS('Conciliacion de compuestos'!$D$2:$D$48,"conciliado",'Conciliacion de compuestos'!$E$2:$E$48,"OK",'Conciliacion de compuestos'!$L$2:$L$48,A381))&gt;0,"conciliado en compuesto confirmado","disponible")</f>
        <v/>
      </c>
    </row>
    <row r="382">
      <c r="A382" s="11" t="n">
        <v>386</v>
      </c>
      <c r="B382" s="12" t="n">
        <v>46000</v>
      </c>
      <c r="C382" s="11" t="inlineStr">
        <is>
          <t>consignacion credibanco d e</t>
        </is>
      </c>
      <c r="D382" s="13" t="n">
        <v>85800</v>
      </c>
      <c r="E382" s="11">
        <f>IF(SUM(COUNTIFS('Conciliacion de compuestos'!$D$2:$D$48,"conciliado",'Conciliacion de compuestos'!$E$2:$E$48,"OK",'Conciliacion de compuestos'!$J$2:$J$48,A382),COUNTIFS('Conciliacion de compuestos'!$D$2:$D$48,"conciliado",'Conciliacion de compuestos'!$E$2:$E$48,"OK",'Conciliacion de compuestos'!$K$2:$K$48,A382),COUNTIFS('Conciliacion de compuestos'!$D$2:$D$48,"conciliado",'Conciliacion de compuestos'!$E$2:$E$48,"OK",'Conciliacion de compuestos'!$L$2:$L$48,A382))&gt;0,"conciliado en compuesto confirmado","disponible")</f>
        <v/>
      </c>
    </row>
    <row r="383">
      <c r="A383" s="11" t="n">
        <v>387</v>
      </c>
      <c r="B383" s="12" t="n">
        <v>46000</v>
      </c>
      <c r="C383" s="11" t="inlineStr">
        <is>
          <t>cobro comision depositos electronicos</t>
        </is>
      </c>
      <c r="D383" s="13" t="n">
        <v>-1853</v>
      </c>
      <c r="E383" s="11">
        <f>IF(SUM(COUNTIFS('Conciliacion de compuestos'!$D$2:$D$48,"conciliado",'Conciliacion de compuestos'!$E$2:$E$48,"OK",'Conciliacion de compuestos'!$J$2:$J$48,A383),COUNTIFS('Conciliacion de compuestos'!$D$2:$D$48,"conciliado",'Conciliacion de compuestos'!$E$2:$E$48,"OK",'Conciliacion de compuestos'!$K$2:$K$48,A383),COUNTIFS('Conciliacion de compuestos'!$D$2:$D$48,"conciliado",'Conciliacion de compuestos'!$E$2:$E$48,"OK",'Conciliacion de compuestos'!$L$2:$L$48,A383))&gt;0,"conciliado en compuesto confirmado","disponible")</f>
        <v/>
      </c>
    </row>
    <row r="384">
      <c r="A384" s="11" t="n">
        <v>388</v>
      </c>
      <c r="B384" s="12" t="n">
        <v>46000</v>
      </c>
      <c r="C384" s="11" t="inlineStr">
        <is>
          <t>a financiero gravamen movimiento</t>
        </is>
      </c>
      <c r="D384" s="13" t="n">
        <v>-7</v>
      </c>
      <c r="E384" s="11">
        <f>IF(SUM(COUNTIFS('Conciliacion de compuestos'!$D$2:$D$48,"conciliado",'Conciliacion de compuestos'!$E$2:$E$48,"OK",'Conciliacion de compuestos'!$J$2:$J$48,A384),COUNTIFS('Conciliacion de compuestos'!$D$2:$D$48,"conciliado",'Conciliacion de compuestos'!$E$2:$E$48,"OK",'Conciliacion de compuestos'!$K$2:$K$48,A384),COUNTIFS('Conciliacion de compuestos'!$D$2:$D$48,"conciliado",'Conciliacion de compuestos'!$E$2:$E$48,"OK",'Conciliacion de compuestos'!$L$2:$L$48,A384))&gt;0,"conciliado en compuesto confirmado","disponible")</f>
        <v/>
      </c>
    </row>
    <row r="385">
      <c r="A385" s="11" t="n">
        <v>389</v>
      </c>
      <c r="B385" s="12" t="n">
        <v>46000</v>
      </c>
      <c r="C385" s="11" t="inlineStr">
        <is>
          <t>credibanco d e retefuente voucher y</t>
        </is>
      </c>
      <c r="D385" s="13" t="n">
        <v>-1287</v>
      </c>
      <c r="E385" s="11">
        <f>IF(SUM(COUNTIFS('Conciliacion de compuestos'!$D$2:$D$48,"conciliado",'Conciliacion de compuestos'!$E$2:$E$48,"OK",'Conciliacion de compuestos'!$J$2:$J$48,A385),COUNTIFS('Conciliacion de compuestos'!$D$2:$D$48,"conciliado",'Conciliacion de compuestos'!$E$2:$E$48,"OK",'Conciliacion de compuestos'!$K$2:$K$48,A385),COUNTIFS('Conciliacion de compuestos'!$D$2:$D$48,"conciliado",'Conciliacion de compuestos'!$E$2:$E$48,"OK",'Conciliacion de compuestos'!$L$2:$L$48,A385))&gt;0,"conciliado en compuesto confirmado","disponible")</f>
        <v/>
      </c>
    </row>
    <row r="386">
      <c r="A386" s="11" t="n">
        <v>390</v>
      </c>
      <c r="B386" s="12" t="n">
        <v>46000</v>
      </c>
      <c r="C386" s="11" t="inlineStr">
        <is>
          <t>a financiero gravamen movimiento</t>
        </is>
      </c>
      <c r="D386" s="13" t="n">
        <v>-5</v>
      </c>
      <c r="E386" s="11">
        <f>IF(SUM(COUNTIFS('Conciliacion de compuestos'!$D$2:$D$48,"conciliado",'Conciliacion de compuestos'!$E$2:$E$48,"OK",'Conciliacion de compuestos'!$J$2:$J$48,A386),COUNTIFS('Conciliacion de compuestos'!$D$2:$D$48,"conciliado",'Conciliacion de compuestos'!$E$2:$E$48,"OK",'Conciliacion de compuestos'!$K$2:$K$48,A386),COUNTIFS('Conciliacion de compuestos'!$D$2:$D$48,"conciliado",'Conciliacion de compuestos'!$E$2:$E$48,"OK",'Conciliacion de compuestos'!$L$2:$L$48,A386))&gt;0,"conciliado en compuesto confirmado","disponible")</f>
        <v/>
      </c>
    </row>
    <row r="387">
      <c r="A387" s="11" t="n">
        <v>391</v>
      </c>
      <c r="B387" s="12" t="n">
        <v>46000</v>
      </c>
      <c r="C387" s="11" t="inlineStr">
        <is>
          <t>consignacion credibanco d e</t>
        </is>
      </c>
      <c r="D387" s="13" t="n">
        <v>40000</v>
      </c>
      <c r="E387" s="11">
        <f>IF(SUM(COUNTIFS('Conciliacion de compuestos'!$D$2:$D$48,"conciliado",'Conciliacion de compuestos'!$E$2:$E$48,"OK",'Conciliacion de compuestos'!$J$2:$J$48,A387),COUNTIFS('Conciliacion de compuestos'!$D$2:$D$48,"conciliado",'Conciliacion de compuestos'!$E$2:$E$48,"OK",'Conciliacion de compuestos'!$K$2:$K$48,A387),COUNTIFS('Conciliacion de compuestos'!$D$2:$D$48,"conciliado",'Conciliacion de compuestos'!$E$2:$E$48,"OK",'Conciliacion de compuestos'!$L$2:$L$48,A387))&gt;0,"conciliado en compuesto confirmado","disponible")</f>
        <v/>
      </c>
    </row>
    <row r="388">
      <c r="A388" s="11" t="n">
        <v>392</v>
      </c>
      <c r="B388" s="12" t="n">
        <v>46000</v>
      </c>
      <c r="C388" s="11" t="inlineStr">
        <is>
          <t>cobro comision depositos electronicos</t>
        </is>
      </c>
      <c r="D388" s="13" t="n">
        <v>-864</v>
      </c>
      <c r="E388" s="11">
        <f>IF(SUM(COUNTIFS('Conciliacion de compuestos'!$D$2:$D$48,"conciliado",'Conciliacion de compuestos'!$E$2:$E$48,"OK",'Conciliacion de compuestos'!$J$2:$J$48,A388),COUNTIFS('Conciliacion de compuestos'!$D$2:$D$48,"conciliado",'Conciliacion de compuestos'!$E$2:$E$48,"OK",'Conciliacion de compuestos'!$K$2:$K$48,A388),COUNTIFS('Conciliacion de compuestos'!$D$2:$D$48,"conciliado",'Conciliacion de compuestos'!$E$2:$E$48,"OK",'Conciliacion de compuestos'!$L$2:$L$48,A388))&gt;0,"conciliado en compuesto confirmado","disponible")</f>
        <v/>
      </c>
    </row>
    <row r="389">
      <c r="A389" s="11" t="n">
        <v>393</v>
      </c>
      <c r="B389" s="12" t="n">
        <v>46000</v>
      </c>
      <c r="C389" s="11" t="inlineStr">
        <is>
          <t>a financiero gravamen movimiento</t>
        </is>
      </c>
      <c r="D389" s="13" t="n">
        <v>-3</v>
      </c>
      <c r="E389" s="11">
        <f>IF(SUM(COUNTIFS('Conciliacion de compuestos'!$D$2:$D$48,"conciliado",'Conciliacion de compuestos'!$E$2:$E$48,"OK",'Conciliacion de compuestos'!$J$2:$J$48,A389),COUNTIFS('Conciliacion de compuestos'!$D$2:$D$48,"conciliado",'Conciliacion de compuestos'!$E$2:$E$48,"OK",'Conciliacion de compuestos'!$K$2:$K$48,A389),COUNTIFS('Conciliacion de compuestos'!$D$2:$D$48,"conciliado",'Conciliacion de compuestos'!$E$2:$E$48,"OK",'Conciliacion de compuestos'!$L$2:$L$48,A389))&gt;0,"conciliado en compuesto confirmado","disponible")</f>
        <v/>
      </c>
    </row>
    <row r="390">
      <c r="A390" s="11" t="n">
        <v>394</v>
      </c>
      <c r="B390" s="12" t="n">
        <v>46000</v>
      </c>
      <c r="C390" s="11" t="inlineStr">
        <is>
          <t>credibanco d e retefuente voucher y</t>
        </is>
      </c>
      <c r="D390" s="13" t="n">
        <v>-600</v>
      </c>
      <c r="E390" s="11">
        <f>IF(SUM(COUNTIFS('Conciliacion de compuestos'!$D$2:$D$48,"conciliado",'Conciliacion de compuestos'!$E$2:$E$48,"OK",'Conciliacion de compuestos'!$J$2:$J$48,A390),COUNTIFS('Conciliacion de compuestos'!$D$2:$D$48,"conciliado",'Conciliacion de compuestos'!$E$2:$E$48,"OK",'Conciliacion de compuestos'!$K$2:$K$48,A390),COUNTIFS('Conciliacion de compuestos'!$D$2:$D$48,"conciliado",'Conciliacion de compuestos'!$E$2:$E$48,"OK",'Conciliacion de compuestos'!$L$2:$L$48,A390))&gt;0,"conciliado en compuesto confirmado","disponible")</f>
        <v/>
      </c>
    </row>
    <row r="391">
      <c r="A391" s="11" t="n">
        <v>395</v>
      </c>
      <c r="B391" s="12" t="n">
        <v>46000</v>
      </c>
      <c r="C391" s="11" t="inlineStr">
        <is>
          <t>a financiero gravamen movimiento</t>
        </is>
      </c>
      <c r="D391" s="13" t="n">
        <v>-2</v>
      </c>
      <c r="E391" s="11">
        <f>IF(SUM(COUNTIFS('Conciliacion de compuestos'!$D$2:$D$48,"conciliado",'Conciliacion de compuestos'!$E$2:$E$48,"OK",'Conciliacion de compuestos'!$J$2:$J$48,A391),COUNTIFS('Conciliacion de compuestos'!$D$2:$D$48,"conciliado",'Conciliacion de compuestos'!$E$2:$E$48,"OK",'Conciliacion de compuestos'!$K$2:$K$48,A391),COUNTIFS('Conciliacion de compuestos'!$D$2:$D$48,"conciliado",'Conciliacion de compuestos'!$E$2:$E$48,"OK",'Conciliacion de compuestos'!$L$2:$L$48,A391))&gt;0,"conciliado en compuesto confirmado","disponible")</f>
        <v/>
      </c>
    </row>
    <row r="392">
      <c r="A392" s="11" t="n">
        <v>396</v>
      </c>
      <c r="B392" s="12" t="n">
        <v>46000</v>
      </c>
      <c r="C392" s="11" t="inlineStr">
        <is>
          <t>consignacion credibanco d e</t>
        </is>
      </c>
      <c r="D392" s="13" t="n">
        <v>39000</v>
      </c>
      <c r="E392" s="11">
        <f>IF(SUM(COUNTIFS('Conciliacion de compuestos'!$D$2:$D$48,"conciliado",'Conciliacion de compuestos'!$E$2:$E$48,"OK",'Conciliacion de compuestos'!$J$2:$J$48,A392),COUNTIFS('Conciliacion de compuestos'!$D$2:$D$48,"conciliado",'Conciliacion de compuestos'!$E$2:$E$48,"OK",'Conciliacion de compuestos'!$K$2:$K$48,A392),COUNTIFS('Conciliacion de compuestos'!$D$2:$D$48,"conciliado",'Conciliacion de compuestos'!$E$2:$E$48,"OK",'Conciliacion de compuestos'!$L$2:$L$48,A392))&gt;0,"conciliado en compuesto confirmado","disponible")</f>
        <v/>
      </c>
    </row>
    <row r="393">
      <c r="A393" s="11" t="n">
        <v>397</v>
      </c>
      <c r="B393" s="12" t="n">
        <v>46000</v>
      </c>
      <c r="C393" s="11" t="inlineStr">
        <is>
          <t>cobro comision depositos electronicos</t>
        </is>
      </c>
      <c r="D393" s="13" t="n">
        <v>-854</v>
      </c>
      <c r="E393" s="11">
        <f>IF(SUM(COUNTIFS('Conciliacion de compuestos'!$D$2:$D$48,"conciliado",'Conciliacion de compuestos'!$E$2:$E$48,"OK",'Conciliacion de compuestos'!$J$2:$J$48,A393),COUNTIFS('Conciliacion de compuestos'!$D$2:$D$48,"conciliado",'Conciliacion de compuestos'!$E$2:$E$48,"OK",'Conciliacion de compuestos'!$K$2:$K$48,A393),COUNTIFS('Conciliacion de compuestos'!$D$2:$D$48,"conciliado",'Conciliacion de compuestos'!$E$2:$E$48,"OK",'Conciliacion de compuestos'!$L$2:$L$48,A393))&gt;0,"conciliado en compuesto confirmado","disponible")</f>
        <v/>
      </c>
    </row>
    <row r="394">
      <c r="A394" s="11" t="n">
        <v>398</v>
      </c>
      <c r="B394" s="12" t="n">
        <v>46000</v>
      </c>
      <c r="C394" s="11" t="inlineStr">
        <is>
          <t>a financiero gravamen movimiento</t>
        </is>
      </c>
      <c r="D394" s="13" t="n">
        <v>-3</v>
      </c>
      <c r="E394" s="11">
        <f>IF(SUM(COUNTIFS('Conciliacion de compuestos'!$D$2:$D$48,"conciliado",'Conciliacion de compuestos'!$E$2:$E$48,"OK",'Conciliacion de compuestos'!$J$2:$J$48,A394),COUNTIFS('Conciliacion de compuestos'!$D$2:$D$48,"conciliado",'Conciliacion de compuestos'!$E$2:$E$48,"OK",'Conciliacion de compuestos'!$K$2:$K$48,A394),COUNTIFS('Conciliacion de compuestos'!$D$2:$D$48,"conciliado",'Conciliacion de compuestos'!$E$2:$E$48,"OK",'Conciliacion de compuestos'!$L$2:$L$48,A394))&gt;0,"conciliado en compuesto confirmado","disponible")</f>
        <v/>
      </c>
    </row>
    <row r="395">
      <c r="A395" s="11" t="n">
        <v>399</v>
      </c>
      <c r="B395" s="12" t="n">
        <v>46000</v>
      </c>
      <c r="C395" s="11" t="inlineStr">
        <is>
          <t>credibanco d e retefuente voucher y</t>
        </is>
      </c>
      <c r="D395" s="13" t="n">
        <v>-585</v>
      </c>
      <c r="E395" s="11">
        <f>IF(SUM(COUNTIFS('Conciliacion de compuestos'!$D$2:$D$48,"conciliado",'Conciliacion de compuestos'!$E$2:$E$48,"OK",'Conciliacion de compuestos'!$J$2:$J$48,A395),COUNTIFS('Conciliacion de compuestos'!$D$2:$D$48,"conciliado",'Conciliacion de compuestos'!$E$2:$E$48,"OK",'Conciliacion de compuestos'!$K$2:$K$48,A395),COUNTIFS('Conciliacion de compuestos'!$D$2:$D$48,"conciliado",'Conciliacion de compuestos'!$E$2:$E$48,"OK",'Conciliacion de compuestos'!$L$2:$L$48,A395))&gt;0,"conciliado en compuesto confirmado","disponible")</f>
        <v/>
      </c>
    </row>
    <row r="396">
      <c r="A396" s="11" t="n">
        <v>400</v>
      </c>
      <c r="B396" s="12" t="n">
        <v>46000</v>
      </c>
      <c r="C396" s="11" t="inlineStr">
        <is>
          <t>a financiero gravamen movimiento</t>
        </is>
      </c>
      <c r="D396" s="13" t="n">
        <v>-2</v>
      </c>
      <c r="E396" s="11">
        <f>IF(SUM(COUNTIFS('Conciliacion de compuestos'!$D$2:$D$48,"conciliado",'Conciliacion de compuestos'!$E$2:$E$48,"OK",'Conciliacion de compuestos'!$J$2:$J$48,A396),COUNTIFS('Conciliacion de compuestos'!$D$2:$D$48,"conciliado",'Conciliacion de compuestos'!$E$2:$E$48,"OK",'Conciliacion de compuestos'!$K$2:$K$48,A396),COUNTIFS('Conciliacion de compuestos'!$D$2:$D$48,"conciliado",'Conciliacion de compuestos'!$E$2:$E$48,"OK",'Conciliacion de compuestos'!$L$2:$L$48,A396))&gt;0,"conciliado en compuesto confirmado","disponible")</f>
        <v/>
      </c>
    </row>
    <row r="397">
      <c r="A397" s="11" t="n">
        <v>401</v>
      </c>
      <c r="B397" s="12" t="n">
        <v>46000</v>
      </c>
      <c r="C397" s="11" t="inlineStr">
        <is>
          <t>consignacion credibanco d e</t>
        </is>
      </c>
      <c r="D397" s="13" t="n">
        <v>114700</v>
      </c>
      <c r="E397" s="11">
        <f>IF(SUM(COUNTIFS('Conciliacion de compuestos'!$D$2:$D$48,"conciliado",'Conciliacion de compuestos'!$E$2:$E$48,"OK",'Conciliacion de compuestos'!$J$2:$J$48,A397),COUNTIFS('Conciliacion de compuestos'!$D$2:$D$48,"conciliado",'Conciliacion de compuestos'!$E$2:$E$48,"OK",'Conciliacion de compuestos'!$K$2:$K$48,A397),COUNTIFS('Conciliacion de compuestos'!$D$2:$D$48,"conciliado",'Conciliacion de compuestos'!$E$2:$E$48,"OK",'Conciliacion de compuestos'!$L$2:$L$48,A397))&gt;0,"conciliado en compuesto confirmado","disponible")</f>
        <v/>
      </c>
    </row>
    <row r="398">
      <c r="A398" s="11" t="n">
        <v>402</v>
      </c>
      <c r="B398" s="12" t="n">
        <v>46000</v>
      </c>
      <c r="C398" s="11" t="inlineStr">
        <is>
          <t>cobro comision depositos electronicos</t>
        </is>
      </c>
      <c r="D398" s="13" t="n">
        <v>-929</v>
      </c>
      <c r="E398" s="11">
        <f>IF(SUM(COUNTIFS('Conciliacion de compuestos'!$D$2:$D$48,"conciliado",'Conciliacion de compuestos'!$E$2:$E$48,"OK",'Conciliacion de compuestos'!$J$2:$J$48,A398),COUNTIFS('Conciliacion de compuestos'!$D$2:$D$48,"conciliado",'Conciliacion de compuestos'!$E$2:$E$48,"OK",'Conciliacion de compuestos'!$K$2:$K$48,A398),COUNTIFS('Conciliacion de compuestos'!$D$2:$D$48,"conciliado",'Conciliacion de compuestos'!$E$2:$E$48,"OK",'Conciliacion de compuestos'!$L$2:$L$48,A398))&gt;0,"conciliado en compuesto confirmado","disponible")</f>
        <v/>
      </c>
    </row>
    <row r="399">
      <c r="A399" s="11" t="n">
        <v>403</v>
      </c>
      <c r="B399" s="12" t="n">
        <v>46000</v>
      </c>
      <c r="C399" s="11" t="inlineStr">
        <is>
          <t>a financiero gravamen movimiento</t>
        </is>
      </c>
      <c r="D399" s="13" t="n">
        <v>-4</v>
      </c>
      <c r="E399" s="11">
        <f>IF(SUM(COUNTIFS('Conciliacion de compuestos'!$D$2:$D$48,"conciliado",'Conciliacion de compuestos'!$E$2:$E$48,"OK",'Conciliacion de compuestos'!$J$2:$J$48,A399),COUNTIFS('Conciliacion de compuestos'!$D$2:$D$48,"conciliado",'Conciliacion de compuestos'!$E$2:$E$48,"OK",'Conciliacion de compuestos'!$K$2:$K$48,A399),COUNTIFS('Conciliacion de compuestos'!$D$2:$D$48,"conciliado",'Conciliacion de compuestos'!$E$2:$E$48,"OK",'Conciliacion de compuestos'!$L$2:$L$48,A399))&gt;0,"conciliado en compuesto confirmado","disponible")</f>
        <v/>
      </c>
    </row>
    <row r="400">
      <c r="A400" s="11" t="n">
        <v>404</v>
      </c>
      <c r="B400" s="12" t="n">
        <v>46000</v>
      </c>
      <c r="C400" s="11" t="inlineStr">
        <is>
          <t>credibanco d e retefuente voucher y</t>
        </is>
      </c>
      <c r="D400" s="13" t="n">
        <v>-1721</v>
      </c>
      <c r="E400" s="11">
        <f>IF(SUM(COUNTIFS('Conciliacion de compuestos'!$D$2:$D$48,"conciliado",'Conciliacion de compuestos'!$E$2:$E$48,"OK",'Conciliacion de compuestos'!$J$2:$J$48,A400),COUNTIFS('Conciliacion de compuestos'!$D$2:$D$48,"conciliado",'Conciliacion de compuestos'!$E$2:$E$48,"OK",'Conciliacion de compuestos'!$K$2:$K$48,A400),COUNTIFS('Conciliacion de compuestos'!$D$2:$D$48,"conciliado",'Conciliacion de compuestos'!$E$2:$E$48,"OK",'Conciliacion de compuestos'!$L$2:$L$48,A400))&gt;0,"conciliado en compuesto confirmado","disponible")</f>
        <v/>
      </c>
    </row>
    <row r="401">
      <c r="A401" s="11" t="n">
        <v>405</v>
      </c>
      <c r="B401" s="12" t="n">
        <v>46000</v>
      </c>
      <c r="C401" s="11" t="inlineStr">
        <is>
          <t>a financiero gravamen movimiento</t>
        </is>
      </c>
      <c r="D401" s="13" t="n">
        <v>-7</v>
      </c>
      <c r="E401" s="11">
        <f>IF(SUM(COUNTIFS('Conciliacion de compuestos'!$D$2:$D$48,"conciliado",'Conciliacion de compuestos'!$E$2:$E$48,"OK",'Conciliacion de compuestos'!$J$2:$J$48,A401),COUNTIFS('Conciliacion de compuestos'!$D$2:$D$48,"conciliado",'Conciliacion de compuestos'!$E$2:$E$48,"OK",'Conciliacion de compuestos'!$K$2:$K$48,A401),COUNTIFS('Conciliacion de compuestos'!$D$2:$D$48,"conciliado",'Conciliacion de compuestos'!$E$2:$E$48,"OK",'Conciliacion de compuestos'!$L$2:$L$48,A401))&gt;0,"conciliado en compuesto confirmado","disponible")</f>
        <v/>
      </c>
    </row>
    <row r="402">
      <c r="A402" s="11" t="n">
        <v>406</v>
      </c>
      <c r="B402" s="12" t="n">
        <v>46000</v>
      </c>
      <c r="C402" s="11" t="inlineStr">
        <is>
          <t>consignacion credibanco d e</t>
        </is>
      </c>
      <c r="D402" s="13" t="n">
        <v>65000</v>
      </c>
      <c r="E402" s="11">
        <f>IF(SUM(COUNTIFS('Conciliacion de compuestos'!$D$2:$D$48,"conciliado",'Conciliacion de compuestos'!$E$2:$E$48,"OK",'Conciliacion de compuestos'!$J$2:$J$48,A402),COUNTIFS('Conciliacion de compuestos'!$D$2:$D$48,"conciliado",'Conciliacion de compuestos'!$E$2:$E$48,"OK",'Conciliacion de compuestos'!$K$2:$K$48,A402),COUNTIFS('Conciliacion de compuestos'!$D$2:$D$48,"conciliado",'Conciliacion de compuestos'!$E$2:$E$48,"OK",'Conciliacion de compuestos'!$L$2:$L$48,A402))&gt;0,"conciliado en compuesto confirmado","disponible")</f>
        <v/>
      </c>
    </row>
    <row r="403">
      <c r="A403" s="11" t="n">
        <v>407</v>
      </c>
      <c r="B403" s="12" t="n">
        <v>46000</v>
      </c>
      <c r="C403" s="11" t="inlineStr">
        <is>
          <t>cobro comision depositos electronicos</t>
        </is>
      </c>
      <c r="D403" s="13" t="n">
        <v>-527</v>
      </c>
      <c r="E403" s="11">
        <f>IF(SUM(COUNTIFS('Conciliacion de compuestos'!$D$2:$D$48,"conciliado",'Conciliacion de compuestos'!$E$2:$E$48,"OK",'Conciliacion de compuestos'!$J$2:$J$48,A403),COUNTIFS('Conciliacion de compuestos'!$D$2:$D$48,"conciliado",'Conciliacion de compuestos'!$E$2:$E$48,"OK",'Conciliacion de compuestos'!$K$2:$K$48,A403),COUNTIFS('Conciliacion de compuestos'!$D$2:$D$48,"conciliado",'Conciliacion de compuestos'!$E$2:$E$48,"OK",'Conciliacion de compuestos'!$L$2:$L$48,A403))&gt;0,"conciliado en compuesto confirmado","disponible")</f>
        <v/>
      </c>
    </row>
    <row r="404">
      <c r="A404" s="11" t="n">
        <v>408</v>
      </c>
      <c r="B404" s="12" t="n">
        <v>46000</v>
      </c>
      <c r="C404" s="11" t="inlineStr">
        <is>
          <t>a financiero gravamen movimiento</t>
        </is>
      </c>
      <c r="D404" s="13" t="n">
        <v>-2</v>
      </c>
      <c r="E404" s="11">
        <f>IF(SUM(COUNTIFS('Conciliacion de compuestos'!$D$2:$D$48,"conciliado",'Conciliacion de compuestos'!$E$2:$E$48,"OK",'Conciliacion de compuestos'!$J$2:$J$48,A404),COUNTIFS('Conciliacion de compuestos'!$D$2:$D$48,"conciliado",'Conciliacion de compuestos'!$E$2:$E$48,"OK",'Conciliacion de compuestos'!$K$2:$K$48,A404),COUNTIFS('Conciliacion de compuestos'!$D$2:$D$48,"conciliado",'Conciliacion de compuestos'!$E$2:$E$48,"OK",'Conciliacion de compuestos'!$L$2:$L$48,A404))&gt;0,"conciliado en compuesto confirmado","disponible")</f>
        <v/>
      </c>
    </row>
    <row r="405">
      <c r="A405" s="11" t="n">
        <v>409</v>
      </c>
      <c r="B405" s="12" t="n">
        <v>46000</v>
      </c>
      <c r="C405" s="11" t="inlineStr">
        <is>
          <t>credibanco d e retefuente voucher y</t>
        </is>
      </c>
      <c r="D405" s="13" t="n">
        <v>-975</v>
      </c>
      <c r="E405" s="11">
        <f>IF(SUM(COUNTIFS('Conciliacion de compuestos'!$D$2:$D$48,"conciliado",'Conciliacion de compuestos'!$E$2:$E$48,"OK",'Conciliacion de compuestos'!$J$2:$J$48,A405),COUNTIFS('Conciliacion de compuestos'!$D$2:$D$48,"conciliado",'Conciliacion de compuestos'!$E$2:$E$48,"OK",'Conciliacion de compuestos'!$K$2:$K$48,A405),COUNTIFS('Conciliacion de compuestos'!$D$2:$D$48,"conciliado",'Conciliacion de compuestos'!$E$2:$E$48,"OK",'Conciliacion de compuestos'!$L$2:$L$48,A405))&gt;0,"conciliado en compuesto confirmado","disponible")</f>
        <v/>
      </c>
    </row>
    <row r="406">
      <c r="A406" s="11" t="n">
        <v>410</v>
      </c>
      <c r="B406" s="12" t="n">
        <v>46000</v>
      </c>
      <c r="C406" s="11" t="inlineStr">
        <is>
          <t>a financiero gravamen movimiento</t>
        </is>
      </c>
      <c r="D406" s="13" t="n">
        <v>-4</v>
      </c>
      <c r="E406" s="11">
        <f>IF(SUM(COUNTIFS('Conciliacion de compuestos'!$D$2:$D$48,"conciliado",'Conciliacion de compuestos'!$E$2:$E$48,"OK",'Conciliacion de compuestos'!$J$2:$J$48,A406),COUNTIFS('Conciliacion de compuestos'!$D$2:$D$48,"conciliado",'Conciliacion de compuestos'!$E$2:$E$48,"OK",'Conciliacion de compuestos'!$K$2:$K$48,A406),COUNTIFS('Conciliacion de compuestos'!$D$2:$D$48,"conciliado",'Conciliacion de compuestos'!$E$2:$E$48,"OK",'Conciliacion de compuestos'!$L$2:$L$48,A406))&gt;0,"conciliado en compuesto confirmado","disponible")</f>
        <v/>
      </c>
    </row>
    <row r="407">
      <c r="A407" s="11" t="n">
        <v>411</v>
      </c>
      <c r="B407" s="12" t="n">
        <v>46000</v>
      </c>
      <c r="C407" s="11" t="inlineStr">
        <is>
          <t>consignacion credibanco d e</t>
        </is>
      </c>
      <c r="D407" s="13" t="n">
        <v>97000</v>
      </c>
      <c r="E407" s="11">
        <f>IF(SUM(COUNTIFS('Conciliacion de compuestos'!$D$2:$D$48,"conciliado",'Conciliacion de compuestos'!$E$2:$E$48,"OK",'Conciliacion de compuestos'!$J$2:$J$48,A407),COUNTIFS('Conciliacion de compuestos'!$D$2:$D$48,"conciliado",'Conciliacion de compuestos'!$E$2:$E$48,"OK",'Conciliacion de compuestos'!$K$2:$K$48,A407),COUNTIFS('Conciliacion de compuestos'!$D$2:$D$48,"conciliado",'Conciliacion de compuestos'!$E$2:$E$48,"OK",'Conciliacion de compuestos'!$L$2:$L$48,A407))&gt;0,"conciliado en compuesto confirmado","disponible")</f>
        <v/>
      </c>
    </row>
    <row r="408">
      <c r="A408" s="11" t="n">
        <v>412</v>
      </c>
      <c r="B408" s="12" t="n">
        <v>46000</v>
      </c>
      <c r="C408" s="11" t="inlineStr">
        <is>
          <t>cobro comision depositos electronicos</t>
        </is>
      </c>
      <c r="D408" s="13" t="n">
        <v>-2095</v>
      </c>
      <c r="E408" s="11">
        <f>IF(SUM(COUNTIFS('Conciliacion de compuestos'!$D$2:$D$48,"conciliado",'Conciliacion de compuestos'!$E$2:$E$48,"OK",'Conciliacion de compuestos'!$J$2:$J$48,A408),COUNTIFS('Conciliacion de compuestos'!$D$2:$D$48,"conciliado",'Conciliacion de compuestos'!$E$2:$E$48,"OK",'Conciliacion de compuestos'!$K$2:$K$48,A408),COUNTIFS('Conciliacion de compuestos'!$D$2:$D$48,"conciliado",'Conciliacion de compuestos'!$E$2:$E$48,"OK",'Conciliacion de compuestos'!$L$2:$L$48,A408))&gt;0,"conciliado en compuesto confirmado","disponible")</f>
        <v/>
      </c>
    </row>
    <row r="409">
      <c r="A409" s="11" t="n">
        <v>413</v>
      </c>
      <c r="B409" s="12" t="n">
        <v>46000</v>
      </c>
      <c r="C409" s="11" t="inlineStr">
        <is>
          <t>a financiero gravamen movimiento</t>
        </is>
      </c>
      <c r="D409" s="13" t="n">
        <v>-8</v>
      </c>
      <c r="E409" s="11">
        <f>IF(SUM(COUNTIFS('Conciliacion de compuestos'!$D$2:$D$48,"conciliado",'Conciliacion de compuestos'!$E$2:$E$48,"OK",'Conciliacion de compuestos'!$J$2:$J$48,A409),COUNTIFS('Conciliacion de compuestos'!$D$2:$D$48,"conciliado",'Conciliacion de compuestos'!$E$2:$E$48,"OK",'Conciliacion de compuestos'!$K$2:$K$48,A409),COUNTIFS('Conciliacion de compuestos'!$D$2:$D$48,"conciliado",'Conciliacion de compuestos'!$E$2:$E$48,"OK",'Conciliacion de compuestos'!$L$2:$L$48,A409))&gt;0,"conciliado en compuesto confirmado","disponible")</f>
        <v/>
      </c>
    </row>
    <row r="410">
      <c r="A410" s="11" t="n">
        <v>414</v>
      </c>
      <c r="B410" s="12" t="n">
        <v>46000</v>
      </c>
      <c r="C410" s="11" t="inlineStr">
        <is>
          <t>credibanco d e retefuente voucher y</t>
        </is>
      </c>
      <c r="D410" s="13" t="n">
        <v>-1455</v>
      </c>
      <c r="E410" s="11">
        <f>IF(SUM(COUNTIFS('Conciliacion de compuestos'!$D$2:$D$48,"conciliado",'Conciliacion de compuestos'!$E$2:$E$48,"OK",'Conciliacion de compuestos'!$J$2:$J$48,A410),COUNTIFS('Conciliacion de compuestos'!$D$2:$D$48,"conciliado",'Conciliacion de compuestos'!$E$2:$E$48,"OK",'Conciliacion de compuestos'!$K$2:$K$48,A410),COUNTIFS('Conciliacion de compuestos'!$D$2:$D$48,"conciliado",'Conciliacion de compuestos'!$E$2:$E$48,"OK",'Conciliacion de compuestos'!$L$2:$L$48,A410))&gt;0,"conciliado en compuesto confirmado","disponible")</f>
        <v/>
      </c>
    </row>
    <row r="411">
      <c r="A411" s="11" t="n">
        <v>415</v>
      </c>
      <c r="B411" s="12" t="n">
        <v>46000</v>
      </c>
      <c r="C411" s="11" t="inlineStr">
        <is>
          <t>a financiero gravamen movimiento</t>
        </is>
      </c>
      <c r="D411" s="13" t="n">
        <v>-6</v>
      </c>
      <c r="E411" s="11">
        <f>IF(SUM(COUNTIFS('Conciliacion de compuestos'!$D$2:$D$48,"conciliado",'Conciliacion de compuestos'!$E$2:$E$48,"OK",'Conciliacion de compuestos'!$J$2:$J$48,A411),COUNTIFS('Conciliacion de compuestos'!$D$2:$D$48,"conciliado",'Conciliacion de compuestos'!$E$2:$E$48,"OK",'Conciliacion de compuestos'!$K$2:$K$48,A411),COUNTIFS('Conciliacion de compuestos'!$D$2:$D$48,"conciliado",'Conciliacion de compuestos'!$E$2:$E$48,"OK",'Conciliacion de compuestos'!$L$2:$L$48,A411))&gt;0,"conciliado en compuesto confirmado","disponible")</f>
        <v/>
      </c>
    </row>
    <row r="412">
      <c r="A412" s="11" t="n">
        <v>416</v>
      </c>
      <c r="B412" s="12" t="n">
        <v>46000</v>
      </c>
      <c r="C412" s="11" t="inlineStr">
        <is>
          <t>consignacion credibanco d e</t>
        </is>
      </c>
      <c r="D412" s="13" t="n">
        <v>31600</v>
      </c>
      <c r="E412" s="11">
        <f>IF(SUM(COUNTIFS('Conciliacion de compuestos'!$D$2:$D$48,"conciliado",'Conciliacion de compuestos'!$E$2:$E$48,"OK",'Conciliacion de compuestos'!$J$2:$J$48,A412),COUNTIFS('Conciliacion de compuestos'!$D$2:$D$48,"conciliado",'Conciliacion de compuestos'!$E$2:$E$48,"OK",'Conciliacion de compuestos'!$K$2:$K$48,A412),COUNTIFS('Conciliacion de compuestos'!$D$2:$D$48,"conciliado",'Conciliacion de compuestos'!$E$2:$E$48,"OK",'Conciliacion de compuestos'!$L$2:$L$48,A412))&gt;0,"conciliado en compuesto confirmado","disponible")</f>
        <v/>
      </c>
    </row>
    <row r="413">
      <c r="A413" s="11" t="n">
        <v>417</v>
      </c>
      <c r="B413" s="12" t="n">
        <v>46000</v>
      </c>
      <c r="C413" s="11" t="inlineStr">
        <is>
          <t>cobro comision depositos electronicos</t>
        </is>
      </c>
      <c r="D413" s="13" t="n">
        <v>-651</v>
      </c>
      <c r="E413" s="11">
        <f>IF(SUM(COUNTIFS('Conciliacion de compuestos'!$D$2:$D$48,"conciliado",'Conciliacion de compuestos'!$E$2:$E$48,"OK",'Conciliacion de compuestos'!$J$2:$J$48,A413),COUNTIFS('Conciliacion de compuestos'!$D$2:$D$48,"conciliado",'Conciliacion de compuestos'!$E$2:$E$48,"OK",'Conciliacion de compuestos'!$K$2:$K$48,A413),COUNTIFS('Conciliacion de compuestos'!$D$2:$D$48,"conciliado",'Conciliacion de compuestos'!$E$2:$E$48,"OK",'Conciliacion de compuestos'!$L$2:$L$48,A413))&gt;0,"conciliado en compuesto confirmado","disponible")</f>
        <v/>
      </c>
    </row>
    <row r="414">
      <c r="A414" s="11" t="n">
        <v>418</v>
      </c>
      <c r="B414" s="12" t="n">
        <v>46000</v>
      </c>
      <c r="C414" s="11" t="inlineStr">
        <is>
          <t>a financiero gravamen movimiento</t>
        </is>
      </c>
      <c r="D414" s="13" t="n">
        <v>-3</v>
      </c>
      <c r="E414" s="11">
        <f>IF(SUM(COUNTIFS('Conciliacion de compuestos'!$D$2:$D$48,"conciliado",'Conciliacion de compuestos'!$E$2:$E$48,"OK",'Conciliacion de compuestos'!$J$2:$J$48,A414),COUNTIFS('Conciliacion de compuestos'!$D$2:$D$48,"conciliado",'Conciliacion de compuestos'!$E$2:$E$48,"OK",'Conciliacion de compuestos'!$K$2:$K$48,A414),COUNTIFS('Conciliacion de compuestos'!$D$2:$D$48,"conciliado",'Conciliacion de compuestos'!$E$2:$E$48,"OK",'Conciliacion de compuestos'!$L$2:$L$48,A414))&gt;0,"conciliado en compuesto confirmado","disponible")</f>
        <v/>
      </c>
    </row>
    <row r="415">
      <c r="A415" s="11" t="n">
        <v>419</v>
      </c>
      <c r="B415" s="12" t="n">
        <v>46000</v>
      </c>
      <c r="C415" s="11" t="inlineStr">
        <is>
          <t>credibanco d e retefuente voucher y</t>
        </is>
      </c>
      <c r="D415" s="13" t="n">
        <v>-474</v>
      </c>
      <c r="E415" s="11">
        <f>IF(SUM(COUNTIFS('Conciliacion de compuestos'!$D$2:$D$48,"conciliado",'Conciliacion de compuestos'!$E$2:$E$48,"OK",'Conciliacion de compuestos'!$J$2:$J$48,A415),COUNTIFS('Conciliacion de compuestos'!$D$2:$D$48,"conciliado",'Conciliacion de compuestos'!$E$2:$E$48,"OK",'Conciliacion de compuestos'!$K$2:$K$48,A415),COUNTIFS('Conciliacion de compuestos'!$D$2:$D$48,"conciliado",'Conciliacion de compuestos'!$E$2:$E$48,"OK",'Conciliacion de compuestos'!$L$2:$L$48,A415))&gt;0,"conciliado en compuesto confirmado","disponible")</f>
        <v/>
      </c>
    </row>
    <row r="416">
      <c r="A416" s="11" t="n">
        <v>420</v>
      </c>
      <c r="B416" s="12" t="n">
        <v>46000</v>
      </c>
      <c r="C416" s="11" t="inlineStr">
        <is>
          <t>a financiero gravamen movimiento</t>
        </is>
      </c>
      <c r="D416" s="13" t="n">
        <v>-2</v>
      </c>
      <c r="E416" s="11">
        <f>IF(SUM(COUNTIFS('Conciliacion de compuestos'!$D$2:$D$48,"conciliado",'Conciliacion de compuestos'!$E$2:$E$48,"OK",'Conciliacion de compuestos'!$J$2:$J$48,A416),COUNTIFS('Conciliacion de compuestos'!$D$2:$D$48,"conciliado",'Conciliacion de compuestos'!$E$2:$E$48,"OK",'Conciliacion de compuestos'!$K$2:$K$48,A416),COUNTIFS('Conciliacion de compuestos'!$D$2:$D$48,"conciliado",'Conciliacion de compuestos'!$E$2:$E$48,"OK",'Conciliacion de compuestos'!$L$2:$L$48,A416))&gt;0,"conciliado en compuesto confirmado","disponible")</f>
        <v/>
      </c>
    </row>
    <row r="417">
      <c r="A417" s="11" t="n">
        <v>421</v>
      </c>
      <c r="B417" s="12" t="n">
        <v>46000</v>
      </c>
      <c r="C417" s="11" t="inlineStr">
        <is>
          <t>consignacion credibanco d e</t>
        </is>
      </c>
      <c r="D417" s="13" t="n">
        <v>91800</v>
      </c>
      <c r="E417" s="11">
        <f>IF(SUM(COUNTIFS('Conciliacion de compuestos'!$D$2:$D$48,"conciliado",'Conciliacion de compuestos'!$E$2:$E$48,"OK",'Conciliacion de compuestos'!$J$2:$J$48,A417),COUNTIFS('Conciliacion de compuestos'!$D$2:$D$48,"conciliado",'Conciliacion de compuestos'!$E$2:$E$48,"OK",'Conciliacion de compuestos'!$K$2:$K$48,A417),COUNTIFS('Conciliacion de compuestos'!$D$2:$D$48,"conciliado",'Conciliacion de compuestos'!$E$2:$E$48,"OK",'Conciliacion de compuestos'!$L$2:$L$48,A417))&gt;0,"conciliado en compuesto confirmado","disponible")</f>
        <v/>
      </c>
    </row>
    <row r="418">
      <c r="A418" s="11" t="n">
        <v>422</v>
      </c>
      <c r="B418" s="12" t="n">
        <v>46000</v>
      </c>
      <c r="C418" s="11" t="inlineStr">
        <is>
          <t>cobro comision depositos electronicos</t>
        </is>
      </c>
      <c r="D418" s="13" t="n">
        <v>-1983</v>
      </c>
      <c r="E418" s="11">
        <f>IF(SUM(COUNTIFS('Conciliacion de compuestos'!$D$2:$D$48,"conciliado",'Conciliacion de compuestos'!$E$2:$E$48,"OK",'Conciliacion de compuestos'!$J$2:$J$48,A418),COUNTIFS('Conciliacion de compuestos'!$D$2:$D$48,"conciliado",'Conciliacion de compuestos'!$E$2:$E$48,"OK",'Conciliacion de compuestos'!$K$2:$K$48,A418),COUNTIFS('Conciliacion de compuestos'!$D$2:$D$48,"conciliado",'Conciliacion de compuestos'!$E$2:$E$48,"OK",'Conciliacion de compuestos'!$L$2:$L$48,A418))&gt;0,"conciliado en compuesto confirmado","disponible")</f>
        <v/>
      </c>
    </row>
    <row r="419">
      <c r="A419" s="11" t="n">
        <v>423</v>
      </c>
      <c r="B419" s="12" t="n">
        <v>46000</v>
      </c>
      <c r="C419" s="11" t="inlineStr">
        <is>
          <t>a financiero gravamen movimiento</t>
        </is>
      </c>
      <c r="D419" s="13" t="n">
        <v>-8</v>
      </c>
      <c r="E419" s="11">
        <f>IF(SUM(COUNTIFS('Conciliacion de compuestos'!$D$2:$D$48,"conciliado",'Conciliacion de compuestos'!$E$2:$E$48,"OK",'Conciliacion de compuestos'!$J$2:$J$48,A419),COUNTIFS('Conciliacion de compuestos'!$D$2:$D$48,"conciliado",'Conciliacion de compuestos'!$E$2:$E$48,"OK",'Conciliacion de compuestos'!$K$2:$K$48,A419),COUNTIFS('Conciliacion de compuestos'!$D$2:$D$48,"conciliado",'Conciliacion de compuestos'!$E$2:$E$48,"OK",'Conciliacion de compuestos'!$L$2:$L$48,A419))&gt;0,"conciliado en compuesto confirmado","disponible")</f>
        <v/>
      </c>
    </row>
    <row r="420">
      <c r="A420" s="11" t="n">
        <v>424</v>
      </c>
      <c r="B420" s="12" t="n">
        <v>46000</v>
      </c>
      <c r="C420" s="11" t="inlineStr">
        <is>
          <t>credibanco d e retefuente voucher y</t>
        </is>
      </c>
      <c r="D420" s="13" t="n">
        <v>-1377</v>
      </c>
      <c r="E420" s="11">
        <f>IF(SUM(COUNTIFS('Conciliacion de compuestos'!$D$2:$D$48,"conciliado",'Conciliacion de compuestos'!$E$2:$E$48,"OK",'Conciliacion de compuestos'!$J$2:$J$48,A420),COUNTIFS('Conciliacion de compuestos'!$D$2:$D$48,"conciliado",'Conciliacion de compuestos'!$E$2:$E$48,"OK",'Conciliacion de compuestos'!$K$2:$K$48,A420),COUNTIFS('Conciliacion de compuestos'!$D$2:$D$48,"conciliado",'Conciliacion de compuestos'!$E$2:$E$48,"OK",'Conciliacion de compuestos'!$L$2:$L$48,A420))&gt;0,"conciliado en compuesto confirmado","disponible")</f>
        <v/>
      </c>
    </row>
    <row r="421">
      <c r="A421" s="11" t="n">
        <v>425</v>
      </c>
      <c r="B421" s="12" t="n">
        <v>46000</v>
      </c>
      <c r="C421" s="11" t="inlineStr">
        <is>
          <t>a financiero gravamen movimiento</t>
        </is>
      </c>
      <c r="D421" s="13" t="n">
        <v>-6</v>
      </c>
      <c r="E421" s="11">
        <f>IF(SUM(COUNTIFS('Conciliacion de compuestos'!$D$2:$D$48,"conciliado",'Conciliacion de compuestos'!$E$2:$E$48,"OK",'Conciliacion de compuestos'!$J$2:$J$48,A421),COUNTIFS('Conciliacion de compuestos'!$D$2:$D$48,"conciliado",'Conciliacion de compuestos'!$E$2:$E$48,"OK",'Conciliacion de compuestos'!$K$2:$K$48,A421),COUNTIFS('Conciliacion de compuestos'!$D$2:$D$48,"conciliado",'Conciliacion de compuestos'!$E$2:$E$48,"OK",'Conciliacion de compuestos'!$L$2:$L$48,A421))&gt;0,"conciliado en compuesto confirmado","disponible")</f>
        <v/>
      </c>
    </row>
    <row r="422">
      <c r="A422" s="11" t="n">
        <v>426</v>
      </c>
      <c r="B422" s="12" t="n">
        <v>46000</v>
      </c>
      <c r="C422" s="11" t="inlineStr">
        <is>
          <t>consignacion credibanco d e</t>
        </is>
      </c>
      <c r="D422" s="13" t="n">
        <v>162900</v>
      </c>
      <c r="E422" s="11">
        <f>IF(SUM(COUNTIFS('Conciliacion de compuestos'!$D$2:$D$48,"conciliado",'Conciliacion de compuestos'!$E$2:$E$48,"OK",'Conciliacion de compuestos'!$J$2:$J$48,A422),COUNTIFS('Conciliacion de compuestos'!$D$2:$D$48,"conciliado",'Conciliacion de compuestos'!$E$2:$E$48,"OK",'Conciliacion de compuestos'!$K$2:$K$48,A422),COUNTIFS('Conciliacion de compuestos'!$D$2:$D$48,"conciliado",'Conciliacion de compuestos'!$E$2:$E$48,"OK",'Conciliacion de compuestos'!$L$2:$L$48,A422))&gt;0,"conciliado en compuesto confirmado","disponible")</f>
        <v/>
      </c>
    </row>
    <row r="423">
      <c r="A423" s="11" t="n">
        <v>427</v>
      </c>
      <c r="B423" s="12" t="n">
        <v>46000</v>
      </c>
      <c r="C423" s="11" t="inlineStr">
        <is>
          <t>cobro comision depositos electronicos</t>
        </is>
      </c>
      <c r="D423" s="13" t="n">
        <v>-3519</v>
      </c>
      <c r="E423" s="11">
        <f>IF(SUM(COUNTIFS('Conciliacion de compuestos'!$D$2:$D$48,"conciliado",'Conciliacion de compuestos'!$E$2:$E$48,"OK",'Conciliacion de compuestos'!$J$2:$J$48,A423),COUNTIFS('Conciliacion de compuestos'!$D$2:$D$48,"conciliado",'Conciliacion de compuestos'!$E$2:$E$48,"OK",'Conciliacion de compuestos'!$K$2:$K$48,A423),COUNTIFS('Conciliacion de compuestos'!$D$2:$D$48,"conciliado",'Conciliacion de compuestos'!$E$2:$E$48,"OK",'Conciliacion de compuestos'!$L$2:$L$48,A423))&gt;0,"conciliado en compuesto confirmado","disponible")</f>
        <v/>
      </c>
    </row>
    <row r="424">
      <c r="A424" s="11" t="n">
        <v>428</v>
      </c>
      <c r="B424" s="12" t="n">
        <v>46000</v>
      </c>
      <c r="C424" s="11" t="inlineStr">
        <is>
          <t>a financiero gravamen movimiento</t>
        </is>
      </c>
      <c r="D424" s="13" t="n">
        <v>-14</v>
      </c>
      <c r="E424" s="11">
        <f>IF(SUM(COUNTIFS('Conciliacion de compuestos'!$D$2:$D$48,"conciliado",'Conciliacion de compuestos'!$E$2:$E$48,"OK",'Conciliacion de compuestos'!$J$2:$J$48,A424),COUNTIFS('Conciliacion de compuestos'!$D$2:$D$48,"conciliado",'Conciliacion de compuestos'!$E$2:$E$48,"OK",'Conciliacion de compuestos'!$K$2:$K$48,A424),COUNTIFS('Conciliacion de compuestos'!$D$2:$D$48,"conciliado",'Conciliacion de compuestos'!$E$2:$E$48,"OK",'Conciliacion de compuestos'!$L$2:$L$48,A424))&gt;0,"conciliado en compuesto confirmado","disponible")</f>
        <v/>
      </c>
    </row>
    <row r="425">
      <c r="A425" s="11" t="n">
        <v>429</v>
      </c>
      <c r="B425" s="12" t="n">
        <v>46000</v>
      </c>
      <c r="C425" s="11" t="inlineStr">
        <is>
          <t>credibanco d e retefuente voucher y</t>
        </is>
      </c>
      <c r="D425" s="13" t="n">
        <v>-2444</v>
      </c>
      <c r="E425" s="11">
        <f>IF(SUM(COUNTIFS('Conciliacion de compuestos'!$D$2:$D$48,"conciliado",'Conciliacion de compuestos'!$E$2:$E$48,"OK",'Conciliacion de compuestos'!$J$2:$J$48,A425),COUNTIFS('Conciliacion de compuestos'!$D$2:$D$48,"conciliado",'Conciliacion de compuestos'!$E$2:$E$48,"OK",'Conciliacion de compuestos'!$K$2:$K$48,A425),COUNTIFS('Conciliacion de compuestos'!$D$2:$D$48,"conciliado",'Conciliacion de compuestos'!$E$2:$E$48,"OK",'Conciliacion de compuestos'!$L$2:$L$48,A425))&gt;0,"conciliado en compuesto confirmado","disponible")</f>
        <v/>
      </c>
    </row>
    <row r="426">
      <c r="A426" s="11" t="n">
        <v>430</v>
      </c>
      <c r="B426" s="12" t="n">
        <v>46000</v>
      </c>
      <c r="C426" s="11" t="inlineStr">
        <is>
          <t>a financiero gravamen movimiento</t>
        </is>
      </c>
      <c r="D426" s="13" t="n">
        <v>-10</v>
      </c>
      <c r="E426" s="11">
        <f>IF(SUM(COUNTIFS('Conciliacion de compuestos'!$D$2:$D$48,"conciliado",'Conciliacion de compuestos'!$E$2:$E$48,"OK",'Conciliacion de compuestos'!$J$2:$J$48,A426),COUNTIFS('Conciliacion de compuestos'!$D$2:$D$48,"conciliado",'Conciliacion de compuestos'!$E$2:$E$48,"OK",'Conciliacion de compuestos'!$K$2:$K$48,A426),COUNTIFS('Conciliacion de compuestos'!$D$2:$D$48,"conciliado",'Conciliacion de compuestos'!$E$2:$E$48,"OK",'Conciliacion de compuestos'!$L$2:$L$48,A426))&gt;0,"conciliado en compuesto confirmado","disponible")</f>
        <v/>
      </c>
    </row>
    <row r="427">
      <c r="A427" s="11" t="n">
        <v>431</v>
      </c>
      <c r="B427" s="12" t="n">
        <v>46000</v>
      </c>
      <c r="C427" s="11" t="inlineStr">
        <is>
          <t>consignacion credibanco d e</t>
        </is>
      </c>
      <c r="D427" s="13" t="n">
        <v>131000</v>
      </c>
      <c r="E427" s="11">
        <f>IF(SUM(COUNTIFS('Conciliacion de compuestos'!$D$2:$D$48,"conciliado",'Conciliacion de compuestos'!$E$2:$E$48,"OK",'Conciliacion de compuestos'!$J$2:$J$48,A427),COUNTIFS('Conciliacion de compuestos'!$D$2:$D$48,"conciliado",'Conciliacion de compuestos'!$E$2:$E$48,"OK",'Conciliacion de compuestos'!$K$2:$K$48,A427),COUNTIFS('Conciliacion de compuestos'!$D$2:$D$48,"conciliado",'Conciliacion de compuestos'!$E$2:$E$48,"OK",'Conciliacion de compuestos'!$L$2:$L$48,A427))&gt;0,"conciliado en compuesto confirmado","disponible")</f>
        <v/>
      </c>
    </row>
    <row r="428">
      <c r="A428" s="11" t="n">
        <v>432</v>
      </c>
      <c r="B428" s="12" t="n">
        <v>46000</v>
      </c>
      <c r="C428" s="11" t="inlineStr">
        <is>
          <t>cobro comision depositos electronicos</t>
        </is>
      </c>
      <c r="D428" s="13" t="n">
        <v>-2830</v>
      </c>
      <c r="E428" s="11">
        <f>IF(SUM(COUNTIFS('Conciliacion de compuestos'!$D$2:$D$48,"conciliado",'Conciliacion de compuestos'!$E$2:$E$48,"OK",'Conciliacion de compuestos'!$J$2:$J$48,A428),COUNTIFS('Conciliacion de compuestos'!$D$2:$D$48,"conciliado",'Conciliacion de compuestos'!$E$2:$E$48,"OK",'Conciliacion de compuestos'!$K$2:$K$48,A428),COUNTIFS('Conciliacion de compuestos'!$D$2:$D$48,"conciliado",'Conciliacion de compuestos'!$E$2:$E$48,"OK",'Conciliacion de compuestos'!$L$2:$L$48,A428))&gt;0,"conciliado en compuesto confirmado","disponible")</f>
        <v/>
      </c>
    </row>
    <row r="429">
      <c r="A429" s="11" t="n">
        <v>433</v>
      </c>
      <c r="B429" s="12" t="n">
        <v>46000</v>
      </c>
      <c r="C429" s="11" t="inlineStr">
        <is>
          <t>a financiero gravamen movimiento</t>
        </is>
      </c>
      <c r="D429" s="13" t="n">
        <v>-11</v>
      </c>
      <c r="E429" s="11">
        <f>IF(SUM(COUNTIFS('Conciliacion de compuestos'!$D$2:$D$48,"conciliado",'Conciliacion de compuestos'!$E$2:$E$48,"OK",'Conciliacion de compuestos'!$J$2:$J$48,A429),COUNTIFS('Conciliacion de compuestos'!$D$2:$D$48,"conciliado",'Conciliacion de compuestos'!$E$2:$E$48,"OK",'Conciliacion de compuestos'!$K$2:$K$48,A429),COUNTIFS('Conciliacion de compuestos'!$D$2:$D$48,"conciliado",'Conciliacion de compuestos'!$E$2:$E$48,"OK",'Conciliacion de compuestos'!$L$2:$L$48,A429))&gt;0,"conciliado en compuesto confirmado","disponible")</f>
        <v/>
      </c>
    </row>
    <row r="430">
      <c r="A430" s="11" t="n">
        <v>434</v>
      </c>
      <c r="B430" s="12" t="n">
        <v>46000</v>
      </c>
      <c r="C430" s="11" t="inlineStr">
        <is>
          <t>credibanco d e retefuente voucher y</t>
        </is>
      </c>
      <c r="D430" s="13" t="n">
        <v>-1965</v>
      </c>
      <c r="E430" s="11">
        <f>IF(SUM(COUNTIFS('Conciliacion de compuestos'!$D$2:$D$48,"conciliado",'Conciliacion de compuestos'!$E$2:$E$48,"OK",'Conciliacion de compuestos'!$J$2:$J$48,A430),COUNTIFS('Conciliacion de compuestos'!$D$2:$D$48,"conciliado",'Conciliacion de compuestos'!$E$2:$E$48,"OK",'Conciliacion de compuestos'!$K$2:$K$48,A430),COUNTIFS('Conciliacion de compuestos'!$D$2:$D$48,"conciliado",'Conciliacion de compuestos'!$E$2:$E$48,"OK",'Conciliacion de compuestos'!$L$2:$L$48,A430))&gt;0,"conciliado en compuesto confirmado","disponible")</f>
        <v/>
      </c>
    </row>
    <row r="431">
      <c r="A431" s="11" t="n">
        <v>435</v>
      </c>
      <c r="B431" s="12" t="n">
        <v>46000</v>
      </c>
      <c r="C431" s="11" t="inlineStr">
        <is>
          <t>a financiero gravamen movimiento</t>
        </is>
      </c>
      <c r="D431" s="13" t="n">
        <v>-8</v>
      </c>
      <c r="E431" s="11">
        <f>IF(SUM(COUNTIFS('Conciliacion de compuestos'!$D$2:$D$48,"conciliado",'Conciliacion de compuestos'!$E$2:$E$48,"OK",'Conciliacion de compuestos'!$J$2:$J$48,A431),COUNTIFS('Conciliacion de compuestos'!$D$2:$D$48,"conciliado",'Conciliacion de compuestos'!$E$2:$E$48,"OK",'Conciliacion de compuestos'!$K$2:$K$48,A431),COUNTIFS('Conciliacion de compuestos'!$D$2:$D$48,"conciliado",'Conciliacion de compuestos'!$E$2:$E$48,"OK",'Conciliacion de compuestos'!$L$2:$L$48,A431))&gt;0,"conciliado en compuesto confirmado","disponible")</f>
        <v/>
      </c>
    </row>
    <row r="432">
      <c r="A432" s="11" t="n">
        <v>436</v>
      </c>
      <c r="B432" s="12" t="n">
        <v>46000</v>
      </c>
      <c r="C432" s="11" t="inlineStr">
        <is>
          <t>consignacion credibanco d e</t>
        </is>
      </c>
      <c r="D432" s="13" t="n">
        <v>134000</v>
      </c>
      <c r="E432" s="11">
        <f>IF(SUM(COUNTIFS('Conciliacion de compuestos'!$D$2:$D$48,"conciliado",'Conciliacion de compuestos'!$E$2:$E$48,"OK",'Conciliacion de compuestos'!$J$2:$J$48,A432),COUNTIFS('Conciliacion de compuestos'!$D$2:$D$48,"conciliado",'Conciliacion de compuestos'!$E$2:$E$48,"OK",'Conciliacion de compuestos'!$K$2:$K$48,A432),COUNTIFS('Conciliacion de compuestos'!$D$2:$D$48,"conciliado",'Conciliacion de compuestos'!$E$2:$E$48,"OK",'Conciliacion de compuestos'!$L$2:$L$48,A432))&gt;0,"conciliado en compuesto confirmado","disponible")</f>
        <v/>
      </c>
    </row>
    <row r="433">
      <c r="A433" s="11" t="n">
        <v>437</v>
      </c>
      <c r="B433" s="12" t="n">
        <v>46000</v>
      </c>
      <c r="C433" s="11" t="inlineStr">
        <is>
          <t>cobro comision depositos electronicos</t>
        </is>
      </c>
      <c r="D433" s="13" t="n">
        <v>-2760</v>
      </c>
      <c r="E433" s="11">
        <f>IF(SUM(COUNTIFS('Conciliacion de compuestos'!$D$2:$D$48,"conciliado",'Conciliacion de compuestos'!$E$2:$E$48,"OK",'Conciliacion de compuestos'!$J$2:$J$48,A433),COUNTIFS('Conciliacion de compuestos'!$D$2:$D$48,"conciliado",'Conciliacion de compuestos'!$E$2:$E$48,"OK",'Conciliacion de compuestos'!$K$2:$K$48,A433),COUNTIFS('Conciliacion de compuestos'!$D$2:$D$48,"conciliado",'Conciliacion de compuestos'!$E$2:$E$48,"OK",'Conciliacion de compuestos'!$L$2:$L$48,A433))&gt;0,"conciliado en compuesto confirmado","disponible")</f>
        <v/>
      </c>
    </row>
    <row r="434">
      <c r="A434" s="11" t="n">
        <v>438</v>
      </c>
      <c r="B434" s="12" t="n">
        <v>46000</v>
      </c>
      <c r="C434" s="11" t="inlineStr">
        <is>
          <t>a financiero gravamen movimiento</t>
        </is>
      </c>
      <c r="D434" s="13" t="n">
        <v>-11</v>
      </c>
      <c r="E434" s="11">
        <f>IF(SUM(COUNTIFS('Conciliacion de compuestos'!$D$2:$D$48,"conciliado",'Conciliacion de compuestos'!$E$2:$E$48,"OK",'Conciliacion de compuestos'!$J$2:$J$48,A434),COUNTIFS('Conciliacion de compuestos'!$D$2:$D$48,"conciliado",'Conciliacion de compuestos'!$E$2:$E$48,"OK",'Conciliacion de compuestos'!$K$2:$K$48,A434),COUNTIFS('Conciliacion de compuestos'!$D$2:$D$48,"conciliado",'Conciliacion de compuestos'!$E$2:$E$48,"OK",'Conciliacion de compuestos'!$L$2:$L$48,A434))&gt;0,"conciliado en compuesto confirmado","disponible")</f>
        <v/>
      </c>
    </row>
    <row r="435">
      <c r="A435" s="11" t="n">
        <v>439</v>
      </c>
      <c r="B435" s="12" t="n">
        <v>46000</v>
      </c>
      <c r="C435" s="11" t="inlineStr">
        <is>
          <t>credibanco d e retefuente voucher y</t>
        </is>
      </c>
      <c r="D435" s="13" t="n">
        <v>-2010</v>
      </c>
      <c r="E435" s="11">
        <f>IF(SUM(COUNTIFS('Conciliacion de compuestos'!$D$2:$D$48,"conciliado",'Conciliacion de compuestos'!$E$2:$E$48,"OK",'Conciliacion de compuestos'!$J$2:$J$48,A435),COUNTIFS('Conciliacion de compuestos'!$D$2:$D$48,"conciliado",'Conciliacion de compuestos'!$E$2:$E$48,"OK",'Conciliacion de compuestos'!$K$2:$K$48,A435),COUNTIFS('Conciliacion de compuestos'!$D$2:$D$48,"conciliado",'Conciliacion de compuestos'!$E$2:$E$48,"OK",'Conciliacion de compuestos'!$L$2:$L$48,A435))&gt;0,"conciliado en compuesto confirmado","disponible")</f>
        <v/>
      </c>
    </row>
    <row r="436">
      <c r="A436" s="11" t="n">
        <v>440</v>
      </c>
      <c r="B436" s="12" t="n">
        <v>46000</v>
      </c>
      <c r="C436" s="11" t="inlineStr">
        <is>
          <t>a financiero gravamen movimiento</t>
        </is>
      </c>
      <c r="D436" s="13" t="n">
        <v>-8</v>
      </c>
      <c r="E436" s="11">
        <f>IF(SUM(COUNTIFS('Conciliacion de compuestos'!$D$2:$D$48,"conciliado",'Conciliacion de compuestos'!$E$2:$E$48,"OK",'Conciliacion de compuestos'!$J$2:$J$48,A436),COUNTIFS('Conciliacion de compuestos'!$D$2:$D$48,"conciliado",'Conciliacion de compuestos'!$E$2:$E$48,"OK",'Conciliacion de compuestos'!$K$2:$K$48,A436),COUNTIFS('Conciliacion de compuestos'!$D$2:$D$48,"conciliado",'Conciliacion de compuestos'!$E$2:$E$48,"OK",'Conciliacion de compuestos'!$L$2:$L$48,A436))&gt;0,"conciliado en compuesto confirmado","disponible")</f>
        <v/>
      </c>
    </row>
    <row r="437">
      <c r="A437" s="11" t="n">
        <v>441</v>
      </c>
      <c r="B437" s="12" t="n">
        <v>46000</v>
      </c>
      <c r="C437" s="11" t="inlineStr">
        <is>
          <t>consignacion credibanco d e</t>
        </is>
      </c>
      <c r="D437" s="13" t="n">
        <v>115500</v>
      </c>
      <c r="E437" s="11">
        <f>IF(SUM(COUNTIFS('Conciliacion de compuestos'!$D$2:$D$48,"conciliado",'Conciliacion de compuestos'!$E$2:$E$48,"OK",'Conciliacion de compuestos'!$J$2:$J$48,A437),COUNTIFS('Conciliacion de compuestos'!$D$2:$D$48,"conciliado",'Conciliacion de compuestos'!$E$2:$E$48,"OK",'Conciliacion de compuestos'!$K$2:$K$48,A437),COUNTIFS('Conciliacion de compuestos'!$D$2:$D$48,"conciliado",'Conciliacion de compuestos'!$E$2:$E$48,"OK",'Conciliacion de compuestos'!$L$2:$L$48,A437))&gt;0,"conciliado en compuesto confirmado","disponible")</f>
        <v/>
      </c>
    </row>
    <row r="438">
      <c r="A438" s="11" t="n">
        <v>442</v>
      </c>
      <c r="B438" s="12" t="n">
        <v>46000</v>
      </c>
      <c r="C438" s="11" t="inlineStr">
        <is>
          <t>cobro comision depositos electronicos</t>
        </is>
      </c>
      <c r="D438" s="13" t="n">
        <v>-2495</v>
      </c>
      <c r="E438" s="11">
        <f>IF(SUM(COUNTIFS('Conciliacion de compuestos'!$D$2:$D$48,"conciliado",'Conciliacion de compuestos'!$E$2:$E$48,"OK",'Conciliacion de compuestos'!$J$2:$J$48,A438),COUNTIFS('Conciliacion de compuestos'!$D$2:$D$48,"conciliado",'Conciliacion de compuestos'!$E$2:$E$48,"OK",'Conciliacion de compuestos'!$K$2:$K$48,A438),COUNTIFS('Conciliacion de compuestos'!$D$2:$D$48,"conciliado",'Conciliacion de compuestos'!$E$2:$E$48,"OK",'Conciliacion de compuestos'!$L$2:$L$48,A438))&gt;0,"conciliado en compuesto confirmado","disponible")</f>
        <v/>
      </c>
    </row>
    <row r="439">
      <c r="A439" s="11" t="n">
        <v>443</v>
      </c>
      <c r="B439" s="12" t="n">
        <v>46000</v>
      </c>
      <c r="C439" s="11" t="inlineStr">
        <is>
          <t>a financiero gravamen movimiento</t>
        </is>
      </c>
      <c r="D439" s="13" t="n">
        <v>-10</v>
      </c>
      <c r="E439" s="11">
        <f>IF(SUM(COUNTIFS('Conciliacion de compuestos'!$D$2:$D$48,"conciliado",'Conciliacion de compuestos'!$E$2:$E$48,"OK",'Conciliacion de compuestos'!$J$2:$J$48,A439),COUNTIFS('Conciliacion de compuestos'!$D$2:$D$48,"conciliado",'Conciliacion de compuestos'!$E$2:$E$48,"OK",'Conciliacion de compuestos'!$K$2:$K$48,A439),COUNTIFS('Conciliacion de compuestos'!$D$2:$D$48,"conciliado",'Conciliacion de compuestos'!$E$2:$E$48,"OK",'Conciliacion de compuestos'!$L$2:$L$48,A439))&gt;0,"conciliado en compuesto confirmado","disponible")</f>
        <v/>
      </c>
    </row>
    <row r="440">
      <c r="A440" s="11" t="n">
        <v>444</v>
      </c>
      <c r="B440" s="12" t="n">
        <v>46000</v>
      </c>
      <c r="C440" s="11" t="inlineStr">
        <is>
          <t>credibanco d e retefuente voucher y</t>
        </is>
      </c>
      <c r="D440" s="13" t="n">
        <v>-1733</v>
      </c>
      <c r="E440" s="11">
        <f>IF(SUM(COUNTIFS('Conciliacion de compuestos'!$D$2:$D$48,"conciliado",'Conciliacion de compuestos'!$E$2:$E$48,"OK",'Conciliacion de compuestos'!$J$2:$J$48,A440),COUNTIFS('Conciliacion de compuestos'!$D$2:$D$48,"conciliado",'Conciliacion de compuestos'!$E$2:$E$48,"OK",'Conciliacion de compuestos'!$K$2:$K$48,A440),COUNTIFS('Conciliacion de compuestos'!$D$2:$D$48,"conciliado",'Conciliacion de compuestos'!$E$2:$E$48,"OK",'Conciliacion de compuestos'!$L$2:$L$48,A440))&gt;0,"conciliado en compuesto confirmado","disponible")</f>
        <v/>
      </c>
    </row>
    <row r="441">
      <c r="A441" s="11" t="n">
        <v>445</v>
      </c>
      <c r="B441" s="12" t="n">
        <v>46000</v>
      </c>
      <c r="C441" s="11" t="inlineStr">
        <is>
          <t>a financiero gravamen movimiento</t>
        </is>
      </c>
      <c r="D441" s="13" t="n">
        <v>-7</v>
      </c>
      <c r="E441" s="11">
        <f>IF(SUM(COUNTIFS('Conciliacion de compuestos'!$D$2:$D$48,"conciliado",'Conciliacion de compuestos'!$E$2:$E$48,"OK",'Conciliacion de compuestos'!$J$2:$J$48,A441),COUNTIFS('Conciliacion de compuestos'!$D$2:$D$48,"conciliado",'Conciliacion de compuestos'!$E$2:$E$48,"OK",'Conciliacion de compuestos'!$K$2:$K$48,A441),COUNTIFS('Conciliacion de compuestos'!$D$2:$D$48,"conciliado",'Conciliacion de compuestos'!$E$2:$E$48,"OK",'Conciliacion de compuestos'!$L$2:$L$48,A441))&gt;0,"conciliado en compuesto confirmado","disponible")</f>
        <v/>
      </c>
    </row>
    <row r="442">
      <c r="A442" s="11" t="n">
        <v>446</v>
      </c>
      <c r="B442" s="12" t="n">
        <v>46000</v>
      </c>
      <c r="C442" s="11" t="inlineStr">
        <is>
          <t>consignacion credibanco d e</t>
        </is>
      </c>
      <c r="D442" s="13" t="n">
        <v>30200</v>
      </c>
      <c r="E442" s="11">
        <f>IF(SUM(COUNTIFS('Conciliacion de compuestos'!$D$2:$D$48,"conciliado",'Conciliacion de compuestos'!$E$2:$E$48,"OK",'Conciliacion de compuestos'!$J$2:$J$48,A442),COUNTIFS('Conciliacion de compuestos'!$D$2:$D$48,"conciliado",'Conciliacion de compuestos'!$E$2:$E$48,"OK",'Conciliacion de compuestos'!$K$2:$K$48,A442),COUNTIFS('Conciliacion de compuestos'!$D$2:$D$48,"conciliado",'Conciliacion de compuestos'!$E$2:$E$48,"OK",'Conciliacion de compuestos'!$L$2:$L$48,A442))&gt;0,"conciliado en compuesto confirmado","disponible")</f>
        <v/>
      </c>
    </row>
    <row r="443">
      <c r="A443" s="11" t="n">
        <v>447</v>
      </c>
      <c r="B443" s="12" t="n">
        <v>46000</v>
      </c>
      <c r="C443" s="11" t="inlineStr">
        <is>
          <t>cobro comision depositos electronicos</t>
        </is>
      </c>
      <c r="D443" s="13" t="n">
        <v>-652</v>
      </c>
      <c r="E443" s="11">
        <f>IF(SUM(COUNTIFS('Conciliacion de compuestos'!$D$2:$D$48,"conciliado",'Conciliacion de compuestos'!$E$2:$E$48,"OK",'Conciliacion de compuestos'!$J$2:$J$48,A443),COUNTIFS('Conciliacion de compuestos'!$D$2:$D$48,"conciliado",'Conciliacion de compuestos'!$E$2:$E$48,"OK",'Conciliacion de compuestos'!$K$2:$K$48,A443),COUNTIFS('Conciliacion de compuestos'!$D$2:$D$48,"conciliado",'Conciliacion de compuestos'!$E$2:$E$48,"OK",'Conciliacion de compuestos'!$L$2:$L$48,A443))&gt;0,"conciliado en compuesto confirmado","disponible")</f>
        <v/>
      </c>
    </row>
    <row r="444">
      <c r="A444" s="11" t="n">
        <v>448</v>
      </c>
      <c r="B444" s="12" t="n">
        <v>46000</v>
      </c>
      <c r="C444" s="11" t="inlineStr">
        <is>
          <t>a financiero gravamen movimiento</t>
        </is>
      </c>
      <c r="D444" s="13" t="n">
        <v>-3</v>
      </c>
      <c r="E444" s="11">
        <f>IF(SUM(COUNTIFS('Conciliacion de compuestos'!$D$2:$D$48,"conciliado",'Conciliacion de compuestos'!$E$2:$E$48,"OK",'Conciliacion de compuestos'!$J$2:$J$48,A444),COUNTIFS('Conciliacion de compuestos'!$D$2:$D$48,"conciliado",'Conciliacion de compuestos'!$E$2:$E$48,"OK",'Conciliacion de compuestos'!$K$2:$K$48,A444),COUNTIFS('Conciliacion de compuestos'!$D$2:$D$48,"conciliado",'Conciliacion de compuestos'!$E$2:$E$48,"OK",'Conciliacion de compuestos'!$L$2:$L$48,A444))&gt;0,"conciliado en compuesto confirmado","disponible")</f>
        <v/>
      </c>
    </row>
    <row r="445">
      <c r="A445" s="11" t="n">
        <v>449</v>
      </c>
      <c r="B445" s="12" t="n">
        <v>46000</v>
      </c>
      <c r="C445" s="11" t="inlineStr">
        <is>
          <t>credibanco d e retefuente voucher y</t>
        </is>
      </c>
      <c r="D445" s="13" t="n">
        <v>-453</v>
      </c>
      <c r="E445" s="11">
        <f>IF(SUM(COUNTIFS('Conciliacion de compuestos'!$D$2:$D$48,"conciliado",'Conciliacion de compuestos'!$E$2:$E$48,"OK",'Conciliacion de compuestos'!$J$2:$J$48,A445),COUNTIFS('Conciliacion de compuestos'!$D$2:$D$48,"conciliado",'Conciliacion de compuestos'!$E$2:$E$48,"OK",'Conciliacion de compuestos'!$K$2:$K$48,A445),COUNTIFS('Conciliacion de compuestos'!$D$2:$D$48,"conciliado",'Conciliacion de compuestos'!$E$2:$E$48,"OK",'Conciliacion de compuestos'!$L$2:$L$48,A445))&gt;0,"conciliado en compuesto confirmado","disponible")</f>
        <v/>
      </c>
    </row>
    <row r="446">
      <c r="A446" s="11" t="n">
        <v>450</v>
      </c>
      <c r="B446" s="12" t="n">
        <v>46000</v>
      </c>
      <c r="C446" s="11" t="inlineStr">
        <is>
          <t>a financiero gravamen movimiento</t>
        </is>
      </c>
      <c r="D446" s="13" t="n">
        <v>-2</v>
      </c>
      <c r="E446" s="11">
        <f>IF(SUM(COUNTIFS('Conciliacion de compuestos'!$D$2:$D$48,"conciliado",'Conciliacion de compuestos'!$E$2:$E$48,"OK",'Conciliacion de compuestos'!$J$2:$J$48,A446),COUNTIFS('Conciliacion de compuestos'!$D$2:$D$48,"conciliado",'Conciliacion de compuestos'!$E$2:$E$48,"OK",'Conciliacion de compuestos'!$K$2:$K$48,A446),COUNTIFS('Conciliacion de compuestos'!$D$2:$D$48,"conciliado",'Conciliacion de compuestos'!$E$2:$E$48,"OK",'Conciliacion de compuestos'!$L$2:$L$48,A446))&gt;0,"conciliado en compuesto confirmado","disponible")</f>
        <v/>
      </c>
    </row>
    <row r="447">
      <c r="A447" s="11" t="n">
        <v>451</v>
      </c>
      <c r="B447" s="12" t="n">
        <v>46000</v>
      </c>
      <c r="C447" s="11" t="inlineStr">
        <is>
          <t>consignacion credibanco d e</t>
        </is>
      </c>
      <c r="D447" s="13" t="n">
        <v>55200</v>
      </c>
      <c r="E447" s="11">
        <f>IF(SUM(COUNTIFS('Conciliacion de compuestos'!$D$2:$D$48,"conciliado",'Conciliacion de compuestos'!$E$2:$E$48,"OK",'Conciliacion de compuestos'!$J$2:$J$48,A447),COUNTIFS('Conciliacion de compuestos'!$D$2:$D$48,"conciliado",'Conciliacion de compuestos'!$E$2:$E$48,"OK",'Conciliacion de compuestos'!$K$2:$K$48,A447),COUNTIFS('Conciliacion de compuestos'!$D$2:$D$48,"conciliado",'Conciliacion de compuestos'!$E$2:$E$48,"OK",'Conciliacion de compuestos'!$L$2:$L$48,A447))&gt;0,"conciliado en compuesto confirmado","disponible")</f>
        <v/>
      </c>
    </row>
    <row r="448">
      <c r="A448" s="11" t="n">
        <v>452</v>
      </c>
      <c r="B448" s="12" t="n">
        <v>46000</v>
      </c>
      <c r="C448" s="11" t="inlineStr">
        <is>
          <t>cobro comision depositos electronicos</t>
        </is>
      </c>
      <c r="D448" s="13" t="n">
        <v>-1192</v>
      </c>
      <c r="E448" s="11">
        <f>IF(SUM(COUNTIFS('Conciliacion de compuestos'!$D$2:$D$48,"conciliado",'Conciliacion de compuestos'!$E$2:$E$48,"OK",'Conciliacion de compuestos'!$J$2:$J$48,A448),COUNTIFS('Conciliacion de compuestos'!$D$2:$D$48,"conciliado",'Conciliacion de compuestos'!$E$2:$E$48,"OK",'Conciliacion de compuestos'!$K$2:$K$48,A448),COUNTIFS('Conciliacion de compuestos'!$D$2:$D$48,"conciliado",'Conciliacion de compuestos'!$E$2:$E$48,"OK",'Conciliacion de compuestos'!$L$2:$L$48,A448))&gt;0,"conciliado en compuesto confirmado","disponible")</f>
        <v/>
      </c>
    </row>
    <row r="449">
      <c r="A449" s="11" t="n">
        <v>453</v>
      </c>
      <c r="B449" s="12" t="n">
        <v>46000</v>
      </c>
      <c r="C449" s="11" t="inlineStr">
        <is>
          <t>a financiero gravamen movimiento</t>
        </is>
      </c>
      <c r="D449" s="13" t="n">
        <v>-5</v>
      </c>
      <c r="E449" s="11">
        <f>IF(SUM(COUNTIFS('Conciliacion de compuestos'!$D$2:$D$48,"conciliado",'Conciliacion de compuestos'!$E$2:$E$48,"OK",'Conciliacion de compuestos'!$J$2:$J$48,A449),COUNTIFS('Conciliacion de compuestos'!$D$2:$D$48,"conciliado",'Conciliacion de compuestos'!$E$2:$E$48,"OK",'Conciliacion de compuestos'!$K$2:$K$48,A449),COUNTIFS('Conciliacion de compuestos'!$D$2:$D$48,"conciliado",'Conciliacion de compuestos'!$E$2:$E$48,"OK",'Conciliacion de compuestos'!$L$2:$L$48,A449))&gt;0,"conciliado en compuesto confirmado","disponible")</f>
        <v/>
      </c>
    </row>
    <row r="450">
      <c r="A450" s="11" t="n">
        <v>454</v>
      </c>
      <c r="B450" s="12" t="n">
        <v>46000</v>
      </c>
      <c r="C450" s="11" t="inlineStr">
        <is>
          <t>credibanco d e retefuente voucher y</t>
        </is>
      </c>
      <c r="D450" s="13" t="n">
        <v>-828</v>
      </c>
      <c r="E450" s="11">
        <f>IF(SUM(COUNTIFS('Conciliacion de compuestos'!$D$2:$D$48,"conciliado",'Conciliacion de compuestos'!$E$2:$E$48,"OK",'Conciliacion de compuestos'!$J$2:$J$48,A450),COUNTIFS('Conciliacion de compuestos'!$D$2:$D$48,"conciliado",'Conciliacion de compuestos'!$E$2:$E$48,"OK",'Conciliacion de compuestos'!$K$2:$K$48,A450),COUNTIFS('Conciliacion de compuestos'!$D$2:$D$48,"conciliado",'Conciliacion de compuestos'!$E$2:$E$48,"OK",'Conciliacion de compuestos'!$L$2:$L$48,A450))&gt;0,"conciliado en compuesto confirmado","disponible")</f>
        <v/>
      </c>
    </row>
    <row r="451">
      <c r="A451" s="11" t="n">
        <v>455</v>
      </c>
      <c r="B451" s="12" t="n">
        <v>46000</v>
      </c>
      <c r="C451" s="11" t="inlineStr">
        <is>
          <t>a financiero gravamen movimiento</t>
        </is>
      </c>
      <c r="D451" s="13" t="n">
        <v>-3</v>
      </c>
      <c r="E451" s="11">
        <f>IF(SUM(COUNTIFS('Conciliacion de compuestos'!$D$2:$D$48,"conciliado",'Conciliacion de compuestos'!$E$2:$E$48,"OK",'Conciliacion de compuestos'!$J$2:$J$48,A451),COUNTIFS('Conciliacion de compuestos'!$D$2:$D$48,"conciliado",'Conciliacion de compuestos'!$E$2:$E$48,"OK",'Conciliacion de compuestos'!$K$2:$K$48,A451),COUNTIFS('Conciliacion de compuestos'!$D$2:$D$48,"conciliado",'Conciliacion de compuestos'!$E$2:$E$48,"OK",'Conciliacion de compuestos'!$L$2:$L$48,A451))&gt;0,"conciliado en compuesto confirmado","disponible")</f>
        <v/>
      </c>
    </row>
    <row r="452">
      <c r="A452" s="11" t="n">
        <v>456</v>
      </c>
      <c r="B452" s="12" t="n">
        <v>46000</v>
      </c>
      <c r="C452" s="11" t="inlineStr">
        <is>
          <t>consignacion credibanco d e</t>
        </is>
      </c>
      <c r="D452" s="13" t="n">
        <v>33560</v>
      </c>
      <c r="E452" s="11">
        <f>IF(SUM(COUNTIFS('Conciliacion de compuestos'!$D$2:$D$48,"conciliado",'Conciliacion de compuestos'!$E$2:$E$48,"OK",'Conciliacion de compuestos'!$J$2:$J$48,A452),COUNTIFS('Conciliacion de compuestos'!$D$2:$D$48,"conciliado",'Conciliacion de compuestos'!$E$2:$E$48,"OK",'Conciliacion de compuestos'!$K$2:$K$48,A452),COUNTIFS('Conciliacion de compuestos'!$D$2:$D$48,"conciliado",'Conciliacion de compuestos'!$E$2:$E$48,"OK",'Conciliacion de compuestos'!$L$2:$L$48,A452))&gt;0,"conciliado en compuesto confirmado","disponible")</f>
        <v/>
      </c>
    </row>
    <row r="453">
      <c r="A453" s="11" t="n">
        <v>457</v>
      </c>
      <c r="B453" s="12" t="n">
        <v>46000</v>
      </c>
      <c r="C453" s="11" t="inlineStr">
        <is>
          <t>cobro comision depositos electronicos</t>
        </is>
      </c>
      <c r="D453" s="13" t="n">
        <v>-725</v>
      </c>
      <c r="E453" s="11">
        <f>IF(SUM(COUNTIFS('Conciliacion de compuestos'!$D$2:$D$48,"conciliado",'Conciliacion de compuestos'!$E$2:$E$48,"OK",'Conciliacion de compuestos'!$J$2:$J$48,A453),COUNTIFS('Conciliacion de compuestos'!$D$2:$D$48,"conciliado",'Conciliacion de compuestos'!$E$2:$E$48,"OK",'Conciliacion de compuestos'!$K$2:$K$48,A453),COUNTIFS('Conciliacion de compuestos'!$D$2:$D$48,"conciliado",'Conciliacion de compuestos'!$E$2:$E$48,"OK",'Conciliacion de compuestos'!$L$2:$L$48,A453))&gt;0,"conciliado en compuesto confirmado","disponible")</f>
        <v/>
      </c>
    </row>
    <row r="454">
      <c r="A454" s="11" t="n">
        <v>458</v>
      </c>
      <c r="B454" s="12" t="n">
        <v>46000</v>
      </c>
      <c r="C454" s="11" t="inlineStr">
        <is>
          <t>a financiero gravamen movimiento</t>
        </is>
      </c>
      <c r="D454" s="13" t="n">
        <v>-3</v>
      </c>
      <c r="E454" s="11">
        <f>IF(SUM(COUNTIFS('Conciliacion de compuestos'!$D$2:$D$48,"conciliado",'Conciliacion de compuestos'!$E$2:$E$48,"OK",'Conciliacion de compuestos'!$J$2:$J$48,A454),COUNTIFS('Conciliacion de compuestos'!$D$2:$D$48,"conciliado",'Conciliacion de compuestos'!$E$2:$E$48,"OK",'Conciliacion de compuestos'!$K$2:$K$48,A454),COUNTIFS('Conciliacion de compuestos'!$D$2:$D$48,"conciliado",'Conciliacion de compuestos'!$E$2:$E$48,"OK",'Conciliacion de compuestos'!$L$2:$L$48,A454))&gt;0,"conciliado en compuesto confirmado","disponible")</f>
        <v/>
      </c>
    </row>
    <row r="455">
      <c r="A455" s="11" t="n">
        <v>459</v>
      </c>
      <c r="B455" s="12" t="n">
        <v>46000</v>
      </c>
      <c r="C455" s="11" t="inlineStr">
        <is>
          <t>credibanco d e retefuente voucher y</t>
        </is>
      </c>
      <c r="D455" s="13" t="n">
        <v>-503</v>
      </c>
      <c r="E455" s="11">
        <f>IF(SUM(COUNTIFS('Conciliacion de compuestos'!$D$2:$D$48,"conciliado",'Conciliacion de compuestos'!$E$2:$E$48,"OK",'Conciliacion de compuestos'!$J$2:$J$48,A455),COUNTIFS('Conciliacion de compuestos'!$D$2:$D$48,"conciliado",'Conciliacion de compuestos'!$E$2:$E$48,"OK",'Conciliacion de compuestos'!$K$2:$K$48,A455),COUNTIFS('Conciliacion de compuestos'!$D$2:$D$48,"conciliado",'Conciliacion de compuestos'!$E$2:$E$48,"OK",'Conciliacion de compuestos'!$L$2:$L$48,A455))&gt;0,"conciliado en compuesto confirmado","disponible")</f>
        <v/>
      </c>
    </row>
    <row r="456">
      <c r="A456" s="11" t="n">
        <v>460</v>
      </c>
      <c r="B456" s="12" t="n">
        <v>46000</v>
      </c>
      <c r="C456" s="11" t="inlineStr">
        <is>
          <t>a financiero gravamen movimiento</t>
        </is>
      </c>
      <c r="D456" s="13" t="n">
        <v>-2</v>
      </c>
      <c r="E456" s="11">
        <f>IF(SUM(COUNTIFS('Conciliacion de compuestos'!$D$2:$D$48,"conciliado",'Conciliacion de compuestos'!$E$2:$E$48,"OK",'Conciliacion de compuestos'!$J$2:$J$48,A456),COUNTIFS('Conciliacion de compuestos'!$D$2:$D$48,"conciliado",'Conciliacion de compuestos'!$E$2:$E$48,"OK",'Conciliacion de compuestos'!$K$2:$K$48,A456),COUNTIFS('Conciliacion de compuestos'!$D$2:$D$48,"conciliado",'Conciliacion de compuestos'!$E$2:$E$48,"OK",'Conciliacion de compuestos'!$L$2:$L$48,A456))&gt;0,"conciliado en compuesto confirmado","disponible")</f>
        <v/>
      </c>
    </row>
    <row r="457">
      <c r="A457" s="11" t="n">
        <v>461</v>
      </c>
      <c r="B457" s="12" t="n">
        <v>46000</v>
      </c>
      <c r="C457" s="11" t="inlineStr">
        <is>
          <t>consignacion credibanco d e</t>
        </is>
      </c>
      <c r="D457" s="13" t="n">
        <v>24700</v>
      </c>
      <c r="E457" s="11">
        <f>IF(SUM(COUNTIFS('Conciliacion de compuestos'!$D$2:$D$48,"conciliado",'Conciliacion de compuestos'!$E$2:$E$48,"OK",'Conciliacion de compuestos'!$J$2:$J$48,A457),COUNTIFS('Conciliacion de compuestos'!$D$2:$D$48,"conciliado",'Conciliacion de compuestos'!$E$2:$E$48,"OK",'Conciliacion de compuestos'!$K$2:$K$48,A457),COUNTIFS('Conciliacion de compuestos'!$D$2:$D$48,"conciliado",'Conciliacion de compuestos'!$E$2:$E$48,"OK",'Conciliacion de compuestos'!$L$2:$L$48,A457))&gt;0,"conciliado en compuesto confirmado","disponible")</f>
        <v/>
      </c>
    </row>
    <row r="458">
      <c r="A458" s="11" t="n">
        <v>462</v>
      </c>
      <c r="B458" s="12" t="n">
        <v>46000</v>
      </c>
      <c r="C458" s="11" t="inlineStr">
        <is>
          <t>cobro comision depositos electronicos</t>
        </is>
      </c>
      <c r="D458" s="13" t="n">
        <v>-541</v>
      </c>
      <c r="E458" s="11">
        <f>IF(SUM(COUNTIFS('Conciliacion de compuestos'!$D$2:$D$48,"conciliado",'Conciliacion de compuestos'!$E$2:$E$48,"OK",'Conciliacion de compuestos'!$J$2:$J$48,A458),COUNTIFS('Conciliacion de compuestos'!$D$2:$D$48,"conciliado",'Conciliacion de compuestos'!$E$2:$E$48,"OK",'Conciliacion de compuestos'!$K$2:$K$48,A458),COUNTIFS('Conciliacion de compuestos'!$D$2:$D$48,"conciliado",'Conciliacion de compuestos'!$E$2:$E$48,"OK",'Conciliacion de compuestos'!$L$2:$L$48,A458))&gt;0,"conciliado en compuesto confirmado","disponible")</f>
        <v/>
      </c>
    </row>
    <row r="459">
      <c r="A459" s="11" t="n">
        <v>463</v>
      </c>
      <c r="B459" s="12" t="n">
        <v>46000</v>
      </c>
      <c r="C459" s="11" t="inlineStr">
        <is>
          <t>a financiero gravamen movimiento</t>
        </is>
      </c>
      <c r="D459" s="13" t="n">
        <v>-2</v>
      </c>
      <c r="E459" s="11">
        <f>IF(SUM(COUNTIFS('Conciliacion de compuestos'!$D$2:$D$48,"conciliado",'Conciliacion de compuestos'!$E$2:$E$48,"OK",'Conciliacion de compuestos'!$J$2:$J$48,A459),COUNTIFS('Conciliacion de compuestos'!$D$2:$D$48,"conciliado",'Conciliacion de compuestos'!$E$2:$E$48,"OK",'Conciliacion de compuestos'!$K$2:$K$48,A459),COUNTIFS('Conciliacion de compuestos'!$D$2:$D$48,"conciliado",'Conciliacion de compuestos'!$E$2:$E$48,"OK",'Conciliacion de compuestos'!$L$2:$L$48,A459))&gt;0,"conciliado en compuesto confirmado","disponible")</f>
        <v/>
      </c>
    </row>
    <row r="460">
      <c r="A460" s="11" t="n">
        <v>464</v>
      </c>
      <c r="B460" s="12" t="n">
        <v>46000</v>
      </c>
      <c r="C460" s="11" t="inlineStr">
        <is>
          <t>credibanco d e retefuente voucher y</t>
        </is>
      </c>
      <c r="D460" s="13" t="n">
        <v>-371</v>
      </c>
      <c r="E460" s="11">
        <f>IF(SUM(COUNTIFS('Conciliacion de compuestos'!$D$2:$D$48,"conciliado",'Conciliacion de compuestos'!$E$2:$E$48,"OK",'Conciliacion de compuestos'!$J$2:$J$48,A460),COUNTIFS('Conciliacion de compuestos'!$D$2:$D$48,"conciliado",'Conciliacion de compuestos'!$E$2:$E$48,"OK",'Conciliacion de compuestos'!$K$2:$K$48,A460),COUNTIFS('Conciliacion de compuestos'!$D$2:$D$48,"conciliado",'Conciliacion de compuestos'!$E$2:$E$48,"OK",'Conciliacion de compuestos'!$L$2:$L$48,A460))&gt;0,"conciliado en compuesto confirmado","disponible")</f>
        <v/>
      </c>
    </row>
    <row r="461">
      <c r="A461" s="11" t="n">
        <v>465</v>
      </c>
      <c r="B461" s="12" t="n">
        <v>46000</v>
      </c>
      <c r="C461" s="11" t="inlineStr">
        <is>
          <t>a financiero gravamen movimiento</t>
        </is>
      </c>
      <c r="D461" s="13" t="n">
        <v>-1</v>
      </c>
      <c r="E461" s="11">
        <f>IF(SUM(COUNTIFS('Conciliacion de compuestos'!$D$2:$D$48,"conciliado",'Conciliacion de compuestos'!$E$2:$E$48,"OK",'Conciliacion de compuestos'!$J$2:$J$48,A461),COUNTIFS('Conciliacion de compuestos'!$D$2:$D$48,"conciliado",'Conciliacion de compuestos'!$E$2:$E$48,"OK",'Conciliacion de compuestos'!$K$2:$K$48,A461),COUNTIFS('Conciliacion de compuestos'!$D$2:$D$48,"conciliado",'Conciliacion de compuestos'!$E$2:$E$48,"OK",'Conciliacion de compuestos'!$L$2:$L$48,A461))&gt;0,"conciliado en compuesto confirmado","disponible")</f>
        <v/>
      </c>
    </row>
    <row r="462">
      <c r="A462" s="11" t="n">
        <v>466</v>
      </c>
      <c r="B462" s="12" t="n">
        <v>46000</v>
      </c>
      <c r="C462" s="11" t="inlineStr">
        <is>
          <t>consignacion credibanco d e</t>
        </is>
      </c>
      <c r="D462" s="13" t="n">
        <v>78000</v>
      </c>
      <c r="E462" s="11">
        <f>IF(SUM(COUNTIFS('Conciliacion de compuestos'!$D$2:$D$48,"conciliado",'Conciliacion de compuestos'!$E$2:$E$48,"OK",'Conciliacion de compuestos'!$J$2:$J$48,A462),COUNTIFS('Conciliacion de compuestos'!$D$2:$D$48,"conciliado",'Conciliacion de compuestos'!$E$2:$E$48,"OK",'Conciliacion de compuestos'!$K$2:$K$48,A462),COUNTIFS('Conciliacion de compuestos'!$D$2:$D$48,"conciliado",'Conciliacion de compuestos'!$E$2:$E$48,"OK",'Conciliacion de compuestos'!$L$2:$L$48,A462))&gt;0,"conciliado en compuesto confirmado","disponible")</f>
        <v/>
      </c>
    </row>
    <row r="463">
      <c r="A463" s="11" t="n">
        <v>467</v>
      </c>
      <c r="B463" s="12" t="n">
        <v>46000</v>
      </c>
      <c r="C463" s="11" t="inlineStr">
        <is>
          <t>cobro comision depositos electronicos</t>
        </is>
      </c>
      <c r="D463" s="13" t="n">
        <v>-1708</v>
      </c>
      <c r="E463" s="11">
        <f>IF(SUM(COUNTIFS('Conciliacion de compuestos'!$D$2:$D$48,"conciliado",'Conciliacion de compuestos'!$E$2:$E$48,"OK",'Conciliacion de compuestos'!$J$2:$J$48,A463),COUNTIFS('Conciliacion de compuestos'!$D$2:$D$48,"conciliado",'Conciliacion de compuestos'!$E$2:$E$48,"OK",'Conciliacion de compuestos'!$K$2:$K$48,A463),COUNTIFS('Conciliacion de compuestos'!$D$2:$D$48,"conciliado",'Conciliacion de compuestos'!$E$2:$E$48,"OK",'Conciliacion de compuestos'!$L$2:$L$48,A463))&gt;0,"conciliado en compuesto confirmado","disponible")</f>
        <v/>
      </c>
    </row>
    <row r="464">
      <c r="A464" s="11" t="n">
        <v>468</v>
      </c>
      <c r="B464" s="12" t="n">
        <v>46000</v>
      </c>
      <c r="C464" s="11" t="inlineStr">
        <is>
          <t>a financiero gravamen movimiento</t>
        </is>
      </c>
      <c r="D464" s="13" t="n">
        <v>-7</v>
      </c>
      <c r="E464" s="11">
        <f>IF(SUM(COUNTIFS('Conciliacion de compuestos'!$D$2:$D$48,"conciliado",'Conciliacion de compuestos'!$E$2:$E$48,"OK",'Conciliacion de compuestos'!$J$2:$J$48,A464),COUNTIFS('Conciliacion de compuestos'!$D$2:$D$48,"conciliado",'Conciliacion de compuestos'!$E$2:$E$48,"OK",'Conciliacion de compuestos'!$K$2:$K$48,A464),COUNTIFS('Conciliacion de compuestos'!$D$2:$D$48,"conciliado",'Conciliacion de compuestos'!$E$2:$E$48,"OK",'Conciliacion de compuestos'!$L$2:$L$48,A464))&gt;0,"conciliado en compuesto confirmado","disponible")</f>
        <v/>
      </c>
    </row>
    <row r="465">
      <c r="A465" s="11" t="n">
        <v>469</v>
      </c>
      <c r="B465" s="12" t="n">
        <v>46000</v>
      </c>
      <c r="C465" s="11" t="inlineStr">
        <is>
          <t>credibanco d e retefuente voucher y</t>
        </is>
      </c>
      <c r="D465" s="13" t="n">
        <v>-1170</v>
      </c>
      <c r="E465" s="11">
        <f>IF(SUM(COUNTIFS('Conciliacion de compuestos'!$D$2:$D$48,"conciliado",'Conciliacion de compuestos'!$E$2:$E$48,"OK",'Conciliacion de compuestos'!$J$2:$J$48,A465),COUNTIFS('Conciliacion de compuestos'!$D$2:$D$48,"conciliado",'Conciliacion de compuestos'!$E$2:$E$48,"OK",'Conciliacion de compuestos'!$K$2:$K$48,A465),COUNTIFS('Conciliacion de compuestos'!$D$2:$D$48,"conciliado",'Conciliacion de compuestos'!$E$2:$E$48,"OK",'Conciliacion de compuestos'!$L$2:$L$48,A465))&gt;0,"conciliado en compuesto confirmado","disponible")</f>
        <v/>
      </c>
    </row>
    <row r="466">
      <c r="A466" s="11" t="n">
        <v>470</v>
      </c>
      <c r="B466" s="12" t="n">
        <v>46000</v>
      </c>
      <c r="C466" s="11" t="inlineStr">
        <is>
          <t>a financiero gravamen movimiento</t>
        </is>
      </c>
      <c r="D466" s="13" t="n">
        <v>-5</v>
      </c>
      <c r="E466" s="11">
        <f>IF(SUM(COUNTIFS('Conciliacion de compuestos'!$D$2:$D$48,"conciliado",'Conciliacion de compuestos'!$E$2:$E$48,"OK",'Conciliacion de compuestos'!$J$2:$J$48,A466),COUNTIFS('Conciliacion de compuestos'!$D$2:$D$48,"conciliado",'Conciliacion de compuestos'!$E$2:$E$48,"OK",'Conciliacion de compuestos'!$K$2:$K$48,A466),COUNTIFS('Conciliacion de compuestos'!$D$2:$D$48,"conciliado",'Conciliacion de compuestos'!$E$2:$E$48,"OK",'Conciliacion de compuestos'!$L$2:$L$48,A466))&gt;0,"conciliado en compuesto confirmado","disponible")</f>
        <v/>
      </c>
    </row>
    <row r="467">
      <c r="A467" s="11" t="n">
        <v>471</v>
      </c>
      <c r="B467" s="12" t="n">
        <v>46000</v>
      </c>
      <c r="C467" s="11" t="inlineStr">
        <is>
          <t>consignacion credibanco d e</t>
        </is>
      </c>
      <c r="D467" s="13" t="n">
        <v>27200</v>
      </c>
      <c r="E467" s="11">
        <f>IF(SUM(COUNTIFS('Conciliacion de compuestos'!$D$2:$D$48,"conciliado",'Conciliacion de compuestos'!$E$2:$E$48,"OK",'Conciliacion de compuestos'!$J$2:$J$48,A467),COUNTIFS('Conciliacion de compuestos'!$D$2:$D$48,"conciliado",'Conciliacion de compuestos'!$E$2:$E$48,"OK",'Conciliacion de compuestos'!$K$2:$K$48,A467),COUNTIFS('Conciliacion de compuestos'!$D$2:$D$48,"conciliado",'Conciliacion de compuestos'!$E$2:$E$48,"OK",'Conciliacion de compuestos'!$L$2:$L$48,A467))&gt;0,"conciliado en compuesto confirmado","disponible")</f>
        <v/>
      </c>
    </row>
    <row r="468">
      <c r="A468" s="11" t="n">
        <v>472</v>
      </c>
      <c r="B468" s="12" t="n">
        <v>46000</v>
      </c>
      <c r="C468" s="11" t="inlineStr">
        <is>
          <t>cobro comision depositos electronicos</t>
        </is>
      </c>
      <c r="D468" s="13" t="n">
        <v>-596</v>
      </c>
      <c r="E468" s="11">
        <f>IF(SUM(COUNTIFS('Conciliacion de compuestos'!$D$2:$D$48,"conciliado",'Conciliacion de compuestos'!$E$2:$E$48,"OK",'Conciliacion de compuestos'!$J$2:$J$48,A468),COUNTIFS('Conciliacion de compuestos'!$D$2:$D$48,"conciliado",'Conciliacion de compuestos'!$E$2:$E$48,"OK",'Conciliacion de compuestos'!$K$2:$K$48,A468),COUNTIFS('Conciliacion de compuestos'!$D$2:$D$48,"conciliado",'Conciliacion de compuestos'!$E$2:$E$48,"OK",'Conciliacion de compuestos'!$L$2:$L$48,A468))&gt;0,"conciliado en compuesto confirmado","disponible")</f>
        <v/>
      </c>
    </row>
    <row r="469">
      <c r="A469" s="11" t="n">
        <v>473</v>
      </c>
      <c r="B469" s="12" t="n">
        <v>46000</v>
      </c>
      <c r="C469" s="11" t="inlineStr">
        <is>
          <t>a financiero gravamen movimiento</t>
        </is>
      </c>
      <c r="D469" s="13" t="n">
        <v>-2</v>
      </c>
      <c r="E469" s="11">
        <f>IF(SUM(COUNTIFS('Conciliacion de compuestos'!$D$2:$D$48,"conciliado",'Conciliacion de compuestos'!$E$2:$E$48,"OK",'Conciliacion de compuestos'!$J$2:$J$48,A469),COUNTIFS('Conciliacion de compuestos'!$D$2:$D$48,"conciliado",'Conciliacion de compuestos'!$E$2:$E$48,"OK",'Conciliacion de compuestos'!$K$2:$K$48,A469),COUNTIFS('Conciliacion de compuestos'!$D$2:$D$48,"conciliado",'Conciliacion de compuestos'!$E$2:$E$48,"OK",'Conciliacion de compuestos'!$L$2:$L$48,A469))&gt;0,"conciliado en compuesto confirmado","disponible")</f>
        <v/>
      </c>
    </row>
    <row r="470">
      <c r="A470" s="11" t="n">
        <v>474</v>
      </c>
      <c r="B470" s="12" t="n">
        <v>46000</v>
      </c>
      <c r="C470" s="11" t="inlineStr">
        <is>
          <t>credibanco d e retefuente voucher y</t>
        </is>
      </c>
      <c r="D470" s="13" t="n">
        <v>-408</v>
      </c>
      <c r="E470" s="11">
        <f>IF(SUM(COUNTIFS('Conciliacion de compuestos'!$D$2:$D$48,"conciliado",'Conciliacion de compuestos'!$E$2:$E$48,"OK",'Conciliacion de compuestos'!$J$2:$J$48,A470),COUNTIFS('Conciliacion de compuestos'!$D$2:$D$48,"conciliado",'Conciliacion de compuestos'!$E$2:$E$48,"OK",'Conciliacion de compuestos'!$K$2:$K$48,A470),COUNTIFS('Conciliacion de compuestos'!$D$2:$D$48,"conciliado",'Conciliacion de compuestos'!$E$2:$E$48,"OK",'Conciliacion de compuestos'!$L$2:$L$48,A470))&gt;0,"conciliado en compuesto confirmado","disponible")</f>
        <v/>
      </c>
    </row>
    <row r="471">
      <c r="A471" s="11" t="n">
        <v>475</v>
      </c>
      <c r="B471" s="12" t="n">
        <v>46000</v>
      </c>
      <c r="C471" s="11" t="inlineStr">
        <is>
          <t>a financiero gravamen movimiento</t>
        </is>
      </c>
      <c r="D471" s="13" t="n">
        <v>-2</v>
      </c>
      <c r="E471" s="11">
        <f>IF(SUM(COUNTIFS('Conciliacion de compuestos'!$D$2:$D$48,"conciliado",'Conciliacion de compuestos'!$E$2:$E$48,"OK",'Conciliacion de compuestos'!$J$2:$J$48,A471),COUNTIFS('Conciliacion de compuestos'!$D$2:$D$48,"conciliado",'Conciliacion de compuestos'!$E$2:$E$48,"OK",'Conciliacion de compuestos'!$K$2:$K$48,A471),COUNTIFS('Conciliacion de compuestos'!$D$2:$D$48,"conciliado",'Conciliacion de compuestos'!$E$2:$E$48,"OK",'Conciliacion de compuestos'!$L$2:$L$48,A471))&gt;0,"conciliado en compuesto confirmado","disponible")</f>
        <v/>
      </c>
    </row>
    <row r="472">
      <c r="A472" s="11" t="n">
        <v>476</v>
      </c>
      <c r="B472" s="12" t="n">
        <v>46000</v>
      </c>
      <c r="C472" s="11" t="inlineStr">
        <is>
          <t>consignacion credibanco d e</t>
        </is>
      </c>
      <c r="D472" s="13" t="n">
        <v>45000</v>
      </c>
      <c r="E472" s="11">
        <f>IF(SUM(COUNTIFS('Conciliacion de compuestos'!$D$2:$D$48,"conciliado",'Conciliacion de compuestos'!$E$2:$E$48,"OK",'Conciliacion de compuestos'!$J$2:$J$48,A472),COUNTIFS('Conciliacion de compuestos'!$D$2:$D$48,"conciliado",'Conciliacion de compuestos'!$E$2:$E$48,"OK",'Conciliacion de compuestos'!$K$2:$K$48,A472),COUNTIFS('Conciliacion de compuestos'!$D$2:$D$48,"conciliado",'Conciliacion de compuestos'!$E$2:$E$48,"OK",'Conciliacion de compuestos'!$L$2:$L$48,A472))&gt;0,"conciliado en compuesto confirmado","disponible")</f>
        <v/>
      </c>
    </row>
    <row r="473">
      <c r="A473" s="11" t="n">
        <v>477</v>
      </c>
      <c r="B473" s="12" t="n">
        <v>46000</v>
      </c>
      <c r="C473" s="11" t="inlineStr">
        <is>
          <t>cobro comision depositos electronicos</t>
        </is>
      </c>
      <c r="D473" s="13" t="n">
        <v>-986</v>
      </c>
      <c r="E473" s="11">
        <f>IF(SUM(COUNTIFS('Conciliacion de compuestos'!$D$2:$D$48,"conciliado",'Conciliacion de compuestos'!$E$2:$E$48,"OK",'Conciliacion de compuestos'!$J$2:$J$48,A473),COUNTIFS('Conciliacion de compuestos'!$D$2:$D$48,"conciliado",'Conciliacion de compuestos'!$E$2:$E$48,"OK",'Conciliacion de compuestos'!$K$2:$K$48,A473),COUNTIFS('Conciliacion de compuestos'!$D$2:$D$48,"conciliado",'Conciliacion de compuestos'!$E$2:$E$48,"OK",'Conciliacion de compuestos'!$L$2:$L$48,A473))&gt;0,"conciliado en compuesto confirmado","disponible")</f>
        <v/>
      </c>
    </row>
    <row r="474">
      <c r="A474" s="11" t="n">
        <v>478</v>
      </c>
      <c r="B474" s="12" t="n">
        <v>46000</v>
      </c>
      <c r="C474" s="11" t="inlineStr">
        <is>
          <t>a financiero gravamen movimiento</t>
        </is>
      </c>
      <c r="D474" s="13" t="n">
        <v>-4</v>
      </c>
      <c r="E474" s="11">
        <f>IF(SUM(COUNTIFS('Conciliacion de compuestos'!$D$2:$D$48,"conciliado",'Conciliacion de compuestos'!$E$2:$E$48,"OK",'Conciliacion de compuestos'!$J$2:$J$48,A474),COUNTIFS('Conciliacion de compuestos'!$D$2:$D$48,"conciliado",'Conciliacion de compuestos'!$E$2:$E$48,"OK",'Conciliacion de compuestos'!$K$2:$K$48,A474),COUNTIFS('Conciliacion de compuestos'!$D$2:$D$48,"conciliado",'Conciliacion de compuestos'!$E$2:$E$48,"OK",'Conciliacion de compuestos'!$L$2:$L$48,A474))&gt;0,"conciliado en compuesto confirmado","disponible")</f>
        <v/>
      </c>
    </row>
    <row r="475">
      <c r="A475" s="11" t="n">
        <v>479</v>
      </c>
      <c r="B475" s="12" t="n">
        <v>46000</v>
      </c>
      <c r="C475" s="11" t="inlineStr">
        <is>
          <t>credibanco d e retefuente voucher y</t>
        </is>
      </c>
      <c r="D475" s="13" t="n">
        <v>-675</v>
      </c>
      <c r="E475" s="11">
        <f>IF(SUM(COUNTIFS('Conciliacion de compuestos'!$D$2:$D$48,"conciliado",'Conciliacion de compuestos'!$E$2:$E$48,"OK",'Conciliacion de compuestos'!$J$2:$J$48,A475),COUNTIFS('Conciliacion de compuestos'!$D$2:$D$48,"conciliado",'Conciliacion de compuestos'!$E$2:$E$48,"OK",'Conciliacion de compuestos'!$K$2:$K$48,A475),COUNTIFS('Conciliacion de compuestos'!$D$2:$D$48,"conciliado",'Conciliacion de compuestos'!$E$2:$E$48,"OK",'Conciliacion de compuestos'!$L$2:$L$48,A475))&gt;0,"conciliado en compuesto confirmado","disponible")</f>
        <v/>
      </c>
    </row>
    <row r="476">
      <c r="A476" s="11" t="n">
        <v>480</v>
      </c>
      <c r="B476" s="12" t="n">
        <v>46000</v>
      </c>
      <c r="C476" s="11" t="inlineStr">
        <is>
          <t>a financiero gravamen movimiento</t>
        </is>
      </c>
      <c r="D476" s="13" t="n">
        <v>-3</v>
      </c>
      <c r="E476" s="11">
        <f>IF(SUM(COUNTIFS('Conciliacion de compuestos'!$D$2:$D$48,"conciliado",'Conciliacion de compuestos'!$E$2:$E$48,"OK",'Conciliacion de compuestos'!$J$2:$J$48,A476),COUNTIFS('Conciliacion de compuestos'!$D$2:$D$48,"conciliado",'Conciliacion de compuestos'!$E$2:$E$48,"OK",'Conciliacion de compuestos'!$K$2:$K$48,A476),COUNTIFS('Conciliacion de compuestos'!$D$2:$D$48,"conciliado",'Conciliacion de compuestos'!$E$2:$E$48,"OK",'Conciliacion de compuestos'!$L$2:$L$48,A476))&gt;0,"conciliado en compuesto confirmado","disponible")</f>
        <v/>
      </c>
    </row>
    <row r="477">
      <c r="A477" s="11" t="n">
        <v>481</v>
      </c>
      <c r="B477" s="12" t="n">
        <v>46000</v>
      </c>
      <c r="C477" s="11" t="inlineStr">
        <is>
          <t>consignacion credibanco d e</t>
        </is>
      </c>
      <c r="D477" s="13" t="n">
        <v>77100</v>
      </c>
      <c r="E477" s="11">
        <f>IF(SUM(COUNTIFS('Conciliacion de compuestos'!$D$2:$D$48,"conciliado",'Conciliacion de compuestos'!$E$2:$E$48,"OK",'Conciliacion de compuestos'!$J$2:$J$48,A477),COUNTIFS('Conciliacion de compuestos'!$D$2:$D$48,"conciliado",'Conciliacion de compuestos'!$E$2:$E$48,"OK",'Conciliacion de compuestos'!$K$2:$K$48,A477),COUNTIFS('Conciliacion de compuestos'!$D$2:$D$48,"conciliado",'Conciliacion de compuestos'!$E$2:$E$48,"OK",'Conciliacion de compuestos'!$L$2:$L$48,A477))&gt;0,"conciliado en compuesto confirmado","disponible")</f>
        <v/>
      </c>
    </row>
    <row r="478">
      <c r="A478" s="11" t="n">
        <v>482</v>
      </c>
      <c r="B478" s="12" t="n">
        <v>46000</v>
      </c>
      <c r="C478" s="11" t="inlineStr">
        <is>
          <t>cobro comision depositos electronicos</t>
        </is>
      </c>
      <c r="D478" s="13" t="n">
        <v>-1688</v>
      </c>
      <c r="E478" s="11">
        <f>IF(SUM(COUNTIFS('Conciliacion de compuestos'!$D$2:$D$48,"conciliado",'Conciliacion de compuestos'!$E$2:$E$48,"OK",'Conciliacion de compuestos'!$J$2:$J$48,A478),COUNTIFS('Conciliacion de compuestos'!$D$2:$D$48,"conciliado",'Conciliacion de compuestos'!$E$2:$E$48,"OK",'Conciliacion de compuestos'!$K$2:$K$48,A478),COUNTIFS('Conciliacion de compuestos'!$D$2:$D$48,"conciliado",'Conciliacion de compuestos'!$E$2:$E$48,"OK",'Conciliacion de compuestos'!$L$2:$L$48,A478))&gt;0,"conciliado en compuesto confirmado","disponible")</f>
        <v/>
      </c>
    </row>
    <row r="479">
      <c r="A479" s="11" t="n">
        <v>483</v>
      </c>
      <c r="B479" s="12" t="n">
        <v>46000</v>
      </c>
      <c r="C479" s="11" t="inlineStr">
        <is>
          <t>a financiero gravamen movimiento</t>
        </is>
      </c>
      <c r="D479" s="13" t="n">
        <v>-7</v>
      </c>
      <c r="E479" s="11">
        <f>IF(SUM(COUNTIFS('Conciliacion de compuestos'!$D$2:$D$48,"conciliado",'Conciliacion de compuestos'!$E$2:$E$48,"OK",'Conciliacion de compuestos'!$J$2:$J$48,A479),COUNTIFS('Conciliacion de compuestos'!$D$2:$D$48,"conciliado",'Conciliacion de compuestos'!$E$2:$E$48,"OK",'Conciliacion de compuestos'!$K$2:$K$48,A479),COUNTIFS('Conciliacion de compuestos'!$D$2:$D$48,"conciliado",'Conciliacion de compuestos'!$E$2:$E$48,"OK",'Conciliacion de compuestos'!$L$2:$L$48,A479))&gt;0,"conciliado en compuesto confirmado","disponible")</f>
        <v/>
      </c>
    </row>
    <row r="480">
      <c r="A480" s="11" t="n">
        <v>484</v>
      </c>
      <c r="B480" s="12" t="n">
        <v>46000</v>
      </c>
      <c r="C480" s="11" t="inlineStr">
        <is>
          <t>credibanco d e retefuente voucher y</t>
        </is>
      </c>
      <c r="D480" s="13" t="n">
        <v>-1157</v>
      </c>
      <c r="E480" s="11">
        <f>IF(SUM(COUNTIFS('Conciliacion de compuestos'!$D$2:$D$48,"conciliado",'Conciliacion de compuestos'!$E$2:$E$48,"OK",'Conciliacion de compuestos'!$J$2:$J$48,A480),COUNTIFS('Conciliacion de compuestos'!$D$2:$D$48,"conciliado",'Conciliacion de compuestos'!$E$2:$E$48,"OK",'Conciliacion de compuestos'!$K$2:$K$48,A480),COUNTIFS('Conciliacion de compuestos'!$D$2:$D$48,"conciliado",'Conciliacion de compuestos'!$E$2:$E$48,"OK",'Conciliacion de compuestos'!$L$2:$L$48,A480))&gt;0,"conciliado en compuesto confirmado","disponible")</f>
        <v/>
      </c>
    </row>
    <row r="481">
      <c r="A481" s="11" t="n">
        <v>485</v>
      </c>
      <c r="B481" s="12" t="n">
        <v>46000</v>
      </c>
      <c r="C481" s="11" t="inlineStr">
        <is>
          <t>a financiero gravamen movimiento</t>
        </is>
      </c>
      <c r="D481" s="13" t="n">
        <v>-5</v>
      </c>
      <c r="E481" s="11">
        <f>IF(SUM(COUNTIFS('Conciliacion de compuestos'!$D$2:$D$48,"conciliado",'Conciliacion de compuestos'!$E$2:$E$48,"OK",'Conciliacion de compuestos'!$J$2:$J$48,A481),COUNTIFS('Conciliacion de compuestos'!$D$2:$D$48,"conciliado",'Conciliacion de compuestos'!$E$2:$E$48,"OK",'Conciliacion de compuestos'!$K$2:$K$48,A481),COUNTIFS('Conciliacion de compuestos'!$D$2:$D$48,"conciliado",'Conciliacion de compuestos'!$E$2:$E$48,"OK",'Conciliacion de compuestos'!$L$2:$L$48,A481))&gt;0,"conciliado en compuesto confirmado","disponible")</f>
        <v/>
      </c>
    </row>
    <row r="482">
      <c r="A482" s="11" t="n">
        <v>486</v>
      </c>
      <c r="B482" s="12" t="n">
        <v>46000</v>
      </c>
      <c r="C482" s="11" t="inlineStr">
        <is>
          <t>depositos electronicos masterca transaccion</t>
        </is>
      </c>
      <c r="D482" s="13" t="n">
        <v>37800</v>
      </c>
      <c r="E482" s="11">
        <f>IF(SUM(COUNTIFS('Conciliacion de compuestos'!$D$2:$D$48,"conciliado",'Conciliacion de compuestos'!$E$2:$E$48,"OK",'Conciliacion de compuestos'!$J$2:$J$48,A482),COUNTIFS('Conciliacion de compuestos'!$D$2:$D$48,"conciliado",'Conciliacion de compuestos'!$E$2:$E$48,"OK",'Conciliacion de compuestos'!$K$2:$K$48,A482),COUNTIFS('Conciliacion de compuestos'!$D$2:$D$48,"conciliado",'Conciliacion de compuestos'!$E$2:$E$48,"OK",'Conciliacion de compuestos'!$L$2:$L$48,A482))&gt;0,"conciliado en compuesto confirmado","disponible")</f>
        <v/>
      </c>
    </row>
    <row r="483">
      <c r="A483" s="11" t="n">
        <v>487</v>
      </c>
      <c r="B483" s="12" t="n">
        <v>46000</v>
      </c>
      <c r="C483" s="11" t="inlineStr">
        <is>
          <t>comision depositos electronicos mastercard</t>
        </is>
      </c>
      <c r="D483" s="13" t="n">
        <v>-888</v>
      </c>
      <c r="E483" s="11">
        <f>IF(SUM(COUNTIFS('Conciliacion de compuestos'!$D$2:$D$48,"conciliado",'Conciliacion de compuestos'!$E$2:$E$48,"OK",'Conciliacion de compuestos'!$J$2:$J$48,A483),COUNTIFS('Conciliacion de compuestos'!$D$2:$D$48,"conciliado",'Conciliacion de compuestos'!$E$2:$E$48,"OK",'Conciliacion de compuestos'!$K$2:$K$48,A483),COUNTIFS('Conciliacion de compuestos'!$D$2:$D$48,"conciliado",'Conciliacion de compuestos'!$E$2:$E$48,"OK",'Conciliacion de compuestos'!$L$2:$L$48,A483))&gt;0,"conciliado en compuesto confirmado","disponible")</f>
        <v/>
      </c>
    </row>
    <row r="484">
      <c r="A484" s="11" t="n">
        <v>488</v>
      </c>
      <c r="B484" s="12" t="n">
        <v>46000</v>
      </c>
      <c r="C484" s="11" t="inlineStr">
        <is>
          <t>a financiero gravamen movimiento</t>
        </is>
      </c>
      <c r="D484" s="13" t="n">
        <v>-4</v>
      </c>
      <c r="E484" s="11">
        <f>IF(SUM(COUNTIFS('Conciliacion de compuestos'!$D$2:$D$48,"conciliado",'Conciliacion de compuestos'!$E$2:$E$48,"OK",'Conciliacion de compuestos'!$J$2:$J$48,A484),COUNTIFS('Conciliacion de compuestos'!$D$2:$D$48,"conciliado",'Conciliacion de compuestos'!$E$2:$E$48,"OK",'Conciliacion de compuestos'!$K$2:$K$48,A484),COUNTIFS('Conciliacion de compuestos'!$D$2:$D$48,"conciliado",'Conciliacion de compuestos'!$E$2:$E$48,"OK",'Conciliacion de compuestos'!$L$2:$L$48,A484))&gt;0,"conciliado en compuesto confirmado","disponible")</f>
        <v/>
      </c>
    </row>
    <row r="485">
      <c r="A485" s="11" t="n">
        <v>489</v>
      </c>
      <c r="B485" s="12" t="n">
        <v>46000</v>
      </c>
      <c r="C485" s="11" t="inlineStr">
        <is>
          <t>depositos electronicos mastercar retefuente</t>
        </is>
      </c>
      <c r="D485" s="13" t="n">
        <v>-567</v>
      </c>
      <c r="E485" s="11">
        <f>IF(SUM(COUNTIFS('Conciliacion de compuestos'!$D$2:$D$48,"conciliado",'Conciliacion de compuestos'!$E$2:$E$48,"OK",'Conciliacion de compuestos'!$J$2:$J$48,A485),COUNTIFS('Conciliacion de compuestos'!$D$2:$D$48,"conciliado",'Conciliacion de compuestos'!$E$2:$E$48,"OK",'Conciliacion de compuestos'!$K$2:$K$48,A485),COUNTIFS('Conciliacion de compuestos'!$D$2:$D$48,"conciliado",'Conciliacion de compuestos'!$E$2:$E$48,"OK",'Conciliacion de compuestos'!$L$2:$L$48,A485))&gt;0,"conciliado en compuesto confirmado","disponible")</f>
        <v/>
      </c>
    </row>
    <row r="486">
      <c r="A486" s="11" t="n">
        <v>490</v>
      </c>
      <c r="B486" s="12" t="n">
        <v>46000</v>
      </c>
      <c r="C486" s="11" t="inlineStr">
        <is>
          <t>a financiero gravamen movimiento</t>
        </is>
      </c>
      <c r="D486" s="13" t="n">
        <v>-2</v>
      </c>
      <c r="E486" s="11">
        <f>IF(SUM(COUNTIFS('Conciliacion de compuestos'!$D$2:$D$48,"conciliado",'Conciliacion de compuestos'!$E$2:$E$48,"OK",'Conciliacion de compuestos'!$J$2:$J$48,A486),COUNTIFS('Conciliacion de compuestos'!$D$2:$D$48,"conciliado",'Conciliacion de compuestos'!$E$2:$E$48,"OK",'Conciliacion de compuestos'!$K$2:$K$48,A486),COUNTIFS('Conciliacion de compuestos'!$D$2:$D$48,"conciliado",'Conciliacion de compuestos'!$E$2:$E$48,"OK",'Conciliacion de compuestos'!$L$2:$L$48,A486))&gt;0,"conciliado en compuesto confirmado","disponible")</f>
        <v/>
      </c>
    </row>
    <row r="487">
      <c r="A487" s="11" t="n">
        <v>491</v>
      </c>
      <c r="B487" s="12" t="n">
        <v>46000</v>
      </c>
      <c r="C487" s="11" t="inlineStr">
        <is>
          <t>depositos electronicos masterca transaccion</t>
        </is>
      </c>
      <c r="D487" s="13" t="n">
        <v>44400</v>
      </c>
      <c r="E487" s="11">
        <f>IF(SUM(COUNTIFS('Conciliacion de compuestos'!$D$2:$D$48,"conciliado",'Conciliacion de compuestos'!$E$2:$E$48,"OK",'Conciliacion de compuestos'!$J$2:$J$48,A487),COUNTIFS('Conciliacion de compuestos'!$D$2:$D$48,"conciliado",'Conciliacion de compuestos'!$E$2:$E$48,"OK",'Conciliacion de compuestos'!$K$2:$K$48,A487),COUNTIFS('Conciliacion de compuestos'!$D$2:$D$48,"conciliado",'Conciliacion de compuestos'!$E$2:$E$48,"OK",'Conciliacion de compuestos'!$L$2:$L$48,A487))&gt;0,"conciliado en compuesto confirmado","disponible")</f>
        <v/>
      </c>
    </row>
    <row r="488">
      <c r="A488" s="11" t="n">
        <v>492</v>
      </c>
      <c r="B488" s="12" t="n">
        <v>46000</v>
      </c>
      <c r="C488" s="11" t="inlineStr">
        <is>
          <t>comision depositos electronicos mastercard</t>
        </is>
      </c>
      <c r="D488" s="13" t="n">
        <v>-844</v>
      </c>
      <c r="E488" s="11">
        <f>IF(SUM(COUNTIFS('Conciliacion de compuestos'!$D$2:$D$48,"conciliado",'Conciliacion de compuestos'!$E$2:$E$48,"OK",'Conciliacion de compuestos'!$J$2:$J$48,A488),COUNTIFS('Conciliacion de compuestos'!$D$2:$D$48,"conciliado",'Conciliacion de compuestos'!$E$2:$E$48,"OK",'Conciliacion de compuestos'!$K$2:$K$48,A488),COUNTIFS('Conciliacion de compuestos'!$D$2:$D$48,"conciliado",'Conciliacion de compuestos'!$E$2:$E$48,"OK",'Conciliacion de compuestos'!$L$2:$L$48,A488))&gt;0,"conciliado en compuesto confirmado","disponible")</f>
        <v/>
      </c>
    </row>
    <row r="489">
      <c r="A489" s="11" t="n">
        <v>493</v>
      </c>
      <c r="B489" s="12" t="n">
        <v>46000</v>
      </c>
      <c r="C489" s="11" t="inlineStr">
        <is>
          <t>a financiero gravamen movimiento</t>
        </is>
      </c>
      <c r="D489" s="13" t="n">
        <v>-3</v>
      </c>
      <c r="E489" s="11">
        <f>IF(SUM(COUNTIFS('Conciliacion de compuestos'!$D$2:$D$48,"conciliado",'Conciliacion de compuestos'!$E$2:$E$48,"OK",'Conciliacion de compuestos'!$J$2:$J$48,A489),COUNTIFS('Conciliacion de compuestos'!$D$2:$D$48,"conciliado",'Conciliacion de compuestos'!$E$2:$E$48,"OK",'Conciliacion de compuestos'!$K$2:$K$48,A489),COUNTIFS('Conciliacion de compuestos'!$D$2:$D$48,"conciliado",'Conciliacion de compuestos'!$E$2:$E$48,"OK",'Conciliacion de compuestos'!$L$2:$L$48,A489))&gt;0,"conciliado en compuesto confirmado","disponible")</f>
        <v/>
      </c>
    </row>
    <row r="490">
      <c r="A490" s="11" t="n">
        <v>494</v>
      </c>
      <c r="B490" s="12" t="n">
        <v>46000</v>
      </c>
      <c r="C490" s="11" t="inlineStr">
        <is>
          <t>depositos electronicos mastercar retefuente</t>
        </is>
      </c>
      <c r="D490" s="13" t="n">
        <v>-666</v>
      </c>
      <c r="E490" s="11">
        <f>IF(SUM(COUNTIFS('Conciliacion de compuestos'!$D$2:$D$48,"conciliado",'Conciliacion de compuestos'!$E$2:$E$48,"OK",'Conciliacion de compuestos'!$J$2:$J$48,A490),COUNTIFS('Conciliacion de compuestos'!$D$2:$D$48,"conciliado",'Conciliacion de compuestos'!$E$2:$E$48,"OK",'Conciliacion de compuestos'!$K$2:$K$48,A490),COUNTIFS('Conciliacion de compuestos'!$D$2:$D$48,"conciliado",'Conciliacion de compuestos'!$E$2:$E$48,"OK",'Conciliacion de compuestos'!$L$2:$L$48,A490))&gt;0,"conciliado en compuesto confirmado","disponible")</f>
        <v/>
      </c>
    </row>
    <row r="491">
      <c r="A491" s="11" t="n">
        <v>495</v>
      </c>
      <c r="B491" s="12" t="n">
        <v>46000</v>
      </c>
      <c r="C491" s="11" t="inlineStr">
        <is>
          <t>a financiero gravamen movimiento</t>
        </is>
      </c>
      <c r="D491" s="13" t="n">
        <v>-3</v>
      </c>
      <c r="E491" s="11">
        <f>IF(SUM(COUNTIFS('Conciliacion de compuestos'!$D$2:$D$48,"conciliado",'Conciliacion de compuestos'!$E$2:$E$48,"OK",'Conciliacion de compuestos'!$J$2:$J$48,A491),COUNTIFS('Conciliacion de compuestos'!$D$2:$D$48,"conciliado",'Conciliacion de compuestos'!$E$2:$E$48,"OK",'Conciliacion de compuestos'!$K$2:$K$48,A491),COUNTIFS('Conciliacion de compuestos'!$D$2:$D$48,"conciliado",'Conciliacion de compuestos'!$E$2:$E$48,"OK",'Conciliacion de compuestos'!$L$2:$L$48,A491))&gt;0,"conciliado en compuesto confirmado","disponible")</f>
        <v/>
      </c>
    </row>
    <row r="492">
      <c r="A492" s="11" t="n">
        <v>496</v>
      </c>
      <c r="B492" s="12" t="n">
        <v>46000</v>
      </c>
      <c r="C492" s="11" t="inlineStr">
        <is>
          <t>depositos electronicos masterca transaccion</t>
        </is>
      </c>
      <c r="D492" s="13" t="n">
        <v>1049690</v>
      </c>
      <c r="E492" s="11">
        <f>IF(SUM(COUNTIFS('Conciliacion de compuestos'!$D$2:$D$48,"conciliado",'Conciliacion de compuestos'!$E$2:$E$48,"OK",'Conciliacion de compuestos'!$J$2:$J$48,A492),COUNTIFS('Conciliacion de compuestos'!$D$2:$D$48,"conciliado",'Conciliacion de compuestos'!$E$2:$E$48,"OK",'Conciliacion de compuestos'!$K$2:$K$48,A492),COUNTIFS('Conciliacion de compuestos'!$D$2:$D$48,"conciliado",'Conciliacion de compuestos'!$E$2:$E$48,"OK",'Conciliacion de compuestos'!$L$2:$L$48,A492))&gt;0,"conciliado en compuesto confirmado","disponible")</f>
        <v/>
      </c>
    </row>
    <row r="493">
      <c r="A493" s="11" t="n">
        <v>497</v>
      </c>
      <c r="B493" s="12" t="n">
        <v>46000</v>
      </c>
      <c r="C493" s="11" t="inlineStr">
        <is>
          <t>comision depositos electronicos mastercard</t>
        </is>
      </c>
      <c r="D493" s="13" t="n">
        <v>-19944</v>
      </c>
      <c r="E493" s="11">
        <f>IF(SUM(COUNTIFS('Conciliacion de compuestos'!$D$2:$D$48,"conciliado",'Conciliacion de compuestos'!$E$2:$E$48,"OK",'Conciliacion de compuestos'!$J$2:$J$48,A493),COUNTIFS('Conciliacion de compuestos'!$D$2:$D$48,"conciliado",'Conciliacion de compuestos'!$E$2:$E$48,"OK",'Conciliacion de compuestos'!$K$2:$K$48,A493),COUNTIFS('Conciliacion de compuestos'!$D$2:$D$48,"conciliado",'Conciliacion de compuestos'!$E$2:$E$48,"OK",'Conciliacion de compuestos'!$L$2:$L$48,A493))&gt;0,"conciliado en compuesto confirmado","disponible")</f>
        <v/>
      </c>
    </row>
    <row r="494">
      <c r="A494" s="11" t="n">
        <v>498</v>
      </c>
      <c r="B494" s="12" t="n">
        <v>46000</v>
      </c>
      <c r="C494" s="11" t="inlineStr">
        <is>
          <t>a financiero gravamen movimiento</t>
        </is>
      </c>
      <c r="D494" s="13" t="n">
        <v>-80</v>
      </c>
      <c r="E494" s="11">
        <f>IF(SUM(COUNTIFS('Conciliacion de compuestos'!$D$2:$D$48,"conciliado",'Conciliacion de compuestos'!$E$2:$E$48,"OK",'Conciliacion de compuestos'!$J$2:$J$48,A494),COUNTIFS('Conciliacion de compuestos'!$D$2:$D$48,"conciliado",'Conciliacion de compuestos'!$E$2:$E$48,"OK",'Conciliacion de compuestos'!$K$2:$K$48,A494),COUNTIFS('Conciliacion de compuestos'!$D$2:$D$48,"conciliado",'Conciliacion de compuestos'!$E$2:$E$48,"OK",'Conciliacion de compuestos'!$L$2:$L$48,A494))&gt;0,"conciliado en compuesto confirmado","disponible")</f>
        <v/>
      </c>
    </row>
    <row r="495">
      <c r="A495" s="11" t="n">
        <v>499</v>
      </c>
      <c r="B495" s="12" t="n">
        <v>46000</v>
      </c>
      <c r="C495" s="11" t="inlineStr">
        <is>
          <t>depositos electronicos mastercar retefuente</t>
        </is>
      </c>
      <c r="D495" s="13" t="n">
        <v>-15745</v>
      </c>
      <c r="E495" s="11">
        <f>IF(SUM(COUNTIFS('Conciliacion de compuestos'!$D$2:$D$48,"conciliado",'Conciliacion de compuestos'!$E$2:$E$48,"OK",'Conciliacion de compuestos'!$J$2:$J$48,A495),COUNTIFS('Conciliacion de compuestos'!$D$2:$D$48,"conciliado",'Conciliacion de compuestos'!$E$2:$E$48,"OK",'Conciliacion de compuestos'!$K$2:$K$48,A495),COUNTIFS('Conciliacion de compuestos'!$D$2:$D$48,"conciliado",'Conciliacion de compuestos'!$E$2:$E$48,"OK",'Conciliacion de compuestos'!$L$2:$L$48,A495))&gt;0,"conciliado en compuesto confirmado","disponible")</f>
        <v/>
      </c>
    </row>
    <row r="496">
      <c r="A496" s="11" t="n">
        <v>500</v>
      </c>
      <c r="B496" s="12" t="n">
        <v>46000</v>
      </c>
      <c r="C496" s="11" t="inlineStr">
        <is>
          <t>a financiero gravamen movimiento</t>
        </is>
      </c>
      <c r="D496" s="13" t="n">
        <v>-63</v>
      </c>
      <c r="E496" s="11">
        <f>IF(SUM(COUNTIFS('Conciliacion de compuestos'!$D$2:$D$48,"conciliado",'Conciliacion de compuestos'!$E$2:$E$48,"OK",'Conciliacion de compuestos'!$J$2:$J$48,A496),COUNTIFS('Conciliacion de compuestos'!$D$2:$D$48,"conciliado",'Conciliacion de compuestos'!$E$2:$E$48,"OK",'Conciliacion de compuestos'!$K$2:$K$48,A496),COUNTIFS('Conciliacion de compuestos'!$D$2:$D$48,"conciliado",'Conciliacion de compuestos'!$E$2:$E$48,"OK",'Conciliacion de compuestos'!$L$2:$L$48,A496))&gt;0,"conciliado en compuesto confirmado","disponible")</f>
        <v/>
      </c>
    </row>
    <row r="497">
      <c r="A497" s="11" t="n">
        <v>501</v>
      </c>
      <c r="B497" s="12" t="n">
        <v>46000</v>
      </c>
      <c r="C497" s="11" t="inlineStr">
        <is>
          <t>depositos electronicos masterca transaccion</t>
        </is>
      </c>
      <c r="D497" s="13" t="n">
        <v>91900</v>
      </c>
      <c r="E497" s="11">
        <f>IF(SUM(COUNTIFS('Conciliacion de compuestos'!$D$2:$D$48,"conciliado",'Conciliacion de compuestos'!$E$2:$E$48,"OK",'Conciliacion de compuestos'!$J$2:$J$48,A497),COUNTIFS('Conciliacion de compuestos'!$D$2:$D$48,"conciliado",'Conciliacion de compuestos'!$E$2:$E$48,"OK",'Conciliacion de compuestos'!$K$2:$K$48,A497),COUNTIFS('Conciliacion de compuestos'!$D$2:$D$48,"conciliado",'Conciliacion de compuestos'!$E$2:$E$48,"OK",'Conciliacion de compuestos'!$L$2:$L$48,A497))&gt;0,"conciliado en compuesto confirmado","disponible")</f>
        <v/>
      </c>
    </row>
    <row r="498">
      <c r="A498" s="11" t="n">
        <v>502</v>
      </c>
      <c r="B498" s="12" t="n">
        <v>46000</v>
      </c>
      <c r="C498" s="11" t="inlineStr">
        <is>
          <t>comision depositos electronicos mastercard</t>
        </is>
      </c>
      <c r="D498" s="13" t="n">
        <v>-1746</v>
      </c>
      <c r="E498" s="11">
        <f>IF(SUM(COUNTIFS('Conciliacion de compuestos'!$D$2:$D$48,"conciliado",'Conciliacion de compuestos'!$E$2:$E$48,"OK",'Conciliacion de compuestos'!$J$2:$J$48,A498),COUNTIFS('Conciliacion de compuestos'!$D$2:$D$48,"conciliado",'Conciliacion de compuestos'!$E$2:$E$48,"OK",'Conciliacion de compuestos'!$K$2:$K$48,A498),COUNTIFS('Conciliacion de compuestos'!$D$2:$D$48,"conciliado",'Conciliacion de compuestos'!$E$2:$E$48,"OK",'Conciliacion de compuestos'!$L$2:$L$48,A498))&gt;0,"conciliado en compuesto confirmado","disponible")</f>
        <v/>
      </c>
    </row>
    <row r="499">
      <c r="A499" s="11" t="n">
        <v>503</v>
      </c>
      <c r="B499" s="12" t="n">
        <v>46000</v>
      </c>
      <c r="C499" s="11" t="inlineStr">
        <is>
          <t>a financiero gravamen movimiento</t>
        </is>
      </c>
      <c r="D499" s="13" t="n">
        <v>-7</v>
      </c>
      <c r="E499" s="11">
        <f>IF(SUM(COUNTIFS('Conciliacion de compuestos'!$D$2:$D$48,"conciliado",'Conciliacion de compuestos'!$E$2:$E$48,"OK",'Conciliacion de compuestos'!$J$2:$J$48,A499),COUNTIFS('Conciliacion de compuestos'!$D$2:$D$48,"conciliado",'Conciliacion de compuestos'!$E$2:$E$48,"OK",'Conciliacion de compuestos'!$K$2:$K$48,A499),COUNTIFS('Conciliacion de compuestos'!$D$2:$D$48,"conciliado",'Conciliacion de compuestos'!$E$2:$E$48,"OK",'Conciliacion de compuestos'!$L$2:$L$48,A499))&gt;0,"conciliado en compuesto confirmado","disponible")</f>
        <v/>
      </c>
    </row>
    <row r="500">
      <c r="A500" s="11" t="n">
        <v>504</v>
      </c>
      <c r="B500" s="12" t="n">
        <v>46000</v>
      </c>
      <c r="C500" s="11" t="inlineStr">
        <is>
          <t>depositos electronicos mastercar retefuente</t>
        </is>
      </c>
      <c r="D500" s="13" t="n">
        <v>-1379</v>
      </c>
      <c r="E500" s="11">
        <f>IF(SUM(COUNTIFS('Conciliacion de compuestos'!$D$2:$D$48,"conciliado",'Conciliacion de compuestos'!$E$2:$E$48,"OK",'Conciliacion de compuestos'!$J$2:$J$48,A500),COUNTIFS('Conciliacion de compuestos'!$D$2:$D$48,"conciliado",'Conciliacion de compuestos'!$E$2:$E$48,"OK",'Conciliacion de compuestos'!$K$2:$K$48,A500),COUNTIFS('Conciliacion de compuestos'!$D$2:$D$48,"conciliado",'Conciliacion de compuestos'!$E$2:$E$48,"OK",'Conciliacion de compuestos'!$L$2:$L$48,A500))&gt;0,"conciliado en compuesto confirmado","disponible")</f>
        <v/>
      </c>
    </row>
    <row r="501">
      <c r="A501" s="11" t="n">
        <v>505</v>
      </c>
      <c r="B501" s="12" t="n">
        <v>46000</v>
      </c>
      <c r="C501" s="11" t="inlineStr">
        <is>
          <t>a financiero gravamen movimiento</t>
        </is>
      </c>
      <c r="D501" s="13" t="n">
        <v>-6</v>
      </c>
      <c r="E501" s="11">
        <f>IF(SUM(COUNTIFS('Conciliacion de compuestos'!$D$2:$D$48,"conciliado",'Conciliacion de compuestos'!$E$2:$E$48,"OK",'Conciliacion de compuestos'!$J$2:$J$48,A501),COUNTIFS('Conciliacion de compuestos'!$D$2:$D$48,"conciliado",'Conciliacion de compuestos'!$E$2:$E$48,"OK",'Conciliacion de compuestos'!$K$2:$K$48,A501),COUNTIFS('Conciliacion de compuestos'!$D$2:$D$48,"conciliado",'Conciliacion de compuestos'!$E$2:$E$48,"OK",'Conciliacion de compuestos'!$L$2:$L$48,A501))&gt;0,"conciliado en compuesto confirmado","disponible")</f>
        <v/>
      </c>
    </row>
    <row r="502">
      <c r="A502" s="11" t="n">
        <v>506</v>
      </c>
      <c r="B502" s="12" t="n">
        <v>46000</v>
      </c>
      <c r="C502" s="11" t="inlineStr">
        <is>
          <t>depositos electronicos masterca transaccion</t>
        </is>
      </c>
      <c r="D502" s="13" t="n">
        <v>32200</v>
      </c>
      <c r="E502" s="11">
        <f>IF(SUM(COUNTIFS('Conciliacion de compuestos'!$D$2:$D$48,"conciliado",'Conciliacion de compuestos'!$E$2:$E$48,"OK",'Conciliacion de compuestos'!$J$2:$J$48,A502),COUNTIFS('Conciliacion de compuestos'!$D$2:$D$48,"conciliado",'Conciliacion de compuestos'!$E$2:$E$48,"OK",'Conciliacion de compuestos'!$K$2:$K$48,A502),COUNTIFS('Conciliacion de compuestos'!$D$2:$D$48,"conciliado",'Conciliacion de compuestos'!$E$2:$E$48,"OK",'Conciliacion de compuestos'!$L$2:$L$48,A502))&gt;0,"conciliado en compuesto confirmado","disponible")</f>
        <v/>
      </c>
    </row>
    <row r="503">
      <c r="A503" s="11" t="n">
        <v>507</v>
      </c>
      <c r="B503" s="12" t="n">
        <v>46000</v>
      </c>
      <c r="C503" s="11" t="inlineStr">
        <is>
          <t>comision depositos electronicos mastercard</t>
        </is>
      </c>
      <c r="D503" s="13" t="n">
        <v>-612</v>
      </c>
      <c r="E503" s="11">
        <f>IF(SUM(COUNTIFS('Conciliacion de compuestos'!$D$2:$D$48,"conciliado",'Conciliacion de compuestos'!$E$2:$E$48,"OK",'Conciliacion de compuestos'!$J$2:$J$48,A503),COUNTIFS('Conciliacion de compuestos'!$D$2:$D$48,"conciliado",'Conciliacion de compuestos'!$E$2:$E$48,"OK",'Conciliacion de compuestos'!$K$2:$K$48,A503),COUNTIFS('Conciliacion de compuestos'!$D$2:$D$48,"conciliado",'Conciliacion de compuestos'!$E$2:$E$48,"OK",'Conciliacion de compuestos'!$L$2:$L$48,A503))&gt;0,"conciliado en compuesto confirmado","disponible")</f>
        <v/>
      </c>
    </row>
    <row r="504">
      <c r="A504" s="11" t="n">
        <v>508</v>
      </c>
      <c r="B504" s="12" t="n">
        <v>46000</v>
      </c>
      <c r="C504" s="11" t="inlineStr">
        <is>
          <t>a financiero gravamen movimiento</t>
        </is>
      </c>
      <c r="D504" s="13" t="n">
        <v>-2</v>
      </c>
      <c r="E504" s="11">
        <f>IF(SUM(COUNTIFS('Conciliacion de compuestos'!$D$2:$D$48,"conciliado",'Conciliacion de compuestos'!$E$2:$E$48,"OK",'Conciliacion de compuestos'!$J$2:$J$48,A504),COUNTIFS('Conciliacion de compuestos'!$D$2:$D$48,"conciliado",'Conciliacion de compuestos'!$E$2:$E$48,"OK",'Conciliacion de compuestos'!$K$2:$K$48,A504),COUNTIFS('Conciliacion de compuestos'!$D$2:$D$48,"conciliado",'Conciliacion de compuestos'!$E$2:$E$48,"OK",'Conciliacion de compuestos'!$L$2:$L$48,A504))&gt;0,"conciliado en compuesto confirmado","disponible")</f>
        <v/>
      </c>
    </row>
    <row r="505">
      <c r="A505" s="11" t="n">
        <v>509</v>
      </c>
      <c r="B505" s="12" t="n">
        <v>46000</v>
      </c>
      <c r="C505" s="11" t="inlineStr">
        <is>
          <t>depositos electronicos mastercar retefuente</t>
        </is>
      </c>
      <c r="D505" s="13" t="n">
        <v>-483</v>
      </c>
      <c r="E505" s="11">
        <f>IF(SUM(COUNTIFS('Conciliacion de compuestos'!$D$2:$D$48,"conciliado",'Conciliacion de compuestos'!$E$2:$E$48,"OK",'Conciliacion de compuestos'!$J$2:$J$48,A505),COUNTIFS('Conciliacion de compuestos'!$D$2:$D$48,"conciliado",'Conciliacion de compuestos'!$E$2:$E$48,"OK",'Conciliacion de compuestos'!$K$2:$K$48,A505),COUNTIFS('Conciliacion de compuestos'!$D$2:$D$48,"conciliado",'Conciliacion de compuestos'!$E$2:$E$48,"OK",'Conciliacion de compuestos'!$L$2:$L$48,A505))&gt;0,"conciliado en compuesto confirmado","disponible")</f>
        <v/>
      </c>
    </row>
    <row r="506">
      <c r="A506" s="11" t="n">
        <v>510</v>
      </c>
      <c r="B506" s="12" t="n">
        <v>46000</v>
      </c>
      <c r="C506" s="11" t="inlineStr">
        <is>
          <t>a financiero gravamen movimiento</t>
        </is>
      </c>
      <c r="D506" s="13" t="n">
        <v>-2</v>
      </c>
      <c r="E506" s="11">
        <f>IF(SUM(COUNTIFS('Conciliacion de compuestos'!$D$2:$D$48,"conciliado",'Conciliacion de compuestos'!$E$2:$E$48,"OK",'Conciliacion de compuestos'!$J$2:$J$48,A506),COUNTIFS('Conciliacion de compuestos'!$D$2:$D$48,"conciliado",'Conciliacion de compuestos'!$E$2:$E$48,"OK",'Conciliacion de compuestos'!$K$2:$K$48,A506),COUNTIFS('Conciliacion de compuestos'!$D$2:$D$48,"conciliado",'Conciliacion de compuestos'!$E$2:$E$48,"OK",'Conciliacion de compuestos'!$L$2:$L$48,A506))&gt;0,"conciliado en compuesto confirmado","disponible")</f>
        <v/>
      </c>
    </row>
    <row r="507">
      <c r="A507" s="11" t="n">
        <v>511</v>
      </c>
      <c r="B507" s="12" t="n">
        <v>46000</v>
      </c>
      <c r="C507" s="11" t="inlineStr">
        <is>
          <t>depositos electronicos masterca transaccion</t>
        </is>
      </c>
      <c r="D507" s="13" t="n">
        <v>20700</v>
      </c>
      <c r="E507" s="11">
        <f>IF(SUM(COUNTIFS('Conciliacion de compuestos'!$D$2:$D$48,"conciliado",'Conciliacion de compuestos'!$E$2:$E$48,"OK",'Conciliacion de compuestos'!$J$2:$J$48,A507),COUNTIFS('Conciliacion de compuestos'!$D$2:$D$48,"conciliado",'Conciliacion de compuestos'!$E$2:$E$48,"OK",'Conciliacion de compuestos'!$K$2:$K$48,A507),COUNTIFS('Conciliacion de compuestos'!$D$2:$D$48,"conciliado",'Conciliacion de compuestos'!$E$2:$E$48,"OK",'Conciliacion de compuestos'!$L$2:$L$48,A507))&gt;0,"conciliado en compuesto confirmado","disponible")</f>
        <v/>
      </c>
    </row>
    <row r="508">
      <c r="A508" s="11" t="n">
        <v>512</v>
      </c>
      <c r="B508" s="12" t="n">
        <v>46000</v>
      </c>
      <c r="C508" s="11" t="inlineStr">
        <is>
          <t>comision depositos electronicos mastercard</t>
        </is>
      </c>
      <c r="D508" s="13" t="n">
        <v>-393</v>
      </c>
      <c r="E508" s="11">
        <f>IF(SUM(COUNTIFS('Conciliacion de compuestos'!$D$2:$D$48,"conciliado",'Conciliacion de compuestos'!$E$2:$E$48,"OK",'Conciliacion de compuestos'!$J$2:$J$48,A508),COUNTIFS('Conciliacion de compuestos'!$D$2:$D$48,"conciliado",'Conciliacion de compuestos'!$E$2:$E$48,"OK",'Conciliacion de compuestos'!$K$2:$K$48,A508),COUNTIFS('Conciliacion de compuestos'!$D$2:$D$48,"conciliado",'Conciliacion de compuestos'!$E$2:$E$48,"OK",'Conciliacion de compuestos'!$L$2:$L$48,A508))&gt;0,"conciliado en compuesto confirmado","disponible")</f>
        <v/>
      </c>
    </row>
    <row r="509">
      <c r="A509" s="11" t="n">
        <v>513</v>
      </c>
      <c r="B509" s="12" t="n">
        <v>46000</v>
      </c>
      <c r="C509" s="11" t="inlineStr">
        <is>
          <t>a financiero gravamen movimiento</t>
        </is>
      </c>
      <c r="D509" s="13" t="n">
        <v>-2</v>
      </c>
      <c r="E509" s="11">
        <f>IF(SUM(COUNTIFS('Conciliacion de compuestos'!$D$2:$D$48,"conciliado",'Conciliacion de compuestos'!$E$2:$E$48,"OK",'Conciliacion de compuestos'!$J$2:$J$48,A509),COUNTIFS('Conciliacion de compuestos'!$D$2:$D$48,"conciliado",'Conciliacion de compuestos'!$E$2:$E$48,"OK",'Conciliacion de compuestos'!$K$2:$K$48,A509),COUNTIFS('Conciliacion de compuestos'!$D$2:$D$48,"conciliado",'Conciliacion de compuestos'!$E$2:$E$48,"OK",'Conciliacion de compuestos'!$L$2:$L$48,A509))&gt;0,"conciliado en compuesto confirmado","disponible")</f>
        <v/>
      </c>
    </row>
    <row r="510">
      <c r="A510" s="11" t="n">
        <v>514</v>
      </c>
      <c r="B510" s="12" t="n">
        <v>46000</v>
      </c>
      <c r="C510" s="11" t="inlineStr">
        <is>
          <t>depositos electronicos mastercar retefuente</t>
        </is>
      </c>
      <c r="D510" s="13" t="n">
        <v>-311</v>
      </c>
      <c r="E510" s="11">
        <f>IF(SUM(COUNTIFS('Conciliacion de compuestos'!$D$2:$D$48,"conciliado",'Conciliacion de compuestos'!$E$2:$E$48,"OK",'Conciliacion de compuestos'!$J$2:$J$48,A510),COUNTIFS('Conciliacion de compuestos'!$D$2:$D$48,"conciliado",'Conciliacion de compuestos'!$E$2:$E$48,"OK",'Conciliacion de compuestos'!$K$2:$K$48,A510),COUNTIFS('Conciliacion de compuestos'!$D$2:$D$48,"conciliado",'Conciliacion de compuestos'!$E$2:$E$48,"OK",'Conciliacion de compuestos'!$L$2:$L$48,A510))&gt;0,"conciliado en compuesto confirmado","disponible")</f>
        <v/>
      </c>
    </row>
    <row r="511">
      <c r="A511" s="11" t="n">
        <v>515</v>
      </c>
      <c r="B511" s="12" t="n">
        <v>46000</v>
      </c>
      <c r="C511" s="11" t="inlineStr">
        <is>
          <t>a financiero gravamen movimiento</t>
        </is>
      </c>
      <c r="D511" s="13" t="n">
        <v>-1</v>
      </c>
      <c r="E511" s="11">
        <f>IF(SUM(COUNTIFS('Conciliacion de compuestos'!$D$2:$D$48,"conciliado",'Conciliacion de compuestos'!$E$2:$E$48,"OK",'Conciliacion de compuestos'!$J$2:$J$48,A511),COUNTIFS('Conciliacion de compuestos'!$D$2:$D$48,"conciliado",'Conciliacion de compuestos'!$E$2:$E$48,"OK",'Conciliacion de compuestos'!$K$2:$K$48,A511),COUNTIFS('Conciliacion de compuestos'!$D$2:$D$48,"conciliado",'Conciliacion de compuestos'!$E$2:$E$48,"OK",'Conciliacion de compuestos'!$L$2:$L$48,A511))&gt;0,"conciliado en compuesto confirmado","disponible")</f>
        <v/>
      </c>
    </row>
    <row r="512">
      <c r="A512" s="11" t="n">
        <v>516</v>
      </c>
      <c r="B512" s="12" t="n">
        <v>46000</v>
      </c>
      <c r="C512" s="11" t="inlineStr">
        <is>
          <t>depositos electronicos masterca transaccion</t>
        </is>
      </c>
      <c r="D512" s="13" t="n">
        <v>80900</v>
      </c>
      <c r="E512" s="11">
        <f>IF(SUM(COUNTIFS('Conciliacion de compuestos'!$D$2:$D$48,"conciliado",'Conciliacion de compuestos'!$E$2:$E$48,"OK",'Conciliacion de compuestos'!$J$2:$J$48,A512),COUNTIFS('Conciliacion de compuestos'!$D$2:$D$48,"conciliado",'Conciliacion de compuestos'!$E$2:$E$48,"OK",'Conciliacion de compuestos'!$K$2:$K$48,A512),COUNTIFS('Conciliacion de compuestos'!$D$2:$D$48,"conciliado",'Conciliacion de compuestos'!$E$2:$E$48,"OK",'Conciliacion de compuestos'!$L$2:$L$48,A512))&gt;0,"conciliado en compuesto confirmado","disponible")</f>
        <v/>
      </c>
    </row>
    <row r="513">
      <c r="A513" s="11" t="n">
        <v>517</v>
      </c>
      <c r="B513" s="12" t="n">
        <v>46000</v>
      </c>
      <c r="C513" s="11" t="inlineStr">
        <is>
          <t>comision depositos electronicos mastercard</t>
        </is>
      </c>
      <c r="D513" s="13" t="n">
        <v>-1537</v>
      </c>
      <c r="E513" s="11">
        <f>IF(SUM(COUNTIFS('Conciliacion de compuestos'!$D$2:$D$48,"conciliado",'Conciliacion de compuestos'!$E$2:$E$48,"OK",'Conciliacion de compuestos'!$J$2:$J$48,A513),COUNTIFS('Conciliacion de compuestos'!$D$2:$D$48,"conciliado",'Conciliacion de compuestos'!$E$2:$E$48,"OK",'Conciliacion de compuestos'!$K$2:$K$48,A513),COUNTIFS('Conciliacion de compuestos'!$D$2:$D$48,"conciliado",'Conciliacion de compuestos'!$E$2:$E$48,"OK",'Conciliacion de compuestos'!$L$2:$L$48,A513))&gt;0,"conciliado en compuesto confirmado","disponible")</f>
        <v/>
      </c>
    </row>
    <row r="514">
      <c r="A514" s="11" t="n">
        <v>518</v>
      </c>
      <c r="B514" s="12" t="n">
        <v>46000</v>
      </c>
      <c r="C514" s="11" t="inlineStr">
        <is>
          <t>a financiero gravamen movimiento</t>
        </is>
      </c>
      <c r="D514" s="13" t="n">
        <v>-6</v>
      </c>
      <c r="E514" s="11">
        <f>IF(SUM(COUNTIFS('Conciliacion de compuestos'!$D$2:$D$48,"conciliado",'Conciliacion de compuestos'!$E$2:$E$48,"OK",'Conciliacion de compuestos'!$J$2:$J$48,A514),COUNTIFS('Conciliacion de compuestos'!$D$2:$D$48,"conciliado",'Conciliacion de compuestos'!$E$2:$E$48,"OK",'Conciliacion de compuestos'!$K$2:$K$48,A514),COUNTIFS('Conciliacion de compuestos'!$D$2:$D$48,"conciliado",'Conciliacion de compuestos'!$E$2:$E$48,"OK",'Conciliacion de compuestos'!$L$2:$L$48,A514))&gt;0,"conciliado en compuesto confirmado","disponible")</f>
        <v/>
      </c>
    </row>
    <row r="515">
      <c r="A515" s="11" t="n">
        <v>519</v>
      </c>
      <c r="B515" s="12" t="n">
        <v>46000</v>
      </c>
      <c r="C515" s="11" t="inlineStr">
        <is>
          <t>depositos electronicos mastercar retefuente</t>
        </is>
      </c>
      <c r="D515" s="13" t="n">
        <v>-1214</v>
      </c>
      <c r="E515" s="11">
        <f>IF(SUM(COUNTIFS('Conciliacion de compuestos'!$D$2:$D$48,"conciliado",'Conciliacion de compuestos'!$E$2:$E$48,"OK",'Conciliacion de compuestos'!$J$2:$J$48,A515),COUNTIFS('Conciliacion de compuestos'!$D$2:$D$48,"conciliado",'Conciliacion de compuestos'!$E$2:$E$48,"OK",'Conciliacion de compuestos'!$K$2:$K$48,A515),COUNTIFS('Conciliacion de compuestos'!$D$2:$D$48,"conciliado",'Conciliacion de compuestos'!$E$2:$E$48,"OK",'Conciliacion de compuestos'!$L$2:$L$48,A515))&gt;0,"conciliado en compuesto confirmado","disponible")</f>
        <v/>
      </c>
    </row>
    <row r="516">
      <c r="A516" s="11" t="n">
        <v>520</v>
      </c>
      <c r="B516" s="12" t="n">
        <v>46000</v>
      </c>
      <c r="C516" s="11" t="inlineStr">
        <is>
          <t>a financiero gravamen movimiento</t>
        </is>
      </c>
      <c r="D516" s="13" t="n">
        <v>-5</v>
      </c>
      <c r="E516" s="11">
        <f>IF(SUM(COUNTIFS('Conciliacion de compuestos'!$D$2:$D$48,"conciliado",'Conciliacion de compuestos'!$E$2:$E$48,"OK",'Conciliacion de compuestos'!$J$2:$J$48,A516),COUNTIFS('Conciliacion de compuestos'!$D$2:$D$48,"conciliado",'Conciliacion de compuestos'!$E$2:$E$48,"OK",'Conciliacion de compuestos'!$K$2:$K$48,A516),COUNTIFS('Conciliacion de compuestos'!$D$2:$D$48,"conciliado",'Conciliacion de compuestos'!$E$2:$E$48,"OK",'Conciliacion de compuestos'!$L$2:$L$48,A516))&gt;0,"conciliado en compuesto confirmado","disponible")</f>
        <v/>
      </c>
    </row>
    <row r="517">
      <c r="A517" s="11" t="n">
        <v>521</v>
      </c>
      <c r="B517" s="12" t="n">
        <v>46000</v>
      </c>
      <c r="C517" s="11" t="inlineStr">
        <is>
          <t>depositos electronicos masterca transaccion</t>
        </is>
      </c>
      <c r="D517" s="13" t="n">
        <v>38000</v>
      </c>
      <c r="E517" s="11">
        <f>IF(SUM(COUNTIFS('Conciliacion de compuestos'!$D$2:$D$48,"conciliado",'Conciliacion de compuestos'!$E$2:$E$48,"OK",'Conciliacion de compuestos'!$J$2:$J$48,A517),COUNTIFS('Conciliacion de compuestos'!$D$2:$D$48,"conciliado",'Conciliacion de compuestos'!$E$2:$E$48,"OK",'Conciliacion de compuestos'!$K$2:$K$48,A517),COUNTIFS('Conciliacion de compuestos'!$D$2:$D$48,"conciliado",'Conciliacion de compuestos'!$E$2:$E$48,"OK",'Conciliacion de compuestos'!$L$2:$L$48,A517))&gt;0,"conciliado en compuesto confirmado","disponible")</f>
        <v/>
      </c>
    </row>
    <row r="518">
      <c r="A518" s="11" t="n">
        <v>522</v>
      </c>
      <c r="B518" s="12" t="n">
        <v>46000</v>
      </c>
      <c r="C518" s="11" t="inlineStr">
        <is>
          <t>comision depositos electronicos mastercard</t>
        </is>
      </c>
      <c r="D518" s="13" t="n">
        <v>-722</v>
      </c>
      <c r="E518" s="11">
        <f>IF(SUM(COUNTIFS('Conciliacion de compuestos'!$D$2:$D$48,"conciliado",'Conciliacion de compuestos'!$E$2:$E$48,"OK",'Conciliacion de compuestos'!$J$2:$J$48,A518),COUNTIFS('Conciliacion de compuestos'!$D$2:$D$48,"conciliado",'Conciliacion de compuestos'!$E$2:$E$48,"OK",'Conciliacion de compuestos'!$K$2:$K$48,A518),COUNTIFS('Conciliacion de compuestos'!$D$2:$D$48,"conciliado",'Conciliacion de compuestos'!$E$2:$E$48,"OK",'Conciliacion de compuestos'!$L$2:$L$48,A518))&gt;0,"conciliado en compuesto confirmado","disponible")</f>
        <v/>
      </c>
    </row>
    <row r="519">
      <c r="A519" s="11" t="n">
        <v>523</v>
      </c>
      <c r="B519" s="12" t="n">
        <v>46000</v>
      </c>
      <c r="C519" s="11" t="inlineStr">
        <is>
          <t>a financiero gravamen movimiento</t>
        </is>
      </c>
      <c r="D519" s="13" t="n">
        <v>-3</v>
      </c>
      <c r="E519" s="11">
        <f>IF(SUM(COUNTIFS('Conciliacion de compuestos'!$D$2:$D$48,"conciliado",'Conciliacion de compuestos'!$E$2:$E$48,"OK",'Conciliacion de compuestos'!$J$2:$J$48,A519),COUNTIFS('Conciliacion de compuestos'!$D$2:$D$48,"conciliado",'Conciliacion de compuestos'!$E$2:$E$48,"OK",'Conciliacion de compuestos'!$K$2:$K$48,A519),COUNTIFS('Conciliacion de compuestos'!$D$2:$D$48,"conciliado",'Conciliacion de compuestos'!$E$2:$E$48,"OK",'Conciliacion de compuestos'!$L$2:$L$48,A519))&gt;0,"conciliado en compuesto confirmado","disponible")</f>
        <v/>
      </c>
    </row>
    <row r="520">
      <c r="A520" s="11" t="n">
        <v>524</v>
      </c>
      <c r="B520" s="12" t="n">
        <v>46000</v>
      </c>
      <c r="C520" s="11" t="inlineStr">
        <is>
          <t>depositos electronicos mastercar retefuente</t>
        </is>
      </c>
      <c r="D520" s="13" t="n">
        <v>-570</v>
      </c>
      <c r="E520" s="11">
        <f>IF(SUM(COUNTIFS('Conciliacion de compuestos'!$D$2:$D$48,"conciliado",'Conciliacion de compuestos'!$E$2:$E$48,"OK",'Conciliacion de compuestos'!$J$2:$J$48,A520),COUNTIFS('Conciliacion de compuestos'!$D$2:$D$48,"conciliado",'Conciliacion de compuestos'!$E$2:$E$48,"OK",'Conciliacion de compuestos'!$K$2:$K$48,A520),COUNTIFS('Conciliacion de compuestos'!$D$2:$D$48,"conciliado",'Conciliacion de compuestos'!$E$2:$E$48,"OK",'Conciliacion de compuestos'!$L$2:$L$48,A520))&gt;0,"conciliado en compuesto confirmado","disponible")</f>
        <v/>
      </c>
    </row>
    <row r="521">
      <c r="A521" s="11" t="n">
        <v>525</v>
      </c>
      <c r="B521" s="12" t="n">
        <v>46000</v>
      </c>
      <c r="C521" s="11" t="inlineStr">
        <is>
          <t>a financiero gravamen movimiento</t>
        </is>
      </c>
      <c r="D521" s="13" t="n">
        <v>-2</v>
      </c>
      <c r="E521" s="11">
        <f>IF(SUM(COUNTIFS('Conciliacion de compuestos'!$D$2:$D$48,"conciliado",'Conciliacion de compuestos'!$E$2:$E$48,"OK",'Conciliacion de compuestos'!$J$2:$J$48,A521),COUNTIFS('Conciliacion de compuestos'!$D$2:$D$48,"conciliado",'Conciliacion de compuestos'!$E$2:$E$48,"OK",'Conciliacion de compuestos'!$K$2:$K$48,A521),COUNTIFS('Conciliacion de compuestos'!$D$2:$D$48,"conciliado",'Conciliacion de compuestos'!$E$2:$E$48,"OK",'Conciliacion de compuestos'!$L$2:$L$48,A521))&gt;0,"conciliado en compuesto confirmado","disponible")</f>
        <v/>
      </c>
    </row>
    <row r="522">
      <c r="A522" s="11" t="n">
        <v>526</v>
      </c>
      <c r="B522" s="12" t="n">
        <v>46000</v>
      </c>
      <c r="C522" s="11" t="inlineStr">
        <is>
          <t>depositos electronicos masterca transaccion</t>
        </is>
      </c>
      <c r="D522" s="13" t="n">
        <v>21800</v>
      </c>
      <c r="E522" s="11">
        <f>IF(SUM(COUNTIFS('Conciliacion de compuestos'!$D$2:$D$48,"conciliado",'Conciliacion de compuestos'!$E$2:$E$48,"OK",'Conciliacion de compuestos'!$J$2:$J$48,A522),COUNTIFS('Conciliacion de compuestos'!$D$2:$D$48,"conciliado",'Conciliacion de compuestos'!$E$2:$E$48,"OK",'Conciliacion de compuestos'!$K$2:$K$48,A522),COUNTIFS('Conciliacion de compuestos'!$D$2:$D$48,"conciliado",'Conciliacion de compuestos'!$E$2:$E$48,"OK",'Conciliacion de compuestos'!$L$2:$L$48,A522))&gt;0,"conciliado en compuesto confirmado","disponible")</f>
        <v/>
      </c>
    </row>
    <row r="523">
      <c r="A523" s="11" t="n">
        <v>527</v>
      </c>
      <c r="B523" s="12" t="n">
        <v>46000</v>
      </c>
      <c r="C523" s="11" t="inlineStr">
        <is>
          <t>comision depositos electronicos mastercard</t>
        </is>
      </c>
      <c r="D523" s="13" t="n">
        <v>-414</v>
      </c>
      <c r="E523" s="11">
        <f>IF(SUM(COUNTIFS('Conciliacion de compuestos'!$D$2:$D$48,"conciliado",'Conciliacion de compuestos'!$E$2:$E$48,"OK",'Conciliacion de compuestos'!$J$2:$J$48,A523),COUNTIFS('Conciliacion de compuestos'!$D$2:$D$48,"conciliado",'Conciliacion de compuestos'!$E$2:$E$48,"OK",'Conciliacion de compuestos'!$K$2:$K$48,A523),COUNTIFS('Conciliacion de compuestos'!$D$2:$D$48,"conciliado",'Conciliacion de compuestos'!$E$2:$E$48,"OK",'Conciliacion de compuestos'!$L$2:$L$48,A523))&gt;0,"conciliado en compuesto confirmado","disponible")</f>
        <v/>
      </c>
    </row>
    <row r="524">
      <c r="A524" s="11" t="n">
        <v>528</v>
      </c>
      <c r="B524" s="12" t="n">
        <v>46000</v>
      </c>
      <c r="C524" s="11" t="inlineStr">
        <is>
          <t>a financiero gravamen movimiento</t>
        </is>
      </c>
      <c r="D524" s="13" t="n">
        <v>-2</v>
      </c>
      <c r="E524" s="11">
        <f>IF(SUM(COUNTIFS('Conciliacion de compuestos'!$D$2:$D$48,"conciliado",'Conciliacion de compuestos'!$E$2:$E$48,"OK",'Conciliacion de compuestos'!$J$2:$J$48,A524),COUNTIFS('Conciliacion de compuestos'!$D$2:$D$48,"conciliado",'Conciliacion de compuestos'!$E$2:$E$48,"OK",'Conciliacion de compuestos'!$K$2:$K$48,A524),COUNTIFS('Conciliacion de compuestos'!$D$2:$D$48,"conciliado",'Conciliacion de compuestos'!$E$2:$E$48,"OK",'Conciliacion de compuestos'!$L$2:$L$48,A524))&gt;0,"conciliado en compuesto confirmado","disponible")</f>
        <v/>
      </c>
    </row>
    <row r="525">
      <c r="A525" s="11" t="n">
        <v>529</v>
      </c>
      <c r="B525" s="12" t="n">
        <v>46000</v>
      </c>
      <c r="C525" s="11" t="inlineStr">
        <is>
          <t>depositos electronicos mastercar retefuente</t>
        </is>
      </c>
      <c r="D525" s="13" t="n">
        <v>-327</v>
      </c>
      <c r="E525" s="11">
        <f>IF(SUM(COUNTIFS('Conciliacion de compuestos'!$D$2:$D$48,"conciliado",'Conciliacion de compuestos'!$E$2:$E$48,"OK",'Conciliacion de compuestos'!$J$2:$J$48,A525),COUNTIFS('Conciliacion de compuestos'!$D$2:$D$48,"conciliado",'Conciliacion de compuestos'!$E$2:$E$48,"OK",'Conciliacion de compuestos'!$K$2:$K$48,A525),COUNTIFS('Conciliacion de compuestos'!$D$2:$D$48,"conciliado",'Conciliacion de compuestos'!$E$2:$E$48,"OK",'Conciliacion de compuestos'!$L$2:$L$48,A525))&gt;0,"conciliado en compuesto confirmado","disponible")</f>
        <v/>
      </c>
    </row>
    <row r="526">
      <c r="A526" s="11" t="n">
        <v>530</v>
      </c>
      <c r="B526" s="12" t="n">
        <v>46000</v>
      </c>
      <c r="C526" s="11" t="inlineStr">
        <is>
          <t>a financiero gravamen movimiento</t>
        </is>
      </c>
      <c r="D526" s="13" t="n">
        <v>-1</v>
      </c>
      <c r="E526" s="11">
        <f>IF(SUM(COUNTIFS('Conciliacion de compuestos'!$D$2:$D$48,"conciliado",'Conciliacion de compuestos'!$E$2:$E$48,"OK",'Conciliacion de compuestos'!$J$2:$J$48,A526),COUNTIFS('Conciliacion de compuestos'!$D$2:$D$48,"conciliado",'Conciliacion de compuestos'!$E$2:$E$48,"OK",'Conciliacion de compuestos'!$K$2:$K$48,A526),COUNTIFS('Conciliacion de compuestos'!$D$2:$D$48,"conciliado",'Conciliacion de compuestos'!$E$2:$E$48,"OK",'Conciliacion de compuestos'!$L$2:$L$48,A526))&gt;0,"conciliado en compuesto confirmado","disponible")</f>
        <v/>
      </c>
    </row>
    <row r="527">
      <c r="A527" s="11" t="n">
        <v>531</v>
      </c>
      <c r="B527" s="12" t="n">
        <v>46000</v>
      </c>
      <c r="C527" s="11" t="inlineStr">
        <is>
          <t>depositos electronicos masterca transaccion</t>
        </is>
      </c>
      <c r="D527" s="13" t="n">
        <v>103800</v>
      </c>
      <c r="E527" s="11">
        <f>IF(SUM(COUNTIFS('Conciliacion de compuestos'!$D$2:$D$48,"conciliado",'Conciliacion de compuestos'!$E$2:$E$48,"OK",'Conciliacion de compuestos'!$J$2:$J$48,A527),COUNTIFS('Conciliacion de compuestos'!$D$2:$D$48,"conciliado",'Conciliacion de compuestos'!$E$2:$E$48,"OK",'Conciliacion de compuestos'!$K$2:$K$48,A527),COUNTIFS('Conciliacion de compuestos'!$D$2:$D$48,"conciliado",'Conciliacion de compuestos'!$E$2:$E$48,"OK",'Conciliacion de compuestos'!$L$2:$L$48,A527))&gt;0,"conciliado en compuesto confirmado","disponible")</f>
        <v/>
      </c>
    </row>
    <row r="528">
      <c r="A528" s="11" t="n">
        <v>532</v>
      </c>
      <c r="B528" s="12" t="n">
        <v>46000</v>
      </c>
      <c r="C528" s="11" t="inlineStr">
        <is>
          <t>comision depositos electronicos mastercard</t>
        </is>
      </c>
      <c r="D528" s="13" t="n">
        <v>-1972</v>
      </c>
      <c r="E528" s="11">
        <f>IF(SUM(COUNTIFS('Conciliacion de compuestos'!$D$2:$D$48,"conciliado",'Conciliacion de compuestos'!$E$2:$E$48,"OK",'Conciliacion de compuestos'!$J$2:$J$48,A528),COUNTIFS('Conciliacion de compuestos'!$D$2:$D$48,"conciliado",'Conciliacion de compuestos'!$E$2:$E$48,"OK",'Conciliacion de compuestos'!$K$2:$K$48,A528),COUNTIFS('Conciliacion de compuestos'!$D$2:$D$48,"conciliado",'Conciliacion de compuestos'!$E$2:$E$48,"OK",'Conciliacion de compuestos'!$L$2:$L$48,A528))&gt;0,"conciliado en compuesto confirmado","disponible")</f>
        <v/>
      </c>
    </row>
    <row r="529">
      <c r="A529" s="11" t="n">
        <v>533</v>
      </c>
      <c r="B529" s="12" t="n">
        <v>46000</v>
      </c>
      <c r="C529" s="11" t="inlineStr">
        <is>
          <t>a financiero gravamen movimiento</t>
        </is>
      </c>
      <c r="D529" s="13" t="n">
        <v>-8</v>
      </c>
      <c r="E529" s="11">
        <f>IF(SUM(COUNTIFS('Conciliacion de compuestos'!$D$2:$D$48,"conciliado",'Conciliacion de compuestos'!$E$2:$E$48,"OK",'Conciliacion de compuestos'!$J$2:$J$48,A529),COUNTIFS('Conciliacion de compuestos'!$D$2:$D$48,"conciliado",'Conciliacion de compuestos'!$E$2:$E$48,"OK",'Conciliacion de compuestos'!$K$2:$K$48,A529),COUNTIFS('Conciliacion de compuestos'!$D$2:$D$48,"conciliado",'Conciliacion de compuestos'!$E$2:$E$48,"OK",'Conciliacion de compuestos'!$L$2:$L$48,A529))&gt;0,"conciliado en compuesto confirmado","disponible")</f>
        <v/>
      </c>
    </row>
    <row r="530">
      <c r="A530" s="11" t="n">
        <v>534</v>
      </c>
      <c r="B530" s="12" t="n">
        <v>46000</v>
      </c>
      <c r="C530" s="11" t="inlineStr">
        <is>
          <t>depositos electronicos mastercar retefuente</t>
        </is>
      </c>
      <c r="D530" s="13" t="n">
        <v>-1557</v>
      </c>
      <c r="E530" s="11">
        <f>IF(SUM(COUNTIFS('Conciliacion de compuestos'!$D$2:$D$48,"conciliado",'Conciliacion de compuestos'!$E$2:$E$48,"OK",'Conciliacion de compuestos'!$J$2:$J$48,A530),COUNTIFS('Conciliacion de compuestos'!$D$2:$D$48,"conciliado",'Conciliacion de compuestos'!$E$2:$E$48,"OK",'Conciliacion de compuestos'!$K$2:$K$48,A530),COUNTIFS('Conciliacion de compuestos'!$D$2:$D$48,"conciliado",'Conciliacion de compuestos'!$E$2:$E$48,"OK",'Conciliacion de compuestos'!$L$2:$L$48,A530))&gt;0,"conciliado en compuesto confirmado","disponible")</f>
        <v/>
      </c>
    </row>
    <row r="531">
      <c r="A531" s="11" t="n">
        <v>535</v>
      </c>
      <c r="B531" s="12" t="n">
        <v>46000</v>
      </c>
      <c r="C531" s="11" t="inlineStr">
        <is>
          <t>a financiero gravamen movimiento</t>
        </is>
      </c>
      <c r="D531" s="13" t="n">
        <v>-6</v>
      </c>
      <c r="E531" s="11">
        <f>IF(SUM(COUNTIFS('Conciliacion de compuestos'!$D$2:$D$48,"conciliado",'Conciliacion de compuestos'!$E$2:$E$48,"OK",'Conciliacion de compuestos'!$J$2:$J$48,A531),COUNTIFS('Conciliacion de compuestos'!$D$2:$D$48,"conciliado",'Conciliacion de compuestos'!$E$2:$E$48,"OK",'Conciliacion de compuestos'!$K$2:$K$48,A531),COUNTIFS('Conciliacion de compuestos'!$D$2:$D$48,"conciliado",'Conciliacion de compuestos'!$E$2:$E$48,"OK",'Conciliacion de compuestos'!$L$2:$L$48,A531))&gt;0,"conciliado en compuesto confirmado","disponible")</f>
        <v/>
      </c>
    </row>
    <row r="532">
      <c r="A532" s="11" t="n">
        <v>536</v>
      </c>
      <c r="B532" s="12" t="n">
        <v>46000</v>
      </c>
      <c r="C532" s="11" t="inlineStr">
        <is>
          <t>depositos electronicos masterca transaccion</t>
        </is>
      </c>
      <c r="D532" s="13" t="n">
        <v>32400</v>
      </c>
      <c r="E532" s="11">
        <f>IF(SUM(COUNTIFS('Conciliacion de compuestos'!$D$2:$D$48,"conciliado",'Conciliacion de compuestos'!$E$2:$E$48,"OK",'Conciliacion de compuestos'!$J$2:$J$48,A532),COUNTIFS('Conciliacion de compuestos'!$D$2:$D$48,"conciliado",'Conciliacion de compuestos'!$E$2:$E$48,"OK",'Conciliacion de compuestos'!$K$2:$K$48,A532),COUNTIFS('Conciliacion de compuestos'!$D$2:$D$48,"conciliado",'Conciliacion de compuestos'!$E$2:$E$48,"OK",'Conciliacion de compuestos'!$L$2:$L$48,A532))&gt;0,"conciliado en compuesto confirmado","disponible")</f>
        <v/>
      </c>
    </row>
    <row r="533">
      <c r="A533" s="11" t="n">
        <v>537</v>
      </c>
      <c r="B533" s="12" t="n">
        <v>46000</v>
      </c>
      <c r="C533" s="11" t="inlineStr">
        <is>
          <t>comision depositos electronicos mastercard</t>
        </is>
      </c>
      <c r="D533" s="13" t="n">
        <v>-616</v>
      </c>
      <c r="E533" s="11">
        <f>IF(SUM(COUNTIFS('Conciliacion de compuestos'!$D$2:$D$48,"conciliado",'Conciliacion de compuestos'!$E$2:$E$48,"OK",'Conciliacion de compuestos'!$J$2:$J$48,A533),COUNTIFS('Conciliacion de compuestos'!$D$2:$D$48,"conciliado",'Conciliacion de compuestos'!$E$2:$E$48,"OK",'Conciliacion de compuestos'!$K$2:$K$48,A533),COUNTIFS('Conciliacion de compuestos'!$D$2:$D$48,"conciliado",'Conciliacion de compuestos'!$E$2:$E$48,"OK",'Conciliacion de compuestos'!$L$2:$L$48,A533))&gt;0,"conciliado en compuesto confirmado","disponible")</f>
        <v/>
      </c>
    </row>
    <row r="534">
      <c r="A534" s="11" t="n">
        <v>538</v>
      </c>
      <c r="B534" s="12" t="n">
        <v>46000</v>
      </c>
      <c r="C534" s="11" t="inlineStr">
        <is>
          <t>a financiero gravamen movimiento</t>
        </is>
      </c>
      <c r="D534" s="13" t="n">
        <v>-2</v>
      </c>
      <c r="E534" s="11">
        <f>IF(SUM(COUNTIFS('Conciliacion de compuestos'!$D$2:$D$48,"conciliado",'Conciliacion de compuestos'!$E$2:$E$48,"OK",'Conciliacion de compuestos'!$J$2:$J$48,A534),COUNTIFS('Conciliacion de compuestos'!$D$2:$D$48,"conciliado",'Conciliacion de compuestos'!$E$2:$E$48,"OK",'Conciliacion de compuestos'!$K$2:$K$48,A534),COUNTIFS('Conciliacion de compuestos'!$D$2:$D$48,"conciliado",'Conciliacion de compuestos'!$E$2:$E$48,"OK",'Conciliacion de compuestos'!$L$2:$L$48,A534))&gt;0,"conciliado en compuesto confirmado","disponible")</f>
        <v/>
      </c>
    </row>
    <row r="535">
      <c r="A535" s="11" t="n">
        <v>539</v>
      </c>
      <c r="B535" s="12" t="n">
        <v>46000</v>
      </c>
      <c r="C535" s="11" t="inlineStr">
        <is>
          <t>depositos electronicos mastercar retefuente</t>
        </is>
      </c>
      <c r="D535" s="13" t="n">
        <v>-486</v>
      </c>
      <c r="E535" s="11">
        <f>IF(SUM(COUNTIFS('Conciliacion de compuestos'!$D$2:$D$48,"conciliado",'Conciliacion de compuestos'!$E$2:$E$48,"OK",'Conciliacion de compuestos'!$J$2:$J$48,A535),COUNTIFS('Conciliacion de compuestos'!$D$2:$D$48,"conciliado",'Conciliacion de compuestos'!$E$2:$E$48,"OK",'Conciliacion de compuestos'!$K$2:$K$48,A535),COUNTIFS('Conciliacion de compuestos'!$D$2:$D$48,"conciliado",'Conciliacion de compuestos'!$E$2:$E$48,"OK",'Conciliacion de compuestos'!$L$2:$L$48,A535))&gt;0,"conciliado en compuesto confirmado","disponible")</f>
        <v/>
      </c>
    </row>
    <row r="536">
      <c r="A536" s="11" t="n">
        <v>540</v>
      </c>
      <c r="B536" s="12" t="n">
        <v>46000</v>
      </c>
      <c r="C536" s="11" t="inlineStr">
        <is>
          <t>a financiero gravamen movimiento</t>
        </is>
      </c>
      <c r="D536" s="13" t="n">
        <v>-2</v>
      </c>
      <c r="E536" s="11">
        <f>IF(SUM(COUNTIFS('Conciliacion de compuestos'!$D$2:$D$48,"conciliado",'Conciliacion de compuestos'!$E$2:$E$48,"OK",'Conciliacion de compuestos'!$J$2:$J$48,A536),COUNTIFS('Conciliacion de compuestos'!$D$2:$D$48,"conciliado",'Conciliacion de compuestos'!$E$2:$E$48,"OK",'Conciliacion de compuestos'!$K$2:$K$48,A536),COUNTIFS('Conciliacion de compuestos'!$D$2:$D$48,"conciliado",'Conciliacion de compuestos'!$E$2:$E$48,"OK",'Conciliacion de compuestos'!$L$2:$L$48,A536))&gt;0,"conciliado en compuesto confirmado","disponible")</f>
        <v/>
      </c>
    </row>
    <row r="537">
      <c r="A537" s="11" t="n">
        <v>541</v>
      </c>
      <c r="B537" s="12" t="n">
        <v>46000</v>
      </c>
      <c r="C537" s="11" t="inlineStr">
        <is>
          <t>depositos electronicos masterca transaccion</t>
        </is>
      </c>
      <c r="D537" s="13" t="n">
        <v>57200</v>
      </c>
      <c r="E537" s="11">
        <f>IF(SUM(COUNTIFS('Conciliacion de compuestos'!$D$2:$D$48,"conciliado",'Conciliacion de compuestos'!$E$2:$E$48,"OK",'Conciliacion de compuestos'!$J$2:$J$48,A537),COUNTIFS('Conciliacion de compuestos'!$D$2:$D$48,"conciliado",'Conciliacion de compuestos'!$E$2:$E$48,"OK",'Conciliacion de compuestos'!$K$2:$K$48,A537),COUNTIFS('Conciliacion de compuestos'!$D$2:$D$48,"conciliado",'Conciliacion de compuestos'!$E$2:$E$48,"OK",'Conciliacion de compuestos'!$L$2:$L$48,A537))&gt;0,"conciliado en compuesto confirmado","disponible")</f>
        <v/>
      </c>
    </row>
    <row r="538">
      <c r="A538" s="11" t="n">
        <v>542</v>
      </c>
      <c r="B538" s="12" t="n">
        <v>46000</v>
      </c>
      <c r="C538" s="11" t="inlineStr">
        <is>
          <t>comision depositos electronicos mastercard</t>
        </is>
      </c>
      <c r="D538" s="13" t="n">
        <v>-1087</v>
      </c>
      <c r="E538" s="11">
        <f>IF(SUM(COUNTIFS('Conciliacion de compuestos'!$D$2:$D$48,"conciliado",'Conciliacion de compuestos'!$E$2:$E$48,"OK",'Conciliacion de compuestos'!$J$2:$J$48,A538),COUNTIFS('Conciliacion de compuestos'!$D$2:$D$48,"conciliado",'Conciliacion de compuestos'!$E$2:$E$48,"OK",'Conciliacion de compuestos'!$K$2:$K$48,A538),COUNTIFS('Conciliacion de compuestos'!$D$2:$D$48,"conciliado",'Conciliacion de compuestos'!$E$2:$E$48,"OK",'Conciliacion de compuestos'!$L$2:$L$48,A538))&gt;0,"conciliado en compuesto confirmado","disponible")</f>
        <v/>
      </c>
    </row>
    <row r="539">
      <c r="A539" s="11" t="n">
        <v>543</v>
      </c>
      <c r="B539" s="12" t="n">
        <v>46000</v>
      </c>
      <c r="C539" s="11" t="inlineStr">
        <is>
          <t>a financiero gravamen movimiento</t>
        </is>
      </c>
      <c r="D539" s="13" t="n">
        <v>-4</v>
      </c>
      <c r="E539" s="11">
        <f>IF(SUM(COUNTIFS('Conciliacion de compuestos'!$D$2:$D$48,"conciliado",'Conciliacion de compuestos'!$E$2:$E$48,"OK",'Conciliacion de compuestos'!$J$2:$J$48,A539),COUNTIFS('Conciliacion de compuestos'!$D$2:$D$48,"conciliado",'Conciliacion de compuestos'!$E$2:$E$48,"OK",'Conciliacion de compuestos'!$K$2:$K$48,A539),COUNTIFS('Conciliacion de compuestos'!$D$2:$D$48,"conciliado",'Conciliacion de compuestos'!$E$2:$E$48,"OK",'Conciliacion de compuestos'!$L$2:$L$48,A539))&gt;0,"conciliado en compuesto confirmado","disponible")</f>
        <v/>
      </c>
    </row>
    <row r="540">
      <c r="A540" s="11" t="n">
        <v>544</v>
      </c>
      <c r="B540" s="12" t="n">
        <v>46000</v>
      </c>
      <c r="C540" s="11" t="inlineStr">
        <is>
          <t>depositos electronicos mastercar retefuente</t>
        </is>
      </c>
      <c r="D540" s="13" t="n">
        <v>-858</v>
      </c>
      <c r="E540" s="11">
        <f>IF(SUM(COUNTIFS('Conciliacion de compuestos'!$D$2:$D$48,"conciliado",'Conciliacion de compuestos'!$E$2:$E$48,"OK",'Conciliacion de compuestos'!$J$2:$J$48,A540),COUNTIFS('Conciliacion de compuestos'!$D$2:$D$48,"conciliado",'Conciliacion de compuestos'!$E$2:$E$48,"OK",'Conciliacion de compuestos'!$K$2:$K$48,A540),COUNTIFS('Conciliacion de compuestos'!$D$2:$D$48,"conciliado",'Conciliacion de compuestos'!$E$2:$E$48,"OK",'Conciliacion de compuestos'!$L$2:$L$48,A540))&gt;0,"conciliado en compuesto confirmado","disponible")</f>
        <v/>
      </c>
    </row>
    <row r="541">
      <c r="A541" s="11" t="n">
        <v>545</v>
      </c>
      <c r="B541" s="12" t="n">
        <v>46000</v>
      </c>
      <c r="C541" s="11" t="inlineStr">
        <is>
          <t>a financiero gravamen movimiento</t>
        </is>
      </c>
      <c r="D541" s="13" t="n">
        <v>-3</v>
      </c>
      <c r="E541" s="11">
        <f>IF(SUM(COUNTIFS('Conciliacion de compuestos'!$D$2:$D$48,"conciliado",'Conciliacion de compuestos'!$E$2:$E$48,"OK",'Conciliacion de compuestos'!$J$2:$J$48,A541),COUNTIFS('Conciliacion de compuestos'!$D$2:$D$48,"conciliado",'Conciliacion de compuestos'!$E$2:$E$48,"OK",'Conciliacion de compuestos'!$K$2:$K$48,A541),COUNTIFS('Conciliacion de compuestos'!$D$2:$D$48,"conciliado",'Conciliacion de compuestos'!$E$2:$E$48,"OK",'Conciliacion de compuestos'!$L$2:$L$48,A541))&gt;0,"conciliado en compuesto confirmado","disponible")</f>
        <v/>
      </c>
    </row>
    <row r="542">
      <c r="A542" s="11" t="n">
        <v>546</v>
      </c>
      <c r="B542" s="12" t="n">
        <v>46000</v>
      </c>
      <c r="C542" s="11" t="inlineStr">
        <is>
          <t>depositos electronicos masterca transaccion</t>
        </is>
      </c>
      <c r="D542" s="13" t="n">
        <v>28500</v>
      </c>
      <c r="E542" s="11">
        <f>IF(SUM(COUNTIFS('Conciliacion de compuestos'!$D$2:$D$48,"conciliado",'Conciliacion de compuestos'!$E$2:$E$48,"OK",'Conciliacion de compuestos'!$J$2:$J$48,A542),COUNTIFS('Conciliacion de compuestos'!$D$2:$D$48,"conciliado",'Conciliacion de compuestos'!$E$2:$E$48,"OK",'Conciliacion de compuestos'!$K$2:$K$48,A542),COUNTIFS('Conciliacion de compuestos'!$D$2:$D$48,"conciliado",'Conciliacion de compuestos'!$E$2:$E$48,"OK",'Conciliacion de compuestos'!$L$2:$L$48,A542))&gt;0,"conciliado en compuesto confirmado","disponible")</f>
        <v/>
      </c>
    </row>
    <row r="543">
      <c r="A543" s="11" t="n">
        <v>547</v>
      </c>
      <c r="B543" s="12" t="n">
        <v>46000</v>
      </c>
      <c r="C543" s="11" t="inlineStr">
        <is>
          <t>comision depositos electronicos mastercard</t>
        </is>
      </c>
      <c r="D543" s="13" t="n">
        <v>-542</v>
      </c>
      <c r="E543" s="11">
        <f>IF(SUM(COUNTIFS('Conciliacion de compuestos'!$D$2:$D$48,"conciliado",'Conciliacion de compuestos'!$E$2:$E$48,"OK",'Conciliacion de compuestos'!$J$2:$J$48,A543),COUNTIFS('Conciliacion de compuestos'!$D$2:$D$48,"conciliado",'Conciliacion de compuestos'!$E$2:$E$48,"OK",'Conciliacion de compuestos'!$K$2:$K$48,A543),COUNTIFS('Conciliacion de compuestos'!$D$2:$D$48,"conciliado",'Conciliacion de compuestos'!$E$2:$E$48,"OK",'Conciliacion de compuestos'!$L$2:$L$48,A543))&gt;0,"conciliado en compuesto confirmado","disponible")</f>
        <v/>
      </c>
    </row>
    <row r="544">
      <c r="A544" s="11" t="n">
        <v>548</v>
      </c>
      <c r="B544" s="12" t="n">
        <v>46000</v>
      </c>
      <c r="C544" s="11" t="inlineStr">
        <is>
          <t>a financiero gravamen movimiento</t>
        </is>
      </c>
      <c r="D544" s="13" t="n">
        <v>-2</v>
      </c>
      <c r="E544" s="11">
        <f>IF(SUM(COUNTIFS('Conciliacion de compuestos'!$D$2:$D$48,"conciliado",'Conciliacion de compuestos'!$E$2:$E$48,"OK",'Conciliacion de compuestos'!$J$2:$J$48,A544),COUNTIFS('Conciliacion de compuestos'!$D$2:$D$48,"conciliado",'Conciliacion de compuestos'!$E$2:$E$48,"OK",'Conciliacion de compuestos'!$K$2:$K$48,A544),COUNTIFS('Conciliacion de compuestos'!$D$2:$D$48,"conciliado",'Conciliacion de compuestos'!$E$2:$E$48,"OK",'Conciliacion de compuestos'!$L$2:$L$48,A544))&gt;0,"conciliado en compuesto confirmado","disponible")</f>
        <v/>
      </c>
    </row>
    <row r="545">
      <c r="A545" s="11" t="n">
        <v>549</v>
      </c>
      <c r="B545" s="12" t="n">
        <v>46000</v>
      </c>
      <c r="C545" s="11" t="inlineStr">
        <is>
          <t>depositos electronicos mastercar retefuente</t>
        </is>
      </c>
      <c r="D545" s="13" t="n">
        <v>-428</v>
      </c>
      <c r="E545" s="11">
        <f>IF(SUM(COUNTIFS('Conciliacion de compuestos'!$D$2:$D$48,"conciliado",'Conciliacion de compuestos'!$E$2:$E$48,"OK",'Conciliacion de compuestos'!$J$2:$J$48,A545),COUNTIFS('Conciliacion de compuestos'!$D$2:$D$48,"conciliado",'Conciliacion de compuestos'!$E$2:$E$48,"OK",'Conciliacion de compuestos'!$K$2:$K$48,A545),COUNTIFS('Conciliacion de compuestos'!$D$2:$D$48,"conciliado",'Conciliacion de compuestos'!$E$2:$E$48,"OK",'Conciliacion de compuestos'!$L$2:$L$48,A545))&gt;0,"conciliado en compuesto confirmado","disponible")</f>
        <v/>
      </c>
    </row>
    <row r="546">
      <c r="A546" s="11" t="n">
        <v>550</v>
      </c>
      <c r="B546" s="12" t="n">
        <v>46000</v>
      </c>
      <c r="C546" s="11" t="inlineStr">
        <is>
          <t>a financiero gravamen movimiento</t>
        </is>
      </c>
      <c r="D546" s="13" t="n">
        <v>-2</v>
      </c>
      <c r="E546" s="11">
        <f>IF(SUM(COUNTIFS('Conciliacion de compuestos'!$D$2:$D$48,"conciliado",'Conciliacion de compuestos'!$E$2:$E$48,"OK",'Conciliacion de compuestos'!$J$2:$J$48,A546),COUNTIFS('Conciliacion de compuestos'!$D$2:$D$48,"conciliado",'Conciliacion de compuestos'!$E$2:$E$48,"OK",'Conciliacion de compuestos'!$K$2:$K$48,A546),COUNTIFS('Conciliacion de compuestos'!$D$2:$D$48,"conciliado",'Conciliacion de compuestos'!$E$2:$E$48,"OK",'Conciliacion de compuestos'!$L$2:$L$48,A546))&gt;0,"conciliado en compuesto confirmado","disponible")</f>
        <v/>
      </c>
    </row>
    <row r="547">
      <c r="A547" s="11" t="n">
        <v>551</v>
      </c>
      <c r="B547" s="12" t="n">
        <v>46001</v>
      </c>
      <c r="C547" s="11" t="inlineStr">
        <is>
          <t>consignacion credibanco d e</t>
        </is>
      </c>
      <c r="D547" s="13" t="n">
        <v>117600</v>
      </c>
      <c r="E547" s="11">
        <f>IF(SUM(COUNTIFS('Conciliacion de compuestos'!$D$2:$D$48,"conciliado",'Conciliacion de compuestos'!$E$2:$E$48,"OK",'Conciliacion de compuestos'!$J$2:$J$48,A547),COUNTIFS('Conciliacion de compuestos'!$D$2:$D$48,"conciliado",'Conciliacion de compuestos'!$E$2:$E$48,"OK",'Conciliacion de compuestos'!$K$2:$K$48,A547),COUNTIFS('Conciliacion de compuestos'!$D$2:$D$48,"conciliado",'Conciliacion de compuestos'!$E$2:$E$48,"OK",'Conciliacion de compuestos'!$L$2:$L$48,A547))&gt;0,"conciliado en compuesto confirmado","disponible")</f>
        <v/>
      </c>
    </row>
    <row r="548">
      <c r="A548" s="11" t="n">
        <v>552</v>
      </c>
      <c r="B548" s="12" t="n">
        <v>46001</v>
      </c>
      <c r="C548" s="11" t="inlineStr">
        <is>
          <t>cobro comision depositos electronicos</t>
        </is>
      </c>
      <c r="D548" s="13" t="n">
        <v>-2540</v>
      </c>
      <c r="E548" s="11">
        <f>IF(SUM(COUNTIFS('Conciliacion de compuestos'!$D$2:$D$48,"conciliado",'Conciliacion de compuestos'!$E$2:$E$48,"OK",'Conciliacion de compuestos'!$J$2:$J$48,A548),COUNTIFS('Conciliacion de compuestos'!$D$2:$D$48,"conciliado",'Conciliacion de compuestos'!$E$2:$E$48,"OK",'Conciliacion de compuestos'!$K$2:$K$48,A548),COUNTIFS('Conciliacion de compuestos'!$D$2:$D$48,"conciliado",'Conciliacion de compuestos'!$E$2:$E$48,"OK",'Conciliacion de compuestos'!$L$2:$L$48,A548))&gt;0,"conciliado en compuesto confirmado","disponible")</f>
        <v/>
      </c>
    </row>
    <row r="549">
      <c r="A549" s="11" t="n">
        <v>553</v>
      </c>
      <c r="B549" s="12" t="n">
        <v>46001</v>
      </c>
      <c r="C549" s="11" t="inlineStr">
        <is>
          <t>a financiero gravamen movimiento</t>
        </is>
      </c>
      <c r="D549" s="13" t="n">
        <v>-10</v>
      </c>
      <c r="E549" s="11">
        <f>IF(SUM(COUNTIFS('Conciliacion de compuestos'!$D$2:$D$48,"conciliado",'Conciliacion de compuestos'!$E$2:$E$48,"OK",'Conciliacion de compuestos'!$J$2:$J$48,A549),COUNTIFS('Conciliacion de compuestos'!$D$2:$D$48,"conciliado",'Conciliacion de compuestos'!$E$2:$E$48,"OK",'Conciliacion de compuestos'!$K$2:$K$48,A549),COUNTIFS('Conciliacion de compuestos'!$D$2:$D$48,"conciliado",'Conciliacion de compuestos'!$E$2:$E$48,"OK",'Conciliacion de compuestos'!$L$2:$L$48,A549))&gt;0,"conciliado en compuesto confirmado","disponible")</f>
        <v/>
      </c>
    </row>
    <row r="550">
      <c r="A550" s="11" t="n">
        <v>554</v>
      </c>
      <c r="B550" s="12" t="n">
        <v>46001</v>
      </c>
      <c r="C550" s="11" t="inlineStr">
        <is>
          <t>credibanco d e retefuente voucher y</t>
        </is>
      </c>
      <c r="D550" s="13" t="n">
        <v>-1764</v>
      </c>
      <c r="E550" s="11">
        <f>IF(SUM(COUNTIFS('Conciliacion de compuestos'!$D$2:$D$48,"conciliado",'Conciliacion de compuestos'!$E$2:$E$48,"OK",'Conciliacion de compuestos'!$J$2:$J$48,A550),COUNTIFS('Conciliacion de compuestos'!$D$2:$D$48,"conciliado",'Conciliacion de compuestos'!$E$2:$E$48,"OK",'Conciliacion de compuestos'!$K$2:$K$48,A550),COUNTIFS('Conciliacion de compuestos'!$D$2:$D$48,"conciliado",'Conciliacion de compuestos'!$E$2:$E$48,"OK",'Conciliacion de compuestos'!$L$2:$L$48,A550))&gt;0,"conciliado en compuesto confirmado","disponible")</f>
        <v/>
      </c>
    </row>
    <row r="551">
      <c r="A551" s="11" t="n">
        <v>555</v>
      </c>
      <c r="B551" s="12" t="n">
        <v>46001</v>
      </c>
      <c r="C551" s="11" t="inlineStr">
        <is>
          <t>a financiero gravamen movimiento</t>
        </is>
      </c>
      <c r="D551" s="13" t="n">
        <v>-7</v>
      </c>
      <c r="E551" s="11">
        <f>IF(SUM(COUNTIFS('Conciliacion de compuestos'!$D$2:$D$48,"conciliado",'Conciliacion de compuestos'!$E$2:$E$48,"OK",'Conciliacion de compuestos'!$J$2:$J$48,A551),COUNTIFS('Conciliacion de compuestos'!$D$2:$D$48,"conciliado",'Conciliacion de compuestos'!$E$2:$E$48,"OK",'Conciliacion de compuestos'!$K$2:$K$48,A551),COUNTIFS('Conciliacion de compuestos'!$D$2:$D$48,"conciliado",'Conciliacion de compuestos'!$E$2:$E$48,"OK",'Conciliacion de compuestos'!$L$2:$L$48,A551))&gt;0,"conciliado en compuesto confirmado","disponible")</f>
        <v/>
      </c>
    </row>
    <row r="552">
      <c r="A552" s="11" t="n">
        <v>557</v>
      </c>
      <c r="B552" s="12" t="n">
        <v>46001</v>
      </c>
      <c r="C552" s="11" t="inlineStr">
        <is>
          <t>cobro comision depositos electronicos</t>
        </is>
      </c>
      <c r="D552" s="13" t="n">
        <v>-432</v>
      </c>
      <c r="E552" s="11">
        <f>IF(SUM(COUNTIFS('Conciliacion de compuestos'!$D$2:$D$48,"conciliado",'Conciliacion de compuestos'!$E$2:$E$48,"OK",'Conciliacion de compuestos'!$J$2:$J$48,A552),COUNTIFS('Conciliacion de compuestos'!$D$2:$D$48,"conciliado",'Conciliacion de compuestos'!$E$2:$E$48,"OK",'Conciliacion de compuestos'!$K$2:$K$48,A552),COUNTIFS('Conciliacion de compuestos'!$D$2:$D$48,"conciliado",'Conciliacion de compuestos'!$E$2:$E$48,"OK",'Conciliacion de compuestos'!$L$2:$L$48,A552))&gt;0,"conciliado en compuesto confirmado","disponible")</f>
        <v/>
      </c>
    </row>
    <row r="553">
      <c r="A553" s="11" t="n">
        <v>558</v>
      </c>
      <c r="B553" s="12" t="n">
        <v>46001</v>
      </c>
      <c r="C553" s="11" t="inlineStr">
        <is>
          <t>a financiero gravamen movimiento</t>
        </is>
      </c>
      <c r="D553" s="13" t="n">
        <v>-2</v>
      </c>
      <c r="E553" s="11">
        <f>IF(SUM(COUNTIFS('Conciliacion de compuestos'!$D$2:$D$48,"conciliado",'Conciliacion de compuestos'!$E$2:$E$48,"OK",'Conciliacion de compuestos'!$J$2:$J$48,A553),COUNTIFS('Conciliacion de compuestos'!$D$2:$D$48,"conciliado",'Conciliacion de compuestos'!$E$2:$E$48,"OK",'Conciliacion de compuestos'!$K$2:$K$48,A553),COUNTIFS('Conciliacion de compuestos'!$D$2:$D$48,"conciliado",'Conciliacion de compuestos'!$E$2:$E$48,"OK",'Conciliacion de compuestos'!$L$2:$L$48,A553))&gt;0,"conciliado en compuesto confirmado","disponible")</f>
        <v/>
      </c>
    </row>
    <row r="554">
      <c r="A554" s="11" t="n">
        <v>559</v>
      </c>
      <c r="B554" s="12" t="n">
        <v>46001</v>
      </c>
      <c r="C554" s="11" t="inlineStr">
        <is>
          <t>credibanco d e retefuente voucher y</t>
        </is>
      </c>
      <c r="D554" s="13" t="n">
        <v>-300</v>
      </c>
      <c r="E554" s="11">
        <f>IF(SUM(COUNTIFS('Conciliacion de compuestos'!$D$2:$D$48,"conciliado",'Conciliacion de compuestos'!$E$2:$E$48,"OK",'Conciliacion de compuestos'!$J$2:$J$48,A554),COUNTIFS('Conciliacion de compuestos'!$D$2:$D$48,"conciliado",'Conciliacion de compuestos'!$E$2:$E$48,"OK",'Conciliacion de compuestos'!$K$2:$K$48,A554),COUNTIFS('Conciliacion de compuestos'!$D$2:$D$48,"conciliado",'Conciliacion de compuestos'!$E$2:$E$48,"OK",'Conciliacion de compuestos'!$L$2:$L$48,A554))&gt;0,"conciliado en compuesto confirmado","disponible")</f>
        <v/>
      </c>
    </row>
    <row r="555">
      <c r="A555" s="11" t="n">
        <v>560</v>
      </c>
      <c r="B555" s="12" t="n">
        <v>46001</v>
      </c>
      <c r="C555" s="11" t="inlineStr">
        <is>
          <t>a financiero gravamen movimiento</t>
        </is>
      </c>
      <c r="D555" s="13" t="n">
        <v>-1</v>
      </c>
      <c r="E555" s="11">
        <f>IF(SUM(COUNTIFS('Conciliacion de compuestos'!$D$2:$D$48,"conciliado",'Conciliacion de compuestos'!$E$2:$E$48,"OK",'Conciliacion de compuestos'!$J$2:$J$48,A555),COUNTIFS('Conciliacion de compuestos'!$D$2:$D$48,"conciliado",'Conciliacion de compuestos'!$E$2:$E$48,"OK",'Conciliacion de compuestos'!$K$2:$K$48,A555),COUNTIFS('Conciliacion de compuestos'!$D$2:$D$48,"conciliado",'Conciliacion de compuestos'!$E$2:$E$48,"OK",'Conciliacion de compuestos'!$L$2:$L$48,A555))&gt;0,"conciliado en compuesto confirmado","disponible")</f>
        <v/>
      </c>
    </row>
    <row r="556">
      <c r="A556" s="11" t="n">
        <v>561</v>
      </c>
      <c r="B556" s="12" t="n">
        <v>46001</v>
      </c>
      <c r="C556" s="11" t="inlineStr">
        <is>
          <t>consignacion credibanco d e</t>
        </is>
      </c>
      <c r="D556" s="13" t="n">
        <v>16000</v>
      </c>
      <c r="E556" s="11">
        <f>IF(SUM(COUNTIFS('Conciliacion de compuestos'!$D$2:$D$48,"conciliado",'Conciliacion de compuestos'!$E$2:$E$48,"OK",'Conciliacion de compuestos'!$J$2:$J$48,A556),COUNTIFS('Conciliacion de compuestos'!$D$2:$D$48,"conciliado",'Conciliacion de compuestos'!$E$2:$E$48,"OK",'Conciliacion de compuestos'!$K$2:$K$48,A556),COUNTIFS('Conciliacion de compuestos'!$D$2:$D$48,"conciliado",'Conciliacion de compuestos'!$E$2:$E$48,"OK",'Conciliacion de compuestos'!$L$2:$L$48,A556))&gt;0,"conciliado en compuesto confirmado","disponible")</f>
        <v/>
      </c>
    </row>
    <row r="557">
      <c r="A557" s="11" t="n">
        <v>562</v>
      </c>
      <c r="B557" s="12" t="n">
        <v>46001</v>
      </c>
      <c r="C557" s="11" t="inlineStr">
        <is>
          <t>cobro comision depositos electronicos</t>
        </is>
      </c>
      <c r="D557" s="13" t="n">
        <v>-346</v>
      </c>
      <c r="E557" s="11">
        <f>IF(SUM(COUNTIFS('Conciliacion de compuestos'!$D$2:$D$48,"conciliado",'Conciliacion de compuestos'!$E$2:$E$48,"OK",'Conciliacion de compuestos'!$J$2:$J$48,A557),COUNTIFS('Conciliacion de compuestos'!$D$2:$D$48,"conciliado",'Conciliacion de compuestos'!$E$2:$E$48,"OK",'Conciliacion de compuestos'!$K$2:$K$48,A557),COUNTIFS('Conciliacion de compuestos'!$D$2:$D$48,"conciliado",'Conciliacion de compuestos'!$E$2:$E$48,"OK",'Conciliacion de compuestos'!$L$2:$L$48,A557))&gt;0,"conciliado en compuesto confirmado","disponible")</f>
        <v/>
      </c>
    </row>
    <row r="558">
      <c r="A558" s="11" t="n">
        <v>563</v>
      </c>
      <c r="B558" s="12" t="n">
        <v>46001</v>
      </c>
      <c r="C558" s="11" t="inlineStr">
        <is>
          <t>a financiero gravamen movimiento</t>
        </is>
      </c>
      <c r="D558" s="13" t="n">
        <v>-1</v>
      </c>
      <c r="E558" s="11">
        <f>IF(SUM(COUNTIFS('Conciliacion de compuestos'!$D$2:$D$48,"conciliado",'Conciliacion de compuestos'!$E$2:$E$48,"OK",'Conciliacion de compuestos'!$J$2:$J$48,A558),COUNTIFS('Conciliacion de compuestos'!$D$2:$D$48,"conciliado",'Conciliacion de compuestos'!$E$2:$E$48,"OK",'Conciliacion de compuestos'!$K$2:$K$48,A558),COUNTIFS('Conciliacion de compuestos'!$D$2:$D$48,"conciliado",'Conciliacion de compuestos'!$E$2:$E$48,"OK",'Conciliacion de compuestos'!$L$2:$L$48,A558))&gt;0,"conciliado en compuesto confirmado","disponible")</f>
        <v/>
      </c>
    </row>
    <row r="559">
      <c r="A559" s="11" t="n">
        <v>564</v>
      </c>
      <c r="B559" s="12" t="n">
        <v>46001</v>
      </c>
      <c r="C559" s="11" t="inlineStr">
        <is>
          <t>credibanco d e retefuente voucher y</t>
        </is>
      </c>
      <c r="D559" s="13" t="n">
        <v>-240</v>
      </c>
      <c r="E559" s="11">
        <f>IF(SUM(COUNTIFS('Conciliacion de compuestos'!$D$2:$D$48,"conciliado",'Conciliacion de compuestos'!$E$2:$E$48,"OK",'Conciliacion de compuestos'!$J$2:$J$48,A559),COUNTIFS('Conciliacion de compuestos'!$D$2:$D$48,"conciliado",'Conciliacion de compuestos'!$E$2:$E$48,"OK",'Conciliacion de compuestos'!$K$2:$K$48,A559),COUNTIFS('Conciliacion de compuestos'!$D$2:$D$48,"conciliado",'Conciliacion de compuestos'!$E$2:$E$48,"OK",'Conciliacion de compuestos'!$L$2:$L$48,A559))&gt;0,"conciliado en compuesto confirmado","disponible")</f>
        <v/>
      </c>
    </row>
    <row r="560">
      <c r="A560" s="11" t="n">
        <v>565</v>
      </c>
      <c r="B560" s="12" t="n">
        <v>46001</v>
      </c>
      <c r="C560" s="11" t="inlineStr">
        <is>
          <t>a financiero gravamen movimiento</t>
        </is>
      </c>
      <c r="D560" s="13" t="n">
        <v>-1</v>
      </c>
      <c r="E560" s="11">
        <f>IF(SUM(COUNTIFS('Conciliacion de compuestos'!$D$2:$D$48,"conciliado",'Conciliacion de compuestos'!$E$2:$E$48,"OK",'Conciliacion de compuestos'!$J$2:$J$48,A560),COUNTIFS('Conciliacion de compuestos'!$D$2:$D$48,"conciliado",'Conciliacion de compuestos'!$E$2:$E$48,"OK",'Conciliacion de compuestos'!$K$2:$K$48,A560),COUNTIFS('Conciliacion de compuestos'!$D$2:$D$48,"conciliado",'Conciliacion de compuestos'!$E$2:$E$48,"OK",'Conciliacion de compuestos'!$L$2:$L$48,A560))&gt;0,"conciliado en compuesto confirmado","disponible")</f>
        <v/>
      </c>
    </row>
    <row r="561">
      <c r="A561" s="11" t="n">
        <v>566</v>
      </c>
      <c r="B561" s="12" t="n">
        <v>46001</v>
      </c>
      <c r="C561" s="11" t="inlineStr">
        <is>
          <t>consignacion credibanco d e</t>
        </is>
      </c>
      <c r="D561" s="13" t="n">
        <v>26890</v>
      </c>
      <c r="E561" s="11">
        <f>IF(SUM(COUNTIFS('Conciliacion de compuestos'!$D$2:$D$48,"conciliado",'Conciliacion de compuestos'!$E$2:$E$48,"OK",'Conciliacion de compuestos'!$J$2:$J$48,A561),COUNTIFS('Conciliacion de compuestos'!$D$2:$D$48,"conciliado",'Conciliacion de compuestos'!$E$2:$E$48,"OK",'Conciliacion de compuestos'!$K$2:$K$48,A561),COUNTIFS('Conciliacion de compuestos'!$D$2:$D$48,"conciliado",'Conciliacion de compuestos'!$E$2:$E$48,"OK",'Conciliacion de compuestos'!$L$2:$L$48,A561))&gt;0,"conciliado en compuesto confirmado","disponible")</f>
        <v/>
      </c>
    </row>
    <row r="562">
      <c r="A562" s="11" t="n">
        <v>567</v>
      </c>
      <c r="B562" s="12" t="n">
        <v>46001</v>
      </c>
      <c r="C562" s="11" t="inlineStr">
        <is>
          <t>cobro comision depositos electronicos</t>
        </is>
      </c>
      <c r="D562" s="13" t="n">
        <v>-581</v>
      </c>
      <c r="E562" s="11">
        <f>IF(SUM(COUNTIFS('Conciliacion de compuestos'!$D$2:$D$48,"conciliado",'Conciliacion de compuestos'!$E$2:$E$48,"OK",'Conciliacion de compuestos'!$J$2:$J$48,A562),COUNTIFS('Conciliacion de compuestos'!$D$2:$D$48,"conciliado",'Conciliacion de compuestos'!$E$2:$E$48,"OK",'Conciliacion de compuestos'!$K$2:$K$48,A562),COUNTIFS('Conciliacion de compuestos'!$D$2:$D$48,"conciliado",'Conciliacion de compuestos'!$E$2:$E$48,"OK",'Conciliacion de compuestos'!$L$2:$L$48,A562))&gt;0,"conciliado en compuesto confirmado","disponible")</f>
        <v/>
      </c>
    </row>
    <row r="563">
      <c r="A563" s="11" t="n">
        <v>568</v>
      </c>
      <c r="B563" s="12" t="n">
        <v>46001</v>
      </c>
      <c r="C563" s="11" t="inlineStr">
        <is>
          <t>a financiero gravamen movimiento</t>
        </is>
      </c>
      <c r="D563" s="13" t="n">
        <v>-2</v>
      </c>
      <c r="E563" s="11">
        <f>IF(SUM(COUNTIFS('Conciliacion de compuestos'!$D$2:$D$48,"conciliado",'Conciliacion de compuestos'!$E$2:$E$48,"OK",'Conciliacion de compuestos'!$J$2:$J$48,A563),COUNTIFS('Conciliacion de compuestos'!$D$2:$D$48,"conciliado",'Conciliacion de compuestos'!$E$2:$E$48,"OK",'Conciliacion de compuestos'!$K$2:$K$48,A563),COUNTIFS('Conciliacion de compuestos'!$D$2:$D$48,"conciliado",'Conciliacion de compuestos'!$E$2:$E$48,"OK",'Conciliacion de compuestos'!$L$2:$L$48,A563))&gt;0,"conciliado en compuesto confirmado","disponible")</f>
        <v/>
      </c>
    </row>
    <row r="564">
      <c r="A564" s="11" t="n">
        <v>569</v>
      </c>
      <c r="B564" s="12" t="n">
        <v>46001</v>
      </c>
      <c r="C564" s="11" t="inlineStr">
        <is>
          <t>credibanco d e retefuente voucher y</t>
        </is>
      </c>
      <c r="D564" s="13" t="n">
        <v>-403</v>
      </c>
      <c r="E564" s="11">
        <f>IF(SUM(COUNTIFS('Conciliacion de compuestos'!$D$2:$D$48,"conciliado",'Conciliacion de compuestos'!$E$2:$E$48,"OK",'Conciliacion de compuestos'!$J$2:$J$48,A564),COUNTIFS('Conciliacion de compuestos'!$D$2:$D$48,"conciliado",'Conciliacion de compuestos'!$E$2:$E$48,"OK",'Conciliacion de compuestos'!$K$2:$K$48,A564),COUNTIFS('Conciliacion de compuestos'!$D$2:$D$48,"conciliado",'Conciliacion de compuestos'!$E$2:$E$48,"OK",'Conciliacion de compuestos'!$L$2:$L$48,A564))&gt;0,"conciliado en compuesto confirmado","disponible")</f>
        <v/>
      </c>
    </row>
    <row r="565">
      <c r="A565" s="11" t="n">
        <v>570</v>
      </c>
      <c r="B565" s="12" t="n">
        <v>46001</v>
      </c>
      <c r="C565" s="11" t="inlineStr">
        <is>
          <t>a financiero gravamen movimiento</t>
        </is>
      </c>
      <c r="D565" s="13" t="n">
        <v>-2</v>
      </c>
      <c r="E565" s="11">
        <f>IF(SUM(COUNTIFS('Conciliacion de compuestos'!$D$2:$D$48,"conciliado",'Conciliacion de compuestos'!$E$2:$E$48,"OK",'Conciliacion de compuestos'!$J$2:$J$48,A565),COUNTIFS('Conciliacion de compuestos'!$D$2:$D$48,"conciliado",'Conciliacion de compuestos'!$E$2:$E$48,"OK",'Conciliacion de compuestos'!$K$2:$K$48,A565),COUNTIFS('Conciliacion de compuestos'!$D$2:$D$48,"conciliado",'Conciliacion de compuestos'!$E$2:$E$48,"OK",'Conciliacion de compuestos'!$L$2:$L$48,A565))&gt;0,"conciliado en compuesto confirmado","disponible")</f>
        <v/>
      </c>
    </row>
    <row r="566">
      <c r="A566" s="11" t="n">
        <v>571</v>
      </c>
      <c r="B566" s="12" t="n">
        <v>46001</v>
      </c>
      <c r="C566" s="11" t="inlineStr">
        <is>
          <t>consignacion credibanco d e</t>
        </is>
      </c>
      <c r="D566" s="13" t="n">
        <v>15500</v>
      </c>
      <c r="E566" s="11">
        <f>IF(SUM(COUNTIFS('Conciliacion de compuestos'!$D$2:$D$48,"conciliado",'Conciliacion de compuestos'!$E$2:$E$48,"OK",'Conciliacion de compuestos'!$J$2:$J$48,A566),COUNTIFS('Conciliacion de compuestos'!$D$2:$D$48,"conciliado",'Conciliacion de compuestos'!$E$2:$E$48,"OK",'Conciliacion de compuestos'!$K$2:$K$48,A566),COUNTIFS('Conciliacion de compuestos'!$D$2:$D$48,"conciliado",'Conciliacion de compuestos'!$E$2:$E$48,"OK",'Conciliacion de compuestos'!$L$2:$L$48,A566))&gt;0,"conciliado en compuesto confirmado","disponible")</f>
        <v/>
      </c>
    </row>
    <row r="567">
      <c r="A567" s="11" t="n">
        <v>572</v>
      </c>
      <c r="B567" s="12" t="n">
        <v>46001</v>
      </c>
      <c r="C567" s="11" t="inlineStr">
        <is>
          <t>cobro comision depositos electronicos</t>
        </is>
      </c>
      <c r="D567" s="13" t="n">
        <v>-339</v>
      </c>
      <c r="E567" s="11">
        <f>IF(SUM(COUNTIFS('Conciliacion de compuestos'!$D$2:$D$48,"conciliado",'Conciliacion de compuestos'!$E$2:$E$48,"OK",'Conciliacion de compuestos'!$J$2:$J$48,A567),COUNTIFS('Conciliacion de compuestos'!$D$2:$D$48,"conciliado",'Conciliacion de compuestos'!$E$2:$E$48,"OK",'Conciliacion de compuestos'!$K$2:$K$48,A567),COUNTIFS('Conciliacion de compuestos'!$D$2:$D$48,"conciliado",'Conciliacion de compuestos'!$E$2:$E$48,"OK",'Conciliacion de compuestos'!$L$2:$L$48,A567))&gt;0,"conciliado en compuesto confirmado","disponible")</f>
        <v/>
      </c>
    </row>
    <row r="568">
      <c r="A568" s="11" t="n">
        <v>573</v>
      </c>
      <c r="B568" s="12" t="n">
        <v>46001</v>
      </c>
      <c r="C568" s="11" t="inlineStr">
        <is>
          <t>a financiero gravamen movimiento</t>
        </is>
      </c>
      <c r="D568" s="13" t="n">
        <v>-1</v>
      </c>
      <c r="E568" s="11">
        <f>IF(SUM(COUNTIFS('Conciliacion de compuestos'!$D$2:$D$48,"conciliado",'Conciliacion de compuestos'!$E$2:$E$48,"OK",'Conciliacion de compuestos'!$J$2:$J$48,A568),COUNTIFS('Conciliacion de compuestos'!$D$2:$D$48,"conciliado",'Conciliacion de compuestos'!$E$2:$E$48,"OK",'Conciliacion de compuestos'!$K$2:$K$48,A568),COUNTIFS('Conciliacion de compuestos'!$D$2:$D$48,"conciliado",'Conciliacion de compuestos'!$E$2:$E$48,"OK",'Conciliacion de compuestos'!$L$2:$L$48,A568))&gt;0,"conciliado en compuesto confirmado","disponible")</f>
        <v/>
      </c>
    </row>
    <row r="569">
      <c r="A569" s="11" t="n">
        <v>574</v>
      </c>
      <c r="B569" s="12" t="n">
        <v>46001</v>
      </c>
      <c r="C569" s="11" t="inlineStr">
        <is>
          <t>credibanco d e retefuente voucher y</t>
        </is>
      </c>
      <c r="D569" s="13" t="n">
        <v>-233</v>
      </c>
      <c r="E569" s="11">
        <f>IF(SUM(COUNTIFS('Conciliacion de compuestos'!$D$2:$D$48,"conciliado",'Conciliacion de compuestos'!$E$2:$E$48,"OK",'Conciliacion de compuestos'!$J$2:$J$48,A569),COUNTIFS('Conciliacion de compuestos'!$D$2:$D$48,"conciliado",'Conciliacion de compuestos'!$E$2:$E$48,"OK",'Conciliacion de compuestos'!$K$2:$K$48,A569),COUNTIFS('Conciliacion de compuestos'!$D$2:$D$48,"conciliado",'Conciliacion de compuestos'!$E$2:$E$48,"OK",'Conciliacion de compuestos'!$L$2:$L$48,A569))&gt;0,"conciliado en compuesto confirmado","disponible")</f>
        <v/>
      </c>
    </row>
    <row r="570">
      <c r="A570" s="11" t="n">
        <v>575</v>
      </c>
      <c r="B570" s="12" t="n">
        <v>46001</v>
      </c>
      <c r="C570" s="11" t="inlineStr">
        <is>
          <t>a financiero gravamen movimiento</t>
        </is>
      </c>
      <c r="D570" s="13" t="n">
        <v>-1</v>
      </c>
      <c r="E570" s="11">
        <f>IF(SUM(COUNTIFS('Conciliacion de compuestos'!$D$2:$D$48,"conciliado",'Conciliacion de compuestos'!$E$2:$E$48,"OK",'Conciliacion de compuestos'!$J$2:$J$48,A570),COUNTIFS('Conciliacion de compuestos'!$D$2:$D$48,"conciliado",'Conciliacion de compuestos'!$E$2:$E$48,"OK",'Conciliacion de compuestos'!$K$2:$K$48,A570),COUNTIFS('Conciliacion de compuestos'!$D$2:$D$48,"conciliado",'Conciliacion de compuestos'!$E$2:$E$48,"OK",'Conciliacion de compuestos'!$L$2:$L$48,A570))&gt;0,"conciliado en compuesto confirmado","disponible")</f>
        <v/>
      </c>
    </row>
    <row r="571">
      <c r="A571" s="11" t="n">
        <v>576</v>
      </c>
      <c r="B571" s="12" t="n">
        <v>46001</v>
      </c>
      <c r="C571" s="11" t="inlineStr">
        <is>
          <t>consignacion credibanco d e</t>
        </is>
      </c>
      <c r="D571" s="13" t="n">
        <v>46800</v>
      </c>
      <c r="E571" s="11">
        <f>IF(SUM(COUNTIFS('Conciliacion de compuestos'!$D$2:$D$48,"conciliado",'Conciliacion de compuestos'!$E$2:$E$48,"OK",'Conciliacion de compuestos'!$J$2:$J$48,A571),COUNTIFS('Conciliacion de compuestos'!$D$2:$D$48,"conciliado",'Conciliacion de compuestos'!$E$2:$E$48,"OK",'Conciliacion de compuestos'!$K$2:$K$48,A571),COUNTIFS('Conciliacion de compuestos'!$D$2:$D$48,"conciliado",'Conciliacion de compuestos'!$E$2:$E$48,"OK",'Conciliacion de compuestos'!$L$2:$L$48,A571))&gt;0,"conciliado en compuesto confirmado","disponible")</f>
        <v/>
      </c>
    </row>
    <row r="572">
      <c r="A572" s="11" t="n">
        <v>577</v>
      </c>
      <c r="B572" s="12" t="n">
        <v>46001</v>
      </c>
      <c r="C572" s="11" t="inlineStr">
        <is>
          <t>cobro comision depositos electronicos</t>
        </is>
      </c>
      <c r="D572" s="13" t="n">
        <v>-1025</v>
      </c>
      <c r="E572" s="11">
        <f>IF(SUM(COUNTIFS('Conciliacion de compuestos'!$D$2:$D$48,"conciliado",'Conciliacion de compuestos'!$E$2:$E$48,"OK",'Conciliacion de compuestos'!$J$2:$J$48,A572),COUNTIFS('Conciliacion de compuestos'!$D$2:$D$48,"conciliado",'Conciliacion de compuestos'!$E$2:$E$48,"OK",'Conciliacion de compuestos'!$K$2:$K$48,A572),COUNTIFS('Conciliacion de compuestos'!$D$2:$D$48,"conciliado",'Conciliacion de compuestos'!$E$2:$E$48,"OK",'Conciliacion de compuestos'!$L$2:$L$48,A572))&gt;0,"conciliado en compuesto confirmado","disponible")</f>
        <v/>
      </c>
    </row>
    <row r="573">
      <c r="A573" s="11" t="n">
        <v>578</v>
      </c>
      <c r="B573" s="12" t="n">
        <v>46001</v>
      </c>
      <c r="C573" s="11" t="inlineStr">
        <is>
          <t>a financiero gravamen movimiento</t>
        </is>
      </c>
      <c r="D573" s="13" t="n">
        <v>-4</v>
      </c>
      <c r="E573" s="11">
        <f>IF(SUM(COUNTIFS('Conciliacion de compuestos'!$D$2:$D$48,"conciliado",'Conciliacion de compuestos'!$E$2:$E$48,"OK",'Conciliacion de compuestos'!$J$2:$J$48,A573),COUNTIFS('Conciliacion de compuestos'!$D$2:$D$48,"conciliado",'Conciliacion de compuestos'!$E$2:$E$48,"OK",'Conciliacion de compuestos'!$K$2:$K$48,A573),COUNTIFS('Conciliacion de compuestos'!$D$2:$D$48,"conciliado",'Conciliacion de compuestos'!$E$2:$E$48,"OK",'Conciliacion de compuestos'!$L$2:$L$48,A573))&gt;0,"conciliado en compuesto confirmado","disponible")</f>
        <v/>
      </c>
    </row>
    <row r="574">
      <c r="A574" s="11" t="n">
        <v>579</v>
      </c>
      <c r="B574" s="12" t="n">
        <v>46001</v>
      </c>
      <c r="C574" s="11" t="inlineStr">
        <is>
          <t>credibanco d e retefuente voucher y</t>
        </is>
      </c>
      <c r="D574" s="13" t="n">
        <v>-702</v>
      </c>
      <c r="E574" s="11">
        <f>IF(SUM(COUNTIFS('Conciliacion de compuestos'!$D$2:$D$48,"conciliado",'Conciliacion de compuestos'!$E$2:$E$48,"OK",'Conciliacion de compuestos'!$J$2:$J$48,A574),COUNTIFS('Conciliacion de compuestos'!$D$2:$D$48,"conciliado",'Conciliacion de compuestos'!$E$2:$E$48,"OK",'Conciliacion de compuestos'!$K$2:$K$48,A574),COUNTIFS('Conciliacion de compuestos'!$D$2:$D$48,"conciliado",'Conciliacion de compuestos'!$E$2:$E$48,"OK",'Conciliacion de compuestos'!$L$2:$L$48,A574))&gt;0,"conciliado en compuesto confirmado","disponible")</f>
        <v/>
      </c>
    </row>
    <row r="575">
      <c r="A575" s="11" t="n">
        <v>580</v>
      </c>
      <c r="B575" s="12" t="n">
        <v>46001</v>
      </c>
      <c r="C575" s="11" t="inlineStr">
        <is>
          <t>a financiero gravamen movimiento</t>
        </is>
      </c>
      <c r="D575" s="13" t="n">
        <v>-3</v>
      </c>
      <c r="E575" s="11">
        <f>IF(SUM(COUNTIFS('Conciliacion de compuestos'!$D$2:$D$48,"conciliado",'Conciliacion de compuestos'!$E$2:$E$48,"OK",'Conciliacion de compuestos'!$J$2:$J$48,A575),COUNTIFS('Conciliacion de compuestos'!$D$2:$D$48,"conciliado",'Conciliacion de compuestos'!$E$2:$E$48,"OK",'Conciliacion de compuestos'!$K$2:$K$48,A575),COUNTIFS('Conciliacion de compuestos'!$D$2:$D$48,"conciliado",'Conciliacion de compuestos'!$E$2:$E$48,"OK",'Conciliacion de compuestos'!$L$2:$L$48,A575))&gt;0,"conciliado en compuesto confirmado","disponible")</f>
        <v/>
      </c>
    </row>
    <row r="576">
      <c r="A576" s="11" t="n">
        <v>582</v>
      </c>
      <c r="B576" s="12" t="n">
        <v>46001</v>
      </c>
      <c r="C576" s="11" t="inlineStr">
        <is>
          <t>a financiero gravamen movimiento</t>
        </is>
      </c>
      <c r="D576" s="13" t="n">
        <v>-19058</v>
      </c>
      <c r="E576" s="11">
        <f>IF(SUM(COUNTIFS('Conciliacion de compuestos'!$D$2:$D$48,"conciliado",'Conciliacion de compuestos'!$E$2:$E$48,"OK",'Conciliacion de compuestos'!$J$2:$J$48,A576),COUNTIFS('Conciliacion de compuestos'!$D$2:$D$48,"conciliado",'Conciliacion de compuestos'!$E$2:$E$48,"OK",'Conciliacion de compuestos'!$K$2:$K$48,A576),COUNTIFS('Conciliacion de compuestos'!$D$2:$D$48,"conciliado",'Conciliacion de compuestos'!$E$2:$E$48,"OK",'Conciliacion de compuestos'!$L$2:$L$48,A576))&gt;0,"conciliado en compuesto confirmado","disponible")</f>
        <v/>
      </c>
    </row>
    <row r="577">
      <c r="A577" s="11" t="n">
        <v>583</v>
      </c>
      <c r="B577" s="12" t="n">
        <v>46002</v>
      </c>
      <c r="C577" s="11" t="inlineStr">
        <is>
          <t>consignacion credibanco d e</t>
        </is>
      </c>
      <c r="D577" s="13" t="n">
        <v>24200</v>
      </c>
      <c r="E577" s="11">
        <f>IF(SUM(COUNTIFS('Conciliacion de compuestos'!$D$2:$D$48,"conciliado",'Conciliacion de compuestos'!$E$2:$E$48,"OK",'Conciliacion de compuestos'!$J$2:$J$48,A577),COUNTIFS('Conciliacion de compuestos'!$D$2:$D$48,"conciliado",'Conciliacion de compuestos'!$E$2:$E$48,"OK",'Conciliacion de compuestos'!$K$2:$K$48,A577),COUNTIFS('Conciliacion de compuestos'!$D$2:$D$48,"conciliado",'Conciliacion de compuestos'!$E$2:$E$48,"OK",'Conciliacion de compuestos'!$L$2:$L$48,A577))&gt;0,"conciliado en compuesto confirmado","disponible")</f>
        <v/>
      </c>
    </row>
    <row r="578">
      <c r="A578" s="11" t="n">
        <v>584</v>
      </c>
      <c r="B578" s="12" t="n">
        <v>46002</v>
      </c>
      <c r="C578" s="11" t="inlineStr">
        <is>
          <t>cobro comision depositos electronicos</t>
        </is>
      </c>
      <c r="D578" s="13" t="n">
        <v>-523</v>
      </c>
      <c r="E578" s="11">
        <f>IF(SUM(COUNTIFS('Conciliacion de compuestos'!$D$2:$D$48,"conciliado",'Conciliacion de compuestos'!$E$2:$E$48,"OK",'Conciliacion de compuestos'!$J$2:$J$48,A578),COUNTIFS('Conciliacion de compuestos'!$D$2:$D$48,"conciliado",'Conciliacion de compuestos'!$E$2:$E$48,"OK",'Conciliacion de compuestos'!$K$2:$K$48,A578),COUNTIFS('Conciliacion de compuestos'!$D$2:$D$48,"conciliado",'Conciliacion de compuestos'!$E$2:$E$48,"OK",'Conciliacion de compuestos'!$L$2:$L$48,A578))&gt;0,"conciliado en compuesto confirmado","disponible")</f>
        <v/>
      </c>
    </row>
    <row r="579">
      <c r="A579" s="11" t="n">
        <v>585</v>
      </c>
      <c r="B579" s="12" t="n">
        <v>46002</v>
      </c>
      <c r="C579" s="11" t="inlineStr">
        <is>
          <t>a financiero gravamen movimiento</t>
        </is>
      </c>
      <c r="D579" s="13" t="n">
        <v>-2</v>
      </c>
      <c r="E579" s="11">
        <f>IF(SUM(COUNTIFS('Conciliacion de compuestos'!$D$2:$D$48,"conciliado",'Conciliacion de compuestos'!$E$2:$E$48,"OK",'Conciliacion de compuestos'!$J$2:$J$48,A579),COUNTIFS('Conciliacion de compuestos'!$D$2:$D$48,"conciliado",'Conciliacion de compuestos'!$E$2:$E$48,"OK",'Conciliacion de compuestos'!$K$2:$K$48,A579),COUNTIFS('Conciliacion de compuestos'!$D$2:$D$48,"conciliado",'Conciliacion de compuestos'!$E$2:$E$48,"OK",'Conciliacion de compuestos'!$L$2:$L$48,A579))&gt;0,"conciliado en compuesto confirmado","disponible")</f>
        <v/>
      </c>
    </row>
    <row r="580">
      <c r="A580" s="11" t="n">
        <v>586</v>
      </c>
      <c r="B580" s="12" t="n">
        <v>46002</v>
      </c>
      <c r="C580" s="11" t="inlineStr">
        <is>
          <t>credibanco d e retefuente voucher y</t>
        </is>
      </c>
      <c r="D580" s="13" t="n">
        <v>-363</v>
      </c>
      <c r="E580" s="11">
        <f>IF(SUM(COUNTIFS('Conciliacion de compuestos'!$D$2:$D$48,"conciliado",'Conciliacion de compuestos'!$E$2:$E$48,"OK",'Conciliacion de compuestos'!$J$2:$J$48,A580),COUNTIFS('Conciliacion de compuestos'!$D$2:$D$48,"conciliado",'Conciliacion de compuestos'!$E$2:$E$48,"OK",'Conciliacion de compuestos'!$K$2:$K$48,A580),COUNTIFS('Conciliacion de compuestos'!$D$2:$D$48,"conciliado",'Conciliacion de compuestos'!$E$2:$E$48,"OK",'Conciliacion de compuestos'!$L$2:$L$48,A580))&gt;0,"conciliado en compuesto confirmado","disponible")</f>
        <v/>
      </c>
    </row>
    <row r="581">
      <c r="A581" s="11" t="n">
        <v>587</v>
      </c>
      <c r="B581" s="12" t="n">
        <v>46002</v>
      </c>
      <c r="C581" s="11" t="inlineStr">
        <is>
          <t>a financiero gravamen movimiento</t>
        </is>
      </c>
      <c r="D581" s="13" t="n">
        <v>-1</v>
      </c>
      <c r="E581" s="11">
        <f>IF(SUM(COUNTIFS('Conciliacion de compuestos'!$D$2:$D$48,"conciliado",'Conciliacion de compuestos'!$E$2:$E$48,"OK",'Conciliacion de compuestos'!$J$2:$J$48,A581),COUNTIFS('Conciliacion de compuestos'!$D$2:$D$48,"conciliado",'Conciliacion de compuestos'!$E$2:$E$48,"OK",'Conciliacion de compuestos'!$K$2:$K$48,A581),COUNTIFS('Conciliacion de compuestos'!$D$2:$D$48,"conciliado",'Conciliacion de compuestos'!$E$2:$E$48,"OK",'Conciliacion de compuestos'!$L$2:$L$48,A581))&gt;0,"conciliado en compuesto confirmado","disponible")</f>
        <v/>
      </c>
    </row>
    <row r="582">
      <c r="A582" s="11" t="n">
        <v>588</v>
      </c>
      <c r="B582" s="12" t="n">
        <v>46002</v>
      </c>
      <c r="C582" s="11" t="inlineStr">
        <is>
          <t>consignacion credibanco d e</t>
        </is>
      </c>
      <c r="D582" s="13" t="n">
        <v>96700</v>
      </c>
      <c r="E582" s="11">
        <f>IF(SUM(COUNTIFS('Conciliacion de compuestos'!$D$2:$D$48,"conciliado",'Conciliacion de compuestos'!$E$2:$E$48,"OK",'Conciliacion de compuestos'!$J$2:$J$48,A582),COUNTIFS('Conciliacion de compuestos'!$D$2:$D$48,"conciliado",'Conciliacion de compuestos'!$E$2:$E$48,"OK",'Conciliacion de compuestos'!$K$2:$K$48,A582),COUNTIFS('Conciliacion de compuestos'!$D$2:$D$48,"conciliado",'Conciliacion de compuestos'!$E$2:$E$48,"OK",'Conciliacion de compuestos'!$L$2:$L$48,A582))&gt;0,"conciliado en compuesto confirmado","disponible")</f>
        <v/>
      </c>
    </row>
    <row r="583">
      <c r="A583" s="11" t="n">
        <v>589</v>
      </c>
      <c r="B583" s="12" t="n">
        <v>46002</v>
      </c>
      <c r="C583" s="11" t="inlineStr">
        <is>
          <t>cobro comision depositos electronicos</t>
        </is>
      </c>
      <c r="D583" s="13" t="n">
        <v>-2089</v>
      </c>
      <c r="E583" s="11">
        <f>IF(SUM(COUNTIFS('Conciliacion de compuestos'!$D$2:$D$48,"conciliado",'Conciliacion de compuestos'!$E$2:$E$48,"OK",'Conciliacion de compuestos'!$J$2:$J$48,A583),COUNTIFS('Conciliacion de compuestos'!$D$2:$D$48,"conciliado",'Conciliacion de compuestos'!$E$2:$E$48,"OK",'Conciliacion de compuestos'!$K$2:$K$48,A583),COUNTIFS('Conciliacion de compuestos'!$D$2:$D$48,"conciliado",'Conciliacion de compuestos'!$E$2:$E$48,"OK",'Conciliacion de compuestos'!$L$2:$L$48,A583))&gt;0,"conciliado en compuesto confirmado","disponible")</f>
        <v/>
      </c>
    </row>
    <row r="584">
      <c r="A584" s="11" t="n">
        <v>590</v>
      </c>
      <c r="B584" s="12" t="n">
        <v>46002</v>
      </c>
      <c r="C584" s="11" t="inlineStr">
        <is>
          <t>a financiero gravamen movimiento</t>
        </is>
      </c>
      <c r="D584" s="13" t="n">
        <v>-8</v>
      </c>
      <c r="E584" s="11">
        <f>IF(SUM(COUNTIFS('Conciliacion de compuestos'!$D$2:$D$48,"conciliado",'Conciliacion de compuestos'!$E$2:$E$48,"OK",'Conciliacion de compuestos'!$J$2:$J$48,A584),COUNTIFS('Conciliacion de compuestos'!$D$2:$D$48,"conciliado",'Conciliacion de compuestos'!$E$2:$E$48,"OK",'Conciliacion de compuestos'!$K$2:$K$48,A584),COUNTIFS('Conciliacion de compuestos'!$D$2:$D$48,"conciliado",'Conciliacion de compuestos'!$E$2:$E$48,"OK",'Conciliacion de compuestos'!$L$2:$L$48,A584))&gt;0,"conciliado en compuesto confirmado","disponible")</f>
        <v/>
      </c>
    </row>
    <row r="585">
      <c r="A585" s="11" t="n">
        <v>591</v>
      </c>
      <c r="B585" s="12" t="n">
        <v>46002</v>
      </c>
      <c r="C585" s="11" t="inlineStr">
        <is>
          <t>credibanco d e retefuente voucher y</t>
        </is>
      </c>
      <c r="D585" s="13" t="n">
        <v>-1451</v>
      </c>
      <c r="E585" s="11">
        <f>IF(SUM(COUNTIFS('Conciliacion de compuestos'!$D$2:$D$48,"conciliado",'Conciliacion de compuestos'!$E$2:$E$48,"OK",'Conciliacion de compuestos'!$J$2:$J$48,A585),COUNTIFS('Conciliacion de compuestos'!$D$2:$D$48,"conciliado",'Conciliacion de compuestos'!$E$2:$E$48,"OK",'Conciliacion de compuestos'!$K$2:$K$48,A585),COUNTIFS('Conciliacion de compuestos'!$D$2:$D$48,"conciliado",'Conciliacion de compuestos'!$E$2:$E$48,"OK",'Conciliacion de compuestos'!$L$2:$L$48,A585))&gt;0,"conciliado en compuesto confirmado","disponible")</f>
        <v/>
      </c>
    </row>
    <row r="586">
      <c r="A586" s="11" t="n">
        <v>592</v>
      </c>
      <c r="B586" s="12" t="n">
        <v>46002</v>
      </c>
      <c r="C586" s="11" t="inlineStr">
        <is>
          <t>a financiero gravamen movimiento</t>
        </is>
      </c>
      <c r="D586" s="13" t="n">
        <v>-6</v>
      </c>
      <c r="E586" s="11">
        <f>IF(SUM(COUNTIFS('Conciliacion de compuestos'!$D$2:$D$48,"conciliado",'Conciliacion de compuestos'!$E$2:$E$48,"OK",'Conciliacion de compuestos'!$J$2:$J$48,A586),COUNTIFS('Conciliacion de compuestos'!$D$2:$D$48,"conciliado",'Conciliacion de compuestos'!$E$2:$E$48,"OK",'Conciliacion de compuestos'!$K$2:$K$48,A586),COUNTIFS('Conciliacion de compuestos'!$D$2:$D$48,"conciliado",'Conciliacion de compuestos'!$E$2:$E$48,"OK",'Conciliacion de compuestos'!$L$2:$L$48,A586))&gt;0,"conciliado en compuesto confirmado","disponible")</f>
        <v/>
      </c>
    </row>
    <row r="587">
      <c r="A587" s="11" t="n">
        <v>593</v>
      </c>
      <c r="B587" s="12" t="n">
        <v>46002</v>
      </c>
      <c r="C587" s="11" t="inlineStr">
        <is>
          <t>consignacion credibanco d e</t>
        </is>
      </c>
      <c r="D587" s="13" t="n">
        <v>20000</v>
      </c>
      <c r="E587" s="11">
        <f>IF(SUM(COUNTIFS('Conciliacion de compuestos'!$D$2:$D$48,"conciliado",'Conciliacion de compuestos'!$E$2:$E$48,"OK",'Conciliacion de compuestos'!$J$2:$J$48,A587),COUNTIFS('Conciliacion de compuestos'!$D$2:$D$48,"conciliado",'Conciliacion de compuestos'!$E$2:$E$48,"OK",'Conciliacion de compuestos'!$K$2:$K$48,A587),COUNTIFS('Conciliacion de compuestos'!$D$2:$D$48,"conciliado",'Conciliacion de compuestos'!$E$2:$E$48,"OK",'Conciliacion de compuestos'!$L$2:$L$48,A587))&gt;0,"conciliado en compuesto confirmado","disponible")</f>
        <v/>
      </c>
    </row>
    <row r="588">
      <c r="A588" s="11" t="n">
        <v>594</v>
      </c>
      <c r="B588" s="12" t="n">
        <v>46002</v>
      </c>
      <c r="C588" s="11" t="inlineStr">
        <is>
          <t>cobro comision depositos electronicos</t>
        </is>
      </c>
      <c r="D588" s="13" t="n">
        <v>-412</v>
      </c>
      <c r="E588" s="11">
        <f>IF(SUM(COUNTIFS('Conciliacion de compuestos'!$D$2:$D$48,"conciliado",'Conciliacion de compuestos'!$E$2:$E$48,"OK",'Conciliacion de compuestos'!$J$2:$J$48,A588),COUNTIFS('Conciliacion de compuestos'!$D$2:$D$48,"conciliado",'Conciliacion de compuestos'!$E$2:$E$48,"OK",'Conciliacion de compuestos'!$K$2:$K$48,A588),COUNTIFS('Conciliacion de compuestos'!$D$2:$D$48,"conciliado",'Conciliacion de compuestos'!$E$2:$E$48,"OK",'Conciliacion de compuestos'!$L$2:$L$48,A588))&gt;0,"conciliado en compuesto confirmado","disponible")</f>
        <v/>
      </c>
    </row>
    <row r="589">
      <c r="A589" s="11" t="n">
        <v>595</v>
      </c>
      <c r="B589" s="12" t="n">
        <v>46002</v>
      </c>
      <c r="C589" s="11" t="inlineStr">
        <is>
          <t>a financiero gravamen movimiento</t>
        </is>
      </c>
      <c r="D589" s="13" t="n">
        <v>-2</v>
      </c>
      <c r="E589" s="11">
        <f>IF(SUM(COUNTIFS('Conciliacion de compuestos'!$D$2:$D$48,"conciliado",'Conciliacion de compuestos'!$E$2:$E$48,"OK",'Conciliacion de compuestos'!$J$2:$J$48,A589),COUNTIFS('Conciliacion de compuestos'!$D$2:$D$48,"conciliado",'Conciliacion de compuestos'!$E$2:$E$48,"OK",'Conciliacion de compuestos'!$K$2:$K$48,A589),COUNTIFS('Conciliacion de compuestos'!$D$2:$D$48,"conciliado",'Conciliacion de compuestos'!$E$2:$E$48,"OK",'Conciliacion de compuestos'!$L$2:$L$48,A589))&gt;0,"conciliado en compuesto confirmado","disponible")</f>
        <v/>
      </c>
    </row>
    <row r="590">
      <c r="A590" s="11" t="n">
        <v>596</v>
      </c>
      <c r="B590" s="12" t="n">
        <v>46002</v>
      </c>
      <c r="C590" s="11" t="inlineStr">
        <is>
          <t>credibanco d e retefuente voucher y</t>
        </is>
      </c>
      <c r="D590" s="13" t="n">
        <v>-300</v>
      </c>
      <c r="E590" s="11">
        <f>IF(SUM(COUNTIFS('Conciliacion de compuestos'!$D$2:$D$48,"conciliado",'Conciliacion de compuestos'!$E$2:$E$48,"OK",'Conciliacion de compuestos'!$J$2:$J$48,A590),COUNTIFS('Conciliacion de compuestos'!$D$2:$D$48,"conciliado",'Conciliacion de compuestos'!$E$2:$E$48,"OK",'Conciliacion de compuestos'!$K$2:$K$48,A590),COUNTIFS('Conciliacion de compuestos'!$D$2:$D$48,"conciliado",'Conciliacion de compuestos'!$E$2:$E$48,"OK",'Conciliacion de compuestos'!$L$2:$L$48,A590))&gt;0,"conciliado en compuesto confirmado","disponible")</f>
        <v/>
      </c>
    </row>
    <row r="591">
      <c r="A591" s="11" t="n">
        <v>597</v>
      </c>
      <c r="B591" s="12" t="n">
        <v>46002</v>
      </c>
      <c r="C591" s="11" t="inlineStr">
        <is>
          <t>a financiero gravamen movimiento</t>
        </is>
      </c>
      <c r="D591" s="13" t="n">
        <v>-1</v>
      </c>
      <c r="E591" s="11">
        <f>IF(SUM(COUNTIFS('Conciliacion de compuestos'!$D$2:$D$48,"conciliado",'Conciliacion de compuestos'!$E$2:$E$48,"OK",'Conciliacion de compuestos'!$J$2:$J$48,A591),COUNTIFS('Conciliacion de compuestos'!$D$2:$D$48,"conciliado",'Conciliacion de compuestos'!$E$2:$E$48,"OK",'Conciliacion de compuestos'!$K$2:$K$48,A591),COUNTIFS('Conciliacion de compuestos'!$D$2:$D$48,"conciliado",'Conciliacion de compuestos'!$E$2:$E$48,"OK",'Conciliacion de compuestos'!$L$2:$L$48,A591))&gt;0,"conciliado en compuesto confirmado","disponible")</f>
        <v/>
      </c>
    </row>
    <row r="592">
      <c r="A592" s="11" t="n">
        <v>598</v>
      </c>
      <c r="B592" s="12" t="n">
        <v>46002</v>
      </c>
      <c r="C592" s="11" t="inlineStr">
        <is>
          <t>consignacion credibanco d e</t>
        </is>
      </c>
      <c r="D592" s="13" t="n">
        <v>32100</v>
      </c>
      <c r="E592" s="11">
        <f>IF(SUM(COUNTIFS('Conciliacion de compuestos'!$D$2:$D$48,"conciliado",'Conciliacion de compuestos'!$E$2:$E$48,"OK",'Conciliacion de compuestos'!$J$2:$J$48,A592),COUNTIFS('Conciliacion de compuestos'!$D$2:$D$48,"conciliado",'Conciliacion de compuestos'!$E$2:$E$48,"OK",'Conciliacion de compuestos'!$K$2:$K$48,A592),COUNTIFS('Conciliacion de compuestos'!$D$2:$D$48,"conciliado",'Conciliacion de compuestos'!$E$2:$E$48,"OK",'Conciliacion de compuestos'!$L$2:$L$48,A592))&gt;0,"conciliado en compuesto confirmado","disponible")</f>
        <v/>
      </c>
    </row>
    <row r="593">
      <c r="A593" s="11" t="n">
        <v>599</v>
      </c>
      <c r="B593" s="12" t="n">
        <v>46002</v>
      </c>
      <c r="C593" s="11" t="inlineStr">
        <is>
          <t>cobro comision depositos electronicos</t>
        </is>
      </c>
      <c r="D593" s="13" t="n">
        <v>-693</v>
      </c>
      <c r="E593" s="11">
        <f>IF(SUM(COUNTIFS('Conciliacion de compuestos'!$D$2:$D$48,"conciliado",'Conciliacion de compuestos'!$E$2:$E$48,"OK",'Conciliacion de compuestos'!$J$2:$J$48,A593),COUNTIFS('Conciliacion de compuestos'!$D$2:$D$48,"conciliado",'Conciliacion de compuestos'!$E$2:$E$48,"OK",'Conciliacion de compuestos'!$K$2:$K$48,A593),COUNTIFS('Conciliacion de compuestos'!$D$2:$D$48,"conciliado",'Conciliacion de compuestos'!$E$2:$E$48,"OK",'Conciliacion de compuestos'!$L$2:$L$48,A593))&gt;0,"conciliado en compuesto confirmado","disponible")</f>
        <v/>
      </c>
    </row>
    <row r="594">
      <c r="A594" s="11" t="n">
        <v>600</v>
      </c>
      <c r="B594" s="12" t="n">
        <v>46002</v>
      </c>
      <c r="C594" s="11" t="inlineStr">
        <is>
          <t>a financiero gravamen movimiento</t>
        </is>
      </c>
      <c r="D594" s="13" t="n">
        <v>-3</v>
      </c>
      <c r="E594" s="11">
        <f>IF(SUM(COUNTIFS('Conciliacion de compuestos'!$D$2:$D$48,"conciliado",'Conciliacion de compuestos'!$E$2:$E$48,"OK",'Conciliacion de compuestos'!$J$2:$J$48,A594),COUNTIFS('Conciliacion de compuestos'!$D$2:$D$48,"conciliado",'Conciliacion de compuestos'!$E$2:$E$48,"OK",'Conciliacion de compuestos'!$K$2:$K$48,A594),COUNTIFS('Conciliacion de compuestos'!$D$2:$D$48,"conciliado",'Conciliacion de compuestos'!$E$2:$E$48,"OK",'Conciliacion de compuestos'!$L$2:$L$48,A594))&gt;0,"conciliado en compuesto confirmado","disponible")</f>
        <v/>
      </c>
    </row>
    <row r="595">
      <c r="A595" s="11" t="n">
        <v>601</v>
      </c>
      <c r="B595" s="12" t="n">
        <v>46002</v>
      </c>
      <c r="C595" s="11" t="inlineStr">
        <is>
          <t>credibanco d e retefuente voucher y</t>
        </is>
      </c>
      <c r="D595" s="13" t="n">
        <v>-482</v>
      </c>
      <c r="E595" s="11">
        <f>IF(SUM(COUNTIFS('Conciliacion de compuestos'!$D$2:$D$48,"conciliado",'Conciliacion de compuestos'!$E$2:$E$48,"OK",'Conciliacion de compuestos'!$J$2:$J$48,A595),COUNTIFS('Conciliacion de compuestos'!$D$2:$D$48,"conciliado",'Conciliacion de compuestos'!$E$2:$E$48,"OK",'Conciliacion de compuestos'!$K$2:$K$48,A595),COUNTIFS('Conciliacion de compuestos'!$D$2:$D$48,"conciliado",'Conciliacion de compuestos'!$E$2:$E$48,"OK",'Conciliacion de compuestos'!$L$2:$L$48,A595))&gt;0,"conciliado en compuesto confirmado","disponible")</f>
        <v/>
      </c>
    </row>
    <row r="596">
      <c r="A596" s="11" t="n">
        <v>602</v>
      </c>
      <c r="B596" s="12" t="n">
        <v>46002</v>
      </c>
      <c r="C596" s="11" t="inlineStr">
        <is>
          <t>a financiero gravamen movimiento</t>
        </is>
      </c>
      <c r="D596" s="13" t="n">
        <v>-2</v>
      </c>
      <c r="E596" s="11">
        <f>IF(SUM(COUNTIFS('Conciliacion de compuestos'!$D$2:$D$48,"conciliado",'Conciliacion de compuestos'!$E$2:$E$48,"OK",'Conciliacion de compuestos'!$J$2:$J$48,A596),COUNTIFS('Conciliacion de compuestos'!$D$2:$D$48,"conciliado",'Conciliacion de compuestos'!$E$2:$E$48,"OK",'Conciliacion de compuestos'!$K$2:$K$48,A596),COUNTIFS('Conciliacion de compuestos'!$D$2:$D$48,"conciliado",'Conciliacion de compuestos'!$E$2:$E$48,"OK",'Conciliacion de compuestos'!$L$2:$L$48,A596))&gt;0,"conciliado en compuesto confirmado","disponible")</f>
        <v/>
      </c>
    </row>
    <row r="597">
      <c r="A597" s="11" t="n">
        <v>603</v>
      </c>
      <c r="B597" s="12" t="n">
        <v>46002</v>
      </c>
      <c r="C597" s="11" t="inlineStr">
        <is>
          <t>consignacion credibanco d e</t>
        </is>
      </c>
      <c r="D597" s="13" t="n">
        <v>140400</v>
      </c>
      <c r="E597" s="11">
        <f>IF(SUM(COUNTIFS('Conciliacion de compuestos'!$D$2:$D$48,"conciliado",'Conciliacion de compuestos'!$E$2:$E$48,"OK",'Conciliacion de compuestos'!$J$2:$J$48,A597),COUNTIFS('Conciliacion de compuestos'!$D$2:$D$48,"conciliado",'Conciliacion de compuestos'!$E$2:$E$48,"OK",'Conciliacion de compuestos'!$K$2:$K$48,A597),COUNTIFS('Conciliacion de compuestos'!$D$2:$D$48,"conciliado",'Conciliacion de compuestos'!$E$2:$E$48,"OK",'Conciliacion de compuestos'!$L$2:$L$48,A597))&gt;0,"conciliado en compuesto confirmado","disponible")</f>
        <v/>
      </c>
    </row>
    <row r="598">
      <c r="A598" s="11" t="n">
        <v>604</v>
      </c>
      <c r="B598" s="12" t="n">
        <v>46002</v>
      </c>
      <c r="C598" s="11" t="inlineStr">
        <is>
          <t>cobro comision depositos electronicos</t>
        </is>
      </c>
      <c r="D598" s="13" t="n">
        <v>-2892</v>
      </c>
      <c r="E598" s="11">
        <f>IF(SUM(COUNTIFS('Conciliacion de compuestos'!$D$2:$D$48,"conciliado",'Conciliacion de compuestos'!$E$2:$E$48,"OK",'Conciliacion de compuestos'!$J$2:$J$48,A598),COUNTIFS('Conciliacion de compuestos'!$D$2:$D$48,"conciliado",'Conciliacion de compuestos'!$E$2:$E$48,"OK",'Conciliacion de compuestos'!$K$2:$K$48,A598),COUNTIFS('Conciliacion de compuestos'!$D$2:$D$48,"conciliado",'Conciliacion de compuestos'!$E$2:$E$48,"OK",'Conciliacion de compuestos'!$L$2:$L$48,A598))&gt;0,"conciliado en compuesto confirmado","disponible")</f>
        <v/>
      </c>
    </row>
    <row r="599">
      <c r="A599" s="11" t="n">
        <v>605</v>
      </c>
      <c r="B599" s="12" t="n">
        <v>46002</v>
      </c>
      <c r="C599" s="11" t="inlineStr">
        <is>
          <t>a financiero gravamen movimiento</t>
        </is>
      </c>
      <c r="D599" s="13" t="n">
        <v>-12</v>
      </c>
      <c r="E599" s="11">
        <f>IF(SUM(COUNTIFS('Conciliacion de compuestos'!$D$2:$D$48,"conciliado",'Conciliacion de compuestos'!$E$2:$E$48,"OK",'Conciliacion de compuestos'!$J$2:$J$48,A599),COUNTIFS('Conciliacion de compuestos'!$D$2:$D$48,"conciliado",'Conciliacion de compuestos'!$E$2:$E$48,"OK",'Conciliacion de compuestos'!$K$2:$K$48,A599),COUNTIFS('Conciliacion de compuestos'!$D$2:$D$48,"conciliado",'Conciliacion de compuestos'!$E$2:$E$48,"OK",'Conciliacion de compuestos'!$L$2:$L$48,A599))&gt;0,"conciliado en compuesto confirmado","disponible")</f>
        <v/>
      </c>
    </row>
    <row r="600">
      <c r="A600" s="11" t="n">
        <v>606</v>
      </c>
      <c r="B600" s="12" t="n">
        <v>46002</v>
      </c>
      <c r="C600" s="11" t="inlineStr">
        <is>
          <t>credibanco d e retefuente voucher y</t>
        </is>
      </c>
      <c r="D600" s="13" t="n">
        <v>-2106</v>
      </c>
      <c r="E600" s="11">
        <f>IF(SUM(COUNTIFS('Conciliacion de compuestos'!$D$2:$D$48,"conciliado",'Conciliacion de compuestos'!$E$2:$E$48,"OK",'Conciliacion de compuestos'!$J$2:$J$48,A600),COUNTIFS('Conciliacion de compuestos'!$D$2:$D$48,"conciliado",'Conciliacion de compuestos'!$E$2:$E$48,"OK",'Conciliacion de compuestos'!$K$2:$K$48,A600),COUNTIFS('Conciliacion de compuestos'!$D$2:$D$48,"conciliado",'Conciliacion de compuestos'!$E$2:$E$48,"OK",'Conciliacion de compuestos'!$L$2:$L$48,A600))&gt;0,"conciliado en compuesto confirmado","disponible")</f>
        <v/>
      </c>
    </row>
    <row r="601">
      <c r="A601" s="11" t="n">
        <v>607</v>
      </c>
      <c r="B601" s="12" t="n">
        <v>46002</v>
      </c>
      <c r="C601" s="11" t="inlineStr">
        <is>
          <t>a financiero gravamen movimiento</t>
        </is>
      </c>
      <c r="D601" s="13" t="n">
        <v>-8</v>
      </c>
      <c r="E601" s="11">
        <f>IF(SUM(COUNTIFS('Conciliacion de compuestos'!$D$2:$D$48,"conciliado",'Conciliacion de compuestos'!$E$2:$E$48,"OK",'Conciliacion de compuestos'!$J$2:$J$48,A601),COUNTIFS('Conciliacion de compuestos'!$D$2:$D$48,"conciliado",'Conciliacion de compuestos'!$E$2:$E$48,"OK",'Conciliacion de compuestos'!$K$2:$K$48,A601),COUNTIFS('Conciliacion de compuestos'!$D$2:$D$48,"conciliado",'Conciliacion de compuestos'!$E$2:$E$48,"OK",'Conciliacion de compuestos'!$L$2:$L$48,A601))&gt;0,"conciliado en compuesto confirmado","disponible")</f>
        <v/>
      </c>
    </row>
    <row r="602">
      <c r="A602" s="11" t="n">
        <v>608</v>
      </c>
      <c r="B602" s="12" t="n">
        <v>46002</v>
      </c>
      <c r="C602" s="11" t="inlineStr">
        <is>
          <t>consignacion credibanco d e</t>
        </is>
      </c>
      <c r="D602" s="13" t="n">
        <v>82000</v>
      </c>
      <c r="E602" s="11">
        <f>IF(SUM(COUNTIFS('Conciliacion de compuestos'!$D$2:$D$48,"conciliado",'Conciliacion de compuestos'!$E$2:$E$48,"OK",'Conciliacion de compuestos'!$J$2:$J$48,A602),COUNTIFS('Conciliacion de compuestos'!$D$2:$D$48,"conciliado",'Conciliacion de compuestos'!$E$2:$E$48,"OK",'Conciliacion de compuestos'!$K$2:$K$48,A602),COUNTIFS('Conciliacion de compuestos'!$D$2:$D$48,"conciliado",'Conciliacion de compuestos'!$E$2:$E$48,"OK",'Conciliacion de compuestos'!$L$2:$L$48,A602))&gt;0,"conciliado en compuesto confirmado","disponible")</f>
        <v/>
      </c>
    </row>
    <row r="603">
      <c r="A603" s="11" t="n">
        <v>609</v>
      </c>
      <c r="B603" s="12" t="n">
        <v>46002</v>
      </c>
      <c r="C603" s="11" t="inlineStr">
        <is>
          <t>cobro comision depositos electronicos</t>
        </is>
      </c>
      <c r="D603" s="13" t="n">
        <v>-1771</v>
      </c>
      <c r="E603" s="11">
        <f>IF(SUM(COUNTIFS('Conciliacion de compuestos'!$D$2:$D$48,"conciliado",'Conciliacion de compuestos'!$E$2:$E$48,"OK",'Conciliacion de compuestos'!$J$2:$J$48,A603),COUNTIFS('Conciliacion de compuestos'!$D$2:$D$48,"conciliado",'Conciliacion de compuestos'!$E$2:$E$48,"OK",'Conciliacion de compuestos'!$K$2:$K$48,A603),COUNTIFS('Conciliacion de compuestos'!$D$2:$D$48,"conciliado",'Conciliacion de compuestos'!$E$2:$E$48,"OK",'Conciliacion de compuestos'!$L$2:$L$48,A603))&gt;0,"conciliado en compuesto confirmado","disponible")</f>
        <v/>
      </c>
    </row>
    <row r="604">
      <c r="A604" s="11" t="n">
        <v>610</v>
      </c>
      <c r="B604" s="12" t="n">
        <v>46002</v>
      </c>
      <c r="C604" s="11" t="inlineStr">
        <is>
          <t>a financiero gravamen movimiento</t>
        </is>
      </c>
      <c r="D604" s="13" t="n">
        <v>-7</v>
      </c>
      <c r="E604" s="11">
        <f>IF(SUM(COUNTIFS('Conciliacion de compuestos'!$D$2:$D$48,"conciliado",'Conciliacion de compuestos'!$E$2:$E$48,"OK",'Conciliacion de compuestos'!$J$2:$J$48,A604),COUNTIFS('Conciliacion de compuestos'!$D$2:$D$48,"conciliado",'Conciliacion de compuestos'!$E$2:$E$48,"OK",'Conciliacion de compuestos'!$K$2:$K$48,A604),COUNTIFS('Conciliacion de compuestos'!$D$2:$D$48,"conciliado",'Conciliacion de compuestos'!$E$2:$E$48,"OK",'Conciliacion de compuestos'!$L$2:$L$48,A604))&gt;0,"conciliado en compuesto confirmado","disponible")</f>
        <v/>
      </c>
    </row>
    <row r="605">
      <c r="A605" s="11" t="n">
        <v>611</v>
      </c>
      <c r="B605" s="12" t="n">
        <v>46002</v>
      </c>
      <c r="C605" s="11" t="inlineStr">
        <is>
          <t>credibanco d e retefuente voucher y</t>
        </is>
      </c>
      <c r="D605" s="13" t="n">
        <v>-1230</v>
      </c>
      <c r="E605" s="11">
        <f>IF(SUM(COUNTIFS('Conciliacion de compuestos'!$D$2:$D$48,"conciliado",'Conciliacion de compuestos'!$E$2:$E$48,"OK",'Conciliacion de compuestos'!$J$2:$J$48,A605),COUNTIFS('Conciliacion de compuestos'!$D$2:$D$48,"conciliado",'Conciliacion de compuestos'!$E$2:$E$48,"OK",'Conciliacion de compuestos'!$K$2:$K$48,A605),COUNTIFS('Conciliacion de compuestos'!$D$2:$D$48,"conciliado",'Conciliacion de compuestos'!$E$2:$E$48,"OK",'Conciliacion de compuestos'!$L$2:$L$48,A605))&gt;0,"conciliado en compuesto confirmado","disponible")</f>
        <v/>
      </c>
    </row>
    <row r="606">
      <c r="A606" s="11" t="n">
        <v>612</v>
      </c>
      <c r="B606" s="12" t="n">
        <v>46002</v>
      </c>
      <c r="C606" s="11" t="inlineStr">
        <is>
          <t>a financiero gravamen movimiento</t>
        </is>
      </c>
      <c r="D606" s="13" t="n">
        <v>-5</v>
      </c>
      <c r="E606" s="11">
        <f>IF(SUM(COUNTIFS('Conciliacion de compuestos'!$D$2:$D$48,"conciliado",'Conciliacion de compuestos'!$E$2:$E$48,"OK",'Conciliacion de compuestos'!$J$2:$J$48,A606),COUNTIFS('Conciliacion de compuestos'!$D$2:$D$48,"conciliado",'Conciliacion de compuestos'!$E$2:$E$48,"OK",'Conciliacion de compuestos'!$K$2:$K$48,A606),COUNTIFS('Conciliacion de compuestos'!$D$2:$D$48,"conciliado",'Conciliacion de compuestos'!$E$2:$E$48,"OK",'Conciliacion de compuestos'!$L$2:$L$48,A606))&gt;0,"conciliado en compuesto confirmado","disponible")</f>
        <v/>
      </c>
    </row>
    <row r="607">
      <c r="A607" s="11" t="n">
        <v>613</v>
      </c>
      <c r="B607" s="12" t="n">
        <v>46002</v>
      </c>
      <c r="C607" s="11" t="inlineStr">
        <is>
          <t>consignacion credibanco d e</t>
        </is>
      </c>
      <c r="D607" s="13" t="n">
        <v>52100</v>
      </c>
      <c r="E607" s="11">
        <f>IF(SUM(COUNTIFS('Conciliacion de compuestos'!$D$2:$D$48,"conciliado",'Conciliacion de compuestos'!$E$2:$E$48,"OK",'Conciliacion de compuestos'!$J$2:$J$48,A607),COUNTIFS('Conciliacion de compuestos'!$D$2:$D$48,"conciliado",'Conciliacion de compuestos'!$E$2:$E$48,"OK",'Conciliacion de compuestos'!$K$2:$K$48,A607),COUNTIFS('Conciliacion de compuestos'!$D$2:$D$48,"conciliado",'Conciliacion de compuestos'!$E$2:$E$48,"OK",'Conciliacion de compuestos'!$L$2:$L$48,A607))&gt;0,"conciliado en compuesto confirmado","disponible")</f>
        <v/>
      </c>
    </row>
    <row r="608">
      <c r="A608" s="11" t="n">
        <v>614</v>
      </c>
      <c r="B608" s="12" t="n">
        <v>46002</v>
      </c>
      <c r="C608" s="11" t="inlineStr">
        <is>
          <t>cobro comision depositos electronicos</t>
        </is>
      </c>
      <c r="D608" s="13" t="n">
        <v>-1141</v>
      </c>
      <c r="E608" s="11">
        <f>IF(SUM(COUNTIFS('Conciliacion de compuestos'!$D$2:$D$48,"conciliado",'Conciliacion de compuestos'!$E$2:$E$48,"OK",'Conciliacion de compuestos'!$J$2:$J$48,A608),COUNTIFS('Conciliacion de compuestos'!$D$2:$D$48,"conciliado",'Conciliacion de compuestos'!$E$2:$E$48,"OK",'Conciliacion de compuestos'!$K$2:$K$48,A608),COUNTIFS('Conciliacion de compuestos'!$D$2:$D$48,"conciliado",'Conciliacion de compuestos'!$E$2:$E$48,"OK",'Conciliacion de compuestos'!$L$2:$L$48,A608))&gt;0,"conciliado en compuesto confirmado","disponible")</f>
        <v/>
      </c>
    </row>
    <row r="609">
      <c r="A609" s="11" t="n">
        <v>615</v>
      </c>
      <c r="B609" s="12" t="n">
        <v>46002</v>
      </c>
      <c r="C609" s="11" t="inlineStr">
        <is>
          <t>a financiero gravamen movimiento</t>
        </is>
      </c>
      <c r="D609" s="13" t="n">
        <v>-5</v>
      </c>
      <c r="E609" s="11">
        <f>IF(SUM(COUNTIFS('Conciliacion de compuestos'!$D$2:$D$48,"conciliado",'Conciliacion de compuestos'!$E$2:$E$48,"OK",'Conciliacion de compuestos'!$J$2:$J$48,A609),COUNTIFS('Conciliacion de compuestos'!$D$2:$D$48,"conciliado",'Conciliacion de compuestos'!$E$2:$E$48,"OK",'Conciliacion de compuestos'!$K$2:$K$48,A609),COUNTIFS('Conciliacion de compuestos'!$D$2:$D$48,"conciliado",'Conciliacion de compuestos'!$E$2:$E$48,"OK",'Conciliacion de compuestos'!$L$2:$L$48,A609))&gt;0,"conciliado en compuesto confirmado","disponible")</f>
        <v/>
      </c>
    </row>
    <row r="610">
      <c r="A610" s="11" t="n">
        <v>616</v>
      </c>
      <c r="B610" s="12" t="n">
        <v>46002</v>
      </c>
      <c r="C610" s="11" t="inlineStr">
        <is>
          <t>credibanco d e retefuente voucher y</t>
        </is>
      </c>
      <c r="D610" s="13" t="n">
        <v>-782</v>
      </c>
      <c r="E610" s="11">
        <f>IF(SUM(COUNTIFS('Conciliacion de compuestos'!$D$2:$D$48,"conciliado",'Conciliacion de compuestos'!$E$2:$E$48,"OK",'Conciliacion de compuestos'!$J$2:$J$48,A610),COUNTIFS('Conciliacion de compuestos'!$D$2:$D$48,"conciliado",'Conciliacion de compuestos'!$E$2:$E$48,"OK",'Conciliacion de compuestos'!$K$2:$K$48,A610),COUNTIFS('Conciliacion de compuestos'!$D$2:$D$48,"conciliado",'Conciliacion de compuestos'!$E$2:$E$48,"OK",'Conciliacion de compuestos'!$L$2:$L$48,A610))&gt;0,"conciliado en compuesto confirmado","disponible")</f>
        <v/>
      </c>
    </row>
    <row r="611">
      <c r="A611" s="11" t="n">
        <v>617</v>
      </c>
      <c r="B611" s="12" t="n">
        <v>46002</v>
      </c>
      <c r="C611" s="11" t="inlineStr">
        <is>
          <t>a financiero gravamen movimiento</t>
        </is>
      </c>
      <c r="D611" s="13" t="n">
        <v>-3</v>
      </c>
      <c r="E611" s="11">
        <f>IF(SUM(COUNTIFS('Conciliacion de compuestos'!$D$2:$D$48,"conciliado",'Conciliacion de compuestos'!$E$2:$E$48,"OK",'Conciliacion de compuestos'!$J$2:$J$48,A611),COUNTIFS('Conciliacion de compuestos'!$D$2:$D$48,"conciliado",'Conciliacion de compuestos'!$E$2:$E$48,"OK",'Conciliacion de compuestos'!$K$2:$K$48,A611),COUNTIFS('Conciliacion de compuestos'!$D$2:$D$48,"conciliado",'Conciliacion de compuestos'!$E$2:$E$48,"OK",'Conciliacion de compuestos'!$L$2:$L$48,A611))&gt;0,"conciliado en compuesto confirmado","disponible")</f>
        <v/>
      </c>
    </row>
    <row r="612">
      <c r="A612" s="11" t="n">
        <v>618</v>
      </c>
      <c r="B612" s="12" t="n">
        <v>46002</v>
      </c>
      <c r="C612" s="11" t="inlineStr">
        <is>
          <t>consignacion credibanco d e</t>
        </is>
      </c>
      <c r="D612" s="13" t="n">
        <v>48150</v>
      </c>
      <c r="E612" s="11">
        <f>IF(SUM(COUNTIFS('Conciliacion de compuestos'!$D$2:$D$48,"conciliado",'Conciliacion de compuestos'!$E$2:$E$48,"OK",'Conciliacion de compuestos'!$J$2:$J$48,A612),COUNTIFS('Conciliacion de compuestos'!$D$2:$D$48,"conciliado",'Conciliacion de compuestos'!$E$2:$E$48,"OK",'Conciliacion de compuestos'!$K$2:$K$48,A612),COUNTIFS('Conciliacion de compuestos'!$D$2:$D$48,"conciliado",'Conciliacion de compuestos'!$E$2:$E$48,"OK",'Conciliacion de compuestos'!$L$2:$L$48,A612))&gt;0,"conciliado en compuesto confirmado","disponible")</f>
        <v/>
      </c>
    </row>
    <row r="613">
      <c r="A613" s="11" t="n">
        <v>619</v>
      </c>
      <c r="B613" s="12" t="n">
        <v>46002</v>
      </c>
      <c r="C613" s="11" t="inlineStr">
        <is>
          <t>cobro comision depositos electronicos</t>
        </is>
      </c>
      <c r="D613" s="13" t="n">
        <v>-1054</v>
      </c>
      <c r="E613" s="11">
        <f>IF(SUM(COUNTIFS('Conciliacion de compuestos'!$D$2:$D$48,"conciliado",'Conciliacion de compuestos'!$E$2:$E$48,"OK",'Conciliacion de compuestos'!$J$2:$J$48,A613),COUNTIFS('Conciliacion de compuestos'!$D$2:$D$48,"conciliado",'Conciliacion de compuestos'!$E$2:$E$48,"OK",'Conciliacion de compuestos'!$K$2:$K$48,A613),COUNTIFS('Conciliacion de compuestos'!$D$2:$D$48,"conciliado",'Conciliacion de compuestos'!$E$2:$E$48,"OK",'Conciliacion de compuestos'!$L$2:$L$48,A613))&gt;0,"conciliado en compuesto confirmado","disponible")</f>
        <v/>
      </c>
    </row>
    <row r="614">
      <c r="A614" s="11" t="n">
        <v>620</v>
      </c>
      <c r="B614" s="12" t="n">
        <v>46002</v>
      </c>
      <c r="C614" s="11" t="inlineStr">
        <is>
          <t>a financiero gravamen movimiento</t>
        </is>
      </c>
      <c r="D614" s="13" t="n">
        <v>-4</v>
      </c>
      <c r="E614" s="11">
        <f>IF(SUM(COUNTIFS('Conciliacion de compuestos'!$D$2:$D$48,"conciliado",'Conciliacion de compuestos'!$E$2:$E$48,"OK",'Conciliacion de compuestos'!$J$2:$J$48,A614),COUNTIFS('Conciliacion de compuestos'!$D$2:$D$48,"conciliado",'Conciliacion de compuestos'!$E$2:$E$48,"OK",'Conciliacion de compuestos'!$K$2:$K$48,A614),COUNTIFS('Conciliacion de compuestos'!$D$2:$D$48,"conciliado",'Conciliacion de compuestos'!$E$2:$E$48,"OK",'Conciliacion de compuestos'!$L$2:$L$48,A614))&gt;0,"conciliado en compuesto confirmado","disponible")</f>
        <v/>
      </c>
    </row>
    <row r="615">
      <c r="A615" s="11" t="n">
        <v>621</v>
      </c>
      <c r="B615" s="12" t="n">
        <v>46002</v>
      </c>
      <c r="C615" s="11" t="inlineStr">
        <is>
          <t>credibanco d e retefuente voucher y</t>
        </is>
      </c>
      <c r="D615" s="13" t="n">
        <v>-722</v>
      </c>
      <c r="E615" s="11">
        <f>IF(SUM(COUNTIFS('Conciliacion de compuestos'!$D$2:$D$48,"conciliado",'Conciliacion de compuestos'!$E$2:$E$48,"OK",'Conciliacion de compuestos'!$J$2:$J$48,A615),COUNTIFS('Conciliacion de compuestos'!$D$2:$D$48,"conciliado",'Conciliacion de compuestos'!$E$2:$E$48,"OK",'Conciliacion de compuestos'!$K$2:$K$48,A615),COUNTIFS('Conciliacion de compuestos'!$D$2:$D$48,"conciliado",'Conciliacion de compuestos'!$E$2:$E$48,"OK",'Conciliacion de compuestos'!$L$2:$L$48,A615))&gt;0,"conciliado en compuesto confirmado","disponible")</f>
        <v/>
      </c>
    </row>
    <row r="616">
      <c r="A616" s="11" t="n">
        <v>622</v>
      </c>
      <c r="B616" s="12" t="n">
        <v>46002</v>
      </c>
      <c r="C616" s="11" t="inlineStr">
        <is>
          <t>a financiero gravamen movimiento</t>
        </is>
      </c>
      <c r="D616" s="13" t="n">
        <v>-3</v>
      </c>
      <c r="E616" s="11">
        <f>IF(SUM(COUNTIFS('Conciliacion de compuestos'!$D$2:$D$48,"conciliado",'Conciliacion de compuestos'!$E$2:$E$48,"OK",'Conciliacion de compuestos'!$J$2:$J$48,A616),COUNTIFS('Conciliacion de compuestos'!$D$2:$D$48,"conciliado",'Conciliacion de compuestos'!$E$2:$E$48,"OK",'Conciliacion de compuestos'!$K$2:$K$48,A616),COUNTIFS('Conciliacion de compuestos'!$D$2:$D$48,"conciliado",'Conciliacion de compuestos'!$E$2:$E$48,"OK",'Conciliacion de compuestos'!$L$2:$L$48,A616))&gt;0,"conciliado en compuesto confirmado","disponible")</f>
        <v/>
      </c>
    </row>
    <row r="617">
      <c r="A617" s="11" t="n">
        <v>623</v>
      </c>
      <c r="B617" s="12" t="n">
        <v>46002</v>
      </c>
      <c r="C617" s="11" t="inlineStr">
        <is>
          <t>depositos electronicos masterca transaccion</t>
        </is>
      </c>
      <c r="D617" s="13" t="n">
        <v>45200</v>
      </c>
      <c r="E617" s="11">
        <f>IF(SUM(COUNTIFS('Conciliacion de compuestos'!$D$2:$D$48,"conciliado",'Conciliacion de compuestos'!$E$2:$E$48,"OK",'Conciliacion de compuestos'!$J$2:$J$48,A617),COUNTIFS('Conciliacion de compuestos'!$D$2:$D$48,"conciliado",'Conciliacion de compuestos'!$E$2:$E$48,"OK",'Conciliacion de compuestos'!$K$2:$K$48,A617),COUNTIFS('Conciliacion de compuestos'!$D$2:$D$48,"conciliado",'Conciliacion de compuestos'!$E$2:$E$48,"OK",'Conciliacion de compuestos'!$L$2:$L$48,A617))&gt;0,"conciliado en compuesto confirmado","disponible")</f>
        <v/>
      </c>
    </row>
    <row r="618">
      <c r="A618" s="11" t="n">
        <v>624</v>
      </c>
      <c r="B618" s="12" t="n">
        <v>46002</v>
      </c>
      <c r="C618" s="11" t="inlineStr">
        <is>
          <t>comision depositos electronicos mastercard</t>
        </is>
      </c>
      <c r="D618" s="13" t="n">
        <v>-859</v>
      </c>
      <c r="E618" s="11">
        <f>IF(SUM(COUNTIFS('Conciliacion de compuestos'!$D$2:$D$48,"conciliado",'Conciliacion de compuestos'!$E$2:$E$48,"OK",'Conciliacion de compuestos'!$J$2:$J$48,A618),COUNTIFS('Conciliacion de compuestos'!$D$2:$D$48,"conciliado",'Conciliacion de compuestos'!$E$2:$E$48,"OK",'Conciliacion de compuestos'!$K$2:$K$48,A618),COUNTIFS('Conciliacion de compuestos'!$D$2:$D$48,"conciliado",'Conciliacion de compuestos'!$E$2:$E$48,"OK",'Conciliacion de compuestos'!$L$2:$L$48,A618))&gt;0,"conciliado en compuesto confirmado","disponible")</f>
        <v/>
      </c>
    </row>
    <row r="619">
      <c r="A619" s="11" t="n">
        <v>625</v>
      </c>
      <c r="B619" s="12" t="n">
        <v>46002</v>
      </c>
      <c r="C619" s="11" t="inlineStr">
        <is>
          <t>a financiero gravamen movimiento</t>
        </is>
      </c>
      <c r="D619" s="13" t="n">
        <v>-3</v>
      </c>
      <c r="E619" s="11">
        <f>IF(SUM(COUNTIFS('Conciliacion de compuestos'!$D$2:$D$48,"conciliado",'Conciliacion de compuestos'!$E$2:$E$48,"OK",'Conciliacion de compuestos'!$J$2:$J$48,A619),COUNTIFS('Conciliacion de compuestos'!$D$2:$D$48,"conciliado",'Conciliacion de compuestos'!$E$2:$E$48,"OK",'Conciliacion de compuestos'!$K$2:$K$48,A619),COUNTIFS('Conciliacion de compuestos'!$D$2:$D$48,"conciliado",'Conciliacion de compuestos'!$E$2:$E$48,"OK",'Conciliacion de compuestos'!$L$2:$L$48,A619))&gt;0,"conciliado en compuesto confirmado","disponible")</f>
        <v/>
      </c>
    </row>
    <row r="620">
      <c r="A620" s="11" t="n">
        <v>626</v>
      </c>
      <c r="B620" s="12" t="n">
        <v>46002</v>
      </c>
      <c r="C620" s="11" t="inlineStr">
        <is>
          <t>depositos electronicos mastercar retefuente</t>
        </is>
      </c>
      <c r="D620" s="13" t="n">
        <v>-678</v>
      </c>
      <c r="E620" s="11">
        <f>IF(SUM(COUNTIFS('Conciliacion de compuestos'!$D$2:$D$48,"conciliado",'Conciliacion de compuestos'!$E$2:$E$48,"OK",'Conciliacion de compuestos'!$J$2:$J$48,A620),COUNTIFS('Conciliacion de compuestos'!$D$2:$D$48,"conciliado",'Conciliacion de compuestos'!$E$2:$E$48,"OK",'Conciliacion de compuestos'!$K$2:$K$48,A620),COUNTIFS('Conciliacion de compuestos'!$D$2:$D$48,"conciliado",'Conciliacion de compuestos'!$E$2:$E$48,"OK",'Conciliacion de compuestos'!$L$2:$L$48,A620))&gt;0,"conciliado en compuesto confirmado","disponible")</f>
        <v/>
      </c>
    </row>
    <row r="621">
      <c r="A621" s="11" t="n">
        <v>627</v>
      </c>
      <c r="B621" s="12" t="n">
        <v>46002</v>
      </c>
      <c r="C621" s="11" t="inlineStr">
        <is>
          <t>a financiero gravamen movimiento</t>
        </is>
      </c>
      <c r="D621" s="13" t="n">
        <v>-3</v>
      </c>
      <c r="E621" s="11">
        <f>IF(SUM(COUNTIFS('Conciliacion de compuestos'!$D$2:$D$48,"conciliado",'Conciliacion de compuestos'!$E$2:$E$48,"OK",'Conciliacion de compuestos'!$J$2:$J$48,A621),COUNTIFS('Conciliacion de compuestos'!$D$2:$D$48,"conciliado",'Conciliacion de compuestos'!$E$2:$E$48,"OK",'Conciliacion de compuestos'!$K$2:$K$48,A621),COUNTIFS('Conciliacion de compuestos'!$D$2:$D$48,"conciliado",'Conciliacion de compuestos'!$E$2:$E$48,"OK",'Conciliacion de compuestos'!$L$2:$L$48,A621))&gt;0,"conciliado en compuesto confirmado","disponible")</f>
        <v/>
      </c>
    </row>
    <row r="622">
      <c r="A622" s="11" t="n">
        <v>628</v>
      </c>
      <c r="B622" s="12" t="n">
        <v>46002</v>
      </c>
      <c r="C622" s="11" t="inlineStr">
        <is>
          <t>depositos electronicos masterca transaccion</t>
        </is>
      </c>
      <c r="D622" s="13" t="n">
        <v>35200</v>
      </c>
      <c r="E622" s="11">
        <f>IF(SUM(COUNTIFS('Conciliacion de compuestos'!$D$2:$D$48,"conciliado",'Conciliacion de compuestos'!$E$2:$E$48,"OK",'Conciliacion de compuestos'!$J$2:$J$48,A622),COUNTIFS('Conciliacion de compuestos'!$D$2:$D$48,"conciliado",'Conciliacion de compuestos'!$E$2:$E$48,"OK",'Conciliacion de compuestos'!$K$2:$K$48,A622),COUNTIFS('Conciliacion de compuestos'!$D$2:$D$48,"conciliado",'Conciliacion de compuestos'!$E$2:$E$48,"OK",'Conciliacion de compuestos'!$L$2:$L$48,A622))&gt;0,"conciliado en compuesto confirmado","disponible")</f>
        <v/>
      </c>
    </row>
    <row r="623">
      <c r="A623" s="11" t="n">
        <v>629</v>
      </c>
      <c r="B623" s="12" t="n">
        <v>46002</v>
      </c>
      <c r="C623" s="11" t="inlineStr">
        <is>
          <t>comision depositos electronicos mastercard</t>
        </is>
      </c>
      <c r="D623" s="13" t="n">
        <v>-827</v>
      </c>
      <c r="E623" s="11">
        <f>IF(SUM(COUNTIFS('Conciliacion de compuestos'!$D$2:$D$48,"conciliado",'Conciliacion de compuestos'!$E$2:$E$48,"OK",'Conciliacion de compuestos'!$J$2:$J$48,A623),COUNTIFS('Conciliacion de compuestos'!$D$2:$D$48,"conciliado",'Conciliacion de compuestos'!$E$2:$E$48,"OK",'Conciliacion de compuestos'!$K$2:$K$48,A623),COUNTIFS('Conciliacion de compuestos'!$D$2:$D$48,"conciliado",'Conciliacion de compuestos'!$E$2:$E$48,"OK",'Conciliacion de compuestos'!$L$2:$L$48,A623))&gt;0,"conciliado en compuesto confirmado","disponible")</f>
        <v/>
      </c>
    </row>
    <row r="624">
      <c r="A624" s="11" t="n">
        <v>630</v>
      </c>
      <c r="B624" s="12" t="n">
        <v>46002</v>
      </c>
      <c r="C624" s="11" t="inlineStr">
        <is>
          <t>a financiero gravamen movimiento</t>
        </is>
      </c>
      <c r="D624" s="13" t="n">
        <v>-3</v>
      </c>
      <c r="E624" s="11">
        <f>IF(SUM(COUNTIFS('Conciliacion de compuestos'!$D$2:$D$48,"conciliado",'Conciliacion de compuestos'!$E$2:$E$48,"OK",'Conciliacion de compuestos'!$J$2:$J$48,A624),COUNTIFS('Conciliacion de compuestos'!$D$2:$D$48,"conciliado",'Conciliacion de compuestos'!$E$2:$E$48,"OK",'Conciliacion de compuestos'!$K$2:$K$48,A624),COUNTIFS('Conciliacion de compuestos'!$D$2:$D$48,"conciliado",'Conciliacion de compuestos'!$E$2:$E$48,"OK",'Conciliacion de compuestos'!$L$2:$L$48,A624))&gt;0,"conciliado en compuesto confirmado","disponible")</f>
        <v/>
      </c>
    </row>
    <row r="625">
      <c r="A625" s="11" t="n">
        <v>631</v>
      </c>
      <c r="B625" s="12" t="n">
        <v>46002</v>
      </c>
      <c r="C625" s="11" t="inlineStr">
        <is>
          <t>depositos electronicos mastercar retefuente</t>
        </is>
      </c>
      <c r="D625" s="13" t="n">
        <v>-528</v>
      </c>
      <c r="E625" s="11">
        <f>IF(SUM(COUNTIFS('Conciliacion de compuestos'!$D$2:$D$48,"conciliado",'Conciliacion de compuestos'!$E$2:$E$48,"OK",'Conciliacion de compuestos'!$J$2:$J$48,A625),COUNTIFS('Conciliacion de compuestos'!$D$2:$D$48,"conciliado",'Conciliacion de compuestos'!$E$2:$E$48,"OK",'Conciliacion de compuestos'!$K$2:$K$48,A625),COUNTIFS('Conciliacion de compuestos'!$D$2:$D$48,"conciliado",'Conciliacion de compuestos'!$E$2:$E$48,"OK",'Conciliacion de compuestos'!$L$2:$L$48,A625))&gt;0,"conciliado en compuesto confirmado","disponible")</f>
        <v/>
      </c>
    </row>
    <row r="626">
      <c r="A626" s="11" t="n">
        <v>632</v>
      </c>
      <c r="B626" s="12" t="n">
        <v>46002</v>
      </c>
      <c r="C626" s="11" t="inlineStr">
        <is>
          <t>a financiero gravamen movimiento</t>
        </is>
      </c>
      <c r="D626" s="13" t="n">
        <v>-2</v>
      </c>
      <c r="E626" s="11">
        <f>IF(SUM(COUNTIFS('Conciliacion de compuestos'!$D$2:$D$48,"conciliado",'Conciliacion de compuestos'!$E$2:$E$48,"OK",'Conciliacion de compuestos'!$J$2:$J$48,A626),COUNTIFS('Conciliacion de compuestos'!$D$2:$D$48,"conciliado",'Conciliacion de compuestos'!$E$2:$E$48,"OK",'Conciliacion de compuestos'!$K$2:$K$48,A626),COUNTIFS('Conciliacion de compuestos'!$D$2:$D$48,"conciliado",'Conciliacion de compuestos'!$E$2:$E$48,"OK",'Conciliacion de compuestos'!$L$2:$L$48,A626))&gt;0,"conciliado en compuesto confirmado","disponible")</f>
        <v/>
      </c>
    </row>
    <row r="627">
      <c r="A627" s="11" t="n">
        <v>633</v>
      </c>
      <c r="B627" s="12" t="n">
        <v>46002</v>
      </c>
      <c r="C627" s="11" t="inlineStr">
        <is>
          <t>depositos electronicos masterca transaccion</t>
        </is>
      </c>
      <c r="D627" s="13" t="n">
        <v>60700</v>
      </c>
      <c r="E627" s="11">
        <f>IF(SUM(COUNTIFS('Conciliacion de compuestos'!$D$2:$D$48,"conciliado",'Conciliacion de compuestos'!$E$2:$E$48,"OK",'Conciliacion de compuestos'!$J$2:$J$48,A627),COUNTIFS('Conciliacion de compuestos'!$D$2:$D$48,"conciliado",'Conciliacion de compuestos'!$E$2:$E$48,"OK",'Conciliacion de compuestos'!$K$2:$K$48,A627),COUNTIFS('Conciliacion de compuestos'!$D$2:$D$48,"conciliado",'Conciliacion de compuestos'!$E$2:$E$48,"OK",'Conciliacion de compuestos'!$L$2:$L$48,A627))&gt;0,"conciliado en compuesto confirmado","disponible")</f>
        <v/>
      </c>
    </row>
    <row r="628">
      <c r="A628" s="11" t="n">
        <v>634</v>
      </c>
      <c r="B628" s="12" t="n">
        <v>46002</v>
      </c>
      <c r="C628" s="11" t="inlineStr">
        <is>
          <t>comision depositos electronicos mastercard</t>
        </is>
      </c>
      <c r="D628" s="13" t="n">
        <v>-1426</v>
      </c>
      <c r="E628" s="11">
        <f>IF(SUM(COUNTIFS('Conciliacion de compuestos'!$D$2:$D$48,"conciliado",'Conciliacion de compuestos'!$E$2:$E$48,"OK",'Conciliacion de compuestos'!$J$2:$J$48,A628),COUNTIFS('Conciliacion de compuestos'!$D$2:$D$48,"conciliado",'Conciliacion de compuestos'!$E$2:$E$48,"OK",'Conciliacion de compuestos'!$K$2:$K$48,A628),COUNTIFS('Conciliacion de compuestos'!$D$2:$D$48,"conciliado",'Conciliacion de compuestos'!$E$2:$E$48,"OK",'Conciliacion de compuestos'!$L$2:$L$48,A628))&gt;0,"conciliado en compuesto confirmado","disponible")</f>
        <v/>
      </c>
    </row>
    <row r="629">
      <c r="A629" s="11" t="n">
        <v>635</v>
      </c>
      <c r="B629" s="12" t="n">
        <v>46002</v>
      </c>
      <c r="C629" s="11" t="inlineStr">
        <is>
          <t>a financiero gravamen movimiento</t>
        </is>
      </c>
      <c r="D629" s="13" t="n">
        <v>-6</v>
      </c>
      <c r="E629" s="11">
        <f>IF(SUM(COUNTIFS('Conciliacion de compuestos'!$D$2:$D$48,"conciliado",'Conciliacion de compuestos'!$E$2:$E$48,"OK",'Conciliacion de compuestos'!$J$2:$J$48,A629),COUNTIFS('Conciliacion de compuestos'!$D$2:$D$48,"conciliado",'Conciliacion de compuestos'!$E$2:$E$48,"OK",'Conciliacion de compuestos'!$K$2:$K$48,A629),COUNTIFS('Conciliacion de compuestos'!$D$2:$D$48,"conciliado",'Conciliacion de compuestos'!$E$2:$E$48,"OK",'Conciliacion de compuestos'!$L$2:$L$48,A629))&gt;0,"conciliado en compuesto confirmado","disponible")</f>
        <v/>
      </c>
    </row>
    <row r="630">
      <c r="A630" s="11" t="n">
        <v>636</v>
      </c>
      <c r="B630" s="12" t="n">
        <v>46002</v>
      </c>
      <c r="C630" s="11" t="inlineStr">
        <is>
          <t>depositos electronicos mastercar retefuente</t>
        </is>
      </c>
      <c r="D630" s="13" t="n">
        <v>-911</v>
      </c>
      <c r="E630" s="11">
        <f>IF(SUM(COUNTIFS('Conciliacion de compuestos'!$D$2:$D$48,"conciliado",'Conciliacion de compuestos'!$E$2:$E$48,"OK",'Conciliacion de compuestos'!$J$2:$J$48,A630),COUNTIFS('Conciliacion de compuestos'!$D$2:$D$48,"conciliado",'Conciliacion de compuestos'!$E$2:$E$48,"OK",'Conciliacion de compuestos'!$K$2:$K$48,A630),COUNTIFS('Conciliacion de compuestos'!$D$2:$D$48,"conciliado",'Conciliacion de compuestos'!$E$2:$E$48,"OK",'Conciliacion de compuestos'!$L$2:$L$48,A630))&gt;0,"conciliado en compuesto confirmado","disponible")</f>
        <v/>
      </c>
    </row>
    <row r="631">
      <c r="A631" s="11" t="n">
        <v>637</v>
      </c>
      <c r="B631" s="12" t="n">
        <v>46002</v>
      </c>
      <c r="C631" s="11" t="inlineStr">
        <is>
          <t>a financiero gravamen movimiento</t>
        </is>
      </c>
      <c r="D631" s="13" t="n">
        <v>-4</v>
      </c>
      <c r="E631" s="11">
        <f>IF(SUM(COUNTIFS('Conciliacion de compuestos'!$D$2:$D$48,"conciliado",'Conciliacion de compuestos'!$E$2:$E$48,"OK",'Conciliacion de compuestos'!$J$2:$J$48,A631),COUNTIFS('Conciliacion de compuestos'!$D$2:$D$48,"conciliado",'Conciliacion de compuestos'!$E$2:$E$48,"OK",'Conciliacion de compuestos'!$K$2:$K$48,A631),COUNTIFS('Conciliacion de compuestos'!$D$2:$D$48,"conciliado",'Conciliacion de compuestos'!$E$2:$E$48,"OK",'Conciliacion de compuestos'!$L$2:$L$48,A631))&gt;0,"conciliado en compuesto confirmado","disponible")</f>
        <v/>
      </c>
    </row>
    <row r="632">
      <c r="A632" s="11" t="n">
        <v>638</v>
      </c>
      <c r="B632" s="12" t="n">
        <v>46002</v>
      </c>
      <c r="C632" s="11" t="inlineStr">
        <is>
          <t>depositos electronicos masterca transaccion</t>
        </is>
      </c>
      <c r="D632" s="13" t="n">
        <v>30000</v>
      </c>
      <c r="E632" s="11">
        <f>IF(SUM(COUNTIFS('Conciliacion de compuestos'!$D$2:$D$48,"conciliado",'Conciliacion de compuestos'!$E$2:$E$48,"OK",'Conciliacion de compuestos'!$J$2:$J$48,A632),COUNTIFS('Conciliacion de compuestos'!$D$2:$D$48,"conciliado",'Conciliacion de compuestos'!$E$2:$E$48,"OK",'Conciliacion de compuestos'!$K$2:$K$48,A632),COUNTIFS('Conciliacion de compuestos'!$D$2:$D$48,"conciliado",'Conciliacion de compuestos'!$E$2:$E$48,"OK",'Conciliacion de compuestos'!$L$2:$L$48,A632))&gt;0,"conciliado en compuesto confirmado","disponible")</f>
        <v/>
      </c>
    </row>
    <row r="633">
      <c r="A633" s="11" t="n">
        <v>639</v>
      </c>
      <c r="B633" s="12" t="n">
        <v>46002</v>
      </c>
      <c r="C633" s="11" t="inlineStr">
        <is>
          <t>comision depositos electronicos mastercard</t>
        </is>
      </c>
      <c r="D633" s="13" t="n">
        <v>-570</v>
      </c>
      <c r="E633" s="11">
        <f>IF(SUM(COUNTIFS('Conciliacion de compuestos'!$D$2:$D$48,"conciliado",'Conciliacion de compuestos'!$E$2:$E$48,"OK",'Conciliacion de compuestos'!$J$2:$J$48,A633),COUNTIFS('Conciliacion de compuestos'!$D$2:$D$48,"conciliado",'Conciliacion de compuestos'!$E$2:$E$48,"OK",'Conciliacion de compuestos'!$K$2:$K$48,A633),COUNTIFS('Conciliacion de compuestos'!$D$2:$D$48,"conciliado",'Conciliacion de compuestos'!$E$2:$E$48,"OK",'Conciliacion de compuestos'!$L$2:$L$48,A633))&gt;0,"conciliado en compuesto confirmado","disponible")</f>
        <v/>
      </c>
    </row>
    <row r="634">
      <c r="A634" s="11" t="n">
        <v>640</v>
      </c>
      <c r="B634" s="12" t="n">
        <v>46002</v>
      </c>
      <c r="C634" s="11" t="inlineStr">
        <is>
          <t>a financiero gravamen movimiento</t>
        </is>
      </c>
      <c r="D634" s="13" t="n">
        <v>-2</v>
      </c>
      <c r="E634" s="11">
        <f>IF(SUM(COUNTIFS('Conciliacion de compuestos'!$D$2:$D$48,"conciliado",'Conciliacion de compuestos'!$E$2:$E$48,"OK",'Conciliacion de compuestos'!$J$2:$J$48,A634),COUNTIFS('Conciliacion de compuestos'!$D$2:$D$48,"conciliado",'Conciliacion de compuestos'!$E$2:$E$48,"OK",'Conciliacion de compuestos'!$K$2:$K$48,A634),COUNTIFS('Conciliacion de compuestos'!$D$2:$D$48,"conciliado",'Conciliacion de compuestos'!$E$2:$E$48,"OK",'Conciliacion de compuestos'!$L$2:$L$48,A634))&gt;0,"conciliado en compuesto confirmado","disponible")</f>
        <v/>
      </c>
    </row>
    <row r="635">
      <c r="A635" s="11" t="n">
        <v>641</v>
      </c>
      <c r="B635" s="12" t="n">
        <v>46002</v>
      </c>
      <c r="C635" s="11" t="inlineStr">
        <is>
          <t>depositos electronicos mastercar retefuente</t>
        </is>
      </c>
      <c r="D635" s="13" t="n">
        <v>-450</v>
      </c>
      <c r="E635" s="11">
        <f>IF(SUM(COUNTIFS('Conciliacion de compuestos'!$D$2:$D$48,"conciliado",'Conciliacion de compuestos'!$E$2:$E$48,"OK",'Conciliacion de compuestos'!$J$2:$J$48,A635),COUNTIFS('Conciliacion de compuestos'!$D$2:$D$48,"conciliado",'Conciliacion de compuestos'!$E$2:$E$48,"OK",'Conciliacion de compuestos'!$K$2:$K$48,A635),COUNTIFS('Conciliacion de compuestos'!$D$2:$D$48,"conciliado",'Conciliacion de compuestos'!$E$2:$E$48,"OK",'Conciliacion de compuestos'!$L$2:$L$48,A635))&gt;0,"conciliado en compuesto confirmado","disponible")</f>
        <v/>
      </c>
    </row>
    <row r="636">
      <c r="A636" s="11" t="n">
        <v>642</v>
      </c>
      <c r="B636" s="12" t="n">
        <v>46002</v>
      </c>
      <c r="C636" s="11" t="inlineStr">
        <is>
          <t>a financiero gravamen movimiento</t>
        </is>
      </c>
      <c r="D636" s="13" t="n">
        <v>-2</v>
      </c>
      <c r="E636" s="11">
        <f>IF(SUM(COUNTIFS('Conciliacion de compuestos'!$D$2:$D$48,"conciliado",'Conciliacion de compuestos'!$E$2:$E$48,"OK",'Conciliacion de compuestos'!$J$2:$J$48,A636),COUNTIFS('Conciliacion de compuestos'!$D$2:$D$48,"conciliado",'Conciliacion de compuestos'!$E$2:$E$48,"OK",'Conciliacion de compuestos'!$K$2:$K$48,A636),COUNTIFS('Conciliacion de compuestos'!$D$2:$D$48,"conciliado",'Conciliacion de compuestos'!$E$2:$E$48,"OK",'Conciliacion de compuestos'!$L$2:$L$48,A636))&gt;0,"conciliado en compuesto confirmado","disponible")</f>
        <v/>
      </c>
    </row>
    <row r="637">
      <c r="A637" s="11" t="n">
        <v>643</v>
      </c>
      <c r="B637" s="12" t="n">
        <v>46002</v>
      </c>
      <c r="C637" s="11" t="inlineStr">
        <is>
          <t>depositos electronicos masterca transaccion</t>
        </is>
      </c>
      <c r="D637" s="13" t="n">
        <v>50904</v>
      </c>
      <c r="E637" s="11">
        <f>IF(SUM(COUNTIFS('Conciliacion de compuestos'!$D$2:$D$48,"conciliado",'Conciliacion de compuestos'!$E$2:$E$48,"OK",'Conciliacion de compuestos'!$J$2:$J$48,A637),COUNTIFS('Conciliacion de compuestos'!$D$2:$D$48,"conciliado",'Conciliacion de compuestos'!$E$2:$E$48,"OK",'Conciliacion de compuestos'!$K$2:$K$48,A637),COUNTIFS('Conciliacion de compuestos'!$D$2:$D$48,"conciliado",'Conciliacion de compuestos'!$E$2:$E$48,"OK",'Conciliacion de compuestos'!$L$2:$L$48,A637))&gt;0,"conciliado en compuesto confirmado","disponible")</f>
        <v/>
      </c>
    </row>
    <row r="638">
      <c r="A638" s="11" t="n">
        <v>644</v>
      </c>
      <c r="B638" s="12" t="n">
        <v>46002</v>
      </c>
      <c r="C638" s="11" t="inlineStr">
        <is>
          <t>comision depositos electronicos mastercard</t>
        </is>
      </c>
      <c r="D638" s="13" t="n">
        <v>-967</v>
      </c>
      <c r="E638" s="11">
        <f>IF(SUM(COUNTIFS('Conciliacion de compuestos'!$D$2:$D$48,"conciliado",'Conciliacion de compuestos'!$E$2:$E$48,"OK",'Conciliacion de compuestos'!$J$2:$J$48,A638),COUNTIFS('Conciliacion de compuestos'!$D$2:$D$48,"conciliado",'Conciliacion de compuestos'!$E$2:$E$48,"OK",'Conciliacion de compuestos'!$K$2:$K$48,A638),COUNTIFS('Conciliacion de compuestos'!$D$2:$D$48,"conciliado",'Conciliacion de compuestos'!$E$2:$E$48,"OK",'Conciliacion de compuestos'!$L$2:$L$48,A638))&gt;0,"conciliado en compuesto confirmado","disponible")</f>
        <v/>
      </c>
    </row>
    <row r="639">
      <c r="A639" s="11" t="n">
        <v>645</v>
      </c>
      <c r="B639" s="12" t="n">
        <v>46002</v>
      </c>
      <c r="C639" s="11" t="inlineStr">
        <is>
          <t>a financiero gravamen movimiento</t>
        </is>
      </c>
      <c r="D639" s="13" t="n">
        <v>-4</v>
      </c>
      <c r="E639" s="11">
        <f>IF(SUM(COUNTIFS('Conciliacion de compuestos'!$D$2:$D$48,"conciliado",'Conciliacion de compuestos'!$E$2:$E$48,"OK",'Conciliacion de compuestos'!$J$2:$J$48,A639),COUNTIFS('Conciliacion de compuestos'!$D$2:$D$48,"conciliado",'Conciliacion de compuestos'!$E$2:$E$48,"OK",'Conciliacion de compuestos'!$K$2:$K$48,A639),COUNTIFS('Conciliacion de compuestos'!$D$2:$D$48,"conciliado",'Conciliacion de compuestos'!$E$2:$E$48,"OK",'Conciliacion de compuestos'!$L$2:$L$48,A639))&gt;0,"conciliado en compuesto confirmado","disponible")</f>
        <v/>
      </c>
    </row>
    <row r="640">
      <c r="A640" s="11" t="n">
        <v>646</v>
      </c>
      <c r="B640" s="12" t="n">
        <v>46002</v>
      </c>
      <c r="C640" s="11" t="inlineStr">
        <is>
          <t>depositos electronicos mastercar retefuente</t>
        </is>
      </c>
      <c r="D640" s="13" t="n">
        <v>-764</v>
      </c>
      <c r="E640" s="11">
        <f>IF(SUM(COUNTIFS('Conciliacion de compuestos'!$D$2:$D$48,"conciliado",'Conciliacion de compuestos'!$E$2:$E$48,"OK",'Conciliacion de compuestos'!$J$2:$J$48,A640),COUNTIFS('Conciliacion de compuestos'!$D$2:$D$48,"conciliado",'Conciliacion de compuestos'!$E$2:$E$48,"OK",'Conciliacion de compuestos'!$K$2:$K$48,A640),COUNTIFS('Conciliacion de compuestos'!$D$2:$D$48,"conciliado",'Conciliacion de compuestos'!$E$2:$E$48,"OK",'Conciliacion de compuestos'!$L$2:$L$48,A640))&gt;0,"conciliado en compuesto confirmado","disponible")</f>
        <v/>
      </c>
    </row>
    <row r="641">
      <c r="A641" s="11" t="n">
        <v>647</v>
      </c>
      <c r="B641" s="12" t="n">
        <v>46002</v>
      </c>
      <c r="C641" s="11" t="inlineStr">
        <is>
          <t>a financiero gravamen movimiento</t>
        </is>
      </c>
      <c r="D641" s="13" t="n">
        <v>-3</v>
      </c>
      <c r="E641" s="11">
        <f>IF(SUM(COUNTIFS('Conciliacion de compuestos'!$D$2:$D$48,"conciliado",'Conciliacion de compuestos'!$E$2:$E$48,"OK",'Conciliacion de compuestos'!$J$2:$J$48,A641),COUNTIFS('Conciliacion de compuestos'!$D$2:$D$48,"conciliado",'Conciliacion de compuestos'!$E$2:$E$48,"OK",'Conciliacion de compuestos'!$K$2:$K$48,A641),COUNTIFS('Conciliacion de compuestos'!$D$2:$D$48,"conciliado",'Conciliacion de compuestos'!$E$2:$E$48,"OK",'Conciliacion de compuestos'!$L$2:$L$48,A641))&gt;0,"conciliado en compuesto confirmado","disponible")</f>
        <v/>
      </c>
    </row>
    <row r="642">
      <c r="A642" s="11" t="n">
        <v>648</v>
      </c>
      <c r="B642" s="12" t="n">
        <v>46002</v>
      </c>
      <c r="C642" s="11" t="inlineStr">
        <is>
          <t>depositos electronicos masterca transaccion</t>
        </is>
      </c>
      <c r="D642" s="13" t="n">
        <v>48000</v>
      </c>
      <c r="E642" s="11">
        <f>IF(SUM(COUNTIFS('Conciliacion de compuestos'!$D$2:$D$48,"conciliado",'Conciliacion de compuestos'!$E$2:$E$48,"OK",'Conciliacion de compuestos'!$J$2:$J$48,A642),COUNTIFS('Conciliacion de compuestos'!$D$2:$D$48,"conciliado",'Conciliacion de compuestos'!$E$2:$E$48,"OK",'Conciliacion de compuestos'!$K$2:$K$48,A642),COUNTIFS('Conciliacion de compuestos'!$D$2:$D$48,"conciliado",'Conciliacion de compuestos'!$E$2:$E$48,"OK",'Conciliacion de compuestos'!$L$2:$L$48,A642))&gt;0,"conciliado en compuesto confirmado","disponible")</f>
        <v/>
      </c>
    </row>
    <row r="643">
      <c r="A643" s="11" t="n">
        <v>649</v>
      </c>
      <c r="B643" s="12" t="n">
        <v>46002</v>
      </c>
      <c r="C643" s="11" t="inlineStr">
        <is>
          <t>comision depositos electronicos mastercard</t>
        </is>
      </c>
      <c r="D643" s="13" t="n">
        <v>-912</v>
      </c>
      <c r="E643" s="11">
        <f>IF(SUM(COUNTIFS('Conciliacion de compuestos'!$D$2:$D$48,"conciliado",'Conciliacion de compuestos'!$E$2:$E$48,"OK",'Conciliacion de compuestos'!$J$2:$J$48,A643),COUNTIFS('Conciliacion de compuestos'!$D$2:$D$48,"conciliado",'Conciliacion de compuestos'!$E$2:$E$48,"OK",'Conciliacion de compuestos'!$K$2:$K$48,A643),COUNTIFS('Conciliacion de compuestos'!$D$2:$D$48,"conciliado",'Conciliacion de compuestos'!$E$2:$E$48,"OK",'Conciliacion de compuestos'!$L$2:$L$48,A643))&gt;0,"conciliado en compuesto confirmado","disponible")</f>
        <v/>
      </c>
    </row>
    <row r="644">
      <c r="A644" s="11" t="n">
        <v>650</v>
      </c>
      <c r="B644" s="12" t="n">
        <v>46002</v>
      </c>
      <c r="C644" s="11" t="inlineStr">
        <is>
          <t>a financiero gravamen movimiento</t>
        </is>
      </c>
      <c r="D644" s="13" t="n">
        <v>-4</v>
      </c>
      <c r="E644" s="11">
        <f>IF(SUM(COUNTIFS('Conciliacion de compuestos'!$D$2:$D$48,"conciliado",'Conciliacion de compuestos'!$E$2:$E$48,"OK",'Conciliacion de compuestos'!$J$2:$J$48,A644),COUNTIFS('Conciliacion de compuestos'!$D$2:$D$48,"conciliado",'Conciliacion de compuestos'!$E$2:$E$48,"OK",'Conciliacion de compuestos'!$K$2:$K$48,A644),COUNTIFS('Conciliacion de compuestos'!$D$2:$D$48,"conciliado",'Conciliacion de compuestos'!$E$2:$E$48,"OK",'Conciliacion de compuestos'!$L$2:$L$48,A644))&gt;0,"conciliado en compuesto confirmado","disponible")</f>
        <v/>
      </c>
    </row>
    <row r="645">
      <c r="A645" s="11" t="n">
        <v>651</v>
      </c>
      <c r="B645" s="12" t="n">
        <v>46002</v>
      </c>
      <c r="C645" s="11" t="inlineStr">
        <is>
          <t>depositos electronicos mastercar retefuente</t>
        </is>
      </c>
      <c r="D645" s="13" t="n">
        <v>-720</v>
      </c>
      <c r="E645" s="11">
        <f>IF(SUM(COUNTIFS('Conciliacion de compuestos'!$D$2:$D$48,"conciliado",'Conciliacion de compuestos'!$E$2:$E$48,"OK",'Conciliacion de compuestos'!$J$2:$J$48,A645),COUNTIFS('Conciliacion de compuestos'!$D$2:$D$48,"conciliado",'Conciliacion de compuestos'!$E$2:$E$48,"OK",'Conciliacion de compuestos'!$K$2:$K$48,A645),COUNTIFS('Conciliacion de compuestos'!$D$2:$D$48,"conciliado",'Conciliacion de compuestos'!$E$2:$E$48,"OK",'Conciliacion de compuestos'!$L$2:$L$48,A645))&gt;0,"conciliado en compuesto confirmado","disponible")</f>
        <v/>
      </c>
    </row>
    <row r="646">
      <c r="A646" s="11" t="n">
        <v>652</v>
      </c>
      <c r="B646" s="12" t="n">
        <v>46002</v>
      </c>
      <c r="C646" s="11" t="inlineStr">
        <is>
          <t>a financiero gravamen movimiento</t>
        </is>
      </c>
      <c r="D646" s="13" t="n">
        <v>-3</v>
      </c>
      <c r="E646" s="11">
        <f>IF(SUM(COUNTIFS('Conciliacion de compuestos'!$D$2:$D$48,"conciliado",'Conciliacion de compuestos'!$E$2:$E$48,"OK",'Conciliacion de compuestos'!$J$2:$J$48,A646),COUNTIFS('Conciliacion de compuestos'!$D$2:$D$48,"conciliado",'Conciliacion de compuestos'!$E$2:$E$48,"OK",'Conciliacion de compuestos'!$K$2:$K$48,A646),COUNTIFS('Conciliacion de compuestos'!$D$2:$D$48,"conciliado",'Conciliacion de compuestos'!$E$2:$E$48,"OK",'Conciliacion de compuestos'!$L$2:$L$48,A646))&gt;0,"conciliado en compuesto confirmado","disponible")</f>
        <v/>
      </c>
    </row>
    <row r="647">
      <c r="A647" s="11" t="n">
        <v>653</v>
      </c>
      <c r="B647" s="12" t="n">
        <v>46003</v>
      </c>
      <c r="C647" s="11" t="inlineStr">
        <is>
          <t>depositos electronicos masterca transaccion</t>
        </is>
      </c>
      <c r="D647" s="13" t="n">
        <v>291308</v>
      </c>
      <c r="E647" s="11">
        <f>IF(SUM(COUNTIFS('Conciliacion de compuestos'!$D$2:$D$48,"conciliado",'Conciliacion de compuestos'!$E$2:$E$48,"OK",'Conciliacion de compuestos'!$J$2:$J$48,A647),COUNTIFS('Conciliacion de compuestos'!$D$2:$D$48,"conciliado",'Conciliacion de compuestos'!$E$2:$E$48,"OK",'Conciliacion de compuestos'!$K$2:$K$48,A647),COUNTIFS('Conciliacion de compuestos'!$D$2:$D$48,"conciliado",'Conciliacion de compuestos'!$E$2:$E$48,"OK",'Conciliacion de compuestos'!$L$2:$L$48,A647))&gt;0,"conciliado en compuesto confirmado","disponible")</f>
        <v/>
      </c>
    </row>
    <row r="648">
      <c r="A648" s="11" t="n">
        <v>654</v>
      </c>
      <c r="B648" s="12" t="n">
        <v>46003</v>
      </c>
      <c r="C648" s="11" t="inlineStr">
        <is>
          <t>comision depositos electronicos mastercard</t>
        </is>
      </c>
      <c r="D648" s="13" t="n">
        <v>-5535</v>
      </c>
      <c r="E648" s="11">
        <f>IF(SUM(COUNTIFS('Conciliacion de compuestos'!$D$2:$D$48,"conciliado",'Conciliacion de compuestos'!$E$2:$E$48,"OK",'Conciliacion de compuestos'!$J$2:$J$48,A648),COUNTIFS('Conciliacion de compuestos'!$D$2:$D$48,"conciliado",'Conciliacion de compuestos'!$E$2:$E$48,"OK",'Conciliacion de compuestos'!$K$2:$K$48,A648),COUNTIFS('Conciliacion de compuestos'!$D$2:$D$48,"conciliado",'Conciliacion de compuestos'!$E$2:$E$48,"OK",'Conciliacion de compuestos'!$L$2:$L$48,A648))&gt;0,"conciliado en compuesto confirmado","disponible")</f>
        <v/>
      </c>
    </row>
    <row r="649">
      <c r="A649" s="11" t="n">
        <v>655</v>
      </c>
      <c r="B649" s="12" t="n">
        <v>46003</v>
      </c>
      <c r="C649" s="11" t="inlineStr">
        <is>
          <t>a financiero gravamen movimiento</t>
        </is>
      </c>
      <c r="D649" s="13" t="n">
        <v>-22</v>
      </c>
      <c r="E649" s="11">
        <f>IF(SUM(COUNTIFS('Conciliacion de compuestos'!$D$2:$D$48,"conciliado",'Conciliacion de compuestos'!$E$2:$E$48,"OK",'Conciliacion de compuestos'!$J$2:$J$48,A649),COUNTIFS('Conciliacion de compuestos'!$D$2:$D$48,"conciliado",'Conciliacion de compuestos'!$E$2:$E$48,"OK",'Conciliacion de compuestos'!$K$2:$K$48,A649),COUNTIFS('Conciliacion de compuestos'!$D$2:$D$48,"conciliado",'Conciliacion de compuestos'!$E$2:$E$48,"OK",'Conciliacion de compuestos'!$L$2:$L$48,A649))&gt;0,"conciliado en compuesto confirmado","disponible")</f>
        <v/>
      </c>
    </row>
    <row r="650">
      <c r="A650" s="11" t="n">
        <v>656</v>
      </c>
      <c r="B650" s="12" t="n">
        <v>46003</v>
      </c>
      <c r="C650" s="11" t="inlineStr">
        <is>
          <t>depositos electronicos mastercar retefuente</t>
        </is>
      </c>
      <c r="D650" s="13" t="n">
        <v>-4370</v>
      </c>
      <c r="E650" s="11">
        <f>IF(SUM(COUNTIFS('Conciliacion de compuestos'!$D$2:$D$48,"conciliado",'Conciliacion de compuestos'!$E$2:$E$48,"OK",'Conciliacion de compuestos'!$J$2:$J$48,A650),COUNTIFS('Conciliacion de compuestos'!$D$2:$D$48,"conciliado",'Conciliacion de compuestos'!$E$2:$E$48,"OK",'Conciliacion de compuestos'!$K$2:$K$48,A650),COUNTIFS('Conciliacion de compuestos'!$D$2:$D$48,"conciliado",'Conciliacion de compuestos'!$E$2:$E$48,"OK",'Conciliacion de compuestos'!$L$2:$L$48,A650))&gt;0,"conciliado en compuesto confirmado","disponible")</f>
        <v/>
      </c>
    </row>
    <row r="651">
      <c r="A651" s="11" t="n">
        <v>657</v>
      </c>
      <c r="B651" s="12" t="n">
        <v>46003</v>
      </c>
      <c r="C651" s="11" t="inlineStr">
        <is>
          <t>a financiero gravamen movimiento</t>
        </is>
      </c>
      <c r="D651" s="13" t="n">
        <v>-17</v>
      </c>
      <c r="E651" s="11">
        <f>IF(SUM(COUNTIFS('Conciliacion de compuestos'!$D$2:$D$48,"conciliado",'Conciliacion de compuestos'!$E$2:$E$48,"OK",'Conciliacion de compuestos'!$J$2:$J$48,A651),COUNTIFS('Conciliacion de compuestos'!$D$2:$D$48,"conciliado",'Conciliacion de compuestos'!$E$2:$E$48,"OK",'Conciliacion de compuestos'!$K$2:$K$48,A651),COUNTIFS('Conciliacion de compuestos'!$D$2:$D$48,"conciliado",'Conciliacion de compuestos'!$E$2:$E$48,"OK",'Conciliacion de compuestos'!$L$2:$L$48,A651))&gt;0,"conciliado en compuesto confirmado","disponible")</f>
        <v/>
      </c>
    </row>
    <row r="652">
      <c r="A652" s="11" t="n">
        <v>658</v>
      </c>
      <c r="B652" s="12" t="n">
        <v>46003</v>
      </c>
      <c r="C652" s="11" t="inlineStr">
        <is>
          <t>depositos electronicos masterca transaccion</t>
        </is>
      </c>
      <c r="D652" s="13" t="n">
        <v>112600</v>
      </c>
      <c r="E652" s="11">
        <f>IF(SUM(COUNTIFS('Conciliacion de compuestos'!$D$2:$D$48,"conciliado",'Conciliacion de compuestos'!$E$2:$E$48,"OK",'Conciliacion de compuestos'!$J$2:$J$48,A652),COUNTIFS('Conciliacion de compuestos'!$D$2:$D$48,"conciliado",'Conciliacion de compuestos'!$E$2:$E$48,"OK",'Conciliacion de compuestos'!$K$2:$K$48,A652),COUNTIFS('Conciliacion de compuestos'!$D$2:$D$48,"conciliado",'Conciliacion de compuestos'!$E$2:$E$48,"OK",'Conciliacion de compuestos'!$L$2:$L$48,A652))&gt;0,"conciliado en compuesto confirmado","disponible")</f>
        <v/>
      </c>
    </row>
    <row r="653">
      <c r="A653" s="11" t="n">
        <v>659</v>
      </c>
      <c r="B653" s="12" t="n">
        <v>46003</v>
      </c>
      <c r="C653" s="11" t="inlineStr">
        <is>
          <t>comision depositos electronicos mastercard</t>
        </is>
      </c>
      <c r="D653" s="13" t="n">
        <v>-2139</v>
      </c>
      <c r="E653" s="11">
        <f>IF(SUM(COUNTIFS('Conciliacion de compuestos'!$D$2:$D$48,"conciliado",'Conciliacion de compuestos'!$E$2:$E$48,"OK",'Conciliacion de compuestos'!$J$2:$J$48,A653),COUNTIFS('Conciliacion de compuestos'!$D$2:$D$48,"conciliado",'Conciliacion de compuestos'!$E$2:$E$48,"OK",'Conciliacion de compuestos'!$K$2:$K$48,A653),COUNTIFS('Conciliacion de compuestos'!$D$2:$D$48,"conciliado",'Conciliacion de compuestos'!$E$2:$E$48,"OK",'Conciliacion de compuestos'!$L$2:$L$48,A653))&gt;0,"conciliado en compuesto confirmado","disponible")</f>
        <v/>
      </c>
    </row>
    <row r="654">
      <c r="A654" s="11" t="n">
        <v>660</v>
      </c>
      <c r="B654" s="12" t="n">
        <v>46003</v>
      </c>
      <c r="C654" s="11" t="inlineStr">
        <is>
          <t>a financiero gravamen movimiento</t>
        </is>
      </c>
      <c r="D654" s="13" t="n">
        <v>-9</v>
      </c>
      <c r="E654" s="11">
        <f>IF(SUM(COUNTIFS('Conciliacion de compuestos'!$D$2:$D$48,"conciliado",'Conciliacion de compuestos'!$E$2:$E$48,"OK",'Conciliacion de compuestos'!$J$2:$J$48,A654),COUNTIFS('Conciliacion de compuestos'!$D$2:$D$48,"conciliado",'Conciliacion de compuestos'!$E$2:$E$48,"OK",'Conciliacion de compuestos'!$K$2:$K$48,A654),COUNTIFS('Conciliacion de compuestos'!$D$2:$D$48,"conciliado",'Conciliacion de compuestos'!$E$2:$E$48,"OK",'Conciliacion de compuestos'!$L$2:$L$48,A654))&gt;0,"conciliado en compuesto confirmado","disponible")</f>
        <v/>
      </c>
    </row>
    <row r="655">
      <c r="A655" s="11" t="n">
        <v>661</v>
      </c>
      <c r="B655" s="12" t="n">
        <v>46003</v>
      </c>
      <c r="C655" s="11" t="inlineStr">
        <is>
          <t>depositos electronicos mastercar retefuente</t>
        </is>
      </c>
      <c r="D655" s="13" t="n">
        <v>-1689</v>
      </c>
      <c r="E655" s="11">
        <f>IF(SUM(COUNTIFS('Conciliacion de compuestos'!$D$2:$D$48,"conciliado",'Conciliacion de compuestos'!$E$2:$E$48,"OK",'Conciliacion de compuestos'!$J$2:$J$48,A655),COUNTIFS('Conciliacion de compuestos'!$D$2:$D$48,"conciliado",'Conciliacion de compuestos'!$E$2:$E$48,"OK",'Conciliacion de compuestos'!$K$2:$K$48,A655),COUNTIFS('Conciliacion de compuestos'!$D$2:$D$48,"conciliado",'Conciliacion de compuestos'!$E$2:$E$48,"OK",'Conciliacion de compuestos'!$L$2:$L$48,A655))&gt;0,"conciliado en compuesto confirmado","disponible")</f>
        <v/>
      </c>
    </row>
    <row r="656">
      <c r="A656" s="11" t="n">
        <v>662</v>
      </c>
      <c r="B656" s="12" t="n">
        <v>46003</v>
      </c>
      <c r="C656" s="11" t="inlineStr">
        <is>
          <t>a financiero gravamen movimiento</t>
        </is>
      </c>
      <c r="D656" s="13" t="n">
        <v>-7</v>
      </c>
      <c r="E656" s="11">
        <f>IF(SUM(COUNTIFS('Conciliacion de compuestos'!$D$2:$D$48,"conciliado",'Conciliacion de compuestos'!$E$2:$E$48,"OK",'Conciliacion de compuestos'!$J$2:$J$48,A656),COUNTIFS('Conciliacion de compuestos'!$D$2:$D$48,"conciliado",'Conciliacion de compuestos'!$E$2:$E$48,"OK",'Conciliacion de compuestos'!$K$2:$K$48,A656),COUNTIFS('Conciliacion de compuestos'!$D$2:$D$48,"conciliado",'Conciliacion de compuestos'!$E$2:$E$48,"OK",'Conciliacion de compuestos'!$L$2:$L$48,A656))&gt;0,"conciliado en compuesto confirmado","disponible")</f>
        <v/>
      </c>
    </row>
    <row r="657">
      <c r="A657" s="11" t="n">
        <v>663</v>
      </c>
      <c r="B657" s="12" t="n">
        <v>46003</v>
      </c>
      <c r="C657" s="11" t="inlineStr">
        <is>
          <t>depositos electronicos masterca transaccion</t>
        </is>
      </c>
      <c r="D657" s="13" t="n">
        <v>19000</v>
      </c>
      <c r="E657" s="11">
        <f>IF(SUM(COUNTIFS('Conciliacion de compuestos'!$D$2:$D$48,"conciliado",'Conciliacion de compuestos'!$E$2:$E$48,"OK",'Conciliacion de compuestos'!$J$2:$J$48,A657),COUNTIFS('Conciliacion de compuestos'!$D$2:$D$48,"conciliado",'Conciliacion de compuestos'!$E$2:$E$48,"OK",'Conciliacion de compuestos'!$K$2:$K$48,A657),COUNTIFS('Conciliacion de compuestos'!$D$2:$D$48,"conciliado",'Conciliacion de compuestos'!$E$2:$E$48,"OK",'Conciliacion de compuestos'!$L$2:$L$48,A657))&gt;0,"conciliado en compuesto confirmado","disponible")</f>
        <v/>
      </c>
    </row>
    <row r="658">
      <c r="A658" s="11" t="n">
        <v>664</v>
      </c>
      <c r="B658" s="12" t="n">
        <v>46003</v>
      </c>
      <c r="C658" s="11" t="inlineStr">
        <is>
          <t>comision depositos electronicos mastercard</t>
        </is>
      </c>
      <c r="D658" s="13" t="n">
        <v>-361</v>
      </c>
      <c r="E658" s="11">
        <f>IF(SUM(COUNTIFS('Conciliacion de compuestos'!$D$2:$D$48,"conciliado",'Conciliacion de compuestos'!$E$2:$E$48,"OK",'Conciliacion de compuestos'!$J$2:$J$48,A658),COUNTIFS('Conciliacion de compuestos'!$D$2:$D$48,"conciliado",'Conciliacion de compuestos'!$E$2:$E$48,"OK",'Conciliacion de compuestos'!$K$2:$K$48,A658),COUNTIFS('Conciliacion de compuestos'!$D$2:$D$48,"conciliado",'Conciliacion de compuestos'!$E$2:$E$48,"OK",'Conciliacion de compuestos'!$L$2:$L$48,A658))&gt;0,"conciliado en compuesto confirmado","disponible")</f>
        <v/>
      </c>
    </row>
    <row r="659">
      <c r="A659" s="11" t="n">
        <v>665</v>
      </c>
      <c r="B659" s="12" t="n">
        <v>46003</v>
      </c>
      <c r="C659" s="11" t="inlineStr">
        <is>
          <t>a financiero gravamen movimiento</t>
        </is>
      </c>
      <c r="D659" s="13" t="n">
        <v>-1</v>
      </c>
      <c r="E659" s="11">
        <f>IF(SUM(COUNTIFS('Conciliacion de compuestos'!$D$2:$D$48,"conciliado",'Conciliacion de compuestos'!$E$2:$E$48,"OK",'Conciliacion de compuestos'!$J$2:$J$48,A659),COUNTIFS('Conciliacion de compuestos'!$D$2:$D$48,"conciliado",'Conciliacion de compuestos'!$E$2:$E$48,"OK",'Conciliacion de compuestos'!$K$2:$K$48,A659),COUNTIFS('Conciliacion de compuestos'!$D$2:$D$48,"conciliado",'Conciliacion de compuestos'!$E$2:$E$48,"OK",'Conciliacion de compuestos'!$L$2:$L$48,A659))&gt;0,"conciliado en compuesto confirmado","disponible")</f>
        <v/>
      </c>
    </row>
    <row r="660">
      <c r="A660" s="11" t="n">
        <v>666</v>
      </c>
      <c r="B660" s="12" t="n">
        <v>46003</v>
      </c>
      <c r="C660" s="11" t="inlineStr">
        <is>
          <t>depositos electronicos mastercar retefuente</t>
        </is>
      </c>
      <c r="D660" s="13" t="n">
        <v>-285</v>
      </c>
      <c r="E660" s="11">
        <f>IF(SUM(COUNTIFS('Conciliacion de compuestos'!$D$2:$D$48,"conciliado",'Conciliacion de compuestos'!$E$2:$E$48,"OK",'Conciliacion de compuestos'!$J$2:$J$48,A660),COUNTIFS('Conciliacion de compuestos'!$D$2:$D$48,"conciliado",'Conciliacion de compuestos'!$E$2:$E$48,"OK",'Conciliacion de compuestos'!$K$2:$K$48,A660),COUNTIFS('Conciliacion de compuestos'!$D$2:$D$48,"conciliado",'Conciliacion de compuestos'!$E$2:$E$48,"OK",'Conciliacion de compuestos'!$L$2:$L$48,A660))&gt;0,"conciliado en compuesto confirmado","disponible")</f>
        <v/>
      </c>
    </row>
    <row r="661">
      <c r="A661" s="11" t="n">
        <v>667</v>
      </c>
      <c r="B661" s="12" t="n">
        <v>46003</v>
      </c>
      <c r="C661" s="11" t="inlineStr">
        <is>
          <t>a financiero gravamen movimiento</t>
        </is>
      </c>
      <c r="D661" s="13" t="n">
        <v>-1</v>
      </c>
      <c r="E661" s="11">
        <f>IF(SUM(COUNTIFS('Conciliacion de compuestos'!$D$2:$D$48,"conciliado",'Conciliacion de compuestos'!$E$2:$E$48,"OK",'Conciliacion de compuestos'!$J$2:$J$48,A661),COUNTIFS('Conciliacion de compuestos'!$D$2:$D$48,"conciliado",'Conciliacion de compuestos'!$E$2:$E$48,"OK",'Conciliacion de compuestos'!$K$2:$K$48,A661),COUNTIFS('Conciliacion de compuestos'!$D$2:$D$48,"conciliado",'Conciliacion de compuestos'!$E$2:$E$48,"OK",'Conciliacion de compuestos'!$L$2:$L$48,A661))&gt;0,"conciliado en compuesto confirmado","disponible")</f>
        <v/>
      </c>
    </row>
    <row r="662">
      <c r="A662" s="11" t="n">
        <v>668</v>
      </c>
      <c r="B662" s="12" t="n">
        <v>46003</v>
      </c>
      <c r="C662" s="11" t="inlineStr">
        <is>
          <t>consignacion credibanco d e</t>
        </is>
      </c>
      <c r="D662" s="13" t="n">
        <v>145200</v>
      </c>
      <c r="E662" s="11">
        <f>IF(SUM(COUNTIFS('Conciliacion de compuestos'!$D$2:$D$48,"conciliado",'Conciliacion de compuestos'!$E$2:$E$48,"OK",'Conciliacion de compuestos'!$J$2:$J$48,A662),COUNTIFS('Conciliacion de compuestos'!$D$2:$D$48,"conciliado",'Conciliacion de compuestos'!$E$2:$E$48,"OK",'Conciliacion de compuestos'!$K$2:$K$48,A662),COUNTIFS('Conciliacion de compuestos'!$D$2:$D$48,"conciliado",'Conciliacion de compuestos'!$E$2:$E$48,"OK",'Conciliacion de compuestos'!$L$2:$L$48,A662))&gt;0,"conciliado en compuesto confirmado","disponible")</f>
        <v/>
      </c>
    </row>
    <row r="663">
      <c r="A663" s="11" t="n">
        <v>669</v>
      </c>
      <c r="B663" s="12" t="n">
        <v>46003</v>
      </c>
      <c r="C663" s="11" t="inlineStr">
        <is>
          <t>cobro comision depositos electronicos</t>
        </is>
      </c>
      <c r="D663" s="13" t="n">
        <v>-3136</v>
      </c>
      <c r="E663" s="11">
        <f>IF(SUM(COUNTIFS('Conciliacion de compuestos'!$D$2:$D$48,"conciliado",'Conciliacion de compuestos'!$E$2:$E$48,"OK",'Conciliacion de compuestos'!$J$2:$J$48,A663),COUNTIFS('Conciliacion de compuestos'!$D$2:$D$48,"conciliado",'Conciliacion de compuestos'!$E$2:$E$48,"OK",'Conciliacion de compuestos'!$K$2:$K$48,A663),COUNTIFS('Conciliacion de compuestos'!$D$2:$D$48,"conciliado",'Conciliacion de compuestos'!$E$2:$E$48,"OK",'Conciliacion de compuestos'!$L$2:$L$48,A663))&gt;0,"conciliado en compuesto confirmado","disponible")</f>
        <v/>
      </c>
    </row>
    <row r="664">
      <c r="A664" s="11" t="n">
        <v>670</v>
      </c>
      <c r="B664" s="12" t="n">
        <v>46003</v>
      </c>
      <c r="C664" s="11" t="inlineStr">
        <is>
          <t>a financiero gravamen movimiento</t>
        </is>
      </c>
      <c r="D664" s="13" t="n">
        <v>-13</v>
      </c>
      <c r="E664" s="11">
        <f>IF(SUM(COUNTIFS('Conciliacion de compuestos'!$D$2:$D$48,"conciliado",'Conciliacion de compuestos'!$E$2:$E$48,"OK",'Conciliacion de compuestos'!$J$2:$J$48,A664),COUNTIFS('Conciliacion de compuestos'!$D$2:$D$48,"conciliado",'Conciliacion de compuestos'!$E$2:$E$48,"OK",'Conciliacion de compuestos'!$K$2:$K$48,A664),COUNTIFS('Conciliacion de compuestos'!$D$2:$D$48,"conciliado",'Conciliacion de compuestos'!$E$2:$E$48,"OK",'Conciliacion de compuestos'!$L$2:$L$48,A664))&gt;0,"conciliado en compuesto confirmado","disponible")</f>
        <v/>
      </c>
    </row>
    <row r="665">
      <c r="A665" s="11" t="n">
        <v>671</v>
      </c>
      <c r="B665" s="12" t="n">
        <v>46003</v>
      </c>
      <c r="C665" s="11" t="inlineStr">
        <is>
          <t>credibanco d e retefuente voucher y</t>
        </is>
      </c>
      <c r="D665" s="13" t="n">
        <v>-2178</v>
      </c>
      <c r="E665" s="11">
        <f>IF(SUM(COUNTIFS('Conciliacion de compuestos'!$D$2:$D$48,"conciliado",'Conciliacion de compuestos'!$E$2:$E$48,"OK",'Conciliacion de compuestos'!$J$2:$J$48,A665),COUNTIFS('Conciliacion de compuestos'!$D$2:$D$48,"conciliado",'Conciliacion de compuestos'!$E$2:$E$48,"OK",'Conciliacion de compuestos'!$K$2:$K$48,A665),COUNTIFS('Conciliacion de compuestos'!$D$2:$D$48,"conciliado",'Conciliacion de compuestos'!$E$2:$E$48,"OK",'Conciliacion de compuestos'!$L$2:$L$48,A665))&gt;0,"conciliado en compuesto confirmado","disponible")</f>
        <v/>
      </c>
    </row>
    <row r="666">
      <c r="A666" s="11" t="n">
        <v>672</v>
      </c>
      <c r="B666" s="12" t="n">
        <v>46003</v>
      </c>
      <c r="C666" s="11" t="inlineStr">
        <is>
          <t>a financiero gravamen movimiento</t>
        </is>
      </c>
      <c r="D666" s="13" t="n">
        <v>-9</v>
      </c>
      <c r="E666" s="11">
        <f>IF(SUM(COUNTIFS('Conciliacion de compuestos'!$D$2:$D$48,"conciliado",'Conciliacion de compuestos'!$E$2:$E$48,"OK",'Conciliacion de compuestos'!$J$2:$J$48,A666),COUNTIFS('Conciliacion de compuestos'!$D$2:$D$48,"conciliado",'Conciliacion de compuestos'!$E$2:$E$48,"OK",'Conciliacion de compuestos'!$K$2:$K$48,A666),COUNTIFS('Conciliacion de compuestos'!$D$2:$D$48,"conciliado",'Conciliacion de compuestos'!$E$2:$E$48,"OK",'Conciliacion de compuestos'!$L$2:$L$48,A666))&gt;0,"conciliado en compuesto confirmado","disponible")</f>
        <v/>
      </c>
    </row>
    <row r="667">
      <c r="A667" s="11" t="n">
        <v>673</v>
      </c>
      <c r="B667" s="12" t="n">
        <v>46003</v>
      </c>
      <c r="C667" s="11" t="inlineStr">
        <is>
          <t>consignacion credibanco d e</t>
        </is>
      </c>
      <c r="D667" s="13" t="n">
        <v>73000</v>
      </c>
      <c r="E667" s="11">
        <f>IF(SUM(COUNTIFS('Conciliacion de compuestos'!$D$2:$D$48,"conciliado",'Conciliacion de compuestos'!$E$2:$E$48,"OK",'Conciliacion de compuestos'!$J$2:$J$48,A667),COUNTIFS('Conciliacion de compuestos'!$D$2:$D$48,"conciliado",'Conciliacion de compuestos'!$E$2:$E$48,"OK",'Conciliacion de compuestos'!$K$2:$K$48,A667),COUNTIFS('Conciliacion de compuestos'!$D$2:$D$48,"conciliado",'Conciliacion de compuestos'!$E$2:$E$48,"OK",'Conciliacion de compuestos'!$L$2:$L$48,A667))&gt;0,"conciliado en compuesto confirmado","disponible")</f>
        <v/>
      </c>
    </row>
    <row r="668">
      <c r="A668" s="11" t="n">
        <v>674</v>
      </c>
      <c r="B668" s="12" t="n">
        <v>46003</v>
      </c>
      <c r="C668" s="11" t="inlineStr">
        <is>
          <t>cobro comision depositos electronicos</t>
        </is>
      </c>
      <c r="D668" s="13" t="n">
        <v>-1504</v>
      </c>
      <c r="E668" s="11">
        <f>IF(SUM(COUNTIFS('Conciliacion de compuestos'!$D$2:$D$48,"conciliado",'Conciliacion de compuestos'!$E$2:$E$48,"OK",'Conciliacion de compuestos'!$J$2:$J$48,A668),COUNTIFS('Conciliacion de compuestos'!$D$2:$D$48,"conciliado",'Conciliacion de compuestos'!$E$2:$E$48,"OK",'Conciliacion de compuestos'!$K$2:$K$48,A668),COUNTIFS('Conciliacion de compuestos'!$D$2:$D$48,"conciliado",'Conciliacion de compuestos'!$E$2:$E$48,"OK",'Conciliacion de compuestos'!$L$2:$L$48,A668))&gt;0,"conciliado en compuesto confirmado","disponible")</f>
        <v/>
      </c>
    </row>
    <row r="669">
      <c r="A669" s="11" t="n">
        <v>675</v>
      </c>
      <c r="B669" s="12" t="n">
        <v>46003</v>
      </c>
      <c r="C669" s="11" t="inlineStr">
        <is>
          <t>a financiero gravamen movimiento</t>
        </is>
      </c>
      <c r="D669" s="13" t="n">
        <v>-6</v>
      </c>
      <c r="E669" s="11">
        <f>IF(SUM(COUNTIFS('Conciliacion de compuestos'!$D$2:$D$48,"conciliado",'Conciliacion de compuestos'!$E$2:$E$48,"OK",'Conciliacion de compuestos'!$J$2:$J$48,A669),COUNTIFS('Conciliacion de compuestos'!$D$2:$D$48,"conciliado",'Conciliacion de compuestos'!$E$2:$E$48,"OK",'Conciliacion de compuestos'!$K$2:$K$48,A669),COUNTIFS('Conciliacion de compuestos'!$D$2:$D$48,"conciliado",'Conciliacion de compuestos'!$E$2:$E$48,"OK",'Conciliacion de compuestos'!$L$2:$L$48,A669))&gt;0,"conciliado en compuesto confirmado","disponible")</f>
        <v/>
      </c>
    </row>
    <row r="670">
      <c r="A670" s="11" t="n">
        <v>676</v>
      </c>
      <c r="B670" s="12" t="n">
        <v>46003</v>
      </c>
      <c r="C670" s="11" t="inlineStr">
        <is>
          <t>credibanco d e retefuente voucher y</t>
        </is>
      </c>
      <c r="D670" s="13" t="n">
        <v>-1095</v>
      </c>
      <c r="E670" s="11">
        <f>IF(SUM(COUNTIFS('Conciliacion de compuestos'!$D$2:$D$48,"conciliado",'Conciliacion de compuestos'!$E$2:$E$48,"OK",'Conciliacion de compuestos'!$J$2:$J$48,A670),COUNTIFS('Conciliacion de compuestos'!$D$2:$D$48,"conciliado",'Conciliacion de compuestos'!$E$2:$E$48,"OK",'Conciliacion de compuestos'!$K$2:$K$48,A670),COUNTIFS('Conciliacion de compuestos'!$D$2:$D$48,"conciliado",'Conciliacion de compuestos'!$E$2:$E$48,"OK",'Conciliacion de compuestos'!$L$2:$L$48,A670))&gt;0,"conciliado en compuesto confirmado","disponible")</f>
        <v/>
      </c>
    </row>
    <row r="671">
      <c r="A671" s="11" t="n">
        <v>677</v>
      </c>
      <c r="B671" s="12" t="n">
        <v>46003</v>
      </c>
      <c r="C671" s="11" t="inlineStr">
        <is>
          <t>a financiero gravamen movimiento</t>
        </is>
      </c>
      <c r="D671" s="13" t="n">
        <v>-4</v>
      </c>
      <c r="E671" s="11">
        <f>IF(SUM(COUNTIFS('Conciliacion de compuestos'!$D$2:$D$48,"conciliado",'Conciliacion de compuestos'!$E$2:$E$48,"OK",'Conciliacion de compuestos'!$J$2:$J$48,A671),COUNTIFS('Conciliacion de compuestos'!$D$2:$D$48,"conciliado",'Conciliacion de compuestos'!$E$2:$E$48,"OK",'Conciliacion de compuestos'!$K$2:$K$48,A671),COUNTIFS('Conciliacion de compuestos'!$D$2:$D$48,"conciliado",'Conciliacion de compuestos'!$E$2:$E$48,"OK",'Conciliacion de compuestos'!$L$2:$L$48,A671))&gt;0,"conciliado en compuesto confirmado","disponible")</f>
        <v/>
      </c>
    </row>
    <row r="672">
      <c r="A672" s="11" t="n">
        <v>678</v>
      </c>
      <c r="B672" s="12" t="n">
        <v>46003</v>
      </c>
      <c r="C672" s="11" t="inlineStr">
        <is>
          <t>consignacion credibanco d e</t>
        </is>
      </c>
      <c r="D672" s="13" t="n">
        <v>26800</v>
      </c>
      <c r="E672" s="11">
        <f>IF(SUM(COUNTIFS('Conciliacion de compuestos'!$D$2:$D$48,"conciliado",'Conciliacion de compuestos'!$E$2:$E$48,"OK",'Conciliacion de compuestos'!$J$2:$J$48,A672),COUNTIFS('Conciliacion de compuestos'!$D$2:$D$48,"conciliado",'Conciliacion de compuestos'!$E$2:$E$48,"OK",'Conciliacion de compuestos'!$K$2:$K$48,A672),COUNTIFS('Conciliacion de compuestos'!$D$2:$D$48,"conciliado",'Conciliacion de compuestos'!$E$2:$E$48,"OK",'Conciliacion de compuestos'!$L$2:$L$48,A672))&gt;0,"conciliado en compuesto confirmado","disponible")</f>
        <v/>
      </c>
    </row>
    <row r="673">
      <c r="A673" s="11" t="n">
        <v>679</v>
      </c>
      <c r="B673" s="12" t="n">
        <v>46003</v>
      </c>
      <c r="C673" s="11" t="inlineStr">
        <is>
          <t>cobro comision depositos electronicos</t>
        </is>
      </c>
      <c r="D673" s="13" t="n">
        <v>-579</v>
      </c>
      <c r="E673" s="11">
        <f>IF(SUM(COUNTIFS('Conciliacion de compuestos'!$D$2:$D$48,"conciliado",'Conciliacion de compuestos'!$E$2:$E$48,"OK",'Conciliacion de compuestos'!$J$2:$J$48,A673),COUNTIFS('Conciliacion de compuestos'!$D$2:$D$48,"conciliado",'Conciliacion de compuestos'!$E$2:$E$48,"OK",'Conciliacion de compuestos'!$K$2:$K$48,A673),COUNTIFS('Conciliacion de compuestos'!$D$2:$D$48,"conciliado",'Conciliacion de compuestos'!$E$2:$E$48,"OK",'Conciliacion de compuestos'!$L$2:$L$48,A673))&gt;0,"conciliado en compuesto confirmado","disponible")</f>
        <v/>
      </c>
    </row>
    <row r="674">
      <c r="A674" s="11" t="n">
        <v>680</v>
      </c>
      <c r="B674" s="12" t="n">
        <v>46003</v>
      </c>
      <c r="C674" s="11" t="inlineStr">
        <is>
          <t>a financiero gravamen movimiento</t>
        </is>
      </c>
      <c r="D674" s="13" t="n">
        <v>-2</v>
      </c>
      <c r="E674" s="11">
        <f>IF(SUM(COUNTIFS('Conciliacion de compuestos'!$D$2:$D$48,"conciliado",'Conciliacion de compuestos'!$E$2:$E$48,"OK",'Conciliacion de compuestos'!$J$2:$J$48,A674),COUNTIFS('Conciliacion de compuestos'!$D$2:$D$48,"conciliado",'Conciliacion de compuestos'!$E$2:$E$48,"OK",'Conciliacion de compuestos'!$K$2:$K$48,A674),COUNTIFS('Conciliacion de compuestos'!$D$2:$D$48,"conciliado",'Conciliacion de compuestos'!$E$2:$E$48,"OK",'Conciliacion de compuestos'!$L$2:$L$48,A674))&gt;0,"conciliado en compuesto confirmado","disponible")</f>
        <v/>
      </c>
    </row>
    <row r="675">
      <c r="A675" s="11" t="n">
        <v>681</v>
      </c>
      <c r="B675" s="12" t="n">
        <v>46003</v>
      </c>
      <c r="C675" s="11" t="inlineStr">
        <is>
          <t>credibanco d e retefuente voucher y</t>
        </is>
      </c>
      <c r="D675" s="13" t="n">
        <v>-402</v>
      </c>
      <c r="E675" s="11">
        <f>IF(SUM(COUNTIFS('Conciliacion de compuestos'!$D$2:$D$48,"conciliado",'Conciliacion de compuestos'!$E$2:$E$48,"OK",'Conciliacion de compuestos'!$J$2:$J$48,A675),COUNTIFS('Conciliacion de compuestos'!$D$2:$D$48,"conciliado",'Conciliacion de compuestos'!$E$2:$E$48,"OK",'Conciliacion de compuestos'!$K$2:$K$48,A675),COUNTIFS('Conciliacion de compuestos'!$D$2:$D$48,"conciliado",'Conciliacion de compuestos'!$E$2:$E$48,"OK",'Conciliacion de compuestos'!$L$2:$L$48,A675))&gt;0,"conciliado en compuesto confirmado","disponible")</f>
        <v/>
      </c>
    </row>
    <row r="676">
      <c r="A676" s="11" t="n">
        <v>682</v>
      </c>
      <c r="B676" s="12" t="n">
        <v>46003</v>
      </c>
      <c r="C676" s="11" t="inlineStr">
        <is>
          <t>a financiero gravamen movimiento</t>
        </is>
      </c>
      <c r="D676" s="13" t="n">
        <v>-2</v>
      </c>
      <c r="E676" s="11">
        <f>IF(SUM(COUNTIFS('Conciliacion de compuestos'!$D$2:$D$48,"conciliado",'Conciliacion de compuestos'!$E$2:$E$48,"OK",'Conciliacion de compuestos'!$J$2:$J$48,A676),COUNTIFS('Conciliacion de compuestos'!$D$2:$D$48,"conciliado",'Conciliacion de compuestos'!$E$2:$E$48,"OK",'Conciliacion de compuestos'!$K$2:$K$48,A676),COUNTIFS('Conciliacion de compuestos'!$D$2:$D$48,"conciliado",'Conciliacion de compuestos'!$E$2:$E$48,"OK",'Conciliacion de compuestos'!$L$2:$L$48,A676))&gt;0,"conciliado en compuesto confirmado","disponible")</f>
        <v/>
      </c>
    </row>
    <row r="677">
      <c r="A677" s="11" t="n">
        <v>683</v>
      </c>
      <c r="B677" s="12" t="n">
        <v>46003</v>
      </c>
      <c r="C677" s="11" t="inlineStr">
        <is>
          <t>consignacion credibanco d e</t>
        </is>
      </c>
      <c r="D677" s="13" t="n">
        <v>26800</v>
      </c>
      <c r="E677" s="11">
        <f>IF(SUM(COUNTIFS('Conciliacion de compuestos'!$D$2:$D$48,"conciliado",'Conciliacion de compuestos'!$E$2:$E$48,"OK",'Conciliacion de compuestos'!$J$2:$J$48,A677),COUNTIFS('Conciliacion de compuestos'!$D$2:$D$48,"conciliado",'Conciliacion de compuestos'!$E$2:$E$48,"OK",'Conciliacion de compuestos'!$K$2:$K$48,A677),COUNTIFS('Conciliacion de compuestos'!$D$2:$D$48,"conciliado",'Conciliacion de compuestos'!$E$2:$E$48,"OK",'Conciliacion de compuestos'!$L$2:$L$48,A677))&gt;0,"conciliado en compuesto confirmado","disponible")</f>
        <v/>
      </c>
    </row>
    <row r="678">
      <c r="A678" s="11" t="n">
        <v>684</v>
      </c>
      <c r="B678" s="12" t="n">
        <v>46003</v>
      </c>
      <c r="C678" s="11" t="inlineStr">
        <is>
          <t>cobro comision depositos electronicos</t>
        </is>
      </c>
      <c r="D678" s="13" t="n">
        <v>-587</v>
      </c>
      <c r="E678" s="11">
        <f>IF(SUM(COUNTIFS('Conciliacion de compuestos'!$D$2:$D$48,"conciliado",'Conciliacion de compuestos'!$E$2:$E$48,"OK",'Conciliacion de compuestos'!$J$2:$J$48,A678),COUNTIFS('Conciliacion de compuestos'!$D$2:$D$48,"conciliado",'Conciliacion de compuestos'!$E$2:$E$48,"OK",'Conciliacion de compuestos'!$K$2:$K$48,A678),COUNTIFS('Conciliacion de compuestos'!$D$2:$D$48,"conciliado",'Conciliacion de compuestos'!$E$2:$E$48,"OK",'Conciliacion de compuestos'!$L$2:$L$48,A678))&gt;0,"conciliado en compuesto confirmado","disponible")</f>
        <v/>
      </c>
    </row>
    <row r="679">
      <c r="A679" s="11" t="n">
        <v>685</v>
      </c>
      <c r="B679" s="12" t="n">
        <v>46003</v>
      </c>
      <c r="C679" s="11" t="inlineStr">
        <is>
          <t>a financiero gravamen movimiento</t>
        </is>
      </c>
      <c r="D679" s="13" t="n">
        <v>-2</v>
      </c>
      <c r="E679" s="11">
        <f>IF(SUM(COUNTIFS('Conciliacion de compuestos'!$D$2:$D$48,"conciliado",'Conciliacion de compuestos'!$E$2:$E$48,"OK",'Conciliacion de compuestos'!$J$2:$J$48,A679),COUNTIFS('Conciliacion de compuestos'!$D$2:$D$48,"conciliado",'Conciliacion de compuestos'!$E$2:$E$48,"OK",'Conciliacion de compuestos'!$K$2:$K$48,A679),COUNTIFS('Conciliacion de compuestos'!$D$2:$D$48,"conciliado",'Conciliacion de compuestos'!$E$2:$E$48,"OK",'Conciliacion de compuestos'!$L$2:$L$48,A679))&gt;0,"conciliado en compuesto confirmado","disponible")</f>
        <v/>
      </c>
    </row>
    <row r="680">
      <c r="A680" s="11" t="n">
        <v>686</v>
      </c>
      <c r="B680" s="12" t="n">
        <v>46003</v>
      </c>
      <c r="C680" s="11" t="inlineStr">
        <is>
          <t>credibanco d e retefuente voucher y</t>
        </is>
      </c>
      <c r="D680" s="13" t="n">
        <v>-402</v>
      </c>
      <c r="E680" s="11">
        <f>IF(SUM(COUNTIFS('Conciliacion de compuestos'!$D$2:$D$48,"conciliado",'Conciliacion de compuestos'!$E$2:$E$48,"OK",'Conciliacion de compuestos'!$J$2:$J$48,A680),COUNTIFS('Conciliacion de compuestos'!$D$2:$D$48,"conciliado",'Conciliacion de compuestos'!$E$2:$E$48,"OK",'Conciliacion de compuestos'!$K$2:$K$48,A680),COUNTIFS('Conciliacion de compuestos'!$D$2:$D$48,"conciliado",'Conciliacion de compuestos'!$E$2:$E$48,"OK",'Conciliacion de compuestos'!$L$2:$L$48,A680))&gt;0,"conciliado en compuesto confirmado","disponible")</f>
        <v/>
      </c>
    </row>
    <row r="681">
      <c r="A681" s="11" t="n">
        <v>687</v>
      </c>
      <c r="B681" s="12" t="n">
        <v>46003</v>
      </c>
      <c r="C681" s="11" t="inlineStr">
        <is>
          <t>a financiero gravamen movimiento</t>
        </is>
      </c>
      <c r="D681" s="13" t="n">
        <v>-2</v>
      </c>
      <c r="E681" s="11">
        <f>IF(SUM(COUNTIFS('Conciliacion de compuestos'!$D$2:$D$48,"conciliado",'Conciliacion de compuestos'!$E$2:$E$48,"OK",'Conciliacion de compuestos'!$J$2:$J$48,A681),COUNTIFS('Conciliacion de compuestos'!$D$2:$D$48,"conciliado",'Conciliacion de compuestos'!$E$2:$E$48,"OK",'Conciliacion de compuestos'!$K$2:$K$48,A681),COUNTIFS('Conciliacion de compuestos'!$D$2:$D$48,"conciliado",'Conciliacion de compuestos'!$E$2:$E$48,"OK",'Conciliacion de compuestos'!$L$2:$L$48,A681))&gt;0,"conciliado en compuesto confirmado","disponible")</f>
        <v/>
      </c>
    </row>
    <row r="682">
      <c r="A682" s="11" t="n">
        <v>688</v>
      </c>
      <c r="B682" s="12" t="n">
        <v>46003</v>
      </c>
      <c r="C682" s="11" t="inlineStr">
        <is>
          <t>consignacion credibanco d e</t>
        </is>
      </c>
      <c r="D682" s="13" t="n">
        <v>83900</v>
      </c>
      <c r="E682" s="11">
        <f>IF(SUM(COUNTIFS('Conciliacion de compuestos'!$D$2:$D$48,"conciliado",'Conciliacion de compuestos'!$E$2:$E$48,"OK",'Conciliacion de compuestos'!$J$2:$J$48,A682),COUNTIFS('Conciliacion de compuestos'!$D$2:$D$48,"conciliado",'Conciliacion de compuestos'!$E$2:$E$48,"OK",'Conciliacion de compuestos'!$K$2:$K$48,A682),COUNTIFS('Conciliacion de compuestos'!$D$2:$D$48,"conciliado",'Conciliacion de compuestos'!$E$2:$E$48,"OK",'Conciliacion de compuestos'!$L$2:$L$48,A682))&gt;0,"conciliado en compuesto confirmado","disponible")</f>
        <v/>
      </c>
    </row>
    <row r="683">
      <c r="A683" s="11" t="n">
        <v>689</v>
      </c>
      <c r="B683" s="12" t="n">
        <v>46003</v>
      </c>
      <c r="C683" s="11" t="inlineStr">
        <is>
          <t>cobro comision depositos electronicos</t>
        </is>
      </c>
      <c r="D683" s="13" t="n">
        <v>-1837</v>
      </c>
      <c r="E683" s="11">
        <f>IF(SUM(COUNTIFS('Conciliacion de compuestos'!$D$2:$D$48,"conciliado",'Conciliacion de compuestos'!$E$2:$E$48,"OK",'Conciliacion de compuestos'!$J$2:$J$48,A683),COUNTIFS('Conciliacion de compuestos'!$D$2:$D$48,"conciliado",'Conciliacion de compuestos'!$E$2:$E$48,"OK",'Conciliacion de compuestos'!$K$2:$K$48,A683),COUNTIFS('Conciliacion de compuestos'!$D$2:$D$48,"conciliado",'Conciliacion de compuestos'!$E$2:$E$48,"OK",'Conciliacion de compuestos'!$L$2:$L$48,A683))&gt;0,"conciliado en compuesto confirmado","disponible")</f>
        <v/>
      </c>
    </row>
    <row r="684">
      <c r="A684" s="11" t="n">
        <v>690</v>
      </c>
      <c r="B684" s="12" t="n">
        <v>46003</v>
      </c>
      <c r="C684" s="11" t="inlineStr">
        <is>
          <t>a financiero gravamen movimiento</t>
        </is>
      </c>
      <c r="D684" s="13" t="n">
        <v>-7</v>
      </c>
      <c r="E684" s="11">
        <f>IF(SUM(COUNTIFS('Conciliacion de compuestos'!$D$2:$D$48,"conciliado",'Conciliacion de compuestos'!$E$2:$E$48,"OK",'Conciliacion de compuestos'!$J$2:$J$48,A684),COUNTIFS('Conciliacion de compuestos'!$D$2:$D$48,"conciliado",'Conciliacion de compuestos'!$E$2:$E$48,"OK",'Conciliacion de compuestos'!$K$2:$K$48,A684),COUNTIFS('Conciliacion de compuestos'!$D$2:$D$48,"conciliado",'Conciliacion de compuestos'!$E$2:$E$48,"OK",'Conciliacion de compuestos'!$L$2:$L$48,A684))&gt;0,"conciliado en compuesto confirmado","disponible")</f>
        <v/>
      </c>
    </row>
    <row r="685">
      <c r="A685" s="11" t="n">
        <v>691</v>
      </c>
      <c r="B685" s="12" t="n">
        <v>46003</v>
      </c>
      <c r="C685" s="11" t="inlineStr">
        <is>
          <t>credibanco d e retefuente voucher y</t>
        </is>
      </c>
      <c r="D685" s="13" t="n">
        <v>-1259</v>
      </c>
      <c r="E685" s="11">
        <f>IF(SUM(COUNTIFS('Conciliacion de compuestos'!$D$2:$D$48,"conciliado",'Conciliacion de compuestos'!$E$2:$E$48,"OK",'Conciliacion de compuestos'!$J$2:$J$48,A685),COUNTIFS('Conciliacion de compuestos'!$D$2:$D$48,"conciliado",'Conciliacion de compuestos'!$E$2:$E$48,"OK",'Conciliacion de compuestos'!$K$2:$K$48,A685),COUNTIFS('Conciliacion de compuestos'!$D$2:$D$48,"conciliado",'Conciliacion de compuestos'!$E$2:$E$48,"OK",'Conciliacion de compuestos'!$L$2:$L$48,A685))&gt;0,"conciliado en compuesto confirmado","disponible")</f>
        <v/>
      </c>
    </row>
    <row r="686">
      <c r="A686" s="11" t="n">
        <v>692</v>
      </c>
      <c r="B686" s="12" t="n">
        <v>46003</v>
      </c>
      <c r="C686" s="11" t="inlineStr">
        <is>
          <t>a financiero gravamen movimiento</t>
        </is>
      </c>
      <c r="D686" s="13" t="n">
        <v>-5</v>
      </c>
      <c r="E686" s="11">
        <f>IF(SUM(COUNTIFS('Conciliacion de compuestos'!$D$2:$D$48,"conciliado",'Conciliacion de compuestos'!$E$2:$E$48,"OK",'Conciliacion de compuestos'!$J$2:$J$48,A686),COUNTIFS('Conciliacion de compuestos'!$D$2:$D$48,"conciliado",'Conciliacion de compuestos'!$E$2:$E$48,"OK",'Conciliacion de compuestos'!$K$2:$K$48,A686),COUNTIFS('Conciliacion de compuestos'!$D$2:$D$48,"conciliado",'Conciliacion de compuestos'!$E$2:$E$48,"OK",'Conciliacion de compuestos'!$L$2:$L$48,A686))&gt;0,"conciliado en compuesto confirmado","disponible")</f>
        <v/>
      </c>
    </row>
    <row r="687">
      <c r="A687" s="11" t="n">
        <v>693</v>
      </c>
      <c r="B687" s="12" t="n">
        <v>46003</v>
      </c>
      <c r="C687" s="11" t="inlineStr">
        <is>
          <t>consignacion credibanco d e</t>
        </is>
      </c>
      <c r="D687" s="13" t="n">
        <v>47200</v>
      </c>
      <c r="E687" s="11">
        <f>IF(SUM(COUNTIFS('Conciliacion de compuestos'!$D$2:$D$48,"conciliado",'Conciliacion de compuestos'!$E$2:$E$48,"OK",'Conciliacion de compuestos'!$J$2:$J$48,A687),COUNTIFS('Conciliacion de compuestos'!$D$2:$D$48,"conciliado",'Conciliacion de compuestos'!$E$2:$E$48,"OK",'Conciliacion de compuestos'!$K$2:$K$48,A687),COUNTIFS('Conciliacion de compuestos'!$D$2:$D$48,"conciliado",'Conciliacion de compuestos'!$E$2:$E$48,"OK",'Conciliacion de compuestos'!$L$2:$L$48,A687))&gt;0,"conciliado en compuesto confirmado","disponible")</f>
        <v/>
      </c>
    </row>
    <row r="688">
      <c r="A688" s="11" t="n">
        <v>694</v>
      </c>
      <c r="B688" s="12" t="n">
        <v>46003</v>
      </c>
      <c r="C688" s="11" t="inlineStr">
        <is>
          <t>cobro comision depositos electronicos</t>
        </is>
      </c>
      <c r="D688" s="13" t="n">
        <v>-1034</v>
      </c>
      <c r="E688" s="11">
        <f>IF(SUM(COUNTIFS('Conciliacion de compuestos'!$D$2:$D$48,"conciliado",'Conciliacion de compuestos'!$E$2:$E$48,"OK",'Conciliacion de compuestos'!$J$2:$J$48,A688),COUNTIFS('Conciliacion de compuestos'!$D$2:$D$48,"conciliado",'Conciliacion de compuestos'!$E$2:$E$48,"OK",'Conciliacion de compuestos'!$K$2:$K$48,A688),COUNTIFS('Conciliacion de compuestos'!$D$2:$D$48,"conciliado",'Conciliacion de compuestos'!$E$2:$E$48,"OK",'Conciliacion de compuestos'!$L$2:$L$48,A688))&gt;0,"conciliado en compuesto confirmado","disponible")</f>
        <v/>
      </c>
    </row>
    <row r="689">
      <c r="A689" s="11" t="n">
        <v>695</v>
      </c>
      <c r="B689" s="12" t="n">
        <v>46003</v>
      </c>
      <c r="C689" s="11" t="inlineStr">
        <is>
          <t>a financiero gravamen movimiento</t>
        </is>
      </c>
      <c r="D689" s="13" t="n">
        <v>-4</v>
      </c>
      <c r="E689" s="11">
        <f>IF(SUM(COUNTIFS('Conciliacion de compuestos'!$D$2:$D$48,"conciliado",'Conciliacion de compuestos'!$E$2:$E$48,"OK",'Conciliacion de compuestos'!$J$2:$J$48,A689),COUNTIFS('Conciliacion de compuestos'!$D$2:$D$48,"conciliado",'Conciliacion de compuestos'!$E$2:$E$48,"OK",'Conciliacion de compuestos'!$K$2:$K$48,A689),COUNTIFS('Conciliacion de compuestos'!$D$2:$D$48,"conciliado",'Conciliacion de compuestos'!$E$2:$E$48,"OK",'Conciliacion de compuestos'!$L$2:$L$48,A689))&gt;0,"conciliado en compuesto confirmado","disponible")</f>
        <v/>
      </c>
    </row>
    <row r="690">
      <c r="A690" s="11" t="n">
        <v>696</v>
      </c>
      <c r="B690" s="12" t="n">
        <v>46003</v>
      </c>
      <c r="C690" s="11" t="inlineStr">
        <is>
          <t>credibanco d e retefuente voucher y</t>
        </is>
      </c>
      <c r="D690" s="13" t="n">
        <v>-708</v>
      </c>
      <c r="E690" s="11">
        <f>IF(SUM(COUNTIFS('Conciliacion de compuestos'!$D$2:$D$48,"conciliado",'Conciliacion de compuestos'!$E$2:$E$48,"OK",'Conciliacion de compuestos'!$J$2:$J$48,A690),COUNTIFS('Conciliacion de compuestos'!$D$2:$D$48,"conciliado",'Conciliacion de compuestos'!$E$2:$E$48,"OK",'Conciliacion de compuestos'!$K$2:$K$48,A690),COUNTIFS('Conciliacion de compuestos'!$D$2:$D$48,"conciliado",'Conciliacion de compuestos'!$E$2:$E$48,"OK",'Conciliacion de compuestos'!$L$2:$L$48,A690))&gt;0,"conciliado en compuesto confirmado","disponible")</f>
        <v/>
      </c>
    </row>
    <row r="691">
      <c r="A691" s="11" t="n">
        <v>697</v>
      </c>
      <c r="B691" s="12" t="n">
        <v>46003</v>
      </c>
      <c r="C691" s="11" t="inlineStr">
        <is>
          <t>a financiero gravamen movimiento</t>
        </is>
      </c>
      <c r="D691" s="13" t="n">
        <v>-3</v>
      </c>
      <c r="E691" s="11">
        <f>IF(SUM(COUNTIFS('Conciliacion de compuestos'!$D$2:$D$48,"conciliado",'Conciliacion de compuestos'!$E$2:$E$48,"OK",'Conciliacion de compuestos'!$J$2:$J$48,A691),COUNTIFS('Conciliacion de compuestos'!$D$2:$D$48,"conciliado",'Conciliacion de compuestos'!$E$2:$E$48,"OK",'Conciliacion de compuestos'!$K$2:$K$48,A691),COUNTIFS('Conciliacion de compuestos'!$D$2:$D$48,"conciliado",'Conciliacion de compuestos'!$E$2:$E$48,"OK",'Conciliacion de compuestos'!$L$2:$L$48,A691))&gt;0,"conciliado en compuesto confirmado","disponible")</f>
        <v/>
      </c>
    </row>
    <row r="692">
      <c r="A692" s="11" t="n">
        <v>698</v>
      </c>
      <c r="B692" s="12" t="n">
        <v>46006</v>
      </c>
      <c r="C692" s="11" t="inlineStr">
        <is>
          <t>consignacion credibanco d e</t>
        </is>
      </c>
      <c r="D692" s="13" t="n">
        <v>69700</v>
      </c>
      <c r="E692" s="11">
        <f>IF(SUM(COUNTIFS('Conciliacion de compuestos'!$D$2:$D$48,"conciliado",'Conciliacion de compuestos'!$E$2:$E$48,"OK",'Conciliacion de compuestos'!$J$2:$J$48,A692),COUNTIFS('Conciliacion de compuestos'!$D$2:$D$48,"conciliado",'Conciliacion de compuestos'!$E$2:$E$48,"OK",'Conciliacion de compuestos'!$K$2:$K$48,A692),COUNTIFS('Conciliacion de compuestos'!$D$2:$D$48,"conciliado",'Conciliacion de compuestos'!$E$2:$E$48,"OK",'Conciliacion de compuestos'!$L$2:$L$48,A692))&gt;0,"conciliado en compuesto confirmado","disponible")</f>
        <v/>
      </c>
    </row>
    <row r="693">
      <c r="A693" s="11" t="n">
        <v>699</v>
      </c>
      <c r="B693" s="12" t="n">
        <v>46006</v>
      </c>
      <c r="C693" s="11" t="inlineStr">
        <is>
          <t>cobro comision depositos electronicos</t>
        </is>
      </c>
      <c r="D693" s="13" t="n">
        <v>-565</v>
      </c>
      <c r="E693" s="11">
        <f>IF(SUM(COUNTIFS('Conciliacion de compuestos'!$D$2:$D$48,"conciliado",'Conciliacion de compuestos'!$E$2:$E$48,"OK",'Conciliacion de compuestos'!$J$2:$J$48,A693),COUNTIFS('Conciliacion de compuestos'!$D$2:$D$48,"conciliado",'Conciliacion de compuestos'!$E$2:$E$48,"OK",'Conciliacion de compuestos'!$K$2:$K$48,A693),COUNTIFS('Conciliacion de compuestos'!$D$2:$D$48,"conciliado",'Conciliacion de compuestos'!$E$2:$E$48,"OK",'Conciliacion de compuestos'!$L$2:$L$48,A693))&gt;0,"conciliado en compuesto confirmado","disponible")</f>
        <v/>
      </c>
    </row>
    <row r="694">
      <c r="A694" s="11" t="n">
        <v>700</v>
      </c>
      <c r="B694" s="12" t="n">
        <v>46006</v>
      </c>
      <c r="C694" s="11" t="inlineStr">
        <is>
          <t>a financiero gravamen movimiento</t>
        </is>
      </c>
      <c r="D694" s="13" t="n">
        <v>-2</v>
      </c>
      <c r="E694" s="11">
        <f>IF(SUM(COUNTIFS('Conciliacion de compuestos'!$D$2:$D$48,"conciliado",'Conciliacion de compuestos'!$E$2:$E$48,"OK",'Conciliacion de compuestos'!$J$2:$J$48,A694),COUNTIFS('Conciliacion de compuestos'!$D$2:$D$48,"conciliado",'Conciliacion de compuestos'!$E$2:$E$48,"OK",'Conciliacion de compuestos'!$K$2:$K$48,A694),COUNTIFS('Conciliacion de compuestos'!$D$2:$D$48,"conciliado",'Conciliacion de compuestos'!$E$2:$E$48,"OK",'Conciliacion de compuestos'!$L$2:$L$48,A694))&gt;0,"conciliado en compuesto confirmado","disponible")</f>
        <v/>
      </c>
    </row>
    <row r="695">
      <c r="A695" s="11" t="n">
        <v>701</v>
      </c>
      <c r="B695" s="12" t="n">
        <v>46006</v>
      </c>
      <c r="C695" s="11" t="inlineStr">
        <is>
          <t>credibanco d e retefuente voucher y</t>
        </is>
      </c>
      <c r="D695" s="13" t="n">
        <v>-1046</v>
      </c>
      <c r="E695" s="11">
        <f>IF(SUM(COUNTIFS('Conciliacion de compuestos'!$D$2:$D$48,"conciliado",'Conciliacion de compuestos'!$E$2:$E$48,"OK",'Conciliacion de compuestos'!$J$2:$J$48,A695),COUNTIFS('Conciliacion de compuestos'!$D$2:$D$48,"conciliado",'Conciliacion de compuestos'!$E$2:$E$48,"OK",'Conciliacion de compuestos'!$K$2:$K$48,A695),COUNTIFS('Conciliacion de compuestos'!$D$2:$D$48,"conciliado",'Conciliacion de compuestos'!$E$2:$E$48,"OK",'Conciliacion de compuestos'!$L$2:$L$48,A695))&gt;0,"conciliado en compuesto confirmado","disponible")</f>
        <v/>
      </c>
    </row>
    <row r="696">
      <c r="A696" s="11" t="n">
        <v>702</v>
      </c>
      <c r="B696" s="12" t="n">
        <v>46006</v>
      </c>
      <c r="C696" s="11" t="inlineStr">
        <is>
          <t>a financiero gravamen movimiento</t>
        </is>
      </c>
      <c r="D696" s="13" t="n">
        <v>-4</v>
      </c>
      <c r="E696" s="11">
        <f>IF(SUM(COUNTIFS('Conciliacion de compuestos'!$D$2:$D$48,"conciliado",'Conciliacion de compuestos'!$E$2:$E$48,"OK",'Conciliacion de compuestos'!$J$2:$J$48,A696),COUNTIFS('Conciliacion de compuestos'!$D$2:$D$48,"conciliado",'Conciliacion de compuestos'!$E$2:$E$48,"OK",'Conciliacion de compuestos'!$K$2:$K$48,A696),COUNTIFS('Conciliacion de compuestos'!$D$2:$D$48,"conciliado",'Conciliacion de compuestos'!$E$2:$E$48,"OK",'Conciliacion de compuestos'!$L$2:$L$48,A696))&gt;0,"conciliado en compuesto confirmado","disponible")</f>
        <v/>
      </c>
    </row>
    <row r="697">
      <c r="A697" s="11" t="n">
        <v>703</v>
      </c>
      <c r="B697" s="12" t="n">
        <v>46006</v>
      </c>
      <c r="C697" s="11" t="inlineStr">
        <is>
          <t>consignacion credibanco d e</t>
        </is>
      </c>
      <c r="D697" s="13" t="n">
        <v>31000</v>
      </c>
      <c r="E697" s="11">
        <f>IF(SUM(COUNTIFS('Conciliacion de compuestos'!$D$2:$D$48,"conciliado",'Conciliacion de compuestos'!$E$2:$E$48,"OK",'Conciliacion de compuestos'!$J$2:$J$48,A697),COUNTIFS('Conciliacion de compuestos'!$D$2:$D$48,"conciliado",'Conciliacion de compuestos'!$E$2:$E$48,"OK",'Conciliacion de compuestos'!$K$2:$K$48,A697),COUNTIFS('Conciliacion de compuestos'!$D$2:$D$48,"conciliado",'Conciliacion de compuestos'!$E$2:$E$48,"OK",'Conciliacion de compuestos'!$L$2:$L$48,A697))&gt;0,"conciliado en compuesto confirmado","disponible")</f>
        <v/>
      </c>
    </row>
    <row r="698">
      <c r="A698" s="11" t="n">
        <v>704</v>
      </c>
      <c r="B698" s="12" t="n">
        <v>46006</v>
      </c>
      <c r="C698" s="11" t="inlineStr">
        <is>
          <t>cobro comision depositos electronicos</t>
        </is>
      </c>
      <c r="D698" s="13" t="n">
        <v>-670</v>
      </c>
      <c r="E698" s="11">
        <f>IF(SUM(COUNTIFS('Conciliacion de compuestos'!$D$2:$D$48,"conciliado",'Conciliacion de compuestos'!$E$2:$E$48,"OK",'Conciliacion de compuestos'!$J$2:$J$48,A698),COUNTIFS('Conciliacion de compuestos'!$D$2:$D$48,"conciliado",'Conciliacion de compuestos'!$E$2:$E$48,"OK",'Conciliacion de compuestos'!$K$2:$K$48,A698),COUNTIFS('Conciliacion de compuestos'!$D$2:$D$48,"conciliado",'Conciliacion de compuestos'!$E$2:$E$48,"OK",'Conciliacion de compuestos'!$L$2:$L$48,A698))&gt;0,"conciliado en compuesto confirmado","disponible")</f>
        <v/>
      </c>
    </row>
    <row r="699">
      <c r="A699" s="11" t="n">
        <v>705</v>
      </c>
      <c r="B699" s="12" t="n">
        <v>46006</v>
      </c>
      <c r="C699" s="11" t="inlineStr">
        <is>
          <t>a financiero gravamen movimiento</t>
        </is>
      </c>
      <c r="D699" s="13" t="n">
        <v>-3</v>
      </c>
      <c r="E699" s="11">
        <f>IF(SUM(COUNTIFS('Conciliacion de compuestos'!$D$2:$D$48,"conciliado",'Conciliacion de compuestos'!$E$2:$E$48,"OK",'Conciliacion de compuestos'!$J$2:$J$48,A699),COUNTIFS('Conciliacion de compuestos'!$D$2:$D$48,"conciliado",'Conciliacion de compuestos'!$E$2:$E$48,"OK",'Conciliacion de compuestos'!$K$2:$K$48,A699),COUNTIFS('Conciliacion de compuestos'!$D$2:$D$48,"conciliado",'Conciliacion de compuestos'!$E$2:$E$48,"OK",'Conciliacion de compuestos'!$L$2:$L$48,A699))&gt;0,"conciliado en compuesto confirmado","disponible")</f>
        <v/>
      </c>
    </row>
    <row r="700">
      <c r="A700" s="11" t="n">
        <v>706</v>
      </c>
      <c r="B700" s="12" t="n">
        <v>46006</v>
      </c>
      <c r="C700" s="11" t="inlineStr">
        <is>
          <t>credibanco d e retefuente voucher y</t>
        </is>
      </c>
      <c r="D700" s="13" t="n">
        <v>-465</v>
      </c>
      <c r="E700" s="11">
        <f>IF(SUM(COUNTIFS('Conciliacion de compuestos'!$D$2:$D$48,"conciliado",'Conciliacion de compuestos'!$E$2:$E$48,"OK",'Conciliacion de compuestos'!$J$2:$J$48,A700),COUNTIFS('Conciliacion de compuestos'!$D$2:$D$48,"conciliado",'Conciliacion de compuestos'!$E$2:$E$48,"OK",'Conciliacion de compuestos'!$K$2:$K$48,A700),COUNTIFS('Conciliacion de compuestos'!$D$2:$D$48,"conciliado",'Conciliacion de compuestos'!$E$2:$E$48,"OK",'Conciliacion de compuestos'!$L$2:$L$48,A700))&gt;0,"conciliado en compuesto confirmado","disponible")</f>
        <v/>
      </c>
    </row>
    <row r="701">
      <c r="A701" s="11" t="n">
        <v>707</v>
      </c>
      <c r="B701" s="12" t="n">
        <v>46006</v>
      </c>
      <c r="C701" s="11" t="inlineStr">
        <is>
          <t>a financiero gravamen movimiento</t>
        </is>
      </c>
      <c r="D701" s="13" t="n">
        <v>-2</v>
      </c>
      <c r="E701" s="11">
        <f>IF(SUM(COUNTIFS('Conciliacion de compuestos'!$D$2:$D$48,"conciliado",'Conciliacion de compuestos'!$E$2:$E$48,"OK",'Conciliacion de compuestos'!$J$2:$J$48,A701),COUNTIFS('Conciliacion de compuestos'!$D$2:$D$48,"conciliado",'Conciliacion de compuestos'!$E$2:$E$48,"OK",'Conciliacion de compuestos'!$K$2:$K$48,A701),COUNTIFS('Conciliacion de compuestos'!$D$2:$D$48,"conciliado",'Conciliacion de compuestos'!$E$2:$E$48,"OK",'Conciliacion de compuestos'!$L$2:$L$48,A701))&gt;0,"conciliado en compuesto confirmado","disponible")</f>
        <v/>
      </c>
    </row>
    <row r="702">
      <c r="A702" s="11" t="n">
        <v>709</v>
      </c>
      <c r="B702" s="12" t="n">
        <v>46006</v>
      </c>
      <c r="C702" s="11" t="inlineStr">
        <is>
          <t>cobro comision depositos electronicos</t>
        </is>
      </c>
      <c r="D702" s="13" t="n">
        <v>-680</v>
      </c>
      <c r="E702" s="11">
        <f>IF(SUM(COUNTIFS('Conciliacion de compuestos'!$D$2:$D$48,"conciliado",'Conciliacion de compuestos'!$E$2:$E$48,"OK",'Conciliacion de compuestos'!$J$2:$J$48,A702),COUNTIFS('Conciliacion de compuestos'!$D$2:$D$48,"conciliado",'Conciliacion de compuestos'!$E$2:$E$48,"OK",'Conciliacion de compuestos'!$K$2:$K$48,A702),COUNTIFS('Conciliacion de compuestos'!$D$2:$D$48,"conciliado",'Conciliacion de compuestos'!$E$2:$E$48,"OK",'Conciliacion de compuestos'!$L$2:$L$48,A702))&gt;0,"conciliado en compuesto confirmado","disponible")</f>
        <v/>
      </c>
    </row>
    <row r="703">
      <c r="A703" s="11" t="n">
        <v>710</v>
      </c>
      <c r="B703" s="12" t="n">
        <v>46006</v>
      </c>
      <c r="C703" s="11" t="inlineStr">
        <is>
          <t>a financiero gravamen movimiento</t>
        </is>
      </c>
      <c r="D703" s="13" t="n">
        <v>-3</v>
      </c>
      <c r="E703" s="11">
        <f>IF(SUM(COUNTIFS('Conciliacion de compuestos'!$D$2:$D$48,"conciliado",'Conciliacion de compuestos'!$E$2:$E$48,"OK",'Conciliacion de compuestos'!$J$2:$J$48,A703),COUNTIFS('Conciliacion de compuestos'!$D$2:$D$48,"conciliado",'Conciliacion de compuestos'!$E$2:$E$48,"OK",'Conciliacion de compuestos'!$K$2:$K$48,A703),COUNTIFS('Conciliacion de compuestos'!$D$2:$D$48,"conciliado",'Conciliacion de compuestos'!$E$2:$E$48,"OK",'Conciliacion de compuestos'!$L$2:$L$48,A703))&gt;0,"conciliado en compuesto confirmado","disponible")</f>
        <v/>
      </c>
    </row>
    <row r="704">
      <c r="A704" s="11" t="n">
        <v>711</v>
      </c>
      <c r="B704" s="12" t="n">
        <v>46006</v>
      </c>
      <c r="C704" s="11" t="inlineStr">
        <is>
          <t>credibanco d e retefuente voucher y</t>
        </is>
      </c>
      <c r="D704" s="13" t="n">
        <v>-495</v>
      </c>
      <c r="E704" s="11">
        <f>IF(SUM(COUNTIFS('Conciliacion de compuestos'!$D$2:$D$48,"conciliado",'Conciliacion de compuestos'!$E$2:$E$48,"OK",'Conciliacion de compuestos'!$J$2:$J$48,A704),COUNTIFS('Conciliacion de compuestos'!$D$2:$D$48,"conciliado",'Conciliacion de compuestos'!$E$2:$E$48,"OK",'Conciliacion de compuestos'!$K$2:$K$48,A704),COUNTIFS('Conciliacion de compuestos'!$D$2:$D$48,"conciliado",'Conciliacion de compuestos'!$E$2:$E$48,"OK",'Conciliacion de compuestos'!$L$2:$L$48,A704))&gt;0,"conciliado en compuesto confirmado","disponible")</f>
        <v/>
      </c>
    </row>
    <row r="705">
      <c r="A705" s="11" t="n">
        <v>712</v>
      </c>
      <c r="B705" s="12" t="n">
        <v>46006</v>
      </c>
      <c r="C705" s="11" t="inlineStr">
        <is>
          <t>a financiero gravamen movimiento</t>
        </is>
      </c>
      <c r="D705" s="13" t="n">
        <v>-2</v>
      </c>
      <c r="E705" s="11">
        <f>IF(SUM(COUNTIFS('Conciliacion de compuestos'!$D$2:$D$48,"conciliado",'Conciliacion de compuestos'!$E$2:$E$48,"OK",'Conciliacion de compuestos'!$J$2:$J$48,A705),COUNTIFS('Conciliacion de compuestos'!$D$2:$D$48,"conciliado",'Conciliacion de compuestos'!$E$2:$E$48,"OK",'Conciliacion de compuestos'!$K$2:$K$48,A705),COUNTIFS('Conciliacion de compuestos'!$D$2:$D$48,"conciliado",'Conciliacion de compuestos'!$E$2:$E$48,"OK",'Conciliacion de compuestos'!$L$2:$L$48,A705))&gt;0,"conciliado en compuesto confirmado","disponible")</f>
        <v/>
      </c>
    </row>
    <row r="706">
      <c r="A706" s="11" t="n">
        <v>713</v>
      </c>
      <c r="B706" s="12" t="n">
        <v>46006</v>
      </c>
      <c r="C706" s="11" t="inlineStr">
        <is>
          <t>consignacion credibanco d e</t>
        </is>
      </c>
      <c r="D706" s="13" t="n">
        <v>105200</v>
      </c>
      <c r="E706" s="11">
        <f>IF(SUM(COUNTIFS('Conciliacion de compuestos'!$D$2:$D$48,"conciliado",'Conciliacion de compuestos'!$E$2:$E$48,"OK",'Conciliacion de compuestos'!$J$2:$J$48,A706),COUNTIFS('Conciliacion de compuestos'!$D$2:$D$48,"conciliado",'Conciliacion de compuestos'!$E$2:$E$48,"OK",'Conciliacion de compuestos'!$K$2:$K$48,A706),COUNTIFS('Conciliacion de compuestos'!$D$2:$D$48,"conciliado",'Conciliacion de compuestos'!$E$2:$E$48,"OK",'Conciliacion de compuestos'!$L$2:$L$48,A706))&gt;0,"conciliado en compuesto confirmado","disponible")</f>
        <v/>
      </c>
    </row>
    <row r="707">
      <c r="A707" s="11" t="n">
        <v>714</v>
      </c>
      <c r="B707" s="12" t="n">
        <v>46006</v>
      </c>
      <c r="C707" s="11" t="inlineStr">
        <is>
          <t>cobro comision depositos electronicos</t>
        </is>
      </c>
      <c r="D707" s="13" t="n">
        <v>-2272</v>
      </c>
      <c r="E707" s="11">
        <f>IF(SUM(COUNTIFS('Conciliacion de compuestos'!$D$2:$D$48,"conciliado",'Conciliacion de compuestos'!$E$2:$E$48,"OK",'Conciliacion de compuestos'!$J$2:$J$48,A707),COUNTIFS('Conciliacion de compuestos'!$D$2:$D$48,"conciliado",'Conciliacion de compuestos'!$E$2:$E$48,"OK",'Conciliacion de compuestos'!$K$2:$K$48,A707),COUNTIFS('Conciliacion de compuestos'!$D$2:$D$48,"conciliado",'Conciliacion de compuestos'!$E$2:$E$48,"OK",'Conciliacion de compuestos'!$L$2:$L$48,A707))&gt;0,"conciliado en compuesto confirmado","disponible")</f>
        <v/>
      </c>
    </row>
    <row r="708">
      <c r="A708" s="11" t="n">
        <v>715</v>
      </c>
      <c r="B708" s="12" t="n">
        <v>46006</v>
      </c>
      <c r="C708" s="11" t="inlineStr">
        <is>
          <t>a financiero gravamen movimiento</t>
        </is>
      </c>
      <c r="D708" s="13" t="n">
        <v>-9</v>
      </c>
      <c r="E708" s="11">
        <f>IF(SUM(COUNTIFS('Conciliacion de compuestos'!$D$2:$D$48,"conciliado",'Conciliacion de compuestos'!$E$2:$E$48,"OK",'Conciliacion de compuestos'!$J$2:$J$48,A708),COUNTIFS('Conciliacion de compuestos'!$D$2:$D$48,"conciliado",'Conciliacion de compuestos'!$E$2:$E$48,"OK",'Conciliacion de compuestos'!$K$2:$K$48,A708),COUNTIFS('Conciliacion de compuestos'!$D$2:$D$48,"conciliado",'Conciliacion de compuestos'!$E$2:$E$48,"OK",'Conciliacion de compuestos'!$L$2:$L$48,A708))&gt;0,"conciliado en compuesto confirmado","disponible")</f>
        <v/>
      </c>
    </row>
    <row r="709">
      <c r="A709" s="11" t="n">
        <v>716</v>
      </c>
      <c r="B709" s="12" t="n">
        <v>46006</v>
      </c>
      <c r="C709" s="11" t="inlineStr">
        <is>
          <t>credibanco d e retefuente voucher y</t>
        </is>
      </c>
      <c r="D709" s="13" t="n">
        <v>-1578</v>
      </c>
      <c r="E709" s="11">
        <f>IF(SUM(COUNTIFS('Conciliacion de compuestos'!$D$2:$D$48,"conciliado",'Conciliacion de compuestos'!$E$2:$E$48,"OK",'Conciliacion de compuestos'!$J$2:$J$48,A709),COUNTIFS('Conciliacion de compuestos'!$D$2:$D$48,"conciliado",'Conciliacion de compuestos'!$E$2:$E$48,"OK",'Conciliacion de compuestos'!$K$2:$K$48,A709),COUNTIFS('Conciliacion de compuestos'!$D$2:$D$48,"conciliado",'Conciliacion de compuestos'!$E$2:$E$48,"OK",'Conciliacion de compuestos'!$L$2:$L$48,A709))&gt;0,"conciliado en compuesto confirmado","disponible")</f>
        <v/>
      </c>
    </row>
    <row r="710">
      <c r="A710" s="11" t="n">
        <v>717</v>
      </c>
      <c r="B710" s="12" t="n">
        <v>46006</v>
      </c>
      <c r="C710" s="11" t="inlineStr">
        <is>
          <t>a financiero gravamen movimiento</t>
        </is>
      </c>
      <c r="D710" s="13" t="n">
        <v>-6</v>
      </c>
      <c r="E710" s="11">
        <f>IF(SUM(COUNTIFS('Conciliacion de compuestos'!$D$2:$D$48,"conciliado",'Conciliacion de compuestos'!$E$2:$E$48,"OK",'Conciliacion de compuestos'!$J$2:$J$48,A710),COUNTIFS('Conciliacion de compuestos'!$D$2:$D$48,"conciliado",'Conciliacion de compuestos'!$E$2:$E$48,"OK",'Conciliacion de compuestos'!$K$2:$K$48,A710),COUNTIFS('Conciliacion de compuestos'!$D$2:$D$48,"conciliado",'Conciliacion de compuestos'!$E$2:$E$48,"OK",'Conciliacion de compuestos'!$L$2:$L$48,A710))&gt;0,"conciliado en compuesto confirmado","disponible")</f>
        <v/>
      </c>
    </row>
    <row r="711">
      <c r="A711" s="11" t="n">
        <v>718</v>
      </c>
      <c r="B711" s="12" t="n">
        <v>46006</v>
      </c>
      <c r="C711" s="11" t="inlineStr">
        <is>
          <t>consignacion credibanco d e</t>
        </is>
      </c>
      <c r="D711" s="13" t="n">
        <v>86100</v>
      </c>
      <c r="E711" s="11">
        <f>IF(SUM(COUNTIFS('Conciliacion de compuestos'!$D$2:$D$48,"conciliado",'Conciliacion de compuestos'!$E$2:$E$48,"OK",'Conciliacion de compuestos'!$J$2:$J$48,A711),COUNTIFS('Conciliacion de compuestos'!$D$2:$D$48,"conciliado",'Conciliacion de compuestos'!$E$2:$E$48,"OK",'Conciliacion de compuestos'!$K$2:$K$48,A711),COUNTIFS('Conciliacion de compuestos'!$D$2:$D$48,"conciliado",'Conciliacion de compuestos'!$E$2:$E$48,"OK",'Conciliacion de compuestos'!$L$2:$L$48,A711))&gt;0,"conciliado en compuesto confirmado","disponible")</f>
        <v/>
      </c>
    </row>
    <row r="712">
      <c r="A712" s="11" t="n">
        <v>719</v>
      </c>
      <c r="B712" s="12" t="n">
        <v>46006</v>
      </c>
      <c r="C712" s="11" t="inlineStr">
        <is>
          <t>cobro comision depositos electronicos</t>
        </is>
      </c>
      <c r="D712" s="13" t="n">
        <v>-1886</v>
      </c>
      <c r="E712" s="11">
        <f>IF(SUM(COUNTIFS('Conciliacion de compuestos'!$D$2:$D$48,"conciliado",'Conciliacion de compuestos'!$E$2:$E$48,"OK",'Conciliacion de compuestos'!$J$2:$J$48,A712),COUNTIFS('Conciliacion de compuestos'!$D$2:$D$48,"conciliado",'Conciliacion de compuestos'!$E$2:$E$48,"OK",'Conciliacion de compuestos'!$K$2:$K$48,A712),COUNTIFS('Conciliacion de compuestos'!$D$2:$D$48,"conciliado",'Conciliacion de compuestos'!$E$2:$E$48,"OK",'Conciliacion de compuestos'!$L$2:$L$48,A712))&gt;0,"conciliado en compuesto confirmado","disponible")</f>
        <v/>
      </c>
    </row>
    <row r="713">
      <c r="A713" s="11" t="n">
        <v>720</v>
      </c>
      <c r="B713" s="12" t="n">
        <v>46006</v>
      </c>
      <c r="C713" s="11" t="inlineStr">
        <is>
          <t>a financiero gravamen movimiento</t>
        </is>
      </c>
      <c r="D713" s="13" t="n">
        <v>-8</v>
      </c>
      <c r="E713" s="11">
        <f>IF(SUM(COUNTIFS('Conciliacion de compuestos'!$D$2:$D$48,"conciliado",'Conciliacion de compuestos'!$E$2:$E$48,"OK",'Conciliacion de compuestos'!$J$2:$J$48,A713),COUNTIFS('Conciliacion de compuestos'!$D$2:$D$48,"conciliado",'Conciliacion de compuestos'!$E$2:$E$48,"OK",'Conciliacion de compuestos'!$K$2:$K$48,A713),COUNTIFS('Conciliacion de compuestos'!$D$2:$D$48,"conciliado",'Conciliacion de compuestos'!$E$2:$E$48,"OK",'Conciliacion de compuestos'!$L$2:$L$48,A713))&gt;0,"conciliado en compuesto confirmado","disponible")</f>
        <v/>
      </c>
    </row>
    <row r="714">
      <c r="A714" s="11" t="n">
        <v>721</v>
      </c>
      <c r="B714" s="12" t="n">
        <v>46006</v>
      </c>
      <c r="C714" s="11" t="inlineStr">
        <is>
          <t>credibanco d e retefuente voucher y</t>
        </is>
      </c>
      <c r="D714" s="13" t="n">
        <v>-1292</v>
      </c>
      <c r="E714" s="11">
        <f>IF(SUM(COUNTIFS('Conciliacion de compuestos'!$D$2:$D$48,"conciliado",'Conciliacion de compuestos'!$E$2:$E$48,"OK",'Conciliacion de compuestos'!$J$2:$J$48,A714),COUNTIFS('Conciliacion de compuestos'!$D$2:$D$48,"conciliado",'Conciliacion de compuestos'!$E$2:$E$48,"OK",'Conciliacion de compuestos'!$K$2:$K$48,A714),COUNTIFS('Conciliacion de compuestos'!$D$2:$D$48,"conciliado",'Conciliacion de compuestos'!$E$2:$E$48,"OK",'Conciliacion de compuestos'!$L$2:$L$48,A714))&gt;0,"conciliado en compuesto confirmado","disponible")</f>
        <v/>
      </c>
    </row>
    <row r="715">
      <c r="A715" s="11" t="n">
        <v>722</v>
      </c>
      <c r="B715" s="12" t="n">
        <v>46006</v>
      </c>
      <c r="C715" s="11" t="inlineStr">
        <is>
          <t>a financiero gravamen movimiento</t>
        </is>
      </c>
      <c r="D715" s="13" t="n">
        <v>-5</v>
      </c>
      <c r="E715" s="11">
        <f>IF(SUM(COUNTIFS('Conciliacion de compuestos'!$D$2:$D$48,"conciliado",'Conciliacion de compuestos'!$E$2:$E$48,"OK",'Conciliacion de compuestos'!$J$2:$J$48,A715),COUNTIFS('Conciliacion de compuestos'!$D$2:$D$48,"conciliado",'Conciliacion de compuestos'!$E$2:$E$48,"OK",'Conciliacion de compuestos'!$K$2:$K$48,A715),COUNTIFS('Conciliacion de compuestos'!$D$2:$D$48,"conciliado",'Conciliacion de compuestos'!$E$2:$E$48,"OK",'Conciliacion de compuestos'!$L$2:$L$48,A715))&gt;0,"conciliado en compuesto confirmado","disponible")</f>
        <v/>
      </c>
    </row>
    <row r="716">
      <c r="A716" s="11" t="n">
        <v>723</v>
      </c>
      <c r="B716" s="12" t="n">
        <v>46006</v>
      </c>
      <c r="C716" s="11" t="inlineStr">
        <is>
          <t>consignacion credibanco d e</t>
        </is>
      </c>
      <c r="D716" s="13" t="n">
        <v>15000</v>
      </c>
      <c r="E716" s="11">
        <f>IF(SUM(COUNTIFS('Conciliacion de compuestos'!$D$2:$D$48,"conciliado",'Conciliacion de compuestos'!$E$2:$E$48,"OK",'Conciliacion de compuestos'!$J$2:$J$48,A716),COUNTIFS('Conciliacion de compuestos'!$D$2:$D$48,"conciliado",'Conciliacion de compuestos'!$E$2:$E$48,"OK",'Conciliacion de compuestos'!$K$2:$K$48,A716),COUNTIFS('Conciliacion de compuestos'!$D$2:$D$48,"conciliado",'Conciliacion de compuestos'!$E$2:$E$48,"OK",'Conciliacion de compuestos'!$L$2:$L$48,A716))&gt;0,"conciliado en compuesto confirmado","disponible")</f>
        <v/>
      </c>
    </row>
    <row r="717">
      <c r="A717" s="11" t="n">
        <v>724</v>
      </c>
      <c r="B717" s="12" t="n">
        <v>46006</v>
      </c>
      <c r="C717" s="11" t="inlineStr">
        <is>
          <t>cobro comision depositos electronicos</t>
        </is>
      </c>
      <c r="D717" s="13" t="n">
        <v>-329</v>
      </c>
      <c r="E717" s="11">
        <f>IF(SUM(COUNTIFS('Conciliacion de compuestos'!$D$2:$D$48,"conciliado",'Conciliacion de compuestos'!$E$2:$E$48,"OK",'Conciliacion de compuestos'!$J$2:$J$48,A717),COUNTIFS('Conciliacion de compuestos'!$D$2:$D$48,"conciliado",'Conciliacion de compuestos'!$E$2:$E$48,"OK",'Conciliacion de compuestos'!$K$2:$K$48,A717),COUNTIFS('Conciliacion de compuestos'!$D$2:$D$48,"conciliado",'Conciliacion de compuestos'!$E$2:$E$48,"OK",'Conciliacion de compuestos'!$L$2:$L$48,A717))&gt;0,"conciliado en compuesto confirmado","disponible")</f>
        <v/>
      </c>
    </row>
    <row r="718">
      <c r="A718" s="11" t="n">
        <v>725</v>
      </c>
      <c r="B718" s="12" t="n">
        <v>46006</v>
      </c>
      <c r="C718" s="11" t="inlineStr">
        <is>
          <t>a financiero gravamen movimiento</t>
        </is>
      </c>
      <c r="D718" s="13" t="n">
        <v>-1</v>
      </c>
      <c r="E718" s="11">
        <f>IF(SUM(COUNTIFS('Conciliacion de compuestos'!$D$2:$D$48,"conciliado",'Conciliacion de compuestos'!$E$2:$E$48,"OK",'Conciliacion de compuestos'!$J$2:$J$48,A718),COUNTIFS('Conciliacion de compuestos'!$D$2:$D$48,"conciliado",'Conciliacion de compuestos'!$E$2:$E$48,"OK",'Conciliacion de compuestos'!$K$2:$K$48,A718),COUNTIFS('Conciliacion de compuestos'!$D$2:$D$48,"conciliado",'Conciliacion de compuestos'!$E$2:$E$48,"OK",'Conciliacion de compuestos'!$L$2:$L$48,A718))&gt;0,"conciliado en compuesto confirmado","disponible")</f>
        <v/>
      </c>
    </row>
    <row r="719">
      <c r="A719" s="11" t="n">
        <v>726</v>
      </c>
      <c r="B719" s="12" t="n">
        <v>46006</v>
      </c>
      <c r="C719" s="11" t="inlineStr">
        <is>
          <t>credibanco d e retefuente voucher y</t>
        </is>
      </c>
      <c r="D719" s="13" t="n">
        <v>-225</v>
      </c>
      <c r="E719" s="11">
        <f>IF(SUM(COUNTIFS('Conciliacion de compuestos'!$D$2:$D$48,"conciliado",'Conciliacion de compuestos'!$E$2:$E$48,"OK",'Conciliacion de compuestos'!$J$2:$J$48,A719),COUNTIFS('Conciliacion de compuestos'!$D$2:$D$48,"conciliado",'Conciliacion de compuestos'!$E$2:$E$48,"OK",'Conciliacion de compuestos'!$K$2:$K$48,A719),COUNTIFS('Conciliacion de compuestos'!$D$2:$D$48,"conciliado",'Conciliacion de compuestos'!$E$2:$E$48,"OK",'Conciliacion de compuestos'!$L$2:$L$48,A719))&gt;0,"conciliado en compuesto confirmado","disponible")</f>
        <v/>
      </c>
    </row>
    <row r="720">
      <c r="A720" s="11" t="n">
        <v>727</v>
      </c>
      <c r="B720" s="12" t="n">
        <v>46006</v>
      </c>
      <c r="C720" s="11" t="inlineStr">
        <is>
          <t>a financiero gravamen movimiento</t>
        </is>
      </c>
      <c r="D720" s="13" t="n">
        <v>-1</v>
      </c>
      <c r="E720" s="11">
        <f>IF(SUM(COUNTIFS('Conciliacion de compuestos'!$D$2:$D$48,"conciliado",'Conciliacion de compuestos'!$E$2:$E$48,"OK",'Conciliacion de compuestos'!$J$2:$J$48,A720),COUNTIFS('Conciliacion de compuestos'!$D$2:$D$48,"conciliado",'Conciliacion de compuestos'!$E$2:$E$48,"OK",'Conciliacion de compuestos'!$K$2:$K$48,A720),COUNTIFS('Conciliacion de compuestos'!$D$2:$D$48,"conciliado",'Conciliacion de compuestos'!$E$2:$E$48,"OK",'Conciliacion de compuestos'!$L$2:$L$48,A720))&gt;0,"conciliado en compuesto confirmado","disponible")</f>
        <v/>
      </c>
    </row>
    <row r="721">
      <c r="A721" s="11" t="n">
        <v>728</v>
      </c>
      <c r="B721" s="12" t="n">
        <v>46006</v>
      </c>
      <c r="C721" s="11" t="inlineStr">
        <is>
          <t>consignacion credibanco d e</t>
        </is>
      </c>
      <c r="D721" s="13" t="n">
        <v>77800</v>
      </c>
      <c r="E721" s="11">
        <f>IF(SUM(COUNTIFS('Conciliacion de compuestos'!$D$2:$D$48,"conciliado",'Conciliacion de compuestos'!$E$2:$E$48,"OK",'Conciliacion de compuestos'!$J$2:$J$48,A721),COUNTIFS('Conciliacion de compuestos'!$D$2:$D$48,"conciliado",'Conciliacion de compuestos'!$E$2:$E$48,"OK",'Conciliacion de compuestos'!$K$2:$K$48,A721),COUNTIFS('Conciliacion de compuestos'!$D$2:$D$48,"conciliado",'Conciliacion de compuestos'!$E$2:$E$48,"OK",'Conciliacion de compuestos'!$L$2:$L$48,A721))&gt;0,"conciliado en compuesto confirmado","disponible")</f>
        <v/>
      </c>
    </row>
    <row r="722">
      <c r="A722" s="11" t="n">
        <v>729</v>
      </c>
      <c r="B722" s="12" t="n">
        <v>46006</v>
      </c>
      <c r="C722" s="11" t="inlineStr">
        <is>
          <t>cobro comision depositos electronicos</t>
        </is>
      </c>
      <c r="D722" s="13" t="n">
        <v>-1704</v>
      </c>
      <c r="E722" s="11">
        <f>IF(SUM(COUNTIFS('Conciliacion de compuestos'!$D$2:$D$48,"conciliado",'Conciliacion de compuestos'!$E$2:$E$48,"OK",'Conciliacion de compuestos'!$J$2:$J$48,A722),COUNTIFS('Conciliacion de compuestos'!$D$2:$D$48,"conciliado",'Conciliacion de compuestos'!$E$2:$E$48,"OK",'Conciliacion de compuestos'!$K$2:$K$48,A722),COUNTIFS('Conciliacion de compuestos'!$D$2:$D$48,"conciliado",'Conciliacion de compuestos'!$E$2:$E$48,"OK",'Conciliacion de compuestos'!$L$2:$L$48,A722))&gt;0,"conciliado en compuesto confirmado","disponible")</f>
        <v/>
      </c>
    </row>
    <row r="723">
      <c r="A723" s="11" t="n">
        <v>730</v>
      </c>
      <c r="B723" s="12" t="n">
        <v>46006</v>
      </c>
      <c r="C723" s="11" t="inlineStr">
        <is>
          <t>a financiero gravamen movimiento</t>
        </is>
      </c>
      <c r="D723" s="13" t="n">
        <v>-7</v>
      </c>
      <c r="E723" s="11">
        <f>IF(SUM(COUNTIFS('Conciliacion de compuestos'!$D$2:$D$48,"conciliado",'Conciliacion de compuestos'!$E$2:$E$48,"OK",'Conciliacion de compuestos'!$J$2:$J$48,A723),COUNTIFS('Conciliacion de compuestos'!$D$2:$D$48,"conciliado",'Conciliacion de compuestos'!$E$2:$E$48,"OK",'Conciliacion de compuestos'!$K$2:$K$48,A723),COUNTIFS('Conciliacion de compuestos'!$D$2:$D$48,"conciliado",'Conciliacion de compuestos'!$E$2:$E$48,"OK",'Conciliacion de compuestos'!$L$2:$L$48,A723))&gt;0,"conciliado en compuesto confirmado","disponible")</f>
        <v/>
      </c>
    </row>
    <row r="724">
      <c r="A724" s="11" t="n">
        <v>731</v>
      </c>
      <c r="B724" s="12" t="n">
        <v>46006</v>
      </c>
      <c r="C724" s="11" t="inlineStr">
        <is>
          <t>credibanco d e retefuente voucher y</t>
        </is>
      </c>
      <c r="D724" s="13" t="n">
        <v>-1167</v>
      </c>
      <c r="E724" s="11">
        <f>IF(SUM(COUNTIFS('Conciliacion de compuestos'!$D$2:$D$48,"conciliado",'Conciliacion de compuestos'!$E$2:$E$48,"OK",'Conciliacion de compuestos'!$J$2:$J$48,A724),COUNTIFS('Conciliacion de compuestos'!$D$2:$D$48,"conciliado",'Conciliacion de compuestos'!$E$2:$E$48,"OK",'Conciliacion de compuestos'!$K$2:$K$48,A724),COUNTIFS('Conciliacion de compuestos'!$D$2:$D$48,"conciliado",'Conciliacion de compuestos'!$E$2:$E$48,"OK",'Conciliacion de compuestos'!$L$2:$L$48,A724))&gt;0,"conciliado en compuesto confirmado","disponible")</f>
        <v/>
      </c>
    </row>
    <row r="725">
      <c r="A725" s="11" t="n">
        <v>732</v>
      </c>
      <c r="B725" s="12" t="n">
        <v>46006</v>
      </c>
      <c r="C725" s="11" t="inlineStr">
        <is>
          <t>a financiero gravamen movimiento</t>
        </is>
      </c>
      <c r="D725" s="13" t="n">
        <v>-5</v>
      </c>
      <c r="E725" s="11">
        <f>IF(SUM(COUNTIFS('Conciliacion de compuestos'!$D$2:$D$48,"conciliado",'Conciliacion de compuestos'!$E$2:$E$48,"OK",'Conciliacion de compuestos'!$J$2:$J$48,A725),COUNTIFS('Conciliacion de compuestos'!$D$2:$D$48,"conciliado",'Conciliacion de compuestos'!$E$2:$E$48,"OK",'Conciliacion de compuestos'!$K$2:$K$48,A725),COUNTIFS('Conciliacion de compuestos'!$D$2:$D$48,"conciliado",'Conciliacion de compuestos'!$E$2:$E$48,"OK",'Conciliacion de compuestos'!$L$2:$L$48,A725))&gt;0,"conciliado en compuesto confirmado","disponible")</f>
        <v/>
      </c>
    </row>
    <row r="726">
      <c r="A726" s="11" t="n">
        <v>733</v>
      </c>
      <c r="B726" s="12" t="n">
        <v>46006</v>
      </c>
      <c r="C726" s="11" t="inlineStr">
        <is>
          <t>consignacion credibanco d e</t>
        </is>
      </c>
      <c r="D726" s="13" t="n">
        <v>67400</v>
      </c>
      <c r="E726" s="11">
        <f>IF(SUM(COUNTIFS('Conciliacion de compuestos'!$D$2:$D$48,"conciliado",'Conciliacion de compuestos'!$E$2:$E$48,"OK",'Conciliacion de compuestos'!$J$2:$J$48,A726),COUNTIFS('Conciliacion de compuestos'!$D$2:$D$48,"conciliado",'Conciliacion de compuestos'!$E$2:$E$48,"OK",'Conciliacion de compuestos'!$K$2:$K$48,A726),COUNTIFS('Conciliacion de compuestos'!$D$2:$D$48,"conciliado",'Conciliacion de compuestos'!$E$2:$E$48,"OK",'Conciliacion de compuestos'!$L$2:$L$48,A726))&gt;0,"conciliado en compuesto confirmado","disponible")</f>
        <v/>
      </c>
    </row>
    <row r="727">
      <c r="A727" s="11" t="n">
        <v>734</v>
      </c>
      <c r="B727" s="12" t="n">
        <v>46006</v>
      </c>
      <c r="C727" s="11" t="inlineStr">
        <is>
          <t>cobro comision depositos electronicos</t>
        </is>
      </c>
      <c r="D727" s="13" t="n">
        <v>-546</v>
      </c>
      <c r="E727" s="11">
        <f>IF(SUM(COUNTIFS('Conciliacion de compuestos'!$D$2:$D$48,"conciliado",'Conciliacion de compuestos'!$E$2:$E$48,"OK",'Conciliacion de compuestos'!$J$2:$J$48,A727),COUNTIFS('Conciliacion de compuestos'!$D$2:$D$48,"conciliado",'Conciliacion de compuestos'!$E$2:$E$48,"OK",'Conciliacion de compuestos'!$K$2:$K$48,A727),COUNTIFS('Conciliacion de compuestos'!$D$2:$D$48,"conciliado",'Conciliacion de compuestos'!$E$2:$E$48,"OK",'Conciliacion de compuestos'!$L$2:$L$48,A727))&gt;0,"conciliado en compuesto confirmado","disponible")</f>
        <v/>
      </c>
    </row>
    <row r="728">
      <c r="A728" s="11" t="n">
        <v>735</v>
      </c>
      <c r="B728" s="12" t="n">
        <v>46006</v>
      </c>
      <c r="C728" s="11" t="inlineStr">
        <is>
          <t>a financiero gravamen movimiento</t>
        </is>
      </c>
      <c r="D728" s="13" t="n">
        <v>-2</v>
      </c>
      <c r="E728" s="11">
        <f>IF(SUM(COUNTIFS('Conciliacion de compuestos'!$D$2:$D$48,"conciliado",'Conciliacion de compuestos'!$E$2:$E$48,"OK",'Conciliacion de compuestos'!$J$2:$J$48,A728),COUNTIFS('Conciliacion de compuestos'!$D$2:$D$48,"conciliado",'Conciliacion de compuestos'!$E$2:$E$48,"OK",'Conciliacion de compuestos'!$K$2:$K$48,A728),COUNTIFS('Conciliacion de compuestos'!$D$2:$D$48,"conciliado",'Conciliacion de compuestos'!$E$2:$E$48,"OK",'Conciliacion de compuestos'!$L$2:$L$48,A728))&gt;0,"conciliado en compuesto confirmado","disponible")</f>
        <v/>
      </c>
    </row>
    <row r="729">
      <c r="A729" s="11" t="n">
        <v>736</v>
      </c>
      <c r="B729" s="12" t="n">
        <v>46006</v>
      </c>
      <c r="C729" s="11" t="inlineStr">
        <is>
          <t>credibanco d e retefuente voucher y</t>
        </is>
      </c>
      <c r="D729" s="13" t="n">
        <v>-1011</v>
      </c>
      <c r="E729" s="11">
        <f>IF(SUM(COUNTIFS('Conciliacion de compuestos'!$D$2:$D$48,"conciliado",'Conciliacion de compuestos'!$E$2:$E$48,"OK",'Conciliacion de compuestos'!$J$2:$J$48,A729),COUNTIFS('Conciliacion de compuestos'!$D$2:$D$48,"conciliado",'Conciliacion de compuestos'!$E$2:$E$48,"OK",'Conciliacion de compuestos'!$K$2:$K$48,A729),COUNTIFS('Conciliacion de compuestos'!$D$2:$D$48,"conciliado",'Conciliacion de compuestos'!$E$2:$E$48,"OK",'Conciliacion de compuestos'!$L$2:$L$48,A729))&gt;0,"conciliado en compuesto confirmado","disponible")</f>
        <v/>
      </c>
    </row>
    <row r="730">
      <c r="A730" s="11" t="n">
        <v>737</v>
      </c>
      <c r="B730" s="12" t="n">
        <v>46006</v>
      </c>
      <c r="C730" s="11" t="inlineStr">
        <is>
          <t>a financiero gravamen movimiento</t>
        </is>
      </c>
      <c r="D730" s="13" t="n">
        <v>-4</v>
      </c>
      <c r="E730" s="11">
        <f>IF(SUM(COUNTIFS('Conciliacion de compuestos'!$D$2:$D$48,"conciliado",'Conciliacion de compuestos'!$E$2:$E$48,"OK",'Conciliacion de compuestos'!$J$2:$J$48,A730),COUNTIFS('Conciliacion de compuestos'!$D$2:$D$48,"conciliado",'Conciliacion de compuestos'!$E$2:$E$48,"OK",'Conciliacion de compuestos'!$K$2:$K$48,A730),COUNTIFS('Conciliacion de compuestos'!$D$2:$D$48,"conciliado",'Conciliacion de compuestos'!$E$2:$E$48,"OK",'Conciliacion de compuestos'!$L$2:$L$48,A730))&gt;0,"conciliado en compuesto confirmado","disponible")</f>
        <v/>
      </c>
    </row>
    <row r="731">
      <c r="A731" s="11" t="n">
        <v>738</v>
      </c>
      <c r="B731" s="12" t="n">
        <v>46006</v>
      </c>
      <c r="C731" s="11" t="inlineStr">
        <is>
          <t>consignacion credibanco d e</t>
        </is>
      </c>
      <c r="D731" s="13" t="n">
        <v>70800</v>
      </c>
      <c r="E731" s="11">
        <f>IF(SUM(COUNTIFS('Conciliacion de compuestos'!$D$2:$D$48,"conciliado",'Conciliacion de compuestos'!$E$2:$E$48,"OK",'Conciliacion de compuestos'!$J$2:$J$48,A731),COUNTIFS('Conciliacion de compuestos'!$D$2:$D$48,"conciliado",'Conciliacion de compuestos'!$E$2:$E$48,"OK",'Conciliacion de compuestos'!$K$2:$K$48,A731),COUNTIFS('Conciliacion de compuestos'!$D$2:$D$48,"conciliado",'Conciliacion de compuestos'!$E$2:$E$48,"OK",'Conciliacion de compuestos'!$L$2:$L$48,A731))&gt;0,"conciliado en compuesto confirmado","disponible")</f>
        <v/>
      </c>
    </row>
    <row r="732">
      <c r="A732" s="11" t="n">
        <v>739</v>
      </c>
      <c r="B732" s="12" t="n">
        <v>46006</v>
      </c>
      <c r="C732" s="11" t="inlineStr">
        <is>
          <t>cobro comision depositos electronicos</t>
        </is>
      </c>
      <c r="D732" s="13" t="n">
        <v>-573</v>
      </c>
      <c r="E732" s="11">
        <f>IF(SUM(COUNTIFS('Conciliacion de compuestos'!$D$2:$D$48,"conciliado",'Conciliacion de compuestos'!$E$2:$E$48,"OK",'Conciliacion de compuestos'!$J$2:$J$48,A732),COUNTIFS('Conciliacion de compuestos'!$D$2:$D$48,"conciliado",'Conciliacion de compuestos'!$E$2:$E$48,"OK",'Conciliacion de compuestos'!$K$2:$K$48,A732),COUNTIFS('Conciliacion de compuestos'!$D$2:$D$48,"conciliado",'Conciliacion de compuestos'!$E$2:$E$48,"OK",'Conciliacion de compuestos'!$L$2:$L$48,A732))&gt;0,"conciliado en compuesto confirmado","disponible")</f>
        <v/>
      </c>
    </row>
    <row r="733">
      <c r="A733" s="11" t="n">
        <v>740</v>
      </c>
      <c r="B733" s="12" t="n">
        <v>46006</v>
      </c>
      <c r="C733" s="11" t="inlineStr">
        <is>
          <t>a financiero gravamen movimiento</t>
        </is>
      </c>
      <c r="D733" s="13" t="n">
        <v>-2</v>
      </c>
      <c r="E733" s="11">
        <f>IF(SUM(COUNTIFS('Conciliacion de compuestos'!$D$2:$D$48,"conciliado",'Conciliacion de compuestos'!$E$2:$E$48,"OK",'Conciliacion de compuestos'!$J$2:$J$48,A733),COUNTIFS('Conciliacion de compuestos'!$D$2:$D$48,"conciliado",'Conciliacion de compuestos'!$E$2:$E$48,"OK",'Conciliacion de compuestos'!$K$2:$K$48,A733),COUNTIFS('Conciliacion de compuestos'!$D$2:$D$48,"conciliado",'Conciliacion de compuestos'!$E$2:$E$48,"OK",'Conciliacion de compuestos'!$L$2:$L$48,A733))&gt;0,"conciliado en compuesto confirmado","disponible")</f>
        <v/>
      </c>
    </row>
    <row r="734">
      <c r="A734" s="11" t="n">
        <v>741</v>
      </c>
      <c r="B734" s="12" t="n">
        <v>46006</v>
      </c>
      <c r="C734" s="11" t="inlineStr">
        <is>
          <t>credibanco d e retefuente voucher y</t>
        </is>
      </c>
      <c r="D734" s="13" t="n">
        <v>-1062</v>
      </c>
      <c r="E734" s="11">
        <f>IF(SUM(COUNTIFS('Conciliacion de compuestos'!$D$2:$D$48,"conciliado",'Conciliacion de compuestos'!$E$2:$E$48,"OK",'Conciliacion de compuestos'!$J$2:$J$48,A734),COUNTIFS('Conciliacion de compuestos'!$D$2:$D$48,"conciliado",'Conciliacion de compuestos'!$E$2:$E$48,"OK",'Conciliacion de compuestos'!$K$2:$K$48,A734),COUNTIFS('Conciliacion de compuestos'!$D$2:$D$48,"conciliado",'Conciliacion de compuestos'!$E$2:$E$48,"OK",'Conciliacion de compuestos'!$L$2:$L$48,A734))&gt;0,"conciliado en compuesto confirmado","disponible")</f>
        <v/>
      </c>
    </row>
    <row r="735">
      <c r="A735" s="11" t="n">
        <v>742</v>
      </c>
      <c r="B735" s="12" t="n">
        <v>46006</v>
      </c>
      <c r="C735" s="11" t="inlineStr">
        <is>
          <t>a financiero gravamen movimiento</t>
        </is>
      </c>
      <c r="D735" s="13" t="n">
        <v>-4</v>
      </c>
      <c r="E735" s="11">
        <f>IF(SUM(COUNTIFS('Conciliacion de compuestos'!$D$2:$D$48,"conciliado",'Conciliacion de compuestos'!$E$2:$E$48,"OK",'Conciliacion de compuestos'!$J$2:$J$48,A735),COUNTIFS('Conciliacion de compuestos'!$D$2:$D$48,"conciliado",'Conciliacion de compuestos'!$E$2:$E$48,"OK",'Conciliacion de compuestos'!$K$2:$K$48,A735),COUNTIFS('Conciliacion de compuestos'!$D$2:$D$48,"conciliado",'Conciliacion de compuestos'!$E$2:$E$48,"OK",'Conciliacion de compuestos'!$L$2:$L$48,A735))&gt;0,"conciliado en compuesto confirmado","disponible")</f>
        <v/>
      </c>
    </row>
    <row r="736">
      <c r="A736" s="11" t="n">
        <v>743</v>
      </c>
      <c r="B736" s="12" t="n">
        <v>46006</v>
      </c>
      <c r="C736" s="11" t="inlineStr">
        <is>
          <t>consignacion credibanco d e</t>
        </is>
      </c>
      <c r="D736" s="13" t="n">
        <v>162100</v>
      </c>
      <c r="E736" s="11">
        <f>IF(SUM(COUNTIFS('Conciliacion de compuestos'!$D$2:$D$48,"conciliado",'Conciliacion de compuestos'!$E$2:$E$48,"OK",'Conciliacion de compuestos'!$J$2:$J$48,A736),COUNTIFS('Conciliacion de compuestos'!$D$2:$D$48,"conciliado",'Conciliacion de compuestos'!$E$2:$E$48,"OK",'Conciliacion de compuestos'!$K$2:$K$48,A736),COUNTIFS('Conciliacion de compuestos'!$D$2:$D$48,"conciliado",'Conciliacion de compuestos'!$E$2:$E$48,"OK",'Conciliacion de compuestos'!$L$2:$L$48,A736))&gt;0,"conciliado en compuesto confirmado","disponible")</f>
        <v/>
      </c>
    </row>
    <row r="737">
      <c r="A737" s="11" t="n">
        <v>744</v>
      </c>
      <c r="B737" s="12" t="n">
        <v>46006</v>
      </c>
      <c r="C737" s="11" t="inlineStr">
        <is>
          <t>cobro comision depositos electronicos</t>
        </is>
      </c>
      <c r="D737" s="13" t="n">
        <v>-3501</v>
      </c>
      <c r="E737" s="11">
        <f>IF(SUM(COUNTIFS('Conciliacion de compuestos'!$D$2:$D$48,"conciliado",'Conciliacion de compuestos'!$E$2:$E$48,"OK",'Conciliacion de compuestos'!$J$2:$J$48,A737),COUNTIFS('Conciliacion de compuestos'!$D$2:$D$48,"conciliado",'Conciliacion de compuestos'!$E$2:$E$48,"OK",'Conciliacion de compuestos'!$K$2:$K$48,A737),COUNTIFS('Conciliacion de compuestos'!$D$2:$D$48,"conciliado",'Conciliacion de compuestos'!$E$2:$E$48,"OK",'Conciliacion de compuestos'!$L$2:$L$48,A737))&gt;0,"conciliado en compuesto confirmado","disponible")</f>
        <v/>
      </c>
    </row>
    <row r="738">
      <c r="A738" s="11" t="n">
        <v>745</v>
      </c>
      <c r="B738" s="12" t="n">
        <v>46006</v>
      </c>
      <c r="C738" s="11" t="inlineStr">
        <is>
          <t>a financiero gravamen movimiento</t>
        </is>
      </c>
      <c r="D738" s="13" t="n">
        <v>-14</v>
      </c>
      <c r="E738" s="11">
        <f>IF(SUM(COUNTIFS('Conciliacion de compuestos'!$D$2:$D$48,"conciliado",'Conciliacion de compuestos'!$E$2:$E$48,"OK",'Conciliacion de compuestos'!$J$2:$J$48,A738),COUNTIFS('Conciliacion de compuestos'!$D$2:$D$48,"conciliado",'Conciliacion de compuestos'!$E$2:$E$48,"OK",'Conciliacion de compuestos'!$K$2:$K$48,A738),COUNTIFS('Conciliacion de compuestos'!$D$2:$D$48,"conciliado",'Conciliacion de compuestos'!$E$2:$E$48,"OK",'Conciliacion de compuestos'!$L$2:$L$48,A738))&gt;0,"conciliado en compuesto confirmado","disponible")</f>
        <v/>
      </c>
    </row>
    <row r="739">
      <c r="A739" s="11" t="n">
        <v>746</v>
      </c>
      <c r="B739" s="12" t="n">
        <v>46006</v>
      </c>
      <c r="C739" s="11" t="inlineStr">
        <is>
          <t>credibanco d e retefuente voucher y</t>
        </is>
      </c>
      <c r="D739" s="13" t="n">
        <v>-2432</v>
      </c>
      <c r="E739" s="11">
        <f>IF(SUM(COUNTIFS('Conciliacion de compuestos'!$D$2:$D$48,"conciliado",'Conciliacion de compuestos'!$E$2:$E$48,"OK",'Conciliacion de compuestos'!$J$2:$J$48,A739),COUNTIFS('Conciliacion de compuestos'!$D$2:$D$48,"conciliado",'Conciliacion de compuestos'!$E$2:$E$48,"OK",'Conciliacion de compuestos'!$K$2:$K$48,A739),COUNTIFS('Conciliacion de compuestos'!$D$2:$D$48,"conciliado",'Conciliacion de compuestos'!$E$2:$E$48,"OK",'Conciliacion de compuestos'!$L$2:$L$48,A739))&gt;0,"conciliado en compuesto confirmado","disponible")</f>
        <v/>
      </c>
    </row>
    <row r="740">
      <c r="A740" s="11" t="n">
        <v>747</v>
      </c>
      <c r="B740" s="12" t="n">
        <v>46006</v>
      </c>
      <c r="C740" s="11" t="inlineStr">
        <is>
          <t>a financiero gravamen movimiento</t>
        </is>
      </c>
      <c r="D740" s="13" t="n">
        <v>-10</v>
      </c>
      <c r="E740" s="11">
        <f>IF(SUM(COUNTIFS('Conciliacion de compuestos'!$D$2:$D$48,"conciliado",'Conciliacion de compuestos'!$E$2:$E$48,"OK",'Conciliacion de compuestos'!$J$2:$J$48,A740),COUNTIFS('Conciliacion de compuestos'!$D$2:$D$48,"conciliado",'Conciliacion de compuestos'!$E$2:$E$48,"OK",'Conciliacion de compuestos'!$K$2:$K$48,A740),COUNTIFS('Conciliacion de compuestos'!$D$2:$D$48,"conciliado",'Conciliacion de compuestos'!$E$2:$E$48,"OK",'Conciliacion de compuestos'!$L$2:$L$48,A740))&gt;0,"conciliado en compuesto confirmado","disponible")</f>
        <v/>
      </c>
    </row>
    <row r="741">
      <c r="A741" s="11" t="n">
        <v>748</v>
      </c>
      <c r="B741" s="12" t="n">
        <v>46006</v>
      </c>
      <c r="C741" s="11" t="inlineStr">
        <is>
          <t>consignacion credibanco d e</t>
        </is>
      </c>
      <c r="D741" s="13" t="n">
        <v>562700</v>
      </c>
      <c r="E741" s="11">
        <f>IF(SUM(COUNTIFS('Conciliacion de compuestos'!$D$2:$D$48,"conciliado",'Conciliacion de compuestos'!$E$2:$E$48,"OK",'Conciliacion de compuestos'!$J$2:$J$48,A741),COUNTIFS('Conciliacion de compuestos'!$D$2:$D$48,"conciliado",'Conciliacion de compuestos'!$E$2:$E$48,"OK",'Conciliacion de compuestos'!$K$2:$K$48,A741),COUNTIFS('Conciliacion de compuestos'!$D$2:$D$48,"conciliado",'Conciliacion de compuestos'!$E$2:$E$48,"OK",'Conciliacion de compuestos'!$L$2:$L$48,A741))&gt;0,"conciliado en compuesto confirmado","disponible")</f>
        <v/>
      </c>
    </row>
    <row r="742">
      <c r="A742" s="11" t="n">
        <v>749</v>
      </c>
      <c r="B742" s="12" t="n">
        <v>46006</v>
      </c>
      <c r="C742" s="11" t="inlineStr">
        <is>
          <t>cobro comision depositos electronicos</t>
        </is>
      </c>
      <c r="D742" s="13" t="n">
        <v>-12154</v>
      </c>
      <c r="E742" s="11">
        <f>IF(SUM(COUNTIFS('Conciliacion de compuestos'!$D$2:$D$48,"conciliado",'Conciliacion de compuestos'!$E$2:$E$48,"OK",'Conciliacion de compuestos'!$J$2:$J$48,A742),COUNTIFS('Conciliacion de compuestos'!$D$2:$D$48,"conciliado",'Conciliacion de compuestos'!$E$2:$E$48,"OK",'Conciliacion de compuestos'!$K$2:$K$48,A742),COUNTIFS('Conciliacion de compuestos'!$D$2:$D$48,"conciliado",'Conciliacion de compuestos'!$E$2:$E$48,"OK",'Conciliacion de compuestos'!$L$2:$L$48,A742))&gt;0,"conciliado en compuesto confirmado","disponible")</f>
        <v/>
      </c>
    </row>
    <row r="743">
      <c r="A743" s="11" t="n">
        <v>750</v>
      </c>
      <c r="B743" s="12" t="n">
        <v>46006</v>
      </c>
      <c r="C743" s="11" t="inlineStr">
        <is>
          <t>a financiero gravamen movimiento</t>
        </is>
      </c>
      <c r="D743" s="13" t="n">
        <v>-49</v>
      </c>
      <c r="E743" s="11">
        <f>IF(SUM(COUNTIFS('Conciliacion de compuestos'!$D$2:$D$48,"conciliado",'Conciliacion de compuestos'!$E$2:$E$48,"OK",'Conciliacion de compuestos'!$J$2:$J$48,A743),COUNTIFS('Conciliacion de compuestos'!$D$2:$D$48,"conciliado",'Conciliacion de compuestos'!$E$2:$E$48,"OK",'Conciliacion de compuestos'!$K$2:$K$48,A743),COUNTIFS('Conciliacion de compuestos'!$D$2:$D$48,"conciliado",'Conciliacion de compuestos'!$E$2:$E$48,"OK",'Conciliacion de compuestos'!$L$2:$L$48,A743))&gt;0,"conciliado en compuesto confirmado","disponible")</f>
        <v/>
      </c>
    </row>
    <row r="744">
      <c r="A744" s="11" t="n">
        <v>751</v>
      </c>
      <c r="B744" s="12" t="n">
        <v>46006</v>
      </c>
      <c r="C744" s="11" t="inlineStr">
        <is>
          <t>credibanco d e retefuente voucher y</t>
        </is>
      </c>
      <c r="D744" s="13" t="n">
        <v>-8441</v>
      </c>
      <c r="E744" s="11">
        <f>IF(SUM(COUNTIFS('Conciliacion de compuestos'!$D$2:$D$48,"conciliado",'Conciliacion de compuestos'!$E$2:$E$48,"OK",'Conciliacion de compuestos'!$J$2:$J$48,A744),COUNTIFS('Conciliacion de compuestos'!$D$2:$D$48,"conciliado",'Conciliacion de compuestos'!$E$2:$E$48,"OK",'Conciliacion de compuestos'!$K$2:$K$48,A744),COUNTIFS('Conciliacion de compuestos'!$D$2:$D$48,"conciliado",'Conciliacion de compuestos'!$E$2:$E$48,"OK",'Conciliacion de compuestos'!$L$2:$L$48,A744))&gt;0,"conciliado en compuesto confirmado","disponible")</f>
        <v/>
      </c>
    </row>
    <row r="745">
      <c r="A745" s="11" t="n">
        <v>752</v>
      </c>
      <c r="B745" s="12" t="n">
        <v>46006</v>
      </c>
      <c r="C745" s="11" t="inlineStr">
        <is>
          <t>a financiero gravamen movimiento</t>
        </is>
      </c>
      <c r="D745" s="13" t="n">
        <v>-34</v>
      </c>
      <c r="E745" s="11">
        <f>IF(SUM(COUNTIFS('Conciliacion de compuestos'!$D$2:$D$48,"conciliado",'Conciliacion de compuestos'!$E$2:$E$48,"OK",'Conciliacion de compuestos'!$J$2:$J$48,A745),COUNTIFS('Conciliacion de compuestos'!$D$2:$D$48,"conciliado",'Conciliacion de compuestos'!$E$2:$E$48,"OK",'Conciliacion de compuestos'!$K$2:$K$48,A745),COUNTIFS('Conciliacion de compuestos'!$D$2:$D$48,"conciliado",'Conciliacion de compuestos'!$E$2:$E$48,"OK",'Conciliacion de compuestos'!$L$2:$L$48,A745))&gt;0,"conciliado en compuesto confirmado","disponible")</f>
        <v/>
      </c>
    </row>
    <row r="746">
      <c r="A746" s="11" t="n">
        <v>753</v>
      </c>
      <c r="B746" s="12" t="n">
        <v>46006</v>
      </c>
      <c r="C746" s="11" t="inlineStr">
        <is>
          <t>consignacion credibanco d e</t>
        </is>
      </c>
      <c r="D746" s="13" t="n">
        <v>45900</v>
      </c>
      <c r="E746" s="11">
        <f>IF(SUM(COUNTIFS('Conciliacion de compuestos'!$D$2:$D$48,"conciliado",'Conciliacion de compuestos'!$E$2:$E$48,"OK",'Conciliacion de compuestos'!$J$2:$J$48,A746),COUNTIFS('Conciliacion de compuestos'!$D$2:$D$48,"conciliado",'Conciliacion de compuestos'!$E$2:$E$48,"OK",'Conciliacion de compuestos'!$K$2:$K$48,A746),COUNTIFS('Conciliacion de compuestos'!$D$2:$D$48,"conciliado",'Conciliacion de compuestos'!$E$2:$E$48,"OK",'Conciliacion de compuestos'!$L$2:$L$48,A746))&gt;0,"conciliado en compuesto confirmado","disponible")</f>
        <v/>
      </c>
    </row>
    <row r="747">
      <c r="A747" s="11" t="n">
        <v>754</v>
      </c>
      <c r="B747" s="12" t="n">
        <v>46006</v>
      </c>
      <c r="C747" s="11" t="inlineStr">
        <is>
          <t>cobro comision depositos electronicos</t>
        </is>
      </c>
      <c r="D747" s="13" t="n">
        <v>-1005</v>
      </c>
      <c r="E747" s="11">
        <f>IF(SUM(COUNTIFS('Conciliacion de compuestos'!$D$2:$D$48,"conciliado",'Conciliacion de compuestos'!$E$2:$E$48,"OK",'Conciliacion de compuestos'!$J$2:$J$48,A747),COUNTIFS('Conciliacion de compuestos'!$D$2:$D$48,"conciliado",'Conciliacion de compuestos'!$E$2:$E$48,"OK",'Conciliacion de compuestos'!$K$2:$K$48,A747),COUNTIFS('Conciliacion de compuestos'!$D$2:$D$48,"conciliado",'Conciliacion de compuestos'!$E$2:$E$48,"OK",'Conciliacion de compuestos'!$L$2:$L$48,A747))&gt;0,"conciliado en compuesto confirmado","disponible")</f>
        <v/>
      </c>
    </row>
    <row r="748">
      <c r="A748" s="11" t="n">
        <v>755</v>
      </c>
      <c r="B748" s="12" t="n">
        <v>46006</v>
      </c>
      <c r="C748" s="11" t="inlineStr">
        <is>
          <t>a financiero gravamen movimiento</t>
        </is>
      </c>
      <c r="D748" s="13" t="n">
        <v>-4</v>
      </c>
      <c r="E748" s="11">
        <f>IF(SUM(COUNTIFS('Conciliacion de compuestos'!$D$2:$D$48,"conciliado",'Conciliacion de compuestos'!$E$2:$E$48,"OK",'Conciliacion de compuestos'!$J$2:$J$48,A748),COUNTIFS('Conciliacion de compuestos'!$D$2:$D$48,"conciliado",'Conciliacion de compuestos'!$E$2:$E$48,"OK",'Conciliacion de compuestos'!$K$2:$K$48,A748),COUNTIFS('Conciliacion de compuestos'!$D$2:$D$48,"conciliado",'Conciliacion de compuestos'!$E$2:$E$48,"OK",'Conciliacion de compuestos'!$L$2:$L$48,A748))&gt;0,"conciliado en compuesto confirmado","disponible")</f>
        <v/>
      </c>
    </row>
    <row r="749">
      <c r="A749" s="11" t="n">
        <v>756</v>
      </c>
      <c r="B749" s="12" t="n">
        <v>46006</v>
      </c>
      <c r="C749" s="11" t="inlineStr">
        <is>
          <t>credibanco d e retefuente voucher y</t>
        </is>
      </c>
      <c r="D749" s="13" t="n">
        <v>-689</v>
      </c>
      <c r="E749" s="11">
        <f>IF(SUM(COUNTIFS('Conciliacion de compuestos'!$D$2:$D$48,"conciliado",'Conciliacion de compuestos'!$E$2:$E$48,"OK",'Conciliacion de compuestos'!$J$2:$J$48,A749),COUNTIFS('Conciliacion de compuestos'!$D$2:$D$48,"conciliado",'Conciliacion de compuestos'!$E$2:$E$48,"OK",'Conciliacion de compuestos'!$K$2:$K$48,A749),COUNTIFS('Conciliacion de compuestos'!$D$2:$D$48,"conciliado",'Conciliacion de compuestos'!$E$2:$E$48,"OK",'Conciliacion de compuestos'!$L$2:$L$48,A749))&gt;0,"conciliado en compuesto confirmado","disponible")</f>
        <v/>
      </c>
    </row>
    <row r="750">
      <c r="A750" s="11" t="n">
        <v>757</v>
      </c>
      <c r="B750" s="12" t="n">
        <v>46006</v>
      </c>
      <c r="C750" s="11" t="inlineStr">
        <is>
          <t>a financiero gravamen movimiento</t>
        </is>
      </c>
      <c r="D750" s="13" t="n">
        <v>-3</v>
      </c>
      <c r="E750" s="11">
        <f>IF(SUM(COUNTIFS('Conciliacion de compuestos'!$D$2:$D$48,"conciliado",'Conciliacion de compuestos'!$E$2:$E$48,"OK",'Conciliacion de compuestos'!$J$2:$J$48,A750),COUNTIFS('Conciliacion de compuestos'!$D$2:$D$48,"conciliado",'Conciliacion de compuestos'!$E$2:$E$48,"OK",'Conciliacion de compuestos'!$K$2:$K$48,A750),COUNTIFS('Conciliacion de compuestos'!$D$2:$D$48,"conciliado",'Conciliacion de compuestos'!$E$2:$E$48,"OK",'Conciliacion de compuestos'!$L$2:$L$48,A750))&gt;0,"conciliado en compuesto confirmado","disponible")</f>
        <v/>
      </c>
    </row>
    <row r="751">
      <c r="A751" s="11" t="n">
        <v>758</v>
      </c>
      <c r="B751" s="12" t="n">
        <v>46006</v>
      </c>
      <c r="C751" s="11" t="inlineStr">
        <is>
          <t>consignacion credibanco d e</t>
        </is>
      </c>
      <c r="D751" s="13" t="n">
        <v>40100</v>
      </c>
      <c r="E751" s="11">
        <f>IF(SUM(COUNTIFS('Conciliacion de compuestos'!$D$2:$D$48,"conciliado",'Conciliacion de compuestos'!$E$2:$E$48,"OK",'Conciliacion de compuestos'!$J$2:$J$48,A751),COUNTIFS('Conciliacion de compuestos'!$D$2:$D$48,"conciliado",'Conciliacion de compuestos'!$E$2:$E$48,"OK",'Conciliacion de compuestos'!$K$2:$K$48,A751),COUNTIFS('Conciliacion de compuestos'!$D$2:$D$48,"conciliado",'Conciliacion de compuestos'!$E$2:$E$48,"OK",'Conciliacion de compuestos'!$L$2:$L$48,A751))&gt;0,"conciliado en compuesto confirmado","disponible")</f>
        <v/>
      </c>
    </row>
    <row r="752">
      <c r="A752" s="11" t="n">
        <v>759</v>
      </c>
      <c r="B752" s="12" t="n">
        <v>46006</v>
      </c>
      <c r="C752" s="11" t="inlineStr">
        <is>
          <t>cobro comision depositos electronicos</t>
        </is>
      </c>
      <c r="D752" s="13" t="n">
        <v>-878</v>
      </c>
      <c r="E752" s="11">
        <f>IF(SUM(COUNTIFS('Conciliacion de compuestos'!$D$2:$D$48,"conciliado",'Conciliacion de compuestos'!$E$2:$E$48,"OK",'Conciliacion de compuestos'!$J$2:$J$48,A752),COUNTIFS('Conciliacion de compuestos'!$D$2:$D$48,"conciliado",'Conciliacion de compuestos'!$E$2:$E$48,"OK",'Conciliacion de compuestos'!$K$2:$K$48,A752),COUNTIFS('Conciliacion de compuestos'!$D$2:$D$48,"conciliado",'Conciliacion de compuestos'!$E$2:$E$48,"OK",'Conciliacion de compuestos'!$L$2:$L$48,A752))&gt;0,"conciliado en compuesto confirmado","disponible")</f>
        <v/>
      </c>
    </row>
    <row r="753">
      <c r="A753" s="11" t="n">
        <v>760</v>
      </c>
      <c r="B753" s="12" t="n">
        <v>46006</v>
      </c>
      <c r="C753" s="11" t="inlineStr">
        <is>
          <t>a financiero gravamen movimiento</t>
        </is>
      </c>
      <c r="D753" s="13" t="n">
        <v>-4</v>
      </c>
      <c r="E753" s="11">
        <f>IF(SUM(COUNTIFS('Conciliacion de compuestos'!$D$2:$D$48,"conciliado",'Conciliacion de compuestos'!$E$2:$E$48,"OK",'Conciliacion de compuestos'!$J$2:$J$48,A753),COUNTIFS('Conciliacion de compuestos'!$D$2:$D$48,"conciliado",'Conciliacion de compuestos'!$E$2:$E$48,"OK",'Conciliacion de compuestos'!$K$2:$K$48,A753),COUNTIFS('Conciliacion de compuestos'!$D$2:$D$48,"conciliado",'Conciliacion de compuestos'!$E$2:$E$48,"OK",'Conciliacion de compuestos'!$L$2:$L$48,A753))&gt;0,"conciliado en compuesto confirmado","disponible")</f>
        <v/>
      </c>
    </row>
    <row r="754">
      <c r="A754" s="11" t="n">
        <v>761</v>
      </c>
      <c r="B754" s="12" t="n">
        <v>46006</v>
      </c>
      <c r="C754" s="11" t="inlineStr">
        <is>
          <t>credibanco d e retefuente voucher y</t>
        </is>
      </c>
      <c r="D754" s="13" t="n">
        <v>-602</v>
      </c>
      <c r="E754" s="11">
        <f>IF(SUM(COUNTIFS('Conciliacion de compuestos'!$D$2:$D$48,"conciliado",'Conciliacion de compuestos'!$E$2:$E$48,"OK",'Conciliacion de compuestos'!$J$2:$J$48,A754),COUNTIFS('Conciliacion de compuestos'!$D$2:$D$48,"conciliado",'Conciliacion de compuestos'!$E$2:$E$48,"OK",'Conciliacion de compuestos'!$K$2:$K$48,A754),COUNTIFS('Conciliacion de compuestos'!$D$2:$D$48,"conciliado",'Conciliacion de compuestos'!$E$2:$E$48,"OK",'Conciliacion de compuestos'!$L$2:$L$48,A754))&gt;0,"conciliado en compuesto confirmado","disponible")</f>
        <v/>
      </c>
    </row>
    <row r="755">
      <c r="A755" s="11" t="n">
        <v>762</v>
      </c>
      <c r="B755" s="12" t="n">
        <v>46006</v>
      </c>
      <c r="C755" s="11" t="inlineStr">
        <is>
          <t>a financiero gravamen movimiento</t>
        </is>
      </c>
      <c r="D755" s="13" t="n">
        <v>-2</v>
      </c>
      <c r="E755" s="11">
        <f>IF(SUM(COUNTIFS('Conciliacion de compuestos'!$D$2:$D$48,"conciliado",'Conciliacion de compuestos'!$E$2:$E$48,"OK",'Conciliacion de compuestos'!$J$2:$J$48,A755),COUNTIFS('Conciliacion de compuestos'!$D$2:$D$48,"conciliado",'Conciliacion de compuestos'!$E$2:$E$48,"OK",'Conciliacion de compuestos'!$K$2:$K$48,A755),COUNTIFS('Conciliacion de compuestos'!$D$2:$D$48,"conciliado",'Conciliacion de compuestos'!$E$2:$E$48,"OK",'Conciliacion de compuestos'!$L$2:$L$48,A755))&gt;0,"conciliado en compuesto confirmado","disponible")</f>
        <v/>
      </c>
    </row>
    <row r="756">
      <c r="A756" s="11" t="n">
        <v>763</v>
      </c>
      <c r="B756" s="12" t="n">
        <v>46006</v>
      </c>
      <c r="C756" s="11" t="inlineStr">
        <is>
          <t>consignacion credibanco d e</t>
        </is>
      </c>
      <c r="D756" s="13" t="n">
        <v>155546</v>
      </c>
      <c r="E756" s="11">
        <f>IF(SUM(COUNTIFS('Conciliacion de compuestos'!$D$2:$D$48,"conciliado",'Conciliacion de compuestos'!$E$2:$E$48,"OK",'Conciliacion de compuestos'!$J$2:$J$48,A756),COUNTIFS('Conciliacion de compuestos'!$D$2:$D$48,"conciliado",'Conciliacion de compuestos'!$E$2:$E$48,"OK",'Conciliacion de compuestos'!$K$2:$K$48,A756),COUNTIFS('Conciliacion de compuestos'!$D$2:$D$48,"conciliado",'Conciliacion de compuestos'!$E$2:$E$48,"OK",'Conciliacion de compuestos'!$L$2:$L$48,A756))&gt;0,"conciliado en compuesto confirmado","disponible")</f>
        <v/>
      </c>
    </row>
    <row r="757">
      <c r="A757" s="11" t="n">
        <v>764</v>
      </c>
      <c r="B757" s="12" t="n">
        <v>46006</v>
      </c>
      <c r="C757" s="11" t="inlineStr">
        <is>
          <t>cobro comision depositos electronicos</t>
        </is>
      </c>
      <c r="D757" s="13" t="n">
        <v>-3406</v>
      </c>
      <c r="E757" s="11">
        <f>IF(SUM(COUNTIFS('Conciliacion de compuestos'!$D$2:$D$48,"conciliado",'Conciliacion de compuestos'!$E$2:$E$48,"OK",'Conciliacion de compuestos'!$J$2:$J$48,A757),COUNTIFS('Conciliacion de compuestos'!$D$2:$D$48,"conciliado",'Conciliacion de compuestos'!$E$2:$E$48,"OK",'Conciliacion de compuestos'!$K$2:$K$48,A757),COUNTIFS('Conciliacion de compuestos'!$D$2:$D$48,"conciliado",'Conciliacion de compuestos'!$E$2:$E$48,"OK",'Conciliacion de compuestos'!$L$2:$L$48,A757))&gt;0,"conciliado en compuesto confirmado","disponible")</f>
        <v/>
      </c>
    </row>
    <row r="758">
      <c r="A758" s="11" t="n">
        <v>765</v>
      </c>
      <c r="B758" s="12" t="n">
        <v>46006</v>
      </c>
      <c r="C758" s="11" t="inlineStr">
        <is>
          <t>a financiero gravamen movimiento</t>
        </is>
      </c>
      <c r="D758" s="13" t="n">
        <v>-14</v>
      </c>
      <c r="E758" s="11">
        <f>IF(SUM(COUNTIFS('Conciliacion de compuestos'!$D$2:$D$48,"conciliado",'Conciliacion de compuestos'!$E$2:$E$48,"OK",'Conciliacion de compuestos'!$J$2:$J$48,A758),COUNTIFS('Conciliacion de compuestos'!$D$2:$D$48,"conciliado",'Conciliacion de compuestos'!$E$2:$E$48,"OK",'Conciliacion de compuestos'!$K$2:$K$48,A758),COUNTIFS('Conciliacion de compuestos'!$D$2:$D$48,"conciliado",'Conciliacion de compuestos'!$E$2:$E$48,"OK",'Conciliacion de compuestos'!$L$2:$L$48,A758))&gt;0,"conciliado en compuesto confirmado","disponible")</f>
        <v/>
      </c>
    </row>
    <row r="759">
      <c r="A759" s="11" t="n">
        <v>766</v>
      </c>
      <c r="B759" s="12" t="n">
        <v>46006</v>
      </c>
      <c r="C759" s="11" t="inlineStr">
        <is>
          <t>credibanco d e retefuente voucher y</t>
        </is>
      </c>
      <c r="D759" s="13" t="n">
        <v>-2333</v>
      </c>
      <c r="E759" s="11">
        <f>IF(SUM(COUNTIFS('Conciliacion de compuestos'!$D$2:$D$48,"conciliado",'Conciliacion de compuestos'!$E$2:$E$48,"OK",'Conciliacion de compuestos'!$J$2:$J$48,A759),COUNTIFS('Conciliacion de compuestos'!$D$2:$D$48,"conciliado",'Conciliacion de compuestos'!$E$2:$E$48,"OK",'Conciliacion de compuestos'!$K$2:$K$48,A759),COUNTIFS('Conciliacion de compuestos'!$D$2:$D$48,"conciliado",'Conciliacion de compuestos'!$E$2:$E$48,"OK",'Conciliacion de compuestos'!$L$2:$L$48,A759))&gt;0,"conciliado en compuesto confirmado","disponible")</f>
        <v/>
      </c>
    </row>
    <row r="760">
      <c r="A760" s="11" t="n">
        <v>767</v>
      </c>
      <c r="B760" s="12" t="n">
        <v>46006</v>
      </c>
      <c r="C760" s="11" t="inlineStr">
        <is>
          <t>a financiero gravamen movimiento</t>
        </is>
      </c>
      <c r="D760" s="13" t="n">
        <v>-9</v>
      </c>
      <c r="E760" s="11">
        <f>IF(SUM(COUNTIFS('Conciliacion de compuestos'!$D$2:$D$48,"conciliado",'Conciliacion de compuestos'!$E$2:$E$48,"OK",'Conciliacion de compuestos'!$J$2:$J$48,A760),COUNTIFS('Conciliacion de compuestos'!$D$2:$D$48,"conciliado",'Conciliacion de compuestos'!$E$2:$E$48,"OK",'Conciliacion de compuestos'!$K$2:$K$48,A760),COUNTIFS('Conciliacion de compuestos'!$D$2:$D$48,"conciliado",'Conciliacion de compuestos'!$E$2:$E$48,"OK",'Conciliacion de compuestos'!$L$2:$L$48,A760))&gt;0,"conciliado en compuesto confirmado","disponible")</f>
        <v/>
      </c>
    </row>
    <row r="761">
      <c r="A761" s="11" t="n">
        <v>768</v>
      </c>
      <c r="B761" s="12" t="n">
        <v>46006</v>
      </c>
      <c r="C761" s="11" t="inlineStr">
        <is>
          <t>consignacion credibanco d e</t>
        </is>
      </c>
      <c r="D761" s="13" t="n">
        <v>36018</v>
      </c>
      <c r="E761" s="11">
        <f>IF(SUM(COUNTIFS('Conciliacion de compuestos'!$D$2:$D$48,"conciliado",'Conciliacion de compuestos'!$E$2:$E$48,"OK",'Conciliacion de compuestos'!$J$2:$J$48,A761),COUNTIFS('Conciliacion de compuestos'!$D$2:$D$48,"conciliado",'Conciliacion de compuestos'!$E$2:$E$48,"OK",'Conciliacion de compuestos'!$K$2:$K$48,A761),COUNTIFS('Conciliacion de compuestos'!$D$2:$D$48,"conciliado",'Conciliacion de compuestos'!$E$2:$E$48,"OK",'Conciliacion de compuestos'!$L$2:$L$48,A761))&gt;0,"conciliado en compuesto confirmado","disponible")</f>
        <v/>
      </c>
    </row>
    <row r="762">
      <c r="A762" s="11" t="n">
        <v>769</v>
      </c>
      <c r="B762" s="12" t="n">
        <v>46006</v>
      </c>
      <c r="C762" s="11" t="inlineStr">
        <is>
          <t>cobro comision depositos electronicos</t>
        </is>
      </c>
      <c r="D762" s="13" t="n">
        <v>-778</v>
      </c>
      <c r="E762" s="11">
        <f>IF(SUM(COUNTIFS('Conciliacion de compuestos'!$D$2:$D$48,"conciliado",'Conciliacion de compuestos'!$E$2:$E$48,"OK",'Conciliacion de compuestos'!$J$2:$J$48,A762),COUNTIFS('Conciliacion de compuestos'!$D$2:$D$48,"conciliado",'Conciliacion de compuestos'!$E$2:$E$48,"OK",'Conciliacion de compuestos'!$K$2:$K$48,A762),COUNTIFS('Conciliacion de compuestos'!$D$2:$D$48,"conciliado",'Conciliacion de compuestos'!$E$2:$E$48,"OK",'Conciliacion de compuestos'!$L$2:$L$48,A762))&gt;0,"conciliado en compuesto confirmado","disponible")</f>
        <v/>
      </c>
    </row>
    <row r="763">
      <c r="A763" s="11" t="n">
        <v>770</v>
      </c>
      <c r="B763" s="12" t="n">
        <v>46006</v>
      </c>
      <c r="C763" s="11" t="inlineStr">
        <is>
          <t>a financiero gravamen movimiento</t>
        </is>
      </c>
      <c r="D763" s="13" t="n">
        <v>-3</v>
      </c>
      <c r="E763" s="11">
        <f>IF(SUM(COUNTIFS('Conciliacion de compuestos'!$D$2:$D$48,"conciliado",'Conciliacion de compuestos'!$E$2:$E$48,"OK",'Conciliacion de compuestos'!$J$2:$J$48,A763),COUNTIFS('Conciliacion de compuestos'!$D$2:$D$48,"conciliado",'Conciliacion de compuestos'!$E$2:$E$48,"OK",'Conciliacion de compuestos'!$K$2:$K$48,A763),COUNTIFS('Conciliacion de compuestos'!$D$2:$D$48,"conciliado",'Conciliacion de compuestos'!$E$2:$E$48,"OK",'Conciliacion de compuestos'!$L$2:$L$48,A763))&gt;0,"conciliado en compuesto confirmado","disponible")</f>
        <v/>
      </c>
    </row>
    <row r="764">
      <c r="A764" s="11" t="n">
        <v>771</v>
      </c>
      <c r="B764" s="12" t="n">
        <v>46006</v>
      </c>
      <c r="C764" s="11" t="inlineStr">
        <is>
          <t>credibanco d e retefuente voucher y</t>
        </is>
      </c>
      <c r="D764" s="13" t="n">
        <v>-540</v>
      </c>
      <c r="E764" s="11">
        <f>IF(SUM(COUNTIFS('Conciliacion de compuestos'!$D$2:$D$48,"conciliado",'Conciliacion de compuestos'!$E$2:$E$48,"OK",'Conciliacion de compuestos'!$J$2:$J$48,A764),COUNTIFS('Conciliacion de compuestos'!$D$2:$D$48,"conciliado",'Conciliacion de compuestos'!$E$2:$E$48,"OK",'Conciliacion de compuestos'!$K$2:$K$48,A764),COUNTIFS('Conciliacion de compuestos'!$D$2:$D$48,"conciliado",'Conciliacion de compuestos'!$E$2:$E$48,"OK",'Conciliacion de compuestos'!$L$2:$L$48,A764))&gt;0,"conciliado en compuesto confirmado","disponible")</f>
        <v/>
      </c>
    </row>
    <row r="765">
      <c r="A765" s="11" t="n">
        <v>772</v>
      </c>
      <c r="B765" s="12" t="n">
        <v>46006</v>
      </c>
      <c r="C765" s="11" t="inlineStr">
        <is>
          <t>a financiero gravamen movimiento</t>
        </is>
      </c>
      <c r="D765" s="13" t="n">
        <v>-2</v>
      </c>
      <c r="E765" s="11">
        <f>IF(SUM(COUNTIFS('Conciliacion de compuestos'!$D$2:$D$48,"conciliado",'Conciliacion de compuestos'!$E$2:$E$48,"OK",'Conciliacion de compuestos'!$J$2:$J$48,A765),COUNTIFS('Conciliacion de compuestos'!$D$2:$D$48,"conciliado",'Conciliacion de compuestos'!$E$2:$E$48,"OK",'Conciliacion de compuestos'!$K$2:$K$48,A765),COUNTIFS('Conciliacion de compuestos'!$D$2:$D$48,"conciliado",'Conciliacion de compuestos'!$E$2:$E$48,"OK",'Conciliacion de compuestos'!$L$2:$L$48,A765))&gt;0,"conciliado en compuesto confirmado","disponible")</f>
        <v/>
      </c>
    </row>
    <row r="766">
      <c r="A766" s="11" t="n">
        <v>773</v>
      </c>
      <c r="B766" s="12" t="n">
        <v>46006</v>
      </c>
      <c r="C766" s="11" t="inlineStr">
        <is>
          <t>consignacion credibanco d e</t>
        </is>
      </c>
      <c r="D766" s="13" t="n">
        <v>26500</v>
      </c>
      <c r="E766" s="11">
        <f>IF(SUM(COUNTIFS('Conciliacion de compuestos'!$D$2:$D$48,"conciliado",'Conciliacion de compuestos'!$E$2:$E$48,"OK",'Conciliacion de compuestos'!$J$2:$J$48,A766),COUNTIFS('Conciliacion de compuestos'!$D$2:$D$48,"conciliado",'Conciliacion de compuestos'!$E$2:$E$48,"OK",'Conciliacion de compuestos'!$K$2:$K$48,A766),COUNTIFS('Conciliacion de compuestos'!$D$2:$D$48,"conciliado",'Conciliacion de compuestos'!$E$2:$E$48,"OK",'Conciliacion de compuestos'!$L$2:$L$48,A766))&gt;0,"conciliado en compuesto confirmado","disponible")</f>
        <v/>
      </c>
    </row>
    <row r="767">
      <c r="A767" s="11" t="n">
        <v>774</v>
      </c>
      <c r="B767" s="12" t="n">
        <v>46006</v>
      </c>
      <c r="C767" s="11" t="inlineStr">
        <is>
          <t>cobro comision depositos electronicos</t>
        </is>
      </c>
      <c r="D767" s="13" t="n">
        <v>-572</v>
      </c>
      <c r="E767" s="11">
        <f>IF(SUM(COUNTIFS('Conciliacion de compuestos'!$D$2:$D$48,"conciliado",'Conciliacion de compuestos'!$E$2:$E$48,"OK",'Conciliacion de compuestos'!$J$2:$J$48,A767),COUNTIFS('Conciliacion de compuestos'!$D$2:$D$48,"conciliado",'Conciliacion de compuestos'!$E$2:$E$48,"OK",'Conciliacion de compuestos'!$K$2:$K$48,A767),COUNTIFS('Conciliacion de compuestos'!$D$2:$D$48,"conciliado",'Conciliacion de compuestos'!$E$2:$E$48,"OK",'Conciliacion de compuestos'!$L$2:$L$48,A767))&gt;0,"conciliado en compuesto confirmado","disponible")</f>
        <v/>
      </c>
    </row>
    <row r="768">
      <c r="A768" s="11" t="n">
        <v>775</v>
      </c>
      <c r="B768" s="12" t="n">
        <v>46006</v>
      </c>
      <c r="C768" s="11" t="inlineStr">
        <is>
          <t>a financiero gravamen movimiento</t>
        </is>
      </c>
      <c r="D768" s="13" t="n">
        <v>-2</v>
      </c>
      <c r="E768" s="11">
        <f>IF(SUM(COUNTIFS('Conciliacion de compuestos'!$D$2:$D$48,"conciliado",'Conciliacion de compuestos'!$E$2:$E$48,"OK",'Conciliacion de compuestos'!$J$2:$J$48,A768),COUNTIFS('Conciliacion de compuestos'!$D$2:$D$48,"conciliado",'Conciliacion de compuestos'!$E$2:$E$48,"OK",'Conciliacion de compuestos'!$K$2:$K$48,A768),COUNTIFS('Conciliacion de compuestos'!$D$2:$D$48,"conciliado",'Conciliacion de compuestos'!$E$2:$E$48,"OK",'Conciliacion de compuestos'!$L$2:$L$48,A768))&gt;0,"conciliado en compuesto confirmado","disponible")</f>
        <v/>
      </c>
    </row>
    <row r="769">
      <c r="A769" s="11" t="n">
        <v>776</v>
      </c>
      <c r="B769" s="12" t="n">
        <v>46006</v>
      </c>
      <c r="C769" s="11" t="inlineStr">
        <is>
          <t>credibanco d e retefuente voucher y</t>
        </is>
      </c>
      <c r="D769" s="13" t="n">
        <v>-398</v>
      </c>
      <c r="E769" s="11">
        <f>IF(SUM(COUNTIFS('Conciliacion de compuestos'!$D$2:$D$48,"conciliado",'Conciliacion de compuestos'!$E$2:$E$48,"OK",'Conciliacion de compuestos'!$J$2:$J$48,A769),COUNTIFS('Conciliacion de compuestos'!$D$2:$D$48,"conciliado",'Conciliacion de compuestos'!$E$2:$E$48,"OK",'Conciliacion de compuestos'!$K$2:$K$48,A769),COUNTIFS('Conciliacion de compuestos'!$D$2:$D$48,"conciliado",'Conciliacion de compuestos'!$E$2:$E$48,"OK",'Conciliacion de compuestos'!$L$2:$L$48,A769))&gt;0,"conciliado en compuesto confirmado","disponible")</f>
        <v/>
      </c>
    </row>
    <row r="770">
      <c r="A770" s="11" t="n">
        <v>777</v>
      </c>
      <c r="B770" s="12" t="n">
        <v>46006</v>
      </c>
      <c r="C770" s="11" t="inlineStr">
        <is>
          <t>a financiero gravamen movimiento</t>
        </is>
      </c>
      <c r="D770" s="13" t="n">
        <v>-2</v>
      </c>
      <c r="E770" s="11">
        <f>IF(SUM(COUNTIFS('Conciliacion de compuestos'!$D$2:$D$48,"conciliado",'Conciliacion de compuestos'!$E$2:$E$48,"OK",'Conciliacion de compuestos'!$J$2:$J$48,A770),COUNTIFS('Conciliacion de compuestos'!$D$2:$D$48,"conciliado",'Conciliacion de compuestos'!$E$2:$E$48,"OK",'Conciliacion de compuestos'!$K$2:$K$48,A770),COUNTIFS('Conciliacion de compuestos'!$D$2:$D$48,"conciliado",'Conciliacion de compuestos'!$E$2:$E$48,"OK",'Conciliacion de compuestos'!$L$2:$L$48,A770))&gt;0,"conciliado en compuesto confirmado","disponible")</f>
        <v/>
      </c>
    </row>
    <row r="771">
      <c r="A771" s="11" t="n">
        <v>778</v>
      </c>
      <c r="B771" s="12" t="n">
        <v>46006</v>
      </c>
      <c r="C771" s="11" t="inlineStr">
        <is>
          <t>consignacion credibanco d e</t>
        </is>
      </c>
      <c r="D771" s="13" t="n">
        <v>43200</v>
      </c>
      <c r="E771" s="11">
        <f>IF(SUM(COUNTIFS('Conciliacion de compuestos'!$D$2:$D$48,"conciliado",'Conciliacion de compuestos'!$E$2:$E$48,"OK",'Conciliacion de compuestos'!$J$2:$J$48,A771),COUNTIFS('Conciliacion de compuestos'!$D$2:$D$48,"conciliado",'Conciliacion de compuestos'!$E$2:$E$48,"OK",'Conciliacion de compuestos'!$K$2:$K$48,A771),COUNTIFS('Conciliacion de compuestos'!$D$2:$D$48,"conciliado",'Conciliacion de compuestos'!$E$2:$E$48,"OK",'Conciliacion de compuestos'!$L$2:$L$48,A771))&gt;0,"conciliado en compuesto confirmado","disponible")</f>
        <v/>
      </c>
    </row>
    <row r="772">
      <c r="A772" s="11" t="n">
        <v>779</v>
      </c>
      <c r="B772" s="12" t="n">
        <v>46006</v>
      </c>
      <c r="C772" s="11" t="inlineStr">
        <is>
          <t>cobro comision depositos electronicos</t>
        </is>
      </c>
      <c r="D772" s="13" t="n">
        <v>-933</v>
      </c>
      <c r="E772" s="11">
        <f>IF(SUM(COUNTIFS('Conciliacion de compuestos'!$D$2:$D$48,"conciliado",'Conciliacion de compuestos'!$E$2:$E$48,"OK",'Conciliacion de compuestos'!$J$2:$J$48,A772),COUNTIFS('Conciliacion de compuestos'!$D$2:$D$48,"conciliado",'Conciliacion de compuestos'!$E$2:$E$48,"OK",'Conciliacion de compuestos'!$K$2:$K$48,A772),COUNTIFS('Conciliacion de compuestos'!$D$2:$D$48,"conciliado",'Conciliacion de compuestos'!$E$2:$E$48,"OK",'Conciliacion de compuestos'!$L$2:$L$48,A772))&gt;0,"conciliado en compuesto confirmado","disponible")</f>
        <v/>
      </c>
    </row>
    <row r="773">
      <c r="A773" s="11" t="n">
        <v>780</v>
      </c>
      <c r="B773" s="12" t="n">
        <v>46006</v>
      </c>
      <c r="C773" s="11" t="inlineStr">
        <is>
          <t>a financiero gravamen movimiento</t>
        </is>
      </c>
      <c r="D773" s="13" t="n">
        <v>-4</v>
      </c>
      <c r="E773" s="11">
        <f>IF(SUM(COUNTIFS('Conciliacion de compuestos'!$D$2:$D$48,"conciliado",'Conciliacion de compuestos'!$E$2:$E$48,"OK",'Conciliacion de compuestos'!$J$2:$J$48,A773),COUNTIFS('Conciliacion de compuestos'!$D$2:$D$48,"conciliado",'Conciliacion de compuestos'!$E$2:$E$48,"OK",'Conciliacion de compuestos'!$K$2:$K$48,A773),COUNTIFS('Conciliacion de compuestos'!$D$2:$D$48,"conciliado",'Conciliacion de compuestos'!$E$2:$E$48,"OK",'Conciliacion de compuestos'!$L$2:$L$48,A773))&gt;0,"conciliado en compuesto confirmado","disponible")</f>
        <v/>
      </c>
    </row>
    <row r="774">
      <c r="A774" s="11" t="n">
        <v>781</v>
      </c>
      <c r="B774" s="12" t="n">
        <v>46006</v>
      </c>
      <c r="C774" s="11" t="inlineStr">
        <is>
          <t>credibanco d e retefuente voucher y</t>
        </is>
      </c>
      <c r="D774" s="13" t="n">
        <v>-648</v>
      </c>
      <c r="E774" s="11">
        <f>IF(SUM(COUNTIFS('Conciliacion de compuestos'!$D$2:$D$48,"conciliado",'Conciliacion de compuestos'!$E$2:$E$48,"OK",'Conciliacion de compuestos'!$J$2:$J$48,A774),COUNTIFS('Conciliacion de compuestos'!$D$2:$D$48,"conciliado",'Conciliacion de compuestos'!$E$2:$E$48,"OK",'Conciliacion de compuestos'!$K$2:$K$48,A774),COUNTIFS('Conciliacion de compuestos'!$D$2:$D$48,"conciliado",'Conciliacion de compuestos'!$E$2:$E$48,"OK",'Conciliacion de compuestos'!$L$2:$L$48,A774))&gt;0,"conciliado en compuesto confirmado","disponible")</f>
        <v/>
      </c>
    </row>
    <row r="775">
      <c r="A775" s="11" t="n">
        <v>782</v>
      </c>
      <c r="B775" s="12" t="n">
        <v>46006</v>
      </c>
      <c r="C775" s="11" t="inlineStr">
        <is>
          <t>a financiero gravamen movimiento</t>
        </is>
      </c>
      <c r="D775" s="13" t="n">
        <v>-3</v>
      </c>
      <c r="E775" s="11">
        <f>IF(SUM(COUNTIFS('Conciliacion de compuestos'!$D$2:$D$48,"conciliado",'Conciliacion de compuestos'!$E$2:$E$48,"OK",'Conciliacion de compuestos'!$J$2:$J$48,A775),COUNTIFS('Conciliacion de compuestos'!$D$2:$D$48,"conciliado",'Conciliacion de compuestos'!$E$2:$E$48,"OK",'Conciliacion de compuestos'!$K$2:$K$48,A775),COUNTIFS('Conciliacion de compuestos'!$D$2:$D$48,"conciliado",'Conciliacion de compuestos'!$E$2:$E$48,"OK",'Conciliacion de compuestos'!$L$2:$L$48,A775))&gt;0,"conciliado en compuesto confirmado","disponible")</f>
        <v/>
      </c>
    </row>
    <row r="776">
      <c r="A776" s="11" t="n">
        <v>783</v>
      </c>
      <c r="B776" s="12" t="n">
        <v>46006</v>
      </c>
      <c r="C776" s="11" t="inlineStr">
        <is>
          <t>consignacion credibanco d e</t>
        </is>
      </c>
      <c r="D776" s="13" t="n">
        <v>173900</v>
      </c>
      <c r="E776" s="11">
        <f>IF(SUM(COUNTIFS('Conciliacion de compuestos'!$D$2:$D$48,"conciliado",'Conciliacion de compuestos'!$E$2:$E$48,"OK",'Conciliacion de compuestos'!$J$2:$J$48,A776),COUNTIFS('Conciliacion de compuestos'!$D$2:$D$48,"conciliado",'Conciliacion de compuestos'!$E$2:$E$48,"OK",'Conciliacion de compuestos'!$K$2:$K$48,A776),COUNTIFS('Conciliacion de compuestos'!$D$2:$D$48,"conciliado",'Conciliacion de compuestos'!$E$2:$E$48,"OK",'Conciliacion de compuestos'!$L$2:$L$48,A776))&gt;0,"conciliado en compuesto confirmado","disponible")</f>
        <v/>
      </c>
    </row>
    <row r="777">
      <c r="A777" s="11" t="n">
        <v>784</v>
      </c>
      <c r="B777" s="12" t="n">
        <v>46006</v>
      </c>
      <c r="C777" s="11" t="inlineStr">
        <is>
          <t>cobro comision depositos electronicos</t>
        </is>
      </c>
      <c r="D777" s="13" t="n">
        <v>-3756</v>
      </c>
      <c r="E777" s="11">
        <f>IF(SUM(COUNTIFS('Conciliacion de compuestos'!$D$2:$D$48,"conciliado",'Conciliacion de compuestos'!$E$2:$E$48,"OK",'Conciliacion de compuestos'!$J$2:$J$48,A777),COUNTIFS('Conciliacion de compuestos'!$D$2:$D$48,"conciliado",'Conciliacion de compuestos'!$E$2:$E$48,"OK",'Conciliacion de compuestos'!$K$2:$K$48,A777),COUNTIFS('Conciliacion de compuestos'!$D$2:$D$48,"conciliado",'Conciliacion de compuestos'!$E$2:$E$48,"OK",'Conciliacion de compuestos'!$L$2:$L$48,A777))&gt;0,"conciliado en compuesto confirmado","disponible")</f>
        <v/>
      </c>
    </row>
    <row r="778">
      <c r="A778" s="11" t="n">
        <v>785</v>
      </c>
      <c r="B778" s="12" t="n">
        <v>46006</v>
      </c>
      <c r="C778" s="11" t="inlineStr">
        <is>
          <t>a financiero gravamen movimiento</t>
        </is>
      </c>
      <c r="D778" s="13" t="n">
        <v>-15</v>
      </c>
      <c r="E778" s="11">
        <f>IF(SUM(COUNTIFS('Conciliacion de compuestos'!$D$2:$D$48,"conciliado",'Conciliacion de compuestos'!$E$2:$E$48,"OK",'Conciliacion de compuestos'!$J$2:$J$48,A778),COUNTIFS('Conciliacion de compuestos'!$D$2:$D$48,"conciliado",'Conciliacion de compuestos'!$E$2:$E$48,"OK",'Conciliacion de compuestos'!$K$2:$K$48,A778),COUNTIFS('Conciliacion de compuestos'!$D$2:$D$48,"conciliado",'Conciliacion de compuestos'!$E$2:$E$48,"OK",'Conciliacion de compuestos'!$L$2:$L$48,A778))&gt;0,"conciliado en compuesto confirmado","disponible")</f>
        <v/>
      </c>
    </row>
    <row r="779">
      <c r="A779" s="11" t="n">
        <v>786</v>
      </c>
      <c r="B779" s="12" t="n">
        <v>46006</v>
      </c>
      <c r="C779" s="11" t="inlineStr">
        <is>
          <t>credibanco d e retefuente voucher y</t>
        </is>
      </c>
      <c r="D779" s="13" t="n">
        <v>-2609</v>
      </c>
      <c r="E779" s="11">
        <f>IF(SUM(COUNTIFS('Conciliacion de compuestos'!$D$2:$D$48,"conciliado",'Conciliacion de compuestos'!$E$2:$E$48,"OK",'Conciliacion de compuestos'!$J$2:$J$48,A779),COUNTIFS('Conciliacion de compuestos'!$D$2:$D$48,"conciliado",'Conciliacion de compuestos'!$E$2:$E$48,"OK",'Conciliacion de compuestos'!$K$2:$K$48,A779),COUNTIFS('Conciliacion de compuestos'!$D$2:$D$48,"conciliado",'Conciliacion de compuestos'!$E$2:$E$48,"OK",'Conciliacion de compuestos'!$L$2:$L$48,A779))&gt;0,"conciliado en compuesto confirmado","disponible")</f>
        <v/>
      </c>
    </row>
    <row r="780">
      <c r="A780" s="11" t="n">
        <v>787</v>
      </c>
      <c r="B780" s="12" t="n">
        <v>46006</v>
      </c>
      <c r="C780" s="11" t="inlineStr">
        <is>
          <t>a financiero gravamen movimiento</t>
        </is>
      </c>
      <c r="D780" s="13" t="n">
        <v>-10</v>
      </c>
      <c r="E780" s="11">
        <f>IF(SUM(COUNTIFS('Conciliacion de compuestos'!$D$2:$D$48,"conciliado",'Conciliacion de compuestos'!$E$2:$E$48,"OK",'Conciliacion de compuestos'!$J$2:$J$48,A780),COUNTIFS('Conciliacion de compuestos'!$D$2:$D$48,"conciliado",'Conciliacion de compuestos'!$E$2:$E$48,"OK",'Conciliacion de compuestos'!$K$2:$K$48,A780),COUNTIFS('Conciliacion de compuestos'!$D$2:$D$48,"conciliado",'Conciliacion de compuestos'!$E$2:$E$48,"OK",'Conciliacion de compuestos'!$L$2:$L$48,A780))&gt;0,"conciliado en compuesto confirmado","disponible")</f>
        <v/>
      </c>
    </row>
    <row r="781">
      <c r="A781" s="11" t="n">
        <v>788</v>
      </c>
      <c r="B781" s="12" t="n">
        <v>46006</v>
      </c>
      <c r="C781" s="11" t="inlineStr">
        <is>
          <t>consignacion credibanco d e</t>
        </is>
      </c>
      <c r="D781" s="13" t="n">
        <v>20000</v>
      </c>
      <c r="E781" s="11">
        <f>IF(SUM(COUNTIFS('Conciliacion de compuestos'!$D$2:$D$48,"conciliado",'Conciliacion de compuestos'!$E$2:$E$48,"OK",'Conciliacion de compuestos'!$J$2:$J$48,A781),COUNTIFS('Conciliacion de compuestos'!$D$2:$D$48,"conciliado",'Conciliacion de compuestos'!$E$2:$E$48,"OK",'Conciliacion de compuestos'!$K$2:$K$48,A781),COUNTIFS('Conciliacion de compuestos'!$D$2:$D$48,"conciliado",'Conciliacion de compuestos'!$E$2:$E$48,"OK",'Conciliacion de compuestos'!$L$2:$L$48,A781))&gt;0,"conciliado en compuesto confirmado","disponible")</f>
        <v/>
      </c>
    </row>
    <row r="782">
      <c r="A782" s="11" t="n">
        <v>789</v>
      </c>
      <c r="B782" s="12" t="n">
        <v>46006</v>
      </c>
      <c r="C782" s="11" t="inlineStr">
        <is>
          <t>cobro comision depositos electronicos</t>
        </is>
      </c>
      <c r="D782" s="13" t="n">
        <v>-432</v>
      </c>
      <c r="E782" s="11">
        <f>IF(SUM(COUNTIFS('Conciliacion de compuestos'!$D$2:$D$48,"conciliado",'Conciliacion de compuestos'!$E$2:$E$48,"OK",'Conciliacion de compuestos'!$J$2:$J$48,A782),COUNTIFS('Conciliacion de compuestos'!$D$2:$D$48,"conciliado",'Conciliacion de compuestos'!$E$2:$E$48,"OK",'Conciliacion de compuestos'!$K$2:$K$48,A782),COUNTIFS('Conciliacion de compuestos'!$D$2:$D$48,"conciliado",'Conciliacion de compuestos'!$E$2:$E$48,"OK",'Conciliacion de compuestos'!$L$2:$L$48,A782))&gt;0,"conciliado en compuesto confirmado","disponible")</f>
        <v/>
      </c>
    </row>
    <row r="783">
      <c r="A783" s="11" t="n">
        <v>790</v>
      </c>
      <c r="B783" s="12" t="n">
        <v>46006</v>
      </c>
      <c r="C783" s="11" t="inlineStr">
        <is>
          <t>a financiero gravamen movimiento</t>
        </is>
      </c>
      <c r="D783" s="13" t="n">
        <v>-2</v>
      </c>
      <c r="E783" s="11">
        <f>IF(SUM(COUNTIFS('Conciliacion de compuestos'!$D$2:$D$48,"conciliado",'Conciliacion de compuestos'!$E$2:$E$48,"OK",'Conciliacion de compuestos'!$J$2:$J$48,A783),COUNTIFS('Conciliacion de compuestos'!$D$2:$D$48,"conciliado",'Conciliacion de compuestos'!$E$2:$E$48,"OK",'Conciliacion de compuestos'!$K$2:$K$48,A783),COUNTIFS('Conciliacion de compuestos'!$D$2:$D$48,"conciliado",'Conciliacion de compuestos'!$E$2:$E$48,"OK",'Conciliacion de compuestos'!$L$2:$L$48,A783))&gt;0,"conciliado en compuesto confirmado","disponible")</f>
        <v/>
      </c>
    </row>
    <row r="784">
      <c r="A784" s="11" t="n">
        <v>791</v>
      </c>
      <c r="B784" s="12" t="n">
        <v>46006</v>
      </c>
      <c r="C784" s="11" t="inlineStr">
        <is>
          <t>credibanco d e retefuente voucher y</t>
        </is>
      </c>
      <c r="D784" s="13" t="n">
        <v>-300</v>
      </c>
      <c r="E784" s="11">
        <f>IF(SUM(COUNTIFS('Conciliacion de compuestos'!$D$2:$D$48,"conciliado",'Conciliacion de compuestos'!$E$2:$E$48,"OK",'Conciliacion de compuestos'!$J$2:$J$48,A784),COUNTIFS('Conciliacion de compuestos'!$D$2:$D$48,"conciliado",'Conciliacion de compuestos'!$E$2:$E$48,"OK",'Conciliacion de compuestos'!$K$2:$K$48,A784),COUNTIFS('Conciliacion de compuestos'!$D$2:$D$48,"conciliado",'Conciliacion de compuestos'!$E$2:$E$48,"OK",'Conciliacion de compuestos'!$L$2:$L$48,A784))&gt;0,"conciliado en compuesto confirmado","disponible")</f>
        <v/>
      </c>
    </row>
    <row r="785">
      <c r="A785" s="11" t="n">
        <v>792</v>
      </c>
      <c r="B785" s="12" t="n">
        <v>46006</v>
      </c>
      <c r="C785" s="11" t="inlineStr">
        <is>
          <t>a financiero gravamen movimiento</t>
        </is>
      </c>
      <c r="D785" s="13" t="n">
        <v>-1</v>
      </c>
      <c r="E785" s="11">
        <f>IF(SUM(COUNTIFS('Conciliacion de compuestos'!$D$2:$D$48,"conciliado",'Conciliacion de compuestos'!$E$2:$E$48,"OK",'Conciliacion de compuestos'!$J$2:$J$48,A785),COUNTIFS('Conciliacion de compuestos'!$D$2:$D$48,"conciliado",'Conciliacion de compuestos'!$E$2:$E$48,"OK",'Conciliacion de compuestos'!$K$2:$K$48,A785),COUNTIFS('Conciliacion de compuestos'!$D$2:$D$48,"conciliado",'Conciliacion de compuestos'!$E$2:$E$48,"OK",'Conciliacion de compuestos'!$L$2:$L$48,A785))&gt;0,"conciliado en compuesto confirmado","disponible")</f>
        <v/>
      </c>
    </row>
    <row r="786">
      <c r="A786" s="11" t="n">
        <v>793</v>
      </c>
      <c r="B786" s="12" t="n">
        <v>46006</v>
      </c>
      <c r="C786" s="11" t="inlineStr">
        <is>
          <t>consignacion credibanco d e</t>
        </is>
      </c>
      <c r="D786" s="13" t="n">
        <v>45300</v>
      </c>
      <c r="E786" s="11">
        <f>IF(SUM(COUNTIFS('Conciliacion de compuestos'!$D$2:$D$48,"conciliado",'Conciliacion de compuestos'!$E$2:$E$48,"OK",'Conciliacion de compuestos'!$J$2:$J$48,A786),COUNTIFS('Conciliacion de compuestos'!$D$2:$D$48,"conciliado",'Conciliacion de compuestos'!$E$2:$E$48,"OK",'Conciliacion de compuestos'!$K$2:$K$48,A786),COUNTIFS('Conciliacion de compuestos'!$D$2:$D$48,"conciliado",'Conciliacion de compuestos'!$E$2:$E$48,"OK",'Conciliacion de compuestos'!$L$2:$L$48,A786))&gt;0,"conciliado en compuesto confirmado","disponible")</f>
        <v/>
      </c>
    </row>
    <row r="787">
      <c r="A787" s="11" t="n">
        <v>794</v>
      </c>
      <c r="B787" s="12" t="n">
        <v>46006</v>
      </c>
      <c r="C787" s="11" t="inlineStr">
        <is>
          <t>cobro comision depositos electronicos</t>
        </is>
      </c>
      <c r="D787" s="13" t="n">
        <v>-933</v>
      </c>
      <c r="E787" s="11">
        <f>IF(SUM(COUNTIFS('Conciliacion de compuestos'!$D$2:$D$48,"conciliado",'Conciliacion de compuestos'!$E$2:$E$48,"OK",'Conciliacion de compuestos'!$J$2:$J$48,A787),COUNTIFS('Conciliacion de compuestos'!$D$2:$D$48,"conciliado",'Conciliacion de compuestos'!$E$2:$E$48,"OK",'Conciliacion de compuestos'!$K$2:$K$48,A787),COUNTIFS('Conciliacion de compuestos'!$D$2:$D$48,"conciliado",'Conciliacion de compuestos'!$E$2:$E$48,"OK",'Conciliacion de compuestos'!$L$2:$L$48,A787))&gt;0,"conciliado en compuesto confirmado","disponible")</f>
        <v/>
      </c>
    </row>
    <row r="788">
      <c r="A788" s="11" t="n">
        <v>795</v>
      </c>
      <c r="B788" s="12" t="n">
        <v>46006</v>
      </c>
      <c r="C788" s="11" t="inlineStr">
        <is>
          <t>a financiero gravamen movimiento</t>
        </is>
      </c>
      <c r="D788" s="13" t="n">
        <v>-4</v>
      </c>
      <c r="E788" s="11">
        <f>IF(SUM(COUNTIFS('Conciliacion de compuestos'!$D$2:$D$48,"conciliado",'Conciliacion de compuestos'!$E$2:$E$48,"OK",'Conciliacion de compuestos'!$J$2:$J$48,A788),COUNTIFS('Conciliacion de compuestos'!$D$2:$D$48,"conciliado",'Conciliacion de compuestos'!$E$2:$E$48,"OK",'Conciliacion de compuestos'!$K$2:$K$48,A788),COUNTIFS('Conciliacion de compuestos'!$D$2:$D$48,"conciliado",'Conciliacion de compuestos'!$E$2:$E$48,"OK",'Conciliacion de compuestos'!$L$2:$L$48,A788))&gt;0,"conciliado en compuesto confirmado","disponible")</f>
        <v/>
      </c>
    </row>
    <row r="789">
      <c r="A789" s="11" t="n">
        <v>796</v>
      </c>
      <c r="B789" s="12" t="n">
        <v>46006</v>
      </c>
      <c r="C789" s="11" t="inlineStr">
        <is>
          <t>credibanco d e retefuente voucher y</t>
        </is>
      </c>
      <c r="D789" s="13" t="n">
        <v>-680</v>
      </c>
      <c r="E789" s="11">
        <f>IF(SUM(COUNTIFS('Conciliacion de compuestos'!$D$2:$D$48,"conciliado",'Conciliacion de compuestos'!$E$2:$E$48,"OK",'Conciliacion de compuestos'!$J$2:$J$48,A789),COUNTIFS('Conciliacion de compuestos'!$D$2:$D$48,"conciliado",'Conciliacion de compuestos'!$E$2:$E$48,"OK",'Conciliacion de compuestos'!$K$2:$K$48,A789),COUNTIFS('Conciliacion de compuestos'!$D$2:$D$48,"conciliado",'Conciliacion de compuestos'!$E$2:$E$48,"OK",'Conciliacion de compuestos'!$L$2:$L$48,A789))&gt;0,"conciliado en compuesto confirmado","disponible")</f>
        <v/>
      </c>
    </row>
    <row r="790">
      <c r="A790" s="11" t="n">
        <v>797</v>
      </c>
      <c r="B790" s="12" t="n">
        <v>46006</v>
      </c>
      <c r="C790" s="11" t="inlineStr">
        <is>
          <t>a financiero gravamen movimiento</t>
        </is>
      </c>
      <c r="D790" s="13" t="n">
        <v>-3</v>
      </c>
      <c r="E790" s="11">
        <f>IF(SUM(COUNTIFS('Conciliacion de compuestos'!$D$2:$D$48,"conciliado",'Conciliacion de compuestos'!$E$2:$E$48,"OK",'Conciliacion de compuestos'!$J$2:$J$48,A790),COUNTIFS('Conciliacion de compuestos'!$D$2:$D$48,"conciliado",'Conciliacion de compuestos'!$E$2:$E$48,"OK",'Conciliacion de compuestos'!$K$2:$K$48,A790),COUNTIFS('Conciliacion de compuestos'!$D$2:$D$48,"conciliado",'Conciliacion de compuestos'!$E$2:$E$48,"OK",'Conciliacion de compuestos'!$L$2:$L$48,A790))&gt;0,"conciliado en compuesto confirmado","disponible")</f>
        <v/>
      </c>
    </row>
    <row r="791">
      <c r="A791" s="11" t="n">
        <v>798</v>
      </c>
      <c r="B791" s="12" t="n">
        <v>46006</v>
      </c>
      <c r="C791" s="11" t="inlineStr">
        <is>
          <t>depositos electronicos masterca transaccion</t>
        </is>
      </c>
      <c r="D791" s="13" t="n">
        <v>30600</v>
      </c>
      <c r="E791" s="11">
        <f>IF(SUM(COUNTIFS('Conciliacion de compuestos'!$D$2:$D$48,"conciliado",'Conciliacion de compuestos'!$E$2:$E$48,"OK",'Conciliacion de compuestos'!$J$2:$J$48,A791),COUNTIFS('Conciliacion de compuestos'!$D$2:$D$48,"conciliado",'Conciliacion de compuestos'!$E$2:$E$48,"OK",'Conciliacion de compuestos'!$K$2:$K$48,A791),COUNTIFS('Conciliacion de compuestos'!$D$2:$D$48,"conciliado",'Conciliacion de compuestos'!$E$2:$E$48,"OK",'Conciliacion de compuestos'!$L$2:$L$48,A791))&gt;0,"conciliado en compuesto confirmado","disponible")</f>
        <v/>
      </c>
    </row>
    <row r="792">
      <c r="A792" s="11" t="n">
        <v>799</v>
      </c>
      <c r="B792" s="12" t="n">
        <v>46006</v>
      </c>
      <c r="C792" s="11" t="inlineStr">
        <is>
          <t>comision depositos electronicos mastercard</t>
        </is>
      </c>
      <c r="D792" s="13" t="n">
        <v>-581</v>
      </c>
      <c r="E792" s="11">
        <f>IF(SUM(COUNTIFS('Conciliacion de compuestos'!$D$2:$D$48,"conciliado",'Conciliacion de compuestos'!$E$2:$E$48,"OK",'Conciliacion de compuestos'!$J$2:$J$48,A792),COUNTIFS('Conciliacion de compuestos'!$D$2:$D$48,"conciliado",'Conciliacion de compuestos'!$E$2:$E$48,"OK",'Conciliacion de compuestos'!$K$2:$K$48,A792),COUNTIFS('Conciliacion de compuestos'!$D$2:$D$48,"conciliado",'Conciliacion de compuestos'!$E$2:$E$48,"OK",'Conciliacion de compuestos'!$L$2:$L$48,A792))&gt;0,"conciliado en compuesto confirmado","disponible")</f>
        <v/>
      </c>
    </row>
    <row r="793">
      <c r="A793" s="11" t="n">
        <v>800</v>
      </c>
      <c r="B793" s="12" t="n">
        <v>46006</v>
      </c>
      <c r="C793" s="11" t="inlineStr">
        <is>
          <t>a financiero gravamen movimiento</t>
        </is>
      </c>
      <c r="D793" s="13" t="n">
        <v>-2</v>
      </c>
      <c r="E793" s="11">
        <f>IF(SUM(COUNTIFS('Conciliacion de compuestos'!$D$2:$D$48,"conciliado",'Conciliacion de compuestos'!$E$2:$E$48,"OK",'Conciliacion de compuestos'!$J$2:$J$48,A793),COUNTIFS('Conciliacion de compuestos'!$D$2:$D$48,"conciliado",'Conciliacion de compuestos'!$E$2:$E$48,"OK",'Conciliacion de compuestos'!$K$2:$K$48,A793),COUNTIFS('Conciliacion de compuestos'!$D$2:$D$48,"conciliado",'Conciliacion de compuestos'!$E$2:$E$48,"OK",'Conciliacion de compuestos'!$L$2:$L$48,A793))&gt;0,"conciliado en compuesto confirmado","disponible")</f>
        <v/>
      </c>
    </row>
    <row r="794">
      <c r="A794" s="11" t="n">
        <v>801</v>
      </c>
      <c r="B794" s="12" t="n">
        <v>46006</v>
      </c>
      <c r="C794" s="11" t="inlineStr">
        <is>
          <t>depositos electronicos mastercar retefuente</t>
        </is>
      </c>
      <c r="D794" s="13" t="n">
        <v>-459</v>
      </c>
      <c r="E794" s="11">
        <f>IF(SUM(COUNTIFS('Conciliacion de compuestos'!$D$2:$D$48,"conciliado",'Conciliacion de compuestos'!$E$2:$E$48,"OK",'Conciliacion de compuestos'!$J$2:$J$48,A794),COUNTIFS('Conciliacion de compuestos'!$D$2:$D$48,"conciliado",'Conciliacion de compuestos'!$E$2:$E$48,"OK",'Conciliacion de compuestos'!$K$2:$K$48,A794),COUNTIFS('Conciliacion de compuestos'!$D$2:$D$48,"conciliado",'Conciliacion de compuestos'!$E$2:$E$48,"OK",'Conciliacion de compuestos'!$L$2:$L$48,A794))&gt;0,"conciliado en compuesto confirmado","disponible")</f>
        <v/>
      </c>
    </row>
    <row r="795">
      <c r="A795" s="11" t="n">
        <v>802</v>
      </c>
      <c r="B795" s="12" t="n">
        <v>46006</v>
      </c>
      <c r="C795" s="11" t="inlineStr">
        <is>
          <t>a financiero gravamen movimiento</t>
        </is>
      </c>
      <c r="D795" s="13" t="n">
        <v>-2</v>
      </c>
      <c r="E795" s="11">
        <f>IF(SUM(COUNTIFS('Conciliacion de compuestos'!$D$2:$D$48,"conciliado",'Conciliacion de compuestos'!$E$2:$E$48,"OK",'Conciliacion de compuestos'!$J$2:$J$48,A795),COUNTIFS('Conciliacion de compuestos'!$D$2:$D$48,"conciliado",'Conciliacion de compuestos'!$E$2:$E$48,"OK",'Conciliacion de compuestos'!$K$2:$K$48,A795),COUNTIFS('Conciliacion de compuestos'!$D$2:$D$48,"conciliado",'Conciliacion de compuestos'!$E$2:$E$48,"OK",'Conciliacion de compuestos'!$L$2:$L$48,A795))&gt;0,"conciliado en compuesto confirmado","disponible")</f>
        <v/>
      </c>
    </row>
    <row r="796">
      <c r="A796" s="11" t="n">
        <v>803</v>
      </c>
      <c r="B796" s="12" t="n">
        <v>46006</v>
      </c>
      <c r="C796" s="11" t="inlineStr">
        <is>
          <t>depositos electronicos masterca transaccion</t>
        </is>
      </c>
      <c r="D796" s="13" t="n">
        <v>114000</v>
      </c>
      <c r="E796" s="11">
        <f>IF(SUM(COUNTIFS('Conciliacion de compuestos'!$D$2:$D$48,"conciliado",'Conciliacion de compuestos'!$E$2:$E$48,"OK",'Conciliacion de compuestos'!$J$2:$J$48,A796),COUNTIFS('Conciliacion de compuestos'!$D$2:$D$48,"conciliado",'Conciliacion de compuestos'!$E$2:$E$48,"OK",'Conciliacion de compuestos'!$K$2:$K$48,A796),COUNTIFS('Conciliacion de compuestos'!$D$2:$D$48,"conciliado",'Conciliacion de compuestos'!$E$2:$E$48,"OK",'Conciliacion de compuestos'!$L$2:$L$48,A796))&gt;0,"conciliado en compuesto confirmado","disponible")</f>
        <v/>
      </c>
    </row>
    <row r="797">
      <c r="A797" s="11" t="n">
        <v>804</v>
      </c>
      <c r="B797" s="12" t="n">
        <v>46006</v>
      </c>
      <c r="C797" s="11" t="inlineStr">
        <is>
          <t>comision depositos electronicos mastercard</t>
        </is>
      </c>
      <c r="D797" s="13" t="n">
        <v>-2166</v>
      </c>
      <c r="E797" s="11">
        <f>IF(SUM(COUNTIFS('Conciliacion de compuestos'!$D$2:$D$48,"conciliado",'Conciliacion de compuestos'!$E$2:$E$48,"OK",'Conciliacion de compuestos'!$J$2:$J$48,A797),COUNTIFS('Conciliacion de compuestos'!$D$2:$D$48,"conciliado",'Conciliacion de compuestos'!$E$2:$E$48,"OK",'Conciliacion de compuestos'!$K$2:$K$48,A797),COUNTIFS('Conciliacion de compuestos'!$D$2:$D$48,"conciliado",'Conciliacion de compuestos'!$E$2:$E$48,"OK",'Conciliacion de compuestos'!$L$2:$L$48,A797))&gt;0,"conciliado en compuesto confirmado","disponible")</f>
        <v/>
      </c>
    </row>
    <row r="798">
      <c r="A798" s="11" t="n">
        <v>805</v>
      </c>
      <c r="B798" s="12" t="n">
        <v>46006</v>
      </c>
      <c r="C798" s="11" t="inlineStr">
        <is>
          <t>a financiero gravamen movimiento</t>
        </is>
      </c>
      <c r="D798" s="13" t="n">
        <v>-9</v>
      </c>
      <c r="E798" s="11">
        <f>IF(SUM(COUNTIFS('Conciliacion de compuestos'!$D$2:$D$48,"conciliado",'Conciliacion de compuestos'!$E$2:$E$48,"OK",'Conciliacion de compuestos'!$J$2:$J$48,A798),COUNTIFS('Conciliacion de compuestos'!$D$2:$D$48,"conciliado",'Conciliacion de compuestos'!$E$2:$E$48,"OK",'Conciliacion de compuestos'!$K$2:$K$48,A798),COUNTIFS('Conciliacion de compuestos'!$D$2:$D$48,"conciliado",'Conciliacion de compuestos'!$E$2:$E$48,"OK",'Conciliacion de compuestos'!$L$2:$L$48,A798))&gt;0,"conciliado en compuesto confirmado","disponible")</f>
        <v/>
      </c>
    </row>
    <row r="799">
      <c r="A799" s="11" t="n">
        <v>806</v>
      </c>
      <c r="B799" s="12" t="n">
        <v>46006</v>
      </c>
      <c r="C799" s="11" t="inlineStr">
        <is>
          <t>depositos electronicos mastercar retefuente</t>
        </is>
      </c>
      <c r="D799" s="13" t="n">
        <v>-1710</v>
      </c>
      <c r="E799" s="11">
        <f>IF(SUM(COUNTIFS('Conciliacion de compuestos'!$D$2:$D$48,"conciliado",'Conciliacion de compuestos'!$E$2:$E$48,"OK",'Conciliacion de compuestos'!$J$2:$J$48,A799),COUNTIFS('Conciliacion de compuestos'!$D$2:$D$48,"conciliado",'Conciliacion de compuestos'!$E$2:$E$48,"OK",'Conciliacion de compuestos'!$K$2:$K$48,A799),COUNTIFS('Conciliacion de compuestos'!$D$2:$D$48,"conciliado",'Conciliacion de compuestos'!$E$2:$E$48,"OK",'Conciliacion de compuestos'!$L$2:$L$48,A799))&gt;0,"conciliado en compuesto confirmado","disponible")</f>
        <v/>
      </c>
    </row>
    <row r="800">
      <c r="A800" s="11" t="n">
        <v>807</v>
      </c>
      <c r="B800" s="12" t="n">
        <v>46006</v>
      </c>
      <c r="C800" s="11" t="inlineStr">
        <is>
          <t>a financiero gravamen movimiento</t>
        </is>
      </c>
      <c r="D800" s="13" t="n">
        <v>-7</v>
      </c>
      <c r="E800" s="11">
        <f>IF(SUM(COUNTIFS('Conciliacion de compuestos'!$D$2:$D$48,"conciliado",'Conciliacion de compuestos'!$E$2:$E$48,"OK",'Conciliacion de compuestos'!$J$2:$J$48,A800),COUNTIFS('Conciliacion de compuestos'!$D$2:$D$48,"conciliado",'Conciliacion de compuestos'!$E$2:$E$48,"OK",'Conciliacion de compuestos'!$K$2:$K$48,A800),COUNTIFS('Conciliacion de compuestos'!$D$2:$D$48,"conciliado",'Conciliacion de compuestos'!$E$2:$E$48,"OK",'Conciliacion de compuestos'!$L$2:$L$48,A800))&gt;0,"conciliado en compuesto confirmado","disponible")</f>
        <v/>
      </c>
    </row>
    <row r="801">
      <c r="A801" s="11" t="n">
        <v>808</v>
      </c>
      <c r="B801" s="12" t="n">
        <v>46006</v>
      </c>
      <c r="C801" s="11" t="inlineStr">
        <is>
          <t>depositos electronicos masterca transaccion</t>
        </is>
      </c>
      <c r="D801" s="13" t="n">
        <v>70500</v>
      </c>
      <c r="E801" s="11">
        <f>IF(SUM(COUNTIFS('Conciliacion de compuestos'!$D$2:$D$48,"conciliado",'Conciliacion de compuestos'!$E$2:$E$48,"OK",'Conciliacion de compuestos'!$J$2:$J$48,A801),COUNTIFS('Conciliacion de compuestos'!$D$2:$D$48,"conciliado",'Conciliacion de compuestos'!$E$2:$E$48,"OK",'Conciliacion de compuestos'!$K$2:$K$48,A801),COUNTIFS('Conciliacion de compuestos'!$D$2:$D$48,"conciliado",'Conciliacion de compuestos'!$E$2:$E$48,"OK",'Conciliacion de compuestos'!$L$2:$L$48,A801))&gt;0,"conciliado en compuesto confirmado","disponible")</f>
        <v/>
      </c>
    </row>
    <row r="802">
      <c r="A802" s="11" t="n">
        <v>809</v>
      </c>
      <c r="B802" s="12" t="n">
        <v>46006</v>
      </c>
      <c r="C802" s="11" t="inlineStr">
        <is>
          <t>comision depositos electronicos mastercard</t>
        </is>
      </c>
      <c r="D802" s="13" t="n">
        <v>-1657</v>
      </c>
      <c r="E802" s="11">
        <f>IF(SUM(COUNTIFS('Conciliacion de compuestos'!$D$2:$D$48,"conciliado",'Conciliacion de compuestos'!$E$2:$E$48,"OK",'Conciliacion de compuestos'!$J$2:$J$48,A802),COUNTIFS('Conciliacion de compuestos'!$D$2:$D$48,"conciliado",'Conciliacion de compuestos'!$E$2:$E$48,"OK",'Conciliacion de compuestos'!$K$2:$K$48,A802),COUNTIFS('Conciliacion de compuestos'!$D$2:$D$48,"conciliado",'Conciliacion de compuestos'!$E$2:$E$48,"OK",'Conciliacion de compuestos'!$L$2:$L$48,A802))&gt;0,"conciliado en compuesto confirmado","disponible")</f>
        <v/>
      </c>
    </row>
    <row r="803">
      <c r="A803" s="11" t="n">
        <v>810</v>
      </c>
      <c r="B803" s="12" t="n">
        <v>46006</v>
      </c>
      <c r="C803" s="11" t="inlineStr">
        <is>
          <t>a financiero gravamen movimiento</t>
        </is>
      </c>
      <c r="D803" s="13" t="n">
        <v>-7</v>
      </c>
      <c r="E803" s="11">
        <f>IF(SUM(COUNTIFS('Conciliacion de compuestos'!$D$2:$D$48,"conciliado",'Conciliacion de compuestos'!$E$2:$E$48,"OK",'Conciliacion de compuestos'!$J$2:$J$48,A803),COUNTIFS('Conciliacion de compuestos'!$D$2:$D$48,"conciliado",'Conciliacion de compuestos'!$E$2:$E$48,"OK",'Conciliacion de compuestos'!$K$2:$K$48,A803),COUNTIFS('Conciliacion de compuestos'!$D$2:$D$48,"conciliado",'Conciliacion de compuestos'!$E$2:$E$48,"OK",'Conciliacion de compuestos'!$L$2:$L$48,A803))&gt;0,"conciliado en compuesto confirmado","disponible")</f>
        <v/>
      </c>
    </row>
    <row r="804">
      <c r="A804" s="11" t="n">
        <v>811</v>
      </c>
      <c r="B804" s="12" t="n">
        <v>46006</v>
      </c>
      <c r="C804" s="11" t="inlineStr">
        <is>
          <t>depositos electronicos mastercar retefuente</t>
        </is>
      </c>
      <c r="D804" s="13" t="n">
        <v>-1058</v>
      </c>
      <c r="E804" s="11">
        <f>IF(SUM(COUNTIFS('Conciliacion de compuestos'!$D$2:$D$48,"conciliado",'Conciliacion de compuestos'!$E$2:$E$48,"OK",'Conciliacion de compuestos'!$J$2:$J$48,A804),COUNTIFS('Conciliacion de compuestos'!$D$2:$D$48,"conciliado",'Conciliacion de compuestos'!$E$2:$E$48,"OK",'Conciliacion de compuestos'!$K$2:$K$48,A804),COUNTIFS('Conciliacion de compuestos'!$D$2:$D$48,"conciliado",'Conciliacion de compuestos'!$E$2:$E$48,"OK",'Conciliacion de compuestos'!$L$2:$L$48,A804))&gt;0,"conciliado en compuesto confirmado","disponible")</f>
        <v/>
      </c>
    </row>
    <row r="805">
      <c r="A805" s="11" t="n">
        <v>812</v>
      </c>
      <c r="B805" s="12" t="n">
        <v>46006</v>
      </c>
      <c r="C805" s="11" t="inlineStr">
        <is>
          <t>a financiero gravamen movimiento</t>
        </is>
      </c>
      <c r="D805" s="13" t="n">
        <v>-4</v>
      </c>
      <c r="E805" s="11">
        <f>IF(SUM(COUNTIFS('Conciliacion de compuestos'!$D$2:$D$48,"conciliado",'Conciliacion de compuestos'!$E$2:$E$48,"OK",'Conciliacion de compuestos'!$J$2:$J$48,A805),COUNTIFS('Conciliacion de compuestos'!$D$2:$D$48,"conciliado",'Conciliacion de compuestos'!$E$2:$E$48,"OK",'Conciliacion de compuestos'!$K$2:$K$48,A805),COUNTIFS('Conciliacion de compuestos'!$D$2:$D$48,"conciliado",'Conciliacion de compuestos'!$E$2:$E$48,"OK",'Conciliacion de compuestos'!$L$2:$L$48,A805))&gt;0,"conciliado en compuesto confirmado","disponible")</f>
        <v/>
      </c>
    </row>
    <row r="806">
      <c r="A806" s="11" t="n">
        <v>813</v>
      </c>
      <c r="B806" s="12" t="n">
        <v>46006</v>
      </c>
      <c r="C806" s="11" t="inlineStr">
        <is>
          <t>depositos electronicos masterca transaccion</t>
        </is>
      </c>
      <c r="D806" s="13" t="n">
        <v>40700</v>
      </c>
      <c r="E806" s="11">
        <f>IF(SUM(COUNTIFS('Conciliacion de compuestos'!$D$2:$D$48,"conciliado",'Conciliacion de compuestos'!$E$2:$E$48,"OK",'Conciliacion de compuestos'!$J$2:$J$48,A806),COUNTIFS('Conciliacion de compuestos'!$D$2:$D$48,"conciliado",'Conciliacion de compuestos'!$E$2:$E$48,"OK",'Conciliacion de compuestos'!$K$2:$K$48,A806),COUNTIFS('Conciliacion de compuestos'!$D$2:$D$48,"conciliado",'Conciliacion de compuestos'!$E$2:$E$48,"OK",'Conciliacion de compuestos'!$L$2:$L$48,A806))&gt;0,"conciliado en compuesto confirmado","disponible")</f>
        <v/>
      </c>
    </row>
    <row r="807">
      <c r="A807" s="11" t="n">
        <v>814</v>
      </c>
      <c r="B807" s="12" t="n">
        <v>46006</v>
      </c>
      <c r="C807" s="11" t="inlineStr">
        <is>
          <t>comision depositos electronicos mastercard</t>
        </is>
      </c>
      <c r="D807" s="13" t="n">
        <v>-773</v>
      </c>
      <c r="E807" s="11">
        <f>IF(SUM(COUNTIFS('Conciliacion de compuestos'!$D$2:$D$48,"conciliado",'Conciliacion de compuestos'!$E$2:$E$48,"OK",'Conciliacion de compuestos'!$J$2:$J$48,A807),COUNTIFS('Conciliacion de compuestos'!$D$2:$D$48,"conciliado",'Conciliacion de compuestos'!$E$2:$E$48,"OK",'Conciliacion de compuestos'!$K$2:$K$48,A807),COUNTIFS('Conciliacion de compuestos'!$D$2:$D$48,"conciliado",'Conciliacion de compuestos'!$E$2:$E$48,"OK",'Conciliacion de compuestos'!$L$2:$L$48,A807))&gt;0,"conciliado en compuesto confirmado","disponible")</f>
        <v/>
      </c>
    </row>
    <row r="808">
      <c r="A808" s="11" t="n">
        <v>815</v>
      </c>
      <c r="B808" s="12" t="n">
        <v>46006</v>
      </c>
      <c r="C808" s="11" t="inlineStr">
        <is>
          <t>a financiero gravamen movimiento</t>
        </is>
      </c>
      <c r="D808" s="13" t="n">
        <v>-3</v>
      </c>
      <c r="E808" s="11">
        <f>IF(SUM(COUNTIFS('Conciliacion de compuestos'!$D$2:$D$48,"conciliado",'Conciliacion de compuestos'!$E$2:$E$48,"OK",'Conciliacion de compuestos'!$J$2:$J$48,A808),COUNTIFS('Conciliacion de compuestos'!$D$2:$D$48,"conciliado",'Conciliacion de compuestos'!$E$2:$E$48,"OK",'Conciliacion de compuestos'!$K$2:$K$48,A808),COUNTIFS('Conciliacion de compuestos'!$D$2:$D$48,"conciliado",'Conciliacion de compuestos'!$E$2:$E$48,"OK",'Conciliacion de compuestos'!$L$2:$L$48,A808))&gt;0,"conciliado en compuesto confirmado","disponible")</f>
        <v/>
      </c>
    </row>
    <row r="809">
      <c r="A809" s="11" t="n">
        <v>816</v>
      </c>
      <c r="B809" s="12" t="n">
        <v>46006</v>
      </c>
      <c r="C809" s="11" t="inlineStr">
        <is>
          <t>depositos electronicos mastercar retefuente</t>
        </is>
      </c>
      <c r="D809" s="13" t="n">
        <v>-611</v>
      </c>
      <c r="E809" s="11">
        <f>IF(SUM(COUNTIFS('Conciliacion de compuestos'!$D$2:$D$48,"conciliado",'Conciliacion de compuestos'!$E$2:$E$48,"OK",'Conciliacion de compuestos'!$J$2:$J$48,A809),COUNTIFS('Conciliacion de compuestos'!$D$2:$D$48,"conciliado",'Conciliacion de compuestos'!$E$2:$E$48,"OK",'Conciliacion de compuestos'!$K$2:$K$48,A809),COUNTIFS('Conciliacion de compuestos'!$D$2:$D$48,"conciliado",'Conciliacion de compuestos'!$E$2:$E$48,"OK",'Conciliacion de compuestos'!$L$2:$L$48,A809))&gt;0,"conciliado en compuesto confirmado","disponible")</f>
        <v/>
      </c>
    </row>
    <row r="810">
      <c r="A810" s="11" t="n">
        <v>817</v>
      </c>
      <c r="B810" s="12" t="n">
        <v>46006</v>
      </c>
      <c r="C810" s="11" t="inlineStr">
        <is>
          <t>a financiero gravamen movimiento</t>
        </is>
      </c>
      <c r="D810" s="13" t="n">
        <v>-2</v>
      </c>
      <c r="E810" s="11">
        <f>IF(SUM(COUNTIFS('Conciliacion de compuestos'!$D$2:$D$48,"conciliado",'Conciliacion de compuestos'!$E$2:$E$48,"OK",'Conciliacion de compuestos'!$J$2:$J$48,A810),COUNTIFS('Conciliacion de compuestos'!$D$2:$D$48,"conciliado",'Conciliacion de compuestos'!$E$2:$E$48,"OK",'Conciliacion de compuestos'!$K$2:$K$48,A810),COUNTIFS('Conciliacion de compuestos'!$D$2:$D$48,"conciliado",'Conciliacion de compuestos'!$E$2:$E$48,"OK",'Conciliacion de compuestos'!$L$2:$L$48,A810))&gt;0,"conciliado en compuesto confirmado","disponible")</f>
        <v/>
      </c>
    </row>
    <row r="811">
      <c r="A811" s="11" t="n">
        <v>818</v>
      </c>
      <c r="B811" s="12" t="n">
        <v>46006</v>
      </c>
      <c r="C811" s="11" t="inlineStr">
        <is>
          <t>depositos electronicos masterca transaccion</t>
        </is>
      </c>
      <c r="D811" s="13" t="n">
        <v>46700</v>
      </c>
      <c r="E811" s="11">
        <f>IF(SUM(COUNTIFS('Conciliacion de compuestos'!$D$2:$D$48,"conciliado",'Conciliacion de compuestos'!$E$2:$E$48,"OK",'Conciliacion de compuestos'!$J$2:$J$48,A811),COUNTIFS('Conciliacion de compuestos'!$D$2:$D$48,"conciliado",'Conciliacion de compuestos'!$E$2:$E$48,"OK",'Conciliacion de compuestos'!$K$2:$K$48,A811),COUNTIFS('Conciliacion de compuestos'!$D$2:$D$48,"conciliado",'Conciliacion de compuestos'!$E$2:$E$48,"OK",'Conciliacion de compuestos'!$L$2:$L$48,A811))&gt;0,"conciliado en compuesto confirmado","disponible")</f>
        <v/>
      </c>
    </row>
    <row r="812">
      <c r="A812" s="11" t="n">
        <v>819</v>
      </c>
      <c r="B812" s="12" t="n">
        <v>46006</v>
      </c>
      <c r="C812" s="11" t="inlineStr">
        <is>
          <t>comision depositos electronicos mastercard</t>
        </is>
      </c>
      <c r="D812" s="13" t="n">
        <v>-887</v>
      </c>
      <c r="E812" s="11">
        <f>IF(SUM(COUNTIFS('Conciliacion de compuestos'!$D$2:$D$48,"conciliado",'Conciliacion de compuestos'!$E$2:$E$48,"OK",'Conciliacion de compuestos'!$J$2:$J$48,A812),COUNTIFS('Conciliacion de compuestos'!$D$2:$D$48,"conciliado",'Conciliacion de compuestos'!$E$2:$E$48,"OK",'Conciliacion de compuestos'!$K$2:$K$48,A812),COUNTIFS('Conciliacion de compuestos'!$D$2:$D$48,"conciliado",'Conciliacion de compuestos'!$E$2:$E$48,"OK",'Conciliacion de compuestos'!$L$2:$L$48,A812))&gt;0,"conciliado en compuesto confirmado","disponible")</f>
        <v/>
      </c>
    </row>
    <row r="813">
      <c r="A813" s="11" t="n">
        <v>820</v>
      </c>
      <c r="B813" s="12" t="n">
        <v>46006</v>
      </c>
      <c r="C813" s="11" t="inlineStr">
        <is>
          <t>a financiero gravamen movimiento</t>
        </is>
      </c>
      <c r="D813" s="13" t="n">
        <v>-4</v>
      </c>
      <c r="E813" s="11">
        <f>IF(SUM(COUNTIFS('Conciliacion de compuestos'!$D$2:$D$48,"conciliado",'Conciliacion de compuestos'!$E$2:$E$48,"OK",'Conciliacion de compuestos'!$J$2:$J$48,A813),COUNTIFS('Conciliacion de compuestos'!$D$2:$D$48,"conciliado",'Conciliacion de compuestos'!$E$2:$E$48,"OK",'Conciliacion de compuestos'!$K$2:$K$48,A813),COUNTIFS('Conciliacion de compuestos'!$D$2:$D$48,"conciliado",'Conciliacion de compuestos'!$E$2:$E$48,"OK",'Conciliacion de compuestos'!$L$2:$L$48,A813))&gt;0,"conciliado en compuesto confirmado","disponible")</f>
        <v/>
      </c>
    </row>
    <row r="814">
      <c r="A814" s="11" t="n">
        <v>821</v>
      </c>
      <c r="B814" s="12" t="n">
        <v>46006</v>
      </c>
      <c r="C814" s="11" t="inlineStr">
        <is>
          <t>depositos electronicos mastercar retefuente</t>
        </is>
      </c>
      <c r="D814" s="13" t="n">
        <v>-701</v>
      </c>
      <c r="E814" s="11">
        <f>IF(SUM(COUNTIFS('Conciliacion de compuestos'!$D$2:$D$48,"conciliado",'Conciliacion de compuestos'!$E$2:$E$48,"OK",'Conciliacion de compuestos'!$J$2:$J$48,A814),COUNTIFS('Conciliacion de compuestos'!$D$2:$D$48,"conciliado",'Conciliacion de compuestos'!$E$2:$E$48,"OK",'Conciliacion de compuestos'!$K$2:$K$48,A814),COUNTIFS('Conciliacion de compuestos'!$D$2:$D$48,"conciliado",'Conciliacion de compuestos'!$E$2:$E$48,"OK",'Conciliacion de compuestos'!$L$2:$L$48,A814))&gt;0,"conciliado en compuesto confirmado","disponible")</f>
        <v/>
      </c>
    </row>
    <row r="815">
      <c r="A815" s="11" t="n">
        <v>822</v>
      </c>
      <c r="B815" s="12" t="n">
        <v>46006</v>
      </c>
      <c r="C815" s="11" t="inlineStr">
        <is>
          <t>a financiero gravamen movimiento</t>
        </is>
      </c>
      <c r="D815" s="13" t="n">
        <v>-3</v>
      </c>
      <c r="E815" s="11">
        <f>IF(SUM(COUNTIFS('Conciliacion de compuestos'!$D$2:$D$48,"conciliado",'Conciliacion de compuestos'!$E$2:$E$48,"OK",'Conciliacion de compuestos'!$J$2:$J$48,A815),COUNTIFS('Conciliacion de compuestos'!$D$2:$D$48,"conciliado",'Conciliacion de compuestos'!$E$2:$E$48,"OK",'Conciliacion de compuestos'!$K$2:$K$48,A815),COUNTIFS('Conciliacion de compuestos'!$D$2:$D$48,"conciliado",'Conciliacion de compuestos'!$E$2:$E$48,"OK",'Conciliacion de compuestos'!$L$2:$L$48,A815))&gt;0,"conciliado en compuesto confirmado","disponible")</f>
        <v/>
      </c>
    </row>
    <row r="816">
      <c r="A816" s="11" t="n">
        <v>823</v>
      </c>
      <c r="B816" s="12" t="n">
        <v>46006</v>
      </c>
      <c r="C816" s="11" t="inlineStr">
        <is>
          <t>depositos electronicos masterca transaccion</t>
        </is>
      </c>
      <c r="D816" s="13" t="n">
        <v>39200</v>
      </c>
      <c r="E816" s="11">
        <f>IF(SUM(COUNTIFS('Conciliacion de compuestos'!$D$2:$D$48,"conciliado",'Conciliacion de compuestos'!$E$2:$E$48,"OK",'Conciliacion de compuestos'!$J$2:$J$48,A816),COUNTIFS('Conciliacion de compuestos'!$D$2:$D$48,"conciliado",'Conciliacion de compuestos'!$E$2:$E$48,"OK",'Conciliacion de compuestos'!$K$2:$K$48,A816),COUNTIFS('Conciliacion de compuestos'!$D$2:$D$48,"conciliado",'Conciliacion de compuestos'!$E$2:$E$48,"OK",'Conciliacion de compuestos'!$L$2:$L$48,A816))&gt;0,"conciliado en compuesto confirmado","disponible")</f>
        <v/>
      </c>
    </row>
    <row r="817">
      <c r="A817" s="11" t="n">
        <v>824</v>
      </c>
      <c r="B817" s="12" t="n">
        <v>46006</v>
      </c>
      <c r="C817" s="11" t="inlineStr">
        <is>
          <t>comision depositos electronicos mastercard</t>
        </is>
      </c>
      <c r="D817" s="13" t="n">
        <v>-745</v>
      </c>
      <c r="E817" s="11">
        <f>IF(SUM(COUNTIFS('Conciliacion de compuestos'!$D$2:$D$48,"conciliado",'Conciliacion de compuestos'!$E$2:$E$48,"OK",'Conciliacion de compuestos'!$J$2:$J$48,A817),COUNTIFS('Conciliacion de compuestos'!$D$2:$D$48,"conciliado",'Conciliacion de compuestos'!$E$2:$E$48,"OK",'Conciliacion de compuestos'!$K$2:$K$48,A817),COUNTIFS('Conciliacion de compuestos'!$D$2:$D$48,"conciliado",'Conciliacion de compuestos'!$E$2:$E$48,"OK",'Conciliacion de compuestos'!$L$2:$L$48,A817))&gt;0,"conciliado en compuesto confirmado","disponible")</f>
        <v/>
      </c>
    </row>
    <row r="818">
      <c r="A818" s="11" t="n">
        <v>825</v>
      </c>
      <c r="B818" s="12" t="n">
        <v>46006</v>
      </c>
      <c r="C818" s="11" t="inlineStr">
        <is>
          <t>a financiero gravamen movimiento</t>
        </is>
      </c>
      <c r="D818" s="13" t="n">
        <v>-3</v>
      </c>
      <c r="E818" s="11">
        <f>IF(SUM(COUNTIFS('Conciliacion de compuestos'!$D$2:$D$48,"conciliado",'Conciliacion de compuestos'!$E$2:$E$48,"OK",'Conciliacion de compuestos'!$J$2:$J$48,A818),COUNTIFS('Conciliacion de compuestos'!$D$2:$D$48,"conciliado",'Conciliacion de compuestos'!$E$2:$E$48,"OK",'Conciliacion de compuestos'!$K$2:$K$48,A818),COUNTIFS('Conciliacion de compuestos'!$D$2:$D$48,"conciliado",'Conciliacion de compuestos'!$E$2:$E$48,"OK",'Conciliacion de compuestos'!$L$2:$L$48,A818))&gt;0,"conciliado en compuesto confirmado","disponible")</f>
        <v/>
      </c>
    </row>
    <row r="819">
      <c r="A819" s="11" t="n">
        <v>826</v>
      </c>
      <c r="B819" s="12" t="n">
        <v>46006</v>
      </c>
      <c r="C819" s="11" t="inlineStr">
        <is>
          <t>depositos electronicos mastercar retefuente</t>
        </is>
      </c>
      <c r="D819" s="13" t="n">
        <v>-588</v>
      </c>
      <c r="E819" s="11">
        <f>IF(SUM(COUNTIFS('Conciliacion de compuestos'!$D$2:$D$48,"conciliado",'Conciliacion de compuestos'!$E$2:$E$48,"OK",'Conciliacion de compuestos'!$J$2:$J$48,A819),COUNTIFS('Conciliacion de compuestos'!$D$2:$D$48,"conciliado",'Conciliacion de compuestos'!$E$2:$E$48,"OK",'Conciliacion de compuestos'!$K$2:$K$48,A819),COUNTIFS('Conciliacion de compuestos'!$D$2:$D$48,"conciliado",'Conciliacion de compuestos'!$E$2:$E$48,"OK",'Conciliacion de compuestos'!$L$2:$L$48,A819))&gt;0,"conciliado en compuesto confirmado","disponible")</f>
        <v/>
      </c>
    </row>
    <row r="820">
      <c r="A820" s="11" t="n">
        <v>827</v>
      </c>
      <c r="B820" s="12" t="n">
        <v>46006</v>
      </c>
      <c r="C820" s="11" t="inlineStr">
        <is>
          <t>a financiero gravamen movimiento</t>
        </is>
      </c>
      <c r="D820" s="13" t="n">
        <v>-2</v>
      </c>
      <c r="E820" s="11">
        <f>IF(SUM(COUNTIFS('Conciliacion de compuestos'!$D$2:$D$48,"conciliado",'Conciliacion de compuestos'!$E$2:$E$48,"OK",'Conciliacion de compuestos'!$J$2:$J$48,A820),COUNTIFS('Conciliacion de compuestos'!$D$2:$D$48,"conciliado",'Conciliacion de compuestos'!$E$2:$E$48,"OK",'Conciliacion de compuestos'!$K$2:$K$48,A820),COUNTIFS('Conciliacion de compuestos'!$D$2:$D$48,"conciliado",'Conciliacion de compuestos'!$E$2:$E$48,"OK",'Conciliacion de compuestos'!$L$2:$L$48,A820))&gt;0,"conciliado en compuesto confirmado","disponible")</f>
        <v/>
      </c>
    </row>
    <row r="821">
      <c r="A821" s="11" t="n">
        <v>828</v>
      </c>
      <c r="B821" s="12" t="n">
        <v>46006</v>
      </c>
      <c r="C821" s="11" t="inlineStr">
        <is>
          <t>depositos electronicos masterca transaccion</t>
        </is>
      </c>
      <c r="D821" s="13" t="n">
        <v>18000</v>
      </c>
      <c r="E821" s="11">
        <f>IF(SUM(COUNTIFS('Conciliacion de compuestos'!$D$2:$D$48,"conciliado",'Conciliacion de compuestos'!$E$2:$E$48,"OK",'Conciliacion de compuestos'!$J$2:$J$48,A821),COUNTIFS('Conciliacion de compuestos'!$D$2:$D$48,"conciliado",'Conciliacion de compuestos'!$E$2:$E$48,"OK",'Conciliacion de compuestos'!$K$2:$K$48,A821),COUNTIFS('Conciliacion de compuestos'!$D$2:$D$48,"conciliado",'Conciliacion de compuestos'!$E$2:$E$48,"OK",'Conciliacion de compuestos'!$L$2:$L$48,A821))&gt;0,"conciliado en compuesto confirmado","disponible")</f>
        <v/>
      </c>
    </row>
    <row r="822">
      <c r="A822" s="11" t="n">
        <v>829</v>
      </c>
      <c r="B822" s="12" t="n">
        <v>46006</v>
      </c>
      <c r="C822" s="11" t="inlineStr">
        <is>
          <t>comision depositos electronicos mastercard</t>
        </is>
      </c>
      <c r="D822" s="13" t="n">
        <v>-342</v>
      </c>
      <c r="E822" s="11">
        <f>IF(SUM(COUNTIFS('Conciliacion de compuestos'!$D$2:$D$48,"conciliado",'Conciliacion de compuestos'!$E$2:$E$48,"OK",'Conciliacion de compuestos'!$J$2:$J$48,A822),COUNTIFS('Conciliacion de compuestos'!$D$2:$D$48,"conciliado",'Conciliacion de compuestos'!$E$2:$E$48,"OK",'Conciliacion de compuestos'!$K$2:$K$48,A822),COUNTIFS('Conciliacion de compuestos'!$D$2:$D$48,"conciliado",'Conciliacion de compuestos'!$E$2:$E$48,"OK",'Conciliacion de compuestos'!$L$2:$L$48,A822))&gt;0,"conciliado en compuesto confirmado","disponible")</f>
        <v/>
      </c>
    </row>
    <row r="823">
      <c r="A823" s="11" t="n">
        <v>830</v>
      </c>
      <c r="B823" s="12" t="n">
        <v>46006</v>
      </c>
      <c r="C823" s="11" t="inlineStr">
        <is>
          <t>a financiero gravamen movimiento</t>
        </is>
      </c>
      <c r="D823" s="13" t="n">
        <v>-1</v>
      </c>
      <c r="E823" s="11">
        <f>IF(SUM(COUNTIFS('Conciliacion de compuestos'!$D$2:$D$48,"conciliado",'Conciliacion de compuestos'!$E$2:$E$48,"OK",'Conciliacion de compuestos'!$J$2:$J$48,A823),COUNTIFS('Conciliacion de compuestos'!$D$2:$D$48,"conciliado",'Conciliacion de compuestos'!$E$2:$E$48,"OK",'Conciliacion de compuestos'!$K$2:$K$48,A823),COUNTIFS('Conciliacion de compuestos'!$D$2:$D$48,"conciliado",'Conciliacion de compuestos'!$E$2:$E$48,"OK",'Conciliacion de compuestos'!$L$2:$L$48,A823))&gt;0,"conciliado en compuesto confirmado","disponible")</f>
        <v/>
      </c>
    </row>
    <row r="824">
      <c r="A824" s="11" t="n">
        <v>831</v>
      </c>
      <c r="B824" s="12" t="n">
        <v>46006</v>
      </c>
      <c r="C824" s="11" t="inlineStr">
        <is>
          <t>depositos electronicos mastercar retefuente</t>
        </is>
      </c>
      <c r="D824" s="13" t="n">
        <v>-270</v>
      </c>
      <c r="E824" s="11">
        <f>IF(SUM(COUNTIFS('Conciliacion de compuestos'!$D$2:$D$48,"conciliado",'Conciliacion de compuestos'!$E$2:$E$48,"OK",'Conciliacion de compuestos'!$J$2:$J$48,A824),COUNTIFS('Conciliacion de compuestos'!$D$2:$D$48,"conciliado",'Conciliacion de compuestos'!$E$2:$E$48,"OK",'Conciliacion de compuestos'!$K$2:$K$48,A824),COUNTIFS('Conciliacion de compuestos'!$D$2:$D$48,"conciliado",'Conciliacion de compuestos'!$E$2:$E$48,"OK",'Conciliacion de compuestos'!$L$2:$L$48,A824))&gt;0,"conciliado en compuesto confirmado","disponible")</f>
        <v/>
      </c>
    </row>
    <row r="825">
      <c r="A825" s="11" t="n">
        <v>832</v>
      </c>
      <c r="B825" s="12" t="n">
        <v>46006</v>
      </c>
      <c r="C825" s="11" t="inlineStr">
        <is>
          <t>a financiero gravamen movimiento</t>
        </is>
      </c>
      <c r="D825" s="13" t="n">
        <v>-1</v>
      </c>
      <c r="E825" s="11">
        <f>IF(SUM(COUNTIFS('Conciliacion de compuestos'!$D$2:$D$48,"conciliado",'Conciliacion de compuestos'!$E$2:$E$48,"OK",'Conciliacion de compuestos'!$J$2:$J$48,A825),COUNTIFS('Conciliacion de compuestos'!$D$2:$D$48,"conciliado",'Conciliacion de compuestos'!$E$2:$E$48,"OK",'Conciliacion de compuestos'!$K$2:$K$48,A825),COUNTIFS('Conciliacion de compuestos'!$D$2:$D$48,"conciliado",'Conciliacion de compuestos'!$E$2:$E$48,"OK",'Conciliacion de compuestos'!$L$2:$L$48,A825))&gt;0,"conciliado en compuesto confirmado","disponible")</f>
        <v/>
      </c>
    </row>
    <row r="826">
      <c r="A826" s="11" t="n">
        <v>833</v>
      </c>
      <c r="B826" s="12" t="n">
        <v>46006</v>
      </c>
      <c r="C826" s="11" t="inlineStr">
        <is>
          <t>depositos electronicos masterca transaccion</t>
        </is>
      </c>
      <c r="D826" s="13" t="n">
        <v>40200</v>
      </c>
      <c r="E826" s="11">
        <f>IF(SUM(COUNTIFS('Conciliacion de compuestos'!$D$2:$D$48,"conciliado",'Conciliacion de compuestos'!$E$2:$E$48,"OK",'Conciliacion de compuestos'!$J$2:$J$48,A826),COUNTIFS('Conciliacion de compuestos'!$D$2:$D$48,"conciliado",'Conciliacion de compuestos'!$E$2:$E$48,"OK",'Conciliacion de compuestos'!$K$2:$K$48,A826),COUNTIFS('Conciliacion de compuestos'!$D$2:$D$48,"conciliado",'Conciliacion de compuestos'!$E$2:$E$48,"OK",'Conciliacion de compuestos'!$L$2:$L$48,A826))&gt;0,"conciliado en compuesto confirmado","disponible")</f>
        <v/>
      </c>
    </row>
    <row r="827">
      <c r="A827" s="11" t="n">
        <v>834</v>
      </c>
      <c r="B827" s="12" t="n">
        <v>46006</v>
      </c>
      <c r="C827" s="11" t="inlineStr">
        <is>
          <t>comision depositos electronicos mastercard</t>
        </is>
      </c>
      <c r="D827" s="13" t="n">
        <v>-764</v>
      </c>
      <c r="E827" s="11">
        <f>IF(SUM(COUNTIFS('Conciliacion de compuestos'!$D$2:$D$48,"conciliado",'Conciliacion de compuestos'!$E$2:$E$48,"OK",'Conciliacion de compuestos'!$J$2:$J$48,A827),COUNTIFS('Conciliacion de compuestos'!$D$2:$D$48,"conciliado",'Conciliacion de compuestos'!$E$2:$E$48,"OK",'Conciliacion de compuestos'!$K$2:$K$48,A827),COUNTIFS('Conciliacion de compuestos'!$D$2:$D$48,"conciliado",'Conciliacion de compuestos'!$E$2:$E$48,"OK",'Conciliacion de compuestos'!$L$2:$L$48,A827))&gt;0,"conciliado en compuesto confirmado","disponible")</f>
        <v/>
      </c>
    </row>
    <row r="828">
      <c r="A828" s="11" t="n">
        <v>835</v>
      </c>
      <c r="B828" s="12" t="n">
        <v>46006</v>
      </c>
      <c r="C828" s="11" t="inlineStr">
        <is>
          <t>a financiero gravamen movimiento</t>
        </is>
      </c>
      <c r="D828" s="13" t="n">
        <v>-3</v>
      </c>
      <c r="E828" s="11">
        <f>IF(SUM(COUNTIFS('Conciliacion de compuestos'!$D$2:$D$48,"conciliado",'Conciliacion de compuestos'!$E$2:$E$48,"OK",'Conciliacion de compuestos'!$J$2:$J$48,A828),COUNTIFS('Conciliacion de compuestos'!$D$2:$D$48,"conciliado",'Conciliacion de compuestos'!$E$2:$E$48,"OK",'Conciliacion de compuestos'!$K$2:$K$48,A828),COUNTIFS('Conciliacion de compuestos'!$D$2:$D$48,"conciliado",'Conciliacion de compuestos'!$E$2:$E$48,"OK",'Conciliacion de compuestos'!$L$2:$L$48,A828))&gt;0,"conciliado en compuesto confirmado","disponible")</f>
        <v/>
      </c>
    </row>
    <row r="829">
      <c r="A829" s="11" t="n">
        <v>836</v>
      </c>
      <c r="B829" s="12" t="n">
        <v>46006</v>
      </c>
      <c r="C829" s="11" t="inlineStr">
        <is>
          <t>depositos electronicos mastercar retefuente</t>
        </is>
      </c>
      <c r="D829" s="13" t="n">
        <v>-603</v>
      </c>
      <c r="E829" s="11">
        <f>IF(SUM(COUNTIFS('Conciliacion de compuestos'!$D$2:$D$48,"conciliado",'Conciliacion de compuestos'!$E$2:$E$48,"OK",'Conciliacion de compuestos'!$J$2:$J$48,A829),COUNTIFS('Conciliacion de compuestos'!$D$2:$D$48,"conciliado",'Conciliacion de compuestos'!$E$2:$E$48,"OK",'Conciliacion de compuestos'!$K$2:$K$48,A829),COUNTIFS('Conciliacion de compuestos'!$D$2:$D$48,"conciliado",'Conciliacion de compuestos'!$E$2:$E$48,"OK",'Conciliacion de compuestos'!$L$2:$L$48,A829))&gt;0,"conciliado en compuesto confirmado","disponible")</f>
        <v/>
      </c>
    </row>
    <row r="830">
      <c r="A830" s="11" t="n">
        <v>837</v>
      </c>
      <c r="B830" s="12" t="n">
        <v>46006</v>
      </c>
      <c r="C830" s="11" t="inlineStr">
        <is>
          <t>a financiero gravamen movimiento</t>
        </is>
      </c>
      <c r="D830" s="13" t="n">
        <v>-2</v>
      </c>
      <c r="E830" s="11">
        <f>IF(SUM(COUNTIFS('Conciliacion de compuestos'!$D$2:$D$48,"conciliado",'Conciliacion de compuestos'!$E$2:$E$48,"OK",'Conciliacion de compuestos'!$J$2:$J$48,A830),COUNTIFS('Conciliacion de compuestos'!$D$2:$D$48,"conciliado",'Conciliacion de compuestos'!$E$2:$E$48,"OK",'Conciliacion de compuestos'!$K$2:$K$48,A830),COUNTIFS('Conciliacion de compuestos'!$D$2:$D$48,"conciliado",'Conciliacion de compuestos'!$E$2:$E$48,"OK",'Conciliacion de compuestos'!$L$2:$L$48,A830))&gt;0,"conciliado en compuesto confirmado","disponible")</f>
        <v/>
      </c>
    </row>
    <row r="831">
      <c r="A831" s="11" t="n">
        <v>839</v>
      </c>
      <c r="B831" s="12" t="n">
        <v>46006</v>
      </c>
      <c r="C831" s="11" t="inlineStr">
        <is>
          <t>a financiero gravamen movimiento</t>
        </is>
      </c>
      <c r="D831" s="13" t="n">
        <v>-10155</v>
      </c>
      <c r="E831" s="11">
        <f>IF(SUM(COUNTIFS('Conciliacion de compuestos'!$D$2:$D$48,"conciliado",'Conciliacion de compuestos'!$E$2:$E$48,"OK",'Conciliacion de compuestos'!$J$2:$J$48,A831),COUNTIFS('Conciliacion de compuestos'!$D$2:$D$48,"conciliado",'Conciliacion de compuestos'!$E$2:$E$48,"OK",'Conciliacion de compuestos'!$K$2:$K$48,A831),COUNTIFS('Conciliacion de compuestos'!$D$2:$D$48,"conciliado",'Conciliacion de compuestos'!$E$2:$E$48,"OK",'Conciliacion de compuestos'!$L$2:$L$48,A831))&gt;0,"conciliado en compuesto confirmado","disponible")</f>
        <v/>
      </c>
    </row>
    <row r="832">
      <c r="A832" s="11" t="n">
        <v>840</v>
      </c>
      <c r="B832" s="12" t="n">
        <v>46007</v>
      </c>
      <c r="C832" s="11" t="inlineStr">
        <is>
          <t>consignacion credibanco d e</t>
        </is>
      </c>
      <c r="D832" s="13" t="n">
        <v>26600</v>
      </c>
      <c r="E832" s="11">
        <f>IF(SUM(COUNTIFS('Conciliacion de compuestos'!$D$2:$D$48,"conciliado",'Conciliacion de compuestos'!$E$2:$E$48,"OK",'Conciliacion de compuestos'!$J$2:$J$48,A832),COUNTIFS('Conciliacion de compuestos'!$D$2:$D$48,"conciliado",'Conciliacion de compuestos'!$E$2:$E$48,"OK",'Conciliacion de compuestos'!$K$2:$K$48,A832),COUNTIFS('Conciliacion de compuestos'!$D$2:$D$48,"conciliado",'Conciliacion de compuestos'!$E$2:$E$48,"OK",'Conciliacion de compuestos'!$L$2:$L$48,A832))&gt;0,"conciliado en compuesto confirmado","disponible")</f>
        <v/>
      </c>
    </row>
    <row r="833">
      <c r="A833" s="11" t="n">
        <v>841</v>
      </c>
      <c r="B833" s="12" t="n">
        <v>46007</v>
      </c>
      <c r="C833" s="11" t="inlineStr">
        <is>
          <t>cobro comision depositos electronicos</t>
        </is>
      </c>
      <c r="D833" s="13" t="n">
        <v>-575</v>
      </c>
      <c r="E833" s="11">
        <f>IF(SUM(COUNTIFS('Conciliacion de compuestos'!$D$2:$D$48,"conciliado",'Conciliacion de compuestos'!$E$2:$E$48,"OK",'Conciliacion de compuestos'!$J$2:$J$48,A833),COUNTIFS('Conciliacion de compuestos'!$D$2:$D$48,"conciliado",'Conciliacion de compuestos'!$E$2:$E$48,"OK",'Conciliacion de compuestos'!$K$2:$K$48,A833),COUNTIFS('Conciliacion de compuestos'!$D$2:$D$48,"conciliado",'Conciliacion de compuestos'!$E$2:$E$48,"OK",'Conciliacion de compuestos'!$L$2:$L$48,A833))&gt;0,"conciliado en compuesto confirmado","disponible")</f>
        <v/>
      </c>
    </row>
    <row r="834">
      <c r="A834" s="11" t="n">
        <v>842</v>
      </c>
      <c r="B834" s="12" t="n">
        <v>46007</v>
      </c>
      <c r="C834" s="11" t="inlineStr">
        <is>
          <t>a financiero gravamen movimiento</t>
        </is>
      </c>
      <c r="D834" s="13" t="n">
        <v>-2</v>
      </c>
      <c r="E834" s="11">
        <f>IF(SUM(COUNTIFS('Conciliacion de compuestos'!$D$2:$D$48,"conciliado",'Conciliacion de compuestos'!$E$2:$E$48,"OK",'Conciliacion de compuestos'!$J$2:$J$48,A834),COUNTIFS('Conciliacion de compuestos'!$D$2:$D$48,"conciliado",'Conciliacion de compuestos'!$E$2:$E$48,"OK",'Conciliacion de compuestos'!$K$2:$K$48,A834),COUNTIFS('Conciliacion de compuestos'!$D$2:$D$48,"conciliado",'Conciliacion de compuestos'!$E$2:$E$48,"OK",'Conciliacion de compuestos'!$L$2:$L$48,A834))&gt;0,"conciliado en compuesto confirmado","disponible")</f>
        <v/>
      </c>
    </row>
    <row r="835">
      <c r="A835" s="11" t="n">
        <v>843</v>
      </c>
      <c r="B835" s="12" t="n">
        <v>46007</v>
      </c>
      <c r="C835" s="11" t="inlineStr">
        <is>
          <t>credibanco d e retefuente voucher y</t>
        </is>
      </c>
      <c r="D835" s="13" t="n">
        <v>-399</v>
      </c>
      <c r="E835" s="11">
        <f>IF(SUM(COUNTIFS('Conciliacion de compuestos'!$D$2:$D$48,"conciliado",'Conciliacion de compuestos'!$E$2:$E$48,"OK",'Conciliacion de compuestos'!$J$2:$J$48,A835),COUNTIFS('Conciliacion de compuestos'!$D$2:$D$48,"conciliado",'Conciliacion de compuestos'!$E$2:$E$48,"OK",'Conciliacion de compuestos'!$K$2:$K$48,A835),COUNTIFS('Conciliacion de compuestos'!$D$2:$D$48,"conciliado",'Conciliacion de compuestos'!$E$2:$E$48,"OK",'Conciliacion de compuestos'!$L$2:$L$48,A835))&gt;0,"conciliado en compuesto confirmado","disponible")</f>
        <v/>
      </c>
    </row>
    <row r="836">
      <c r="A836" s="11" t="n">
        <v>844</v>
      </c>
      <c r="B836" s="12" t="n">
        <v>46007</v>
      </c>
      <c r="C836" s="11" t="inlineStr">
        <is>
          <t>a financiero gravamen movimiento</t>
        </is>
      </c>
      <c r="D836" s="13" t="n">
        <v>-2</v>
      </c>
      <c r="E836" s="11">
        <f>IF(SUM(COUNTIFS('Conciliacion de compuestos'!$D$2:$D$48,"conciliado",'Conciliacion de compuestos'!$E$2:$E$48,"OK",'Conciliacion de compuestos'!$J$2:$J$48,A836),COUNTIFS('Conciliacion de compuestos'!$D$2:$D$48,"conciliado",'Conciliacion de compuestos'!$E$2:$E$48,"OK",'Conciliacion de compuestos'!$K$2:$K$48,A836),COUNTIFS('Conciliacion de compuestos'!$D$2:$D$48,"conciliado",'Conciliacion de compuestos'!$E$2:$E$48,"OK",'Conciliacion de compuestos'!$L$2:$L$48,A836))&gt;0,"conciliado en compuesto confirmado","disponible")</f>
        <v/>
      </c>
    </row>
    <row r="837">
      <c r="A837" s="11" t="n">
        <v>845</v>
      </c>
      <c r="B837" s="12" t="n">
        <v>46007</v>
      </c>
      <c r="C837" s="11" t="inlineStr">
        <is>
          <t>consignacion credibanco d e</t>
        </is>
      </c>
      <c r="D837" s="13" t="n">
        <v>33000</v>
      </c>
      <c r="E837" s="11">
        <f>IF(SUM(COUNTIFS('Conciliacion de compuestos'!$D$2:$D$48,"conciliado",'Conciliacion de compuestos'!$E$2:$E$48,"OK",'Conciliacion de compuestos'!$J$2:$J$48,A837),COUNTIFS('Conciliacion de compuestos'!$D$2:$D$48,"conciliado",'Conciliacion de compuestos'!$E$2:$E$48,"OK",'Conciliacion de compuestos'!$K$2:$K$48,A837),COUNTIFS('Conciliacion de compuestos'!$D$2:$D$48,"conciliado",'Conciliacion de compuestos'!$E$2:$E$48,"OK",'Conciliacion de compuestos'!$L$2:$L$48,A837))&gt;0,"conciliado en compuesto confirmado","disponible")</f>
        <v/>
      </c>
    </row>
    <row r="838">
      <c r="A838" s="11" t="n">
        <v>846</v>
      </c>
      <c r="B838" s="12" t="n">
        <v>46007</v>
      </c>
      <c r="C838" s="11" t="inlineStr">
        <is>
          <t>cobro comision depositos electronicos</t>
        </is>
      </c>
      <c r="D838" s="13" t="n">
        <v>-713</v>
      </c>
      <c r="E838" s="11">
        <f>IF(SUM(COUNTIFS('Conciliacion de compuestos'!$D$2:$D$48,"conciliado",'Conciliacion de compuestos'!$E$2:$E$48,"OK",'Conciliacion de compuestos'!$J$2:$J$48,A838),COUNTIFS('Conciliacion de compuestos'!$D$2:$D$48,"conciliado",'Conciliacion de compuestos'!$E$2:$E$48,"OK",'Conciliacion de compuestos'!$K$2:$K$48,A838),COUNTIFS('Conciliacion de compuestos'!$D$2:$D$48,"conciliado",'Conciliacion de compuestos'!$E$2:$E$48,"OK",'Conciliacion de compuestos'!$L$2:$L$48,A838))&gt;0,"conciliado en compuesto confirmado","disponible")</f>
        <v/>
      </c>
    </row>
    <row r="839">
      <c r="A839" s="11" t="n">
        <v>847</v>
      </c>
      <c r="B839" s="12" t="n">
        <v>46007</v>
      </c>
      <c r="C839" s="11" t="inlineStr">
        <is>
          <t>a financiero gravamen movimiento</t>
        </is>
      </c>
      <c r="D839" s="13" t="n">
        <v>-3</v>
      </c>
      <c r="E839" s="11">
        <f>IF(SUM(COUNTIFS('Conciliacion de compuestos'!$D$2:$D$48,"conciliado",'Conciliacion de compuestos'!$E$2:$E$48,"OK",'Conciliacion de compuestos'!$J$2:$J$48,A839),COUNTIFS('Conciliacion de compuestos'!$D$2:$D$48,"conciliado",'Conciliacion de compuestos'!$E$2:$E$48,"OK",'Conciliacion de compuestos'!$K$2:$K$48,A839),COUNTIFS('Conciliacion de compuestos'!$D$2:$D$48,"conciliado",'Conciliacion de compuestos'!$E$2:$E$48,"OK",'Conciliacion de compuestos'!$L$2:$L$48,A839))&gt;0,"conciliado en compuesto confirmado","disponible")</f>
        <v/>
      </c>
    </row>
    <row r="840">
      <c r="A840" s="11" t="n">
        <v>848</v>
      </c>
      <c r="B840" s="12" t="n">
        <v>46007</v>
      </c>
      <c r="C840" s="11" t="inlineStr">
        <is>
          <t>credibanco d e retefuente voucher y</t>
        </is>
      </c>
      <c r="D840" s="13" t="n">
        <v>-495</v>
      </c>
      <c r="E840" s="11">
        <f>IF(SUM(COUNTIFS('Conciliacion de compuestos'!$D$2:$D$48,"conciliado",'Conciliacion de compuestos'!$E$2:$E$48,"OK",'Conciliacion de compuestos'!$J$2:$J$48,A840),COUNTIFS('Conciliacion de compuestos'!$D$2:$D$48,"conciliado",'Conciliacion de compuestos'!$E$2:$E$48,"OK",'Conciliacion de compuestos'!$K$2:$K$48,A840),COUNTIFS('Conciliacion de compuestos'!$D$2:$D$48,"conciliado",'Conciliacion de compuestos'!$E$2:$E$48,"OK",'Conciliacion de compuestos'!$L$2:$L$48,A840))&gt;0,"conciliado en compuesto confirmado","disponible")</f>
        <v/>
      </c>
    </row>
    <row r="841">
      <c r="A841" s="11" t="n">
        <v>849</v>
      </c>
      <c r="B841" s="12" t="n">
        <v>46007</v>
      </c>
      <c r="C841" s="11" t="inlineStr">
        <is>
          <t>a financiero gravamen movimiento</t>
        </is>
      </c>
      <c r="D841" s="13" t="n">
        <v>-2</v>
      </c>
      <c r="E841" s="11">
        <f>IF(SUM(COUNTIFS('Conciliacion de compuestos'!$D$2:$D$48,"conciliado",'Conciliacion de compuestos'!$E$2:$E$48,"OK",'Conciliacion de compuestos'!$J$2:$J$48,A841),COUNTIFS('Conciliacion de compuestos'!$D$2:$D$48,"conciliado",'Conciliacion de compuestos'!$E$2:$E$48,"OK",'Conciliacion de compuestos'!$K$2:$K$48,A841),COUNTIFS('Conciliacion de compuestos'!$D$2:$D$48,"conciliado",'Conciliacion de compuestos'!$E$2:$E$48,"OK",'Conciliacion de compuestos'!$L$2:$L$48,A841))&gt;0,"conciliado en compuesto confirmado","disponible")</f>
        <v/>
      </c>
    </row>
    <row r="842">
      <c r="A842" s="11" t="n">
        <v>850</v>
      </c>
      <c r="B842" s="12" t="n">
        <v>46007</v>
      </c>
      <c r="C842" s="11" t="inlineStr">
        <is>
          <t>consignacion credibanco d e</t>
        </is>
      </c>
      <c r="D842" s="13" t="n">
        <v>126500</v>
      </c>
      <c r="E842" s="11">
        <f>IF(SUM(COUNTIFS('Conciliacion de compuestos'!$D$2:$D$48,"conciliado",'Conciliacion de compuestos'!$E$2:$E$48,"OK",'Conciliacion de compuestos'!$J$2:$J$48,A842),COUNTIFS('Conciliacion de compuestos'!$D$2:$D$48,"conciliado",'Conciliacion de compuestos'!$E$2:$E$48,"OK",'Conciliacion de compuestos'!$K$2:$K$48,A842),COUNTIFS('Conciliacion de compuestos'!$D$2:$D$48,"conciliado",'Conciliacion de compuestos'!$E$2:$E$48,"OK",'Conciliacion de compuestos'!$L$2:$L$48,A842))&gt;0,"conciliado en compuesto confirmado","disponible")</f>
        <v/>
      </c>
    </row>
    <row r="843">
      <c r="A843" s="11" t="n">
        <v>851</v>
      </c>
      <c r="B843" s="12" t="n">
        <v>46007</v>
      </c>
      <c r="C843" s="11" t="inlineStr">
        <is>
          <t>cobro comision depositos electronicos</t>
        </is>
      </c>
      <c r="D843" s="13" t="n">
        <v>-2770</v>
      </c>
      <c r="E843" s="11">
        <f>IF(SUM(COUNTIFS('Conciliacion de compuestos'!$D$2:$D$48,"conciliado",'Conciliacion de compuestos'!$E$2:$E$48,"OK",'Conciliacion de compuestos'!$J$2:$J$48,A843),COUNTIFS('Conciliacion de compuestos'!$D$2:$D$48,"conciliado",'Conciliacion de compuestos'!$E$2:$E$48,"OK",'Conciliacion de compuestos'!$K$2:$K$48,A843),COUNTIFS('Conciliacion de compuestos'!$D$2:$D$48,"conciliado",'Conciliacion de compuestos'!$E$2:$E$48,"OK",'Conciliacion de compuestos'!$L$2:$L$48,A843))&gt;0,"conciliado en compuesto confirmado","disponible")</f>
        <v/>
      </c>
    </row>
    <row r="844">
      <c r="A844" s="11" t="n">
        <v>852</v>
      </c>
      <c r="B844" s="12" t="n">
        <v>46007</v>
      </c>
      <c r="C844" s="11" t="inlineStr">
        <is>
          <t>a financiero gravamen movimiento</t>
        </is>
      </c>
      <c r="D844" s="13" t="n">
        <v>-11</v>
      </c>
      <c r="E844" s="11">
        <f>IF(SUM(COUNTIFS('Conciliacion de compuestos'!$D$2:$D$48,"conciliado",'Conciliacion de compuestos'!$E$2:$E$48,"OK",'Conciliacion de compuestos'!$J$2:$J$48,A844),COUNTIFS('Conciliacion de compuestos'!$D$2:$D$48,"conciliado",'Conciliacion de compuestos'!$E$2:$E$48,"OK",'Conciliacion de compuestos'!$K$2:$K$48,A844),COUNTIFS('Conciliacion de compuestos'!$D$2:$D$48,"conciliado",'Conciliacion de compuestos'!$E$2:$E$48,"OK",'Conciliacion de compuestos'!$L$2:$L$48,A844))&gt;0,"conciliado en compuesto confirmado","disponible")</f>
        <v/>
      </c>
    </row>
    <row r="845">
      <c r="A845" s="11" t="n">
        <v>853</v>
      </c>
      <c r="B845" s="12" t="n">
        <v>46007</v>
      </c>
      <c r="C845" s="11" t="inlineStr">
        <is>
          <t>credibanco d e retefuente voucher y</t>
        </is>
      </c>
      <c r="D845" s="13" t="n">
        <v>-1898</v>
      </c>
      <c r="E845" s="11">
        <f>IF(SUM(COUNTIFS('Conciliacion de compuestos'!$D$2:$D$48,"conciliado",'Conciliacion de compuestos'!$E$2:$E$48,"OK",'Conciliacion de compuestos'!$J$2:$J$48,A845),COUNTIFS('Conciliacion de compuestos'!$D$2:$D$48,"conciliado",'Conciliacion de compuestos'!$E$2:$E$48,"OK",'Conciliacion de compuestos'!$K$2:$K$48,A845),COUNTIFS('Conciliacion de compuestos'!$D$2:$D$48,"conciliado",'Conciliacion de compuestos'!$E$2:$E$48,"OK",'Conciliacion de compuestos'!$L$2:$L$48,A845))&gt;0,"conciliado en compuesto confirmado","disponible")</f>
        <v/>
      </c>
    </row>
    <row r="846">
      <c r="A846" s="11" t="n">
        <v>854</v>
      </c>
      <c r="B846" s="12" t="n">
        <v>46007</v>
      </c>
      <c r="C846" s="11" t="inlineStr">
        <is>
          <t>a financiero gravamen movimiento</t>
        </is>
      </c>
      <c r="D846" s="13" t="n">
        <v>-8</v>
      </c>
      <c r="E846" s="11">
        <f>IF(SUM(COUNTIFS('Conciliacion de compuestos'!$D$2:$D$48,"conciliado",'Conciliacion de compuestos'!$E$2:$E$48,"OK",'Conciliacion de compuestos'!$J$2:$J$48,A846),COUNTIFS('Conciliacion de compuestos'!$D$2:$D$48,"conciliado",'Conciliacion de compuestos'!$E$2:$E$48,"OK",'Conciliacion de compuestos'!$K$2:$K$48,A846),COUNTIFS('Conciliacion de compuestos'!$D$2:$D$48,"conciliado",'Conciliacion de compuestos'!$E$2:$E$48,"OK",'Conciliacion de compuestos'!$L$2:$L$48,A846))&gt;0,"conciliado en compuesto confirmado","disponible")</f>
        <v/>
      </c>
    </row>
    <row r="847">
      <c r="A847" s="11" t="n">
        <v>855</v>
      </c>
      <c r="B847" s="12" t="n">
        <v>46007</v>
      </c>
      <c r="C847" s="11" t="inlineStr">
        <is>
          <t>consignacion credibanco d e</t>
        </is>
      </c>
      <c r="D847" s="13" t="n">
        <v>32600</v>
      </c>
      <c r="E847" s="11">
        <f>IF(SUM(COUNTIFS('Conciliacion de compuestos'!$D$2:$D$48,"conciliado",'Conciliacion de compuestos'!$E$2:$E$48,"OK",'Conciliacion de compuestos'!$J$2:$J$48,A847),COUNTIFS('Conciliacion de compuestos'!$D$2:$D$48,"conciliado",'Conciliacion de compuestos'!$E$2:$E$48,"OK",'Conciliacion de compuestos'!$K$2:$K$48,A847),COUNTIFS('Conciliacion de compuestos'!$D$2:$D$48,"conciliado",'Conciliacion de compuestos'!$E$2:$E$48,"OK",'Conciliacion de compuestos'!$L$2:$L$48,A847))&gt;0,"conciliado en compuesto confirmado","disponible")</f>
        <v/>
      </c>
    </row>
    <row r="848">
      <c r="A848" s="11" t="n">
        <v>856</v>
      </c>
      <c r="B848" s="12" t="n">
        <v>46007</v>
      </c>
      <c r="C848" s="11" t="inlineStr">
        <is>
          <t>cobro comision depositos electronicos</t>
        </is>
      </c>
      <c r="D848" s="13" t="n">
        <v>-714</v>
      </c>
      <c r="E848" s="11">
        <f>IF(SUM(COUNTIFS('Conciliacion de compuestos'!$D$2:$D$48,"conciliado",'Conciliacion de compuestos'!$E$2:$E$48,"OK",'Conciliacion de compuestos'!$J$2:$J$48,A848),COUNTIFS('Conciliacion de compuestos'!$D$2:$D$48,"conciliado",'Conciliacion de compuestos'!$E$2:$E$48,"OK",'Conciliacion de compuestos'!$K$2:$K$48,A848),COUNTIFS('Conciliacion de compuestos'!$D$2:$D$48,"conciliado",'Conciliacion de compuestos'!$E$2:$E$48,"OK",'Conciliacion de compuestos'!$L$2:$L$48,A848))&gt;0,"conciliado en compuesto confirmado","disponible")</f>
        <v/>
      </c>
    </row>
    <row r="849">
      <c r="A849" s="11" t="n">
        <v>857</v>
      </c>
      <c r="B849" s="12" t="n">
        <v>46007</v>
      </c>
      <c r="C849" s="11" t="inlineStr">
        <is>
          <t>a financiero gravamen movimiento</t>
        </is>
      </c>
      <c r="D849" s="13" t="n">
        <v>-3</v>
      </c>
      <c r="E849" s="11">
        <f>IF(SUM(COUNTIFS('Conciliacion de compuestos'!$D$2:$D$48,"conciliado",'Conciliacion de compuestos'!$E$2:$E$48,"OK",'Conciliacion de compuestos'!$J$2:$J$48,A849),COUNTIFS('Conciliacion de compuestos'!$D$2:$D$48,"conciliado",'Conciliacion de compuestos'!$E$2:$E$48,"OK",'Conciliacion de compuestos'!$K$2:$K$48,A849),COUNTIFS('Conciliacion de compuestos'!$D$2:$D$48,"conciliado",'Conciliacion de compuestos'!$E$2:$E$48,"OK",'Conciliacion de compuestos'!$L$2:$L$48,A849))&gt;0,"conciliado en compuesto confirmado","disponible")</f>
        <v/>
      </c>
    </row>
    <row r="850">
      <c r="A850" s="11" t="n">
        <v>858</v>
      </c>
      <c r="B850" s="12" t="n">
        <v>46007</v>
      </c>
      <c r="C850" s="11" t="inlineStr">
        <is>
          <t>credibanco d e retefuente voucher y</t>
        </is>
      </c>
      <c r="D850" s="13" t="n">
        <v>-489</v>
      </c>
      <c r="E850" s="11">
        <f>IF(SUM(COUNTIFS('Conciliacion de compuestos'!$D$2:$D$48,"conciliado",'Conciliacion de compuestos'!$E$2:$E$48,"OK",'Conciliacion de compuestos'!$J$2:$J$48,A850),COUNTIFS('Conciliacion de compuestos'!$D$2:$D$48,"conciliado",'Conciliacion de compuestos'!$E$2:$E$48,"OK",'Conciliacion de compuestos'!$K$2:$K$48,A850),COUNTIFS('Conciliacion de compuestos'!$D$2:$D$48,"conciliado",'Conciliacion de compuestos'!$E$2:$E$48,"OK",'Conciliacion de compuestos'!$L$2:$L$48,A850))&gt;0,"conciliado en compuesto confirmado","disponible")</f>
        <v/>
      </c>
    </row>
    <row r="851">
      <c r="A851" s="11" t="n">
        <v>859</v>
      </c>
      <c r="B851" s="12" t="n">
        <v>46007</v>
      </c>
      <c r="C851" s="11" t="inlineStr">
        <is>
          <t>a financiero gravamen movimiento</t>
        </is>
      </c>
      <c r="D851" s="13" t="n">
        <v>-2</v>
      </c>
      <c r="E851" s="11">
        <f>IF(SUM(COUNTIFS('Conciliacion de compuestos'!$D$2:$D$48,"conciliado",'Conciliacion de compuestos'!$E$2:$E$48,"OK",'Conciliacion de compuestos'!$J$2:$J$48,A851),COUNTIFS('Conciliacion de compuestos'!$D$2:$D$48,"conciliado",'Conciliacion de compuestos'!$E$2:$E$48,"OK",'Conciliacion de compuestos'!$K$2:$K$48,A851),COUNTIFS('Conciliacion de compuestos'!$D$2:$D$48,"conciliado",'Conciliacion de compuestos'!$E$2:$E$48,"OK",'Conciliacion de compuestos'!$L$2:$L$48,A851))&gt;0,"conciliado en compuesto confirmado","disponible")</f>
        <v/>
      </c>
    </row>
    <row r="852">
      <c r="A852" s="11" t="n">
        <v>860</v>
      </c>
      <c r="B852" s="12" t="n">
        <v>46007</v>
      </c>
      <c r="C852" s="11" t="inlineStr">
        <is>
          <t>consignacion credibanco d e</t>
        </is>
      </c>
      <c r="D852" s="13" t="n">
        <v>39400</v>
      </c>
      <c r="E852" s="11">
        <f>IF(SUM(COUNTIFS('Conciliacion de compuestos'!$D$2:$D$48,"conciliado",'Conciliacion de compuestos'!$E$2:$E$48,"OK",'Conciliacion de compuestos'!$J$2:$J$48,A852),COUNTIFS('Conciliacion de compuestos'!$D$2:$D$48,"conciliado",'Conciliacion de compuestos'!$E$2:$E$48,"OK",'Conciliacion de compuestos'!$K$2:$K$48,A852),COUNTIFS('Conciliacion de compuestos'!$D$2:$D$48,"conciliado",'Conciliacion de compuestos'!$E$2:$E$48,"OK",'Conciliacion de compuestos'!$L$2:$L$48,A852))&gt;0,"conciliado en compuesto confirmado","disponible")</f>
        <v/>
      </c>
    </row>
    <row r="853">
      <c r="A853" s="11" t="n">
        <v>861</v>
      </c>
      <c r="B853" s="12" t="n">
        <v>46007</v>
      </c>
      <c r="C853" s="11" t="inlineStr">
        <is>
          <t>cobro comision depositos electronicos</t>
        </is>
      </c>
      <c r="D853" s="13" t="n">
        <v>-863</v>
      </c>
      <c r="E853" s="11">
        <f>IF(SUM(COUNTIFS('Conciliacion de compuestos'!$D$2:$D$48,"conciliado",'Conciliacion de compuestos'!$E$2:$E$48,"OK",'Conciliacion de compuestos'!$J$2:$J$48,A853),COUNTIFS('Conciliacion de compuestos'!$D$2:$D$48,"conciliado",'Conciliacion de compuestos'!$E$2:$E$48,"OK",'Conciliacion de compuestos'!$K$2:$K$48,A853),COUNTIFS('Conciliacion de compuestos'!$D$2:$D$48,"conciliado",'Conciliacion de compuestos'!$E$2:$E$48,"OK",'Conciliacion de compuestos'!$L$2:$L$48,A853))&gt;0,"conciliado en compuesto confirmado","disponible")</f>
        <v/>
      </c>
    </row>
    <row r="854">
      <c r="A854" s="11" t="n">
        <v>862</v>
      </c>
      <c r="B854" s="12" t="n">
        <v>46007</v>
      </c>
      <c r="C854" s="11" t="inlineStr">
        <is>
          <t>a financiero gravamen movimiento</t>
        </is>
      </c>
      <c r="D854" s="13" t="n">
        <v>-3</v>
      </c>
      <c r="E854" s="11">
        <f>IF(SUM(COUNTIFS('Conciliacion de compuestos'!$D$2:$D$48,"conciliado",'Conciliacion de compuestos'!$E$2:$E$48,"OK",'Conciliacion de compuestos'!$J$2:$J$48,A854),COUNTIFS('Conciliacion de compuestos'!$D$2:$D$48,"conciliado",'Conciliacion de compuestos'!$E$2:$E$48,"OK",'Conciliacion de compuestos'!$K$2:$K$48,A854),COUNTIFS('Conciliacion de compuestos'!$D$2:$D$48,"conciliado",'Conciliacion de compuestos'!$E$2:$E$48,"OK",'Conciliacion de compuestos'!$L$2:$L$48,A854))&gt;0,"conciliado en compuesto confirmado","disponible")</f>
        <v/>
      </c>
    </row>
    <row r="855">
      <c r="A855" s="11" t="n">
        <v>863</v>
      </c>
      <c r="B855" s="12" t="n">
        <v>46007</v>
      </c>
      <c r="C855" s="11" t="inlineStr">
        <is>
          <t>credibanco d e retefuente voucher y</t>
        </is>
      </c>
      <c r="D855" s="13" t="n">
        <v>-591</v>
      </c>
      <c r="E855" s="11">
        <f>IF(SUM(COUNTIFS('Conciliacion de compuestos'!$D$2:$D$48,"conciliado",'Conciliacion de compuestos'!$E$2:$E$48,"OK",'Conciliacion de compuestos'!$J$2:$J$48,A855),COUNTIFS('Conciliacion de compuestos'!$D$2:$D$48,"conciliado",'Conciliacion de compuestos'!$E$2:$E$48,"OK",'Conciliacion de compuestos'!$K$2:$K$48,A855),COUNTIFS('Conciliacion de compuestos'!$D$2:$D$48,"conciliado",'Conciliacion de compuestos'!$E$2:$E$48,"OK",'Conciliacion de compuestos'!$L$2:$L$48,A855))&gt;0,"conciliado en compuesto confirmado","disponible")</f>
        <v/>
      </c>
    </row>
    <row r="856">
      <c r="A856" s="11" t="n">
        <v>864</v>
      </c>
      <c r="B856" s="12" t="n">
        <v>46007</v>
      </c>
      <c r="C856" s="11" t="inlineStr">
        <is>
          <t>a financiero gravamen movimiento</t>
        </is>
      </c>
      <c r="D856" s="13" t="n">
        <v>-2</v>
      </c>
      <c r="E856" s="11">
        <f>IF(SUM(COUNTIFS('Conciliacion de compuestos'!$D$2:$D$48,"conciliado",'Conciliacion de compuestos'!$E$2:$E$48,"OK",'Conciliacion de compuestos'!$J$2:$J$48,A856),COUNTIFS('Conciliacion de compuestos'!$D$2:$D$48,"conciliado",'Conciliacion de compuestos'!$E$2:$E$48,"OK",'Conciliacion de compuestos'!$K$2:$K$48,A856),COUNTIFS('Conciliacion de compuestos'!$D$2:$D$48,"conciliado",'Conciliacion de compuestos'!$E$2:$E$48,"OK",'Conciliacion de compuestos'!$L$2:$L$48,A856))&gt;0,"conciliado en compuesto confirmado","disponible")</f>
        <v/>
      </c>
    </row>
    <row r="857">
      <c r="A857" s="11" t="n">
        <v>865</v>
      </c>
      <c r="B857" s="12" t="n">
        <v>46007</v>
      </c>
      <c r="C857" s="11" t="inlineStr">
        <is>
          <t>consignacion credibanco d e</t>
        </is>
      </c>
      <c r="D857" s="13" t="n">
        <v>20000</v>
      </c>
      <c r="E857" s="11">
        <f>IF(SUM(COUNTIFS('Conciliacion de compuestos'!$D$2:$D$48,"conciliado",'Conciliacion de compuestos'!$E$2:$E$48,"OK",'Conciliacion de compuestos'!$J$2:$J$48,A857),COUNTIFS('Conciliacion de compuestos'!$D$2:$D$48,"conciliado",'Conciliacion de compuestos'!$E$2:$E$48,"OK",'Conciliacion de compuestos'!$K$2:$K$48,A857),COUNTIFS('Conciliacion de compuestos'!$D$2:$D$48,"conciliado",'Conciliacion de compuestos'!$E$2:$E$48,"OK",'Conciliacion de compuestos'!$L$2:$L$48,A857))&gt;0,"conciliado en compuesto confirmado","disponible")</f>
        <v/>
      </c>
    </row>
    <row r="858">
      <c r="A858" s="11" t="n">
        <v>866</v>
      </c>
      <c r="B858" s="12" t="n">
        <v>46007</v>
      </c>
      <c r="C858" s="11" t="inlineStr">
        <is>
          <t>cobro comision depositos electronicos</t>
        </is>
      </c>
      <c r="D858" s="13" t="n">
        <v>-438</v>
      </c>
      <c r="E858" s="11">
        <f>IF(SUM(COUNTIFS('Conciliacion de compuestos'!$D$2:$D$48,"conciliado",'Conciliacion de compuestos'!$E$2:$E$48,"OK",'Conciliacion de compuestos'!$J$2:$J$48,A858),COUNTIFS('Conciliacion de compuestos'!$D$2:$D$48,"conciliado",'Conciliacion de compuestos'!$E$2:$E$48,"OK",'Conciliacion de compuestos'!$K$2:$K$48,A858),COUNTIFS('Conciliacion de compuestos'!$D$2:$D$48,"conciliado",'Conciliacion de compuestos'!$E$2:$E$48,"OK",'Conciliacion de compuestos'!$L$2:$L$48,A858))&gt;0,"conciliado en compuesto confirmado","disponible")</f>
        <v/>
      </c>
    </row>
    <row r="859">
      <c r="A859" s="11" t="n">
        <v>867</v>
      </c>
      <c r="B859" s="12" t="n">
        <v>46007</v>
      </c>
      <c r="C859" s="11" t="inlineStr">
        <is>
          <t>a financiero gravamen movimiento</t>
        </is>
      </c>
      <c r="D859" s="13" t="n">
        <v>-2</v>
      </c>
      <c r="E859" s="11">
        <f>IF(SUM(COUNTIFS('Conciliacion de compuestos'!$D$2:$D$48,"conciliado",'Conciliacion de compuestos'!$E$2:$E$48,"OK",'Conciliacion de compuestos'!$J$2:$J$48,A859),COUNTIFS('Conciliacion de compuestos'!$D$2:$D$48,"conciliado",'Conciliacion de compuestos'!$E$2:$E$48,"OK",'Conciliacion de compuestos'!$K$2:$K$48,A859),COUNTIFS('Conciliacion de compuestos'!$D$2:$D$48,"conciliado",'Conciliacion de compuestos'!$E$2:$E$48,"OK",'Conciliacion de compuestos'!$L$2:$L$48,A859))&gt;0,"conciliado en compuesto confirmado","disponible")</f>
        <v/>
      </c>
    </row>
    <row r="860">
      <c r="A860" s="11" t="n">
        <v>868</v>
      </c>
      <c r="B860" s="12" t="n">
        <v>46007</v>
      </c>
      <c r="C860" s="11" t="inlineStr">
        <is>
          <t>credibanco d e retefuente voucher y</t>
        </is>
      </c>
      <c r="D860" s="13" t="n">
        <v>-300</v>
      </c>
      <c r="E860" s="11">
        <f>IF(SUM(COUNTIFS('Conciliacion de compuestos'!$D$2:$D$48,"conciliado",'Conciliacion de compuestos'!$E$2:$E$48,"OK",'Conciliacion de compuestos'!$J$2:$J$48,A860),COUNTIFS('Conciliacion de compuestos'!$D$2:$D$48,"conciliado",'Conciliacion de compuestos'!$E$2:$E$48,"OK",'Conciliacion de compuestos'!$K$2:$K$48,A860),COUNTIFS('Conciliacion de compuestos'!$D$2:$D$48,"conciliado",'Conciliacion de compuestos'!$E$2:$E$48,"OK",'Conciliacion de compuestos'!$L$2:$L$48,A860))&gt;0,"conciliado en compuesto confirmado","disponible")</f>
        <v/>
      </c>
    </row>
    <row r="861">
      <c r="A861" s="11" t="n">
        <v>869</v>
      </c>
      <c r="B861" s="12" t="n">
        <v>46007</v>
      </c>
      <c r="C861" s="11" t="inlineStr">
        <is>
          <t>a financiero gravamen movimiento</t>
        </is>
      </c>
      <c r="D861" s="13" t="n">
        <v>-1</v>
      </c>
      <c r="E861" s="11">
        <f>IF(SUM(COUNTIFS('Conciliacion de compuestos'!$D$2:$D$48,"conciliado",'Conciliacion de compuestos'!$E$2:$E$48,"OK",'Conciliacion de compuestos'!$J$2:$J$48,A861),COUNTIFS('Conciliacion de compuestos'!$D$2:$D$48,"conciliado",'Conciliacion de compuestos'!$E$2:$E$48,"OK",'Conciliacion de compuestos'!$K$2:$K$48,A861),COUNTIFS('Conciliacion de compuestos'!$D$2:$D$48,"conciliado",'Conciliacion de compuestos'!$E$2:$E$48,"OK",'Conciliacion de compuestos'!$L$2:$L$48,A861))&gt;0,"conciliado en compuesto confirmado","disponible")</f>
        <v/>
      </c>
    </row>
    <row r="862">
      <c r="A862" s="11" t="n">
        <v>870</v>
      </c>
      <c r="B862" s="12" t="n">
        <v>46007</v>
      </c>
      <c r="C862" s="11" t="inlineStr">
        <is>
          <t>consignacion credibanco d e</t>
        </is>
      </c>
      <c r="D862" s="13" t="n">
        <v>20000</v>
      </c>
      <c r="E862" s="11">
        <f>IF(SUM(COUNTIFS('Conciliacion de compuestos'!$D$2:$D$48,"conciliado",'Conciliacion de compuestos'!$E$2:$E$48,"OK",'Conciliacion de compuestos'!$J$2:$J$48,A862),COUNTIFS('Conciliacion de compuestos'!$D$2:$D$48,"conciliado",'Conciliacion de compuestos'!$E$2:$E$48,"OK",'Conciliacion de compuestos'!$K$2:$K$48,A862),COUNTIFS('Conciliacion de compuestos'!$D$2:$D$48,"conciliado",'Conciliacion de compuestos'!$E$2:$E$48,"OK",'Conciliacion de compuestos'!$L$2:$L$48,A862))&gt;0,"conciliado en compuesto confirmado","disponible")</f>
        <v/>
      </c>
    </row>
    <row r="863">
      <c r="A863" s="11" t="n">
        <v>871</v>
      </c>
      <c r="B863" s="12" t="n">
        <v>46007</v>
      </c>
      <c r="C863" s="11" t="inlineStr">
        <is>
          <t>cobro comision depositos electronicos</t>
        </is>
      </c>
      <c r="D863" s="13" t="n">
        <v>-438</v>
      </c>
      <c r="E863" s="11">
        <f>IF(SUM(COUNTIFS('Conciliacion de compuestos'!$D$2:$D$48,"conciliado",'Conciliacion de compuestos'!$E$2:$E$48,"OK",'Conciliacion de compuestos'!$J$2:$J$48,A863),COUNTIFS('Conciliacion de compuestos'!$D$2:$D$48,"conciliado",'Conciliacion de compuestos'!$E$2:$E$48,"OK",'Conciliacion de compuestos'!$K$2:$K$48,A863),COUNTIFS('Conciliacion de compuestos'!$D$2:$D$48,"conciliado",'Conciliacion de compuestos'!$E$2:$E$48,"OK",'Conciliacion de compuestos'!$L$2:$L$48,A863))&gt;0,"conciliado en compuesto confirmado","disponible")</f>
        <v/>
      </c>
    </row>
    <row r="864">
      <c r="A864" s="11" t="n">
        <v>872</v>
      </c>
      <c r="B864" s="12" t="n">
        <v>46007</v>
      </c>
      <c r="C864" s="11" t="inlineStr">
        <is>
          <t>a financiero gravamen movimiento</t>
        </is>
      </c>
      <c r="D864" s="13" t="n">
        <v>-2</v>
      </c>
      <c r="E864" s="11">
        <f>IF(SUM(COUNTIFS('Conciliacion de compuestos'!$D$2:$D$48,"conciliado",'Conciliacion de compuestos'!$E$2:$E$48,"OK",'Conciliacion de compuestos'!$J$2:$J$48,A864),COUNTIFS('Conciliacion de compuestos'!$D$2:$D$48,"conciliado",'Conciliacion de compuestos'!$E$2:$E$48,"OK",'Conciliacion de compuestos'!$K$2:$K$48,A864),COUNTIFS('Conciliacion de compuestos'!$D$2:$D$48,"conciliado",'Conciliacion de compuestos'!$E$2:$E$48,"OK",'Conciliacion de compuestos'!$L$2:$L$48,A864))&gt;0,"conciliado en compuesto confirmado","disponible")</f>
        <v/>
      </c>
    </row>
    <row r="865">
      <c r="A865" s="11" t="n">
        <v>873</v>
      </c>
      <c r="B865" s="12" t="n">
        <v>46007</v>
      </c>
      <c r="C865" s="11" t="inlineStr">
        <is>
          <t>credibanco d e retefuente voucher y</t>
        </is>
      </c>
      <c r="D865" s="13" t="n">
        <v>-300</v>
      </c>
      <c r="E865" s="11">
        <f>IF(SUM(COUNTIFS('Conciliacion de compuestos'!$D$2:$D$48,"conciliado",'Conciliacion de compuestos'!$E$2:$E$48,"OK",'Conciliacion de compuestos'!$J$2:$J$48,A865),COUNTIFS('Conciliacion de compuestos'!$D$2:$D$48,"conciliado",'Conciliacion de compuestos'!$E$2:$E$48,"OK",'Conciliacion de compuestos'!$K$2:$K$48,A865),COUNTIFS('Conciliacion de compuestos'!$D$2:$D$48,"conciliado",'Conciliacion de compuestos'!$E$2:$E$48,"OK",'Conciliacion de compuestos'!$L$2:$L$48,A865))&gt;0,"conciliado en compuesto confirmado","disponible")</f>
        <v/>
      </c>
    </row>
    <row r="866">
      <c r="A866" s="11" t="n">
        <v>874</v>
      </c>
      <c r="B866" s="12" t="n">
        <v>46007</v>
      </c>
      <c r="C866" s="11" t="inlineStr">
        <is>
          <t>a financiero gravamen movimiento</t>
        </is>
      </c>
      <c r="D866" s="13" t="n">
        <v>-1</v>
      </c>
      <c r="E866" s="11">
        <f>IF(SUM(COUNTIFS('Conciliacion de compuestos'!$D$2:$D$48,"conciliado",'Conciliacion de compuestos'!$E$2:$E$48,"OK",'Conciliacion de compuestos'!$J$2:$J$48,A866),COUNTIFS('Conciliacion de compuestos'!$D$2:$D$48,"conciliado",'Conciliacion de compuestos'!$E$2:$E$48,"OK",'Conciliacion de compuestos'!$K$2:$K$48,A866),COUNTIFS('Conciliacion de compuestos'!$D$2:$D$48,"conciliado",'Conciliacion de compuestos'!$E$2:$E$48,"OK",'Conciliacion de compuestos'!$L$2:$L$48,A866))&gt;0,"conciliado en compuesto confirmado","disponible")</f>
        <v/>
      </c>
    </row>
    <row r="867">
      <c r="A867" s="11" t="n">
        <v>875</v>
      </c>
      <c r="B867" s="12" t="n">
        <v>46007</v>
      </c>
      <c r="C867" s="11" t="inlineStr">
        <is>
          <t>consignacion credibanco d e</t>
        </is>
      </c>
      <c r="D867" s="13" t="n">
        <v>303784</v>
      </c>
      <c r="E867" s="11">
        <f>IF(SUM(COUNTIFS('Conciliacion de compuestos'!$D$2:$D$48,"conciliado",'Conciliacion de compuestos'!$E$2:$E$48,"OK",'Conciliacion de compuestos'!$J$2:$J$48,A867),COUNTIFS('Conciliacion de compuestos'!$D$2:$D$48,"conciliado",'Conciliacion de compuestos'!$E$2:$E$48,"OK",'Conciliacion de compuestos'!$K$2:$K$48,A867),COUNTIFS('Conciliacion de compuestos'!$D$2:$D$48,"conciliado",'Conciliacion de compuestos'!$E$2:$E$48,"OK",'Conciliacion de compuestos'!$L$2:$L$48,A867))&gt;0,"conciliado en compuesto confirmado","disponible")</f>
        <v/>
      </c>
    </row>
    <row r="868">
      <c r="A868" s="11" t="n">
        <v>876</v>
      </c>
      <c r="B868" s="12" t="n">
        <v>46007</v>
      </c>
      <c r="C868" s="11" t="inlineStr">
        <is>
          <t>cobro comision depositos electronicos</t>
        </is>
      </c>
      <c r="D868" s="13" t="n">
        <v>-6653</v>
      </c>
      <c r="E868" s="11">
        <f>IF(SUM(COUNTIFS('Conciliacion de compuestos'!$D$2:$D$48,"conciliado",'Conciliacion de compuestos'!$E$2:$E$48,"OK",'Conciliacion de compuestos'!$J$2:$J$48,A868),COUNTIFS('Conciliacion de compuestos'!$D$2:$D$48,"conciliado",'Conciliacion de compuestos'!$E$2:$E$48,"OK",'Conciliacion de compuestos'!$K$2:$K$48,A868),COUNTIFS('Conciliacion de compuestos'!$D$2:$D$48,"conciliado",'Conciliacion de compuestos'!$E$2:$E$48,"OK",'Conciliacion de compuestos'!$L$2:$L$48,A868))&gt;0,"conciliado en compuesto confirmado","disponible")</f>
        <v/>
      </c>
    </row>
    <row r="869">
      <c r="A869" s="11" t="n">
        <v>877</v>
      </c>
      <c r="B869" s="12" t="n">
        <v>46007</v>
      </c>
      <c r="C869" s="11" t="inlineStr">
        <is>
          <t>a financiero gravamen movimiento</t>
        </is>
      </c>
      <c r="D869" s="13" t="n">
        <v>-27</v>
      </c>
      <c r="E869" s="11">
        <f>IF(SUM(COUNTIFS('Conciliacion de compuestos'!$D$2:$D$48,"conciliado",'Conciliacion de compuestos'!$E$2:$E$48,"OK",'Conciliacion de compuestos'!$J$2:$J$48,A869),COUNTIFS('Conciliacion de compuestos'!$D$2:$D$48,"conciliado",'Conciliacion de compuestos'!$E$2:$E$48,"OK",'Conciliacion de compuestos'!$K$2:$K$48,A869),COUNTIFS('Conciliacion de compuestos'!$D$2:$D$48,"conciliado",'Conciliacion de compuestos'!$E$2:$E$48,"OK",'Conciliacion de compuestos'!$L$2:$L$48,A869))&gt;0,"conciliado en compuesto confirmado","disponible")</f>
        <v/>
      </c>
    </row>
    <row r="870">
      <c r="A870" s="11" t="n">
        <v>878</v>
      </c>
      <c r="B870" s="12" t="n">
        <v>46007</v>
      </c>
      <c r="C870" s="11" t="inlineStr">
        <is>
          <t>credibanco d e retefuente voucher y</t>
        </is>
      </c>
      <c r="D870" s="13" t="n">
        <v>-4557</v>
      </c>
      <c r="E870" s="11">
        <f>IF(SUM(COUNTIFS('Conciliacion de compuestos'!$D$2:$D$48,"conciliado",'Conciliacion de compuestos'!$E$2:$E$48,"OK",'Conciliacion de compuestos'!$J$2:$J$48,A870),COUNTIFS('Conciliacion de compuestos'!$D$2:$D$48,"conciliado",'Conciliacion de compuestos'!$E$2:$E$48,"OK",'Conciliacion de compuestos'!$K$2:$K$48,A870),COUNTIFS('Conciliacion de compuestos'!$D$2:$D$48,"conciliado",'Conciliacion de compuestos'!$E$2:$E$48,"OK",'Conciliacion de compuestos'!$L$2:$L$48,A870))&gt;0,"conciliado en compuesto confirmado","disponible")</f>
        <v/>
      </c>
    </row>
    <row r="871">
      <c r="A871" s="11" t="n">
        <v>879</v>
      </c>
      <c r="B871" s="12" t="n">
        <v>46007</v>
      </c>
      <c r="C871" s="11" t="inlineStr">
        <is>
          <t>a financiero gravamen movimiento</t>
        </is>
      </c>
      <c r="D871" s="13" t="n">
        <v>-18</v>
      </c>
      <c r="E871" s="11">
        <f>IF(SUM(COUNTIFS('Conciliacion de compuestos'!$D$2:$D$48,"conciliado",'Conciliacion de compuestos'!$E$2:$E$48,"OK",'Conciliacion de compuestos'!$J$2:$J$48,A871),COUNTIFS('Conciliacion de compuestos'!$D$2:$D$48,"conciliado",'Conciliacion de compuestos'!$E$2:$E$48,"OK",'Conciliacion de compuestos'!$K$2:$K$48,A871),COUNTIFS('Conciliacion de compuestos'!$D$2:$D$48,"conciliado",'Conciliacion de compuestos'!$E$2:$E$48,"OK",'Conciliacion de compuestos'!$L$2:$L$48,A871))&gt;0,"conciliado en compuesto confirmado","disponible")</f>
        <v/>
      </c>
    </row>
    <row r="872">
      <c r="A872" s="11" t="n">
        <v>880</v>
      </c>
      <c r="B872" s="12" t="n">
        <v>46007</v>
      </c>
      <c r="C872" s="11" t="inlineStr">
        <is>
          <t>consignacion credibanco d e</t>
        </is>
      </c>
      <c r="D872" s="13" t="n">
        <v>42000</v>
      </c>
      <c r="E872" s="11">
        <f>IF(SUM(COUNTIFS('Conciliacion de compuestos'!$D$2:$D$48,"conciliado",'Conciliacion de compuestos'!$E$2:$E$48,"OK",'Conciliacion de compuestos'!$J$2:$J$48,A872),COUNTIFS('Conciliacion de compuestos'!$D$2:$D$48,"conciliado",'Conciliacion de compuestos'!$E$2:$E$48,"OK",'Conciliacion de compuestos'!$K$2:$K$48,A872),COUNTIFS('Conciliacion de compuestos'!$D$2:$D$48,"conciliado",'Conciliacion de compuestos'!$E$2:$E$48,"OK",'Conciliacion de compuestos'!$L$2:$L$48,A872))&gt;0,"conciliado en compuesto confirmado","disponible")</f>
        <v/>
      </c>
    </row>
    <row r="873">
      <c r="A873" s="11" t="n">
        <v>881</v>
      </c>
      <c r="B873" s="12" t="n">
        <v>46007</v>
      </c>
      <c r="C873" s="11" t="inlineStr">
        <is>
          <t>cobro comision depositos electronicos</t>
        </is>
      </c>
      <c r="D873" s="13" t="n">
        <v>-920</v>
      </c>
      <c r="E873" s="11">
        <f>IF(SUM(COUNTIFS('Conciliacion de compuestos'!$D$2:$D$48,"conciliado",'Conciliacion de compuestos'!$E$2:$E$48,"OK",'Conciliacion de compuestos'!$J$2:$J$48,A873),COUNTIFS('Conciliacion de compuestos'!$D$2:$D$48,"conciliado",'Conciliacion de compuestos'!$E$2:$E$48,"OK",'Conciliacion de compuestos'!$K$2:$K$48,A873),COUNTIFS('Conciliacion de compuestos'!$D$2:$D$48,"conciliado",'Conciliacion de compuestos'!$E$2:$E$48,"OK",'Conciliacion de compuestos'!$L$2:$L$48,A873))&gt;0,"conciliado en compuesto confirmado","disponible")</f>
        <v/>
      </c>
    </row>
    <row r="874">
      <c r="A874" s="11" t="n">
        <v>882</v>
      </c>
      <c r="B874" s="12" t="n">
        <v>46007</v>
      </c>
      <c r="C874" s="11" t="inlineStr">
        <is>
          <t>a financiero gravamen movimiento</t>
        </is>
      </c>
      <c r="D874" s="13" t="n">
        <v>-4</v>
      </c>
      <c r="E874" s="11">
        <f>IF(SUM(COUNTIFS('Conciliacion de compuestos'!$D$2:$D$48,"conciliado",'Conciliacion de compuestos'!$E$2:$E$48,"OK",'Conciliacion de compuestos'!$J$2:$J$48,A874),COUNTIFS('Conciliacion de compuestos'!$D$2:$D$48,"conciliado",'Conciliacion de compuestos'!$E$2:$E$48,"OK",'Conciliacion de compuestos'!$K$2:$K$48,A874),COUNTIFS('Conciliacion de compuestos'!$D$2:$D$48,"conciliado",'Conciliacion de compuestos'!$E$2:$E$48,"OK",'Conciliacion de compuestos'!$L$2:$L$48,A874))&gt;0,"conciliado en compuesto confirmado","disponible")</f>
        <v/>
      </c>
    </row>
    <row r="875">
      <c r="A875" s="11" t="n">
        <v>883</v>
      </c>
      <c r="B875" s="12" t="n">
        <v>46007</v>
      </c>
      <c r="C875" s="11" t="inlineStr">
        <is>
          <t>credibanco d e retefuente voucher y</t>
        </is>
      </c>
      <c r="D875" s="13" t="n">
        <v>-630</v>
      </c>
      <c r="E875" s="11">
        <f>IF(SUM(COUNTIFS('Conciliacion de compuestos'!$D$2:$D$48,"conciliado",'Conciliacion de compuestos'!$E$2:$E$48,"OK",'Conciliacion de compuestos'!$J$2:$J$48,A875),COUNTIFS('Conciliacion de compuestos'!$D$2:$D$48,"conciliado",'Conciliacion de compuestos'!$E$2:$E$48,"OK",'Conciliacion de compuestos'!$K$2:$K$48,A875),COUNTIFS('Conciliacion de compuestos'!$D$2:$D$48,"conciliado",'Conciliacion de compuestos'!$E$2:$E$48,"OK",'Conciliacion de compuestos'!$L$2:$L$48,A875))&gt;0,"conciliado en compuesto confirmado","disponible")</f>
        <v/>
      </c>
    </row>
    <row r="876">
      <c r="A876" s="11" t="n">
        <v>884</v>
      </c>
      <c r="B876" s="12" t="n">
        <v>46007</v>
      </c>
      <c r="C876" s="11" t="inlineStr">
        <is>
          <t>a financiero gravamen movimiento</t>
        </is>
      </c>
      <c r="D876" s="13" t="n">
        <v>-3</v>
      </c>
      <c r="E876" s="11">
        <f>IF(SUM(COUNTIFS('Conciliacion de compuestos'!$D$2:$D$48,"conciliado",'Conciliacion de compuestos'!$E$2:$E$48,"OK",'Conciliacion de compuestos'!$J$2:$J$48,A876),COUNTIFS('Conciliacion de compuestos'!$D$2:$D$48,"conciliado",'Conciliacion de compuestos'!$E$2:$E$48,"OK",'Conciliacion de compuestos'!$K$2:$K$48,A876),COUNTIFS('Conciliacion de compuestos'!$D$2:$D$48,"conciliado",'Conciliacion de compuestos'!$E$2:$E$48,"OK",'Conciliacion de compuestos'!$L$2:$L$48,A876))&gt;0,"conciliado en compuesto confirmado","disponible")</f>
        <v/>
      </c>
    </row>
    <row r="877">
      <c r="A877" s="11" t="n">
        <v>885</v>
      </c>
      <c r="B877" s="12" t="n">
        <v>46007</v>
      </c>
      <c r="C877" s="11" t="inlineStr">
        <is>
          <t>depositos electronicos masterca transaccion</t>
        </is>
      </c>
      <c r="D877" s="13" t="n">
        <v>97000</v>
      </c>
      <c r="E877" s="11">
        <f>IF(SUM(COUNTIFS('Conciliacion de compuestos'!$D$2:$D$48,"conciliado",'Conciliacion de compuestos'!$E$2:$E$48,"OK",'Conciliacion de compuestos'!$J$2:$J$48,A877),COUNTIFS('Conciliacion de compuestos'!$D$2:$D$48,"conciliado",'Conciliacion de compuestos'!$E$2:$E$48,"OK",'Conciliacion de compuestos'!$K$2:$K$48,A877),COUNTIFS('Conciliacion de compuestos'!$D$2:$D$48,"conciliado",'Conciliacion de compuestos'!$E$2:$E$48,"OK",'Conciliacion de compuestos'!$L$2:$L$48,A877))&gt;0,"conciliado en compuesto confirmado","disponible")</f>
        <v/>
      </c>
    </row>
    <row r="878">
      <c r="A878" s="11" t="n">
        <v>886</v>
      </c>
      <c r="B878" s="12" t="n">
        <v>46007</v>
      </c>
      <c r="C878" s="11" t="inlineStr">
        <is>
          <t>comision depositos electronicos mastercard</t>
        </is>
      </c>
      <c r="D878" s="13" t="n">
        <v>-2280</v>
      </c>
      <c r="E878" s="11">
        <f>IF(SUM(COUNTIFS('Conciliacion de compuestos'!$D$2:$D$48,"conciliado",'Conciliacion de compuestos'!$E$2:$E$48,"OK",'Conciliacion de compuestos'!$J$2:$J$48,A878),COUNTIFS('Conciliacion de compuestos'!$D$2:$D$48,"conciliado",'Conciliacion de compuestos'!$E$2:$E$48,"OK",'Conciliacion de compuestos'!$K$2:$K$48,A878),COUNTIFS('Conciliacion de compuestos'!$D$2:$D$48,"conciliado",'Conciliacion de compuestos'!$E$2:$E$48,"OK",'Conciliacion de compuestos'!$L$2:$L$48,A878))&gt;0,"conciliado en compuesto confirmado","disponible")</f>
        <v/>
      </c>
    </row>
    <row r="879">
      <c r="A879" s="11" t="n">
        <v>887</v>
      </c>
      <c r="B879" s="12" t="n">
        <v>46007</v>
      </c>
      <c r="C879" s="11" t="inlineStr">
        <is>
          <t>a financiero gravamen movimiento</t>
        </is>
      </c>
      <c r="D879" s="13" t="n">
        <v>-9</v>
      </c>
      <c r="E879" s="11">
        <f>IF(SUM(COUNTIFS('Conciliacion de compuestos'!$D$2:$D$48,"conciliado",'Conciliacion de compuestos'!$E$2:$E$48,"OK",'Conciliacion de compuestos'!$J$2:$J$48,A879),COUNTIFS('Conciliacion de compuestos'!$D$2:$D$48,"conciliado",'Conciliacion de compuestos'!$E$2:$E$48,"OK",'Conciliacion de compuestos'!$K$2:$K$48,A879),COUNTIFS('Conciliacion de compuestos'!$D$2:$D$48,"conciliado",'Conciliacion de compuestos'!$E$2:$E$48,"OK",'Conciliacion de compuestos'!$L$2:$L$48,A879))&gt;0,"conciliado en compuesto confirmado","disponible")</f>
        <v/>
      </c>
    </row>
    <row r="880">
      <c r="A880" s="11" t="n">
        <v>888</v>
      </c>
      <c r="B880" s="12" t="n">
        <v>46007</v>
      </c>
      <c r="C880" s="11" t="inlineStr">
        <is>
          <t>depositos electronicos mastercar retefuente</t>
        </is>
      </c>
      <c r="D880" s="13" t="n">
        <v>-1455</v>
      </c>
      <c r="E880" s="11">
        <f>IF(SUM(COUNTIFS('Conciliacion de compuestos'!$D$2:$D$48,"conciliado",'Conciliacion de compuestos'!$E$2:$E$48,"OK",'Conciliacion de compuestos'!$J$2:$J$48,A880),COUNTIFS('Conciliacion de compuestos'!$D$2:$D$48,"conciliado",'Conciliacion de compuestos'!$E$2:$E$48,"OK",'Conciliacion de compuestos'!$K$2:$K$48,A880),COUNTIFS('Conciliacion de compuestos'!$D$2:$D$48,"conciliado",'Conciliacion de compuestos'!$E$2:$E$48,"OK",'Conciliacion de compuestos'!$L$2:$L$48,A880))&gt;0,"conciliado en compuesto confirmado","disponible")</f>
        <v/>
      </c>
    </row>
    <row r="881">
      <c r="A881" s="11" t="n">
        <v>889</v>
      </c>
      <c r="B881" s="12" t="n">
        <v>46007</v>
      </c>
      <c r="C881" s="11" t="inlineStr">
        <is>
          <t>a financiero gravamen movimiento</t>
        </is>
      </c>
      <c r="D881" s="13" t="n">
        <v>-6</v>
      </c>
      <c r="E881" s="11">
        <f>IF(SUM(COUNTIFS('Conciliacion de compuestos'!$D$2:$D$48,"conciliado",'Conciliacion de compuestos'!$E$2:$E$48,"OK",'Conciliacion de compuestos'!$J$2:$J$48,A881),COUNTIFS('Conciliacion de compuestos'!$D$2:$D$48,"conciliado",'Conciliacion de compuestos'!$E$2:$E$48,"OK",'Conciliacion de compuestos'!$K$2:$K$48,A881),COUNTIFS('Conciliacion de compuestos'!$D$2:$D$48,"conciliado",'Conciliacion de compuestos'!$E$2:$E$48,"OK",'Conciliacion de compuestos'!$L$2:$L$48,A881))&gt;0,"conciliado en compuesto confirmado","disponible")</f>
        <v/>
      </c>
    </row>
    <row r="882">
      <c r="A882" s="11" t="n">
        <v>890</v>
      </c>
      <c r="B882" s="12" t="n">
        <v>46007</v>
      </c>
      <c r="C882" s="11" t="inlineStr">
        <is>
          <t>depositos electronicos masterca transaccion</t>
        </is>
      </c>
      <c r="D882" s="13" t="n">
        <v>45600</v>
      </c>
      <c r="E882" s="11">
        <f>IF(SUM(COUNTIFS('Conciliacion de compuestos'!$D$2:$D$48,"conciliado",'Conciliacion de compuestos'!$E$2:$E$48,"OK",'Conciliacion de compuestos'!$J$2:$J$48,A882),COUNTIFS('Conciliacion de compuestos'!$D$2:$D$48,"conciliado",'Conciliacion de compuestos'!$E$2:$E$48,"OK",'Conciliacion de compuestos'!$K$2:$K$48,A882),COUNTIFS('Conciliacion de compuestos'!$D$2:$D$48,"conciliado",'Conciliacion de compuestos'!$E$2:$E$48,"OK",'Conciliacion de compuestos'!$L$2:$L$48,A882))&gt;0,"conciliado en compuesto confirmado","disponible")</f>
        <v/>
      </c>
    </row>
    <row r="883">
      <c r="A883" s="11" t="n">
        <v>891</v>
      </c>
      <c r="B883" s="12" t="n">
        <v>46007</v>
      </c>
      <c r="C883" s="11" t="inlineStr">
        <is>
          <t>comision depositos electronicos mastercard</t>
        </is>
      </c>
      <c r="D883" s="13" t="n">
        <v>-866</v>
      </c>
      <c r="E883" s="11">
        <f>IF(SUM(COUNTIFS('Conciliacion de compuestos'!$D$2:$D$48,"conciliado",'Conciliacion de compuestos'!$E$2:$E$48,"OK",'Conciliacion de compuestos'!$J$2:$J$48,A883),COUNTIFS('Conciliacion de compuestos'!$D$2:$D$48,"conciliado",'Conciliacion de compuestos'!$E$2:$E$48,"OK",'Conciliacion de compuestos'!$K$2:$K$48,A883),COUNTIFS('Conciliacion de compuestos'!$D$2:$D$48,"conciliado",'Conciliacion de compuestos'!$E$2:$E$48,"OK",'Conciliacion de compuestos'!$L$2:$L$48,A883))&gt;0,"conciliado en compuesto confirmado","disponible")</f>
        <v/>
      </c>
    </row>
    <row r="884">
      <c r="A884" s="11" t="n">
        <v>892</v>
      </c>
      <c r="B884" s="12" t="n">
        <v>46007</v>
      </c>
      <c r="C884" s="11" t="inlineStr">
        <is>
          <t>a financiero gravamen movimiento</t>
        </is>
      </c>
      <c r="D884" s="13" t="n">
        <v>-3</v>
      </c>
      <c r="E884" s="11">
        <f>IF(SUM(COUNTIFS('Conciliacion de compuestos'!$D$2:$D$48,"conciliado",'Conciliacion de compuestos'!$E$2:$E$48,"OK",'Conciliacion de compuestos'!$J$2:$J$48,A884),COUNTIFS('Conciliacion de compuestos'!$D$2:$D$48,"conciliado",'Conciliacion de compuestos'!$E$2:$E$48,"OK",'Conciliacion de compuestos'!$K$2:$K$48,A884),COUNTIFS('Conciliacion de compuestos'!$D$2:$D$48,"conciliado",'Conciliacion de compuestos'!$E$2:$E$48,"OK",'Conciliacion de compuestos'!$L$2:$L$48,A884))&gt;0,"conciliado en compuesto confirmado","disponible")</f>
        <v/>
      </c>
    </row>
    <row r="885">
      <c r="A885" s="11" t="n">
        <v>893</v>
      </c>
      <c r="B885" s="12" t="n">
        <v>46007</v>
      </c>
      <c r="C885" s="11" t="inlineStr">
        <is>
          <t>depositos electronicos mastercar retefuente</t>
        </is>
      </c>
      <c r="D885" s="13" t="n">
        <v>-684</v>
      </c>
      <c r="E885" s="11">
        <f>IF(SUM(COUNTIFS('Conciliacion de compuestos'!$D$2:$D$48,"conciliado",'Conciliacion de compuestos'!$E$2:$E$48,"OK",'Conciliacion de compuestos'!$J$2:$J$48,A885),COUNTIFS('Conciliacion de compuestos'!$D$2:$D$48,"conciliado",'Conciliacion de compuestos'!$E$2:$E$48,"OK",'Conciliacion de compuestos'!$K$2:$K$48,A885),COUNTIFS('Conciliacion de compuestos'!$D$2:$D$48,"conciliado",'Conciliacion de compuestos'!$E$2:$E$48,"OK",'Conciliacion de compuestos'!$L$2:$L$48,A885))&gt;0,"conciliado en compuesto confirmado","disponible")</f>
        <v/>
      </c>
    </row>
    <row r="886">
      <c r="A886" s="11" t="n">
        <v>894</v>
      </c>
      <c r="B886" s="12" t="n">
        <v>46007</v>
      </c>
      <c r="C886" s="11" t="inlineStr">
        <is>
          <t>a financiero gravamen movimiento</t>
        </is>
      </c>
      <c r="D886" s="13" t="n">
        <v>-3</v>
      </c>
      <c r="E886" s="11">
        <f>IF(SUM(COUNTIFS('Conciliacion de compuestos'!$D$2:$D$48,"conciliado",'Conciliacion de compuestos'!$E$2:$E$48,"OK",'Conciliacion de compuestos'!$J$2:$J$48,A886),COUNTIFS('Conciliacion de compuestos'!$D$2:$D$48,"conciliado",'Conciliacion de compuestos'!$E$2:$E$48,"OK",'Conciliacion de compuestos'!$K$2:$K$48,A886),COUNTIFS('Conciliacion de compuestos'!$D$2:$D$48,"conciliado",'Conciliacion de compuestos'!$E$2:$E$48,"OK",'Conciliacion de compuestos'!$L$2:$L$48,A886))&gt;0,"conciliado en compuesto confirmado","disponible")</f>
        <v/>
      </c>
    </row>
    <row r="887">
      <c r="A887" s="11" t="n">
        <v>895</v>
      </c>
      <c r="B887" s="12" t="n">
        <v>46007</v>
      </c>
      <c r="C887" s="11" t="inlineStr">
        <is>
          <t>depositos electronicos masterca transaccion</t>
        </is>
      </c>
      <c r="D887" s="13" t="n">
        <v>321600</v>
      </c>
      <c r="E887" s="11">
        <f>IF(SUM(COUNTIFS('Conciliacion de compuestos'!$D$2:$D$48,"conciliado",'Conciliacion de compuestos'!$E$2:$E$48,"OK",'Conciliacion de compuestos'!$J$2:$J$48,A887),COUNTIFS('Conciliacion de compuestos'!$D$2:$D$48,"conciliado",'Conciliacion de compuestos'!$E$2:$E$48,"OK",'Conciliacion de compuestos'!$K$2:$K$48,A887),COUNTIFS('Conciliacion de compuestos'!$D$2:$D$48,"conciliado",'Conciliacion de compuestos'!$E$2:$E$48,"OK",'Conciliacion de compuestos'!$L$2:$L$48,A887))&gt;0,"conciliado en compuesto confirmado","disponible")</f>
        <v/>
      </c>
    </row>
    <row r="888">
      <c r="A888" s="11" t="n">
        <v>896</v>
      </c>
      <c r="B888" s="12" t="n">
        <v>46007</v>
      </c>
      <c r="C888" s="11" t="inlineStr">
        <is>
          <t>comision depositos electronicos mastercard</t>
        </is>
      </c>
      <c r="D888" s="13" t="n">
        <v>-6110</v>
      </c>
      <c r="E888" s="11">
        <f>IF(SUM(COUNTIFS('Conciliacion de compuestos'!$D$2:$D$48,"conciliado",'Conciliacion de compuestos'!$E$2:$E$48,"OK",'Conciliacion de compuestos'!$J$2:$J$48,A888),COUNTIFS('Conciliacion de compuestos'!$D$2:$D$48,"conciliado",'Conciliacion de compuestos'!$E$2:$E$48,"OK",'Conciliacion de compuestos'!$K$2:$K$48,A888),COUNTIFS('Conciliacion de compuestos'!$D$2:$D$48,"conciliado",'Conciliacion de compuestos'!$E$2:$E$48,"OK",'Conciliacion de compuestos'!$L$2:$L$48,A888))&gt;0,"conciliado en compuesto confirmado","disponible")</f>
        <v/>
      </c>
    </row>
    <row r="889">
      <c r="A889" s="11" t="n">
        <v>897</v>
      </c>
      <c r="B889" s="12" t="n">
        <v>46007</v>
      </c>
      <c r="C889" s="11" t="inlineStr">
        <is>
          <t>a financiero gravamen movimiento</t>
        </is>
      </c>
      <c r="D889" s="13" t="n">
        <v>-24</v>
      </c>
      <c r="E889" s="11">
        <f>IF(SUM(COUNTIFS('Conciliacion de compuestos'!$D$2:$D$48,"conciliado",'Conciliacion de compuestos'!$E$2:$E$48,"OK",'Conciliacion de compuestos'!$J$2:$J$48,A889),COUNTIFS('Conciliacion de compuestos'!$D$2:$D$48,"conciliado",'Conciliacion de compuestos'!$E$2:$E$48,"OK",'Conciliacion de compuestos'!$K$2:$K$48,A889),COUNTIFS('Conciliacion de compuestos'!$D$2:$D$48,"conciliado",'Conciliacion de compuestos'!$E$2:$E$48,"OK",'Conciliacion de compuestos'!$L$2:$L$48,A889))&gt;0,"conciliado en compuesto confirmado","disponible")</f>
        <v/>
      </c>
    </row>
    <row r="890">
      <c r="A890" s="11" t="n">
        <v>898</v>
      </c>
      <c r="B890" s="12" t="n">
        <v>46007</v>
      </c>
      <c r="C890" s="11" t="inlineStr">
        <is>
          <t>depositos electronicos mastercar retefuente</t>
        </is>
      </c>
      <c r="D890" s="13" t="n">
        <v>-4824</v>
      </c>
      <c r="E890" s="11">
        <f>IF(SUM(COUNTIFS('Conciliacion de compuestos'!$D$2:$D$48,"conciliado",'Conciliacion de compuestos'!$E$2:$E$48,"OK",'Conciliacion de compuestos'!$J$2:$J$48,A890),COUNTIFS('Conciliacion de compuestos'!$D$2:$D$48,"conciliado",'Conciliacion de compuestos'!$E$2:$E$48,"OK",'Conciliacion de compuestos'!$K$2:$K$48,A890),COUNTIFS('Conciliacion de compuestos'!$D$2:$D$48,"conciliado",'Conciliacion de compuestos'!$E$2:$E$48,"OK",'Conciliacion de compuestos'!$L$2:$L$48,A890))&gt;0,"conciliado en compuesto confirmado","disponible")</f>
        <v/>
      </c>
    </row>
    <row r="891">
      <c r="A891" s="11" t="n">
        <v>899</v>
      </c>
      <c r="B891" s="12" t="n">
        <v>46007</v>
      </c>
      <c r="C891" s="11" t="inlineStr">
        <is>
          <t>a financiero gravamen movimiento</t>
        </is>
      </c>
      <c r="D891" s="13" t="n">
        <v>-19</v>
      </c>
      <c r="E891" s="11">
        <f>IF(SUM(COUNTIFS('Conciliacion de compuestos'!$D$2:$D$48,"conciliado",'Conciliacion de compuestos'!$E$2:$E$48,"OK",'Conciliacion de compuestos'!$J$2:$J$48,A891),COUNTIFS('Conciliacion de compuestos'!$D$2:$D$48,"conciliado",'Conciliacion de compuestos'!$E$2:$E$48,"OK",'Conciliacion de compuestos'!$K$2:$K$48,A891),COUNTIFS('Conciliacion de compuestos'!$D$2:$D$48,"conciliado",'Conciliacion de compuestos'!$E$2:$E$48,"OK",'Conciliacion de compuestos'!$L$2:$L$48,A891))&gt;0,"conciliado en compuesto confirmado","disponible")</f>
        <v/>
      </c>
    </row>
    <row r="892">
      <c r="A892" s="11" t="n">
        <v>900</v>
      </c>
      <c r="B892" s="12" t="n">
        <v>46007</v>
      </c>
      <c r="C892" s="11" t="inlineStr">
        <is>
          <t>depositos electronicos masterca transaccion</t>
        </is>
      </c>
      <c r="D892" s="13" t="n">
        <v>63236</v>
      </c>
      <c r="E892" s="11">
        <f>IF(SUM(COUNTIFS('Conciliacion de compuestos'!$D$2:$D$48,"conciliado",'Conciliacion de compuestos'!$E$2:$E$48,"OK",'Conciliacion de compuestos'!$J$2:$J$48,A892),COUNTIFS('Conciliacion de compuestos'!$D$2:$D$48,"conciliado",'Conciliacion de compuestos'!$E$2:$E$48,"OK",'Conciliacion de compuestos'!$K$2:$K$48,A892),COUNTIFS('Conciliacion de compuestos'!$D$2:$D$48,"conciliado",'Conciliacion de compuestos'!$E$2:$E$48,"OK",'Conciliacion de compuestos'!$L$2:$L$48,A892))&gt;0,"conciliado en compuesto confirmado","disponible")</f>
        <v/>
      </c>
    </row>
    <row r="893">
      <c r="A893" s="11" t="n">
        <v>901</v>
      </c>
      <c r="B893" s="12" t="n">
        <v>46007</v>
      </c>
      <c r="C893" s="11" t="inlineStr">
        <is>
          <t>comision depositos electronicos mastercard</t>
        </is>
      </c>
      <c r="D893" s="13" t="n">
        <v>-1201</v>
      </c>
      <c r="E893" s="11">
        <f>IF(SUM(COUNTIFS('Conciliacion de compuestos'!$D$2:$D$48,"conciliado",'Conciliacion de compuestos'!$E$2:$E$48,"OK",'Conciliacion de compuestos'!$J$2:$J$48,A893),COUNTIFS('Conciliacion de compuestos'!$D$2:$D$48,"conciliado",'Conciliacion de compuestos'!$E$2:$E$48,"OK",'Conciliacion de compuestos'!$K$2:$K$48,A893),COUNTIFS('Conciliacion de compuestos'!$D$2:$D$48,"conciliado",'Conciliacion de compuestos'!$E$2:$E$48,"OK",'Conciliacion de compuestos'!$L$2:$L$48,A893))&gt;0,"conciliado en compuesto confirmado","disponible")</f>
        <v/>
      </c>
    </row>
    <row r="894">
      <c r="A894" s="11" t="n">
        <v>902</v>
      </c>
      <c r="B894" s="12" t="n">
        <v>46007</v>
      </c>
      <c r="C894" s="11" t="inlineStr">
        <is>
          <t>a financiero gravamen movimiento</t>
        </is>
      </c>
      <c r="D894" s="13" t="n">
        <v>-5</v>
      </c>
      <c r="E894" s="11">
        <f>IF(SUM(COUNTIFS('Conciliacion de compuestos'!$D$2:$D$48,"conciliado",'Conciliacion de compuestos'!$E$2:$E$48,"OK",'Conciliacion de compuestos'!$J$2:$J$48,A894),COUNTIFS('Conciliacion de compuestos'!$D$2:$D$48,"conciliado",'Conciliacion de compuestos'!$E$2:$E$48,"OK",'Conciliacion de compuestos'!$K$2:$K$48,A894),COUNTIFS('Conciliacion de compuestos'!$D$2:$D$48,"conciliado",'Conciliacion de compuestos'!$E$2:$E$48,"OK",'Conciliacion de compuestos'!$L$2:$L$48,A894))&gt;0,"conciliado en compuesto confirmado","disponible")</f>
        <v/>
      </c>
    </row>
    <row r="895">
      <c r="A895" s="11" t="n">
        <v>903</v>
      </c>
      <c r="B895" s="12" t="n">
        <v>46007</v>
      </c>
      <c r="C895" s="11" t="inlineStr">
        <is>
          <t>depositos electronicos mastercar retefuente</t>
        </is>
      </c>
      <c r="D895" s="13" t="n">
        <v>-949</v>
      </c>
      <c r="E895" s="11">
        <f>IF(SUM(COUNTIFS('Conciliacion de compuestos'!$D$2:$D$48,"conciliado",'Conciliacion de compuestos'!$E$2:$E$48,"OK",'Conciliacion de compuestos'!$J$2:$J$48,A895),COUNTIFS('Conciliacion de compuestos'!$D$2:$D$48,"conciliado",'Conciliacion de compuestos'!$E$2:$E$48,"OK",'Conciliacion de compuestos'!$K$2:$K$48,A895),COUNTIFS('Conciliacion de compuestos'!$D$2:$D$48,"conciliado",'Conciliacion de compuestos'!$E$2:$E$48,"OK",'Conciliacion de compuestos'!$L$2:$L$48,A895))&gt;0,"conciliado en compuesto confirmado","disponible")</f>
        <v/>
      </c>
    </row>
    <row r="896">
      <c r="A896" s="11" t="n">
        <v>904</v>
      </c>
      <c r="B896" s="12" t="n">
        <v>46007</v>
      </c>
      <c r="C896" s="11" t="inlineStr">
        <is>
          <t>a financiero gravamen movimiento</t>
        </is>
      </c>
      <c r="D896" s="13" t="n">
        <v>-4</v>
      </c>
      <c r="E896" s="11">
        <f>IF(SUM(COUNTIFS('Conciliacion de compuestos'!$D$2:$D$48,"conciliado",'Conciliacion de compuestos'!$E$2:$E$48,"OK",'Conciliacion de compuestos'!$J$2:$J$48,A896),COUNTIFS('Conciliacion de compuestos'!$D$2:$D$48,"conciliado",'Conciliacion de compuestos'!$E$2:$E$48,"OK",'Conciliacion de compuestos'!$K$2:$K$48,A896),COUNTIFS('Conciliacion de compuestos'!$D$2:$D$48,"conciliado",'Conciliacion de compuestos'!$E$2:$E$48,"OK",'Conciliacion de compuestos'!$L$2:$L$48,A896))&gt;0,"conciliado en compuesto confirmado","disponible")</f>
        <v/>
      </c>
    </row>
    <row r="897">
      <c r="A897" s="11" t="n">
        <v>905</v>
      </c>
      <c r="B897" s="12" t="n">
        <v>46007</v>
      </c>
      <c r="C897" s="11" t="inlineStr">
        <is>
          <t>depositos electronicos masterca transaccion</t>
        </is>
      </c>
      <c r="D897" s="13" t="n">
        <v>27600</v>
      </c>
      <c r="E897" s="11">
        <f>IF(SUM(COUNTIFS('Conciliacion de compuestos'!$D$2:$D$48,"conciliado",'Conciliacion de compuestos'!$E$2:$E$48,"OK",'Conciliacion de compuestos'!$J$2:$J$48,A897),COUNTIFS('Conciliacion de compuestos'!$D$2:$D$48,"conciliado",'Conciliacion de compuestos'!$E$2:$E$48,"OK",'Conciliacion de compuestos'!$K$2:$K$48,A897),COUNTIFS('Conciliacion de compuestos'!$D$2:$D$48,"conciliado",'Conciliacion de compuestos'!$E$2:$E$48,"OK",'Conciliacion de compuestos'!$L$2:$L$48,A897))&gt;0,"conciliado en compuesto confirmado","disponible")</f>
        <v/>
      </c>
    </row>
    <row r="898">
      <c r="A898" s="11" t="n">
        <v>906</v>
      </c>
      <c r="B898" s="12" t="n">
        <v>46007</v>
      </c>
      <c r="C898" s="11" t="inlineStr">
        <is>
          <t>comision depositos electronicos mastercard</t>
        </is>
      </c>
      <c r="D898" s="13" t="n">
        <v>-524</v>
      </c>
      <c r="E898" s="11">
        <f>IF(SUM(COUNTIFS('Conciliacion de compuestos'!$D$2:$D$48,"conciliado",'Conciliacion de compuestos'!$E$2:$E$48,"OK",'Conciliacion de compuestos'!$J$2:$J$48,A898),COUNTIFS('Conciliacion de compuestos'!$D$2:$D$48,"conciliado",'Conciliacion de compuestos'!$E$2:$E$48,"OK",'Conciliacion de compuestos'!$K$2:$K$48,A898),COUNTIFS('Conciliacion de compuestos'!$D$2:$D$48,"conciliado",'Conciliacion de compuestos'!$E$2:$E$48,"OK",'Conciliacion de compuestos'!$L$2:$L$48,A898))&gt;0,"conciliado en compuesto confirmado","disponible")</f>
        <v/>
      </c>
    </row>
    <row r="899">
      <c r="A899" s="11" t="n">
        <v>907</v>
      </c>
      <c r="B899" s="12" t="n">
        <v>46007</v>
      </c>
      <c r="C899" s="11" t="inlineStr">
        <is>
          <t>a financiero gravamen movimiento</t>
        </is>
      </c>
      <c r="D899" s="13" t="n">
        <v>-2</v>
      </c>
      <c r="E899" s="11">
        <f>IF(SUM(COUNTIFS('Conciliacion de compuestos'!$D$2:$D$48,"conciliado",'Conciliacion de compuestos'!$E$2:$E$48,"OK",'Conciliacion de compuestos'!$J$2:$J$48,A899),COUNTIFS('Conciliacion de compuestos'!$D$2:$D$48,"conciliado",'Conciliacion de compuestos'!$E$2:$E$48,"OK",'Conciliacion de compuestos'!$K$2:$K$48,A899),COUNTIFS('Conciliacion de compuestos'!$D$2:$D$48,"conciliado",'Conciliacion de compuestos'!$E$2:$E$48,"OK",'Conciliacion de compuestos'!$L$2:$L$48,A899))&gt;0,"conciliado en compuesto confirmado","disponible")</f>
        <v/>
      </c>
    </row>
    <row r="900">
      <c r="A900" s="11" t="n">
        <v>908</v>
      </c>
      <c r="B900" s="12" t="n">
        <v>46007</v>
      </c>
      <c r="C900" s="11" t="inlineStr">
        <is>
          <t>depositos electronicos mastercar retefuente</t>
        </is>
      </c>
      <c r="D900" s="13" t="n">
        <v>-414</v>
      </c>
      <c r="E900" s="11">
        <f>IF(SUM(COUNTIFS('Conciliacion de compuestos'!$D$2:$D$48,"conciliado",'Conciliacion de compuestos'!$E$2:$E$48,"OK",'Conciliacion de compuestos'!$J$2:$J$48,A900),COUNTIFS('Conciliacion de compuestos'!$D$2:$D$48,"conciliado",'Conciliacion de compuestos'!$E$2:$E$48,"OK",'Conciliacion de compuestos'!$K$2:$K$48,A900),COUNTIFS('Conciliacion de compuestos'!$D$2:$D$48,"conciliado",'Conciliacion de compuestos'!$E$2:$E$48,"OK",'Conciliacion de compuestos'!$L$2:$L$48,A900))&gt;0,"conciliado en compuesto confirmado","disponible")</f>
        <v/>
      </c>
    </row>
    <row r="901">
      <c r="A901" s="11" t="n">
        <v>909</v>
      </c>
      <c r="B901" s="12" t="n">
        <v>46007</v>
      </c>
      <c r="C901" s="11" t="inlineStr">
        <is>
          <t>a financiero gravamen movimiento</t>
        </is>
      </c>
      <c r="D901" s="13" t="n">
        <v>-2</v>
      </c>
      <c r="E901" s="11">
        <f>IF(SUM(COUNTIFS('Conciliacion de compuestos'!$D$2:$D$48,"conciliado",'Conciliacion de compuestos'!$E$2:$E$48,"OK",'Conciliacion de compuestos'!$J$2:$J$48,A901),COUNTIFS('Conciliacion de compuestos'!$D$2:$D$48,"conciliado",'Conciliacion de compuestos'!$E$2:$E$48,"OK",'Conciliacion de compuestos'!$K$2:$K$48,A901),COUNTIFS('Conciliacion de compuestos'!$D$2:$D$48,"conciliado",'Conciliacion de compuestos'!$E$2:$E$48,"OK",'Conciliacion de compuestos'!$L$2:$L$48,A901))&gt;0,"conciliado en compuesto confirmado","disponible")</f>
        <v/>
      </c>
    </row>
    <row r="902">
      <c r="A902" s="11" t="n">
        <v>910</v>
      </c>
      <c r="B902" s="12" t="n">
        <v>46008</v>
      </c>
      <c r="C902" s="11" t="inlineStr">
        <is>
          <t>consignacion credibanco d e</t>
        </is>
      </c>
      <c r="D902" s="13" t="n">
        <v>44900</v>
      </c>
      <c r="E902" s="11">
        <f>IF(SUM(COUNTIFS('Conciliacion de compuestos'!$D$2:$D$48,"conciliado",'Conciliacion de compuestos'!$E$2:$E$48,"OK",'Conciliacion de compuestos'!$J$2:$J$48,A902),COUNTIFS('Conciliacion de compuestos'!$D$2:$D$48,"conciliado",'Conciliacion de compuestos'!$E$2:$E$48,"OK",'Conciliacion de compuestos'!$K$2:$K$48,A902),COUNTIFS('Conciliacion de compuestos'!$D$2:$D$48,"conciliado",'Conciliacion de compuestos'!$E$2:$E$48,"OK",'Conciliacion de compuestos'!$L$2:$L$48,A902))&gt;0,"conciliado en compuesto confirmado","disponible")</f>
        <v/>
      </c>
    </row>
    <row r="903">
      <c r="A903" s="11" t="n">
        <v>911</v>
      </c>
      <c r="B903" s="12" t="n">
        <v>46008</v>
      </c>
      <c r="C903" s="11" t="inlineStr">
        <is>
          <t>cobro comision depositos electronicos</t>
        </is>
      </c>
      <c r="D903" s="13" t="n">
        <v>-925</v>
      </c>
      <c r="E903" s="11">
        <f>IF(SUM(COUNTIFS('Conciliacion de compuestos'!$D$2:$D$48,"conciliado",'Conciliacion de compuestos'!$E$2:$E$48,"OK",'Conciliacion de compuestos'!$J$2:$J$48,A903),COUNTIFS('Conciliacion de compuestos'!$D$2:$D$48,"conciliado",'Conciliacion de compuestos'!$E$2:$E$48,"OK",'Conciliacion de compuestos'!$K$2:$K$48,A903),COUNTIFS('Conciliacion de compuestos'!$D$2:$D$48,"conciliado",'Conciliacion de compuestos'!$E$2:$E$48,"OK",'Conciliacion de compuestos'!$L$2:$L$48,A903))&gt;0,"conciliado en compuesto confirmado","disponible")</f>
        <v/>
      </c>
    </row>
    <row r="904">
      <c r="A904" s="11" t="n">
        <v>912</v>
      </c>
      <c r="B904" s="12" t="n">
        <v>46008</v>
      </c>
      <c r="C904" s="11" t="inlineStr">
        <is>
          <t>a financiero gravamen movimiento</t>
        </is>
      </c>
      <c r="D904" s="13" t="n">
        <v>-4</v>
      </c>
      <c r="E904" s="11">
        <f>IF(SUM(COUNTIFS('Conciliacion de compuestos'!$D$2:$D$48,"conciliado",'Conciliacion de compuestos'!$E$2:$E$48,"OK",'Conciliacion de compuestos'!$J$2:$J$48,A904),COUNTIFS('Conciliacion de compuestos'!$D$2:$D$48,"conciliado",'Conciliacion de compuestos'!$E$2:$E$48,"OK",'Conciliacion de compuestos'!$K$2:$K$48,A904),COUNTIFS('Conciliacion de compuestos'!$D$2:$D$48,"conciliado",'Conciliacion de compuestos'!$E$2:$E$48,"OK",'Conciliacion de compuestos'!$L$2:$L$48,A904))&gt;0,"conciliado en compuesto confirmado","disponible")</f>
        <v/>
      </c>
    </row>
    <row r="905">
      <c r="A905" s="11" t="n">
        <v>913</v>
      </c>
      <c r="B905" s="12" t="n">
        <v>46008</v>
      </c>
      <c r="C905" s="11" t="inlineStr">
        <is>
          <t>credibanco d e retefuente voucher y</t>
        </is>
      </c>
      <c r="D905" s="13" t="n">
        <v>-674</v>
      </c>
      <c r="E905" s="11">
        <f>IF(SUM(COUNTIFS('Conciliacion de compuestos'!$D$2:$D$48,"conciliado",'Conciliacion de compuestos'!$E$2:$E$48,"OK",'Conciliacion de compuestos'!$J$2:$J$48,A905),COUNTIFS('Conciliacion de compuestos'!$D$2:$D$48,"conciliado",'Conciliacion de compuestos'!$E$2:$E$48,"OK",'Conciliacion de compuestos'!$K$2:$K$48,A905),COUNTIFS('Conciliacion de compuestos'!$D$2:$D$48,"conciliado",'Conciliacion de compuestos'!$E$2:$E$48,"OK",'Conciliacion de compuestos'!$L$2:$L$48,A905))&gt;0,"conciliado en compuesto confirmado","disponible")</f>
        <v/>
      </c>
    </row>
    <row r="906">
      <c r="A906" s="11" t="n">
        <v>914</v>
      </c>
      <c r="B906" s="12" t="n">
        <v>46008</v>
      </c>
      <c r="C906" s="11" t="inlineStr">
        <is>
          <t>a financiero gravamen movimiento</t>
        </is>
      </c>
      <c r="D906" s="13" t="n">
        <v>-3</v>
      </c>
      <c r="E906" s="11">
        <f>IF(SUM(COUNTIFS('Conciliacion de compuestos'!$D$2:$D$48,"conciliado",'Conciliacion de compuestos'!$E$2:$E$48,"OK",'Conciliacion de compuestos'!$J$2:$J$48,A906),COUNTIFS('Conciliacion de compuestos'!$D$2:$D$48,"conciliado",'Conciliacion de compuestos'!$E$2:$E$48,"OK",'Conciliacion de compuestos'!$K$2:$K$48,A906),COUNTIFS('Conciliacion de compuestos'!$D$2:$D$48,"conciliado",'Conciliacion de compuestos'!$E$2:$E$48,"OK",'Conciliacion de compuestos'!$L$2:$L$48,A906))&gt;0,"conciliado en compuesto confirmado","disponible")</f>
        <v/>
      </c>
    </row>
    <row r="907">
      <c r="A907" s="11" t="n">
        <v>915</v>
      </c>
      <c r="B907" s="12" t="n">
        <v>46008</v>
      </c>
      <c r="C907" s="11" t="inlineStr">
        <is>
          <t>consignacion credibanco d e</t>
        </is>
      </c>
      <c r="D907" s="13" t="n">
        <v>23500</v>
      </c>
      <c r="E907" s="11">
        <f>IF(SUM(COUNTIFS('Conciliacion de compuestos'!$D$2:$D$48,"conciliado",'Conciliacion de compuestos'!$E$2:$E$48,"OK",'Conciliacion de compuestos'!$J$2:$J$48,A907),COUNTIFS('Conciliacion de compuestos'!$D$2:$D$48,"conciliado",'Conciliacion de compuestos'!$E$2:$E$48,"OK",'Conciliacion de compuestos'!$K$2:$K$48,A907),COUNTIFS('Conciliacion de compuestos'!$D$2:$D$48,"conciliado",'Conciliacion de compuestos'!$E$2:$E$48,"OK",'Conciliacion de compuestos'!$L$2:$L$48,A907))&gt;0,"conciliado en compuesto confirmado","disponible")</f>
        <v/>
      </c>
    </row>
    <row r="908">
      <c r="A908" s="11" t="n">
        <v>916</v>
      </c>
      <c r="B908" s="12" t="n">
        <v>46008</v>
      </c>
      <c r="C908" s="11" t="inlineStr">
        <is>
          <t>cobro comision depositos electronicos</t>
        </is>
      </c>
      <c r="D908" s="13" t="n">
        <v>-508</v>
      </c>
      <c r="E908" s="11">
        <f>IF(SUM(COUNTIFS('Conciliacion de compuestos'!$D$2:$D$48,"conciliado",'Conciliacion de compuestos'!$E$2:$E$48,"OK",'Conciliacion de compuestos'!$J$2:$J$48,A908),COUNTIFS('Conciliacion de compuestos'!$D$2:$D$48,"conciliado",'Conciliacion de compuestos'!$E$2:$E$48,"OK",'Conciliacion de compuestos'!$K$2:$K$48,A908),COUNTIFS('Conciliacion de compuestos'!$D$2:$D$48,"conciliado",'Conciliacion de compuestos'!$E$2:$E$48,"OK",'Conciliacion de compuestos'!$L$2:$L$48,A908))&gt;0,"conciliado en compuesto confirmado","disponible")</f>
        <v/>
      </c>
    </row>
    <row r="909">
      <c r="A909" s="11" t="n">
        <v>917</v>
      </c>
      <c r="B909" s="12" t="n">
        <v>46008</v>
      </c>
      <c r="C909" s="11" t="inlineStr">
        <is>
          <t>a financiero gravamen movimiento</t>
        </is>
      </c>
      <c r="D909" s="13" t="n">
        <v>-2</v>
      </c>
      <c r="E909" s="11">
        <f>IF(SUM(COUNTIFS('Conciliacion de compuestos'!$D$2:$D$48,"conciliado",'Conciliacion de compuestos'!$E$2:$E$48,"OK",'Conciliacion de compuestos'!$J$2:$J$48,A909),COUNTIFS('Conciliacion de compuestos'!$D$2:$D$48,"conciliado",'Conciliacion de compuestos'!$E$2:$E$48,"OK",'Conciliacion de compuestos'!$K$2:$K$48,A909),COUNTIFS('Conciliacion de compuestos'!$D$2:$D$48,"conciliado",'Conciliacion de compuestos'!$E$2:$E$48,"OK",'Conciliacion de compuestos'!$L$2:$L$48,A909))&gt;0,"conciliado en compuesto confirmado","disponible")</f>
        <v/>
      </c>
    </row>
    <row r="910">
      <c r="A910" s="11" t="n">
        <v>918</v>
      </c>
      <c r="B910" s="12" t="n">
        <v>46008</v>
      </c>
      <c r="C910" s="11" t="inlineStr">
        <is>
          <t>credibanco d e retefuente voucher y</t>
        </is>
      </c>
      <c r="D910" s="13" t="n">
        <v>-353</v>
      </c>
      <c r="E910" s="11">
        <f>IF(SUM(COUNTIFS('Conciliacion de compuestos'!$D$2:$D$48,"conciliado",'Conciliacion de compuestos'!$E$2:$E$48,"OK",'Conciliacion de compuestos'!$J$2:$J$48,A910),COUNTIFS('Conciliacion de compuestos'!$D$2:$D$48,"conciliado",'Conciliacion de compuestos'!$E$2:$E$48,"OK",'Conciliacion de compuestos'!$K$2:$K$48,A910),COUNTIFS('Conciliacion de compuestos'!$D$2:$D$48,"conciliado",'Conciliacion de compuestos'!$E$2:$E$48,"OK",'Conciliacion de compuestos'!$L$2:$L$48,A910))&gt;0,"conciliado en compuesto confirmado","disponible")</f>
        <v/>
      </c>
    </row>
    <row r="911">
      <c r="A911" s="11" t="n">
        <v>919</v>
      </c>
      <c r="B911" s="12" t="n">
        <v>46008</v>
      </c>
      <c r="C911" s="11" t="inlineStr">
        <is>
          <t>a financiero gravamen movimiento</t>
        </is>
      </c>
      <c r="D911" s="13" t="n">
        <v>-1</v>
      </c>
      <c r="E911" s="11">
        <f>IF(SUM(COUNTIFS('Conciliacion de compuestos'!$D$2:$D$48,"conciliado",'Conciliacion de compuestos'!$E$2:$E$48,"OK",'Conciliacion de compuestos'!$J$2:$J$48,A911),COUNTIFS('Conciliacion de compuestos'!$D$2:$D$48,"conciliado",'Conciliacion de compuestos'!$E$2:$E$48,"OK",'Conciliacion de compuestos'!$K$2:$K$48,A911),COUNTIFS('Conciliacion de compuestos'!$D$2:$D$48,"conciliado",'Conciliacion de compuestos'!$E$2:$E$48,"OK",'Conciliacion de compuestos'!$L$2:$L$48,A911))&gt;0,"conciliado en compuesto confirmado","disponible")</f>
        <v/>
      </c>
    </row>
    <row r="912">
      <c r="A912" s="11" t="n">
        <v>920</v>
      </c>
      <c r="B912" s="12" t="n">
        <v>46008</v>
      </c>
      <c r="C912" s="11" t="inlineStr">
        <is>
          <t>consignacion credibanco d e</t>
        </is>
      </c>
      <c r="D912" s="13" t="n">
        <v>36284</v>
      </c>
      <c r="E912" s="11">
        <f>IF(SUM(COUNTIFS('Conciliacion de compuestos'!$D$2:$D$48,"conciliado",'Conciliacion de compuestos'!$E$2:$E$48,"OK",'Conciliacion de compuestos'!$J$2:$J$48,A912),COUNTIFS('Conciliacion de compuestos'!$D$2:$D$48,"conciliado",'Conciliacion de compuestos'!$E$2:$E$48,"OK",'Conciliacion de compuestos'!$K$2:$K$48,A912),COUNTIFS('Conciliacion de compuestos'!$D$2:$D$48,"conciliado",'Conciliacion de compuestos'!$E$2:$E$48,"OK",'Conciliacion de compuestos'!$L$2:$L$48,A912))&gt;0,"conciliado en compuesto confirmado","disponible")</f>
        <v/>
      </c>
    </row>
    <row r="913">
      <c r="A913" s="11" t="n">
        <v>921</v>
      </c>
      <c r="B913" s="12" t="n">
        <v>46008</v>
      </c>
      <c r="C913" s="11" t="inlineStr">
        <is>
          <t>cobro comision depositos electronicos</t>
        </is>
      </c>
      <c r="D913" s="13" t="n">
        <v>-795</v>
      </c>
      <c r="E913" s="11">
        <f>IF(SUM(COUNTIFS('Conciliacion de compuestos'!$D$2:$D$48,"conciliado",'Conciliacion de compuestos'!$E$2:$E$48,"OK",'Conciliacion de compuestos'!$J$2:$J$48,A913),COUNTIFS('Conciliacion de compuestos'!$D$2:$D$48,"conciliado",'Conciliacion de compuestos'!$E$2:$E$48,"OK",'Conciliacion de compuestos'!$K$2:$K$48,A913),COUNTIFS('Conciliacion de compuestos'!$D$2:$D$48,"conciliado",'Conciliacion de compuestos'!$E$2:$E$48,"OK",'Conciliacion de compuestos'!$L$2:$L$48,A913))&gt;0,"conciliado en compuesto confirmado","disponible")</f>
        <v/>
      </c>
    </row>
    <row r="914">
      <c r="A914" s="11" t="n">
        <v>922</v>
      </c>
      <c r="B914" s="12" t="n">
        <v>46008</v>
      </c>
      <c r="C914" s="11" t="inlineStr">
        <is>
          <t>a financiero gravamen movimiento</t>
        </is>
      </c>
      <c r="D914" s="13" t="n">
        <v>-3</v>
      </c>
      <c r="E914" s="11">
        <f>IF(SUM(COUNTIFS('Conciliacion de compuestos'!$D$2:$D$48,"conciliado",'Conciliacion de compuestos'!$E$2:$E$48,"OK",'Conciliacion de compuestos'!$J$2:$J$48,A914),COUNTIFS('Conciliacion de compuestos'!$D$2:$D$48,"conciliado",'Conciliacion de compuestos'!$E$2:$E$48,"OK",'Conciliacion de compuestos'!$K$2:$K$48,A914),COUNTIFS('Conciliacion de compuestos'!$D$2:$D$48,"conciliado",'Conciliacion de compuestos'!$E$2:$E$48,"OK",'Conciliacion de compuestos'!$L$2:$L$48,A914))&gt;0,"conciliado en compuesto confirmado","disponible")</f>
        <v/>
      </c>
    </row>
    <row r="915">
      <c r="A915" s="11" t="n">
        <v>923</v>
      </c>
      <c r="B915" s="12" t="n">
        <v>46008</v>
      </c>
      <c r="C915" s="11" t="inlineStr">
        <is>
          <t>credibanco d e retefuente voucher y</t>
        </is>
      </c>
      <c r="D915" s="13" t="n">
        <v>-544</v>
      </c>
      <c r="E915" s="11">
        <f>IF(SUM(COUNTIFS('Conciliacion de compuestos'!$D$2:$D$48,"conciliado",'Conciliacion de compuestos'!$E$2:$E$48,"OK",'Conciliacion de compuestos'!$J$2:$J$48,A915),COUNTIFS('Conciliacion de compuestos'!$D$2:$D$48,"conciliado",'Conciliacion de compuestos'!$E$2:$E$48,"OK",'Conciliacion de compuestos'!$K$2:$K$48,A915),COUNTIFS('Conciliacion de compuestos'!$D$2:$D$48,"conciliado",'Conciliacion de compuestos'!$E$2:$E$48,"OK",'Conciliacion de compuestos'!$L$2:$L$48,A915))&gt;0,"conciliado en compuesto confirmado","disponible")</f>
        <v/>
      </c>
    </row>
    <row r="916">
      <c r="A916" s="11" t="n">
        <v>924</v>
      </c>
      <c r="B916" s="12" t="n">
        <v>46008</v>
      </c>
      <c r="C916" s="11" t="inlineStr">
        <is>
          <t>a financiero gravamen movimiento</t>
        </is>
      </c>
      <c r="D916" s="13" t="n">
        <v>-2</v>
      </c>
      <c r="E916" s="11">
        <f>IF(SUM(COUNTIFS('Conciliacion de compuestos'!$D$2:$D$48,"conciliado",'Conciliacion de compuestos'!$E$2:$E$48,"OK",'Conciliacion de compuestos'!$J$2:$J$48,A916),COUNTIFS('Conciliacion de compuestos'!$D$2:$D$48,"conciliado",'Conciliacion de compuestos'!$E$2:$E$48,"OK",'Conciliacion de compuestos'!$K$2:$K$48,A916),COUNTIFS('Conciliacion de compuestos'!$D$2:$D$48,"conciliado",'Conciliacion de compuestos'!$E$2:$E$48,"OK",'Conciliacion de compuestos'!$L$2:$L$48,A916))&gt;0,"conciliado en compuesto confirmado","disponible")</f>
        <v/>
      </c>
    </row>
    <row r="917">
      <c r="A917" s="11" t="n">
        <v>925</v>
      </c>
      <c r="B917" s="12" t="n">
        <v>46008</v>
      </c>
      <c r="C917" s="11" t="inlineStr">
        <is>
          <t>depositos electronicos masterca transaccion</t>
        </is>
      </c>
      <c r="D917" s="13" t="n">
        <v>64800</v>
      </c>
      <c r="E917" s="11">
        <f>IF(SUM(COUNTIFS('Conciliacion de compuestos'!$D$2:$D$48,"conciliado",'Conciliacion de compuestos'!$E$2:$E$48,"OK",'Conciliacion de compuestos'!$J$2:$J$48,A917),COUNTIFS('Conciliacion de compuestos'!$D$2:$D$48,"conciliado",'Conciliacion de compuestos'!$E$2:$E$48,"OK",'Conciliacion de compuestos'!$K$2:$K$48,A917),COUNTIFS('Conciliacion de compuestos'!$D$2:$D$48,"conciliado",'Conciliacion de compuestos'!$E$2:$E$48,"OK",'Conciliacion de compuestos'!$L$2:$L$48,A917))&gt;0,"conciliado en compuesto confirmado","disponible")</f>
        <v/>
      </c>
    </row>
    <row r="918">
      <c r="A918" s="11" t="n">
        <v>926</v>
      </c>
      <c r="B918" s="12" t="n">
        <v>46008</v>
      </c>
      <c r="C918" s="11" t="inlineStr">
        <is>
          <t>comision depositos electronicos mastercard</t>
        </is>
      </c>
      <c r="D918" s="13" t="n">
        <v>-1523</v>
      </c>
      <c r="E918" s="11">
        <f>IF(SUM(COUNTIFS('Conciliacion de compuestos'!$D$2:$D$48,"conciliado",'Conciliacion de compuestos'!$E$2:$E$48,"OK",'Conciliacion de compuestos'!$J$2:$J$48,A918),COUNTIFS('Conciliacion de compuestos'!$D$2:$D$48,"conciliado",'Conciliacion de compuestos'!$E$2:$E$48,"OK",'Conciliacion de compuestos'!$K$2:$K$48,A918),COUNTIFS('Conciliacion de compuestos'!$D$2:$D$48,"conciliado",'Conciliacion de compuestos'!$E$2:$E$48,"OK",'Conciliacion de compuestos'!$L$2:$L$48,A918))&gt;0,"conciliado en compuesto confirmado","disponible")</f>
        <v/>
      </c>
    </row>
    <row r="919">
      <c r="A919" s="11" t="n">
        <v>927</v>
      </c>
      <c r="B919" s="12" t="n">
        <v>46008</v>
      </c>
      <c r="C919" s="11" t="inlineStr">
        <is>
          <t>a financiero gravamen movimiento</t>
        </is>
      </c>
      <c r="D919" s="13" t="n">
        <v>-6</v>
      </c>
      <c r="E919" s="11">
        <f>IF(SUM(COUNTIFS('Conciliacion de compuestos'!$D$2:$D$48,"conciliado",'Conciliacion de compuestos'!$E$2:$E$48,"OK",'Conciliacion de compuestos'!$J$2:$J$48,A919),COUNTIFS('Conciliacion de compuestos'!$D$2:$D$48,"conciliado",'Conciliacion de compuestos'!$E$2:$E$48,"OK",'Conciliacion de compuestos'!$K$2:$K$48,A919),COUNTIFS('Conciliacion de compuestos'!$D$2:$D$48,"conciliado",'Conciliacion de compuestos'!$E$2:$E$48,"OK",'Conciliacion de compuestos'!$L$2:$L$48,A919))&gt;0,"conciliado en compuesto confirmado","disponible")</f>
        <v/>
      </c>
    </row>
    <row r="920">
      <c r="A920" s="11" t="n">
        <v>928</v>
      </c>
      <c r="B920" s="12" t="n">
        <v>46008</v>
      </c>
      <c r="C920" s="11" t="inlineStr">
        <is>
          <t>depositos electronicos mastercar retefuente</t>
        </is>
      </c>
      <c r="D920" s="13" t="n">
        <v>-972</v>
      </c>
      <c r="E920" s="11">
        <f>IF(SUM(COUNTIFS('Conciliacion de compuestos'!$D$2:$D$48,"conciliado",'Conciliacion de compuestos'!$E$2:$E$48,"OK",'Conciliacion de compuestos'!$J$2:$J$48,A920),COUNTIFS('Conciliacion de compuestos'!$D$2:$D$48,"conciliado",'Conciliacion de compuestos'!$E$2:$E$48,"OK",'Conciliacion de compuestos'!$K$2:$K$48,A920),COUNTIFS('Conciliacion de compuestos'!$D$2:$D$48,"conciliado",'Conciliacion de compuestos'!$E$2:$E$48,"OK",'Conciliacion de compuestos'!$L$2:$L$48,A920))&gt;0,"conciliado en compuesto confirmado","disponible")</f>
        <v/>
      </c>
    </row>
    <row r="921">
      <c r="A921" s="11" t="n">
        <v>929</v>
      </c>
      <c r="B921" s="12" t="n">
        <v>46008</v>
      </c>
      <c r="C921" s="11" t="inlineStr">
        <is>
          <t>a financiero gravamen movimiento</t>
        </is>
      </c>
      <c r="D921" s="13" t="n">
        <v>-4</v>
      </c>
      <c r="E921" s="11">
        <f>IF(SUM(COUNTIFS('Conciliacion de compuestos'!$D$2:$D$48,"conciliado",'Conciliacion de compuestos'!$E$2:$E$48,"OK",'Conciliacion de compuestos'!$J$2:$J$48,A921),COUNTIFS('Conciliacion de compuestos'!$D$2:$D$48,"conciliado",'Conciliacion de compuestos'!$E$2:$E$48,"OK",'Conciliacion de compuestos'!$K$2:$K$48,A921),COUNTIFS('Conciliacion de compuestos'!$D$2:$D$48,"conciliado",'Conciliacion de compuestos'!$E$2:$E$48,"OK",'Conciliacion de compuestos'!$L$2:$L$48,A921))&gt;0,"conciliado en compuesto confirmado","disponible")</f>
        <v/>
      </c>
    </row>
    <row r="922">
      <c r="A922" s="11" t="n">
        <v>930</v>
      </c>
      <c r="B922" s="12" t="n">
        <v>46008</v>
      </c>
      <c r="C922" s="11" t="inlineStr">
        <is>
          <t>depositos electronicos masterca transaccion</t>
        </is>
      </c>
      <c r="D922" s="13" t="n">
        <v>226800</v>
      </c>
      <c r="E922" s="11">
        <f>IF(SUM(COUNTIFS('Conciliacion de compuestos'!$D$2:$D$48,"conciliado",'Conciliacion de compuestos'!$E$2:$E$48,"OK",'Conciliacion de compuestos'!$J$2:$J$48,A922),COUNTIFS('Conciliacion de compuestos'!$D$2:$D$48,"conciliado",'Conciliacion de compuestos'!$E$2:$E$48,"OK",'Conciliacion de compuestos'!$K$2:$K$48,A922),COUNTIFS('Conciliacion de compuestos'!$D$2:$D$48,"conciliado",'Conciliacion de compuestos'!$E$2:$E$48,"OK",'Conciliacion de compuestos'!$L$2:$L$48,A922))&gt;0,"conciliado en compuesto confirmado","disponible")</f>
        <v/>
      </c>
    </row>
    <row r="923">
      <c r="A923" s="11" t="n">
        <v>931</v>
      </c>
      <c r="B923" s="12" t="n">
        <v>46008</v>
      </c>
      <c r="C923" s="11" t="inlineStr">
        <is>
          <t>comision depositos electronicos mastercard</t>
        </is>
      </c>
      <c r="D923" s="13" t="n">
        <v>-4309</v>
      </c>
      <c r="E923" s="11">
        <f>IF(SUM(COUNTIFS('Conciliacion de compuestos'!$D$2:$D$48,"conciliado",'Conciliacion de compuestos'!$E$2:$E$48,"OK",'Conciliacion de compuestos'!$J$2:$J$48,A923),COUNTIFS('Conciliacion de compuestos'!$D$2:$D$48,"conciliado",'Conciliacion de compuestos'!$E$2:$E$48,"OK",'Conciliacion de compuestos'!$K$2:$K$48,A923),COUNTIFS('Conciliacion de compuestos'!$D$2:$D$48,"conciliado",'Conciliacion de compuestos'!$E$2:$E$48,"OK",'Conciliacion de compuestos'!$L$2:$L$48,A923))&gt;0,"conciliado en compuesto confirmado","disponible")</f>
        <v/>
      </c>
    </row>
    <row r="924">
      <c r="A924" s="11" t="n">
        <v>932</v>
      </c>
      <c r="B924" s="12" t="n">
        <v>46008</v>
      </c>
      <c r="C924" s="11" t="inlineStr">
        <is>
          <t>a financiero gravamen movimiento</t>
        </is>
      </c>
      <c r="D924" s="13" t="n">
        <v>-17</v>
      </c>
      <c r="E924" s="11">
        <f>IF(SUM(COUNTIFS('Conciliacion de compuestos'!$D$2:$D$48,"conciliado",'Conciliacion de compuestos'!$E$2:$E$48,"OK",'Conciliacion de compuestos'!$J$2:$J$48,A924),COUNTIFS('Conciliacion de compuestos'!$D$2:$D$48,"conciliado",'Conciliacion de compuestos'!$E$2:$E$48,"OK",'Conciliacion de compuestos'!$K$2:$K$48,A924),COUNTIFS('Conciliacion de compuestos'!$D$2:$D$48,"conciliado",'Conciliacion de compuestos'!$E$2:$E$48,"OK",'Conciliacion de compuestos'!$L$2:$L$48,A924))&gt;0,"conciliado en compuesto confirmado","disponible")</f>
        <v/>
      </c>
    </row>
    <row r="925">
      <c r="A925" s="11" t="n">
        <v>933</v>
      </c>
      <c r="B925" s="12" t="n">
        <v>46008</v>
      </c>
      <c r="C925" s="11" t="inlineStr">
        <is>
          <t>depositos electronicos mastercar retefuente</t>
        </is>
      </c>
      <c r="D925" s="13" t="n">
        <v>-3402</v>
      </c>
      <c r="E925" s="11">
        <f>IF(SUM(COUNTIFS('Conciliacion de compuestos'!$D$2:$D$48,"conciliado",'Conciliacion de compuestos'!$E$2:$E$48,"OK",'Conciliacion de compuestos'!$J$2:$J$48,A925),COUNTIFS('Conciliacion de compuestos'!$D$2:$D$48,"conciliado",'Conciliacion de compuestos'!$E$2:$E$48,"OK",'Conciliacion de compuestos'!$K$2:$K$48,A925),COUNTIFS('Conciliacion de compuestos'!$D$2:$D$48,"conciliado",'Conciliacion de compuestos'!$E$2:$E$48,"OK",'Conciliacion de compuestos'!$L$2:$L$48,A925))&gt;0,"conciliado en compuesto confirmado","disponible")</f>
        <v/>
      </c>
    </row>
    <row r="926">
      <c r="A926" s="11" t="n">
        <v>934</v>
      </c>
      <c r="B926" s="12" t="n">
        <v>46008</v>
      </c>
      <c r="C926" s="11" t="inlineStr">
        <is>
          <t>a financiero gravamen movimiento</t>
        </is>
      </c>
      <c r="D926" s="13" t="n">
        <v>-14</v>
      </c>
      <c r="E926" s="11">
        <f>IF(SUM(COUNTIFS('Conciliacion de compuestos'!$D$2:$D$48,"conciliado",'Conciliacion de compuestos'!$E$2:$E$48,"OK",'Conciliacion de compuestos'!$J$2:$J$48,A926),COUNTIFS('Conciliacion de compuestos'!$D$2:$D$48,"conciliado",'Conciliacion de compuestos'!$E$2:$E$48,"OK",'Conciliacion de compuestos'!$K$2:$K$48,A926),COUNTIFS('Conciliacion de compuestos'!$D$2:$D$48,"conciliado",'Conciliacion de compuestos'!$E$2:$E$48,"OK",'Conciliacion de compuestos'!$L$2:$L$48,A926))&gt;0,"conciliado en compuesto confirmado","disponible")</f>
        <v/>
      </c>
    </row>
    <row r="927">
      <c r="A927" s="11" t="n">
        <v>935</v>
      </c>
      <c r="B927" s="12" t="n">
        <v>46008</v>
      </c>
      <c r="C927" s="11" t="inlineStr">
        <is>
          <t>depositos electronicos masterca transaccion</t>
        </is>
      </c>
      <c r="D927" s="13" t="n">
        <v>457400</v>
      </c>
      <c r="E927" s="11">
        <f>IF(SUM(COUNTIFS('Conciliacion de compuestos'!$D$2:$D$48,"conciliado",'Conciliacion de compuestos'!$E$2:$E$48,"OK",'Conciliacion de compuestos'!$J$2:$J$48,A927),COUNTIFS('Conciliacion de compuestos'!$D$2:$D$48,"conciliado",'Conciliacion de compuestos'!$E$2:$E$48,"OK",'Conciliacion de compuestos'!$K$2:$K$48,A927),COUNTIFS('Conciliacion de compuestos'!$D$2:$D$48,"conciliado",'Conciliacion de compuestos'!$E$2:$E$48,"OK",'Conciliacion de compuestos'!$L$2:$L$48,A927))&gt;0,"conciliado en compuesto confirmado","disponible")</f>
        <v/>
      </c>
    </row>
    <row r="928">
      <c r="A928" s="11" t="n">
        <v>936</v>
      </c>
      <c r="B928" s="12" t="n">
        <v>46008</v>
      </c>
      <c r="C928" s="11" t="inlineStr">
        <is>
          <t>comision depositos electronicos mastercard</t>
        </is>
      </c>
      <c r="D928" s="13" t="n">
        <v>-10749</v>
      </c>
      <c r="E928" s="11">
        <f>IF(SUM(COUNTIFS('Conciliacion de compuestos'!$D$2:$D$48,"conciliado",'Conciliacion de compuestos'!$E$2:$E$48,"OK",'Conciliacion de compuestos'!$J$2:$J$48,A928),COUNTIFS('Conciliacion de compuestos'!$D$2:$D$48,"conciliado",'Conciliacion de compuestos'!$E$2:$E$48,"OK",'Conciliacion de compuestos'!$K$2:$K$48,A928),COUNTIFS('Conciliacion de compuestos'!$D$2:$D$48,"conciliado",'Conciliacion de compuestos'!$E$2:$E$48,"OK",'Conciliacion de compuestos'!$L$2:$L$48,A928))&gt;0,"conciliado en compuesto confirmado","disponible")</f>
        <v/>
      </c>
    </row>
    <row r="929">
      <c r="A929" s="11" t="n">
        <v>937</v>
      </c>
      <c r="B929" s="12" t="n">
        <v>46008</v>
      </c>
      <c r="C929" s="11" t="inlineStr">
        <is>
          <t>a financiero gravamen movimiento</t>
        </is>
      </c>
      <c r="D929" s="13" t="n">
        <v>-43</v>
      </c>
      <c r="E929" s="11">
        <f>IF(SUM(COUNTIFS('Conciliacion de compuestos'!$D$2:$D$48,"conciliado",'Conciliacion de compuestos'!$E$2:$E$48,"OK",'Conciliacion de compuestos'!$J$2:$J$48,A929),COUNTIFS('Conciliacion de compuestos'!$D$2:$D$48,"conciliado",'Conciliacion de compuestos'!$E$2:$E$48,"OK",'Conciliacion de compuestos'!$K$2:$K$48,A929),COUNTIFS('Conciliacion de compuestos'!$D$2:$D$48,"conciliado",'Conciliacion de compuestos'!$E$2:$E$48,"OK",'Conciliacion de compuestos'!$L$2:$L$48,A929))&gt;0,"conciliado en compuesto confirmado","disponible")</f>
        <v/>
      </c>
    </row>
    <row r="930">
      <c r="A930" s="11" t="n">
        <v>938</v>
      </c>
      <c r="B930" s="12" t="n">
        <v>46008</v>
      </c>
      <c r="C930" s="11" t="inlineStr">
        <is>
          <t>depositos electronicos mastercar retefuente</t>
        </is>
      </c>
      <c r="D930" s="13" t="n">
        <v>-6861</v>
      </c>
      <c r="E930" s="11">
        <f>IF(SUM(COUNTIFS('Conciliacion de compuestos'!$D$2:$D$48,"conciliado",'Conciliacion de compuestos'!$E$2:$E$48,"OK",'Conciliacion de compuestos'!$J$2:$J$48,A930),COUNTIFS('Conciliacion de compuestos'!$D$2:$D$48,"conciliado",'Conciliacion de compuestos'!$E$2:$E$48,"OK",'Conciliacion de compuestos'!$K$2:$K$48,A930),COUNTIFS('Conciliacion de compuestos'!$D$2:$D$48,"conciliado",'Conciliacion de compuestos'!$E$2:$E$48,"OK",'Conciliacion de compuestos'!$L$2:$L$48,A930))&gt;0,"conciliado en compuesto confirmado","disponible")</f>
        <v/>
      </c>
    </row>
    <row r="931">
      <c r="A931" s="11" t="n">
        <v>939</v>
      </c>
      <c r="B931" s="12" t="n">
        <v>46008</v>
      </c>
      <c r="C931" s="11" t="inlineStr">
        <is>
          <t>a financiero gravamen movimiento</t>
        </is>
      </c>
      <c r="D931" s="13" t="n">
        <v>-27</v>
      </c>
      <c r="E931" s="11">
        <f>IF(SUM(COUNTIFS('Conciliacion de compuestos'!$D$2:$D$48,"conciliado",'Conciliacion de compuestos'!$E$2:$E$48,"OK",'Conciliacion de compuestos'!$J$2:$J$48,A931),COUNTIFS('Conciliacion de compuestos'!$D$2:$D$48,"conciliado",'Conciliacion de compuestos'!$E$2:$E$48,"OK",'Conciliacion de compuestos'!$K$2:$K$48,A931),COUNTIFS('Conciliacion de compuestos'!$D$2:$D$48,"conciliado",'Conciliacion de compuestos'!$E$2:$E$48,"OK",'Conciliacion de compuestos'!$L$2:$L$48,A931))&gt;0,"conciliado en compuesto confirmado","disponible")</f>
        <v/>
      </c>
    </row>
    <row r="932">
      <c r="A932" s="11" t="n">
        <v>940</v>
      </c>
      <c r="B932" s="12" t="n">
        <v>46008</v>
      </c>
      <c r="C932" s="11" t="inlineStr">
        <is>
          <t>depositos electronicos masterca transaccion</t>
        </is>
      </c>
      <c r="D932" s="13" t="n">
        <v>132500</v>
      </c>
      <c r="E932" s="11">
        <f>IF(SUM(COUNTIFS('Conciliacion de compuestos'!$D$2:$D$48,"conciliado",'Conciliacion de compuestos'!$E$2:$E$48,"OK",'Conciliacion de compuestos'!$J$2:$J$48,A932),COUNTIFS('Conciliacion de compuestos'!$D$2:$D$48,"conciliado",'Conciliacion de compuestos'!$E$2:$E$48,"OK",'Conciliacion de compuestos'!$K$2:$K$48,A932),COUNTIFS('Conciliacion de compuestos'!$D$2:$D$48,"conciliado",'Conciliacion de compuestos'!$E$2:$E$48,"OK",'Conciliacion de compuestos'!$L$2:$L$48,A932))&gt;0,"conciliado en compuesto confirmado","disponible")</f>
        <v/>
      </c>
    </row>
    <row r="933">
      <c r="A933" s="11" t="n">
        <v>941</v>
      </c>
      <c r="B933" s="12" t="n">
        <v>46008</v>
      </c>
      <c r="C933" s="11" t="inlineStr">
        <is>
          <t>comision depositos electronicos mastercard</t>
        </is>
      </c>
      <c r="D933" s="13" t="n">
        <v>-2518</v>
      </c>
      <c r="E933" s="11">
        <f>IF(SUM(COUNTIFS('Conciliacion de compuestos'!$D$2:$D$48,"conciliado",'Conciliacion de compuestos'!$E$2:$E$48,"OK",'Conciliacion de compuestos'!$J$2:$J$48,A933),COUNTIFS('Conciliacion de compuestos'!$D$2:$D$48,"conciliado",'Conciliacion de compuestos'!$E$2:$E$48,"OK",'Conciliacion de compuestos'!$K$2:$K$48,A933),COUNTIFS('Conciliacion de compuestos'!$D$2:$D$48,"conciliado",'Conciliacion de compuestos'!$E$2:$E$48,"OK",'Conciliacion de compuestos'!$L$2:$L$48,A933))&gt;0,"conciliado en compuesto confirmado","disponible")</f>
        <v/>
      </c>
    </row>
    <row r="934">
      <c r="A934" s="11" t="n">
        <v>942</v>
      </c>
      <c r="B934" s="12" t="n">
        <v>46008</v>
      </c>
      <c r="C934" s="11" t="inlineStr">
        <is>
          <t>a financiero gravamen movimiento</t>
        </is>
      </c>
      <c r="D934" s="13" t="n">
        <v>-10</v>
      </c>
      <c r="E934" s="11">
        <f>IF(SUM(COUNTIFS('Conciliacion de compuestos'!$D$2:$D$48,"conciliado",'Conciliacion de compuestos'!$E$2:$E$48,"OK",'Conciliacion de compuestos'!$J$2:$J$48,A934),COUNTIFS('Conciliacion de compuestos'!$D$2:$D$48,"conciliado",'Conciliacion de compuestos'!$E$2:$E$48,"OK",'Conciliacion de compuestos'!$K$2:$K$48,A934),COUNTIFS('Conciliacion de compuestos'!$D$2:$D$48,"conciliado",'Conciliacion de compuestos'!$E$2:$E$48,"OK",'Conciliacion de compuestos'!$L$2:$L$48,A934))&gt;0,"conciliado en compuesto confirmado","disponible")</f>
        <v/>
      </c>
    </row>
    <row r="935">
      <c r="A935" s="11" t="n">
        <v>943</v>
      </c>
      <c r="B935" s="12" t="n">
        <v>46008</v>
      </c>
      <c r="C935" s="11" t="inlineStr">
        <is>
          <t>depositos electronicos mastercar retefuente</t>
        </is>
      </c>
      <c r="D935" s="13" t="n">
        <v>-1988</v>
      </c>
      <c r="E935" s="11">
        <f>IF(SUM(COUNTIFS('Conciliacion de compuestos'!$D$2:$D$48,"conciliado",'Conciliacion de compuestos'!$E$2:$E$48,"OK",'Conciliacion de compuestos'!$J$2:$J$48,A935),COUNTIFS('Conciliacion de compuestos'!$D$2:$D$48,"conciliado",'Conciliacion de compuestos'!$E$2:$E$48,"OK",'Conciliacion de compuestos'!$K$2:$K$48,A935),COUNTIFS('Conciliacion de compuestos'!$D$2:$D$48,"conciliado",'Conciliacion de compuestos'!$E$2:$E$48,"OK",'Conciliacion de compuestos'!$L$2:$L$48,A935))&gt;0,"conciliado en compuesto confirmado","disponible")</f>
        <v/>
      </c>
    </row>
    <row r="936">
      <c r="A936" s="11" t="n">
        <v>944</v>
      </c>
      <c r="B936" s="12" t="n">
        <v>46008</v>
      </c>
      <c r="C936" s="11" t="inlineStr">
        <is>
          <t>a financiero gravamen movimiento</t>
        </is>
      </c>
      <c r="D936" s="13" t="n">
        <v>-8</v>
      </c>
      <c r="E936" s="11">
        <f>IF(SUM(COUNTIFS('Conciliacion de compuestos'!$D$2:$D$48,"conciliado",'Conciliacion de compuestos'!$E$2:$E$48,"OK",'Conciliacion de compuestos'!$J$2:$J$48,A936),COUNTIFS('Conciliacion de compuestos'!$D$2:$D$48,"conciliado",'Conciliacion de compuestos'!$E$2:$E$48,"OK",'Conciliacion de compuestos'!$K$2:$K$48,A936),COUNTIFS('Conciliacion de compuestos'!$D$2:$D$48,"conciliado",'Conciliacion de compuestos'!$E$2:$E$48,"OK",'Conciliacion de compuestos'!$L$2:$L$48,A936))&gt;0,"conciliado en compuesto confirmado","disponible")</f>
        <v/>
      </c>
    </row>
    <row r="937">
      <c r="A937" s="11" t="n">
        <v>946</v>
      </c>
      <c r="B937" s="12" t="n">
        <v>46008</v>
      </c>
      <c r="C937" s="11" t="inlineStr">
        <is>
          <t>a financiero gravamen movimiento</t>
        </is>
      </c>
      <c r="D937" s="13" t="n">
        <v>-10369</v>
      </c>
      <c r="E937" s="11">
        <f>IF(SUM(COUNTIFS('Conciliacion de compuestos'!$D$2:$D$48,"conciliado",'Conciliacion de compuestos'!$E$2:$E$48,"OK",'Conciliacion de compuestos'!$J$2:$J$48,A937),COUNTIFS('Conciliacion de compuestos'!$D$2:$D$48,"conciliado",'Conciliacion de compuestos'!$E$2:$E$48,"OK",'Conciliacion de compuestos'!$K$2:$K$48,A937),COUNTIFS('Conciliacion de compuestos'!$D$2:$D$48,"conciliado",'Conciliacion de compuestos'!$E$2:$E$48,"OK",'Conciliacion de compuestos'!$L$2:$L$48,A937))&gt;0,"conciliado en compuesto confirmado","disponible")</f>
        <v/>
      </c>
    </row>
    <row r="938">
      <c r="A938" s="11" t="n">
        <v>947</v>
      </c>
      <c r="B938" s="12" t="n">
        <v>46009</v>
      </c>
      <c r="C938" s="11" t="inlineStr">
        <is>
          <t>consignacion credibanco d e</t>
        </is>
      </c>
      <c r="D938" s="13" t="n">
        <v>150000</v>
      </c>
      <c r="E938" s="11">
        <f>IF(SUM(COUNTIFS('Conciliacion de compuestos'!$D$2:$D$48,"conciliado",'Conciliacion de compuestos'!$E$2:$E$48,"OK",'Conciliacion de compuestos'!$J$2:$J$48,A938),COUNTIFS('Conciliacion de compuestos'!$D$2:$D$48,"conciliado",'Conciliacion de compuestos'!$E$2:$E$48,"OK",'Conciliacion de compuestos'!$K$2:$K$48,A938),COUNTIFS('Conciliacion de compuestos'!$D$2:$D$48,"conciliado",'Conciliacion de compuestos'!$E$2:$E$48,"OK",'Conciliacion de compuestos'!$L$2:$L$48,A938))&gt;0,"conciliado en compuesto confirmado","disponible")</f>
        <v/>
      </c>
    </row>
    <row r="939">
      <c r="A939" s="11" t="n">
        <v>948</v>
      </c>
      <c r="B939" s="12" t="n">
        <v>46009</v>
      </c>
      <c r="C939" s="11" t="inlineStr">
        <is>
          <t>cobro comision depositos electronicos</t>
        </is>
      </c>
      <c r="D939" s="13" t="n">
        <v>-3240</v>
      </c>
      <c r="E939" s="11">
        <f>IF(SUM(COUNTIFS('Conciliacion de compuestos'!$D$2:$D$48,"conciliado",'Conciliacion de compuestos'!$E$2:$E$48,"OK",'Conciliacion de compuestos'!$J$2:$J$48,A939),COUNTIFS('Conciliacion de compuestos'!$D$2:$D$48,"conciliado",'Conciliacion de compuestos'!$E$2:$E$48,"OK",'Conciliacion de compuestos'!$K$2:$K$48,A939),COUNTIFS('Conciliacion de compuestos'!$D$2:$D$48,"conciliado",'Conciliacion de compuestos'!$E$2:$E$48,"OK",'Conciliacion de compuestos'!$L$2:$L$48,A939))&gt;0,"conciliado en compuesto confirmado","disponible")</f>
        <v/>
      </c>
    </row>
    <row r="940">
      <c r="A940" s="11" t="n">
        <v>949</v>
      </c>
      <c r="B940" s="12" t="n">
        <v>46009</v>
      </c>
      <c r="C940" s="11" t="inlineStr">
        <is>
          <t>a financiero gravamen movimiento</t>
        </is>
      </c>
      <c r="D940" s="13" t="n">
        <v>-13</v>
      </c>
      <c r="E940" s="11">
        <f>IF(SUM(COUNTIFS('Conciliacion de compuestos'!$D$2:$D$48,"conciliado",'Conciliacion de compuestos'!$E$2:$E$48,"OK",'Conciliacion de compuestos'!$J$2:$J$48,A940),COUNTIFS('Conciliacion de compuestos'!$D$2:$D$48,"conciliado",'Conciliacion de compuestos'!$E$2:$E$48,"OK",'Conciliacion de compuestos'!$K$2:$K$48,A940),COUNTIFS('Conciliacion de compuestos'!$D$2:$D$48,"conciliado",'Conciliacion de compuestos'!$E$2:$E$48,"OK",'Conciliacion de compuestos'!$L$2:$L$48,A940))&gt;0,"conciliado en compuesto confirmado","disponible")</f>
        <v/>
      </c>
    </row>
    <row r="941">
      <c r="A941" s="11" t="n">
        <v>950</v>
      </c>
      <c r="B941" s="12" t="n">
        <v>46009</v>
      </c>
      <c r="C941" s="11" t="inlineStr">
        <is>
          <t>credibanco d e retefuente voucher y</t>
        </is>
      </c>
      <c r="D941" s="13" t="n">
        <v>-2250</v>
      </c>
      <c r="E941" s="11">
        <f>IF(SUM(COUNTIFS('Conciliacion de compuestos'!$D$2:$D$48,"conciliado",'Conciliacion de compuestos'!$E$2:$E$48,"OK",'Conciliacion de compuestos'!$J$2:$J$48,A941),COUNTIFS('Conciliacion de compuestos'!$D$2:$D$48,"conciliado",'Conciliacion de compuestos'!$E$2:$E$48,"OK",'Conciliacion de compuestos'!$K$2:$K$48,A941),COUNTIFS('Conciliacion de compuestos'!$D$2:$D$48,"conciliado",'Conciliacion de compuestos'!$E$2:$E$48,"OK",'Conciliacion de compuestos'!$L$2:$L$48,A941))&gt;0,"conciliado en compuesto confirmado","disponible")</f>
        <v/>
      </c>
    </row>
    <row r="942">
      <c r="A942" s="11" t="n">
        <v>951</v>
      </c>
      <c r="B942" s="12" t="n">
        <v>46009</v>
      </c>
      <c r="C942" s="11" t="inlineStr">
        <is>
          <t>a financiero gravamen movimiento</t>
        </is>
      </c>
      <c r="D942" s="13" t="n">
        <v>-9</v>
      </c>
      <c r="E942" s="11">
        <f>IF(SUM(COUNTIFS('Conciliacion de compuestos'!$D$2:$D$48,"conciliado",'Conciliacion de compuestos'!$E$2:$E$48,"OK",'Conciliacion de compuestos'!$J$2:$J$48,A942),COUNTIFS('Conciliacion de compuestos'!$D$2:$D$48,"conciliado",'Conciliacion de compuestos'!$E$2:$E$48,"OK",'Conciliacion de compuestos'!$K$2:$K$48,A942),COUNTIFS('Conciliacion de compuestos'!$D$2:$D$48,"conciliado",'Conciliacion de compuestos'!$E$2:$E$48,"OK",'Conciliacion de compuestos'!$L$2:$L$48,A942))&gt;0,"conciliado en compuesto confirmado","disponible")</f>
        <v/>
      </c>
    </row>
    <row r="943">
      <c r="A943" s="11" t="n">
        <v>952</v>
      </c>
      <c r="B943" s="12" t="n">
        <v>46009</v>
      </c>
      <c r="C943" s="11" t="inlineStr">
        <is>
          <t>consignacion credibanco d e</t>
        </is>
      </c>
      <c r="D943" s="13" t="n">
        <v>156000</v>
      </c>
      <c r="E943" s="11">
        <f>IF(SUM(COUNTIFS('Conciliacion de compuestos'!$D$2:$D$48,"conciliado",'Conciliacion de compuestos'!$E$2:$E$48,"OK",'Conciliacion de compuestos'!$J$2:$J$48,A943),COUNTIFS('Conciliacion de compuestos'!$D$2:$D$48,"conciliado",'Conciliacion de compuestos'!$E$2:$E$48,"OK",'Conciliacion de compuestos'!$K$2:$K$48,A943),COUNTIFS('Conciliacion de compuestos'!$D$2:$D$48,"conciliado",'Conciliacion de compuestos'!$E$2:$E$48,"OK",'Conciliacion de compuestos'!$L$2:$L$48,A943))&gt;0,"conciliado en compuesto confirmado","disponible")</f>
        <v/>
      </c>
    </row>
    <row r="944">
      <c r="A944" s="11" t="n">
        <v>953</v>
      </c>
      <c r="B944" s="12" t="n">
        <v>46009</v>
      </c>
      <c r="C944" s="11" t="inlineStr">
        <is>
          <t>cobro comision depositos electronicos</t>
        </is>
      </c>
      <c r="D944" s="13" t="n">
        <v>-3370</v>
      </c>
      <c r="E944" s="11">
        <f>IF(SUM(COUNTIFS('Conciliacion de compuestos'!$D$2:$D$48,"conciliado",'Conciliacion de compuestos'!$E$2:$E$48,"OK",'Conciliacion de compuestos'!$J$2:$J$48,A944),COUNTIFS('Conciliacion de compuestos'!$D$2:$D$48,"conciliado",'Conciliacion de compuestos'!$E$2:$E$48,"OK",'Conciliacion de compuestos'!$K$2:$K$48,A944),COUNTIFS('Conciliacion de compuestos'!$D$2:$D$48,"conciliado",'Conciliacion de compuestos'!$E$2:$E$48,"OK",'Conciliacion de compuestos'!$L$2:$L$48,A944))&gt;0,"conciliado en compuesto confirmado","disponible")</f>
        <v/>
      </c>
    </row>
    <row r="945">
      <c r="A945" s="11" t="n">
        <v>954</v>
      </c>
      <c r="B945" s="12" t="n">
        <v>46009</v>
      </c>
      <c r="C945" s="11" t="inlineStr">
        <is>
          <t>a financiero gravamen movimiento</t>
        </is>
      </c>
      <c r="D945" s="13" t="n">
        <v>-13</v>
      </c>
      <c r="E945" s="11">
        <f>IF(SUM(COUNTIFS('Conciliacion de compuestos'!$D$2:$D$48,"conciliado",'Conciliacion de compuestos'!$E$2:$E$48,"OK",'Conciliacion de compuestos'!$J$2:$J$48,A945),COUNTIFS('Conciliacion de compuestos'!$D$2:$D$48,"conciliado",'Conciliacion de compuestos'!$E$2:$E$48,"OK",'Conciliacion de compuestos'!$K$2:$K$48,A945),COUNTIFS('Conciliacion de compuestos'!$D$2:$D$48,"conciliado",'Conciliacion de compuestos'!$E$2:$E$48,"OK",'Conciliacion de compuestos'!$L$2:$L$48,A945))&gt;0,"conciliado en compuesto confirmado","disponible")</f>
        <v/>
      </c>
    </row>
    <row r="946">
      <c r="A946" s="11" t="n">
        <v>955</v>
      </c>
      <c r="B946" s="12" t="n">
        <v>46009</v>
      </c>
      <c r="C946" s="11" t="inlineStr">
        <is>
          <t>credibanco d e retefuente voucher y</t>
        </is>
      </c>
      <c r="D946" s="13" t="n">
        <v>-2340</v>
      </c>
      <c r="E946" s="11">
        <f>IF(SUM(COUNTIFS('Conciliacion de compuestos'!$D$2:$D$48,"conciliado",'Conciliacion de compuestos'!$E$2:$E$48,"OK",'Conciliacion de compuestos'!$J$2:$J$48,A946),COUNTIFS('Conciliacion de compuestos'!$D$2:$D$48,"conciliado",'Conciliacion de compuestos'!$E$2:$E$48,"OK",'Conciliacion de compuestos'!$K$2:$K$48,A946),COUNTIFS('Conciliacion de compuestos'!$D$2:$D$48,"conciliado",'Conciliacion de compuestos'!$E$2:$E$48,"OK",'Conciliacion de compuestos'!$L$2:$L$48,A946))&gt;0,"conciliado en compuesto confirmado","disponible")</f>
        <v/>
      </c>
    </row>
    <row r="947">
      <c r="A947" s="11" t="n">
        <v>956</v>
      </c>
      <c r="B947" s="12" t="n">
        <v>46009</v>
      </c>
      <c r="C947" s="11" t="inlineStr">
        <is>
          <t>a financiero gravamen movimiento</t>
        </is>
      </c>
      <c r="D947" s="13" t="n">
        <v>-9</v>
      </c>
      <c r="E947" s="11">
        <f>IF(SUM(COUNTIFS('Conciliacion de compuestos'!$D$2:$D$48,"conciliado",'Conciliacion de compuestos'!$E$2:$E$48,"OK",'Conciliacion de compuestos'!$J$2:$J$48,A947),COUNTIFS('Conciliacion de compuestos'!$D$2:$D$48,"conciliado",'Conciliacion de compuestos'!$E$2:$E$48,"OK",'Conciliacion de compuestos'!$K$2:$K$48,A947),COUNTIFS('Conciliacion de compuestos'!$D$2:$D$48,"conciliado",'Conciliacion de compuestos'!$E$2:$E$48,"OK",'Conciliacion de compuestos'!$L$2:$L$48,A947))&gt;0,"conciliado en compuesto confirmado","disponible")</f>
        <v/>
      </c>
    </row>
    <row r="948">
      <c r="A948" s="11" t="n">
        <v>957</v>
      </c>
      <c r="B948" s="12" t="n">
        <v>46009</v>
      </c>
      <c r="C948" s="11" t="inlineStr">
        <is>
          <t>consignacion credibanco d e</t>
        </is>
      </c>
      <c r="D948" s="13" t="n">
        <v>90800</v>
      </c>
      <c r="E948" s="11">
        <f>IF(SUM(COUNTIFS('Conciliacion de compuestos'!$D$2:$D$48,"conciliado",'Conciliacion de compuestos'!$E$2:$E$48,"OK",'Conciliacion de compuestos'!$J$2:$J$48,A948),COUNTIFS('Conciliacion de compuestos'!$D$2:$D$48,"conciliado",'Conciliacion de compuestos'!$E$2:$E$48,"OK",'Conciliacion de compuestos'!$K$2:$K$48,A948),COUNTIFS('Conciliacion de compuestos'!$D$2:$D$48,"conciliado",'Conciliacion de compuestos'!$E$2:$E$48,"OK",'Conciliacion de compuestos'!$L$2:$L$48,A948))&gt;0,"conciliado en compuesto confirmado","disponible")</f>
        <v/>
      </c>
    </row>
    <row r="949">
      <c r="A949" s="11" t="n">
        <v>958</v>
      </c>
      <c r="B949" s="12" t="n">
        <v>46009</v>
      </c>
      <c r="C949" s="11" t="inlineStr">
        <is>
          <t>cobro comision depositos electronicos</t>
        </is>
      </c>
      <c r="D949" s="13" t="n">
        <v>-1961</v>
      </c>
      <c r="E949" s="11">
        <f>IF(SUM(COUNTIFS('Conciliacion de compuestos'!$D$2:$D$48,"conciliado",'Conciliacion de compuestos'!$E$2:$E$48,"OK",'Conciliacion de compuestos'!$J$2:$J$48,A949),COUNTIFS('Conciliacion de compuestos'!$D$2:$D$48,"conciliado",'Conciliacion de compuestos'!$E$2:$E$48,"OK",'Conciliacion de compuestos'!$K$2:$K$48,A949),COUNTIFS('Conciliacion de compuestos'!$D$2:$D$48,"conciliado",'Conciliacion de compuestos'!$E$2:$E$48,"OK",'Conciliacion de compuestos'!$L$2:$L$48,A949))&gt;0,"conciliado en compuesto confirmado","disponible")</f>
        <v/>
      </c>
    </row>
    <row r="950">
      <c r="A950" s="11" t="n">
        <v>959</v>
      </c>
      <c r="B950" s="12" t="n">
        <v>46009</v>
      </c>
      <c r="C950" s="11" t="inlineStr">
        <is>
          <t>a financiero gravamen movimiento</t>
        </is>
      </c>
      <c r="D950" s="13" t="n">
        <v>-8</v>
      </c>
      <c r="E950" s="11">
        <f>IF(SUM(COUNTIFS('Conciliacion de compuestos'!$D$2:$D$48,"conciliado",'Conciliacion de compuestos'!$E$2:$E$48,"OK",'Conciliacion de compuestos'!$J$2:$J$48,A950),COUNTIFS('Conciliacion de compuestos'!$D$2:$D$48,"conciliado",'Conciliacion de compuestos'!$E$2:$E$48,"OK",'Conciliacion de compuestos'!$K$2:$K$48,A950),COUNTIFS('Conciliacion de compuestos'!$D$2:$D$48,"conciliado",'Conciliacion de compuestos'!$E$2:$E$48,"OK",'Conciliacion de compuestos'!$L$2:$L$48,A950))&gt;0,"conciliado en compuesto confirmado","disponible")</f>
        <v/>
      </c>
    </row>
    <row r="951">
      <c r="A951" s="11" t="n">
        <v>960</v>
      </c>
      <c r="B951" s="12" t="n">
        <v>46009</v>
      </c>
      <c r="C951" s="11" t="inlineStr">
        <is>
          <t>credibanco d e retefuente voucher y</t>
        </is>
      </c>
      <c r="D951" s="13" t="n">
        <v>-1362</v>
      </c>
      <c r="E951" s="11">
        <f>IF(SUM(COUNTIFS('Conciliacion de compuestos'!$D$2:$D$48,"conciliado",'Conciliacion de compuestos'!$E$2:$E$48,"OK",'Conciliacion de compuestos'!$J$2:$J$48,A951),COUNTIFS('Conciliacion de compuestos'!$D$2:$D$48,"conciliado",'Conciliacion de compuestos'!$E$2:$E$48,"OK",'Conciliacion de compuestos'!$K$2:$K$48,A951),COUNTIFS('Conciliacion de compuestos'!$D$2:$D$48,"conciliado",'Conciliacion de compuestos'!$E$2:$E$48,"OK",'Conciliacion de compuestos'!$L$2:$L$48,A951))&gt;0,"conciliado en compuesto confirmado","disponible")</f>
        <v/>
      </c>
    </row>
    <row r="952">
      <c r="A952" s="11" t="n">
        <v>961</v>
      </c>
      <c r="B952" s="12" t="n">
        <v>46009</v>
      </c>
      <c r="C952" s="11" t="inlineStr">
        <is>
          <t>a financiero gravamen movimiento</t>
        </is>
      </c>
      <c r="D952" s="13" t="n">
        <v>-5</v>
      </c>
      <c r="E952" s="11">
        <f>IF(SUM(COUNTIFS('Conciliacion de compuestos'!$D$2:$D$48,"conciliado",'Conciliacion de compuestos'!$E$2:$E$48,"OK",'Conciliacion de compuestos'!$J$2:$J$48,A952),COUNTIFS('Conciliacion de compuestos'!$D$2:$D$48,"conciliado",'Conciliacion de compuestos'!$E$2:$E$48,"OK",'Conciliacion de compuestos'!$K$2:$K$48,A952),COUNTIFS('Conciliacion de compuestos'!$D$2:$D$48,"conciliado",'Conciliacion de compuestos'!$E$2:$E$48,"OK",'Conciliacion de compuestos'!$L$2:$L$48,A952))&gt;0,"conciliado en compuesto confirmado","disponible")</f>
        <v/>
      </c>
    </row>
    <row r="953">
      <c r="A953" s="11" t="n">
        <v>962</v>
      </c>
      <c r="B953" s="12" t="n">
        <v>46009</v>
      </c>
      <c r="C953" s="11" t="inlineStr">
        <is>
          <t>consignacion credibanco d e</t>
        </is>
      </c>
      <c r="D953" s="13" t="n">
        <v>139600</v>
      </c>
      <c r="E953" s="11">
        <f>IF(SUM(COUNTIFS('Conciliacion de compuestos'!$D$2:$D$48,"conciliado",'Conciliacion de compuestos'!$E$2:$E$48,"OK",'Conciliacion de compuestos'!$J$2:$J$48,A953),COUNTIFS('Conciliacion de compuestos'!$D$2:$D$48,"conciliado",'Conciliacion de compuestos'!$E$2:$E$48,"OK",'Conciliacion de compuestos'!$K$2:$K$48,A953),COUNTIFS('Conciliacion de compuestos'!$D$2:$D$48,"conciliado",'Conciliacion de compuestos'!$E$2:$E$48,"OK",'Conciliacion de compuestos'!$L$2:$L$48,A953))&gt;0,"conciliado en compuesto confirmado","disponible")</f>
        <v/>
      </c>
    </row>
    <row r="954">
      <c r="A954" s="11" t="n">
        <v>963</v>
      </c>
      <c r="B954" s="12" t="n">
        <v>46009</v>
      </c>
      <c r="C954" s="11" t="inlineStr">
        <is>
          <t>cobro comision depositos electronicos</t>
        </is>
      </c>
      <c r="D954" s="13" t="n">
        <v>-3015</v>
      </c>
      <c r="E954" s="11">
        <f>IF(SUM(COUNTIFS('Conciliacion de compuestos'!$D$2:$D$48,"conciliado",'Conciliacion de compuestos'!$E$2:$E$48,"OK",'Conciliacion de compuestos'!$J$2:$J$48,A954),COUNTIFS('Conciliacion de compuestos'!$D$2:$D$48,"conciliado",'Conciliacion de compuestos'!$E$2:$E$48,"OK",'Conciliacion de compuestos'!$K$2:$K$48,A954),COUNTIFS('Conciliacion de compuestos'!$D$2:$D$48,"conciliado",'Conciliacion de compuestos'!$E$2:$E$48,"OK",'Conciliacion de compuestos'!$L$2:$L$48,A954))&gt;0,"conciliado en compuesto confirmado","disponible")</f>
        <v/>
      </c>
    </row>
    <row r="955">
      <c r="A955" s="11" t="n">
        <v>964</v>
      </c>
      <c r="B955" s="12" t="n">
        <v>46009</v>
      </c>
      <c r="C955" s="11" t="inlineStr">
        <is>
          <t>a financiero gravamen movimiento</t>
        </is>
      </c>
      <c r="D955" s="13" t="n">
        <v>-12</v>
      </c>
      <c r="E955" s="11">
        <f>IF(SUM(COUNTIFS('Conciliacion de compuestos'!$D$2:$D$48,"conciliado",'Conciliacion de compuestos'!$E$2:$E$48,"OK",'Conciliacion de compuestos'!$J$2:$J$48,A955),COUNTIFS('Conciliacion de compuestos'!$D$2:$D$48,"conciliado",'Conciliacion de compuestos'!$E$2:$E$48,"OK",'Conciliacion de compuestos'!$K$2:$K$48,A955),COUNTIFS('Conciliacion de compuestos'!$D$2:$D$48,"conciliado",'Conciliacion de compuestos'!$E$2:$E$48,"OK",'Conciliacion de compuestos'!$L$2:$L$48,A955))&gt;0,"conciliado en compuesto confirmado","disponible")</f>
        <v/>
      </c>
    </row>
    <row r="956">
      <c r="A956" s="11" t="n">
        <v>965</v>
      </c>
      <c r="B956" s="12" t="n">
        <v>46009</v>
      </c>
      <c r="C956" s="11" t="inlineStr">
        <is>
          <t>credibanco d e retefuente voucher y</t>
        </is>
      </c>
      <c r="D956" s="13" t="n">
        <v>-2094</v>
      </c>
      <c r="E956" s="11">
        <f>IF(SUM(COUNTIFS('Conciliacion de compuestos'!$D$2:$D$48,"conciliado",'Conciliacion de compuestos'!$E$2:$E$48,"OK",'Conciliacion de compuestos'!$J$2:$J$48,A956),COUNTIFS('Conciliacion de compuestos'!$D$2:$D$48,"conciliado",'Conciliacion de compuestos'!$E$2:$E$48,"OK",'Conciliacion de compuestos'!$K$2:$K$48,A956),COUNTIFS('Conciliacion de compuestos'!$D$2:$D$48,"conciliado",'Conciliacion de compuestos'!$E$2:$E$48,"OK",'Conciliacion de compuestos'!$L$2:$L$48,A956))&gt;0,"conciliado en compuesto confirmado","disponible")</f>
        <v/>
      </c>
    </row>
    <row r="957">
      <c r="A957" s="11" t="n">
        <v>966</v>
      </c>
      <c r="B957" s="12" t="n">
        <v>46009</v>
      </c>
      <c r="C957" s="11" t="inlineStr">
        <is>
          <t>a financiero gravamen movimiento</t>
        </is>
      </c>
      <c r="D957" s="13" t="n">
        <v>-8</v>
      </c>
      <c r="E957" s="11">
        <f>IF(SUM(COUNTIFS('Conciliacion de compuestos'!$D$2:$D$48,"conciliado",'Conciliacion de compuestos'!$E$2:$E$48,"OK",'Conciliacion de compuestos'!$J$2:$J$48,A957),COUNTIFS('Conciliacion de compuestos'!$D$2:$D$48,"conciliado",'Conciliacion de compuestos'!$E$2:$E$48,"OK",'Conciliacion de compuestos'!$K$2:$K$48,A957),COUNTIFS('Conciliacion de compuestos'!$D$2:$D$48,"conciliado",'Conciliacion de compuestos'!$E$2:$E$48,"OK",'Conciliacion de compuestos'!$L$2:$L$48,A957))&gt;0,"conciliado en compuesto confirmado","disponible")</f>
        <v/>
      </c>
    </row>
    <row r="958">
      <c r="A958" s="11" t="n">
        <v>967</v>
      </c>
      <c r="B958" s="12" t="n">
        <v>46009</v>
      </c>
      <c r="C958" s="11" t="inlineStr">
        <is>
          <t>consignacion credibanco d e</t>
        </is>
      </c>
      <c r="D958" s="13" t="n">
        <v>75300</v>
      </c>
      <c r="E958" s="11">
        <f>IF(SUM(COUNTIFS('Conciliacion de compuestos'!$D$2:$D$48,"conciliado",'Conciliacion de compuestos'!$E$2:$E$48,"OK",'Conciliacion de compuestos'!$J$2:$J$48,A958),COUNTIFS('Conciliacion de compuestos'!$D$2:$D$48,"conciliado",'Conciliacion de compuestos'!$E$2:$E$48,"OK",'Conciliacion de compuestos'!$K$2:$K$48,A958),COUNTIFS('Conciliacion de compuestos'!$D$2:$D$48,"conciliado",'Conciliacion de compuestos'!$E$2:$E$48,"OK",'Conciliacion de compuestos'!$L$2:$L$48,A958))&gt;0,"conciliado en compuesto confirmado","disponible")</f>
        <v/>
      </c>
    </row>
    <row r="959">
      <c r="A959" s="11" t="n">
        <v>968</v>
      </c>
      <c r="B959" s="12" t="n">
        <v>46009</v>
      </c>
      <c r="C959" s="11" t="inlineStr">
        <is>
          <t>cobro comision depositos electronicos</t>
        </is>
      </c>
      <c r="D959" s="13" t="n">
        <v>-1649</v>
      </c>
      <c r="E959" s="11">
        <f>IF(SUM(COUNTIFS('Conciliacion de compuestos'!$D$2:$D$48,"conciliado",'Conciliacion de compuestos'!$E$2:$E$48,"OK",'Conciliacion de compuestos'!$J$2:$J$48,A959),COUNTIFS('Conciliacion de compuestos'!$D$2:$D$48,"conciliado",'Conciliacion de compuestos'!$E$2:$E$48,"OK",'Conciliacion de compuestos'!$K$2:$K$48,A959),COUNTIFS('Conciliacion de compuestos'!$D$2:$D$48,"conciliado",'Conciliacion de compuestos'!$E$2:$E$48,"OK",'Conciliacion de compuestos'!$L$2:$L$48,A959))&gt;0,"conciliado en compuesto confirmado","disponible")</f>
        <v/>
      </c>
    </row>
    <row r="960">
      <c r="A960" s="11" t="n">
        <v>969</v>
      </c>
      <c r="B960" s="12" t="n">
        <v>46009</v>
      </c>
      <c r="C960" s="11" t="inlineStr">
        <is>
          <t>a financiero gravamen movimiento</t>
        </is>
      </c>
      <c r="D960" s="13" t="n">
        <v>-7</v>
      </c>
      <c r="E960" s="11">
        <f>IF(SUM(COUNTIFS('Conciliacion de compuestos'!$D$2:$D$48,"conciliado",'Conciliacion de compuestos'!$E$2:$E$48,"OK",'Conciliacion de compuestos'!$J$2:$J$48,A960),COUNTIFS('Conciliacion de compuestos'!$D$2:$D$48,"conciliado",'Conciliacion de compuestos'!$E$2:$E$48,"OK",'Conciliacion de compuestos'!$K$2:$K$48,A960),COUNTIFS('Conciliacion de compuestos'!$D$2:$D$48,"conciliado",'Conciliacion de compuestos'!$E$2:$E$48,"OK",'Conciliacion de compuestos'!$L$2:$L$48,A960))&gt;0,"conciliado en compuesto confirmado","disponible")</f>
        <v/>
      </c>
    </row>
    <row r="961">
      <c r="A961" s="11" t="n">
        <v>970</v>
      </c>
      <c r="B961" s="12" t="n">
        <v>46009</v>
      </c>
      <c r="C961" s="11" t="inlineStr">
        <is>
          <t>credibanco d e retefuente voucher y</t>
        </is>
      </c>
      <c r="D961" s="13" t="n">
        <v>-1130</v>
      </c>
      <c r="E961" s="11">
        <f>IF(SUM(COUNTIFS('Conciliacion de compuestos'!$D$2:$D$48,"conciliado",'Conciliacion de compuestos'!$E$2:$E$48,"OK",'Conciliacion de compuestos'!$J$2:$J$48,A961),COUNTIFS('Conciliacion de compuestos'!$D$2:$D$48,"conciliado",'Conciliacion de compuestos'!$E$2:$E$48,"OK",'Conciliacion de compuestos'!$K$2:$K$48,A961),COUNTIFS('Conciliacion de compuestos'!$D$2:$D$48,"conciliado",'Conciliacion de compuestos'!$E$2:$E$48,"OK",'Conciliacion de compuestos'!$L$2:$L$48,A961))&gt;0,"conciliado en compuesto confirmado","disponible")</f>
        <v/>
      </c>
    </row>
    <row r="962">
      <c r="A962" s="11" t="n">
        <v>971</v>
      </c>
      <c r="B962" s="12" t="n">
        <v>46009</v>
      </c>
      <c r="C962" s="11" t="inlineStr">
        <is>
          <t>a financiero gravamen movimiento</t>
        </is>
      </c>
      <c r="D962" s="13" t="n">
        <v>-5</v>
      </c>
      <c r="E962" s="11">
        <f>IF(SUM(COUNTIFS('Conciliacion de compuestos'!$D$2:$D$48,"conciliado",'Conciliacion de compuestos'!$E$2:$E$48,"OK",'Conciliacion de compuestos'!$J$2:$J$48,A962),COUNTIFS('Conciliacion de compuestos'!$D$2:$D$48,"conciliado",'Conciliacion de compuestos'!$E$2:$E$48,"OK",'Conciliacion de compuestos'!$K$2:$K$48,A962),COUNTIFS('Conciliacion de compuestos'!$D$2:$D$48,"conciliado",'Conciliacion de compuestos'!$E$2:$E$48,"OK",'Conciliacion de compuestos'!$L$2:$L$48,A962))&gt;0,"conciliado en compuesto confirmado","disponible")</f>
        <v/>
      </c>
    </row>
    <row r="963">
      <c r="A963" s="11" t="n">
        <v>972</v>
      </c>
      <c r="B963" s="12" t="n">
        <v>46009</v>
      </c>
      <c r="C963" s="11" t="inlineStr">
        <is>
          <t>consignacion credibanco d e</t>
        </is>
      </c>
      <c r="D963" s="13" t="n">
        <v>103000</v>
      </c>
      <c r="E963" s="11">
        <f>IF(SUM(COUNTIFS('Conciliacion de compuestos'!$D$2:$D$48,"conciliado",'Conciliacion de compuestos'!$E$2:$E$48,"OK",'Conciliacion de compuestos'!$J$2:$J$48,A963),COUNTIFS('Conciliacion de compuestos'!$D$2:$D$48,"conciliado",'Conciliacion de compuestos'!$E$2:$E$48,"OK",'Conciliacion de compuestos'!$K$2:$K$48,A963),COUNTIFS('Conciliacion de compuestos'!$D$2:$D$48,"conciliado",'Conciliacion de compuestos'!$E$2:$E$48,"OK",'Conciliacion de compuestos'!$L$2:$L$48,A963))&gt;0,"conciliado en compuesto confirmado","disponible")</f>
        <v/>
      </c>
    </row>
    <row r="964">
      <c r="A964" s="11" t="n">
        <v>973</v>
      </c>
      <c r="B964" s="12" t="n">
        <v>46009</v>
      </c>
      <c r="C964" s="11" t="inlineStr">
        <is>
          <t>cobro comision depositos electronicos</t>
        </is>
      </c>
      <c r="D964" s="13" t="n">
        <v>-2225</v>
      </c>
      <c r="E964" s="11">
        <f>IF(SUM(COUNTIFS('Conciliacion de compuestos'!$D$2:$D$48,"conciliado",'Conciliacion de compuestos'!$E$2:$E$48,"OK",'Conciliacion de compuestos'!$J$2:$J$48,A964),COUNTIFS('Conciliacion de compuestos'!$D$2:$D$48,"conciliado",'Conciliacion de compuestos'!$E$2:$E$48,"OK",'Conciliacion de compuestos'!$K$2:$K$48,A964),COUNTIFS('Conciliacion de compuestos'!$D$2:$D$48,"conciliado",'Conciliacion de compuestos'!$E$2:$E$48,"OK",'Conciliacion de compuestos'!$L$2:$L$48,A964))&gt;0,"conciliado en compuesto confirmado","disponible")</f>
        <v/>
      </c>
    </row>
    <row r="965">
      <c r="A965" s="11" t="n">
        <v>974</v>
      </c>
      <c r="B965" s="12" t="n">
        <v>46009</v>
      </c>
      <c r="C965" s="11" t="inlineStr">
        <is>
          <t>a financiero gravamen movimiento</t>
        </is>
      </c>
      <c r="D965" s="13" t="n">
        <v>-9</v>
      </c>
      <c r="E965" s="11">
        <f>IF(SUM(COUNTIFS('Conciliacion de compuestos'!$D$2:$D$48,"conciliado",'Conciliacion de compuestos'!$E$2:$E$48,"OK",'Conciliacion de compuestos'!$J$2:$J$48,A965),COUNTIFS('Conciliacion de compuestos'!$D$2:$D$48,"conciliado",'Conciliacion de compuestos'!$E$2:$E$48,"OK",'Conciliacion de compuestos'!$K$2:$K$48,A965),COUNTIFS('Conciliacion de compuestos'!$D$2:$D$48,"conciliado",'Conciliacion de compuestos'!$E$2:$E$48,"OK",'Conciliacion de compuestos'!$L$2:$L$48,A965))&gt;0,"conciliado en compuesto confirmado","disponible")</f>
        <v/>
      </c>
    </row>
    <row r="966">
      <c r="A966" s="11" t="n">
        <v>975</v>
      </c>
      <c r="B966" s="12" t="n">
        <v>46009</v>
      </c>
      <c r="C966" s="11" t="inlineStr">
        <is>
          <t>credibanco d e retefuente voucher y</t>
        </is>
      </c>
      <c r="D966" s="13" t="n">
        <v>-1545</v>
      </c>
      <c r="E966" s="11">
        <f>IF(SUM(COUNTIFS('Conciliacion de compuestos'!$D$2:$D$48,"conciliado",'Conciliacion de compuestos'!$E$2:$E$48,"OK",'Conciliacion de compuestos'!$J$2:$J$48,A966),COUNTIFS('Conciliacion de compuestos'!$D$2:$D$48,"conciliado",'Conciliacion de compuestos'!$E$2:$E$48,"OK",'Conciliacion de compuestos'!$K$2:$K$48,A966),COUNTIFS('Conciliacion de compuestos'!$D$2:$D$48,"conciliado",'Conciliacion de compuestos'!$E$2:$E$48,"OK",'Conciliacion de compuestos'!$L$2:$L$48,A966))&gt;0,"conciliado en compuesto confirmado","disponible")</f>
        <v/>
      </c>
    </row>
    <row r="967">
      <c r="A967" s="11" t="n">
        <v>976</v>
      </c>
      <c r="B967" s="12" t="n">
        <v>46009</v>
      </c>
      <c r="C967" s="11" t="inlineStr">
        <is>
          <t>a financiero gravamen movimiento</t>
        </is>
      </c>
      <c r="D967" s="13" t="n">
        <v>-6</v>
      </c>
      <c r="E967" s="11">
        <f>IF(SUM(COUNTIFS('Conciliacion de compuestos'!$D$2:$D$48,"conciliado",'Conciliacion de compuestos'!$E$2:$E$48,"OK",'Conciliacion de compuestos'!$J$2:$J$48,A967),COUNTIFS('Conciliacion de compuestos'!$D$2:$D$48,"conciliado",'Conciliacion de compuestos'!$E$2:$E$48,"OK",'Conciliacion de compuestos'!$K$2:$K$48,A967),COUNTIFS('Conciliacion de compuestos'!$D$2:$D$48,"conciliado",'Conciliacion de compuestos'!$E$2:$E$48,"OK",'Conciliacion de compuestos'!$L$2:$L$48,A967))&gt;0,"conciliado en compuesto confirmado","disponible")</f>
        <v/>
      </c>
    </row>
    <row r="968">
      <c r="A968" s="11" t="n">
        <v>977</v>
      </c>
      <c r="B968" s="12" t="n">
        <v>46009</v>
      </c>
      <c r="C968" s="11" t="inlineStr">
        <is>
          <t>depositos electronicos masterca transaccion</t>
        </is>
      </c>
      <c r="D968" s="13" t="n">
        <v>69800</v>
      </c>
      <c r="E968" s="11">
        <f>IF(SUM(COUNTIFS('Conciliacion de compuestos'!$D$2:$D$48,"conciliado",'Conciliacion de compuestos'!$E$2:$E$48,"OK",'Conciliacion de compuestos'!$J$2:$J$48,A968),COUNTIFS('Conciliacion de compuestos'!$D$2:$D$48,"conciliado",'Conciliacion de compuestos'!$E$2:$E$48,"OK",'Conciliacion de compuestos'!$K$2:$K$48,A968),COUNTIFS('Conciliacion de compuestos'!$D$2:$D$48,"conciliado",'Conciliacion de compuestos'!$E$2:$E$48,"OK",'Conciliacion de compuestos'!$L$2:$L$48,A968))&gt;0,"conciliado en compuesto confirmado","disponible")</f>
        <v/>
      </c>
    </row>
    <row r="969">
      <c r="A969" s="11" t="n">
        <v>978</v>
      </c>
      <c r="B969" s="12" t="n">
        <v>46009</v>
      </c>
      <c r="C969" s="11" t="inlineStr">
        <is>
          <t>comision depositos electronicos mastercard</t>
        </is>
      </c>
      <c r="D969" s="13" t="n">
        <v>-1326</v>
      </c>
      <c r="E969" s="11">
        <f>IF(SUM(COUNTIFS('Conciliacion de compuestos'!$D$2:$D$48,"conciliado",'Conciliacion de compuestos'!$E$2:$E$48,"OK",'Conciliacion de compuestos'!$J$2:$J$48,A969),COUNTIFS('Conciliacion de compuestos'!$D$2:$D$48,"conciliado",'Conciliacion de compuestos'!$E$2:$E$48,"OK",'Conciliacion de compuestos'!$K$2:$K$48,A969),COUNTIFS('Conciliacion de compuestos'!$D$2:$D$48,"conciliado",'Conciliacion de compuestos'!$E$2:$E$48,"OK",'Conciliacion de compuestos'!$L$2:$L$48,A969))&gt;0,"conciliado en compuesto confirmado","disponible")</f>
        <v/>
      </c>
    </row>
    <row r="970">
      <c r="A970" s="11" t="n">
        <v>979</v>
      </c>
      <c r="B970" s="12" t="n">
        <v>46009</v>
      </c>
      <c r="C970" s="11" t="inlineStr">
        <is>
          <t>a financiero gravamen movimiento</t>
        </is>
      </c>
      <c r="D970" s="13" t="n">
        <v>-5</v>
      </c>
      <c r="E970" s="11">
        <f>IF(SUM(COUNTIFS('Conciliacion de compuestos'!$D$2:$D$48,"conciliado",'Conciliacion de compuestos'!$E$2:$E$48,"OK",'Conciliacion de compuestos'!$J$2:$J$48,A970),COUNTIFS('Conciliacion de compuestos'!$D$2:$D$48,"conciliado",'Conciliacion de compuestos'!$E$2:$E$48,"OK",'Conciliacion de compuestos'!$K$2:$K$48,A970),COUNTIFS('Conciliacion de compuestos'!$D$2:$D$48,"conciliado",'Conciliacion de compuestos'!$E$2:$E$48,"OK",'Conciliacion de compuestos'!$L$2:$L$48,A970))&gt;0,"conciliado en compuesto confirmado","disponible")</f>
        <v/>
      </c>
    </row>
    <row r="971">
      <c r="A971" s="11" t="n">
        <v>980</v>
      </c>
      <c r="B971" s="12" t="n">
        <v>46009</v>
      </c>
      <c r="C971" s="11" t="inlineStr">
        <is>
          <t>depositos electronicos mastercar retefuente</t>
        </is>
      </c>
      <c r="D971" s="13" t="n">
        <v>-1047</v>
      </c>
      <c r="E971" s="11">
        <f>IF(SUM(COUNTIFS('Conciliacion de compuestos'!$D$2:$D$48,"conciliado",'Conciliacion de compuestos'!$E$2:$E$48,"OK",'Conciliacion de compuestos'!$J$2:$J$48,A971),COUNTIFS('Conciliacion de compuestos'!$D$2:$D$48,"conciliado",'Conciliacion de compuestos'!$E$2:$E$48,"OK",'Conciliacion de compuestos'!$K$2:$K$48,A971),COUNTIFS('Conciliacion de compuestos'!$D$2:$D$48,"conciliado",'Conciliacion de compuestos'!$E$2:$E$48,"OK",'Conciliacion de compuestos'!$L$2:$L$48,A971))&gt;0,"conciliado en compuesto confirmado","disponible")</f>
        <v/>
      </c>
    </row>
    <row r="972">
      <c r="A972" s="11" t="n">
        <v>981</v>
      </c>
      <c r="B972" s="12" t="n">
        <v>46009</v>
      </c>
      <c r="C972" s="11" t="inlineStr">
        <is>
          <t>a financiero gravamen movimiento</t>
        </is>
      </c>
      <c r="D972" s="13" t="n">
        <v>-4</v>
      </c>
      <c r="E972" s="11">
        <f>IF(SUM(COUNTIFS('Conciliacion de compuestos'!$D$2:$D$48,"conciliado",'Conciliacion de compuestos'!$E$2:$E$48,"OK",'Conciliacion de compuestos'!$J$2:$J$48,A972),COUNTIFS('Conciliacion de compuestos'!$D$2:$D$48,"conciliado",'Conciliacion de compuestos'!$E$2:$E$48,"OK",'Conciliacion de compuestos'!$K$2:$K$48,A972),COUNTIFS('Conciliacion de compuestos'!$D$2:$D$48,"conciliado",'Conciliacion de compuestos'!$E$2:$E$48,"OK",'Conciliacion de compuestos'!$L$2:$L$48,A972))&gt;0,"conciliado en compuesto confirmado","disponible")</f>
        <v/>
      </c>
    </row>
    <row r="973">
      <c r="A973" s="11" t="n">
        <v>982</v>
      </c>
      <c r="B973" s="12" t="n">
        <v>46009</v>
      </c>
      <c r="C973" s="11" t="inlineStr">
        <is>
          <t>depositos electronicos masterca transaccion</t>
        </is>
      </c>
      <c r="D973" s="13" t="n">
        <v>162300</v>
      </c>
      <c r="E973" s="11">
        <f>IF(SUM(COUNTIFS('Conciliacion de compuestos'!$D$2:$D$48,"conciliado",'Conciliacion de compuestos'!$E$2:$E$48,"OK",'Conciliacion de compuestos'!$J$2:$J$48,A973),COUNTIFS('Conciliacion de compuestos'!$D$2:$D$48,"conciliado",'Conciliacion de compuestos'!$E$2:$E$48,"OK",'Conciliacion de compuestos'!$K$2:$K$48,A973),COUNTIFS('Conciliacion de compuestos'!$D$2:$D$48,"conciliado",'Conciliacion de compuestos'!$E$2:$E$48,"OK",'Conciliacion de compuestos'!$L$2:$L$48,A973))&gt;0,"conciliado en compuesto confirmado","disponible")</f>
        <v/>
      </c>
    </row>
    <row r="974">
      <c r="A974" s="11" t="n">
        <v>983</v>
      </c>
      <c r="B974" s="12" t="n">
        <v>46009</v>
      </c>
      <c r="C974" s="11" t="inlineStr">
        <is>
          <t>comision depositos electronicos mastercard</t>
        </is>
      </c>
      <c r="D974" s="13" t="n">
        <v>-3084</v>
      </c>
      <c r="E974" s="11">
        <f>IF(SUM(COUNTIFS('Conciliacion de compuestos'!$D$2:$D$48,"conciliado",'Conciliacion de compuestos'!$E$2:$E$48,"OK",'Conciliacion de compuestos'!$J$2:$J$48,A974),COUNTIFS('Conciliacion de compuestos'!$D$2:$D$48,"conciliado",'Conciliacion de compuestos'!$E$2:$E$48,"OK",'Conciliacion de compuestos'!$K$2:$K$48,A974),COUNTIFS('Conciliacion de compuestos'!$D$2:$D$48,"conciliado",'Conciliacion de compuestos'!$E$2:$E$48,"OK",'Conciliacion de compuestos'!$L$2:$L$48,A974))&gt;0,"conciliado en compuesto confirmado","disponible")</f>
        <v/>
      </c>
    </row>
    <row r="975">
      <c r="A975" s="11" t="n">
        <v>984</v>
      </c>
      <c r="B975" s="12" t="n">
        <v>46009</v>
      </c>
      <c r="C975" s="11" t="inlineStr">
        <is>
          <t>a financiero gravamen movimiento</t>
        </is>
      </c>
      <c r="D975" s="13" t="n">
        <v>-12</v>
      </c>
      <c r="E975" s="11">
        <f>IF(SUM(COUNTIFS('Conciliacion de compuestos'!$D$2:$D$48,"conciliado",'Conciliacion de compuestos'!$E$2:$E$48,"OK",'Conciliacion de compuestos'!$J$2:$J$48,A975),COUNTIFS('Conciliacion de compuestos'!$D$2:$D$48,"conciliado",'Conciliacion de compuestos'!$E$2:$E$48,"OK",'Conciliacion de compuestos'!$K$2:$K$48,A975),COUNTIFS('Conciliacion de compuestos'!$D$2:$D$48,"conciliado",'Conciliacion de compuestos'!$E$2:$E$48,"OK",'Conciliacion de compuestos'!$L$2:$L$48,A975))&gt;0,"conciliado en compuesto confirmado","disponible")</f>
        <v/>
      </c>
    </row>
    <row r="976">
      <c r="A976" s="11" t="n">
        <v>985</v>
      </c>
      <c r="B976" s="12" t="n">
        <v>46009</v>
      </c>
      <c r="C976" s="11" t="inlineStr">
        <is>
          <t>depositos electronicos mastercar retefuente</t>
        </is>
      </c>
      <c r="D976" s="13" t="n">
        <v>-2435</v>
      </c>
      <c r="E976" s="11">
        <f>IF(SUM(COUNTIFS('Conciliacion de compuestos'!$D$2:$D$48,"conciliado",'Conciliacion de compuestos'!$E$2:$E$48,"OK",'Conciliacion de compuestos'!$J$2:$J$48,A976),COUNTIFS('Conciliacion de compuestos'!$D$2:$D$48,"conciliado",'Conciliacion de compuestos'!$E$2:$E$48,"OK",'Conciliacion de compuestos'!$K$2:$K$48,A976),COUNTIFS('Conciliacion de compuestos'!$D$2:$D$48,"conciliado",'Conciliacion de compuestos'!$E$2:$E$48,"OK",'Conciliacion de compuestos'!$L$2:$L$48,A976))&gt;0,"conciliado en compuesto confirmado","disponible")</f>
        <v/>
      </c>
    </row>
    <row r="977">
      <c r="A977" s="11" t="n">
        <v>986</v>
      </c>
      <c r="B977" s="12" t="n">
        <v>46009</v>
      </c>
      <c r="C977" s="11" t="inlineStr">
        <is>
          <t>a financiero gravamen movimiento</t>
        </is>
      </c>
      <c r="D977" s="13" t="n">
        <v>-10</v>
      </c>
      <c r="E977" s="11">
        <f>IF(SUM(COUNTIFS('Conciliacion de compuestos'!$D$2:$D$48,"conciliado",'Conciliacion de compuestos'!$E$2:$E$48,"OK",'Conciliacion de compuestos'!$J$2:$J$48,A977),COUNTIFS('Conciliacion de compuestos'!$D$2:$D$48,"conciliado",'Conciliacion de compuestos'!$E$2:$E$48,"OK",'Conciliacion de compuestos'!$K$2:$K$48,A977),COUNTIFS('Conciliacion de compuestos'!$D$2:$D$48,"conciliado",'Conciliacion de compuestos'!$E$2:$E$48,"OK",'Conciliacion de compuestos'!$L$2:$L$48,A977))&gt;0,"conciliado en compuesto confirmado","disponible")</f>
        <v/>
      </c>
    </row>
    <row r="978">
      <c r="A978" s="11" t="n">
        <v>987</v>
      </c>
      <c r="B978" s="12" t="n">
        <v>46009</v>
      </c>
      <c r="C978" s="11" t="inlineStr">
        <is>
          <t>depositos electronicos masterca transaccion</t>
        </is>
      </c>
      <c r="D978" s="13" t="n">
        <v>140800</v>
      </c>
      <c r="E978" s="11">
        <f>IF(SUM(COUNTIFS('Conciliacion de compuestos'!$D$2:$D$48,"conciliado",'Conciliacion de compuestos'!$E$2:$E$48,"OK",'Conciliacion de compuestos'!$J$2:$J$48,A978),COUNTIFS('Conciliacion de compuestos'!$D$2:$D$48,"conciliado",'Conciliacion de compuestos'!$E$2:$E$48,"OK",'Conciliacion de compuestos'!$K$2:$K$48,A978),COUNTIFS('Conciliacion de compuestos'!$D$2:$D$48,"conciliado",'Conciliacion de compuestos'!$E$2:$E$48,"OK",'Conciliacion de compuestos'!$L$2:$L$48,A978))&gt;0,"conciliado en compuesto confirmado","disponible")</f>
        <v/>
      </c>
    </row>
    <row r="979">
      <c r="A979" s="11" t="n">
        <v>988</v>
      </c>
      <c r="B979" s="12" t="n">
        <v>46009</v>
      </c>
      <c r="C979" s="11" t="inlineStr">
        <is>
          <t>comision depositos electronicos mastercard</t>
        </is>
      </c>
      <c r="D979" s="13" t="n">
        <v>-2675</v>
      </c>
      <c r="E979" s="11">
        <f>IF(SUM(COUNTIFS('Conciliacion de compuestos'!$D$2:$D$48,"conciliado",'Conciliacion de compuestos'!$E$2:$E$48,"OK",'Conciliacion de compuestos'!$J$2:$J$48,A979),COUNTIFS('Conciliacion de compuestos'!$D$2:$D$48,"conciliado",'Conciliacion de compuestos'!$E$2:$E$48,"OK",'Conciliacion de compuestos'!$K$2:$K$48,A979),COUNTIFS('Conciliacion de compuestos'!$D$2:$D$48,"conciliado",'Conciliacion de compuestos'!$E$2:$E$48,"OK",'Conciliacion de compuestos'!$L$2:$L$48,A979))&gt;0,"conciliado en compuesto confirmado","disponible")</f>
        <v/>
      </c>
    </row>
    <row r="980">
      <c r="A980" s="11" t="n">
        <v>989</v>
      </c>
      <c r="B980" s="12" t="n">
        <v>46009</v>
      </c>
      <c r="C980" s="11" t="inlineStr">
        <is>
          <t>a financiero gravamen movimiento</t>
        </is>
      </c>
      <c r="D980" s="13" t="n">
        <v>-11</v>
      </c>
      <c r="E980" s="11">
        <f>IF(SUM(COUNTIFS('Conciliacion de compuestos'!$D$2:$D$48,"conciliado",'Conciliacion de compuestos'!$E$2:$E$48,"OK",'Conciliacion de compuestos'!$J$2:$J$48,A980),COUNTIFS('Conciliacion de compuestos'!$D$2:$D$48,"conciliado",'Conciliacion de compuestos'!$E$2:$E$48,"OK",'Conciliacion de compuestos'!$K$2:$K$48,A980),COUNTIFS('Conciliacion de compuestos'!$D$2:$D$48,"conciliado",'Conciliacion de compuestos'!$E$2:$E$48,"OK",'Conciliacion de compuestos'!$L$2:$L$48,A980))&gt;0,"conciliado en compuesto confirmado","disponible")</f>
        <v/>
      </c>
    </row>
    <row r="981">
      <c r="A981" s="11" t="n">
        <v>990</v>
      </c>
      <c r="B981" s="12" t="n">
        <v>46009</v>
      </c>
      <c r="C981" s="11" t="inlineStr">
        <is>
          <t>depositos electronicos mastercar retefuente</t>
        </is>
      </c>
      <c r="D981" s="13" t="n">
        <v>-2112</v>
      </c>
      <c r="E981" s="11">
        <f>IF(SUM(COUNTIFS('Conciliacion de compuestos'!$D$2:$D$48,"conciliado",'Conciliacion de compuestos'!$E$2:$E$48,"OK",'Conciliacion de compuestos'!$J$2:$J$48,A981),COUNTIFS('Conciliacion de compuestos'!$D$2:$D$48,"conciliado",'Conciliacion de compuestos'!$E$2:$E$48,"OK",'Conciliacion de compuestos'!$K$2:$K$48,A981),COUNTIFS('Conciliacion de compuestos'!$D$2:$D$48,"conciliado",'Conciliacion de compuestos'!$E$2:$E$48,"OK",'Conciliacion de compuestos'!$L$2:$L$48,A981))&gt;0,"conciliado en compuesto confirmado","disponible")</f>
        <v/>
      </c>
    </row>
    <row r="982">
      <c r="A982" s="11" t="n">
        <v>991</v>
      </c>
      <c r="B982" s="12" t="n">
        <v>46009</v>
      </c>
      <c r="C982" s="11" t="inlineStr">
        <is>
          <t>a financiero gravamen movimiento</t>
        </is>
      </c>
      <c r="D982" s="13" t="n">
        <v>-8</v>
      </c>
      <c r="E982" s="11">
        <f>IF(SUM(COUNTIFS('Conciliacion de compuestos'!$D$2:$D$48,"conciliado",'Conciliacion de compuestos'!$E$2:$E$48,"OK",'Conciliacion de compuestos'!$J$2:$J$48,A982),COUNTIFS('Conciliacion de compuestos'!$D$2:$D$48,"conciliado",'Conciliacion de compuestos'!$E$2:$E$48,"OK",'Conciliacion de compuestos'!$K$2:$K$48,A982),COUNTIFS('Conciliacion de compuestos'!$D$2:$D$48,"conciliado",'Conciliacion de compuestos'!$E$2:$E$48,"OK",'Conciliacion de compuestos'!$L$2:$L$48,A982))&gt;0,"conciliado en compuesto confirmado","disponible")</f>
        <v/>
      </c>
    </row>
    <row r="983">
      <c r="A983" s="11" t="n">
        <v>992</v>
      </c>
      <c r="B983" s="12" t="n">
        <v>46009</v>
      </c>
      <c r="C983" s="11" t="inlineStr">
        <is>
          <t>depositos electronicos masterca transaccion</t>
        </is>
      </c>
      <c r="D983" s="13" t="n">
        <v>28070</v>
      </c>
      <c r="E983" s="11">
        <f>IF(SUM(COUNTIFS('Conciliacion de compuestos'!$D$2:$D$48,"conciliado",'Conciliacion de compuestos'!$E$2:$E$48,"OK",'Conciliacion de compuestos'!$J$2:$J$48,A983),COUNTIFS('Conciliacion de compuestos'!$D$2:$D$48,"conciliado",'Conciliacion de compuestos'!$E$2:$E$48,"OK",'Conciliacion de compuestos'!$K$2:$K$48,A983),COUNTIFS('Conciliacion de compuestos'!$D$2:$D$48,"conciliado",'Conciliacion de compuestos'!$E$2:$E$48,"OK",'Conciliacion de compuestos'!$L$2:$L$48,A983))&gt;0,"conciliado en compuesto confirmado","disponible")</f>
        <v/>
      </c>
    </row>
    <row r="984">
      <c r="A984" s="11" t="n">
        <v>993</v>
      </c>
      <c r="B984" s="12" t="n">
        <v>46009</v>
      </c>
      <c r="C984" s="11" t="inlineStr">
        <is>
          <t>comision depositos electronicos mastercard</t>
        </is>
      </c>
      <c r="D984" s="13" t="n">
        <v>-533</v>
      </c>
      <c r="E984" s="11">
        <f>IF(SUM(COUNTIFS('Conciliacion de compuestos'!$D$2:$D$48,"conciliado",'Conciliacion de compuestos'!$E$2:$E$48,"OK",'Conciliacion de compuestos'!$J$2:$J$48,A984),COUNTIFS('Conciliacion de compuestos'!$D$2:$D$48,"conciliado",'Conciliacion de compuestos'!$E$2:$E$48,"OK",'Conciliacion de compuestos'!$K$2:$K$48,A984),COUNTIFS('Conciliacion de compuestos'!$D$2:$D$48,"conciliado",'Conciliacion de compuestos'!$E$2:$E$48,"OK",'Conciliacion de compuestos'!$L$2:$L$48,A984))&gt;0,"conciliado en compuesto confirmado","disponible")</f>
        <v/>
      </c>
    </row>
    <row r="985">
      <c r="A985" s="11" t="n">
        <v>994</v>
      </c>
      <c r="B985" s="12" t="n">
        <v>46009</v>
      </c>
      <c r="C985" s="11" t="inlineStr">
        <is>
          <t>a financiero gravamen movimiento</t>
        </is>
      </c>
      <c r="D985" s="13" t="n">
        <v>-2</v>
      </c>
      <c r="E985" s="11">
        <f>IF(SUM(COUNTIFS('Conciliacion de compuestos'!$D$2:$D$48,"conciliado",'Conciliacion de compuestos'!$E$2:$E$48,"OK",'Conciliacion de compuestos'!$J$2:$J$48,A985),COUNTIFS('Conciliacion de compuestos'!$D$2:$D$48,"conciliado",'Conciliacion de compuestos'!$E$2:$E$48,"OK",'Conciliacion de compuestos'!$K$2:$K$48,A985),COUNTIFS('Conciliacion de compuestos'!$D$2:$D$48,"conciliado",'Conciliacion de compuestos'!$E$2:$E$48,"OK",'Conciliacion de compuestos'!$L$2:$L$48,A985))&gt;0,"conciliado en compuesto confirmado","disponible")</f>
        <v/>
      </c>
    </row>
    <row r="986">
      <c r="A986" s="11" t="n">
        <v>995</v>
      </c>
      <c r="B986" s="12" t="n">
        <v>46009</v>
      </c>
      <c r="C986" s="11" t="inlineStr">
        <is>
          <t>depositos electronicos mastercar retefuente</t>
        </is>
      </c>
      <c r="D986" s="13" t="n">
        <v>-421</v>
      </c>
      <c r="E986" s="11">
        <f>IF(SUM(COUNTIFS('Conciliacion de compuestos'!$D$2:$D$48,"conciliado",'Conciliacion de compuestos'!$E$2:$E$48,"OK",'Conciliacion de compuestos'!$J$2:$J$48,A986),COUNTIFS('Conciliacion de compuestos'!$D$2:$D$48,"conciliado",'Conciliacion de compuestos'!$E$2:$E$48,"OK",'Conciliacion de compuestos'!$K$2:$K$48,A986),COUNTIFS('Conciliacion de compuestos'!$D$2:$D$48,"conciliado",'Conciliacion de compuestos'!$E$2:$E$48,"OK",'Conciliacion de compuestos'!$L$2:$L$48,A986))&gt;0,"conciliado en compuesto confirmado","disponible")</f>
        <v/>
      </c>
    </row>
    <row r="987">
      <c r="A987" s="11" t="n">
        <v>996</v>
      </c>
      <c r="B987" s="12" t="n">
        <v>46009</v>
      </c>
      <c r="C987" s="11" t="inlineStr">
        <is>
          <t>a financiero gravamen movimiento</t>
        </is>
      </c>
      <c r="D987" s="13" t="n">
        <v>-2</v>
      </c>
      <c r="E987" s="11">
        <f>IF(SUM(COUNTIFS('Conciliacion de compuestos'!$D$2:$D$48,"conciliado",'Conciliacion de compuestos'!$E$2:$E$48,"OK",'Conciliacion de compuestos'!$J$2:$J$48,A987),COUNTIFS('Conciliacion de compuestos'!$D$2:$D$48,"conciliado",'Conciliacion de compuestos'!$E$2:$E$48,"OK",'Conciliacion de compuestos'!$K$2:$K$48,A987),COUNTIFS('Conciliacion de compuestos'!$D$2:$D$48,"conciliado",'Conciliacion de compuestos'!$E$2:$E$48,"OK",'Conciliacion de compuestos'!$L$2:$L$48,A987))&gt;0,"conciliado en compuesto confirmado","disponible")</f>
        <v/>
      </c>
    </row>
    <row r="988">
      <c r="A988" s="11" t="n">
        <v>997</v>
      </c>
      <c r="B988" s="12" t="n">
        <v>46009</v>
      </c>
      <c r="C988" s="11" t="inlineStr">
        <is>
          <t>depositos electronicos masterca transaccion</t>
        </is>
      </c>
      <c r="D988" s="13" t="n">
        <v>60000</v>
      </c>
      <c r="E988" s="11">
        <f>IF(SUM(COUNTIFS('Conciliacion de compuestos'!$D$2:$D$48,"conciliado",'Conciliacion de compuestos'!$E$2:$E$48,"OK",'Conciliacion de compuestos'!$J$2:$J$48,A988),COUNTIFS('Conciliacion de compuestos'!$D$2:$D$48,"conciliado",'Conciliacion de compuestos'!$E$2:$E$48,"OK",'Conciliacion de compuestos'!$K$2:$K$48,A988),COUNTIFS('Conciliacion de compuestos'!$D$2:$D$48,"conciliado",'Conciliacion de compuestos'!$E$2:$E$48,"OK",'Conciliacion de compuestos'!$L$2:$L$48,A988))&gt;0,"conciliado en compuesto confirmado","disponible")</f>
        <v/>
      </c>
    </row>
    <row r="989">
      <c r="A989" s="11" t="n">
        <v>998</v>
      </c>
      <c r="B989" s="12" t="n">
        <v>46009</v>
      </c>
      <c r="C989" s="11" t="inlineStr">
        <is>
          <t>comision depositos electronicos mastercard</t>
        </is>
      </c>
      <c r="D989" s="13" t="n">
        <v>-1140</v>
      </c>
      <c r="E989" s="11">
        <f>IF(SUM(COUNTIFS('Conciliacion de compuestos'!$D$2:$D$48,"conciliado",'Conciliacion de compuestos'!$E$2:$E$48,"OK",'Conciliacion de compuestos'!$J$2:$J$48,A989),COUNTIFS('Conciliacion de compuestos'!$D$2:$D$48,"conciliado",'Conciliacion de compuestos'!$E$2:$E$48,"OK",'Conciliacion de compuestos'!$K$2:$K$48,A989),COUNTIFS('Conciliacion de compuestos'!$D$2:$D$48,"conciliado",'Conciliacion de compuestos'!$E$2:$E$48,"OK",'Conciliacion de compuestos'!$L$2:$L$48,A989))&gt;0,"conciliado en compuesto confirmado","disponible")</f>
        <v/>
      </c>
    </row>
    <row r="990">
      <c r="A990" s="11" t="n">
        <v>999</v>
      </c>
      <c r="B990" s="12" t="n">
        <v>46009</v>
      </c>
      <c r="C990" s="11" t="inlineStr">
        <is>
          <t>a financiero gravamen movimiento</t>
        </is>
      </c>
      <c r="D990" s="13" t="n">
        <v>-5</v>
      </c>
      <c r="E990" s="11">
        <f>IF(SUM(COUNTIFS('Conciliacion de compuestos'!$D$2:$D$48,"conciliado",'Conciliacion de compuestos'!$E$2:$E$48,"OK",'Conciliacion de compuestos'!$J$2:$J$48,A990),COUNTIFS('Conciliacion de compuestos'!$D$2:$D$48,"conciliado",'Conciliacion de compuestos'!$E$2:$E$48,"OK",'Conciliacion de compuestos'!$K$2:$K$48,A990),COUNTIFS('Conciliacion de compuestos'!$D$2:$D$48,"conciliado",'Conciliacion de compuestos'!$E$2:$E$48,"OK",'Conciliacion de compuestos'!$L$2:$L$48,A990))&gt;0,"conciliado en compuesto confirmado","disponible")</f>
        <v/>
      </c>
    </row>
    <row r="991">
      <c r="A991" s="11" t="n">
        <v>1000</v>
      </c>
      <c r="B991" s="12" t="n">
        <v>46009</v>
      </c>
      <c r="C991" s="11" t="inlineStr">
        <is>
          <t>depositos electronicos mastercar retefuente</t>
        </is>
      </c>
      <c r="D991" s="13" t="n">
        <v>-900</v>
      </c>
      <c r="E991" s="11">
        <f>IF(SUM(COUNTIFS('Conciliacion de compuestos'!$D$2:$D$48,"conciliado",'Conciliacion de compuestos'!$E$2:$E$48,"OK",'Conciliacion de compuestos'!$J$2:$J$48,A991),COUNTIFS('Conciliacion de compuestos'!$D$2:$D$48,"conciliado",'Conciliacion de compuestos'!$E$2:$E$48,"OK",'Conciliacion de compuestos'!$K$2:$K$48,A991),COUNTIFS('Conciliacion de compuestos'!$D$2:$D$48,"conciliado",'Conciliacion de compuestos'!$E$2:$E$48,"OK",'Conciliacion de compuestos'!$L$2:$L$48,A991))&gt;0,"conciliado en compuesto confirmado","disponible")</f>
        <v/>
      </c>
    </row>
    <row r="992">
      <c r="A992" s="11" t="n">
        <v>1001</v>
      </c>
      <c r="B992" s="12" t="n">
        <v>46009</v>
      </c>
      <c r="C992" s="11" t="inlineStr">
        <is>
          <t>a financiero gravamen movimiento</t>
        </is>
      </c>
      <c r="D992" s="13" t="n">
        <v>-4</v>
      </c>
      <c r="E992" s="11">
        <f>IF(SUM(COUNTIFS('Conciliacion de compuestos'!$D$2:$D$48,"conciliado",'Conciliacion de compuestos'!$E$2:$E$48,"OK",'Conciliacion de compuestos'!$J$2:$J$48,A992),COUNTIFS('Conciliacion de compuestos'!$D$2:$D$48,"conciliado",'Conciliacion de compuestos'!$E$2:$E$48,"OK",'Conciliacion de compuestos'!$K$2:$K$48,A992),COUNTIFS('Conciliacion de compuestos'!$D$2:$D$48,"conciliado",'Conciliacion de compuestos'!$E$2:$E$48,"OK",'Conciliacion de compuestos'!$L$2:$L$48,A992))&gt;0,"conciliado en compuesto confirmado","disponible")</f>
        <v/>
      </c>
    </row>
    <row r="993">
      <c r="A993" s="11" t="n">
        <v>1002</v>
      </c>
      <c r="B993" s="12" t="n">
        <v>46009</v>
      </c>
      <c r="C993" s="11" t="inlineStr">
        <is>
          <t>depositos electronicos masterca transaccion</t>
        </is>
      </c>
      <c r="D993" s="13" t="n">
        <v>101550</v>
      </c>
      <c r="E993" s="11">
        <f>IF(SUM(COUNTIFS('Conciliacion de compuestos'!$D$2:$D$48,"conciliado",'Conciliacion de compuestos'!$E$2:$E$48,"OK",'Conciliacion de compuestos'!$J$2:$J$48,A993),COUNTIFS('Conciliacion de compuestos'!$D$2:$D$48,"conciliado",'Conciliacion de compuestos'!$E$2:$E$48,"OK",'Conciliacion de compuestos'!$K$2:$K$48,A993),COUNTIFS('Conciliacion de compuestos'!$D$2:$D$48,"conciliado",'Conciliacion de compuestos'!$E$2:$E$48,"OK",'Conciliacion de compuestos'!$L$2:$L$48,A993))&gt;0,"conciliado en compuesto confirmado","disponible")</f>
        <v/>
      </c>
    </row>
    <row r="994">
      <c r="A994" s="11" t="n">
        <v>1003</v>
      </c>
      <c r="B994" s="12" t="n">
        <v>46009</v>
      </c>
      <c r="C994" s="11" t="inlineStr">
        <is>
          <t>comision depositos electronicos mastercard</t>
        </is>
      </c>
      <c r="D994" s="13" t="n">
        <v>-1929</v>
      </c>
      <c r="E994" s="11">
        <f>IF(SUM(COUNTIFS('Conciliacion de compuestos'!$D$2:$D$48,"conciliado",'Conciliacion de compuestos'!$E$2:$E$48,"OK",'Conciliacion de compuestos'!$J$2:$J$48,A994),COUNTIFS('Conciliacion de compuestos'!$D$2:$D$48,"conciliado",'Conciliacion de compuestos'!$E$2:$E$48,"OK",'Conciliacion de compuestos'!$K$2:$K$48,A994),COUNTIFS('Conciliacion de compuestos'!$D$2:$D$48,"conciliado",'Conciliacion de compuestos'!$E$2:$E$48,"OK",'Conciliacion de compuestos'!$L$2:$L$48,A994))&gt;0,"conciliado en compuesto confirmado","disponible")</f>
        <v/>
      </c>
    </row>
    <row r="995">
      <c r="A995" s="11" t="n">
        <v>1004</v>
      </c>
      <c r="B995" s="12" t="n">
        <v>46009</v>
      </c>
      <c r="C995" s="11" t="inlineStr">
        <is>
          <t>a financiero gravamen movimiento</t>
        </is>
      </c>
      <c r="D995" s="13" t="n">
        <v>-8</v>
      </c>
      <c r="E995" s="11">
        <f>IF(SUM(COUNTIFS('Conciliacion de compuestos'!$D$2:$D$48,"conciliado",'Conciliacion de compuestos'!$E$2:$E$48,"OK",'Conciliacion de compuestos'!$J$2:$J$48,A995),COUNTIFS('Conciliacion de compuestos'!$D$2:$D$48,"conciliado",'Conciliacion de compuestos'!$E$2:$E$48,"OK",'Conciliacion de compuestos'!$K$2:$K$48,A995),COUNTIFS('Conciliacion de compuestos'!$D$2:$D$48,"conciliado",'Conciliacion de compuestos'!$E$2:$E$48,"OK",'Conciliacion de compuestos'!$L$2:$L$48,A995))&gt;0,"conciliado en compuesto confirmado","disponible")</f>
        <v/>
      </c>
    </row>
    <row r="996">
      <c r="A996" s="11" t="n">
        <v>1005</v>
      </c>
      <c r="B996" s="12" t="n">
        <v>46009</v>
      </c>
      <c r="C996" s="11" t="inlineStr">
        <is>
          <t>depositos electronicos mastercar retefuente</t>
        </is>
      </c>
      <c r="D996" s="13" t="n">
        <v>-1523</v>
      </c>
      <c r="E996" s="11">
        <f>IF(SUM(COUNTIFS('Conciliacion de compuestos'!$D$2:$D$48,"conciliado",'Conciliacion de compuestos'!$E$2:$E$48,"OK",'Conciliacion de compuestos'!$J$2:$J$48,A996),COUNTIFS('Conciliacion de compuestos'!$D$2:$D$48,"conciliado",'Conciliacion de compuestos'!$E$2:$E$48,"OK",'Conciliacion de compuestos'!$K$2:$K$48,A996),COUNTIFS('Conciliacion de compuestos'!$D$2:$D$48,"conciliado",'Conciliacion de compuestos'!$E$2:$E$48,"OK",'Conciliacion de compuestos'!$L$2:$L$48,A996))&gt;0,"conciliado en compuesto confirmado","disponible")</f>
        <v/>
      </c>
    </row>
    <row r="997">
      <c r="A997" s="11" t="n">
        <v>1006</v>
      </c>
      <c r="B997" s="12" t="n">
        <v>46009</v>
      </c>
      <c r="C997" s="11" t="inlineStr">
        <is>
          <t>a financiero gravamen movimiento</t>
        </is>
      </c>
      <c r="D997" s="13" t="n">
        <v>-6</v>
      </c>
      <c r="E997" s="11">
        <f>IF(SUM(COUNTIFS('Conciliacion de compuestos'!$D$2:$D$48,"conciliado",'Conciliacion de compuestos'!$E$2:$E$48,"OK",'Conciliacion de compuestos'!$J$2:$J$48,A997),COUNTIFS('Conciliacion de compuestos'!$D$2:$D$48,"conciliado",'Conciliacion de compuestos'!$E$2:$E$48,"OK",'Conciliacion de compuestos'!$K$2:$K$48,A997),COUNTIFS('Conciliacion de compuestos'!$D$2:$D$48,"conciliado",'Conciliacion de compuestos'!$E$2:$E$48,"OK",'Conciliacion de compuestos'!$L$2:$L$48,A997))&gt;0,"conciliado en compuesto confirmado","disponible")</f>
        <v/>
      </c>
    </row>
    <row r="998">
      <c r="A998" s="11" t="n">
        <v>1007</v>
      </c>
      <c r="B998" s="12" t="n">
        <v>46009</v>
      </c>
      <c r="C998" s="11" t="inlineStr">
        <is>
          <t>depositos electronicos masterca transaccion</t>
        </is>
      </c>
      <c r="D998" s="13" t="n">
        <v>58400</v>
      </c>
      <c r="E998" s="11">
        <f>IF(SUM(COUNTIFS('Conciliacion de compuestos'!$D$2:$D$48,"conciliado",'Conciliacion de compuestos'!$E$2:$E$48,"OK",'Conciliacion de compuestos'!$J$2:$J$48,A998),COUNTIFS('Conciliacion de compuestos'!$D$2:$D$48,"conciliado",'Conciliacion de compuestos'!$E$2:$E$48,"OK",'Conciliacion de compuestos'!$K$2:$K$48,A998),COUNTIFS('Conciliacion de compuestos'!$D$2:$D$48,"conciliado",'Conciliacion de compuestos'!$E$2:$E$48,"OK",'Conciliacion de compuestos'!$L$2:$L$48,A998))&gt;0,"conciliado en compuesto confirmado","disponible")</f>
        <v/>
      </c>
    </row>
    <row r="999">
      <c r="A999" s="11" t="n">
        <v>1008</v>
      </c>
      <c r="B999" s="12" t="n">
        <v>46009</v>
      </c>
      <c r="C999" s="11" t="inlineStr">
        <is>
          <t>comision depositos electronicos mastercard</t>
        </is>
      </c>
      <c r="D999" s="13" t="n">
        <v>-1110</v>
      </c>
      <c r="E999" s="11">
        <f>IF(SUM(COUNTIFS('Conciliacion de compuestos'!$D$2:$D$48,"conciliado",'Conciliacion de compuestos'!$E$2:$E$48,"OK",'Conciliacion de compuestos'!$J$2:$J$48,A999),COUNTIFS('Conciliacion de compuestos'!$D$2:$D$48,"conciliado",'Conciliacion de compuestos'!$E$2:$E$48,"OK",'Conciliacion de compuestos'!$K$2:$K$48,A999),COUNTIFS('Conciliacion de compuestos'!$D$2:$D$48,"conciliado",'Conciliacion de compuestos'!$E$2:$E$48,"OK",'Conciliacion de compuestos'!$L$2:$L$48,A999))&gt;0,"conciliado en compuesto confirmado","disponible")</f>
        <v/>
      </c>
    </row>
    <row r="1000">
      <c r="A1000" s="11" t="n">
        <v>1009</v>
      </c>
      <c r="B1000" s="12" t="n">
        <v>46009</v>
      </c>
      <c r="C1000" s="11" t="inlineStr">
        <is>
          <t>a financiero gravamen movimiento</t>
        </is>
      </c>
      <c r="D1000" s="13" t="n">
        <v>-4</v>
      </c>
      <c r="E1000" s="11">
        <f>IF(SUM(COUNTIFS('Conciliacion de compuestos'!$D$2:$D$48,"conciliado",'Conciliacion de compuestos'!$E$2:$E$48,"OK",'Conciliacion de compuestos'!$J$2:$J$48,A1000),COUNTIFS('Conciliacion de compuestos'!$D$2:$D$48,"conciliado",'Conciliacion de compuestos'!$E$2:$E$48,"OK",'Conciliacion de compuestos'!$K$2:$K$48,A1000),COUNTIFS('Conciliacion de compuestos'!$D$2:$D$48,"conciliado",'Conciliacion de compuestos'!$E$2:$E$48,"OK",'Conciliacion de compuestos'!$L$2:$L$48,A1000))&gt;0,"conciliado en compuesto confirmado","disponible")</f>
        <v/>
      </c>
    </row>
    <row r="1001">
      <c r="A1001" s="11" t="n">
        <v>1010</v>
      </c>
      <c r="B1001" s="12" t="n">
        <v>46009</v>
      </c>
      <c r="C1001" s="11" t="inlineStr">
        <is>
          <t>depositos electronicos mastercar retefuente</t>
        </is>
      </c>
      <c r="D1001" s="13" t="n">
        <v>-876</v>
      </c>
      <c r="E1001" s="11">
        <f>IF(SUM(COUNTIFS('Conciliacion de compuestos'!$D$2:$D$48,"conciliado",'Conciliacion de compuestos'!$E$2:$E$48,"OK",'Conciliacion de compuestos'!$J$2:$J$48,A1001),COUNTIFS('Conciliacion de compuestos'!$D$2:$D$48,"conciliado",'Conciliacion de compuestos'!$E$2:$E$48,"OK",'Conciliacion de compuestos'!$K$2:$K$48,A1001),COUNTIFS('Conciliacion de compuestos'!$D$2:$D$48,"conciliado",'Conciliacion de compuestos'!$E$2:$E$48,"OK",'Conciliacion de compuestos'!$L$2:$L$48,A1001))&gt;0,"conciliado en compuesto confirmado","disponible")</f>
        <v/>
      </c>
    </row>
    <row r="1002">
      <c r="A1002" s="11" t="n">
        <v>1011</v>
      </c>
      <c r="B1002" s="12" t="n">
        <v>46009</v>
      </c>
      <c r="C1002" s="11" t="inlineStr">
        <is>
          <t>a financiero gravamen movimiento</t>
        </is>
      </c>
      <c r="D1002" s="13" t="n">
        <v>-4</v>
      </c>
      <c r="E1002" s="11">
        <f>IF(SUM(COUNTIFS('Conciliacion de compuestos'!$D$2:$D$48,"conciliado",'Conciliacion de compuestos'!$E$2:$E$48,"OK",'Conciliacion de compuestos'!$J$2:$J$48,A1002),COUNTIFS('Conciliacion de compuestos'!$D$2:$D$48,"conciliado",'Conciliacion de compuestos'!$E$2:$E$48,"OK",'Conciliacion de compuestos'!$K$2:$K$48,A1002),COUNTIFS('Conciliacion de compuestos'!$D$2:$D$48,"conciliado",'Conciliacion de compuestos'!$E$2:$E$48,"OK",'Conciliacion de compuestos'!$L$2:$L$48,A1002))&gt;0,"conciliado en compuesto confirmado","disponible")</f>
        <v/>
      </c>
    </row>
    <row r="1003">
      <c r="A1003" s="11" t="n">
        <v>1012</v>
      </c>
      <c r="B1003" s="12" t="n">
        <v>46009</v>
      </c>
      <c r="C1003" s="11" t="inlineStr">
        <is>
          <t>depositos electronicos masterca transaccion</t>
        </is>
      </c>
      <c r="D1003" s="13" t="n">
        <v>29400</v>
      </c>
      <c r="E1003" s="11">
        <f>IF(SUM(COUNTIFS('Conciliacion de compuestos'!$D$2:$D$48,"conciliado",'Conciliacion de compuestos'!$E$2:$E$48,"OK",'Conciliacion de compuestos'!$J$2:$J$48,A1003),COUNTIFS('Conciliacion de compuestos'!$D$2:$D$48,"conciliado",'Conciliacion de compuestos'!$E$2:$E$48,"OK",'Conciliacion de compuestos'!$K$2:$K$48,A1003),COUNTIFS('Conciliacion de compuestos'!$D$2:$D$48,"conciliado",'Conciliacion de compuestos'!$E$2:$E$48,"OK",'Conciliacion de compuestos'!$L$2:$L$48,A1003))&gt;0,"conciliado en compuesto confirmado","disponible")</f>
        <v/>
      </c>
    </row>
    <row r="1004">
      <c r="A1004" s="11" t="n">
        <v>1013</v>
      </c>
      <c r="B1004" s="12" t="n">
        <v>46009</v>
      </c>
      <c r="C1004" s="11" t="inlineStr">
        <is>
          <t>comision depositos electronicos mastercard</t>
        </is>
      </c>
      <c r="D1004" s="13" t="n">
        <v>-559</v>
      </c>
      <c r="E1004" s="11">
        <f>IF(SUM(COUNTIFS('Conciliacion de compuestos'!$D$2:$D$48,"conciliado",'Conciliacion de compuestos'!$E$2:$E$48,"OK",'Conciliacion de compuestos'!$J$2:$J$48,A1004),COUNTIFS('Conciliacion de compuestos'!$D$2:$D$48,"conciliado",'Conciliacion de compuestos'!$E$2:$E$48,"OK",'Conciliacion de compuestos'!$K$2:$K$48,A1004),COUNTIFS('Conciliacion de compuestos'!$D$2:$D$48,"conciliado",'Conciliacion de compuestos'!$E$2:$E$48,"OK",'Conciliacion de compuestos'!$L$2:$L$48,A1004))&gt;0,"conciliado en compuesto confirmado","disponible")</f>
        <v/>
      </c>
    </row>
    <row r="1005">
      <c r="A1005" s="11" t="n">
        <v>1014</v>
      </c>
      <c r="B1005" s="12" t="n">
        <v>46009</v>
      </c>
      <c r="C1005" s="11" t="inlineStr">
        <is>
          <t>a financiero gravamen movimiento</t>
        </is>
      </c>
      <c r="D1005" s="13" t="n">
        <v>-2</v>
      </c>
      <c r="E1005" s="11">
        <f>IF(SUM(COUNTIFS('Conciliacion de compuestos'!$D$2:$D$48,"conciliado",'Conciliacion de compuestos'!$E$2:$E$48,"OK",'Conciliacion de compuestos'!$J$2:$J$48,A1005),COUNTIFS('Conciliacion de compuestos'!$D$2:$D$48,"conciliado",'Conciliacion de compuestos'!$E$2:$E$48,"OK",'Conciliacion de compuestos'!$K$2:$K$48,A1005),COUNTIFS('Conciliacion de compuestos'!$D$2:$D$48,"conciliado",'Conciliacion de compuestos'!$E$2:$E$48,"OK",'Conciliacion de compuestos'!$L$2:$L$48,A1005))&gt;0,"conciliado en compuesto confirmado","disponible")</f>
        <v/>
      </c>
    </row>
    <row r="1006">
      <c r="A1006" s="11" t="n">
        <v>1015</v>
      </c>
      <c r="B1006" s="12" t="n">
        <v>46009</v>
      </c>
      <c r="C1006" s="11" t="inlineStr">
        <is>
          <t>depositos electronicos mastercar retefuente</t>
        </is>
      </c>
      <c r="D1006" s="13" t="n">
        <v>-441</v>
      </c>
      <c r="E1006" s="11">
        <f>IF(SUM(COUNTIFS('Conciliacion de compuestos'!$D$2:$D$48,"conciliado",'Conciliacion de compuestos'!$E$2:$E$48,"OK",'Conciliacion de compuestos'!$J$2:$J$48,A1006),COUNTIFS('Conciliacion de compuestos'!$D$2:$D$48,"conciliado",'Conciliacion de compuestos'!$E$2:$E$48,"OK",'Conciliacion de compuestos'!$K$2:$K$48,A1006),COUNTIFS('Conciliacion de compuestos'!$D$2:$D$48,"conciliado",'Conciliacion de compuestos'!$E$2:$E$48,"OK",'Conciliacion de compuestos'!$L$2:$L$48,A1006))&gt;0,"conciliado en compuesto confirmado","disponible")</f>
        <v/>
      </c>
    </row>
    <row r="1007">
      <c r="A1007" s="11" t="n">
        <v>1016</v>
      </c>
      <c r="B1007" s="12" t="n">
        <v>46009</v>
      </c>
      <c r="C1007" s="11" t="inlineStr">
        <is>
          <t>a financiero gravamen movimiento</t>
        </is>
      </c>
      <c r="D1007" s="13" t="n">
        <v>-2</v>
      </c>
      <c r="E1007" s="11">
        <f>IF(SUM(COUNTIFS('Conciliacion de compuestos'!$D$2:$D$48,"conciliado",'Conciliacion de compuestos'!$E$2:$E$48,"OK",'Conciliacion de compuestos'!$J$2:$J$48,A1007),COUNTIFS('Conciliacion de compuestos'!$D$2:$D$48,"conciliado",'Conciliacion de compuestos'!$E$2:$E$48,"OK",'Conciliacion de compuestos'!$K$2:$K$48,A1007),COUNTIFS('Conciliacion de compuestos'!$D$2:$D$48,"conciliado",'Conciliacion de compuestos'!$E$2:$E$48,"OK",'Conciliacion de compuestos'!$L$2:$L$48,A1007))&gt;0,"conciliado en compuesto confirmado","disponible")</f>
        <v/>
      </c>
    </row>
    <row r="1008">
      <c r="A1008" s="11" t="n">
        <v>1018</v>
      </c>
      <c r="B1008" s="12" t="n">
        <v>46009</v>
      </c>
      <c r="C1008" s="11" t="inlineStr">
        <is>
          <t>a financiero gravamen movimiento</t>
        </is>
      </c>
      <c r="D1008" s="13" t="n">
        <v>-12665</v>
      </c>
      <c r="E1008" s="11">
        <f>IF(SUM(COUNTIFS('Conciliacion de compuestos'!$D$2:$D$48,"conciliado",'Conciliacion de compuestos'!$E$2:$E$48,"OK",'Conciliacion de compuestos'!$J$2:$J$48,A1008),COUNTIFS('Conciliacion de compuestos'!$D$2:$D$48,"conciliado",'Conciliacion de compuestos'!$E$2:$E$48,"OK",'Conciliacion de compuestos'!$K$2:$K$48,A1008),COUNTIFS('Conciliacion de compuestos'!$D$2:$D$48,"conciliado",'Conciliacion de compuestos'!$E$2:$E$48,"OK",'Conciliacion de compuestos'!$L$2:$L$48,A1008))&gt;0,"conciliado en compuesto confirmado","disponible")</f>
        <v/>
      </c>
    </row>
    <row r="1009">
      <c r="A1009" s="11" t="n">
        <v>1020</v>
      </c>
      <c r="B1009" s="12" t="n">
        <v>46009</v>
      </c>
      <c r="C1009" s="11" t="inlineStr">
        <is>
          <t>a financiero gravamen movimiento</t>
        </is>
      </c>
      <c r="D1009" s="13" t="n">
        <v>-4210</v>
      </c>
      <c r="E1009" s="11">
        <f>IF(SUM(COUNTIFS('Conciliacion de compuestos'!$D$2:$D$48,"conciliado",'Conciliacion de compuestos'!$E$2:$E$48,"OK",'Conciliacion de compuestos'!$J$2:$J$48,A1009),COUNTIFS('Conciliacion de compuestos'!$D$2:$D$48,"conciliado",'Conciliacion de compuestos'!$E$2:$E$48,"OK",'Conciliacion de compuestos'!$K$2:$K$48,A1009),COUNTIFS('Conciliacion de compuestos'!$D$2:$D$48,"conciliado",'Conciliacion de compuestos'!$E$2:$E$48,"OK",'Conciliacion de compuestos'!$L$2:$L$48,A1009))&gt;0,"conciliado en compuesto confirmado","disponible")</f>
        <v/>
      </c>
    </row>
    <row r="1010">
      <c r="A1010" s="11" t="n">
        <v>1021</v>
      </c>
      <c r="B1010" s="12" t="n">
        <v>46009</v>
      </c>
      <c r="C1010" s="11" t="inlineStr">
        <is>
          <t>comision cta cte db interbancaria</t>
        </is>
      </c>
      <c r="D1010" s="13" t="n">
        <v>-7500</v>
      </c>
      <c r="E1010" s="11">
        <f>IF(SUM(COUNTIFS('Conciliacion de compuestos'!$D$2:$D$48,"conciliado",'Conciliacion de compuestos'!$E$2:$E$48,"OK",'Conciliacion de compuestos'!$J$2:$J$48,A1010),COUNTIFS('Conciliacion de compuestos'!$D$2:$D$48,"conciliado",'Conciliacion de compuestos'!$E$2:$E$48,"OK",'Conciliacion de compuestos'!$K$2:$K$48,A1010),COUNTIFS('Conciliacion de compuestos'!$D$2:$D$48,"conciliado",'Conciliacion de compuestos'!$E$2:$E$48,"OK",'Conciliacion de compuestos'!$L$2:$L$48,A1010))&gt;0,"conciliado en compuesto confirmado","disponible")</f>
        <v/>
      </c>
    </row>
    <row r="1011">
      <c r="A1011" s="11" t="n">
        <v>1022</v>
      </c>
      <c r="B1011" s="12" t="n">
        <v>46009</v>
      </c>
      <c r="C1011" s="11" t="inlineStr">
        <is>
          <t>iva</t>
        </is>
      </c>
      <c r="D1011" s="13" t="n">
        <v>-1425</v>
      </c>
      <c r="E1011" s="11">
        <f>IF(SUM(COUNTIFS('Conciliacion de compuestos'!$D$2:$D$48,"conciliado",'Conciliacion de compuestos'!$E$2:$E$48,"OK",'Conciliacion de compuestos'!$J$2:$J$48,A1011),COUNTIFS('Conciliacion de compuestos'!$D$2:$D$48,"conciliado",'Conciliacion de compuestos'!$E$2:$E$48,"OK",'Conciliacion de compuestos'!$K$2:$K$48,A1011),COUNTIFS('Conciliacion de compuestos'!$D$2:$D$48,"conciliado",'Conciliacion de compuestos'!$E$2:$E$48,"OK",'Conciliacion de compuestos'!$L$2:$L$48,A1011))&gt;0,"conciliado en compuesto confirmado","disponible")</f>
        <v/>
      </c>
    </row>
    <row r="1012">
      <c r="A1012" s="11" t="n">
        <v>1023</v>
      </c>
      <c r="B1012" s="12" t="n">
        <v>46009</v>
      </c>
      <c r="C1012" s="11" t="inlineStr">
        <is>
          <t>a financiero gravamen movimiento</t>
        </is>
      </c>
      <c r="D1012" s="13" t="n">
        <v>-36</v>
      </c>
      <c r="E1012" s="11">
        <f>IF(SUM(COUNTIFS('Conciliacion de compuestos'!$D$2:$D$48,"conciliado",'Conciliacion de compuestos'!$E$2:$E$48,"OK",'Conciliacion de compuestos'!$J$2:$J$48,A1012),COUNTIFS('Conciliacion de compuestos'!$D$2:$D$48,"conciliado",'Conciliacion de compuestos'!$E$2:$E$48,"OK",'Conciliacion de compuestos'!$K$2:$K$48,A1012),COUNTIFS('Conciliacion de compuestos'!$D$2:$D$48,"conciliado",'Conciliacion de compuestos'!$E$2:$E$48,"OK",'Conciliacion de compuestos'!$L$2:$L$48,A1012))&gt;0,"conciliado en compuesto confirmado","disponible")</f>
        <v/>
      </c>
    </row>
    <row r="1013">
      <c r="A1013" s="11" t="n">
        <v>1024</v>
      </c>
      <c r="B1013" s="12" t="n">
        <v>46010</v>
      </c>
      <c r="C1013" s="11" t="inlineStr">
        <is>
          <t>depositos electronicos masterca transaccion</t>
        </is>
      </c>
      <c r="D1013" s="13" t="n">
        <v>87800</v>
      </c>
      <c r="E1013" s="11">
        <f>IF(SUM(COUNTIFS('Conciliacion de compuestos'!$D$2:$D$48,"conciliado",'Conciliacion de compuestos'!$E$2:$E$48,"OK",'Conciliacion de compuestos'!$J$2:$J$48,A1013),COUNTIFS('Conciliacion de compuestos'!$D$2:$D$48,"conciliado",'Conciliacion de compuestos'!$E$2:$E$48,"OK",'Conciliacion de compuestos'!$K$2:$K$48,A1013),COUNTIFS('Conciliacion de compuestos'!$D$2:$D$48,"conciliado",'Conciliacion de compuestos'!$E$2:$E$48,"OK",'Conciliacion de compuestos'!$L$2:$L$48,A1013))&gt;0,"conciliado en compuesto confirmado","disponible")</f>
        <v/>
      </c>
    </row>
    <row r="1014">
      <c r="A1014" s="11" t="n">
        <v>1025</v>
      </c>
      <c r="B1014" s="12" t="n">
        <v>46010</v>
      </c>
      <c r="C1014" s="11" t="inlineStr">
        <is>
          <t>comision depositos electronicos mastercard</t>
        </is>
      </c>
      <c r="D1014" s="13" t="n">
        <v>-2063</v>
      </c>
      <c r="E1014" s="11">
        <f>IF(SUM(COUNTIFS('Conciliacion de compuestos'!$D$2:$D$48,"conciliado",'Conciliacion de compuestos'!$E$2:$E$48,"OK",'Conciliacion de compuestos'!$J$2:$J$48,A1014),COUNTIFS('Conciliacion de compuestos'!$D$2:$D$48,"conciliado",'Conciliacion de compuestos'!$E$2:$E$48,"OK",'Conciliacion de compuestos'!$K$2:$K$48,A1014),COUNTIFS('Conciliacion de compuestos'!$D$2:$D$48,"conciliado",'Conciliacion de compuestos'!$E$2:$E$48,"OK",'Conciliacion de compuestos'!$L$2:$L$48,A1014))&gt;0,"conciliado en compuesto confirmado","disponible")</f>
        <v/>
      </c>
    </row>
    <row r="1015">
      <c r="A1015" s="11" t="n">
        <v>1026</v>
      </c>
      <c r="B1015" s="12" t="n">
        <v>46010</v>
      </c>
      <c r="C1015" s="11" t="inlineStr">
        <is>
          <t>a financiero gravamen movimiento</t>
        </is>
      </c>
      <c r="D1015" s="13" t="n">
        <v>-8</v>
      </c>
      <c r="E1015" s="11">
        <f>IF(SUM(COUNTIFS('Conciliacion de compuestos'!$D$2:$D$48,"conciliado",'Conciliacion de compuestos'!$E$2:$E$48,"OK",'Conciliacion de compuestos'!$J$2:$J$48,A1015),COUNTIFS('Conciliacion de compuestos'!$D$2:$D$48,"conciliado",'Conciliacion de compuestos'!$E$2:$E$48,"OK",'Conciliacion de compuestos'!$K$2:$K$48,A1015),COUNTIFS('Conciliacion de compuestos'!$D$2:$D$48,"conciliado",'Conciliacion de compuestos'!$E$2:$E$48,"OK",'Conciliacion de compuestos'!$L$2:$L$48,A1015))&gt;0,"conciliado en compuesto confirmado","disponible")</f>
        <v/>
      </c>
    </row>
    <row r="1016">
      <c r="A1016" s="11" t="n">
        <v>1027</v>
      </c>
      <c r="B1016" s="12" t="n">
        <v>46010</v>
      </c>
      <c r="C1016" s="11" t="inlineStr">
        <is>
          <t>depositos electronicos mastercar retefuente</t>
        </is>
      </c>
      <c r="D1016" s="13" t="n">
        <v>-1317</v>
      </c>
      <c r="E1016" s="11">
        <f>IF(SUM(COUNTIFS('Conciliacion de compuestos'!$D$2:$D$48,"conciliado",'Conciliacion de compuestos'!$E$2:$E$48,"OK",'Conciliacion de compuestos'!$J$2:$J$48,A1016),COUNTIFS('Conciliacion de compuestos'!$D$2:$D$48,"conciliado",'Conciliacion de compuestos'!$E$2:$E$48,"OK",'Conciliacion de compuestos'!$K$2:$K$48,A1016),COUNTIFS('Conciliacion de compuestos'!$D$2:$D$48,"conciliado",'Conciliacion de compuestos'!$E$2:$E$48,"OK",'Conciliacion de compuestos'!$L$2:$L$48,A1016))&gt;0,"conciliado en compuesto confirmado","disponible")</f>
        <v/>
      </c>
    </row>
    <row r="1017">
      <c r="A1017" s="11" t="n">
        <v>1028</v>
      </c>
      <c r="B1017" s="12" t="n">
        <v>46010</v>
      </c>
      <c r="C1017" s="11" t="inlineStr">
        <is>
          <t>a financiero gravamen movimiento</t>
        </is>
      </c>
      <c r="D1017" s="13" t="n">
        <v>-5</v>
      </c>
      <c r="E1017" s="11">
        <f>IF(SUM(COUNTIFS('Conciliacion de compuestos'!$D$2:$D$48,"conciliado",'Conciliacion de compuestos'!$E$2:$E$48,"OK",'Conciliacion de compuestos'!$J$2:$J$48,A1017),COUNTIFS('Conciliacion de compuestos'!$D$2:$D$48,"conciliado",'Conciliacion de compuestos'!$E$2:$E$48,"OK",'Conciliacion de compuestos'!$K$2:$K$48,A1017),COUNTIFS('Conciliacion de compuestos'!$D$2:$D$48,"conciliado",'Conciliacion de compuestos'!$E$2:$E$48,"OK",'Conciliacion de compuestos'!$L$2:$L$48,A1017))&gt;0,"conciliado en compuesto confirmado","disponible")</f>
        <v/>
      </c>
    </row>
    <row r="1018">
      <c r="A1018" s="11" t="n">
        <v>1029</v>
      </c>
      <c r="B1018" s="12" t="n">
        <v>46010</v>
      </c>
      <c r="C1018" s="11" t="inlineStr">
        <is>
          <t>depositos electronicos masterca transaccion</t>
        </is>
      </c>
      <c r="D1018" s="13" t="n">
        <v>22000</v>
      </c>
      <c r="E1018" s="11">
        <f>IF(SUM(COUNTIFS('Conciliacion de compuestos'!$D$2:$D$48,"conciliado",'Conciliacion de compuestos'!$E$2:$E$48,"OK",'Conciliacion de compuestos'!$J$2:$J$48,A1018),COUNTIFS('Conciliacion de compuestos'!$D$2:$D$48,"conciliado",'Conciliacion de compuestos'!$E$2:$E$48,"OK",'Conciliacion de compuestos'!$K$2:$K$48,A1018),COUNTIFS('Conciliacion de compuestos'!$D$2:$D$48,"conciliado",'Conciliacion de compuestos'!$E$2:$E$48,"OK",'Conciliacion de compuestos'!$L$2:$L$48,A1018))&gt;0,"conciliado en compuesto confirmado","disponible")</f>
        <v/>
      </c>
    </row>
    <row r="1019">
      <c r="A1019" s="11" t="n">
        <v>1030</v>
      </c>
      <c r="B1019" s="12" t="n">
        <v>46010</v>
      </c>
      <c r="C1019" s="11" t="inlineStr">
        <is>
          <t>comision depositos electronicos mastercard</t>
        </is>
      </c>
      <c r="D1019" s="13" t="n">
        <v>-418</v>
      </c>
      <c r="E1019" s="11">
        <f>IF(SUM(COUNTIFS('Conciliacion de compuestos'!$D$2:$D$48,"conciliado",'Conciliacion de compuestos'!$E$2:$E$48,"OK",'Conciliacion de compuestos'!$J$2:$J$48,A1019),COUNTIFS('Conciliacion de compuestos'!$D$2:$D$48,"conciliado",'Conciliacion de compuestos'!$E$2:$E$48,"OK",'Conciliacion de compuestos'!$K$2:$K$48,A1019),COUNTIFS('Conciliacion de compuestos'!$D$2:$D$48,"conciliado",'Conciliacion de compuestos'!$E$2:$E$48,"OK",'Conciliacion de compuestos'!$L$2:$L$48,A1019))&gt;0,"conciliado en compuesto confirmado","disponible")</f>
        <v/>
      </c>
    </row>
    <row r="1020">
      <c r="A1020" s="11" t="n">
        <v>1031</v>
      </c>
      <c r="B1020" s="12" t="n">
        <v>46010</v>
      </c>
      <c r="C1020" s="11" t="inlineStr">
        <is>
          <t>a financiero gravamen movimiento</t>
        </is>
      </c>
      <c r="D1020" s="13" t="n">
        <v>-2</v>
      </c>
      <c r="E1020" s="11">
        <f>IF(SUM(COUNTIFS('Conciliacion de compuestos'!$D$2:$D$48,"conciliado",'Conciliacion de compuestos'!$E$2:$E$48,"OK",'Conciliacion de compuestos'!$J$2:$J$48,A1020),COUNTIFS('Conciliacion de compuestos'!$D$2:$D$48,"conciliado",'Conciliacion de compuestos'!$E$2:$E$48,"OK",'Conciliacion de compuestos'!$K$2:$K$48,A1020),COUNTIFS('Conciliacion de compuestos'!$D$2:$D$48,"conciliado",'Conciliacion de compuestos'!$E$2:$E$48,"OK",'Conciliacion de compuestos'!$L$2:$L$48,A1020))&gt;0,"conciliado en compuesto confirmado","disponible")</f>
        <v/>
      </c>
    </row>
    <row r="1021">
      <c r="A1021" s="11" t="n">
        <v>1032</v>
      </c>
      <c r="B1021" s="12" t="n">
        <v>46010</v>
      </c>
      <c r="C1021" s="11" t="inlineStr">
        <is>
          <t>depositos electronicos mastercar retefuente</t>
        </is>
      </c>
      <c r="D1021" s="13" t="n">
        <v>-330</v>
      </c>
      <c r="E1021" s="11">
        <f>IF(SUM(COUNTIFS('Conciliacion de compuestos'!$D$2:$D$48,"conciliado",'Conciliacion de compuestos'!$E$2:$E$48,"OK",'Conciliacion de compuestos'!$J$2:$J$48,A1021),COUNTIFS('Conciliacion de compuestos'!$D$2:$D$48,"conciliado",'Conciliacion de compuestos'!$E$2:$E$48,"OK",'Conciliacion de compuestos'!$K$2:$K$48,A1021),COUNTIFS('Conciliacion de compuestos'!$D$2:$D$48,"conciliado",'Conciliacion de compuestos'!$E$2:$E$48,"OK",'Conciliacion de compuestos'!$L$2:$L$48,A1021))&gt;0,"conciliado en compuesto confirmado","disponible")</f>
        <v/>
      </c>
    </row>
    <row r="1022">
      <c r="A1022" s="11" t="n">
        <v>1033</v>
      </c>
      <c r="B1022" s="12" t="n">
        <v>46010</v>
      </c>
      <c r="C1022" s="11" t="inlineStr">
        <is>
          <t>a financiero gravamen movimiento</t>
        </is>
      </c>
      <c r="D1022" s="13" t="n">
        <v>-1</v>
      </c>
      <c r="E1022" s="11">
        <f>IF(SUM(COUNTIFS('Conciliacion de compuestos'!$D$2:$D$48,"conciliado",'Conciliacion de compuestos'!$E$2:$E$48,"OK",'Conciliacion de compuestos'!$J$2:$J$48,A1022),COUNTIFS('Conciliacion de compuestos'!$D$2:$D$48,"conciliado",'Conciliacion de compuestos'!$E$2:$E$48,"OK",'Conciliacion de compuestos'!$K$2:$K$48,A1022),COUNTIFS('Conciliacion de compuestos'!$D$2:$D$48,"conciliado",'Conciliacion de compuestos'!$E$2:$E$48,"OK",'Conciliacion de compuestos'!$L$2:$L$48,A1022))&gt;0,"conciliado en compuesto confirmado","disponible")</f>
        <v/>
      </c>
    </row>
    <row r="1023">
      <c r="A1023" s="11" t="n">
        <v>1034</v>
      </c>
      <c r="B1023" s="12" t="n">
        <v>46010</v>
      </c>
      <c r="C1023" s="11" t="inlineStr">
        <is>
          <t>depositos electronicos masterca transaccion</t>
        </is>
      </c>
      <c r="D1023" s="13" t="n">
        <v>99400</v>
      </c>
      <c r="E1023" s="11">
        <f>IF(SUM(COUNTIFS('Conciliacion de compuestos'!$D$2:$D$48,"conciliado",'Conciliacion de compuestos'!$E$2:$E$48,"OK",'Conciliacion de compuestos'!$J$2:$J$48,A1023),COUNTIFS('Conciliacion de compuestos'!$D$2:$D$48,"conciliado",'Conciliacion de compuestos'!$E$2:$E$48,"OK",'Conciliacion de compuestos'!$K$2:$K$48,A1023),COUNTIFS('Conciliacion de compuestos'!$D$2:$D$48,"conciliado",'Conciliacion de compuestos'!$E$2:$E$48,"OK",'Conciliacion de compuestos'!$L$2:$L$48,A1023))&gt;0,"conciliado en compuesto confirmado","disponible")</f>
        <v/>
      </c>
    </row>
    <row r="1024">
      <c r="A1024" s="11" t="n">
        <v>1035</v>
      </c>
      <c r="B1024" s="12" t="n">
        <v>46010</v>
      </c>
      <c r="C1024" s="11" t="inlineStr">
        <is>
          <t>comision depositos electronicos mastercard</t>
        </is>
      </c>
      <c r="D1024" s="13" t="n">
        <v>-1889</v>
      </c>
      <c r="E1024" s="11">
        <f>IF(SUM(COUNTIFS('Conciliacion de compuestos'!$D$2:$D$48,"conciliado",'Conciliacion de compuestos'!$E$2:$E$48,"OK",'Conciliacion de compuestos'!$J$2:$J$48,A1024),COUNTIFS('Conciliacion de compuestos'!$D$2:$D$48,"conciliado",'Conciliacion de compuestos'!$E$2:$E$48,"OK",'Conciliacion de compuestos'!$K$2:$K$48,A1024),COUNTIFS('Conciliacion de compuestos'!$D$2:$D$48,"conciliado",'Conciliacion de compuestos'!$E$2:$E$48,"OK",'Conciliacion de compuestos'!$L$2:$L$48,A1024))&gt;0,"conciliado en compuesto confirmado","disponible")</f>
        <v/>
      </c>
    </row>
    <row r="1025">
      <c r="A1025" s="11" t="n">
        <v>1036</v>
      </c>
      <c r="B1025" s="12" t="n">
        <v>46010</v>
      </c>
      <c r="C1025" s="11" t="inlineStr">
        <is>
          <t>a financiero gravamen movimiento</t>
        </is>
      </c>
      <c r="D1025" s="13" t="n">
        <v>-8</v>
      </c>
      <c r="E1025" s="11">
        <f>IF(SUM(COUNTIFS('Conciliacion de compuestos'!$D$2:$D$48,"conciliado",'Conciliacion de compuestos'!$E$2:$E$48,"OK",'Conciliacion de compuestos'!$J$2:$J$48,A1025),COUNTIFS('Conciliacion de compuestos'!$D$2:$D$48,"conciliado",'Conciliacion de compuestos'!$E$2:$E$48,"OK",'Conciliacion de compuestos'!$K$2:$K$48,A1025),COUNTIFS('Conciliacion de compuestos'!$D$2:$D$48,"conciliado",'Conciliacion de compuestos'!$E$2:$E$48,"OK",'Conciliacion de compuestos'!$L$2:$L$48,A1025))&gt;0,"conciliado en compuesto confirmado","disponible")</f>
        <v/>
      </c>
    </row>
    <row r="1026">
      <c r="A1026" s="11" t="n">
        <v>1037</v>
      </c>
      <c r="B1026" s="12" t="n">
        <v>46010</v>
      </c>
      <c r="C1026" s="11" t="inlineStr">
        <is>
          <t>depositos electronicos mastercar retefuente</t>
        </is>
      </c>
      <c r="D1026" s="13" t="n">
        <v>-1491</v>
      </c>
      <c r="E1026" s="11">
        <f>IF(SUM(COUNTIFS('Conciliacion de compuestos'!$D$2:$D$48,"conciliado",'Conciliacion de compuestos'!$E$2:$E$48,"OK",'Conciliacion de compuestos'!$J$2:$J$48,A1026),COUNTIFS('Conciliacion de compuestos'!$D$2:$D$48,"conciliado",'Conciliacion de compuestos'!$E$2:$E$48,"OK",'Conciliacion de compuestos'!$K$2:$K$48,A1026),COUNTIFS('Conciliacion de compuestos'!$D$2:$D$48,"conciliado",'Conciliacion de compuestos'!$E$2:$E$48,"OK",'Conciliacion de compuestos'!$L$2:$L$48,A1026))&gt;0,"conciliado en compuesto confirmado","disponible")</f>
        <v/>
      </c>
    </row>
    <row r="1027">
      <c r="A1027" s="11" t="n">
        <v>1038</v>
      </c>
      <c r="B1027" s="12" t="n">
        <v>46010</v>
      </c>
      <c r="C1027" s="11" t="inlineStr">
        <is>
          <t>a financiero gravamen movimiento</t>
        </is>
      </c>
      <c r="D1027" s="13" t="n">
        <v>-6</v>
      </c>
      <c r="E1027" s="11">
        <f>IF(SUM(COUNTIFS('Conciliacion de compuestos'!$D$2:$D$48,"conciliado",'Conciliacion de compuestos'!$E$2:$E$48,"OK",'Conciliacion de compuestos'!$J$2:$J$48,A1027),COUNTIFS('Conciliacion de compuestos'!$D$2:$D$48,"conciliado",'Conciliacion de compuestos'!$E$2:$E$48,"OK",'Conciliacion de compuestos'!$K$2:$K$48,A1027),COUNTIFS('Conciliacion de compuestos'!$D$2:$D$48,"conciliado",'Conciliacion de compuestos'!$E$2:$E$48,"OK",'Conciliacion de compuestos'!$L$2:$L$48,A1027))&gt;0,"conciliado en compuesto confirmado","disponible")</f>
        <v/>
      </c>
    </row>
    <row r="1028">
      <c r="A1028" s="11" t="n">
        <v>1039</v>
      </c>
      <c r="B1028" s="12" t="n">
        <v>46010</v>
      </c>
      <c r="C1028" s="11" t="inlineStr">
        <is>
          <t>depositos electronicos masterca transaccion</t>
        </is>
      </c>
      <c r="D1028" s="13" t="n">
        <v>14000</v>
      </c>
      <c r="E1028" s="11">
        <f>IF(SUM(COUNTIFS('Conciliacion de compuestos'!$D$2:$D$48,"conciliado",'Conciliacion de compuestos'!$E$2:$E$48,"OK",'Conciliacion de compuestos'!$J$2:$J$48,A1028),COUNTIFS('Conciliacion de compuestos'!$D$2:$D$48,"conciliado",'Conciliacion de compuestos'!$E$2:$E$48,"OK",'Conciliacion de compuestos'!$K$2:$K$48,A1028),COUNTIFS('Conciliacion de compuestos'!$D$2:$D$48,"conciliado",'Conciliacion de compuestos'!$E$2:$E$48,"OK",'Conciliacion de compuestos'!$L$2:$L$48,A1028))&gt;0,"conciliado en compuesto confirmado","disponible")</f>
        <v/>
      </c>
    </row>
    <row r="1029">
      <c r="A1029" s="11" t="n">
        <v>1040</v>
      </c>
      <c r="B1029" s="12" t="n">
        <v>46010</v>
      </c>
      <c r="C1029" s="11" t="inlineStr">
        <is>
          <t>comision depositos electronicos mastercard</t>
        </is>
      </c>
      <c r="D1029" s="13" t="n">
        <v>-266</v>
      </c>
      <c r="E1029" s="11">
        <f>IF(SUM(COUNTIFS('Conciliacion de compuestos'!$D$2:$D$48,"conciliado",'Conciliacion de compuestos'!$E$2:$E$48,"OK",'Conciliacion de compuestos'!$J$2:$J$48,A1029),COUNTIFS('Conciliacion de compuestos'!$D$2:$D$48,"conciliado",'Conciliacion de compuestos'!$E$2:$E$48,"OK",'Conciliacion de compuestos'!$K$2:$K$48,A1029),COUNTIFS('Conciliacion de compuestos'!$D$2:$D$48,"conciliado",'Conciliacion de compuestos'!$E$2:$E$48,"OK",'Conciliacion de compuestos'!$L$2:$L$48,A1029))&gt;0,"conciliado en compuesto confirmado","disponible")</f>
        <v/>
      </c>
    </row>
    <row r="1030">
      <c r="A1030" s="11" t="n">
        <v>1041</v>
      </c>
      <c r="B1030" s="12" t="n">
        <v>46010</v>
      </c>
      <c r="C1030" s="11" t="inlineStr">
        <is>
          <t>a financiero gravamen movimiento</t>
        </is>
      </c>
      <c r="D1030" s="13" t="n">
        <v>-1</v>
      </c>
      <c r="E1030" s="11">
        <f>IF(SUM(COUNTIFS('Conciliacion de compuestos'!$D$2:$D$48,"conciliado",'Conciliacion de compuestos'!$E$2:$E$48,"OK",'Conciliacion de compuestos'!$J$2:$J$48,A1030),COUNTIFS('Conciliacion de compuestos'!$D$2:$D$48,"conciliado",'Conciliacion de compuestos'!$E$2:$E$48,"OK",'Conciliacion de compuestos'!$K$2:$K$48,A1030),COUNTIFS('Conciliacion de compuestos'!$D$2:$D$48,"conciliado",'Conciliacion de compuestos'!$E$2:$E$48,"OK",'Conciliacion de compuestos'!$L$2:$L$48,A1030))&gt;0,"conciliado en compuesto confirmado","disponible")</f>
        <v/>
      </c>
    </row>
    <row r="1031">
      <c r="A1031" s="11" t="n">
        <v>1042</v>
      </c>
      <c r="B1031" s="12" t="n">
        <v>46010</v>
      </c>
      <c r="C1031" s="11" t="inlineStr">
        <is>
          <t>depositos electronicos mastercar retefuente</t>
        </is>
      </c>
      <c r="D1031" s="13" t="n">
        <v>-210</v>
      </c>
      <c r="E1031" s="11">
        <f>IF(SUM(COUNTIFS('Conciliacion de compuestos'!$D$2:$D$48,"conciliado",'Conciliacion de compuestos'!$E$2:$E$48,"OK",'Conciliacion de compuestos'!$J$2:$J$48,A1031),COUNTIFS('Conciliacion de compuestos'!$D$2:$D$48,"conciliado",'Conciliacion de compuestos'!$E$2:$E$48,"OK",'Conciliacion de compuestos'!$K$2:$K$48,A1031),COUNTIFS('Conciliacion de compuestos'!$D$2:$D$48,"conciliado",'Conciliacion de compuestos'!$E$2:$E$48,"OK",'Conciliacion de compuestos'!$L$2:$L$48,A1031))&gt;0,"conciliado en compuesto confirmado","disponible")</f>
        <v/>
      </c>
    </row>
    <row r="1032">
      <c r="A1032" s="11" t="n">
        <v>1043</v>
      </c>
      <c r="B1032" s="12" t="n">
        <v>46010</v>
      </c>
      <c r="C1032" s="11" t="inlineStr">
        <is>
          <t>a financiero gravamen movimiento</t>
        </is>
      </c>
      <c r="D1032" s="13" t="n">
        <v>-1</v>
      </c>
      <c r="E1032" s="11">
        <f>IF(SUM(COUNTIFS('Conciliacion de compuestos'!$D$2:$D$48,"conciliado",'Conciliacion de compuestos'!$E$2:$E$48,"OK",'Conciliacion de compuestos'!$J$2:$J$48,A1032),COUNTIFS('Conciliacion de compuestos'!$D$2:$D$48,"conciliado",'Conciliacion de compuestos'!$E$2:$E$48,"OK",'Conciliacion de compuestos'!$K$2:$K$48,A1032),COUNTIFS('Conciliacion de compuestos'!$D$2:$D$48,"conciliado",'Conciliacion de compuestos'!$E$2:$E$48,"OK",'Conciliacion de compuestos'!$L$2:$L$48,A1032))&gt;0,"conciliado en compuesto confirmado","disponible")</f>
        <v/>
      </c>
    </row>
    <row r="1033">
      <c r="A1033" s="11" t="n">
        <v>1044</v>
      </c>
      <c r="B1033" s="12" t="n">
        <v>46010</v>
      </c>
      <c r="C1033" s="11" t="inlineStr">
        <is>
          <t>consignacion credibanco d e</t>
        </is>
      </c>
      <c r="D1033" s="13" t="n">
        <v>37700</v>
      </c>
      <c r="E1033" s="11">
        <f>IF(SUM(COUNTIFS('Conciliacion de compuestos'!$D$2:$D$48,"conciliado",'Conciliacion de compuestos'!$E$2:$E$48,"OK",'Conciliacion de compuestos'!$J$2:$J$48,A1033),COUNTIFS('Conciliacion de compuestos'!$D$2:$D$48,"conciliado",'Conciliacion de compuestos'!$E$2:$E$48,"OK",'Conciliacion de compuestos'!$K$2:$K$48,A1033),COUNTIFS('Conciliacion de compuestos'!$D$2:$D$48,"conciliado",'Conciliacion de compuestos'!$E$2:$E$48,"OK",'Conciliacion de compuestos'!$L$2:$L$48,A1033))&gt;0,"conciliado en compuesto confirmado","disponible")</f>
        <v/>
      </c>
    </row>
    <row r="1034">
      <c r="A1034" s="11" t="n">
        <v>1045</v>
      </c>
      <c r="B1034" s="12" t="n">
        <v>46010</v>
      </c>
      <c r="C1034" s="11" t="inlineStr">
        <is>
          <t>cobro comision depositos electronicos</t>
        </is>
      </c>
      <c r="D1034" s="13" t="n">
        <v>-826</v>
      </c>
      <c r="E1034" s="11">
        <f>IF(SUM(COUNTIFS('Conciliacion de compuestos'!$D$2:$D$48,"conciliado",'Conciliacion de compuestos'!$E$2:$E$48,"OK",'Conciliacion de compuestos'!$J$2:$J$48,A1034),COUNTIFS('Conciliacion de compuestos'!$D$2:$D$48,"conciliado",'Conciliacion de compuestos'!$E$2:$E$48,"OK",'Conciliacion de compuestos'!$K$2:$K$48,A1034),COUNTIFS('Conciliacion de compuestos'!$D$2:$D$48,"conciliado",'Conciliacion de compuestos'!$E$2:$E$48,"OK",'Conciliacion de compuestos'!$L$2:$L$48,A1034))&gt;0,"conciliado en compuesto confirmado","disponible")</f>
        <v/>
      </c>
    </row>
    <row r="1035">
      <c r="A1035" s="11" t="n">
        <v>1046</v>
      </c>
      <c r="B1035" s="12" t="n">
        <v>46010</v>
      </c>
      <c r="C1035" s="11" t="inlineStr">
        <is>
          <t>a financiero gravamen movimiento</t>
        </is>
      </c>
      <c r="D1035" s="13" t="n">
        <v>-3</v>
      </c>
      <c r="E1035" s="11">
        <f>IF(SUM(COUNTIFS('Conciliacion de compuestos'!$D$2:$D$48,"conciliado",'Conciliacion de compuestos'!$E$2:$E$48,"OK",'Conciliacion de compuestos'!$J$2:$J$48,A1035),COUNTIFS('Conciliacion de compuestos'!$D$2:$D$48,"conciliado",'Conciliacion de compuestos'!$E$2:$E$48,"OK",'Conciliacion de compuestos'!$K$2:$K$48,A1035),COUNTIFS('Conciliacion de compuestos'!$D$2:$D$48,"conciliado",'Conciliacion de compuestos'!$E$2:$E$48,"OK",'Conciliacion de compuestos'!$L$2:$L$48,A1035))&gt;0,"conciliado en compuesto confirmado","disponible")</f>
        <v/>
      </c>
    </row>
    <row r="1036">
      <c r="A1036" s="11" t="n">
        <v>1047</v>
      </c>
      <c r="B1036" s="12" t="n">
        <v>46010</v>
      </c>
      <c r="C1036" s="11" t="inlineStr">
        <is>
          <t>credibanco d e retefuente voucher y</t>
        </is>
      </c>
      <c r="D1036" s="13" t="n">
        <v>-566</v>
      </c>
      <c r="E1036" s="11">
        <f>IF(SUM(COUNTIFS('Conciliacion de compuestos'!$D$2:$D$48,"conciliado",'Conciliacion de compuestos'!$E$2:$E$48,"OK",'Conciliacion de compuestos'!$J$2:$J$48,A1036),COUNTIFS('Conciliacion de compuestos'!$D$2:$D$48,"conciliado",'Conciliacion de compuestos'!$E$2:$E$48,"OK",'Conciliacion de compuestos'!$K$2:$K$48,A1036),COUNTIFS('Conciliacion de compuestos'!$D$2:$D$48,"conciliado",'Conciliacion de compuestos'!$E$2:$E$48,"OK",'Conciliacion de compuestos'!$L$2:$L$48,A1036))&gt;0,"conciliado en compuesto confirmado","disponible")</f>
        <v/>
      </c>
    </row>
    <row r="1037">
      <c r="A1037" s="11" t="n">
        <v>1048</v>
      </c>
      <c r="B1037" s="12" t="n">
        <v>46010</v>
      </c>
      <c r="C1037" s="11" t="inlineStr">
        <is>
          <t>a financiero gravamen movimiento</t>
        </is>
      </c>
      <c r="D1037" s="13" t="n">
        <v>-2</v>
      </c>
      <c r="E1037" s="11">
        <f>IF(SUM(COUNTIFS('Conciliacion de compuestos'!$D$2:$D$48,"conciliado",'Conciliacion de compuestos'!$E$2:$E$48,"OK",'Conciliacion de compuestos'!$J$2:$J$48,A1037),COUNTIFS('Conciliacion de compuestos'!$D$2:$D$48,"conciliado",'Conciliacion de compuestos'!$E$2:$E$48,"OK",'Conciliacion de compuestos'!$K$2:$K$48,A1037),COUNTIFS('Conciliacion de compuestos'!$D$2:$D$48,"conciliado",'Conciliacion de compuestos'!$E$2:$E$48,"OK",'Conciliacion de compuestos'!$L$2:$L$48,A1037))&gt;0,"conciliado en compuesto confirmado","disponible")</f>
        <v/>
      </c>
    </row>
    <row r="1038">
      <c r="A1038" s="11" t="n">
        <v>1049</v>
      </c>
      <c r="B1038" s="12" t="n">
        <v>46010</v>
      </c>
      <c r="C1038" s="11" t="inlineStr">
        <is>
          <t>consignacion credibanco d e</t>
        </is>
      </c>
      <c r="D1038" s="13" t="n">
        <v>82020</v>
      </c>
      <c r="E1038" s="11">
        <f>IF(SUM(COUNTIFS('Conciliacion de compuestos'!$D$2:$D$48,"conciliado",'Conciliacion de compuestos'!$E$2:$E$48,"OK",'Conciliacion de compuestos'!$J$2:$J$48,A1038),COUNTIFS('Conciliacion de compuestos'!$D$2:$D$48,"conciliado",'Conciliacion de compuestos'!$E$2:$E$48,"OK",'Conciliacion de compuestos'!$K$2:$K$48,A1038),COUNTIFS('Conciliacion de compuestos'!$D$2:$D$48,"conciliado",'Conciliacion de compuestos'!$E$2:$E$48,"OK",'Conciliacion de compuestos'!$L$2:$L$48,A1038))&gt;0,"conciliado en compuesto confirmado","disponible")</f>
        <v/>
      </c>
    </row>
    <row r="1039">
      <c r="A1039" s="11" t="n">
        <v>1050</v>
      </c>
      <c r="B1039" s="12" t="n">
        <v>46010</v>
      </c>
      <c r="C1039" s="11" t="inlineStr">
        <is>
          <t>cobro comision depositos electronicos</t>
        </is>
      </c>
      <c r="D1039" s="13" t="n">
        <v>-664</v>
      </c>
      <c r="E1039" s="11">
        <f>IF(SUM(COUNTIFS('Conciliacion de compuestos'!$D$2:$D$48,"conciliado",'Conciliacion de compuestos'!$E$2:$E$48,"OK",'Conciliacion de compuestos'!$J$2:$J$48,A1039),COUNTIFS('Conciliacion de compuestos'!$D$2:$D$48,"conciliado",'Conciliacion de compuestos'!$E$2:$E$48,"OK",'Conciliacion de compuestos'!$K$2:$K$48,A1039),COUNTIFS('Conciliacion de compuestos'!$D$2:$D$48,"conciliado",'Conciliacion de compuestos'!$E$2:$E$48,"OK",'Conciliacion de compuestos'!$L$2:$L$48,A1039))&gt;0,"conciliado en compuesto confirmado","disponible")</f>
        <v/>
      </c>
    </row>
    <row r="1040">
      <c r="A1040" s="11" t="n">
        <v>1051</v>
      </c>
      <c r="B1040" s="12" t="n">
        <v>46010</v>
      </c>
      <c r="C1040" s="11" t="inlineStr">
        <is>
          <t>a financiero gravamen movimiento</t>
        </is>
      </c>
      <c r="D1040" s="13" t="n">
        <v>-3</v>
      </c>
      <c r="E1040" s="11">
        <f>IF(SUM(COUNTIFS('Conciliacion de compuestos'!$D$2:$D$48,"conciliado",'Conciliacion de compuestos'!$E$2:$E$48,"OK",'Conciliacion de compuestos'!$J$2:$J$48,A1040),COUNTIFS('Conciliacion de compuestos'!$D$2:$D$48,"conciliado",'Conciliacion de compuestos'!$E$2:$E$48,"OK",'Conciliacion de compuestos'!$K$2:$K$48,A1040),COUNTIFS('Conciliacion de compuestos'!$D$2:$D$48,"conciliado",'Conciliacion de compuestos'!$E$2:$E$48,"OK",'Conciliacion de compuestos'!$L$2:$L$48,A1040))&gt;0,"conciliado en compuesto confirmado","disponible")</f>
        <v/>
      </c>
    </row>
    <row r="1041">
      <c r="A1041" s="11" t="n">
        <v>1052</v>
      </c>
      <c r="B1041" s="12" t="n">
        <v>46010</v>
      </c>
      <c r="C1041" s="11" t="inlineStr">
        <is>
          <t>credibanco d e retefuente voucher y</t>
        </is>
      </c>
      <c r="D1041" s="13" t="n">
        <v>-1230</v>
      </c>
      <c r="E1041" s="11">
        <f>IF(SUM(COUNTIFS('Conciliacion de compuestos'!$D$2:$D$48,"conciliado",'Conciliacion de compuestos'!$E$2:$E$48,"OK",'Conciliacion de compuestos'!$J$2:$J$48,A1041),COUNTIFS('Conciliacion de compuestos'!$D$2:$D$48,"conciliado",'Conciliacion de compuestos'!$E$2:$E$48,"OK",'Conciliacion de compuestos'!$K$2:$K$48,A1041),COUNTIFS('Conciliacion de compuestos'!$D$2:$D$48,"conciliado",'Conciliacion de compuestos'!$E$2:$E$48,"OK",'Conciliacion de compuestos'!$L$2:$L$48,A1041))&gt;0,"conciliado en compuesto confirmado","disponible")</f>
        <v/>
      </c>
    </row>
    <row r="1042">
      <c r="A1042" s="11" t="n">
        <v>1053</v>
      </c>
      <c r="B1042" s="12" t="n">
        <v>46010</v>
      </c>
      <c r="C1042" s="11" t="inlineStr">
        <is>
          <t>a financiero gravamen movimiento</t>
        </is>
      </c>
      <c r="D1042" s="13" t="n">
        <v>-5</v>
      </c>
      <c r="E1042" s="11">
        <f>IF(SUM(COUNTIFS('Conciliacion de compuestos'!$D$2:$D$48,"conciliado",'Conciliacion de compuestos'!$E$2:$E$48,"OK",'Conciliacion de compuestos'!$J$2:$J$48,A1042),COUNTIFS('Conciliacion de compuestos'!$D$2:$D$48,"conciliado",'Conciliacion de compuestos'!$E$2:$E$48,"OK",'Conciliacion de compuestos'!$K$2:$K$48,A1042),COUNTIFS('Conciliacion de compuestos'!$D$2:$D$48,"conciliado",'Conciliacion de compuestos'!$E$2:$E$48,"OK",'Conciliacion de compuestos'!$L$2:$L$48,A1042))&gt;0,"conciliado en compuesto confirmado","disponible")</f>
        <v/>
      </c>
    </row>
    <row r="1043">
      <c r="A1043" s="11" t="n">
        <v>1054</v>
      </c>
      <c r="B1043" s="12" t="n">
        <v>46010</v>
      </c>
      <c r="C1043" s="11" t="inlineStr">
        <is>
          <t>consignacion credibanco d e</t>
        </is>
      </c>
      <c r="D1043" s="13" t="n">
        <v>63600</v>
      </c>
      <c r="E1043" s="11">
        <f>IF(SUM(COUNTIFS('Conciliacion de compuestos'!$D$2:$D$48,"conciliado",'Conciliacion de compuestos'!$E$2:$E$48,"OK",'Conciliacion de compuestos'!$J$2:$J$48,A1043),COUNTIFS('Conciliacion de compuestos'!$D$2:$D$48,"conciliado",'Conciliacion de compuestos'!$E$2:$E$48,"OK",'Conciliacion de compuestos'!$K$2:$K$48,A1043),COUNTIFS('Conciliacion de compuestos'!$D$2:$D$48,"conciliado",'Conciliacion de compuestos'!$E$2:$E$48,"OK",'Conciliacion de compuestos'!$L$2:$L$48,A1043))&gt;0,"conciliado en compuesto confirmado","disponible")</f>
        <v/>
      </c>
    </row>
    <row r="1044">
      <c r="A1044" s="11" t="n">
        <v>1055</v>
      </c>
      <c r="B1044" s="12" t="n">
        <v>46010</v>
      </c>
      <c r="C1044" s="11" t="inlineStr">
        <is>
          <t>cobro comision depositos electronicos</t>
        </is>
      </c>
      <c r="D1044" s="13" t="n">
        <v>-515</v>
      </c>
      <c r="E1044" s="11">
        <f>IF(SUM(COUNTIFS('Conciliacion de compuestos'!$D$2:$D$48,"conciliado",'Conciliacion de compuestos'!$E$2:$E$48,"OK",'Conciliacion de compuestos'!$J$2:$J$48,A1044),COUNTIFS('Conciliacion de compuestos'!$D$2:$D$48,"conciliado",'Conciliacion de compuestos'!$E$2:$E$48,"OK",'Conciliacion de compuestos'!$K$2:$K$48,A1044),COUNTIFS('Conciliacion de compuestos'!$D$2:$D$48,"conciliado",'Conciliacion de compuestos'!$E$2:$E$48,"OK",'Conciliacion de compuestos'!$L$2:$L$48,A1044))&gt;0,"conciliado en compuesto confirmado","disponible")</f>
        <v/>
      </c>
    </row>
    <row r="1045">
      <c r="A1045" s="11" t="n">
        <v>1056</v>
      </c>
      <c r="B1045" s="12" t="n">
        <v>46010</v>
      </c>
      <c r="C1045" s="11" t="inlineStr">
        <is>
          <t>a financiero gravamen movimiento</t>
        </is>
      </c>
      <c r="D1045" s="13" t="n">
        <v>-2</v>
      </c>
      <c r="E1045" s="11">
        <f>IF(SUM(COUNTIFS('Conciliacion de compuestos'!$D$2:$D$48,"conciliado",'Conciliacion de compuestos'!$E$2:$E$48,"OK",'Conciliacion de compuestos'!$J$2:$J$48,A1045),COUNTIFS('Conciliacion de compuestos'!$D$2:$D$48,"conciliado",'Conciliacion de compuestos'!$E$2:$E$48,"OK",'Conciliacion de compuestos'!$K$2:$K$48,A1045),COUNTIFS('Conciliacion de compuestos'!$D$2:$D$48,"conciliado",'Conciliacion de compuestos'!$E$2:$E$48,"OK",'Conciliacion de compuestos'!$L$2:$L$48,A1045))&gt;0,"conciliado en compuesto confirmado","disponible")</f>
        <v/>
      </c>
    </row>
    <row r="1046">
      <c r="A1046" s="11" t="n">
        <v>1057</v>
      </c>
      <c r="B1046" s="12" t="n">
        <v>46010</v>
      </c>
      <c r="C1046" s="11" t="inlineStr">
        <is>
          <t>credibanco d e retefuente voucher y</t>
        </is>
      </c>
      <c r="D1046" s="13" t="n">
        <v>-954</v>
      </c>
      <c r="E1046" s="11">
        <f>IF(SUM(COUNTIFS('Conciliacion de compuestos'!$D$2:$D$48,"conciliado",'Conciliacion de compuestos'!$E$2:$E$48,"OK",'Conciliacion de compuestos'!$J$2:$J$48,A1046),COUNTIFS('Conciliacion de compuestos'!$D$2:$D$48,"conciliado",'Conciliacion de compuestos'!$E$2:$E$48,"OK",'Conciliacion de compuestos'!$K$2:$K$48,A1046),COUNTIFS('Conciliacion de compuestos'!$D$2:$D$48,"conciliado",'Conciliacion de compuestos'!$E$2:$E$48,"OK",'Conciliacion de compuestos'!$L$2:$L$48,A1046))&gt;0,"conciliado en compuesto confirmado","disponible")</f>
        <v/>
      </c>
    </row>
    <row r="1047">
      <c r="A1047" s="11" t="n">
        <v>1058</v>
      </c>
      <c r="B1047" s="12" t="n">
        <v>46010</v>
      </c>
      <c r="C1047" s="11" t="inlineStr">
        <is>
          <t>a financiero gravamen movimiento</t>
        </is>
      </c>
      <c r="D1047" s="13" t="n">
        <v>-4</v>
      </c>
      <c r="E1047" s="11">
        <f>IF(SUM(COUNTIFS('Conciliacion de compuestos'!$D$2:$D$48,"conciliado",'Conciliacion de compuestos'!$E$2:$E$48,"OK",'Conciliacion de compuestos'!$J$2:$J$48,A1047),COUNTIFS('Conciliacion de compuestos'!$D$2:$D$48,"conciliado",'Conciliacion de compuestos'!$E$2:$E$48,"OK",'Conciliacion de compuestos'!$K$2:$K$48,A1047),COUNTIFS('Conciliacion de compuestos'!$D$2:$D$48,"conciliado",'Conciliacion de compuestos'!$E$2:$E$48,"OK",'Conciliacion de compuestos'!$L$2:$L$48,A1047))&gt;0,"conciliado en compuesto confirmado","disponible")</f>
        <v/>
      </c>
    </row>
    <row r="1048">
      <c r="A1048" s="11" t="n">
        <v>1059</v>
      </c>
      <c r="B1048" s="12" t="n">
        <v>46010</v>
      </c>
      <c r="C1048" s="11" t="inlineStr">
        <is>
          <t>consignacion credibanco d e</t>
        </is>
      </c>
      <c r="D1048" s="13" t="n">
        <v>89300</v>
      </c>
      <c r="E1048" s="11">
        <f>IF(SUM(COUNTIFS('Conciliacion de compuestos'!$D$2:$D$48,"conciliado",'Conciliacion de compuestos'!$E$2:$E$48,"OK",'Conciliacion de compuestos'!$J$2:$J$48,A1048),COUNTIFS('Conciliacion de compuestos'!$D$2:$D$48,"conciliado",'Conciliacion de compuestos'!$E$2:$E$48,"OK",'Conciliacion de compuestos'!$K$2:$K$48,A1048),COUNTIFS('Conciliacion de compuestos'!$D$2:$D$48,"conciliado",'Conciliacion de compuestos'!$E$2:$E$48,"OK",'Conciliacion de compuestos'!$L$2:$L$48,A1048))&gt;0,"conciliado en compuesto confirmado","disponible")</f>
        <v/>
      </c>
    </row>
    <row r="1049">
      <c r="A1049" s="11" t="n">
        <v>1060</v>
      </c>
      <c r="B1049" s="12" t="n">
        <v>46010</v>
      </c>
      <c r="C1049" s="11" t="inlineStr">
        <is>
          <t>cobro comision depositos electronicos</t>
        </is>
      </c>
      <c r="D1049" s="13" t="n">
        <v>-1929</v>
      </c>
      <c r="E1049" s="11">
        <f>IF(SUM(COUNTIFS('Conciliacion de compuestos'!$D$2:$D$48,"conciliado",'Conciliacion de compuestos'!$E$2:$E$48,"OK",'Conciliacion de compuestos'!$J$2:$J$48,A1049),COUNTIFS('Conciliacion de compuestos'!$D$2:$D$48,"conciliado",'Conciliacion de compuestos'!$E$2:$E$48,"OK",'Conciliacion de compuestos'!$K$2:$K$48,A1049),COUNTIFS('Conciliacion de compuestos'!$D$2:$D$48,"conciliado",'Conciliacion de compuestos'!$E$2:$E$48,"OK",'Conciliacion de compuestos'!$L$2:$L$48,A1049))&gt;0,"conciliado en compuesto confirmado","disponible")</f>
        <v/>
      </c>
    </row>
    <row r="1050">
      <c r="A1050" s="11" t="n">
        <v>1061</v>
      </c>
      <c r="B1050" s="12" t="n">
        <v>46010</v>
      </c>
      <c r="C1050" s="11" t="inlineStr">
        <is>
          <t>a financiero gravamen movimiento</t>
        </is>
      </c>
      <c r="D1050" s="13" t="n">
        <v>-8</v>
      </c>
      <c r="E1050" s="11">
        <f>IF(SUM(COUNTIFS('Conciliacion de compuestos'!$D$2:$D$48,"conciliado",'Conciliacion de compuestos'!$E$2:$E$48,"OK",'Conciliacion de compuestos'!$J$2:$J$48,A1050),COUNTIFS('Conciliacion de compuestos'!$D$2:$D$48,"conciliado",'Conciliacion de compuestos'!$E$2:$E$48,"OK",'Conciliacion de compuestos'!$K$2:$K$48,A1050),COUNTIFS('Conciliacion de compuestos'!$D$2:$D$48,"conciliado",'Conciliacion de compuestos'!$E$2:$E$48,"OK",'Conciliacion de compuestos'!$L$2:$L$48,A1050))&gt;0,"conciliado en compuesto confirmado","disponible")</f>
        <v/>
      </c>
    </row>
    <row r="1051">
      <c r="A1051" s="11" t="n">
        <v>1062</v>
      </c>
      <c r="B1051" s="12" t="n">
        <v>46010</v>
      </c>
      <c r="C1051" s="11" t="inlineStr">
        <is>
          <t>credibanco d e retefuente voucher y</t>
        </is>
      </c>
      <c r="D1051" s="13" t="n">
        <v>-1340</v>
      </c>
      <c r="E1051" s="11">
        <f>IF(SUM(COUNTIFS('Conciliacion de compuestos'!$D$2:$D$48,"conciliado",'Conciliacion de compuestos'!$E$2:$E$48,"OK",'Conciliacion de compuestos'!$J$2:$J$48,A1051),COUNTIFS('Conciliacion de compuestos'!$D$2:$D$48,"conciliado",'Conciliacion de compuestos'!$E$2:$E$48,"OK",'Conciliacion de compuestos'!$K$2:$K$48,A1051),COUNTIFS('Conciliacion de compuestos'!$D$2:$D$48,"conciliado",'Conciliacion de compuestos'!$E$2:$E$48,"OK",'Conciliacion de compuestos'!$L$2:$L$48,A1051))&gt;0,"conciliado en compuesto confirmado","disponible")</f>
        <v/>
      </c>
    </row>
    <row r="1052">
      <c r="A1052" s="11" t="n">
        <v>1063</v>
      </c>
      <c r="B1052" s="12" t="n">
        <v>46010</v>
      </c>
      <c r="C1052" s="11" t="inlineStr">
        <is>
          <t>a financiero gravamen movimiento</t>
        </is>
      </c>
      <c r="D1052" s="13" t="n">
        <v>-5</v>
      </c>
      <c r="E1052" s="11">
        <f>IF(SUM(COUNTIFS('Conciliacion de compuestos'!$D$2:$D$48,"conciliado",'Conciliacion de compuestos'!$E$2:$E$48,"OK",'Conciliacion de compuestos'!$J$2:$J$48,A1052),COUNTIFS('Conciliacion de compuestos'!$D$2:$D$48,"conciliado",'Conciliacion de compuestos'!$E$2:$E$48,"OK",'Conciliacion de compuestos'!$K$2:$K$48,A1052),COUNTIFS('Conciliacion de compuestos'!$D$2:$D$48,"conciliado",'Conciliacion de compuestos'!$E$2:$E$48,"OK",'Conciliacion de compuestos'!$L$2:$L$48,A1052))&gt;0,"conciliado en compuesto confirmado","disponible")</f>
        <v/>
      </c>
    </row>
    <row r="1053">
      <c r="A1053" s="11" t="n">
        <v>1064</v>
      </c>
      <c r="B1053" s="12" t="n">
        <v>46010</v>
      </c>
      <c r="C1053" s="11" t="inlineStr">
        <is>
          <t>consignacion credibanco d e</t>
        </is>
      </c>
      <c r="D1053" s="13" t="n">
        <v>19500</v>
      </c>
      <c r="E1053" s="11">
        <f>IF(SUM(COUNTIFS('Conciliacion de compuestos'!$D$2:$D$48,"conciliado",'Conciliacion de compuestos'!$E$2:$E$48,"OK",'Conciliacion de compuestos'!$J$2:$J$48,A1053),COUNTIFS('Conciliacion de compuestos'!$D$2:$D$48,"conciliado",'Conciliacion de compuestos'!$E$2:$E$48,"OK",'Conciliacion de compuestos'!$K$2:$K$48,A1053),COUNTIFS('Conciliacion de compuestos'!$D$2:$D$48,"conciliado",'Conciliacion de compuestos'!$E$2:$E$48,"OK",'Conciliacion de compuestos'!$L$2:$L$48,A1053))&gt;0,"conciliado en compuesto confirmado","disponible")</f>
        <v/>
      </c>
    </row>
    <row r="1054">
      <c r="A1054" s="11" t="n">
        <v>1065</v>
      </c>
      <c r="B1054" s="12" t="n">
        <v>46010</v>
      </c>
      <c r="C1054" s="11" t="inlineStr">
        <is>
          <t>cobro comision depositos electronicos</t>
        </is>
      </c>
      <c r="D1054" s="13" t="n">
        <v>-421</v>
      </c>
      <c r="E1054" s="11">
        <f>IF(SUM(COUNTIFS('Conciliacion de compuestos'!$D$2:$D$48,"conciliado",'Conciliacion de compuestos'!$E$2:$E$48,"OK",'Conciliacion de compuestos'!$J$2:$J$48,A1054),COUNTIFS('Conciliacion de compuestos'!$D$2:$D$48,"conciliado",'Conciliacion de compuestos'!$E$2:$E$48,"OK",'Conciliacion de compuestos'!$K$2:$K$48,A1054),COUNTIFS('Conciliacion de compuestos'!$D$2:$D$48,"conciliado",'Conciliacion de compuestos'!$E$2:$E$48,"OK",'Conciliacion de compuestos'!$L$2:$L$48,A1054))&gt;0,"conciliado en compuesto confirmado","disponible")</f>
        <v/>
      </c>
    </row>
    <row r="1055">
      <c r="A1055" s="11" t="n">
        <v>1066</v>
      </c>
      <c r="B1055" s="12" t="n">
        <v>46010</v>
      </c>
      <c r="C1055" s="11" t="inlineStr">
        <is>
          <t>a financiero gravamen movimiento</t>
        </is>
      </c>
      <c r="D1055" s="13" t="n">
        <v>-2</v>
      </c>
      <c r="E1055" s="11">
        <f>IF(SUM(COUNTIFS('Conciliacion de compuestos'!$D$2:$D$48,"conciliado",'Conciliacion de compuestos'!$E$2:$E$48,"OK",'Conciliacion de compuestos'!$J$2:$J$48,A1055),COUNTIFS('Conciliacion de compuestos'!$D$2:$D$48,"conciliado",'Conciliacion de compuestos'!$E$2:$E$48,"OK",'Conciliacion de compuestos'!$K$2:$K$48,A1055),COUNTIFS('Conciliacion de compuestos'!$D$2:$D$48,"conciliado",'Conciliacion de compuestos'!$E$2:$E$48,"OK",'Conciliacion de compuestos'!$L$2:$L$48,A1055))&gt;0,"conciliado en compuesto confirmado","disponible")</f>
        <v/>
      </c>
    </row>
    <row r="1056">
      <c r="A1056" s="11" t="n">
        <v>1067</v>
      </c>
      <c r="B1056" s="12" t="n">
        <v>46010</v>
      </c>
      <c r="C1056" s="11" t="inlineStr">
        <is>
          <t>credibanco d e retefuente voucher y</t>
        </is>
      </c>
      <c r="D1056" s="13" t="n">
        <v>-293</v>
      </c>
      <c r="E1056" s="11">
        <f>IF(SUM(COUNTIFS('Conciliacion de compuestos'!$D$2:$D$48,"conciliado",'Conciliacion de compuestos'!$E$2:$E$48,"OK",'Conciliacion de compuestos'!$J$2:$J$48,A1056),COUNTIFS('Conciliacion de compuestos'!$D$2:$D$48,"conciliado",'Conciliacion de compuestos'!$E$2:$E$48,"OK",'Conciliacion de compuestos'!$K$2:$K$48,A1056),COUNTIFS('Conciliacion de compuestos'!$D$2:$D$48,"conciliado",'Conciliacion de compuestos'!$E$2:$E$48,"OK",'Conciliacion de compuestos'!$L$2:$L$48,A1056))&gt;0,"conciliado en compuesto confirmado","disponible")</f>
        <v/>
      </c>
    </row>
    <row r="1057">
      <c r="A1057" s="11" t="n">
        <v>1068</v>
      </c>
      <c r="B1057" s="12" t="n">
        <v>46010</v>
      </c>
      <c r="C1057" s="11" t="inlineStr">
        <is>
          <t>a financiero gravamen movimiento</t>
        </is>
      </c>
      <c r="D1057" s="13" t="n">
        <v>-1</v>
      </c>
      <c r="E1057" s="11">
        <f>IF(SUM(COUNTIFS('Conciliacion de compuestos'!$D$2:$D$48,"conciliado",'Conciliacion de compuestos'!$E$2:$E$48,"OK",'Conciliacion de compuestos'!$J$2:$J$48,A1057),COUNTIFS('Conciliacion de compuestos'!$D$2:$D$48,"conciliado",'Conciliacion de compuestos'!$E$2:$E$48,"OK",'Conciliacion de compuestos'!$K$2:$K$48,A1057),COUNTIFS('Conciliacion de compuestos'!$D$2:$D$48,"conciliado",'Conciliacion de compuestos'!$E$2:$E$48,"OK",'Conciliacion de compuestos'!$L$2:$L$48,A1057))&gt;0,"conciliado en compuesto confirmado","disponible")</f>
        <v/>
      </c>
    </row>
    <row r="1058">
      <c r="A1058" s="11" t="n">
        <v>1070</v>
      </c>
      <c r="B1058" s="12" t="n">
        <v>46010</v>
      </c>
      <c r="C1058" s="11" t="inlineStr">
        <is>
          <t>cobro comision depositos electronicos</t>
        </is>
      </c>
      <c r="D1058" s="13" t="n">
        <v>-438</v>
      </c>
      <c r="E1058" s="11">
        <f>IF(SUM(COUNTIFS('Conciliacion de compuestos'!$D$2:$D$48,"conciliado",'Conciliacion de compuestos'!$E$2:$E$48,"OK",'Conciliacion de compuestos'!$J$2:$J$48,A1058),COUNTIFS('Conciliacion de compuestos'!$D$2:$D$48,"conciliado",'Conciliacion de compuestos'!$E$2:$E$48,"OK",'Conciliacion de compuestos'!$K$2:$K$48,A1058),COUNTIFS('Conciliacion de compuestos'!$D$2:$D$48,"conciliado",'Conciliacion de compuestos'!$E$2:$E$48,"OK",'Conciliacion de compuestos'!$L$2:$L$48,A1058))&gt;0,"conciliado en compuesto confirmado","disponible")</f>
        <v/>
      </c>
    </row>
    <row r="1059">
      <c r="A1059" s="11" t="n">
        <v>1071</v>
      </c>
      <c r="B1059" s="12" t="n">
        <v>46010</v>
      </c>
      <c r="C1059" s="11" t="inlineStr">
        <is>
          <t>a financiero gravamen movimiento</t>
        </is>
      </c>
      <c r="D1059" s="13" t="n">
        <v>-2</v>
      </c>
      <c r="E1059" s="11">
        <f>IF(SUM(COUNTIFS('Conciliacion de compuestos'!$D$2:$D$48,"conciliado",'Conciliacion de compuestos'!$E$2:$E$48,"OK",'Conciliacion de compuestos'!$J$2:$J$48,A1059),COUNTIFS('Conciliacion de compuestos'!$D$2:$D$48,"conciliado",'Conciliacion de compuestos'!$E$2:$E$48,"OK",'Conciliacion de compuestos'!$K$2:$K$48,A1059),COUNTIFS('Conciliacion de compuestos'!$D$2:$D$48,"conciliado",'Conciliacion de compuestos'!$E$2:$E$48,"OK",'Conciliacion de compuestos'!$L$2:$L$48,A1059))&gt;0,"conciliado en compuesto confirmado","disponible")</f>
        <v/>
      </c>
    </row>
    <row r="1060">
      <c r="A1060" s="11" t="n">
        <v>1072</v>
      </c>
      <c r="B1060" s="12" t="n">
        <v>46010</v>
      </c>
      <c r="C1060" s="11" t="inlineStr">
        <is>
          <t>credibanco d e retefuente voucher y</t>
        </is>
      </c>
      <c r="D1060" s="13" t="n">
        <v>-300</v>
      </c>
      <c r="E1060" s="11">
        <f>IF(SUM(COUNTIFS('Conciliacion de compuestos'!$D$2:$D$48,"conciliado",'Conciliacion de compuestos'!$E$2:$E$48,"OK",'Conciliacion de compuestos'!$J$2:$J$48,A1060),COUNTIFS('Conciliacion de compuestos'!$D$2:$D$48,"conciliado",'Conciliacion de compuestos'!$E$2:$E$48,"OK",'Conciliacion de compuestos'!$K$2:$K$48,A1060),COUNTIFS('Conciliacion de compuestos'!$D$2:$D$48,"conciliado",'Conciliacion de compuestos'!$E$2:$E$48,"OK",'Conciliacion de compuestos'!$L$2:$L$48,A1060))&gt;0,"conciliado en compuesto confirmado","disponible")</f>
        <v/>
      </c>
    </row>
    <row r="1061">
      <c r="A1061" s="11" t="n">
        <v>1073</v>
      </c>
      <c r="B1061" s="12" t="n">
        <v>46010</v>
      </c>
      <c r="C1061" s="11" t="inlineStr">
        <is>
          <t>a financiero gravamen movimiento</t>
        </is>
      </c>
      <c r="D1061" s="13" t="n">
        <v>-1</v>
      </c>
      <c r="E1061" s="11">
        <f>IF(SUM(COUNTIFS('Conciliacion de compuestos'!$D$2:$D$48,"conciliado",'Conciliacion de compuestos'!$E$2:$E$48,"OK",'Conciliacion de compuestos'!$J$2:$J$48,A1061),COUNTIFS('Conciliacion de compuestos'!$D$2:$D$48,"conciliado",'Conciliacion de compuestos'!$E$2:$E$48,"OK",'Conciliacion de compuestos'!$K$2:$K$48,A1061),COUNTIFS('Conciliacion de compuestos'!$D$2:$D$48,"conciliado",'Conciliacion de compuestos'!$E$2:$E$48,"OK",'Conciliacion de compuestos'!$L$2:$L$48,A1061))&gt;0,"conciliado en compuesto confirmado","disponible")</f>
        <v/>
      </c>
    </row>
    <row r="1062">
      <c r="A1062" s="11" t="n">
        <v>1074</v>
      </c>
      <c r="B1062" s="12" t="n">
        <v>46010</v>
      </c>
      <c r="C1062" s="11" t="inlineStr">
        <is>
          <t>consignacion credibanco d e</t>
        </is>
      </c>
      <c r="D1062" s="13" t="n">
        <v>24000</v>
      </c>
      <c r="E1062" s="11">
        <f>IF(SUM(COUNTIFS('Conciliacion de compuestos'!$D$2:$D$48,"conciliado",'Conciliacion de compuestos'!$E$2:$E$48,"OK",'Conciliacion de compuestos'!$J$2:$J$48,A1062),COUNTIFS('Conciliacion de compuestos'!$D$2:$D$48,"conciliado",'Conciliacion de compuestos'!$E$2:$E$48,"OK",'Conciliacion de compuestos'!$K$2:$K$48,A1062),COUNTIFS('Conciliacion de compuestos'!$D$2:$D$48,"conciliado",'Conciliacion de compuestos'!$E$2:$E$48,"OK",'Conciliacion de compuestos'!$L$2:$L$48,A1062))&gt;0,"conciliado en compuesto confirmado","disponible")</f>
        <v/>
      </c>
    </row>
    <row r="1063">
      <c r="A1063" s="11" t="n">
        <v>1075</v>
      </c>
      <c r="B1063" s="12" t="n">
        <v>46010</v>
      </c>
      <c r="C1063" s="11" t="inlineStr">
        <is>
          <t>cobro comision depositos electronicos</t>
        </is>
      </c>
      <c r="D1063" s="13" t="n">
        <v>-526</v>
      </c>
      <c r="E1063" s="11">
        <f>IF(SUM(COUNTIFS('Conciliacion de compuestos'!$D$2:$D$48,"conciliado",'Conciliacion de compuestos'!$E$2:$E$48,"OK",'Conciliacion de compuestos'!$J$2:$J$48,A1063),COUNTIFS('Conciliacion de compuestos'!$D$2:$D$48,"conciliado",'Conciliacion de compuestos'!$E$2:$E$48,"OK",'Conciliacion de compuestos'!$K$2:$K$48,A1063),COUNTIFS('Conciliacion de compuestos'!$D$2:$D$48,"conciliado",'Conciliacion de compuestos'!$E$2:$E$48,"OK",'Conciliacion de compuestos'!$L$2:$L$48,A1063))&gt;0,"conciliado en compuesto confirmado","disponible")</f>
        <v/>
      </c>
    </row>
    <row r="1064">
      <c r="A1064" s="11" t="n">
        <v>1076</v>
      </c>
      <c r="B1064" s="12" t="n">
        <v>46010</v>
      </c>
      <c r="C1064" s="11" t="inlineStr">
        <is>
          <t>a financiero gravamen movimiento</t>
        </is>
      </c>
      <c r="D1064" s="13" t="n">
        <v>-2</v>
      </c>
      <c r="E1064" s="11">
        <f>IF(SUM(COUNTIFS('Conciliacion de compuestos'!$D$2:$D$48,"conciliado",'Conciliacion de compuestos'!$E$2:$E$48,"OK",'Conciliacion de compuestos'!$J$2:$J$48,A1064),COUNTIFS('Conciliacion de compuestos'!$D$2:$D$48,"conciliado",'Conciliacion de compuestos'!$E$2:$E$48,"OK",'Conciliacion de compuestos'!$K$2:$K$48,A1064),COUNTIFS('Conciliacion de compuestos'!$D$2:$D$48,"conciliado",'Conciliacion de compuestos'!$E$2:$E$48,"OK",'Conciliacion de compuestos'!$L$2:$L$48,A1064))&gt;0,"conciliado en compuesto confirmado","disponible")</f>
        <v/>
      </c>
    </row>
    <row r="1065">
      <c r="A1065" s="11" t="n">
        <v>1077</v>
      </c>
      <c r="B1065" s="12" t="n">
        <v>46010</v>
      </c>
      <c r="C1065" s="11" t="inlineStr">
        <is>
          <t>credibanco d e retefuente voucher y</t>
        </is>
      </c>
      <c r="D1065" s="13" t="n">
        <v>-360</v>
      </c>
      <c r="E1065" s="11">
        <f>IF(SUM(COUNTIFS('Conciliacion de compuestos'!$D$2:$D$48,"conciliado",'Conciliacion de compuestos'!$E$2:$E$48,"OK",'Conciliacion de compuestos'!$J$2:$J$48,A1065),COUNTIFS('Conciliacion de compuestos'!$D$2:$D$48,"conciliado",'Conciliacion de compuestos'!$E$2:$E$48,"OK",'Conciliacion de compuestos'!$K$2:$K$48,A1065),COUNTIFS('Conciliacion de compuestos'!$D$2:$D$48,"conciliado",'Conciliacion de compuestos'!$E$2:$E$48,"OK",'Conciliacion de compuestos'!$L$2:$L$48,A1065))&gt;0,"conciliado en compuesto confirmado","disponible")</f>
        <v/>
      </c>
    </row>
    <row r="1066">
      <c r="A1066" s="11" t="n">
        <v>1078</v>
      </c>
      <c r="B1066" s="12" t="n">
        <v>46010</v>
      </c>
      <c r="C1066" s="11" t="inlineStr">
        <is>
          <t>a financiero gravamen movimiento</t>
        </is>
      </c>
      <c r="D1066" s="13" t="n">
        <v>-1</v>
      </c>
      <c r="E1066" s="11">
        <f>IF(SUM(COUNTIFS('Conciliacion de compuestos'!$D$2:$D$48,"conciliado",'Conciliacion de compuestos'!$E$2:$E$48,"OK",'Conciliacion de compuestos'!$J$2:$J$48,A1066),COUNTIFS('Conciliacion de compuestos'!$D$2:$D$48,"conciliado",'Conciliacion de compuestos'!$E$2:$E$48,"OK",'Conciliacion de compuestos'!$K$2:$K$48,A1066),COUNTIFS('Conciliacion de compuestos'!$D$2:$D$48,"conciliado",'Conciliacion de compuestos'!$E$2:$E$48,"OK",'Conciliacion de compuestos'!$L$2:$L$48,A1066))&gt;0,"conciliado en compuesto confirmado","disponible")</f>
        <v/>
      </c>
    </row>
    <row r="1067">
      <c r="A1067" s="11" t="n">
        <v>1079</v>
      </c>
      <c r="B1067" s="12" t="n">
        <v>46010</v>
      </c>
      <c r="C1067" s="11" t="inlineStr">
        <is>
          <t>consignacion credibanco d e</t>
        </is>
      </c>
      <c r="D1067" s="13" t="n">
        <v>65000</v>
      </c>
      <c r="E1067" s="11">
        <f>IF(SUM(COUNTIFS('Conciliacion de compuestos'!$D$2:$D$48,"conciliado",'Conciliacion de compuestos'!$E$2:$E$48,"OK",'Conciliacion de compuestos'!$J$2:$J$48,A1067),COUNTIFS('Conciliacion de compuestos'!$D$2:$D$48,"conciliado",'Conciliacion de compuestos'!$E$2:$E$48,"OK",'Conciliacion de compuestos'!$K$2:$K$48,A1067),COUNTIFS('Conciliacion de compuestos'!$D$2:$D$48,"conciliado",'Conciliacion de compuestos'!$E$2:$E$48,"OK",'Conciliacion de compuestos'!$L$2:$L$48,A1067))&gt;0,"conciliado en compuesto confirmado","disponible")</f>
        <v/>
      </c>
    </row>
    <row r="1068">
      <c r="A1068" s="11" t="n">
        <v>1080</v>
      </c>
      <c r="B1068" s="12" t="n">
        <v>46010</v>
      </c>
      <c r="C1068" s="11" t="inlineStr">
        <is>
          <t>cobro comision depositos electronicos</t>
        </is>
      </c>
      <c r="D1068" s="13" t="n">
        <v>-1404</v>
      </c>
      <c r="E1068" s="11">
        <f>IF(SUM(COUNTIFS('Conciliacion de compuestos'!$D$2:$D$48,"conciliado",'Conciliacion de compuestos'!$E$2:$E$48,"OK",'Conciliacion de compuestos'!$J$2:$J$48,A1068),COUNTIFS('Conciliacion de compuestos'!$D$2:$D$48,"conciliado",'Conciliacion de compuestos'!$E$2:$E$48,"OK",'Conciliacion de compuestos'!$K$2:$K$48,A1068),COUNTIFS('Conciliacion de compuestos'!$D$2:$D$48,"conciliado",'Conciliacion de compuestos'!$E$2:$E$48,"OK",'Conciliacion de compuestos'!$L$2:$L$48,A1068))&gt;0,"conciliado en compuesto confirmado","disponible")</f>
        <v/>
      </c>
    </row>
    <row r="1069">
      <c r="A1069" s="11" t="n">
        <v>1081</v>
      </c>
      <c r="B1069" s="12" t="n">
        <v>46010</v>
      </c>
      <c r="C1069" s="11" t="inlineStr">
        <is>
          <t>a financiero gravamen movimiento</t>
        </is>
      </c>
      <c r="D1069" s="13" t="n">
        <v>-6</v>
      </c>
      <c r="E1069" s="11">
        <f>IF(SUM(COUNTIFS('Conciliacion de compuestos'!$D$2:$D$48,"conciliado",'Conciliacion de compuestos'!$E$2:$E$48,"OK",'Conciliacion de compuestos'!$J$2:$J$48,A1069),COUNTIFS('Conciliacion de compuestos'!$D$2:$D$48,"conciliado",'Conciliacion de compuestos'!$E$2:$E$48,"OK",'Conciliacion de compuestos'!$K$2:$K$48,A1069),COUNTIFS('Conciliacion de compuestos'!$D$2:$D$48,"conciliado",'Conciliacion de compuestos'!$E$2:$E$48,"OK",'Conciliacion de compuestos'!$L$2:$L$48,A1069))&gt;0,"conciliado en compuesto confirmado","disponible")</f>
        <v/>
      </c>
    </row>
    <row r="1070">
      <c r="A1070" s="11" t="n">
        <v>1082</v>
      </c>
      <c r="B1070" s="12" t="n">
        <v>46010</v>
      </c>
      <c r="C1070" s="11" t="inlineStr">
        <is>
          <t>credibanco d e retefuente voucher y</t>
        </is>
      </c>
      <c r="D1070" s="13" t="n">
        <v>-975</v>
      </c>
      <c r="E1070" s="11">
        <f>IF(SUM(COUNTIFS('Conciliacion de compuestos'!$D$2:$D$48,"conciliado",'Conciliacion de compuestos'!$E$2:$E$48,"OK",'Conciliacion de compuestos'!$J$2:$J$48,A1070),COUNTIFS('Conciliacion de compuestos'!$D$2:$D$48,"conciliado",'Conciliacion de compuestos'!$E$2:$E$48,"OK",'Conciliacion de compuestos'!$K$2:$K$48,A1070),COUNTIFS('Conciliacion de compuestos'!$D$2:$D$48,"conciliado",'Conciliacion de compuestos'!$E$2:$E$48,"OK",'Conciliacion de compuestos'!$L$2:$L$48,A1070))&gt;0,"conciliado en compuesto confirmado","disponible")</f>
        <v/>
      </c>
    </row>
    <row r="1071">
      <c r="A1071" s="11" t="n">
        <v>1083</v>
      </c>
      <c r="B1071" s="12" t="n">
        <v>46010</v>
      </c>
      <c r="C1071" s="11" t="inlineStr">
        <is>
          <t>a financiero gravamen movimiento</t>
        </is>
      </c>
      <c r="D1071" s="13" t="n">
        <v>-4</v>
      </c>
      <c r="E1071" s="11">
        <f>IF(SUM(COUNTIFS('Conciliacion de compuestos'!$D$2:$D$48,"conciliado",'Conciliacion de compuestos'!$E$2:$E$48,"OK",'Conciliacion de compuestos'!$J$2:$J$48,A1071),COUNTIFS('Conciliacion de compuestos'!$D$2:$D$48,"conciliado",'Conciliacion de compuestos'!$E$2:$E$48,"OK",'Conciliacion de compuestos'!$K$2:$K$48,A1071),COUNTIFS('Conciliacion de compuestos'!$D$2:$D$48,"conciliado",'Conciliacion de compuestos'!$E$2:$E$48,"OK",'Conciliacion de compuestos'!$L$2:$L$48,A1071))&gt;0,"conciliado en compuesto confirmado","disponible")</f>
        <v/>
      </c>
    </row>
    <row r="1072">
      <c r="A1072" s="11" t="n">
        <v>1084</v>
      </c>
      <c r="B1072" s="12" t="n">
        <v>46013</v>
      </c>
      <c r="C1072" s="11" t="inlineStr">
        <is>
          <t>consignacion credibanco d e</t>
        </is>
      </c>
      <c r="D1072" s="13" t="n">
        <v>28000</v>
      </c>
      <c r="E1072" s="11">
        <f>IF(SUM(COUNTIFS('Conciliacion de compuestos'!$D$2:$D$48,"conciliado",'Conciliacion de compuestos'!$E$2:$E$48,"OK",'Conciliacion de compuestos'!$J$2:$J$48,A1072),COUNTIFS('Conciliacion de compuestos'!$D$2:$D$48,"conciliado",'Conciliacion de compuestos'!$E$2:$E$48,"OK",'Conciliacion de compuestos'!$K$2:$K$48,A1072),COUNTIFS('Conciliacion de compuestos'!$D$2:$D$48,"conciliado",'Conciliacion de compuestos'!$E$2:$E$48,"OK",'Conciliacion de compuestos'!$L$2:$L$48,A1072))&gt;0,"conciliado en compuesto confirmado","disponible")</f>
        <v/>
      </c>
    </row>
    <row r="1073">
      <c r="A1073" s="11" t="n">
        <v>1085</v>
      </c>
      <c r="B1073" s="12" t="n">
        <v>46013</v>
      </c>
      <c r="C1073" s="11" t="inlineStr">
        <is>
          <t>cobro comision depositos electronicos</t>
        </is>
      </c>
      <c r="D1073" s="13" t="n">
        <v>-605</v>
      </c>
      <c r="E1073" s="11">
        <f>IF(SUM(COUNTIFS('Conciliacion de compuestos'!$D$2:$D$48,"conciliado",'Conciliacion de compuestos'!$E$2:$E$48,"OK",'Conciliacion de compuestos'!$J$2:$J$48,A1073),COUNTIFS('Conciliacion de compuestos'!$D$2:$D$48,"conciliado",'Conciliacion de compuestos'!$E$2:$E$48,"OK",'Conciliacion de compuestos'!$K$2:$K$48,A1073),COUNTIFS('Conciliacion de compuestos'!$D$2:$D$48,"conciliado",'Conciliacion de compuestos'!$E$2:$E$48,"OK",'Conciliacion de compuestos'!$L$2:$L$48,A1073))&gt;0,"conciliado en compuesto confirmado","disponible")</f>
        <v/>
      </c>
    </row>
    <row r="1074">
      <c r="A1074" s="11" t="n">
        <v>1086</v>
      </c>
      <c r="B1074" s="12" t="n">
        <v>46013</v>
      </c>
      <c r="C1074" s="11" t="inlineStr">
        <is>
          <t>a financiero gravamen movimiento</t>
        </is>
      </c>
      <c r="D1074" s="13" t="n">
        <v>-2</v>
      </c>
      <c r="E1074" s="11">
        <f>IF(SUM(COUNTIFS('Conciliacion de compuestos'!$D$2:$D$48,"conciliado",'Conciliacion de compuestos'!$E$2:$E$48,"OK",'Conciliacion de compuestos'!$J$2:$J$48,A1074),COUNTIFS('Conciliacion de compuestos'!$D$2:$D$48,"conciliado",'Conciliacion de compuestos'!$E$2:$E$48,"OK",'Conciliacion de compuestos'!$K$2:$K$48,A1074),COUNTIFS('Conciliacion de compuestos'!$D$2:$D$48,"conciliado",'Conciliacion de compuestos'!$E$2:$E$48,"OK",'Conciliacion de compuestos'!$L$2:$L$48,A1074))&gt;0,"conciliado en compuesto confirmado","disponible")</f>
        <v/>
      </c>
    </row>
    <row r="1075">
      <c r="A1075" s="11" t="n">
        <v>1087</v>
      </c>
      <c r="B1075" s="12" t="n">
        <v>46013</v>
      </c>
      <c r="C1075" s="11" t="inlineStr">
        <is>
          <t>credibanco d e retefuente voucher y</t>
        </is>
      </c>
      <c r="D1075" s="13" t="n">
        <v>-420</v>
      </c>
      <c r="E1075" s="11">
        <f>IF(SUM(COUNTIFS('Conciliacion de compuestos'!$D$2:$D$48,"conciliado",'Conciliacion de compuestos'!$E$2:$E$48,"OK",'Conciliacion de compuestos'!$J$2:$J$48,A1075),COUNTIFS('Conciliacion de compuestos'!$D$2:$D$48,"conciliado",'Conciliacion de compuestos'!$E$2:$E$48,"OK",'Conciliacion de compuestos'!$K$2:$K$48,A1075),COUNTIFS('Conciliacion de compuestos'!$D$2:$D$48,"conciliado",'Conciliacion de compuestos'!$E$2:$E$48,"OK",'Conciliacion de compuestos'!$L$2:$L$48,A1075))&gt;0,"conciliado en compuesto confirmado","disponible")</f>
        <v/>
      </c>
    </row>
    <row r="1076">
      <c r="A1076" s="11" t="n">
        <v>1088</v>
      </c>
      <c r="B1076" s="12" t="n">
        <v>46013</v>
      </c>
      <c r="C1076" s="11" t="inlineStr">
        <is>
          <t>a financiero gravamen movimiento</t>
        </is>
      </c>
      <c r="D1076" s="13" t="n">
        <v>-2</v>
      </c>
      <c r="E1076" s="11">
        <f>IF(SUM(COUNTIFS('Conciliacion de compuestos'!$D$2:$D$48,"conciliado",'Conciliacion de compuestos'!$E$2:$E$48,"OK",'Conciliacion de compuestos'!$J$2:$J$48,A1076),COUNTIFS('Conciliacion de compuestos'!$D$2:$D$48,"conciliado",'Conciliacion de compuestos'!$E$2:$E$48,"OK",'Conciliacion de compuestos'!$K$2:$K$48,A1076),COUNTIFS('Conciliacion de compuestos'!$D$2:$D$48,"conciliado",'Conciliacion de compuestos'!$E$2:$E$48,"OK",'Conciliacion de compuestos'!$L$2:$L$48,A1076))&gt;0,"conciliado en compuesto confirmado","disponible")</f>
        <v/>
      </c>
    </row>
    <row r="1077">
      <c r="A1077" s="11" t="n">
        <v>1089</v>
      </c>
      <c r="B1077" s="12" t="n">
        <v>46013</v>
      </c>
      <c r="C1077" s="11" t="inlineStr">
        <is>
          <t>consignacion credibanco d e</t>
        </is>
      </c>
      <c r="D1077" s="13" t="n">
        <v>68900</v>
      </c>
      <c r="E1077" s="11">
        <f>IF(SUM(COUNTIFS('Conciliacion de compuestos'!$D$2:$D$48,"conciliado",'Conciliacion de compuestos'!$E$2:$E$48,"OK",'Conciliacion de compuestos'!$J$2:$J$48,A1077),COUNTIFS('Conciliacion de compuestos'!$D$2:$D$48,"conciliado",'Conciliacion de compuestos'!$E$2:$E$48,"OK",'Conciliacion de compuestos'!$K$2:$K$48,A1077),COUNTIFS('Conciliacion de compuestos'!$D$2:$D$48,"conciliado",'Conciliacion de compuestos'!$E$2:$E$48,"OK",'Conciliacion de compuestos'!$L$2:$L$48,A1077))&gt;0,"conciliado en compuesto confirmado","disponible")</f>
        <v/>
      </c>
    </row>
    <row r="1078">
      <c r="A1078" s="11" t="n">
        <v>1090</v>
      </c>
      <c r="B1078" s="12" t="n">
        <v>46013</v>
      </c>
      <c r="C1078" s="11" t="inlineStr">
        <is>
          <t>cobro comision depositos electronicos</t>
        </is>
      </c>
      <c r="D1078" s="13" t="n">
        <v>-1488</v>
      </c>
      <c r="E1078" s="11">
        <f>IF(SUM(COUNTIFS('Conciliacion de compuestos'!$D$2:$D$48,"conciliado",'Conciliacion de compuestos'!$E$2:$E$48,"OK",'Conciliacion de compuestos'!$J$2:$J$48,A1078),COUNTIFS('Conciliacion de compuestos'!$D$2:$D$48,"conciliado",'Conciliacion de compuestos'!$E$2:$E$48,"OK",'Conciliacion de compuestos'!$K$2:$K$48,A1078),COUNTIFS('Conciliacion de compuestos'!$D$2:$D$48,"conciliado",'Conciliacion de compuestos'!$E$2:$E$48,"OK",'Conciliacion de compuestos'!$L$2:$L$48,A1078))&gt;0,"conciliado en compuesto confirmado","disponible")</f>
        <v/>
      </c>
    </row>
    <row r="1079">
      <c r="A1079" s="11" t="n">
        <v>1091</v>
      </c>
      <c r="B1079" s="12" t="n">
        <v>46013</v>
      </c>
      <c r="C1079" s="11" t="inlineStr">
        <is>
          <t>a financiero gravamen movimiento</t>
        </is>
      </c>
      <c r="D1079" s="13" t="n">
        <v>-6</v>
      </c>
      <c r="E1079" s="11">
        <f>IF(SUM(COUNTIFS('Conciliacion de compuestos'!$D$2:$D$48,"conciliado",'Conciliacion de compuestos'!$E$2:$E$48,"OK",'Conciliacion de compuestos'!$J$2:$J$48,A1079),COUNTIFS('Conciliacion de compuestos'!$D$2:$D$48,"conciliado",'Conciliacion de compuestos'!$E$2:$E$48,"OK",'Conciliacion de compuestos'!$K$2:$K$48,A1079),COUNTIFS('Conciliacion de compuestos'!$D$2:$D$48,"conciliado",'Conciliacion de compuestos'!$E$2:$E$48,"OK",'Conciliacion de compuestos'!$L$2:$L$48,A1079))&gt;0,"conciliado en compuesto confirmado","disponible")</f>
        <v/>
      </c>
    </row>
    <row r="1080">
      <c r="A1080" s="11" t="n">
        <v>1092</v>
      </c>
      <c r="B1080" s="12" t="n">
        <v>46013</v>
      </c>
      <c r="C1080" s="11" t="inlineStr">
        <is>
          <t>credibanco d e retefuente voucher y</t>
        </is>
      </c>
      <c r="D1080" s="13" t="n">
        <v>-1034</v>
      </c>
      <c r="E1080" s="11">
        <f>IF(SUM(COUNTIFS('Conciliacion de compuestos'!$D$2:$D$48,"conciliado",'Conciliacion de compuestos'!$E$2:$E$48,"OK",'Conciliacion de compuestos'!$J$2:$J$48,A1080),COUNTIFS('Conciliacion de compuestos'!$D$2:$D$48,"conciliado",'Conciliacion de compuestos'!$E$2:$E$48,"OK",'Conciliacion de compuestos'!$K$2:$K$48,A1080),COUNTIFS('Conciliacion de compuestos'!$D$2:$D$48,"conciliado",'Conciliacion de compuestos'!$E$2:$E$48,"OK",'Conciliacion de compuestos'!$L$2:$L$48,A1080))&gt;0,"conciliado en compuesto confirmado","disponible")</f>
        <v/>
      </c>
    </row>
    <row r="1081">
      <c r="A1081" s="11" t="n">
        <v>1093</v>
      </c>
      <c r="B1081" s="12" t="n">
        <v>46013</v>
      </c>
      <c r="C1081" s="11" t="inlineStr">
        <is>
          <t>a financiero gravamen movimiento</t>
        </is>
      </c>
      <c r="D1081" s="13" t="n">
        <v>-4</v>
      </c>
      <c r="E1081" s="11">
        <f>IF(SUM(COUNTIFS('Conciliacion de compuestos'!$D$2:$D$48,"conciliado",'Conciliacion de compuestos'!$E$2:$E$48,"OK",'Conciliacion de compuestos'!$J$2:$J$48,A1081),COUNTIFS('Conciliacion de compuestos'!$D$2:$D$48,"conciliado",'Conciliacion de compuestos'!$E$2:$E$48,"OK",'Conciliacion de compuestos'!$K$2:$K$48,A1081),COUNTIFS('Conciliacion de compuestos'!$D$2:$D$48,"conciliado",'Conciliacion de compuestos'!$E$2:$E$48,"OK",'Conciliacion de compuestos'!$L$2:$L$48,A1081))&gt;0,"conciliado en compuesto confirmado","disponible")</f>
        <v/>
      </c>
    </row>
    <row r="1082">
      <c r="A1082" s="11" t="n">
        <v>1094</v>
      </c>
      <c r="B1082" s="12" t="n">
        <v>46013</v>
      </c>
      <c r="C1082" s="11" t="inlineStr">
        <is>
          <t>consignacion credibanco d e</t>
        </is>
      </c>
      <c r="D1082" s="13" t="n">
        <v>65900</v>
      </c>
      <c r="E1082" s="11">
        <f>IF(SUM(COUNTIFS('Conciliacion de compuestos'!$D$2:$D$48,"conciliado",'Conciliacion de compuestos'!$E$2:$E$48,"OK",'Conciliacion de compuestos'!$J$2:$J$48,A1082),COUNTIFS('Conciliacion de compuestos'!$D$2:$D$48,"conciliado",'Conciliacion de compuestos'!$E$2:$E$48,"OK",'Conciliacion de compuestos'!$K$2:$K$48,A1082),COUNTIFS('Conciliacion de compuestos'!$D$2:$D$48,"conciliado",'Conciliacion de compuestos'!$E$2:$E$48,"OK",'Conciliacion de compuestos'!$L$2:$L$48,A1082))&gt;0,"conciliado en compuesto confirmado","disponible")</f>
        <v/>
      </c>
    </row>
    <row r="1083">
      <c r="A1083" s="11" t="n">
        <v>1095</v>
      </c>
      <c r="B1083" s="12" t="n">
        <v>46013</v>
      </c>
      <c r="C1083" s="11" t="inlineStr">
        <is>
          <t>cobro comision depositos electronicos</t>
        </is>
      </c>
      <c r="D1083" s="13" t="n">
        <v>-1423</v>
      </c>
      <c r="E1083" s="11">
        <f>IF(SUM(COUNTIFS('Conciliacion de compuestos'!$D$2:$D$48,"conciliado",'Conciliacion de compuestos'!$E$2:$E$48,"OK",'Conciliacion de compuestos'!$J$2:$J$48,A1083),COUNTIFS('Conciliacion de compuestos'!$D$2:$D$48,"conciliado",'Conciliacion de compuestos'!$E$2:$E$48,"OK",'Conciliacion de compuestos'!$K$2:$K$48,A1083),COUNTIFS('Conciliacion de compuestos'!$D$2:$D$48,"conciliado",'Conciliacion de compuestos'!$E$2:$E$48,"OK",'Conciliacion de compuestos'!$L$2:$L$48,A1083))&gt;0,"conciliado en compuesto confirmado","disponible")</f>
        <v/>
      </c>
    </row>
    <row r="1084">
      <c r="A1084" s="11" t="n">
        <v>1096</v>
      </c>
      <c r="B1084" s="12" t="n">
        <v>46013</v>
      </c>
      <c r="C1084" s="11" t="inlineStr">
        <is>
          <t>a financiero gravamen movimiento</t>
        </is>
      </c>
      <c r="D1084" s="13" t="n">
        <v>-6</v>
      </c>
      <c r="E1084" s="11">
        <f>IF(SUM(COUNTIFS('Conciliacion de compuestos'!$D$2:$D$48,"conciliado",'Conciliacion de compuestos'!$E$2:$E$48,"OK",'Conciliacion de compuestos'!$J$2:$J$48,A1084),COUNTIFS('Conciliacion de compuestos'!$D$2:$D$48,"conciliado",'Conciliacion de compuestos'!$E$2:$E$48,"OK",'Conciliacion de compuestos'!$K$2:$K$48,A1084),COUNTIFS('Conciliacion de compuestos'!$D$2:$D$48,"conciliado",'Conciliacion de compuestos'!$E$2:$E$48,"OK",'Conciliacion de compuestos'!$L$2:$L$48,A1084))&gt;0,"conciliado en compuesto confirmado","disponible")</f>
        <v/>
      </c>
    </row>
    <row r="1085">
      <c r="A1085" s="11" t="n">
        <v>1097</v>
      </c>
      <c r="B1085" s="12" t="n">
        <v>46013</v>
      </c>
      <c r="C1085" s="11" t="inlineStr">
        <is>
          <t>credibanco d e retefuente voucher y</t>
        </is>
      </c>
      <c r="D1085" s="13" t="n">
        <v>-989</v>
      </c>
      <c r="E1085" s="11">
        <f>IF(SUM(COUNTIFS('Conciliacion de compuestos'!$D$2:$D$48,"conciliado",'Conciliacion de compuestos'!$E$2:$E$48,"OK",'Conciliacion de compuestos'!$J$2:$J$48,A1085),COUNTIFS('Conciliacion de compuestos'!$D$2:$D$48,"conciliado",'Conciliacion de compuestos'!$E$2:$E$48,"OK",'Conciliacion de compuestos'!$K$2:$K$48,A1085),COUNTIFS('Conciliacion de compuestos'!$D$2:$D$48,"conciliado",'Conciliacion de compuestos'!$E$2:$E$48,"OK",'Conciliacion de compuestos'!$L$2:$L$48,A1085))&gt;0,"conciliado en compuesto confirmado","disponible")</f>
        <v/>
      </c>
    </row>
    <row r="1086">
      <c r="A1086" s="11" t="n">
        <v>1098</v>
      </c>
      <c r="B1086" s="12" t="n">
        <v>46013</v>
      </c>
      <c r="C1086" s="11" t="inlineStr">
        <is>
          <t>a financiero gravamen movimiento</t>
        </is>
      </c>
      <c r="D1086" s="13" t="n">
        <v>-4</v>
      </c>
      <c r="E1086" s="11">
        <f>IF(SUM(COUNTIFS('Conciliacion de compuestos'!$D$2:$D$48,"conciliado",'Conciliacion de compuestos'!$E$2:$E$48,"OK",'Conciliacion de compuestos'!$J$2:$J$48,A1086),COUNTIFS('Conciliacion de compuestos'!$D$2:$D$48,"conciliado",'Conciliacion de compuestos'!$E$2:$E$48,"OK",'Conciliacion de compuestos'!$K$2:$K$48,A1086),COUNTIFS('Conciliacion de compuestos'!$D$2:$D$48,"conciliado",'Conciliacion de compuestos'!$E$2:$E$48,"OK",'Conciliacion de compuestos'!$L$2:$L$48,A1086))&gt;0,"conciliado en compuesto confirmado","disponible")</f>
        <v/>
      </c>
    </row>
    <row r="1087">
      <c r="A1087" s="11" t="n">
        <v>1099</v>
      </c>
      <c r="B1087" s="12" t="n">
        <v>46013</v>
      </c>
      <c r="C1087" s="11" t="inlineStr">
        <is>
          <t>consignacion credibanco d e</t>
        </is>
      </c>
      <c r="D1087" s="13" t="n">
        <v>24400</v>
      </c>
      <c r="E1087" s="11">
        <f>IF(SUM(COUNTIFS('Conciliacion de compuestos'!$D$2:$D$48,"conciliado",'Conciliacion de compuestos'!$E$2:$E$48,"OK",'Conciliacion de compuestos'!$J$2:$J$48,A1087),COUNTIFS('Conciliacion de compuestos'!$D$2:$D$48,"conciliado",'Conciliacion de compuestos'!$E$2:$E$48,"OK",'Conciliacion de compuestos'!$K$2:$K$48,A1087),COUNTIFS('Conciliacion de compuestos'!$D$2:$D$48,"conciliado",'Conciliacion de compuestos'!$E$2:$E$48,"OK",'Conciliacion de compuestos'!$L$2:$L$48,A1087))&gt;0,"conciliado en compuesto confirmado","disponible")</f>
        <v/>
      </c>
    </row>
    <row r="1088">
      <c r="A1088" s="11" t="n">
        <v>1100</v>
      </c>
      <c r="B1088" s="12" t="n">
        <v>46013</v>
      </c>
      <c r="C1088" s="11" t="inlineStr">
        <is>
          <t>cobro comision depositos electronicos</t>
        </is>
      </c>
      <c r="D1088" s="13" t="n">
        <v>-527</v>
      </c>
      <c r="E1088" s="11">
        <f>IF(SUM(COUNTIFS('Conciliacion de compuestos'!$D$2:$D$48,"conciliado",'Conciliacion de compuestos'!$E$2:$E$48,"OK",'Conciliacion de compuestos'!$J$2:$J$48,A1088),COUNTIFS('Conciliacion de compuestos'!$D$2:$D$48,"conciliado",'Conciliacion de compuestos'!$E$2:$E$48,"OK",'Conciliacion de compuestos'!$K$2:$K$48,A1088),COUNTIFS('Conciliacion de compuestos'!$D$2:$D$48,"conciliado",'Conciliacion de compuestos'!$E$2:$E$48,"OK",'Conciliacion de compuestos'!$L$2:$L$48,A1088))&gt;0,"conciliado en compuesto confirmado","disponible")</f>
        <v/>
      </c>
    </row>
    <row r="1089">
      <c r="A1089" s="11" t="n">
        <v>1101</v>
      </c>
      <c r="B1089" s="12" t="n">
        <v>46013</v>
      </c>
      <c r="C1089" s="11" t="inlineStr">
        <is>
          <t>a financiero gravamen movimiento</t>
        </is>
      </c>
      <c r="D1089" s="13" t="n">
        <v>-2</v>
      </c>
      <c r="E1089" s="11">
        <f>IF(SUM(COUNTIFS('Conciliacion de compuestos'!$D$2:$D$48,"conciliado",'Conciliacion de compuestos'!$E$2:$E$48,"OK",'Conciliacion de compuestos'!$J$2:$J$48,A1089),COUNTIFS('Conciliacion de compuestos'!$D$2:$D$48,"conciliado",'Conciliacion de compuestos'!$E$2:$E$48,"OK",'Conciliacion de compuestos'!$K$2:$K$48,A1089),COUNTIFS('Conciliacion de compuestos'!$D$2:$D$48,"conciliado",'Conciliacion de compuestos'!$E$2:$E$48,"OK",'Conciliacion de compuestos'!$L$2:$L$48,A1089))&gt;0,"conciliado en compuesto confirmado","disponible")</f>
        <v/>
      </c>
    </row>
    <row r="1090">
      <c r="A1090" s="11" t="n">
        <v>1102</v>
      </c>
      <c r="B1090" s="12" t="n">
        <v>46013</v>
      </c>
      <c r="C1090" s="11" t="inlineStr">
        <is>
          <t>credibanco d e retefuente voucher y</t>
        </is>
      </c>
      <c r="D1090" s="13" t="n">
        <v>-366</v>
      </c>
      <c r="E1090" s="11">
        <f>IF(SUM(COUNTIFS('Conciliacion de compuestos'!$D$2:$D$48,"conciliado",'Conciliacion de compuestos'!$E$2:$E$48,"OK",'Conciliacion de compuestos'!$J$2:$J$48,A1090),COUNTIFS('Conciliacion de compuestos'!$D$2:$D$48,"conciliado",'Conciliacion de compuestos'!$E$2:$E$48,"OK",'Conciliacion de compuestos'!$K$2:$K$48,A1090),COUNTIFS('Conciliacion de compuestos'!$D$2:$D$48,"conciliado",'Conciliacion de compuestos'!$E$2:$E$48,"OK",'Conciliacion de compuestos'!$L$2:$L$48,A1090))&gt;0,"conciliado en compuesto confirmado","disponible")</f>
        <v/>
      </c>
    </row>
    <row r="1091">
      <c r="A1091" s="11" t="n">
        <v>1103</v>
      </c>
      <c r="B1091" s="12" t="n">
        <v>46013</v>
      </c>
      <c r="C1091" s="11" t="inlineStr">
        <is>
          <t>a financiero gravamen movimiento</t>
        </is>
      </c>
      <c r="D1091" s="13" t="n">
        <v>-1</v>
      </c>
      <c r="E1091" s="11">
        <f>IF(SUM(COUNTIFS('Conciliacion de compuestos'!$D$2:$D$48,"conciliado",'Conciliacion de compuestos'!$E$2:$E$48,"OK",'Conciliacion de compuestos'!$J$2:$J$48,A1091),COUNTIFS('Conciliacion de compuestos'!$D$2:$D$48,"conciliado",'Conciliacion de compuestos'!$E$2:$E$48,"OK",'Conciliacion de compuestos'!$K$2:$K$48,A1091),COUNTIFS('Conciliacion de compuestos'!$D$2:$D$48,"conciliado",'Conciliacion de compuestos'!$E$2:$E$48,"OK",'Conciliacion de compuestos'!$L$2:$L$48,A1091))&gt;0,"conciliado en compuesto confirmado","disponible")</f>
        <v/>
      </c>
    </row>
    <row r="1092">
      <c r="A1092" s="11" t="n">
        <v>1104</v>
      </c>
      <c r="B1092" s="12" t="n">
        <v>46013</v>
      </c>
      <c r="C1092" s="11" t="inlineStr">
        <is>
          <t>consignacion credibanco d e</t>
        </is>
      </c>
      <c r="D1092" s="13" t="n">
        <v>14000</v>
      </c>
      <c r="E1092" s="11">
        <f>IF(SUM(COUNTIFS('Conciliacion de compuestos'!$D$2:$D$48,"conciliado",'Conciliacion de compuestos'!$E$2:$E$48,"OK",'Conciliacion de compuestos'!$J$2:$J$48,A1092),COUNTIFS('Conciliacion de compuestos'!$D$2:$D$48,"conciliado",'Conciliacion de compuestos'!$E$2:$E$48,"OK",'Conciliacion de compuestos'!$K$2:$K$48,A1092),COUNTIFS('Conciliacion de compuestos'!$D$2:$D$48,"conciliado",'Conciliacion de compuestos'!$E$2:$E$48,"OK",'Conciliacion de compuestos'!$L$2:$L$48,A1092))&gt;0,"conciliado en compuesto confirmado","disponible")</f>
        <v/>
      </c>
    </row>
    <row r="1093">
      <c r="A1093" s="11" t="n">
        <v>1105</v>
      </c>
      <c r="B1093" s="12" t="n">
        <v>46013</v>
      </c>
      <c r="C1093" s="11" t="inlineStr">
        <is>
          <t>cobro comision depositos electronicos</t>
        </is>
      </c>
      <c r="D1093" s="13" t="n">
        <v>-288</v>
      </c>
      <c r="E1093" s="11">
        <f>IF(SUM(COUNTIFS('Conciliacion de compuestos'!$D$2:$D$48,"conciliado",'Conciliacion de compuestos'!$E$2:$E$48,"OK",'Conciliacion de compuestos'!$J$2:$J$48,A1093),COUNTIFS('Conciliacion de compuestos'!$D$2:$D$48,"conciliado",'Conciliacion de compuestos'!$E$2:$E$48,"OK",'Conciliacion de compuestos'!$K$2:$K$48,A1093),COUNTIFS('Conciliacion de compuestos'!$D$2:$D$48,"conciliado",'Conciliacion de compuestos'!$E$2:$E$48,"OK",'Conciliacion de compuestos'!$L$2:$L$48,A1093))&gt;0,"conciliado en compuesto confirmado","disponible")</f>
        <v/>
      </c>
    </row>
    <row r="1094">
      <c r="A1094" s="11" t="n">
        <v>1106</v>
      </c>
      <c r="B1094" s="12" t="n">
        <v>46013</v>
      </c>
      <c r="C1094" s="11" t="inlineStr">
        <is>
          <t>a financiero gravamen movimiento</t>
        </is>
      </c>
      <c r="D1094" s="13" t="n">
        <v>-1</v>
      </c>
      <c r="E1094" s="11">
        <f>IF(SUM(COUNTIFS('Conciliacion de compuestos'!$D$2:$D$48,"conciliado",'Conciliacion de compuestos'!$E$2:$E$48,"OK",'Conciliacion de compuestos'!$J$2:$J$48,A1094),COUNTIFS('Conciliacion de compuestos'!$D$2:$D$48,"conciliado",'Conciliacion de compuestos'!$E$2:$E$48,"OK",'Conciliacion de compuestos'!$K$2:$K$48,A1094),COUNTIFS('Conciliacion de compuestos'!$D$2:$D$48,"conciliado",'Conciliacion de compuestos'!$E$2:$E$48,"OK",'Conciliacion de compuestos'!$L$2:$L$48,A1094))&gt;0,"conciliado en compuesto confirmado","disponible")</f>
        <v/>
      </c>
    </row>
    <row r="1095">
      <c r="A1095" s="11" t="n">
        <v>1107</v>
      </c>
      <c r="B1095" s="12" t="n">
        <v>46013</v>
      </c>
      <c r="C1095" s="11" t="inlineStr">
        <is>
          <t>credibanco d e retefuente voucher y</t>
        </is>
      </c>
      <c r="D1095" s="13" t="n">
        <v>-210</v>
      </c>
      <c r="E1095" s="11">
        <f>IF(SUM(COUNTIFS('Conciliacion de compuestos'!$D$2:$D$48,"conciliado",'Conciliacion de compuestos'!$E$2:$E$48,"OK",'Conciliacion de compuestos'!$J$2:$J$48,A1095),COUNTIFS('Conciliacion de compuestos'!$D$2:$D$48,"conciliado",'Conciliacion de compuestos'!$E$2:$E$48,"OK",'Conciliacion de compuestos'!$K$2:$K$48,A1095),COUNTIFS('Conciliacion de compuestos'!$D$2:$D$48,"conciliado",'Conciliacion de compuestos'!$E$2:$E$48,"OK",'Conciliacion de compuestos'!$L$2:$L$48,A1095))&gt;0,"conciliado en compuesto confirmado","disponible")</f>
        <v/>
      </c>
    </row>
    <row r="1096">
      <c r="A1096" s="11" t="n">
        <v>1108</v>
      </c>
      <c r="B1096" s="12" t="n">
        <v>46013</v>
      </c>
      <c r="C1096" s="11" t="inlineStr">
        <is>
          <t>a financiero gravamen movimiento</t>
        </is>
      </c>
      <c r="D1096" s="13" t="n">
        <v>-1</v>
      </c>
      <c r="E1096" s="11">
        <f>IF(SUM(COUNTIFS('Conciliacion de compuestos'!$D$2:$D$48,"conciliado",'Conciliacion de compuestos'!$E$2:$E$48,"OK",'Conciliacion de compuestos'!$J$2:$J$48,A1096),COUNTIFS('Conciliacion de compuestos'!$D$2:$D$48,"conciliado",'Conciliacion de compuestos'!$E$2:$E$48,"OK",'Conciliacion de compuestos'!$K$2:$K$48,A1096),COUNTIFS('Conciliacion de compuestos'!$D$2:$D$48,"conciliado",'Conciliacion de compuestos'!$E$2:$E$48,"OK",'Conciliacion de compuestos'!$L$2:$L$48,A1096))&gt;0,"conciliado en compuesto confirmado","disponible")</f>
        <v/>
      </c>
    </row>
    <row r="1097">
      <c r="A1097" s="11" t="n">
        <v>1109</v>
      </c>
      <c r="B1097" s="12" t="n">
        <v>46013</v>
      </c>
      <c r="C1097" s="11" t="inlineStr">
        <is>
          <t>consignacion credibanco d e</t>
        </is>
      </c>
      <c r="D1097" s="13" t="n">
        <v>31100</v>
      </c>
      <c r="E1097" s="11">
        <f>IF(SUM(COUNTIFS('Conciliacion de compuestos'!$D$2:$D$48,"conciliado",'Conciliacion de compuestos'!$E$2:$E$48,"OK",'Conciliacion de compuestos'!$J$2:$J$48,A1097),COUNTIFS('Conciliacion de compuestos'!$D$2:$D$48,"conciliado",'Conciliacion de compuestos'!$E$2:$E$48,"OK",'Conciliacion de compuestos'!$K$2:$K$48,A1097),COUNTIFS('Conciliacion de compuestos'!$D$2:$D$48,"conciliado",'Conciliacion de compuestos'!$E$2:$E$48,"OK",'Conciliacion de compuestos'!$L$2:$L$48,A1097))&gt;0,"conciliado en compuesto confirmado","disponible")</f>
        <v/>
      </c>
    </row>
    <row r="1098">
      <c r="A1098" s="11" t="n">
        <v>1110</v>
      </c>
      <c r="B1098" s="12" t="n">
        <v>46013</v>
      </c>
      <c r="C1098" s="11" t="inlineStr">
        <is>
          <t>cobro comision depositos electronicos</t>
        </is>
      </c>
      <c r="D1098" s="13" t="n">
        <v>-672</v>
      </c>
      <c r="E1098" s="11">
        <f>IF(SUM(COUNTIFS('Conciliacion de compuestos'!$D$2:$D$48,"conciliado",'Conciliacion de compuestos'!$E$2:$E$48,"OK",'Conciliacion de compuestos'!$J$2:$J$48,A1098),COUNTIFS('Conciliacion de compuestos'!$D$2:$D$48,"conciliado",'Conciliacion de compuestos'!$E$2:$E$48,"OK",'Conciliacion de compuestos'!$K$2:$K$48,A1098),COUNTIFS('Conciliacion de compuestos'!$D$2:$D$48,"conciliado",'Conciliacion de compuestos'!$E$2:$E$48,"OK",'Conciliacion de compuestos'!$L$2:$L$48,A1098))&gt;0,"conciliado en compuesto confirmado","disponible")</f>
        <v/>
      </c>
    </row>
    <row r="1099">
      <c r="A1099" s="11" t="n">
        <v>1111</v>
      </c>
      <c r="B1099" s="12" t="n">
        <v>46013</v>
      </c>
      <c r="C1099" s="11" t="inlineStr">
        <is>
          <t>a financiero gravamen movimiento</t>
        </is>
      </c>
      <c r="D1099" s="13" t="n">
        <v>-3</v>
      </c>
      <c r="E1099" s="11">
        <f>IF(SUM(COUNTIFS('Conciliacion de compuestos'!$D$2:$D$48,"conciliado",'Conciliacion de compuestos'!$E$2:$E$48,"OK",'Conciliacion de compuestos'!$J$2:$J$48,A1099),COUNTIFS('Conciliacion de compuestos'!$D$2:$D$48,"conciliado",'Conciliacion de compuestos'!$E$2:$E$48,"OK",'Conciliacion de compuestos'!$K$2:$K$48,A1099),COUNTIFS('Conciliacion de compuestos'!$D$2:$D$48,"conciliado",'Conciliacion de compuestos'!$E$2:$E$48,"OK",'Conciliacion de compuestos'!$L$2:$L$48,A1099))&gt;0,"conciliado en compuesto confirmado","disponible")</f>
        <v/>
      </c>
    </row>
    <row r="1100">
      <c r="A1100" s="11" t="n">
        <v>1112</v>
      </c>
      <c r="B1100" s="12" t="n">
        <v>46013</v>
      </c>
      <c r="C1100" s="11" t="inlineStr">
        <is>
          <t>credibanco d e retefuente voucher y</t>
        </is>
      </c>
      <c r="D1100" s="13" t="n">
        <v>-467</v>
      </c>
      <c r="E1100" s="11">
        <f>IF(SUM(COUNTIFS('Conciliacion de compuestos'!$D$2:$D$48,"conciliado",'Conciliacion de compuestos'!$E$2:$E$48,"OK",'Conciliacion de compuestos'!$J$2:$J$48,A1100),COUNTIFS('Conciliacion de compuestos'!$D$2:$D$48,"conciliado",'Conciliacion de compuestos'!$E$2:$E$48,"OK",'Conciliacion de compuestos'!$K$2:$K$48,A1100),COUNTIFS('Conciliacion de compuestos'!$D$2:$D$48,"conciliado",'Conciliacion de compuestos'!$E$2:$E$48,"OK",'Conciliacion de compuestos'!$L$2:$L$48,A1100))&gt;0,"conciliado en compuesto confirmado","disponible")</f>
        <v/>
      </c>
    </row>
    <row r="1101">
      <c r="A1101" s="11" t="n">
        <v>1113</v>
      </c>
      <c r="B1101" s="12" t="n">
        <v>46013</v>
      </c>
      <c r="C1101" s="11" t="inlineStr">
        <is>
          <t>a financiero gravamen movimiento</t>
        </is>
      </c>
      <c r="D1101" s="13" t="n">
        <v>-2</v>
      </c>
      <c r="E1101" s="11">
        <f>IF(SUM(COUNTIFS('Conciliacion de compuestos'!$D$2:$D$48,"conciliado",'Conciliacion de compuestos'!$E$2:$E$48,"OK",'Conciliacion de compuestos'!$J$2:$J$48,A1101),COUNTIFS('Conciliacion de compuestos'!$D$2:$D$48,"conciliado",'Conciliacion de compuestos'!$E$2:$E$48,"OK",'Conciliacion de compuestos'!$K$2:$K$48,A1101),COUNTIFS('Conciliacion de compuestos'!$D$2:$D$48,"conciliado",'Conciliacion de compuestos'!$E$2:$E$48,"OK",'Conciliacion de compuestos'!$L$2:$L$48,A1101))&gt;0,"conciliado en compuesto confirmado","disponible")</f>
        <v/>
      </c>
    </row>
    <row r="1102">
      <c r="A1102" s="11" t="n">
        <v>1114</v>
      </c>
      <c r="B1102" s="12" t="n">
        <v>46013</v>
      </c>
      <c r="C1102" s="11" t="inlineStr">
        <is>
          <t>consignacion credibanco d e</t>
        </is>
      </c>
      <c r="D1102" s="13" t="n">
        <v>68000</v>
      </c>
      <c r="E1102" s="11">
        <f>IF(SUM(COUNTIFS('Conciliacion de compuestos'!$D$2:$D$48,"conciliado",'Conciliacion de compuestos'!$E$2:$E$48,"OK",'Conciliacion de compuestos'!$J$2:$J$48,A1102),COUNTIFS('Conciliacion de compuestos'!$D$2:$D$48,"conciliado",'Conciliacion de compuestos'!$E$2:$E$48,"OK",'Conciliacion de compuestos'!$K$2:$K$48,A1102),COUNTIFS('Conciliacion de compuestos'!$D$2:$D$48,"conciliado",'Conciliacion de compuestos'!$E$2:$E$48,"OK",'Conciliacion de compuestos'!$L$2:$L$48,A1102))&gt;0,"conciliado en compuesto confirmado","disponible")</f>
        <v/>
      </c>
    </row>
    <row r="1103">
      <c r="A1103" s="11" t="n">
        <v>1115</v>
      </c>
      <c r="B1103" s="12" t="n">
        <v>46013</v>
      </c>
      <c r="C1103" s="11" t="inlineStr">
        <is>
          <t>cobro comision depositos electronicos</t>
        </is>
      </c>
      <c r="D1103" s="13" t="n">
        <v>-1469</v>
      </c>
      <c r="E1103" s="11">
        <f>IF(SUM(COUNTIFS('Conciliacion de compuestos'!$D$2:$D$48,"conciliado",'Conciliacion de compuestos'!$E$2:$E$48,"OK",'Conciliacion de compuestos'!$J$2:$J$48,A1103),COUNTIFS('Conciliacion de compuestos'!$D$2:$D$48,"conciliado",'Conciliacion de compuestos'!$E$2:$E$48,"OK",'Conciliacion de compuestos'!$K$2:$K$48,A1103),COUNTIFS('Conciliacion de compuestos'!$D$2:$D$48,"conciliado",'Conciliacion de compuestos'!$E$2:$E$48,"OK",'Conciliacion de compuestos'!$L$2:$L$48,A1103))&gt;0,"conciliado en compuesto confirmado","disponible")</f>
        <v/>
      </c>
    </row>
    <row r="1104">
      <c r="A1104" s="11" t="n">
        <v>1116</v>
      </c>
      <c r="B1104" s="12" t="n">
        <v>46013</v>
      </c>
      <c r="C1104" s="11" t="inlineStr">
        <is>
          <t>a financiero gravamen movimiento</t>
        </is>
      </c>
      <c r="D1104" s="13" t="n">
        <v>-6</v>
      </c>
      <c r="E1104" s="11">
        <f>IF(SUM(COUNTIFS('Conciliacion de compuestos'!$D$2:$D$48,"conciliado",'Conciliacion de compuestos'!$E$2:$E$48,"OK",'Conciliacion de compuestos'!$J$2:$J$48,A1104),COUNTIFS('Conciliacion de compuestos'!$D$2:$D$48,"conciliado",'Conciliacion de compuestos'!$E$2:$E$48,"OK",'Conciliacion de compuestos'!$K$2:$K$48,A1104),COUNTIFS('Conciliacion de compuestos'!$D$2:$D$48,"conciliado",'Conciliacion de compuestos'!$E$2:$E$48,"OK",'Conciliacion de compuestos'!$L$2:$L$48,A1104))&gt;0,"conciliado en compuesto confirmado","disponible")</f>
        <v/>
      </c>
    </row>
    <row r="1105">
      <c r="A1105" s="11" t="n">
        <v>1117</v>
      </c>
      <c r="B1105" s="12" t="n">
        <v>46013</v>
      </c>
      <c r="C1105" s="11" t="inlineStr">
        <is>
          <t>credibanco d e retefuente voucher y</t>
        </is>
      </c>
      <c r="D1105" s="13" t="n">
        <v>-1020</v>
      </c>
      <c r="E1105" s="11">
        <f>IF(SUM(COUNTIFS('Conciliacion de compuestos'!$D$2:$D$48,"conciliado",'Conciliacion de compuestos'!$E$2:$E$48,"OK",'Conciliacion de compuestos'!$J$2:$J$48,A1105),COUNTIFS('Conciliacion de compuestos'!$D$2:$D$48,"conciliado",'Conciliacion de compuestos'!$E$2:$E$48,"OK",'Conciliacion de compuestos'!$K$2:$K$48,A1105),COUNTIFS('Conciliacion de compuestos'!$D$2:$D$48,"conciliado",'Conciliacion de compuestos'!$E$2:$E$48,"OK",'Conciliacion de compuestos'!$L$2:$L$48,A1105))&gt;0,"conciliado en compuesto confirmado","disponible")</f>
        <v/>
      </c>
    </row>
    <row r="1106">
      <c r="A1106" s="11" t="n">
        <v>1118</v>
      </c>
      <c r="B1106" s="12" t="n">
        <v>46013</v>
      </c>
      <c r="C1106" s="11" t="inlineStr">
        <is>
          <t>a financiero gravamen movimiento</t>
        </is>
      </c>
      <c r="D1106" s="13" t="n">
        <v>-4</v>
      </c>
      <c r="E1106" s="11">
        <f>IF(SUM(COUNTIFS('Conciliacion de compuestos'!$D$2:$D$48,"conciliado",'Conciliacion de compuestos'!$E$2:$E$48,"OK",'Conciliacion de compuestos'!$J$2:$J$48,A1106),COUNTIFS('Conciliacion de compuestos'!$D$2:$D$48,"conciliado",'Conciliacion de compuestos'!$E$2:$E$48,"OK",'Conciliacion de compuestos'!$K$2:$K$48,A1106),COUNTIFS('Conciliacion de compuestos'!$D$2:$D$48,"conciliado",'Conciliacion de compuestos'!$E$2:$E$48,"OK",'Conciliacion de compuestos'!$L$2:$L$48,A1106))&gt;0,"conciliado en compuesto confirmado","disponible")</f>
        <v/>
      </c>
    </row>
    <row r="1107">
      <c r="A1107" s="11" t="n">
        <v>1119</v>
      </c>
      <c r="B1107" s="12" t="n">
        <v>46013</v>
      </c>
      <c r="C1107" s="11" t="inlineStr">
        <is>
          <t>consignacion credibanco d e</t>
        </is>
      </c>
      <c r="D1107" s="13" t="n">
        <v>71100</v>
      </c>
      <c r="E1107" s="11">
        <f>IF(SUM(COUNTIFS('Conciliacion de compuestos'!$D$2:$D$48,"conciliado",'Conciliacion de compuestos'!$E$2:$E$48,"OK",'Conciliacion de compuestos'!$J$2:$J$48,A1107),COUNTIFS('Conciliacion de compuestos'!$D$2:$D$48,"conciliado",'Conciliacion de compuestos'!$E$2:$E$48,"OK",'Conciliacion de compuestos'!$K$2:$K$48,A1107),COUNTIFS('Conciliacion de compuestos'!$D$2:$D$48,"conciliado",'Conciliacion de compuestos'!$E$2:$E$48,"OK",'Conciliacion de compuestos'!$L$2:$L$48,A1107))&gt;0,"conciliado en compuesto confirmado","disponible")</f>
        <v/>
      </c>
    </row>
    <row r="1108">
      <c r="A1108" s="11" t="n">
        <v>1120</v>
      </c>
      <c r="B1108" s="12" t="n">
        <v>46013</v>
      </c>
      <c r="C1108" s="11" t="inlineStr">
        <is>
          <t>cobro comision depositos electronicos</t>
        </is>
      </c>
      <c r="D1108" s="13" t="n">
        <v>-1536</v>
      </c>
      <c r="E1108" s="11">
        <f>IF(SUM(COUNTIFS('Conciliacion de compuestos'!$D$2:$D$48,"conciliado",'Conciliacion de compuestos'!$E$2:$E$48,"OK",'Conciliacion de compuestos'!$J$2:$J$48,A1108),COUNTIFS('Conciliacion de compuestos'!$D$2:$D$48,"conciliado",'Conciliacion de compuestos'!$E$2:$E$48,"OK",'Conciliacion de compuestos'!$K$2:$K$48,A1108),COUNTIFS('Conciliacion de compuestos'!$D$2:$D$48,"conciliado",'Conciliacion de compuestos'!$E$2:$E$48,"OK",'Conciliacion de compuestos'!$L$2:$L$48,A1108))&gt;0,"conciliado en compuesto confirmado","disponible")</f>
        <v/>
      </c>
    </row>
    <row r="1109">
      <c r="A1109" s="11" t="n">
        <v>1121</v>
      </c>
      <c r="B1109" s="12" t="n">
        <v>46013</v>
      </c>
      <c r="C1109" s="11" t="inlineStr">
        <is>
          <t>a financiero gravamen movimiento</t>
        </is>
      </c>
      <c r="D1109" s="13" t="n">
        <v>-6</v>
      </c>
      <c r="E1109" s="11">
        <f>IF(SUM(COUNTIFS('Conciliacion de compuestos'!$D$2:$D$48,"conciliado",'Conciliacion de compuestos'!$E$2:$E$48,"OK",'Conciliacion de compuestos'!$J$2:$J$48,A1109),COUNTIFS('Conciliacion de compuestos'!$D$2:$D$48,"conciliado",'Conciliacion de compuestos'!$E$2:$E$48,"OK",'Conciliacion de compuestos'!$K$2:$K$48,A1109),COUNTIFS('Conciliacion de compuestos'!$D$2:$D$48,"conciliado",'Conciliacion de compuestos'!$E$2:$E$48,"OK",'Conciliacion de compuestos'!$L$2:$L$48,A1109))&gt;0,"conciliado en compuesto confirmado","disponible")</f>
        <v/>
      </c>
    </row>
    <row r="1110">
      <c r="A1110" s="11" t="n">
        <v>1122</v>
      </c>
      <c r="B1110" s="12" t="n">
        <v>46013</v>
      </c>
      <c r="C1110" s="11" t="inlineStr">
        <is>
          <t>credibanco d e retefuente voucher y</t>
        </is>
      </c>
      <c r="D1110" s="13" t="n">
        <v>-1067</v>
      </c>
      <c r="E1110" s="11">
        <f>IF(SUM(COUNTIFS('Conciliacion de compuestos'!$D$2:$D$48,"conciliado",'Conciliacion de compuestos'!$E$2:$E$48,"OK",'Conciliacion de compuestos'!$J$2:$J$48,A1110),COUNTIFS('Conciliacion de compuestos'!$D$2:$D$48,"conciliado",'Conciliacion de compuestos'!$E$2:$E$48,"OK",'Conciliacion de compuestos'!$K$2:$K$48,A1110),COUNTIFS('Conciliacion de compuestos'!$D$2:$D$48,"conciliado",'Conciliacion de compuestos'!$E$2:$E$48,"OK",'Conciliacion de compuestos'!$L$2:$L$48,A1110))&gt;0,"conciliado en compuesto confirmado","disponible")</f>
        <v/>
      </c>
    </row>
    <row r="1111">
      <c r="A1111" s="11" t="n">
        <v>1123</v>
      </c>
      <c r="B1111" s="12" t="n">
        <v>46013</v>
      </c>
      <c r="C1111" s="11" t="inlineStr">
        <is>
          <t>a financiero gravamen movimiento</t>
        </is>
      </c>
      <c r="D1111" s="13" t="n">
        <v>-4</v>
      </c>
      <c r="E1111" s="11">
        <f>IF(SUM(COUNTIFS('Conciliacion de compuestos'!$D$2:$D$48,"conciliado",'Conciliacion de compuestos'!$E$2:$E$48,"OK",'Conciliacion de compuestos'!$J$2:$J$48,A1111),COUNTIFS('Conciliacion de compuestos'!$D$2:$D$48,"conciliado",'Conciliacion de compuestos'!$E$2:$E$48,"OK",'Conciliacion de compuestos'!$K$2:$K$48,A1111),COUNTIFS('Conciliacion de compuestos'!$D$2:$D$48,"conciliado",'Conciliacion de compuestos'!$E$2:$E$48,"OK",'Conciliacion de compuestos'!$L$2:$L$48,A1111))&gt;0,"conciliado en compuesto confirmado","disponible")</f>
        <v/>
      </c>
    </row>
    <row r="1112">
      <c r="A1112" s="11" t="n">
        <v>1124</v>
      </c>
      <c r="B1112" s="12" t="n">
        <v>46013</v>
      </c>
      <c r="C1112" s="11" t="inlineStr">
        <is>
          <t>consignacion credibanco d e</t>
        </is>
      </c>
      <c r="D1112" s="13" t="n">
        <v>61823</v>
      </c>
      <c r="E1112" s="11">
        <f>IF(SUM(COUNTIFS('Conciliacion de compuestos'!$D$2:$D$48,"conciliado",'Conciliacion de compuestos'!$E$2:$E$48,"OK",'Conciliacion de compuestos'!$J$2:$J$48,A1112),COUNTIFS('Conciliacion de compuestos'!$D$2:$D$48,"conciliado",'Conciliacion de compuestos'!$E$2:$E$48,"OK",'Conciliacion de compuestos'!$K$2:$K$48,A1112),COUNTIFS('Conciliacion de compuestos'!$D$2:$D$48,"conciliado",'Conciliacion de compuestos'!$E$2:$E$48,"OK",'Conciliacion de compuestos'!$L$2:$L$48,A1112))&gt;0,"conciliado en compuesto confirmado","disponible")</f>
        <v/>
      </c>
    </row>
    <row r="1113">
      <c r="A1113" s="11" t="n">
        <v>1125</v>
      </c>
      <c r="B1113" s="12" t="n">
        <v>46013</v>
      </c>
      <c r="C1113" s="11" t="inlineStr">
        <is>
          <t>cobro comision depositos electronicos</t>
        </is>
      </c>
      <c r="D1113" s="13" t="n">
        <v>-1335</v>
      </c>
      <c r="E1113" s="11">
        <f>IF(SUM(COUNTIFS('Conciliacion de compuestos'!$D$2:$D$48,"conciliado",'Conciliacion de compuestos'!$E$2:$E$48,"OK",'Conciliacion de compuestos'!$J$2:$J$48,A1113),COUNTIFS('Conciliacion de compuestos'!$D$2:$D$48,"conciliado",'Conciliacion de compuestos'!$E$2:$E$48,"OK",'Conciliacion de compuestos'!$K$2:$K$48,A1113),COUNTIFS('Conciliacion de compuestos'!$D$2:$D$48,"conciliado",'Conciliacion de compuestos'!$E$2:$E$48,"OK",'Conciliacion de compuestos'!$L$2:$L$48,A1113))&gt;0,"conciliado en compuesto confirmado","disponible")</f>
        <v/>
      </c>
    </row>
    <row r="1114">
      <c r="A1114" s="11" t="n">
        <v>1126</v>
      </c>
      <c r="B1114" s="12" t="n">
        <v>46013</v>
      </c>
      <c r="C1114" s="11" t="inlineStr">
        <is>
          <t>a financiero gravamen movimiento</t>
        </is>
      </c>
      <c r="D1114" s="13" t="n">
        <v>-5</v>
      </c>
      <c r="E1114" s="11">
        <f>IF(SUM(COUNTIFS('Conciliacion de compuestos'!$D$2:$D$48,"conciliado",'Conciliacion de compuestos'!$E$2:$E$48,"OK",'Conciliacion de compuestos'!$J$2:$J$48,A1114),COUNTIFS('Conciliacion de compuestos'!$D$2:$D$48,"conciliado",'Conciliacion de compuestos'!$E$2:$E$48,"OK",'Conciliacion de compuestos'!$K$2:$K$48,A1114),COUNTIFS('Conciliacion de compuestos'!$D$2:$D$48,"conciliado",'Conciliacion de compuestos'!$E$2:$E$48,"OK",'Conciliacion de compuestos'!$L$2:$L$48,A1114))&gt;0,"conciliado en compuesto confirmado","disponible")</f>
        <v/>
      </c>
    </row>
    <row r="1115">
      <c r="A1115" s="11" t="n">
        <v>1127</v>
      </c>
      <c r="B1115" s="12" t="n">
        <v>46013</v>
      </c>
      <c r="C1115" s="11" t="inlineStr">
        <is>
          <t>credibanco d e retefuente voucher y</t>
        </is>
      </c>
      <c r="D1115" s="13" t="n">
        <v>-927</v>
      </c>
      <c r="E1115" s="11">
        <f>IF(SUM(COUNTIFS('Conciliacion de compuestos'!$D$2:$D$48,"conciliado",'Conciliacion de compuestos'!$E$2:$E$48,"OK",'Conciliacion de compuestos'!$J$2:$J$48,A1115),COUNTIFS('Conciliacion de compuestos'!$D$2:$D$48,"conciliado",'Conciliacion de compuestos'!$E$2:$E$48,"OK",'Conciliacion de compuestos'!$K$2:$K$48,A1115),COUNTIFS('Conciliacion de compuestos'!$D$2:$D$48,"conciliado",'Conciliacion de compuestos'!$E$2:$E$48,"OK",'Conciliacion de compuestos'!$L$2:$L$48,A1115))&gt;0,"conciliado en compuesto confirmado","disponible")</f>
        <v/>
      </c>
    </row>
    <row r="1116">
      <c r="A1116" s="11" t="n">
        <v>1128</v>
      </c>
      <c r="B1116" s="12" t="n">
        <v>46013</v>
      </c>
      <c r="C1116" s="11" t="inlineStr">
        <is>
          <t>a financiero gravamen movimiento</t>
        </is>
      </c>
      <c r="D1116" s="13" t="n">
        <v>-4</v>
      </c>
      <c r="E1116" s="11">
        <f>IF(SUM(COUNTIFS('Conciliacion de compuestos'!$D$2:$D$48,"conciliado",'Conciliacion de compuestos'!$E$2:$E$48,"OK",'Conciliacion de compuestos'!$J$2:$J$48,A1116),COUNTIFS('Conciliacion de compuestos'!$D$2:$D$48,"conciliado",'Conciliacion de compuestos'!$E$2:$E$48,"OK",'Conciliacion de compuestos'!$K$2:$K$48,A1116),COUNTIFS('Conciliacion de compuestos'!$D$2:$D$48,"conciliado",'Conciliacion de compuestos'!$E$2:$E$48,"OK",'Conciliacion de compuestos'!$L$2:$L$48,A1116))&gt;0,"conciliado en compuesto confirmado","disponible")</f>
        <v/>
      </c>
    </row>
    <row r="1117">
      <c r="A1117" s="11" t="n">
        <v>1129</v>
      </c>
      <c r="B1117" s="12" t="n">
        <v>46013</v>
      </c>
      <c r="C1117" s="11" t="inlineStr">
        <is>
          <t>consignacion credibanco d e</t>
        </is>
      </c>
      <c r="D1117" s="13" t="n">
        <v>42200</v>
      </c>
      <c r="E1117" s="11">
        <f>IF(SUM(COUNTIFS('Conciliacion de compuestos'!$D$2:$D$48,"conciliado",'Conciliacion de compuestos'!$E$2:$E$48,"OK",'Conciliacion de compuestos'!$J$2:$J$48,A1117),COUNTIFS('Conciliacion de compuestos'!$D$2:$D$48,"conciliado",'Conciliacion de compuestos'!$E$2:$E$48,"OK",'Conciliacion de compuestos'!$K$2:$K$48,A1117),COUNTIFS('Conciliacion de compuestos'!$D$2:$D$48,"conciliado",'Conciliacion de compuestos'!$E$2:$E$48,"OK",'Conciliacion de compuestos'!$L$2:$L$48,A1117))&gt;0,"conciliado en compuesto confirmado","disponible")</f>
        <v/>
      </c>
    </row>
    <row r="1118">
      <c r="A1118" s="11" t="n">
        <v>1130</v>
      </c>
      <c r="B1118" s="12" t="n">
        <v>46013</v>
      </c>
      <c r="C1118" s="11" t="inlineStr">
        <is>
          <t>cobro comision depositos electronicos</t>
        </is>
      </c>
      <c r="D1118" s="13" t="n">
        <v>-912</v>
      </c>
      <c r="E1118" s="11">
        <f>IF(SUM(COUNTIFS('Conciliacion de compuestos'!$D$2:$D$48,"conciliado",'Conciliacion de compuestos'!$E$2:$E$48,"OK",'Conciliacion de compuestos'!$J$2:$J$48,A1118),COUNTIFS('Conciliacion de compuestos'!$D$2:$D$48,"conciliado",'Conciliacion de compuestos'!$E$2:$E$48,"OK",'Conciliacion de compuestos'!$K$2:$K$48,A1118),COUNTIFS('Conciliacion de compuestos'!$D$2:$D$48,"conciliado",'Conciliacion de compuestos'!$E$2:$E$48,"OK",'Conciliacion de compuestos'!$L$2:$L$48,A1118))&gt;0,"conciliado en compuesto confirmado","disponible")</f>
        <v/>
      </c>
    </row>
    <row r="1119">
      <c r="A1119" s="11" t="n">
        <v>1131</v>
      </c>
      <c r="B1119" s="12" t="n">
        <v>46013</v>
      </c>
      <c r="C1119" s="11" t="inlineStr">
        <is>
          <t>a financiero gravamen movimiento</t>
        </is>
      </c>
      <c r="D1119" s="13" t="n">
        <v>-4</v>
      </c>
      <c r="E1119" s="11">
        <f>IF(SUM(COUNTIFS('Conciliacion de compuestos'!$D$2:$D$48,"conciliado",'Conciliacion de compuestos'!$E$2:$E$48,"OK",'Conciliacion de compuestos'!$J$2:$J$48,A1119),COUNTIFS('Conciliacion de compuestos'!$D$2:$D$48,"conciliado",'Conciliacion de compuestos'!$E$2:$E$48,"OK",'Conciliacion de compuestos'!$K$2:$K$48,A1119),COUNTIFS('Conciliacion de compuestos'!$D$2:$D$48,"conciliado",'Conciliacion de compuestos'!$E$2:$E$48,"OK",'Conciliacion de compuestos'!$L$2:$L$48,A1119))&gt;0,"conciliado en compuesto confirmado","disponible")</f>
        <v/>
      </c>
    </row>
    <row r="1120">
      <c r="A1120" s="11" t="n">
        <v>1132</v>
      </c>
      <c r="B1120" s="12" t="n">
        <v>46013</v>
      </c>
      <c r="C1120" s="11" t="inlineStr">
        <is>
          <t>credibanco d e retefuente voucher y</t>
        </is>
      </c>
      <c r="D1120" s="13" t="n">
        <v>-633</v>
      </c>
      <c r="E1120" s="11">
        <f>IF(SUM(COUNTIFS('Conciliacion de compuestos'!$D$2:$D$48,"conciliado",'Conciliacion de compuestos'!$E$2:$E$48,"OK",'Conciliacion de compuestos'!$J$2:$J$48,A1120),COUNTIFS('Conciliacion de compuestos'!$D$2:$D$48,"conciliado",'Conciliacion de compuestos'!$E$2:$E$48,"OK",'Conciliacion de compuestos'!$K$2:$K$48,A1120),COUNTIFS('Conciliacion de compuestos'!$D$2:$D$48,"conciliado",'Conciliacion de compuestos'!$E$2:$E$48,"OK",'Conciliacion de compuestos'!$L$2:$L$48,A1120))&gt;0,"conciliado en compuesto confirmado","disponible")</f>
        <v/>
      </c>
    </row>
    <row r="1121">
      <c r="A1121" s="11" t="n">
        <v>1133</v>
      </c>
      <c r="B1121" s="12" t="n">
        <v>46013</v>
      </c>
      <c r="C1121" s="11" t="inlineStr">
        <is>
          <t>a financiero gravamen movimiento</t>
        </is>
      </c>
      <c r="D1121" s="13" t="n">
        <v>-3</v>
      </c>
      <c r="E1121" s="11">
        <f>IF(SUM(COUNTIFS('Conciliacion de compuestos'!$D$2:$D$48,"conciliado",'Conciliacion de compuestos'!$E$2:$E$48,"OK",'Conciliacion de compuestos'!$J$2:$J$48,A1121),COUNTIFS('Conciliacion de compuestos'!$D$2:$D$48,"conciliado",'Conciliacion de compuestos'!$E$2:$E$48,"OK",'Conciliacion de compuestos'!$K$2:$K$48,A1121),COUNTIFS('Conciliacion de compuestos'!$D$2:$D$48,"conciliado",'Conciliacion de compuestos'!$E$2:$E$48,"OK",'Conciliacion de compuestos'!$L$2:$L$48,A1121))&gt;0,"conciliado en compuesto confirmado","disponible")</f>
        <v/>
      </c>
    </row>
    <row r="1122">
      <c r="A1122" s="11" t="n">
        <v>1134</v>
      </c>
      <c r="B1122" s="12" t="n">
        <v>46013</v>
      </c>
      <c r="C1122" s="11" t="inlineStr">
        <is>
          <t>consignacion credibanco d e</t>
        </is>
      </c>
      <c r="D1122" s="13" t="n">
        <v>40000</v>
      </c>
      <c r="E1122" s="11">
        <f>IF(SUM(COUNTIFS('Conciliacion de compuestos'!$D$2:$D$48,"conciliado",'Conciliacion de compuestos'!$E$2:$E$48,"OK",'Conciliacion de compuestos'!$J$2:$J$48,A1122),COUNTIFS('Conciliacion de compuestos'!$D$2:$D$48,"conciliado",'Conciliacion de compuestos'!$E$2:$E$48,"OK",'Conciliacion de compuestos'!$K$2:$K$48,A1122),COUNTIFS('Conciliacion de compuestos'!$D$2:$D$48,"conciliado",'Conciliacion de compuestos'!$E$2:$E$48,"OK",'Conciliacion de compuestos'!$L$2:$L$48,A1122))&gt;0,"conciliado en compuesto confirmado","disponible")</f>
        <v/>
      </c>
    </row>
    <row r="1123">
      <c r="A1123" s="11" t="n">
        <v>1135</v>
      </c>
      <c r="B1123" s="12" t="n">
        <v>46013</v>
      </c>
      <c r="C1123" s="11" t="inlineStr">
        <is>
          <t>cobro comision depositos electronicos</t>
        </is>
      </c>
      <c r="D1123" s="13" t="n">
        <v>-876</v>
      </c>
      <c r="E1123" s="11">
        <f>IF(SUM(COUNTIFS('Conciliacion de compuestos'!$D$2:$D$48,"conciliado",'Conciliacion de compuestos'!$E$2:$E$48,"OK",'Conciliacion de compuestos'!$J$2:$J$48,A1123),COUNTIFS('Conciliacion de compuestos'!$D$2:$D$48,"conciliado",'Conciliacion de compuestos'!$E$2:$E$48,"OK",'Conciliacion de compuestos'!$K$2:$K$48,A1123),COUNTIFS('Conciliacion de compuestos'!$D$2:$D$48,"conciliado",'Conciliacion de compuestos'!$E$2:$E$48,"OK",'Conciliacion de compuestos'!$L$2:$L$48,A1123))&gt;0,"conciliado en compuesto confirmado","disponible")</f>
        <v/>
      </c>
    </row>
    <row r="1124">
      <c r="A1124" s="11" t="n">
        <v>1136</v>
      </c>
      <c r="B1124" s="12" t="n">
        <v>46013</v>
      </c>
      <c r="C1124" s="11" t="inlineStr">
        <is>
          <t>a financiero gravamen movimiento</t>
        </is>
      </c>
      <c r="D1124" s="13" t="n">
        <v>-4</v>
      </c>
      <c r="E1124" s="11">
        <f>IF(SUM(COUNTIFS('Conciliacion de compuestos'!$D$2:$D$48,"conciliado",'Conciliacion de compuestos'!$E$2:$E$48,"OK",'Conciliacion de compuestos'!$J$2:$J$48,A1124),COUNTIFS('Conciliacion de compuestos'!$D$2:$D$48,"conciliado",'Conciliacion de compuestos'!$E$2:$E$48,"OK",'Conciliacion de compuestos'!$K$2:$K$48,A1124),COUNTIFS('Conciliacion de compuestos'!$D$2:$D$48,"conciliado",'Conciliacion de compuestos'!$E$2:$E$48,"OK",'Conciliacion de compuestos'!$L$2:$L$48,A1124))&gt;0,"conciliado en compuesto confirmado","disponible")</f>
        <v/>
      </c>
    </row>
    <row r="1125">
      <c r="A1125" s="11" t="n">
        <v>1137</v>
      </c>
      <c r="B1125" s="12" t="n">
        <v>46013</v>
      </c>
      <c r="C1125" s="11" t="inlineStr">
        <is>
          <t>credibanco d e retefuente voucher y</t>
        </is>
      </c>
      <c r="D1125" s="13" t="n">
        <v>-600</v>
      </c>
      <c r="E1125" s="11">
        <f>IF(SUM(COUNTIFS('Conciliacion de compuestos'!$D$2:$D$48,"conciliado",'Conciliacion de compuestos'!$E$2:$E$48,"OK",'Conciliacion de compuestos'!$J$2:$J$48,A1125),COUNTIFS('Conciliacion de compuestos'!$D$2:$D$48,"conciliado",'Conciliacion de compuestos'!$E$2:$E$48,"OK",'Conciliacion de compuestos'!$K$2:$K$48,A1125),COUNTIFS('Conciliacion de compuestos'!$D$2:$D$48,"conciliado",'Conciliacion de compuestos'!$E$2:$E$48,"OK",'Conciliacion de compuestos'!$L$2:$L$48,A1125))&gt;0,"conciliado en compuesto confirmado","disponible")</f>
        <v/>
      </c>
    </row>
    <row r="1126">
      <c r="A1126" s="11" t="n">
        <v>1138</v>
      </c>
      <c r="B1126" s="12" t="n">
        <v>46013</v>
      </c>
      <c r="C1126" s="11" t="inlineStr">
        <is>
          <t>a financiero gravamen movimiento</t>
        </is>
      </c>
      <c r="D1126" s="13" t="n">
        <v>-2</v>
      </c>
      <c r="E1126" s="11">
        <f>IF(SUM(COUNTIFS('Conciliacion de compuestos'!$D$2:$D$48,"conciliado",'Conciliacion de compuestos'!$E$2:$E$48,"OK",'Conciliacion de compuestos'!$J$2:$J$48,A1126),COUNTIFS('Conciliacion de compuestos'!$D$2:$D$48,"conciliado",'Conciliacion de compuestos'!$E$2:$E$48,"OK",'Conciliacion de compuestos'!$K$2:$K$48,A1126),COUNTIFS('Conciliacion de compuestos'!$D$2:$D$48,"conciliado",'Conciliacion de compuestos'!$E$2:$E$48,"OK",'Conciliacion de compuestos'!$L$2:$L$48,A1126))&gt;0,"conciliado en compuesto confirmado","disponible")</f>
        <v/>
      </c>
    </row>
    <row r="1127">
      <c r="A1127" s="11" t="n">
        <v>1139</v>
      </c>
      <c r="B1127" s="12" t="n">
        <v>46013</v>
      </c>
      <c r="C1127" s="11" t="inlineStr">
        <is>
          <t>consignacion credibanco d e</t>
        </is>
      </c>
      <c r="D1127" s="13" t="n">
        <v>905300</v>
      </c>
      <c r="E1127" s="11">
        <f>IF(SUM(COUNTIFS('Conciliacion de compuestos'!$D$2:$D$48,"conciliado",'Conciliacion de compuestos'!$E$2:$E$48,"OK",'Conciliacion de compuestos'!$J$2:$J$48,A1127),COUNTIFS('Conciliacion de compuestos'!$D$2:$D$48,"conciliado",'Conciliacion de compuestos'!$E$2:$E$48,"OK",'Conciliacion de compuestos'!$K$2:$K$48,A1127),COUNTIFS('Conciliacion de compuestos'!$D$2:$D$48,"conciliado",'Conciliacion de compuestos'!$E$2:$E$48,"OK",'Conciliacion de compuestos'!$L$2:$L$48,A1127))&gt;0,"conciliado en compuesto confirmado","disponible")</f>
        <v/>
      </c>
    </row>
    <row r="1128">
      <c r="A1128" s="11" t="n">
        <v>1140</v>
      </c>
      <c r="B1128" s="12" t="n">
        <v>46013</v>
      </c>
      <c r="C1128" s="11" t="inlineStr">
        <is>
          <t>cobro comision depositos electronicos</t>
        </is>
      </c>
      <c r="D1128" s="13" t="n">
        <v>-19826</v>
      </c>
      <c r="E1128" s="11">
        <f>IF(SUM(COUNTIFS('Conciliacion de compuestos'!$D$2:$D$48,"conciliado",'Conciliacion de compuestos'!$E$2:$E$48,"OK",'Conciliacion de compuestos'!$J$2:$J$48,A1128),COUNTIFS('Conciliacion de compuestos'!$D$2:$D$48,"conciliado",'Conciliacion de compuestos'!$E$2:$E$48,"OK",'Conciliacion de compuestos'!$K$2:$K$48,A1128),COUNTIFS('Conciliacion de compuestos'!$D$2:$D$48,"conciliado",'Conciliacion de compuestos'!$E$2:$E$48,"OK",'Conciliacion de compuestos'!$L$2:$L$48,A1128))&gt;0,"conciliado en compuesto confirmado","disponible")</f>
        <v/>
      </c>
    </row>
    <row r="1129">
      <c r="A1129" s="11" t="n">
        <v>1141</v>
      </c>
      <c r="B1129" s="12" t="n">
        <v>46013</v>
      </c>
      <c r="C1129" s="11" t="inlineStr">
        <is>
          <t>a financiero gravamen movimiento</t>
        </is>
      </c>
      <c r="D1129" s="13" t="n">
        <v>-79</v>
      </c>
      <c r="E1129" s="11">
        <f>IF(SUM(COUNTIFS('Conciliacion de compuestos'!$D$2:$D$48,"conciliado",'Conciliacion de compuestos'!$E$2:$E$48,"OK",'Conciliacion de compuestos'!$J$2:$J$48,A1129),COUNTIFS('Conciliacion de compuestos'!$D$2:$D$48,"conciliado",'Conciliacion de compuestos'!$E$2:$E$48,"OK",'Conciliacion de compuestos'!$K$2:$K$48,A1129),COUNTIFS('Conciliacion de compuestos'!$D$2:$D$48,"conciliado",'Conciliacion de compuestos'!$E$2:$E$48,"OK",'Conciliacion de compuestos'!$L$2:$L$48,A1129))&gt;0,"conciliado en compuesto confirmado","disponible")</f>
        <v/>
      </c>
    </row>
    <row r="1130">
      <c r="A1130" s="11" t="n">
        <v>1142</v>
      </c>
      <c r="B1130" s="12" t="n">
        <v>46013</v>
      </c>
      <c r="C1130" s="11" t="inlineStr">
        <is>
          <t>credibanco d e retefuente voucher y</t>
        </is>
      </c>
      <c r="D1130" s="13" t="n">
        <v>-13580</v>
      </c>
      <c r="E1130" s="11">
        <f>IF(SUM(COUNTIFS('Conciliacion de compuestos'!$D$2:$D$48,"conciliado",'Conciliacion de compuestos'!$E$2:$E$48,"OK",'Conciliacion de compuestos'!$J$2:$J$48,A1130),COUNTIFS('Conciliacion de compuestos'!$D$2:$D$48,"conciliado",'Conciliacion de compuestos'!$E$2:$E$48,"OK",'Conciliacion de compuestos'!$K$2:$K$48,A1130),COUNTIFS('Conciliacion de compuestos'!$D$2:$D$48,"conciliado",'Conciliacion de compuestos'!$E$2:$E$48,"OK",'Conciliacion de compuestos'!$L$2:$L$48,A1130))&gt;0,"conciliado en compuesto confirmado","disponible")</f>
        <v/>
      </c>
    </row>
    <row r="1131">
      <c r="A1131" s="11" t="n">
        <v>1143</v>
      </c>
      <c r="B1131" s="12" t="n">
        <v>46013</v>
      </c>
      <c r="C1131" s="11" t="inlineStr">
        <is>
          <t>a financiero gravamen movimiento</t>
        </is>
      </c>
      <c r="D1131" s="13" t="n">
        <v>-54</v>
      </c>
      <c r="E1131" s="11">
        <f>IF(SUM(COUNTIFS('Conciliacion de compuestos'!$D$2:$D$48,"conciliado",'Conciliacion de compuestos'!$E$2:$E$48,"OK",'Conciliacion de compuestos'!$J$2:$J$48,A1131),COUNTIFS('Conciliacion de compuestos'!$D$2:$D$48,"conciliado",'Conciliacion de compuestos'!$E$2:$E$48,"OK",'Conciliacion de compuestos'!$K$2:$K$48,A1131),COUNTIFS('Conciliacion de compuestos'!$D$2:$D$48,"conciliado",'Conciliacion de compuestos'!$E$2:$E$48,"OK",'Conciliacion de compuestos'!$L$2:$L$48,A1131))&gt;0,"conciliado en compuesto confirmado","disponible")</f>
        <v/>
      </c>
    </row>
    <row r="1132">
      <c r="A1132" s="11" t="n">
        <v>1144</v>
      </c>
      <c r="B1132" s="12" t="n">
        <v>46013</v>
      </c>
      <c r="C1132" s="11" t="inlineStr">
        <is>
          <t>consignacion credibanco d e</t>
        </is>
      </c>
      <c r="D1132" s="13" t="n">
        <v>40000</v>
      </c>
      <c r="E1132" s="11">
        <f>IF(SUM(COUNTIFS('Conciliacion de compuestos'!$D$2:$D$48,"conciliado",'Conciliacion de compuestos'!$E$2:$E$48,"OK",'Conciliacion de compuestos'!$J$2:$J$48,A1132),COUNTIFS('Conciliacion de compuestos'!$D$2:$D$48,"conciliado",'Conciliacion de compuestos'!$E$2:$E$48,"OK",'Conciliacion de compuestos'!$K$2:$K$48,A1132),COUNTIFS('Conciliacion de compuestos'!$D$2:$D$48,"conciliado",'Conciliacion de compuestos'!$E$2:$E$48,"OK",'Conciliacion de compuestos'!$L$2:$L$48,A1132))&gt;0,"conciliado en compuesto confirmado","disponible")</f>
        <v/>
      </c>
    </row>
    <row r="1133">
      <c r="A1133" s="11" t="n">
        <v>1145</v>
      </c>
      <c r="B1133" s="12" t="n">
        <v>46013</v>
      </c>
      <c r="C1133" s="11" t="inlineStr">
        <is>
          <t>cobro comision depositos electronicos</t>
        </is>
      </c>
      <c r="D1133" s="13" t="n">
        <v>-876</v>
      </c>
      <c r="E1133" s="11">
        <f>IF(SUM(COUNTIFS('Conciliacion de compuestos'!$D$2:$D$48,"conciliado",'Conciliacion de compuestos'!$E$2:$E$48,"OK",'Conciliacion de compuestos'!$J$2:$J$48,A1133),COUNTIFS('Conciliacion de compuestos'!$D$2:$D$48,"conciliado",'Conciliacion de compuestos'!$E$2:$E$48,"OK",'Conciliacion de compuestos'!$K$2:$K$48,A1133),COUNTIFS('Conciliacion de compuestos'!$D$2:$D$48,"conciliado",'Conciliacion de compuestos'!$E$2:$E$48,"OK",'Conciliacion de compuestos'!$L$2:$L$48,A1133))&gt;0,"conciliado en compuesto confirmado","disponible")</f>
        <v/>
      </c>
    </row>
    <row r="1134">
      <c r="A1134" s="11" t="n">
        <v>1146</v>
      </c>
      <c r="B1134" s="12" t="n">
        <v>46013</v>
      </c>
      <c r="C1134" s="11" t="inlineStr">
        <is>
          <t>a financiero gravamen movimiento</t>
        </is>
      </c>
      <c r="D1134" s="13" t="n">
        <v>-4</v>
      </c>
      <c r="E1134" s="11">
        <f>IF(SUM(COUNTIFS('Conciliacion de compuestos'!$D$2:$D$48,"conciliado",'Conciliacion de compuestos'!$E$2:$E$48,"OK",'Conciliacion de compuestos'!$J$2:$J$48,A1134),COUNTIFS('Conciliacion de compuestos'!$D$2:$D$48,"conciliado",'Conciliacion de compuestos'!$E$2:$E$48,"OK",'Conciliacion de compuestos'!$K$2:$K$48,A1134),COUNTIFS('Conciliacion de compuestos'!$D$2:$D$48,"conciliado",'Conciliacion de compuestos'!$E$2:$E$48,"OK",'Conciliacion de compuestos'!$L$2:$L$48,A1134))&gt;0,"conciliado en compuesto confirmado","disponible")</f>
        <v/>
      </c>
    </row>
    <row r="1135">
      <c r="A1135" s="11" t="n">
        <v>1147</v>
      </c>
      <c r="B1135" s="12" t="n">
        <v>46013</v>
      </c>
      <c r="C1135" s="11" t="inlineStr">
        <is>
          <t>credibanco d e retefuente voucher y</t>
        </is>
      </c>
      <c r="D1135" s="13" t="n">
        <v>-600</v>
      </c>
      <c r="E1135" s="11">
        <f>IF(SUM(COUNTIFS('Conciliacion de compuestos'!$D$2:$D$48,"conciliado",'Conciliacion de compuestos'!$E$2:$E$48,"OK",'Conciliacion de compuestos'!$J$2:$J$48,A1135),COUNTIFS('Conciliacion de compuestos'!$D$2:$D$48,"conciliado",'Conciliacion de compuestos'!$E$2:$E$48,"OK",'Conciliacion de compuestos'!$K$2:$K$48,A1135),COUNTIFS('Conciliacion de compuestos'!$D$2:$D$48,"conciliado",'Conciliacion de compuestos'!$E$2:$E$48,"OK",'Conciliacion de compuestos'!$L$2:$L$48,A1135))&gt;0,"conciliado en compuesto confirmado","disponible")</f>
        <v/>
      </c>
    </row>
    <row r="1136">
      <c r="A1136" s="11" t="n">
        <v>1148</v>
      </c>
      <c r="B1136" s="12" t="n">
        <v>46013</v>
      </c>
      <c r="C1136" s="11" t="inlineStr">
        <is>
          <t>a financiero gravamen movimiento</t>
        </is>
      </c>
      <c r="D1136" s="13" t="n">
        <v>-2</v>
      </c>
      <c r="E1136" s="11">
        <f>IF(SUM(COUNTIFS('Conciliacion de compuestos'!$D$2:$D$48,"conciliado",'Conciliacion de compuestos'!$E$2:$E$48,"OK",'Conciliacion de compuestos'!$J$2:$J$48,A1136),COUNTIFS('Conciliacion de compuestos'!$D$2:$D$48,"conciliado",'Conciliacion de compuestos'!$E$2:$E$48,"OK",'Conciliacion de compuestos'!$K$2:$K$48,A1136),COUNTIFS('Conciliacion de compuestos'!$D$2:$D$48,"conciliado",'Conciliacion de compuestos'!$E$2:$E$48,"OK",'Conciliacion de compuestos'!$L$2:$L$48,A1136))&gt;0,"conciliado en compuesto confirmado","disponible")</f>
        <v/>
      </c>
    </row>
    <row r="1137">
      <c r="A1137" s="11" t="n">
        <v>1149</v>
      </c>
      <c r="B1137" s="12" t="n">
        <v>46013</v>
      </c>
      <c r="C1137" s="11" t="inlineStr">
        <is>
          <t>consignacion credibanco d e</t>
        </is>
      </c>
      <c r="D1137" s="13" t="n">
        <v>111600</v>
      </c>
      <c r="E1137" s="11">
        <f>IF(SUM(COUNTIFS('Conciliacion de compuestos'!$D$2:$D$48,"conciliado",'Conciliacion de compuestos'!$E$2:$E$48,"OK",'Conciliacion de compuestos'!$J$2:$J$48,A1137),COUNTIFS('Conciliacion de compuestos'!$D$2:$D$48,"conciliado",'Conciliacion de compuestos'!$E$2:$E$48,"OK",'Conciliacion de compuestos'!$K$2:$K$48,A1137),COUNTIFS('Conciliacion de compuestos'!$D$2:$D$48,"conciliado",'Conciliacion de compuestos'!$E$2:$E$48,"OK",'Conciliacion de compuestos'!$L$2:$L$48,A1137))&gt;0,"conciliado en compuesto confirmado","disponible")</f>
        <v/>
      </c>
    </row>
    <row r="1138">
      <c r="A1138" s="11" t="n">
        <v>1150</v>
      </c>
      <c r="B1138" s="12" t="n">
        <v>46013</v>
      </c>
      <c r="C1138" s="11" t="inlineStr">
        <is>
          <t>cobro comision depositos electronicos</t>
        </is>
      </c>
      <c r="D1138" s="13" t="n">
        <v>-2299</v>
      </c>
      <c r="E1138" s="11">
        <f>IF(SUM(COUNTIFS('Conciliacion de compuestos'!$D$2:$D$48,"conciliado",'Conciliacion de compuestos'!$E$2:$E$48,"OK",'Conciliacion de compuestos'!$J$2:$J$48,A1138),COUNTIFS('Conciliacion de compuestos'!$D$2:$D$48,"conciliado",'Conciliacion de compuestos'!$E$2:$E$48,"OK",'Conciliacion de compuestos'!$K$2:$K$48,A1138),COUNTIFS('Conciliacion de compuestos'!$D$2:$D$48,"conciliado",'Conciliacion de compuestos'!$E$2:$E$48,"OK",'Conciliacion de compuestos'!$L$2:$L$48,A1138))&gt;0,"conciliado en compuesto confirmado","disponible")</f>
        <v/>
      </c>
    </row>
    <row r="1139">
      <c r="A1139" s="11" t="n">
        <v>1151</v>
      </c>
      <c r="B1139" s="12" t="n">
        <v>46013</v>
      </c>
      <c r="C1139" s="11" t="inlineStr">
        <is>
          <t>a financiero gravamen movimiento</t>
        </is>
      </c>
      <c r="D1139" s="13" t="n">
        <v>-9</v>
      </c>
      <c r="E1139" s="11">
        <f>IF(SUM(COUNTIFS('Conciliacion de compuestos'!$D$2:$D$48,"conciliado",'Conciliacion de compuestos'!$E$2:$E$48,"OK",'Conciliacion de compuestos'!$J$2:$J$48,A1139),COUNTIFS('Conciliacion de compuestos'!$D$2:$D$48,"conciliado",'Conciliacion de compuestos'!$E$2:$E$48,"OK",'Conciliacion de compuestos'!$K$2:$K$48,A1139),COUNTIFS('Conciliacion de compuestos'!$D$2:$D$48,"conciliado",'Conciliacion de compuestos'!$E$2:$E$48,"OK",'Conciliacion de compuestos'!$L$2:$L$48,A1139))&gt;0,"conciliado en compuesto confirmado","disponible")</f>
        <v/>
      </c>
    </row>
    <row r="1140">
      <c r="A1140" s="11" t="n">
        <v>1152</v>
      </c>
      <c r="B1140" s="12" t="n">
        <v>46013</v>
      </c>
      <c r="C1140" s="11" t="inlineStr">
        <is>
          <t>credibanco d e retefuente voucher y</t>
        </is>
      </c>
      <c r="D1140" s="13" t="n">
        <v>-1674</v>
      </c>
      <c r="E1140" s="11">
        <f>IF(SUM(COUNTIFS('Conciliacion de compuestos'!$D$2:$D$48,"conciliado",'Conciliacion de compuestos'!$E$2:$E$48,"OK",'Conciliacion de compuestos'!$J$2:$J$48,A1140),COUNTIFS('Conciliacion de compuestos'!$D$2:$D$48,"conciliado",'Conciliacion de compuestos'!$E$2:$E$48,"OK",'Conciliacion de compuestos'!$K$2:$K$48,A1140),COUNTIFS('Conciliacion de compuestos'!$D$2:$D$48,"conciliado",'Conciliacion de compuestos'!$E$2:$E$48,"OK",'Conciliacion de compuestos'!$L$2:$L$48,A1140))&gt;0,"conciliado en compuesto confirmado","disponible")</f>
        <v/>
      </c>
    </row>
    <row r="1141">
      <c r="A1141" s="11" t="n">
        <v>1153</v>
      </c>
      <c r="B1141" s="12" t="n">
        <v>46013</v>
      </c>
      <c r="C1141" s="11" t="inlineStr">
        <is>
          <t>a financiero gravamen movimiento</t>
        </is>
      </c>
      <c r="D1141" s="13" t="n">
        <v>-7</v>
      </c>
      <c r="E1141" s="11">
        <f>IF(SUM(COUNTIFS('Conciliacion de compuestos'!$D$2:$D$48,"conciliado",'Conciliacion de compuestos'!$E$2:$E$48,"OK",'Conciliacion de compuestos'!$J$2:$J$48,A1141),COUNTIFS('Conciliacion de compuestos'!$D$2:$D$48,"conciliado",'Conciliacion de compuestos'!$E$2:$E$48,"OK",'Conciliacion de compuestos'!$K$2:$K$48,A1141),COUNTIFS('Conciliacion de compuestos'!$D$2:$D$48,"conciliado",'Conciliacion de compuestos'!$E$2:$E$48,"OK",'Conciliacion de compuestos'!$L$2:$L$48,A1141))&gt;0,"conciliado en compuesto confirmado","disponible")</f>
        <v/>
      </c>
    </row>
    <row r="1142">
      <c r="A1142" s="11" t="n">
        <v>1154</v>
      </c>
      <c r="B1142" s="12" t="n">
        <v>46013</v>
      </c>
      <c r="C1142" s="11" t="inlineStr">
        <is>
          <t>consignacion credibanco d e</t>
        </is>
      </c>
      <c r="D1142" s="13" t="n">
        <v>20000</v>
      </c>
      <c r="E1142" s="11">
        <f>IF(SUM(COUNTIFS('Conciliacion de compuestos'!$D$2:$D$48,"conciliado",'Conciliacion de compuestos'!$E$2:$E$48,"OK",'Conciliacion de compuestos'!$J$2:$J$48,A1142),COUNTIFS('Conciliacion de compuestos'!$D$2:$D$48,"conciliado",'Conciliacion de compuestos'!$E$2:$E$48,"OK",'Conciliacion de compuestos'!$K$2:$K$48,A1142),COUNTIFS('Conciliacion de compuestos'!$D$2:$D$48,"conciliado",'Conciliacion de compuestos'!$E$2:$E$48,"OK",'Conciliacion de compuestos'!$L$2:$L$48,A1142))&gt;0,"conciliado en compuesto confirmado","disponible")</f>
        <v/>
      </c>
    </row>
    <row r="1143">
      <c r="A1143" s="11" t="n">
        <v>1155</v>
      </c>
      <c r="B1143" s="12" t="n">
        <v>46013</v>
      </c>
      <c r="C1143" s="11" t="inlineStr">
        <is>
          <t>cobro comision depositos electronicos</t>
        </is>
      </c>
      <c r="D1143" s="13" t="n">
        <v>-412</v>
      </c>
      <c r="E1143" s="11">
        <f>IF(SUM(COUNTIFS('Conciliacion de compuestos'!$D$2:$D$48,"conciliado",'Conciliacion de compuestos'!$E$2:$E$48,"OK",'Conciliacion de compuestos'!$J$2:$J$48,A1143),COUNTIFS('Conciliacion de compuestos'!$D$2:$D$48,"conciliado",'Conciliacion de compuestos'!$E$2:$E$48,"OK",'Conciliacion de compuestos'!$K$2:$K$48,A1143),COUNTIFS('Conciliacion de compuestos'!$D$2:$D$48,"conciliado",'Conciliacion de compuestos'!$E$2:$E$48,"OK",'Conciliacion de compuestos'!$L$2:$L$48,A1143))&gt;0,"conciliado en compuesto confirmado","disponible")</f>
        <v/>
      </c>
    </row>
    <row r="1144">
      <c r="A1144" s="11" t="n">
        <v>1156</v>
      </c>
      <c r="B1144" s="12" t="n">
        <v>46013</v>
      </c>
      <c r="C1144" s="11" t="inlineStr">
        <is>
          <t>a financiero gravamen movimiento</t>
        </is>
      </c>
      <c r="D1144" s="13" t="n">
        <v>-2</v>
      </c>
      <c r="E1144" s="11">
        <f>IF(SUM(COUNTIFS('Conciliacion de compuestos'!$D$2:$D$48,"conciliado",'Conciliacion de compuestos'!$E$2:$E$48,"OK",'Conciliacion de compuestos'!$J$2:$J$48,A1144),COUNTIFS('Conciliacion de compuestos'!$D$2:$D$48,"conciliado",'Conciliacion de compuestos'!$E$2:$E$48,"OK",'Conciliacion de compuestos'!$K$2:$K$48,A1144),COUNTIFS('Conciliacion de compuestos'!$D$2:$D$48,"conciliado",'Conciliacion de compuestos'!$E$2:$E$48,"OK",'Conciliacion de compuestos'!$L$2:$L$48,A1144))&gt;0,"conciliado en compuesto confirmado","disponible")</f>
        <v/>
      </c>
    </row>
    <row r="1145">
      <c r="A1145" s="11" t="n">
        <v>1157</v>
      </c>
      <c r="B1145" s="12" t="n">
        <v>46013</v>
      </c>
      <c r="C1145" s="11" t="inlineStr">
        <is>
          <t>credibanco d e retefuente voucher y</t>
        </is>
      </c>
      <c r="D1145" s="13" t="n">
        <v>-300</v>
      </c>
      <c r="E1145" s="11">
        <f>IF(SUM(COUNTIFS('Conciliacion de compuestos'!$D$2:$D$48,"conciliado",'Conciliacion de compuestos'!$E$2:$E$48,"OK",'Conciliacion de compuestos'!$J$2:$J$48,A1145),COUNTIFS('Conciliacion de compuestos'!$D$2:$D$48,"conciliado",'Conciliacion de compuestos'!$E$2:$E$48,"OK",'Conciliacion de compuestos'!$K$2:$K$48,A1145),COUNTIFS('Conciliacion de compuestos'!$D$2:$D$48,"conciliado",'Conciliacion de compuestos'!$E$2:$E$48,"OK",'Conciliacion de compuestos'!$L$2:$L$48,A1145))&gt;0,"conciliado en compuesto confirmado","disponible")</f>
        <v/>
      </c>
    </row>
    <row r="1146">
      <c r="A1146" s="11" t="n">
        <v>1158</v>
      </c>
      <c r="B1146" s="12" t="n">
        <v>46013</v>
      </c>
      <c r="C1146" s="11" t="inlineStr">
        <is>
          <t>a financiero gravamen movimiento</t>
        </is>
      </c>
      <c r="D1146" s="13" t="n">
        <v>-1</v>
      </c>
      <c r="E1146" s="11">
        <f>IF(SUM(COUNTIFS('Conciliacion de compuestos'!$D$2:$D$48,"conciliado",'Conciliacion de compuestos'!$E$2:$E$48,"OK",'Conciliacion de compuestos'!$J$2:$J$48,A1146),COUNTIFS('Conciliacion de compuestos'!$D$2:$D$48,"conciliado",'Conciliacion de compuestos'!$E$2:$E$48,"OK",'Conciliacion de compuestos'!$K$2:$K$48,A1146),COUNTIFS('Conciliacion de compuestos'!$D$2:$D$48,"conciliado",'Conciliacion de compuestos'!$E$2:$E$48,"OK",'Conciliacion de compuestos'!$L$2:$L$48,A1146))&gt;0,"conciliado en compuesto confirmado","disponible")</f>
        <v/>
      </c>
    </row>
    <row r="1147">
      <c r="A1147" s="11" t="n">
        <v>1159</v>
      </c>
      <c r="B1147" s="12" t="n">
        <v>46013</v>
      </c>
      <c r="C1147" s="11" t="inlineStr">
        <is>
          <t>consignacion credibanco d e</t>
        </is>
      </c>
      <c r="D1147" s="13" t="n">
        <v>23000</v>
      </c>
      <c r="E1147" s="11">
        <f>IF(SUM(COUNTIFS('Conciliacion de compuestos'!$D$2:$D$48,"conciliado",'Conciliacion de compuestos'!$E$2:$E$48,"OK",'Conciliacion de compuestos'!$J$2:$J$48,A1147),COUNTIFS('Conciliacion de compuestos'!$D$2:$D$48,"conciliado",'Conciliacion de compuestos'!$E$2:$E$48,"OK",'Conciliacion de compuestos'!$K$2:$K$48,A1147),COUNTIFS('Conciliacion de compuestos'!$D$2:$D$48,"conciliado",'Conciliacion de compuestos'!$E$2:$E$48,"OK",'Conciliacion de compuestos'!$L$2:$L$48,A1147))&gt;0,"conciliado en compuesto confirmado","disponible")</f>
        <v/>
      </c>
    </row>
    <row r="1148">
      <c r="A1148" s="11" t="n">
        <v>1160</v>
      </c>
      <c r="B1148" s="12" t="n">
        <v>46013</v>
      </c>
      <c r="C1148" s="11" t="inlineStr">
        <is>
          <t>cobro comision depositos electronicos</t>
        </is>
      </c>
      <c r="D1148" s="13" t="n">
        <v>-474</v>
      </c>
      <c r="E1148" s="11">
        <f>IF(SUM(COUNTIFS('Conciliacion de compuestos'!$D$2:$D$48,"conciliado",'Conciliacion de compuestos'!$E$2:$E$48,"OK",'Conciliacion de compuestos'!$J$2:$J$48,A1148),COUNTIFS('Conciliacion de compuestos'!$D$2:$D$48,"conciliado",'Conciliacion de compuestos'!$E$2:$E$48,"OK",'Conciliacion de compuestos'!$K$2:$K$48,A1148),COUNTIFS('Conciliacion de compuestos'!$D$2:$D$48,"conciliado",'Conciliacion de compuestos'!$E$2:$E$48,"OK",'Conciliacion de compuestos'!$L$2:$L$48,A1148))&gt;0,"conciliado en compuesto confirmado","disponible")</f>
        <v/>
      </c>
    </row>
    <row r="1149">
      <c r="A1149" s="11" t="n">
        <v>1161</v>
      </c>
      <c r="B1149" s="12" t="n">
        <v>46013</v>
      </c>
      <c r="C1149" s="11" t="inlineStr">
        <is>
          <t>a financiero gravamen movimiento</t>
        </is>
      </c>
      <c r="D1149" s="13" t="n">
        <v>-2</v>
      </c>
      <c r="E1149" s="11">
        <f>IF(SUM(COUNTIFS('Conciliacion de compuestos'!$D$2:$D$48,"conciliado",'Conciliacion de compuestos'!$E$2:$E$48,"OK",'Conciliacion de compuestos'!$J$2:$J$48,A1149),COUNTIFS('Conciliacion de compuestos'!$D$2:$D$48,"conciliado",'Conciliacion de compuestos'!$E$2:$E$48,"OK",'Conciliacion de compuestos'!$K$2:$K$48,A1149),COUNTIFS('Conciliacion de compuestos'!$D$2:$D$48,"conciliado",'Conciliacion de compuestos'!$E$2:$E$48,"OK",'Conciliacion de compuestos'!$L$2:$L$48,A1149))&gt;0,"conciliado en compuesto confirmado","disponible")</f>
        <v/>
      </c>
    </row>
    <row r="1150">
      <c r="A1150" s="11" t="n">
        <v>1162</v>
      </c>
      <c r="B1150" s="12" t="n">
        <v>46013</v>
      </c>
      <c r="C1150" s="11" t="inlineStr">
        <is>
          <t>credibanco d e retefuente voucher y</t>
        </is>
      </c>
      <c r="D1150" s="13" t="n">
        <v>-345</v>
      </c>
      <c r="E1150" s="11">
        <f>IF(SUM(COUNTIFS('Conciliacion de compuestos'!$D$2:$D$48,"conciliado",'Conciliacion de compuestos'!$E$2:$E$48,"OK",'Conciliacion de compuestos'!$J$2:$J$48,A1150),COUNTIFS('Conciliacion de compuestos'!$D$2:$D$48,"conciliado",'Conciliacion de compuestos'!$E$2:$E$48,"OK",'Conciliacion de compuestos'!$K$2:$K$48,A1150),COUNTIFS('Conciliacion de compuestos'!$D$2:$D$48,"conciliado",'Conciliacion de compuestos'!$E$2:$E$48,"OK",'Conciliacion de compuestos'!$L$2:$L$48,A1150))&gt;0,"conciliado en compuesto confirmado","disponible")</f>
        <v/>
      </c>
    </row>
    <row r="1151">
      <c r="A1151" s="11" t="n">
        <v>1163</v>
      </c>
      <c r="B1151" s="12" t="n">
        <v>46013</v>
      </c>
      <c r="C1151" s="11" t="inlineStr">
        <is>
          <t>a financiero gravamen movimiento</t>
        </is>
      </c>
      <c r="D1151" s="13" t="n">
        <v>-1</v>
      </c>
      <c r="E1151" s="11">
        <f>IF(SUM(COUNTIFS('Conciliacion de compuestos'!$D$2:$D$48,"conciliado",'Conciliacion de compuestos'!$E$2:$E$48,"OK",'Conciliacion de compuestos'!$J$2:$J$48,A1151),COUNTIFS('Conciliacion de compuestos'!$D$2:$D$48,"conciliado",'Conciliacion de compuestos'!$E$2:$E$48,"OK",'Conciliacion de compuestos'!$K$2:$K$48,A1151),COUNTIFS('Conciliacion de compuestos'!$D$2:$D$48,"conciliado",'Conciliacion de compuestos'!$E$2:$E$48,"OK",'Conciliacion de compuestos'!$L$2:$L$48,A1151))&gt;0,"conciliado en compuesto confirmado","disponible")</f>
        <v/>
      </c>
    </row>
    <row r="1152">
      <c r="A1152" s="11" t="n">
        <v>1164</v>
      </c>
      <c r="B1152" s="12" t="n">
        <v>46013</v>
      </c>
      <c r="C1152" s="11" t="inlineStr">
        <is>
          <t>consignacion credibanco d e</t>
        </is>
      </c>
      <c r="D1152" s="13" t="n">
        <v>24600</v>
      </c>
      <c r="E1152" s="11">
        <f>IF(SUM(COUNTIFS('Conciliacion de compuestos'!$D$2:$D$48,"conciliado",'Conciliacion de compuestos'!$E$2:$E$48,"OK",'Conciliacion de compuestos'!$J$2:$J$48,A1152),COUNTIFS('Conciliacion de compuestos'!$D$2:$D$48,"conciliado",'Conciliacion de compuestos'!$E$2:$E$48,"OK",'Conciliacion de compuestos'!$K$2:$K$48,A1152),COUNTIFS('Conciliacion de compuestos'!$D$2:$D$48,"conciliado",'Conciliacion de compuestos'!$E$2:$E$48,"OK",'Conciliacion de compuestos'!$L$2:$L$48,A1152))&gt;0,"conciliado en compuesto confirmado","disponible")</f>
        <v/>
      </c>
    </row>
    <row r="1153">
      <c r="A1153" s="11" t="n">
        <v>1165</v>
      </c>
      <c r="B1153" s="12" t="n">
        <v>46013</v>
      </c>
      <c r="C1153" s="11" t="inlineStr">
        <is>
          <t>cobro comision depositos electronicos</t>
        </is>
      </c>
      <c r="D1153" s="13" t="n">
        <v>-531</v>
      </c>
      <c r="E1153" s="11">
        <f>IF(SUM(COUNTIFS('Conciliacion de compuestos'!$D$2:$D$48,"conciliado",'Conciliacion de compuestos'!$E$2:$E$48,"OK",'Conciliacion de compuestos'!$J$2:$J$48,A1153),COUNTIFS('Conciliacion de compuestos'!$D$2:$D$48,"conciliado",'Conciliacion de compuestos'!$E$2:$E$48,"OK",'Conciliacion de compuestos'!$K$2:$K$48,A1153),COUNTIFS('Conciliacion de compuestos'!$D$2:$D$48,"conciliado",'Conciliacion de compuestos'!$E$2:$E$48,"OK",'Conciliacion de compuestos'!$L$2:$L$48,A1153))&gt;0,"conciliado en compuesto confirmado","disponible")</f>
        <v/>
      </c>
    </row>
    <row r="1154">
      <c r="A1154" s="11" t="n">
        <v>1166</v>
      </c>
      <c r="B1154" s="12" t="n">
        <v>46013</v>
      </c>
      <c r="C1154" s="11" t="inlineStr">
        <is>
          <t>a financiero gravamen movimiento</t>
        </is>
      </c>
      <c r="D1154" s="13" t="n">
        <v>-2</v>
      </c>
      <c r="E1154" s="11">
        <f>IF(SUM(COUNTIFS('Conciliacion de compuestos'!$D$2:$D$48,"conciliado",'Conciliacion de compuestos'!$E$2:$E$48,"OK",'Conciliacion de compuestos'!$J$2:$J$48,A1154),COUNTIFS('Conciliacion de compuestos'!$D$2:$D$48,"conciliado",'Conciliacion de compuestos'!$E$2:$E$48,"OK",'Conciliacion de compuestos'!$K$2:$K$48,A1154),COUNTIFS('Conciliacion de compuestos'!$D$2:$D$48,"conciliado",'Conciliacion de compuestos'!$E$2:$E$48,"OK",'Conciliacion de compuestos'!$L$2:$L$48,A1154))&gt;0,"conciliado en compuesto confirmado","disponible")</f>
        <v/>
      </c>
    </row>
    <row r="1155">
      <c r="A1155" s="11" t="n">
        <v>1167</v>
      </c>
      <c r="B1155" s="12" t="n">
        <v>46013</v>
      </c>
      <c r="C1155" s="11" t="inlineStr">
        <is>
          <t>credibanco d e retefuente voucher y</t>
        </is>
      </c>
      <c r="D1155" s="13" t="n">
        <v>-369</v>
      </c>
      <c r="E1155" s="11">
        <f>IF(SUM(COUNTIFS('Conciliacion de compuestos'!$D$2:$D$48,"conciliado",'Conciliacion de compuestos'!$E$2:$E$48,"OK",'Conciliacion de compuestos'!$J$2:$J$48,A1155),COUNTIFS('Conciliacion de compuestos'!$D$2:$D$48,"conciliado",'Conciliacion de compuestos'!$E$2:$E$48,"OK",'Conciliacion de compuestos'!$K$2:$K$48,A1155),COUNTIFS('Conciliacion de compuestos'!$D$2:$D$48,"conciliado",'Conciliacion de compuestos'!$E$2:$E$48,"OK",'Conciliacion de compuestos'!$L$2:$L$48,A1155))&gt;0,"conciliado en compuesto confirmado","disponible")</f>
        <v/>
      </c>
    </row>
    <row r="1156">
      <c r="A1156" s="11" t="n">
        <v>1168</v>
      </c>
      <c r="B1156" s="12" t="n">
        <v>46013</v>
      </c>
      <c r="C1156" s="11" t="inlineStr">
        <is>
          <t>a financiero gravamen movimiento</t>
        </is>
      </c>
      <c r="D1156" s="13" t="n">
        <v>-1</v>
      </c>
      <c r="E1156" s="11">
        <f>IF(SUM(COUNTIFS('Conciliacion de compuestos'!$D$2:$D$48,"conciliado",'Conciliacion de compuestos'!$E$2:$E$48,"OK",'Conciliacion de compuestos'!$J$2:$J$48,A1156),COUNTIFS('Conciliacion de compuestos'!$D$2:$D$48,"conciliado",'Conciliacion de compuestos'!$E$2:$E$48,"OK",'Conciliacion de compuestos'!$K$2:$K$48,A1156),COUNTIFS('Conciliacion de compuestos'!$D$2:$D$48,"conciliado",'Conciliacion de compuestos'!$E$2:$E$48,"OK",'Conciliacion de compuestos'!$L$2:$L$48,A1156))&gt;0,"conciliado en compuesto confirmado","disponible")</f>
        <v/>
      </c>
    </row>
    <row r="1157">
      <c r="A1157" s="11" t="n">
        <v>1169</v>
      </c>
      <c r="B1157" s="12" t="n">
        <v>46013</v>
      </c>
      <c r="C1157" s="11" t="inlineStr">
        <is>
          <t>consignacion credibanco d e</t>
        </is>
      </c>
      <c r="D1157" s="13" t="n">
        <v>86300</v>
      </c>
      <c r="E1157" s="11">
        <f>IF(SUM(COUNTIFS('Conciliacion de compuestos'!$D$2:$D$48,"conciliado",'Conciliacion de compuestos'!$E$2:$E$48,"OK",'Conciliacion de compuestos'!$J$2:$J$48,A1157),COUNTIFS('Conciliacion de compuestos'!$D$2:$D$48,"conciliado",'Conciliacion de compuestos'!$E$2:$E$48,"OK",'Conciliacion de compuestos'!$K$2:$K$48,A1157),COUNTIFS('Conciliacion de compuestos'!$D$2:$D$48,"conciliado",'Conciliacion de compuestos'!$E$2:$E$48,"OK",'Conciliacion de compuestos'!$L$2:$L$48,A1157))&gt;0,"conciliado en compuesto confirmado","disponible")</f>
        <v/>
      </c>
    </row>
    <row r="1158">
      <c r="A1158" s="11" t="n">
        <v>1170</v>
      </c>
      <c r="B1158" s="12" t="n">
        <v>46013</v>
      </c>
      <c r="C1158" s="11" t="inlineStr">
        <is>
          <t>cobro comision depositos electronicos</t>
        </is>
      </c>
      <c r="D1158" s="13" t="n">
        <v>-1864</v>
      </c>
      <c r="E1158" s="11">
        <f>IF(SUM(COUNTIFS('Conciliacion de compuestos'!$D$2:$D$48,"conciliado",'Conciliacion de compuestos'!$E$2:$E$48,"OK",'Conciliacion de compuestos'!$J$2:$J$48,A1158),COUNTIFS('Conciliacion de compuestos'!$D$2:$D$48,"conciliado",'Conciliacion de compuestos'!$E$2:$E$48,"OK",'Conciliacion de compuestos'!$K$2:$K$48,A1158),COUNTIFS('Conciliacion de compuestos'!$D$2:$D$48,"conciliado",'Conciliacion de compuestos'!$E$2:$E$48,"OK",'Conciliacion de compuestos'!$L$2:$L$48,A1158))&gt;0,"conciliado en compuesto confirmado","disponible")</f>
        <v/>
      </c>
    </row>
    <row r="1159">
      <c r="A1159" s="11" t="n">
        <v>1171</v>
      </c>
      <c r="B1159" s="12" t="n">
        <v>46013</v>
      </c>
      <c r="C1159" s="11" t="inlineStr">
        <is>
          <t>a financiero gravamen movimiento</t>
        </is>
      </c>
      <c r="D1159" s="13" t="n">
        <v>-7</v>
      </c>
      <c r="E1159" s="11">
        <f>IF(SUM(COUNTIFS('Conciliacion de compuestos'!$D$2:$D$48,"conciliado",'Conciliacion de compuestos'!$E$2:$E$48,"OK",'Conciliacion de compuestos'!$J$2:$J$48,A1159),COUNTIFS('Conciliacion de compuestos'!$D$2:$D$48,"conciliado",'Conciliacion de compuestos'!$E$2:$E$48,"OK",'Conciliacion de compuestos'!$K$2:$K$48,A1159),COUNTIFS('Conciliacion de compuestos'!$D$2:$D$48,"conciliado",'Conciliacion de compuestos'!$E$2:$E$48,"OK",'Conciliacion de compuestos'!$L$2:$L$48,A1159))&gt;0,"conciliado en compuesto confirmado","disponible")</f>
        <v/>
      </c>
    </row>
    <row r="1160">
      <c r="A1160" s="11" t="n">
        <v>1172</v>
      </c>
      <c r="B1160" s="12" t="n">
        <v>46013</v>
      </c>
      <c r="C1160" s="11" t="inlineStr">
        <is>
          <t>credibanco d e retefuente voucher y</t>
        </is>
      </c>
      <c r="D1160" s="13" t="n">
        <v>-1295</v>
      </c>
      <c r="E1160" s="11">
        <f>IF(SUM(COUNTIFS('Conciliacion de compuestos'!$D$2:$D$48,"conciliado",'Conciliacion de compuestos'!$E$2:$E$48,"OK",'Conciliacion de compuestos'!$J$2:$J$48,A1160),COUNTIFS('Conciliacion de compuestos'!$D$2:$D$48,"conciliado",'Conciliacion de compuestos'!$E$2:$E$48,"OK",'Conciliacion de compuestos'!$K$2:$K$48,A1160),COUNTIFS('Conciliacion de compuestos'!$D$2:$D$48,"conciliado",'Conciliacion de compuestos'!$E$2:$E$48,"OK",'Conciliacion de compuestos'!$L$2:$L$48,A1160))&gt;0,"conciliado en compuesto confirmado","disponible")</f>
        <v/>
      </c>
    </row>
    <row r="1161">
      <c r="A1161" s="11" t="n">
        <v>1173</v>
      </c>
      <c r="B1161" s="12" t="n">
        <v>46013</v>
      </c>
      <c r="C1161" s="11" t="inlineStr">
        <is>
          <t>a financiero gravamen movimiento</t>
        </is>
      </c>
      <c r="D1161" s="13" t="n">
        <v>-5</v>
      </c>
      <c r="E1161" s="11">
        <f>IF(SUM(COUNTIFS('Conciliacion de compuestos'!$D$2:$D$48,"conciliado",'Conciliacion de compuestos'!$E$2:$E$48,"OK",'Conciliacion de compuestos'!$J$2:$J$48,A1161),COUNTIFS('Conciliacion de compuestos'!$D$2:$D$48,"conciliado",'Conciliacion de compuestos'!$E$2:$E$48,"OK",'Conciliacion de compuestos'!$K$2:$K$48,A1161),COUNTIFS('Conciliacion de compuestos'!$D$2:$D$48,"conciliado",'Conciliacion de compuestos'!$E$2:$E$48,"OK",'Conciliacion de compuestos'!$L$2:$L$48,A1161))&gt;0,"conciliado en compuesto confirmado","disponible")</f>
        <v/>
      </c>
    </row>
    <row r="1162">
      <c r="A1162" s="11" t="n">
        <v>1175</v>
      </c>
      <c r="B1162" s="12" t="n">
        <v>46013</v>
      </c>
      <c r="C1162" s="11" t="inlineStr">
        <is>
          <t>cobro comision depositos electronicos</t>
        </is>
      </c>
      <c r="D1162" s="13" t="n">
        <v>-559</v>
      </c>
      <c r="E1162" s="11">
        <f>IF(SUM(COUNTIFS('Conciliacion de compuestos'!$D$2:$D$48,"conciliado",'Conciliacion de compuestos'!$E$2:$E$48,"OK",'Conciliacion de compuestos'!$J$2:$J$48,A1162),COUNTIFS('Conciliacion de compuestos'!$D$2:$D$48,"conciliado",'Conciliacion de compuestos'!$E$2:$E$48,"OK",'Conciliacion de compuestos'!$K$2:$K$48,A1162),COUNTIFS('Conciliacion de compuestos'!$D$2:$D$48,"conciliado",'Conciliacion de compuestos'!$E$2:$E$48,"OK",'Conciliacion de compuestos'!$L$2:$L$48,A1162))&gt;0,"conciliado en compuesto confirmado","disponible")</f>
        <v/>
      </c>
    </row>
    <row r="1163">
      <c r="A1163" s="11" t="n">
        <v>1176</v>
      </c>
      <c r="B1163" s="12" t="n">
        <v>46013</v>
      </c>
      <c r="C1163" s="11" t="inlineStr">
        <is>
          <t>a financiero gravamen movimiento</t>
        </is>
      </c>
      <c r="D1163" s="13" t="n">
        <v>-2</v>
      </c>
      <c r="E1163" s="11">
        <f>IF(SUM(COUNTIFS('Conciliacion de compuestos'!$D$2:$D$48,"conciliado",'Conciliacion de compuestos'!$E$2:$E$48,"OK",'Conciliacion de compuestos'!$J$2:$J$48,A1163),COUNTIFS('Conciliacion de compuestos'!$D$2:$D$48,"conciliado",'Conciliacion de compuestos'!$E$2:$E$48,"OK",'Conciliacion de compuestos'!$K$2:$K$48,A1163),COUNTIFS('Conciliacion de compuestos'!$D$2:$D$48,"conciliado",'Conciliacion de compuestos'!$E$2:$E$48,"OK",'Conciliacion de compuestos'!$L$2:$L$48,A1163))&gt;0,"conciliado en compuesto confirmado","disponible")</f>
        <v/>
      </c>
    </row>
    <row r="1164">
      <c r="A1164" s="11" t="n">
        <v>1177</v>
      </c>
      <c r="B1164" s="12" t="n">
        <v>46013</v>
      </c>
      <c r="C1164" s="11" t="inlineStr">
        <is>
          <t>credibanco d e retefuente voucher y</t>
        </is>
      </c>
      <c r="D1164" s="13" t="n">
        <v>-389</v>
      </c>
      <c r="E1164" s="11">
        <f>IF(SUM(COUNTIFS('Conciliacion de compuestos'!$D$2:$D$48,"conciliado",'Conciliacion de compuestos'!$E$2:$E$48,"OK",'Conciliacion de compuestos'!$J$2:$J$48,A1164),COUNTIFS('Conciliacion de compuestos'!$D$2:$D$48,"conciliado",'Conciliacion de compuestos'!$E$2:$E$48,"OK",'Conciliacion de compuestos'!$K$2:$K$48,A1164),COUNTIFS('Conciliacion de compuestos'!$D$2:$D$48,"conciliado",'Conciliacion de compuestos'!$E$2:$E$48,"OK",'Conciliacion de compuestos'!$L$2:$L$48,A1164))&gt;0,"conciliado en compuesto confirmado","disponible")</f>
        <v/>
      </c>
    </row>
    <row r="1165">
      <c r="A1165" s="11" t="n">
        <v>1178</v>
      </c>
      <c r="B1165" s="12" t="n">
        <v>46013</v>
      </c>
      <c r="C1165" s="11" t="inlineStr">
        <is>
          <t>a financiero gravamen movimiento</t>
        </is>
      </c>
      <c r="D1165" s="13" t="n">
        <v>-2</v>
      </c>
      <c r="E1165" s="11">
        <f>IF(SUM(COUNTIFS('Conciliacion de compuestos'!$D$2:$D$48,"conciliado",'Conciliacion de compuestos'!$E$2:$E$48,"OK",'Conciliacion de compuestos'!$J$2:$J$48,A1165),COUNTIFS('Conciliacion de compuestos'!$D$2:$D$48,"conciliado",'Conciliacion de compuestos'!$E$2:$E$48,"OK",'Conciliacion de compuestos'!$K$2:$K$48,A1165),COUNTIFS('Conciliacion de compuestos'!$D$2:$D$48,"conciliado",'Conciliacion de compuestos'!$E$2:$E$48,"OK",'Conciliacion de compuestos'!$L$2:$L$48,A1165))&gt;0,"conciliado en compuesto confirmado","disponible")</f>
        <v/>
      </c>
    </row>
    <row r="1166">
      <c r="A1166" s="11" t="n">
        <v>1179</v>
      </c>
      <c r="B1166" s="12" t="n">
        <v>46013</v>
      </c>
      <c r="C1166" s="11" t="inlineStr">
        <is>
          <t>consignacion credibanco d e</t>
        </is>
      </c>
      <c r="D1166" s="13" t="n">
        <v>112200</v>
      </c>
      <c r="E1166" s="11">
        <f>IF(SUM(COUNTIFS('Conciliacion de compuestos'!$D$2:$D$48,"conciliado",'Conciliacion de compuestos'!$E$2:$E$48,"OK",'Conciliacion de compuestos'!$J$2:$J$48,A1166),COUNTIFS('Conciliacion de compuestos'!$D$2:$D$48,"conciliado",'Conciliacion de compuestos'!$E$2:$E$48,"OK",'Conciliacion de compuestos'!$K$2:$K$48,A1166),COUNTIFS('Conciliacion de compuestos'!$D$2:$D$48,"conciliado",'Conciliacion de compuestos'!$E$2:$E$48,"OK",'Conciliacion de compuestos'!$L$2:$L$48,A1166))&gt;0,"conciliado en compuesto confirmado","disponible")</f>
        <v/>
      </c>
    </row>
    <row r="1167">
      <c r="A1167" s="11" t="n">
        <v>1180</v>
      </c>
      <c r="B1167" s="12" t="n">
        <v>46013</v>
      </c>
      <c r="C1167" s="11" t="inlineStr">
        <is>
          <t>cobro comision depositos electronicos</t>
        </is>
      </c>
      <c r="D1167" s="13" t="n">
        <v>-2424</v>
      </c>
      <c r="E1167" s="11">
        <f>IF(SUM(COUNTIFS('Conciliacion de compuestos'!$D$2:$D$48,"conciliado",'Conciliacion de compuestos'!$E$2:$E$48,"OK",'Conciliacion de compuestos'!$J$2:$J$48,A1167),COUNTIFS('Conciliacion de compuestos'!$D$2:$D$48,"conciliado",'Conciliacion de compuestos'!$E$2:$E$48,"OK",'Conciliacion de compuestos'!$K$2:$K$48,A1167),COUNTIFS('Conciliacion de compuestos'!$D$2:$D$48,"conciliado",'Conciliacion de compuestos'!$E$2:$E$48,"OK",'Conciliacion de compuestos'!$L$2:$L$48,A1167))&gt;0,"conciliado en compuesto confirmado","disponible")</f>
        <v/>
      </c>
    </row>
    <row r="1168">
      <c r="A1168" s="11" t="n">
        <v>1181</v>
      </c>
      <c r="B1168" s="12" t="n">
        <v>46013</v>
      </c>
      <c r="C1168" s="11" t="inlineStr">
        <is>
          <t>a financiero gravamen movimiento</t>
        </is>
      </c>
      <c r="D1168" s="13" t="n">
        <v>-10</v>
      </c>
      <c r="E1168" s="11">
        <f>IF(SUM(COUNTIFS('Conciliacion de compuestos'!$D$2:$D$48,"conciliado",'Conciliacion de compuestos'!$E$2:$E$48,"OK",'Conciliacion de compuestos'!$J$2:$J$48,A1168),COUNTIFS('Conciliacion de compuestos'!$D$2:$D$48,"conciliado",'Conciliacion de compuestos'!$E$2:$E$48,"OK",'Conciliacion de compuestos'!$K$2:$K$48,A1168),COUNTIFS('Conciliacion de compuestos'!$D$2:$D$48,"conciliado",'Conciliacion de compuestos'!$E$2:$E$48,"OK",'Conciliacion de compuestos'!$L$2:$L$48,A1168))&gt;0,"conciliado en compuesto confirmado","disponible")</f>
        <v/>
      </c>
    </row>
    <row r="1169">
      <c r="A1169" s="11" t="n">
        <v>1182</v>
      </c>
      <c r="B1169" s="12" t="n">
        <v>46013</v>
      </c>
      <c r="C1169" s="11" t="inlineStr">
        <is>
          <t>credibanco d e retefuente voucher y</t>
        </is>
      </c>
      <c r="D1169" s="13" t="n">
        <v>-1683</v>
      </c>
      <c r="E1169" s="11">
        <f>IF(SUM(COUNTIFS('Conciliacion de compuestos'!$D$2:$D$48,"conciliado",'Conciliacion de compuestos'!$E$2:$E$48,"OK",'Conciliacion de compuestos'!$J$2:$J$48,A1169),COUNTIFS('Conciliacion de compuestos'!$D$2:$D$48,"conciliado",'Conciliacion de compuestos'!$E$2:$E$48,"OK",'Conciliacion de compuestos'!$K$2:$K$48,A1169),COUNTIFS('Conciliacion de compuestos'!$D$2:$D$48,"conciliado",'Conciliacion de compuestos'!$E$2:$E$48,"OK",'Conciliacion de compuestos'!$L$2:$L$48,A1169))&gt;0,"conciliado en compuesto confirmado","disponible")</f>
        <v/>
      </c>
    </row>
    <row r="1170">
      <c r="A1170" s="11" t="n">
        <v>1183</v>
      </c>
      <c r="B1170" s="12" t="n">
        <v>46013</v>
      </c>
      <c r="C1170" s="11" t="inlineStr">
        <is>
          <t>a financiero gravamen movimiento</t>
        </is>
      </c>
      <c r="D1170" s="13" t="n">
        <v>-7</v>
      </c>
      <c r="E1170" s="11">
        <f>IF(SUM(COUNTIFS('Conciliacion de compuestos'!$D$2:$D$48,"conciliado",'Conciliacion de compuestos'!$E$2:$E$48,"OK",'Conciliacion de compuestos'!$J$2:$J$48,A1170),COUNTIFS('Conciliacion de compuestos'!$D$2:$D$48,"conciliado",'Conciliacion de compuestos'!$E$2:$E$48,"OK",'Conciliacion de compuestos'!$K$2:$K$48,A1170),COUNTIFS('Conciliacion de compuestos'!$D$2:$D$48,"conciliado",'Conciliacion de compuestos'!$E$2:$E$48,"OK",'Conciliacion de compuestos'!$L$2:$L$48,A1170))&gt;0,"conciliado en compuesto confirmado","disponible")</f>
        <v/>
      </c>
    </row>
    <row r="1171">
      <c r="A1171" s="11" t="n">
        <v>1184</v>
      </c>
      <c r="B1171" s="12" t="n">
        <v>46013</v>
      </c>
      <c r="C1171" s="11" t="inlineStr">
        <is>
          <t>consignacion credibanco d e</t>
        </is>
      </c>
      <c r="D1171" s="13" t="n">
        <v>75000</v>
      </c>
      <c r="E1171" s="11">
        <f>IF(SUM(COUNTIFS('Conciliacion de compuestos'!$D$2:$D$48,"conciliado",'Conciliacion de compuestos'!$E$2:$E$48,"OK",'Conciliacion de compuestos'!$J$2:$J$48,A1171),COUNTIFS('Conciliacion de compuestos'!$D$2:$D$48,"conciliado",'Conciliacion de compuestos'!$E$2:$E$48,"OK",'Conciliacion de compuestos'!$K$2:$K$48,A1171),COUNTIFS('Conciliacion de compuestos'!$D$2:$D$48,"conciliado",'Conciliacion de compuestos'!$E$2:$E$48,"OK",'Conciliacion de compuestos'!$L$2:$L$48,A1171))&gt;0,"conciliado en compuesto confirmado","disponible")</f>
        <v/>
      </c>
    </row>
    <row r="1172">
      <c r="A1172" s="11" t="n">
        <v>1185</v>
      </c>
      <c r="B1172" s="12" t="n">
        <v>46013</v>
      </c>
      <c r="C1172" s="11" t="inlineStr">
        <is>
          <t>cobro comision depositos electronicos</t>
        </is>
      </c>
      <c r="D1172" s="13" t="n">
        <v>-1620</v>
      </c>
      <c r="E1172" s="11">
        <f>IF(SUM(COUNTIFS('Conciliacion de compuestos'!$D$2:$D$48,"conciliado",'Conciliacion de compuestos'!$E$2:$E$48,"OK",'Conciliacion de compuestos'!$J$2:$J$48,A1172),COUNTIFS('Conciliacion de compuestos'!$D$2:$D$48,"conciliado",'Conciliacion de compuestos'!$E$2:$E$48,"OK",'Conciliacion de compuestos'!$K$2:$K$48,A1172),COUNTIFS('Conciliacion de compuestos'!$D$2:$D$48,"conciliado",'Conciliacion de compuestos'!$E$2:$E$48,"OK",'Conciliacion de compuestos'!$L$2:$L$48,A1172))&gt;0,"conciliado en compuesto confirmado","disponible")</f>
        <v/>
      </c>
    </row>
    <row r="1173">
      <c r="A1173" s="11" t="n">
        <v>1186</v>
      </c>
      <c r="B1173" s="12" t="n">
        <v>46013</v>
      </c>
      <c r="C1173" s="11" t="inlineStr">
        <is>
          <t>a financiero gravamen movimiento</t>
        </is>
      </c>
      <c r="D1173" s="13" t="n">
        <v>-6</v>
      </c>
      <c r="E1173" s="11">
        <f>IF(SUM(COUNTIFS('Conciliacion de compuestos'!$D$2:$D$48,"conciliado",'Conciliacion de compuestos'!$E$2:$E$48,"OK",'Conciliacion de compuestos'!$J$2:$J$48,A1173),COUNTIFS('Conciliacion de compuestos'!$D$2:$D$48,"conciliado",'Conciliacion de compuestos'!$E$2:$E$48,"OK",'Conciliacion de compuestos'!$K$2:$K$48,A1173),COUNTIFS('Conciliacion de compuestos'!$D$2:$D$48,"conciliado",'Conciliacion de compuestos'!$E$2:$E$48,"OK",'Conciliacion de compuestos'!$L$2:$L$48,A1173))&gt;0,"conciliado en compuesto confirmado","disponible")</f>
        <v/>
      </c>
    </row>
    <row r="1174">
      <c r="A1174" s="11" t="n">
        <v>1187</v>
      </c>
      <c r="B1174" s="12" t="n">
        <v>46013</v>
      </c>
      <c r="C1174" s="11" t="inlineStr">
        <is>
          <t>credibanco d e retefuente voucher y</t>
        </is>
      </c>
      <c r="D1174" s="13" t="n">
        <v>-1125</v>
      </c>
      <c r="E1174" s="11">
        <f>IF(SUM(COUNTIFS('Conciliacion de compuestos'!$D$2:$D$48,"conciliado",'Conciliacion de compuestos'!$E$2:$E$48,"OK",'Conciliacion de compuestos'!$J$2:$J$48,A1174),COUNTIFS('Conciliacion de compuestos'!$D$2:$D$48,"conciliado",'Conciliacion de compuestos'!$E$2:$E$48,"OK",'Conciliacion de compuestos'!$K$2:$K$48,A1174),COUNTIFS('Conciliacion de compuestos'!$D$2:$D$48,"conciliado",'Conciliacion de compuestos'!$E$2:$E$48,"OK",'Conciliacion de compuestos'!$L$2:$L$48,A1174))&gt;0,"conciliado en compuesto confirmado","disponible")</f>
        <v/>
      </c>
    </row>
    <row r="1175">
      <c r="A1175" s="11" t="n">
        <v>1188</v>
      </c>
      <c r="B1175" s="12" t="n">
        <v>46013</v>
      </c>
      <c r="C1175" s="11" t="inlineStr">
        <is>
          <t>a financiero gravamen movimiento</t>
        </is>
      </c>
      <c r="D1175" s="13" t="n">
        <v>-5</v>
      </c>
      <c r="E1175" s="11">
        <f>IF(SUM(COUNTIFS('Conciliacion de compuestos'!$D$2:$D$48,"conciliado",'Conciliacion de compuestos'!$E$2:$E$48,"OK",'Conciliacion de compuestos'!$J$2:$J$48,A1175),COUNTIFS('Conciliacion de compuestos'!$D$2:$D$48,"conciliado",'Conciliacion de compuestos'!$E$2:$E$48,"OK",'Conciliacion de compuestos'!$K$2:$K$48,A1175),COUNTIFS('Conciliacion de compuestos'!$D$2:$D$48,"conciliado",'Conciliacion de compuestos'!$E$2:$E$48,"OK",'Conciliacion de compuestos'!$L$2:$L$48,A1175))&gt;0,"conciliado en compuesto confirmado","disponible")</f>
        <v/>
      </c>
    </row>
    <row r="1176">
      <c r="A1176" s="11" t="n">
        <v>1189</v>
      </c>
      <c r="B1176" s="12" t="n">
        <v>46013</v>
      </c>
      <c r="C1176" s="11" t="inlineStr">
        <is>
          <t>consignacion credibanco d e</t>
        </is>
      </c>
      <c r="D1176" s="13" t="n">
        <v>40700</v>
      </c>
      <c r="E1176" s="11">
        <f>IF(SUM(COUNTIFS('Conciliacion de compuestos'!$D$2:$D$48,"conciliado",'Conciliacion de compuestos'!$E$2:$E$48,"OK",'Conciliacion de compuestos'!$J$2:$J$48,A1176),COUNTIFS('Conciliacion de compuestos'!$D$2:$D$48,"conciliado",'Conciliacion de compuestos'!$E$2:$E$48,"OK",'Conciliacion de compuestos'!$K$2:$K$48,A1176),COUNTIFS('Conciliacion de compuestos'!$D$2:$D$48,"conciliado",'Conciliacion de compuestos'!$E$2:$E$48,"OK",'Conciliacion de compuestos'!$L$2:$L$48,A1176))&gt;0,"conciliado en compuesto confirmado","disponible")</f>
        <v/>
      </c>
    </row>
    <row r="1177">
      <c r="A1177" s="11" t="n">
        <v>1190</v>
      </c>
      <c r="B1177" s="12" t="n">
        <v>46013</v>
      </c>
      <c r="C1177" s="11" t="inlineStr">
        <is>
          <t>cobro comision depositos electronicos</t>
        </is>
      </c>
      <c r="D1177" s="13" t="n">
        <v>-891</v>
      </c>
      <c r="E1177" s="11">
        <f>IF(SUM(COUNTIFS('Conciliacion de compuestos'!$D$2:$D$48,"conciliado",'Conciliacion de compuestos'!$E$2:$E$48,"OK",'Conciliacion de compuestos'!$J$2:$J$48,A1177),COUNTIFS('Conciliacion de compuestos'!$D$2:$D$48,"conciliado",'Conciliacion de compuestos'!$E$2:$E$48,"OK",'Conciliacion de compuestos'!$K$2:$K$48,A1177),COUNTIFS('Conciliacion de compuestos'!$D$2:$D$48,"conciliado",'Conciliacion de compuestos'!$E$2:$E$48,"OK",'Conciliacion de compuestos'!$L$2:$L$48,A1177))&gt;0,"conciliado en compuesto confirmado","disponible")</f>
        <v/>
      </c>
    </row>
    <row r="1178">
      <c r="A1178" s="11" t="n">
        <v>1191</v>
      </c>
      <c r="B1178" s="12" t="n">
        <v>46013</v>
      </c>
      <c r="C1178" s="11" t="inlineStr">
        <is>
          <t>a financiero gravamen movimiento</t>
        </is>
      </c>
      <c r="D1178" s="13" t="n">
        <v>-4</v>
      </c>
      <c r="E1178" s="11">
        <f>IF(SUM(COUNTIFS('Conciliacion de compuestos'!$D$2:$D$48,"conciliado",'Conciliacion de compuestos'!$E$2:$E$48,"OK",'Conciliacion de compuestos'!$J$2:$J$48,A1178),COUNTIFS('Conciliacion de compuestos'!$D$2:$D$48,"conciliado",'Conciliacion de compuestos'!$E$2:$E$48,"OK",'Conciliacion de compuestos'!$K$2:$K$48,A1178),COUNTIFS('Conciliacion de compuestos'!$D$2:$D$48,"conciliado",'Conciliacion de compuestos'!$E$2:$E$48,"OK",'Conciliacion de compuestos'!$L$2:$L$48,A1178))&gt;0,"conciliado en compuesto confirmado","disponible")</f>
        <v/>
      </c>
    </row>
    <row r="1179">
      <c r="A1179" s="11" t="n">
        <v>1192</v>
      </c>
      <c r="B1179" s="12" t="n">
        <v>46013</v>
      </c>
      <c r="C1179" s="11" t="inlineStr">
        <is>
          <t>credibanco d e retefuente voucher y</t>
        </is>
      </c>
      <c r="D1179" s="13" t="n">
        <v>-611</v>
      </c>
      <c r="E1179" s="11">
        <f>IF(SUM(COUNTIFS('Conciliacion de compuestos'!$D$2:$D$48,"conciliado",'Conciliacion de compuestos'!$E$2:$E$48,"OK",'Conciliacion de compuestos'!$J$2:$J$48,A1179),COUNTIFS('Conciliacion de compuestos'!$D$2:$D$48,"conciliado",'Conciliacion de compuestos'!$E$2:$E$48,"OK",'Conciliacion de compuestos'!$K$2:$K$48,A1179),COUNTIFS('Conciliacion de compuestos'!$D$2:$D$48,"conciliado",'Conciliacion de compuestos'!$E$2:$E$48,"OK",'Conciliacion de compuestos'!$L$2:$L$48,A1179))&gt;0,"conciliado en compuesto confirmado","disponible")</f>
        <v/>
      </c>
    </row>
    <row r="1180">
      <c r="A1180" s="11" t="n">
        <v>1193</v>
      </c>
      <c r="B1180" s="12" t="n">
        <v>46013</v>
      </c>
      <c r="C1180" s="11" t="inlineStr">
        <is>
          <t>a financiero gravamen movimiento</t>
        </is>
      </c>
      <c r="D1180" s="13" t="n">
        <v>-2</v>
      </c>
      <c r="E1180" s="11">
        <f>IF(SUM(COUNTIFS('Conciliacion de compuestos'!$D$2:$D$48,"conciliado",'Conciliacion de compuestos'!$E$2:$E$48,"OK",'Conciliacion de compuestos'!$J$2:$J$48,A1180),COUNTIFS('Conciliacion de compuestos'!$D$2:$D$48,"conciliado",'Conciliacion de compuestos'!$E$2:$E$48,"OK",'Conciliacion de compuestos'!$K$2:$K$48,A1180),COUNTIFS('Conciliacion de compuestos'!$D$2:$D$48,"conciliado",'Conciliacion de compuestos'!$E$2:$E$48,"OK",'Conciliacion de compuestos'!$L$2:$L$48,A1180))&gt;0,"conciliado en compuesto confirmado","disponible")</f>
        <v/>
      </c>
    </row>
    <row r="1181">
      <c r="A1181" s="11" t="n">
        <v>1194</v>
      </c>
      <c r="B1181" s="12" t="n">
        <v>46013</v>
      </c>
      <c r="C1181" s="11" t="inlineStr">
        <is>
          <t>consignacion credibanco d e</t>
        </is>
      </c>
      <c r="D1181" s="13" t="n">
        <v>72600</v>
      </c>
      <c r="E1181" s="11">
        <f>IF(SUM(COUNTIFS('Conciliacion de compuestos'!$D$2:$D$48,"conciliado",'Conciliacion de compuestos'!$E$2:$E$48,"OK",'Conciliacion de compuestos'!$J$2:$J$48,A1181),COUNTIFS('Conciliacion de compuestos'!$D$2:$D$48,"conciliado",'Conciliacion de compuestos'!$E$2:$E$48,"OK",'Conciliacion de compuestos'!$K$2:$K$48,A1181),COUNTIFS('Conciliacion de compuestos'!$D$2:$D$48,"conciliado",'Conciliacion de compuestos'!$E$2:$E$48,"OK",'Conciliacion de compuestos'!$L$2:$L$48,A1181))&gt;0,"conciliado en compuesto confirmado","disponible")</f>
        <v/>
      </c>
    </row>
    <row r="1182">
      <c r="A1182" s="11" t="n">
        <v>1195</v>
      </c>
      <c r="B1182" s="12" t="n">
        <v>46013</v>
      </c>
      <c r="C1182" s="11" t="inlineStr">
        <is>
          <t>cobro comision depositos electronicos</t>
        </is>
      </c>
      <c r="D1182" s="13" t="n">
        <v>-588</v>
      </c>
      <c r="E1182" s="11">
        <f>IF(SUM(COUNTIFS('Conciliacion de compuestos'!$D$2:$D$48,"conciliado",'Conciliacion de compuestos'!$E$2:$E$48,"OK",'Conciliacion de compuestos'!$J$2:$J$48,A1182),COUNTIFS('Conciliacion de compuestos'!$D$2:$D$48,"conciliado",'Conciliacion de compuestos'!$E$2:$E$48,"OK",'Conciliacion de compuestos'!$K$2:$K$48,A1182),COUNTIFS('Conciliacion de compuestos'!$D$2:$D$48,"conciliado",'Conciliacion de compuestos'!$E$2:$E$48,"OK",'Conciliacion de compuestos'!$L$2:$L$48,A1182))&gt;0,"conciliado en compuesto confirmado","disponible")</f>
        <v/>
      </c>
    </row>
    <row r="1183">
      <c r="A1183" s="11" t="n">
        <v>1196</v>
      </c>
      <c r="B1183" s="12" t="n">
        <v>46013</v>
      </c>
      <c r="C1183" s="11" t="inlineStr">
        <is>
          <t>a financiero gravamen movimiento</t>
        </is>
      </c>
      <c r="D1183" s="13" t="n">
        <v>-2</v>
      </c>
      <c r="E1183" s="11">
        <f>IF(SUM(COUNTIFS('Conciliacion de compuestos'!$D$2:$D$48,"conciliado",'Conciliacion de compuestos'!$E$2:$E$48,"OK",'Conciliacion de compuestos'!$J$2:$J$48,A1183),COUNTIFS('Conciliacion de compuestos'!$D$2:$D$48,"conciliado",'Conciliacion de compuestos'!$E$2:$E$48,"OK",'Conciliacion de compuestos'!$K$2:$K$48,A1183),COUNTIFS('Conciliacion de compuestos'!$D$2:$D$48,"conciliado",'Conciliacion de compuestos'!$E$2:$E$48,"OK",'Conciliacion de compuestos'!$L$2:$L$48,A1183))&gt;0,"conciliado en compuesto confirmado","disponible")</f>
        <v/>
      </c>
    </row>
    <row r="1184">
      <c r="A1184" s="11" t="n">
        <v>1197</v>
      </c>
      <c r="B1184" s="12" t="n">
        <v>46013</v>
      </c>
      <c r="C1184" s="11" t="inlineStr">
        <is>
          <t>credibanco d e retefuente voucher y</t>
        </is>
      </c>
      <c r="D1184" s="13" t="n">
        <v>-1089</v>
      </c>
      <c r="E1184" s="11">
        <f>IF(SUM(COUNTIFS('Conciliacion de compuestos'!$D$2:$D$48,"conciliado",'Conciliacion de compuestos'!$E$2:$E$48,"OK",'Conciliacion de compuestos'!$J$2:$J$48,A1184),COUNTIFS('Conciliacion de compuestos'!$D$2:$D$48,"conciliado",'Conciliacion de compuestos'!$E$2:$E$48,"OK",'Conciliacion de compuestos'!$K$2:$K$48,A1184),COUNTIFS('Conciliacion de compuestos'!$D$2:$D$48,"conciliado",'Conciliacion de compuestos'!$E$2:$E$48,"OK",'Conciliacion de compuestos'!$L$2:$L$48,A1184))&gt;0,"conciliado en compuesto confirmado","disponible")</f>
        <v/>
      </c>
    </row>
    <row r="1185">
      <c r="A1185" s="11" t="n">
        <v>1198</v>
      </c>
      <c r="B1185" s="12" t="n">
        <v>46013</v>
      </c>
      <c r="C1185" s="11" t="inlineStr">
        <is>
          <t>a financiero gravamen movimiento</t>
        </is>
      </c>
      <c r="D1185" s="13" t="n">
        <v>-4</v>
      </c>
      <c r="E1185" s="11">
        <f>IF(SUM(COUNTIFS('Conciliacion de compuestos'!$D$2:$D$48,"conciliado",'Conciliacion de compuestos'!$E$2:$E$48,"OK",'Conciliacion de compuestos'!$J$2:$J$48,A1185),COUNTIFS('Conciliacion de compuestos'!$D$2:$D$48,"conciliado",'Conciliacion de compuestos'!$E$2:$E$48,"OK",'Conciliacion de compuestos'!$K$2:$K$48,A1185),COUNTIFS('Conciliacion de compuestos'!$D$2:$D$48,"conciliado",'Conciliacion de compuestos'!$E$2:$E$48,"OK",'Conciliacion de compuestos'!$L$2:$L$48,A1185))&gt;0,"conciliado en compuesto confirmado","disponible")</f>
        <v/>
      </c>
    </row>
    <row r="1186">
      <c r="A1186" s="11" t="n">
        <v>1199</v>
      </c>
      <c r="B1186" s="12" t="n">
        <v>46013</v>
      </c>
      <c r="C1186" s="11" t="inlineStr">
        <is>
          <t>consignacion credibanco d e</t>
        </is>
      </c>
      <c r="D1186" s="13" t="n">
        <v>40950</v>
      </c>
      <c r="E1186" s="11">
        <f>IF(SUM(COUNTIFS('Conciliacion de compuestos'!$D$2:$D$48,"conciliado",'Conciliacion de compuestos'!$E$2:$E$48,"OK",'Conciliacion de compuestos'!$J$2:$J$48,A1186),COUNTIFS('Conciliacion de compuestos'!$D$2:$D$48,"conciliado",'Conciliacion de compuestos'!$E$2:$E$48,"OK",'Conciliacion de compuestos'!$K$2:$K$48,A1186),COUNTIFS('Conciliacion de compuestos'!$D$2:$D$48,"conciliado",'Conciliacion de compuestos'!$E$2:$E$48,"OK",'Conciliacion de compuestos'!$L$2:$L$48,A1186))&gt;0,"conciliado en compuesto confirmado","disponible")</f>
        <v/>
      </c>
    </row>
    <row r="1187">
      <c r="A1187" s="11" t="n">
        <v>1200</v>
      </c>
      <c r="B1187" s="12" t="n">
        <v>46013</v>
      </c>
      <c r="C1187" s="11" t="inlineStr">
        <is>
          <t>cobro comision depositos electronicos</t>
        </is>
      </c>
      <c r="D1187" s="13" t="n">
        <v>-332</v>
      </c>
      <c r="E1187" s="11">
        <f>IF(SUM(COUNTIFS('Conciliacion de compuestos'!$D$2:$D$48,"conciliado",'Conciliacion de compuestos'!$E$2:$E$48,"OK",'Conciliacion de compuestos'!$J$2:$J$48,A1187),COUNTIFS('Conciliacion de compuestos'!$D$2:$D$48,"conciliado",'Conciliacion de compuestos'!$E$2:$E$48,"OK",'Conciliacion de compuestos'!$K$2:$K$48,A1187),COUNTIFS('Conciliacion de compuestos'!$D$2:$D$48,"conciliado",'Conciliacion de compuestos'!$E$2:$E$48,"OK",'Conciliacion de compuestos'!$L$2:$L$48,A1187))&gt;0,"conciliado en compuesto confirmado","disponible")</f>
        <v/>
      </c>
    </row>
    <row r="1188">
      <c r="A1188" s="11" t="n">
        <v>1201</v>
      </c>
      <c r="B1188" s="12" t="n">
        <v>46013</v>
      </c>
      <c r="C1188" s="11" t="inlineStr">
        <is>
          <t>a financiero gravamen movimiento</t>
        </is>
      </c>
      <c r="D1188" s="13" t="n">
        <v>-1</v>
      </c>
      <c r="E1188" s="11">
        <f>IF(SUM(COUNTIFS('Conciliacion de compuestos'!$D$2:$D$48,"conciliado",'Conciliacion de compuestos'!$E$2:$E$48,"OK",'Conciliacion de compuestos'!$J$2:$J$48,A1188),COUNTIFS('Conciliacion de compuestos'!$D$2:$D$48,"conciliado",'Conciliacion de compuestos'!$E$2:$E$48,"OK",'Conciliacion de compuestos'!$K$2:$K$48,A1188),COUNTIFS('Conciliacion de compuestos'!$D$2:$D$48,"conciliado",'Conciliacion de compuestos'!$E$2:$E$48,"OK",'Conciliacion de compuestos'!$L$2:$L$48,A1188))&gt;0,"conciliado en compuesto confirmado","disponible")</f>
        <v/>
      </c>
    </row>
    <row r="1189">
      <c r="A1189" s="11" t="n">
        <v>1202</v>
      </c>
      <c r="B1189" s="12" t="n">
        <v>46013</v>
      </c>
      <c r="C1189" s="11" t="inlineStr">
        <is>
          <t>credibanco d e retefuente voucher y</t>
        </is>
      </c>
      <c r="D1189" s="13" t="n">
        <v>-614</v>
      </c>
      <c r="E1189" s="11">
        <f>IF(SUM(COUNTIFS('Conciliacion de compuestos'!$D$2:$D$48,"conciliado",'Conciliacion de compuestos'!$E$2:$E$48,"OK",'Conciliacion de compuestos'!$J$2:$J$48,A1189),COUNTIFS('Conciliacion de compuestos'!$D$2:$D$48,"conciliado",'Conciliacion de compuestos'!$E$2:$E$48,"OK",'Conciliacion de compuestos'!$K$2:$K$48,A1189),COUNTIFS('Conciliacion de compuestos'!$D$2:$D$48,"conciliado",'Conciliacion de compuestos'!$E$2:$E$48,"OK",'Conciliacion de compuestos'!$L$2:$L$48,A1189))&gt;0,"conciliado en compuesto confirmado","disponible")</f>
        <v/>
      </c>
    </row>
    <row r="1190">
      <c r="A1190" s="11" t="n">
        <v>1203</v>
      </c>
      <c r="B1190" s="12" t="n">
        <v>46013</v>
      </c>
      <c r="C1190" s="11" t="inlineStr">
        <is>
          <t>a financiero gravamen movimiento</t>
        </is>
      </c>
      <c r="D1190" s="13" t="n">
        <v>-2</v>
      </c>
      <c r="E1190" s="11">
        <f>IF(SUM(COUNTIFS('Conciliacion de compuestos'!$D$2:$D$48,"conciliado",'Conciliacion de compuestos'!$E$2:$E$48,"OK",'Conciliacion de compuestos'!$J$2:$J$48,A1190),COUNTIFS('Conciliacion de compuestos'!$D$2:$D$48,"conciliado",'Conciliacion de compuestos'!$E$2:$E$48,"OK",'Conciliacion de compuestos'!$K$2:$K$48,A1190),COUNTIFS('Conciliacion de compuestos'!$D$2:$D$48,"conciliado",'Conciliacion de compuestos'!$E$2:$E$48,"OK",'Conciliacion de compuestos'!$L$2:$L$48,A1190))&gt;0,"conciliado en compuesto confirmado","disponible")</f>
        <v/>
      </c>
    </row>
    <row r="1191">
      <c r="A1191" s="11" t="n">
        <v>1204</v>
      </c>
      <c r="B1191" s="12" t="n">
        <v>46013</v>
      </c>
      <c r="C1191" s="11" t="inlineStr">
        <is>
          <t>consignacion credibanco d e</t>
        </is>
      </c>
      <c r="D1191" s="13" t="n">
        <v>30900</v>
      </c>
      <c r="E1191" s="11">
        <f>IF(SUM(COUNTIFS('Conciliacion de compuestos'!$D$2:$D$48,"conciliado",'Conciliacion de compuestos'!$E$2:$E$48,"OK",'Conciliacion de compuestos'!$J$2:$J$48,A1191),COUNTIFS('Conciliacion de compuestos'!$D$2:$D$48,"conciliado",'Conciliacion de compuestos'!$E$2:$E$48,"OK",'Conciliacion de compuestos'!$K$2:$K$48,A1191),COUNTIFS('Conciliacion de compuestos'!$D$2:$D$48,"conciliado",'Conciliacion de compuestos'!$E$2:$E$48,"OK",'Conciliacion de compuestos'!$L$2:$L$48,A1191))&gt;0,"conciliado en compuesto confirmado","disponible")</f>
        <v/>
      </c>
    </row>
    <row r="1192">
      <c r="A1192" s="11" t="n">
        <v>1205</v>
      </c>
      <c r="B1192" s="12" t="n">
        <v>46013</v>
      </c>
      <c r="C1192" s="11" t="inlineStr">
        <is>
          <t>cobro comision depositos electronicos</t>
        </is>
      </c>
      <c r="D1192" s="13" t="n">
        <v>-667</v>
      </c>
      <c r="E1192" s="11">
        <f>IF(SUM(COUNTIFS('Conciliacion de compuestos'!$D$2:$D$48,"conciliado",'Conciliacion de compuestos'!$E$2:$E$48,"OK",'Conciliacion de compuestos'!$J$2:$J$48,A1192),COUNTIFS('Conciliacion de compuestos'!$D$2:$D$48,"conciliado",'Conciliacion de compuestos'!$E$2:$E$48,"OK",'Conciliacion de compuestos'!$K$2:$K$48,A1192),COUNTIFS('Conciliacion de compuestos'!$D$2:$D$48,"conciliado",'Conciliacion de compuestos'!$E$2:$E$48,"OK",'Conciliacion de compuestos'!$L$2:$L$48,A1192))&gt;0,"conciliado en compuesto confirmado","disponible")</f>
        <v/>
      </c>
    </row>
    <row r="1193">
      <c r="A1193" s="11" t="n">
        <v>1206</v>
      </c>
      <c r="B1193" s="12" t="n">
        <v>46013</v>
      </c>
      <c r="C1193" s="11" t="inlineStr">
        <is>
          <t>a financiero gravamen movimiento</t>
        </is>
      </c>
      <c r="D1193" s="13" t="n">
        <v>-3</v>
      </c>
      <c r="E1193" s="11">
        <f>IF(SUM(COUNTIFS('Conciliacion de compuestos'!$D$2:$D$48,"conciliado",'Conciliacion de compuestos'!$E$2:$E$48,"OK",'Conciliacion de compuestos'!$J$2:$J$48,A1193),COUNTIFS('Conciliacion de compuestos'!$D$2:$D$48,"conciliado",'Conciliacion de compuestos'!$E$2:$E$48,"OK",'Conciliacion de compuestos'!$K$2:$K$48,A1193),COUNTIFS('Conciliacion de compuestos'!$D$2:$D$48,"conciliado",'Conciliacion de compuestos'!$E$2:$E$48,"OK",'Conciliacion de compuestos'!$L$2:$L$48,A1193))&gt;0,"conciliado en compuesto confirmado","disponible")</f>
        <v/>
      </c>
    </row>
    <row r="1194">
      <c r="A1194" s="11" t="n">
        <v>1207</v>
      </c>
      <c r="B1194" s="12" t="n">
        <v>46013</v>
      </c>
      <c r="C1194" s="11" t="inlineStr">
        <is>
          <t>credibanco d e retefuente voucher y</t>
        </is>
      </c>
      <c r="D1194" s="13" t="n">
        <v>-464</v>
      </c>
      <c r="E1194" s="11">
        <f>IF(SUM(COUNTIFS('Conciliacion de compuestos'!$D$2:$D$48,"conciliado",'Conciliacion de compuestos'!$E$2:$E$48,"OK",'Conciliacion de compuestos'!$J$2:$J$48,A1194),COUNTIFS('Conciliacion de compuestos'!$D$2:$D$48,"conciliado",'Conciliacion de compuestos'!$E$2:$E$48,"OK",'Conciliacion de compuestos'!$K$2:$K$48,A1194),COUNTIFS('Conciliacion de compuestos'!$D$2:$D$48,"conciliado",'Conciliacion de compuestos'!$E$2:$E$48,"OK",'Conciliacion de compuestos'!$L$2:$L$48,A1194))&gt;0,"conciliado en compuesto confirmado","disponible")</f>
        <v/>
      </c>
    </row>
    <row r="1195">
      <c r="A1195" s="11" t="n">
        <v>1208</v>
      </c>
      <c r="B1195" s="12" t="n">
        <v>46013</v>
      </c>
      <c r="C1195" s="11" t="inlineStr">
        <is>
          <t>a financiero gravamen movimiento</t>
        </is>
      </c>
      <c r="D1195" s="13" t="n">
        <v>-2</v>
      </c>
      <c r="E1195" s="11">
        <f>IF(SUM(COUNTIFS('Conciliacion de compuestos'!$D$2:$D$48,"conciliado",'Conciliacion de compuestos'!$E$2:$E$48,"OK",'Conciliacion de compuestos'!$J$2:$J$48,A1195),COUNTIFS('Conciliacion de compuestos'!$D$2:$D$48,"conciliado",'Conciliacion de compuestos'!$E$2:$E$48,"OK",'Conciliacion de compuestos'!$K$2:$K$48,A1195),COUNTIFS('Conciliacion de compuestos'!$D$2:$D$48,"conciliado",'Conciliacion de compuestos'!$E$2:$E$48,"OK",'Conciliacion de compuestos'!$L$2:$L$48,A1195))&gt;0,"conciliado en compuesto confirmado","disponible")</f>
        <v/>
      </c>
    </row>
    <row r="1196">
      <c r="A1196" s="11" t="n">
        <v>1209</v>
      </c>
      <c r="B1196" s="12" t="n">
        <v>46013</v>
      </c>
      <c r="C1196" s="11" t="inlineStr">
        <is>
          <t>consignacion credibanco d e</t>
        </is>
      </c>
      <c r="D1196" s="13" t="n">
        <v>20900</v>
      </c>
      <c r="E1196" s="11">
        <f>IF(SUM(COUNTIFS('Conciliacion de compuestos'!$D$2:$D$48,"conciliado",'Conciliacion de compuestos'!$E$2:$E$48,"OK",'Conciliacion de compuestos'!$J$2:$J$48,A1196),COUNTIFS('Conciliacion de compuestos'!$D$2:$D$48,"conciliado",'Conciliacion de compuestos'!$E$2:$E$48,"OK",'Conciliacion de compuestos'!$K$2:$K$48,A1196),COUNTIFS('Conciliacion de compuestos'!$D$2:$D$48,"conciliado",'Conciliacion de compuestos'!$E$2:$E$48,"OK",'Conciliacion de compuestos'!$L$2:$L$48,A1196))&gt;0,"conciliado en compuesto confirmado","disponible")</f>
        <v/>
      </c>
    </row>
    <row r="1197">
      <c r="A1197" s="11" t="n">
        <v>1210</v>
      </c>
      <c r="B1197" s="12" t="n">
        <v>46013</v>
      </c>
      <c r="C1197" s="11" t="inlineStr">
        <is>
          <t>cobro comision depositos electronicos</t>
        </is>
      </c>
      <c r="D1197" s="13" t="n">
        <v>-451</v>
      </c>
      <c r="E1197" s="11">
        <f>IF(SUM(COUNTIFS('Conciliacion de compuestos'!$D$2:$D$48,"conciliado",'Conciliacion de compuestos'!$E$2:$E$48,"OK",'Conciliacion de compuestos'!$J$2:$J$48,A1197),COUNTIFS('Conciliacion de compuestos'!$D$2:$D$48,"conciliado",'Conciliacion de compuestos'!$E$2:$E$48,"OK",'Conciliacion de compuestos'!$K$2:$K$48,A1197),COUNTIFS('Conciliacion de compuestos'!$D$2:$D$48,"conciliado",'Conciliacion de compuestos'!$E$2:$E$48,"OK",'Conciliacion de compuestos'!$L$2:$L$48,A1197))&gt;0,"conciliado en compuesto confirmado","disponible")</f>
        <v/>
      </c>
    </row>
    <row r="1198">
      <c r="A1198" s="11" t="n">
        <v>1211</v>
      </c>
      <c r="B1198" s="12" t="n">
        <v>46013</v>
      </c>
      <c r="C1198" s="11" t="inlineStr">
        <is>
          <t>a financiero gravamen movimiento</t>
        </is>
      </c>
      <c r="D1198" s="13" t="n">
        <v>-2</v>
      </c>
      <c r="E1198" s="11">
        <f>IF(SUM(COUNTIFS('Conciliacion de compuestos'!$D$2:$D$48,"conciliado",'Conciliacion de compuestos'!$E$2:$E$48,"OK",'Conciliacion de compuestos'!$J$2:$J$48,A1198),COUNTIFS('Conciliacion de compuestos'!$D$2:$D$48,"conciliado",'Conciliacion de compuestos'!$E$2:$E$48,"OK",'Conciliacion de compuestos'!$K$2:$K$48,A1198),COUNTIFS('Conciliacion de compuestos'!$D$2:$D$48,"conciliado",'Conciliacion de compuestos'!$E$2:$E$48,"OK",'Conciliacion de compuestos'!$L$2:$L$48,A1198))&gt;0,"conciliado en compuesto confirmado","disponible")</f>
        <v/>
      </c>
    </row>
    <row r="1199">
      <c r="A1199" s="11" t="n">
        <v>1212</v>
      </c>
      <c r="B1199" s="12" t="n">
        <v>46013</v>
      </c>
      <c r="C1199" s="11" t="inlineStr">
        <is>
          <t>credibanco d e retefuente voucher y</t>
        </is>
      </c>
      <c r="D1199" s="13" t="n">
        <v>-314</v>
      </c>
      <c r="E1199" s="11">
        <f>IF(SUM(COUNTIFS('Conciliacion de compuestos'!$D$2:$D$48,"conciliado",'Conciliacion de compuestos'!$E$2:$E$48,"OK",'Conciliacion de compuestos'!$J$2:$J$48,A1199),COUNTIFS('Conciliacion de compuestos'!$D$2:$D$48,"conciliado",'Conciliacion de compuestos'!$E$2:$E$48,"OK",'Conciliacion de compuestos'!$K$2:$K$48,A1199),COUNTIFS('Conciliacion de compuestos'!$D$2:$D$48,"conciliado",'Conciliacion de compuestos'!$E$2:$E$48,"OK",'Conciliacion de compuestos'!$L$2:$L$48,A1199))&gt;0,"conciliado en compuesto confirmado","disponible")</f>
        <v/>
      </c>
    </row>
    <row r="1200">
      <c r="A1200" s="11" t="n">
        <v>1213</v>
      </c>
      <c r="B1200" s="12" t="n">
        <v>46013</v>
      </c>
      <c r="C1200" s="11" t="inlineStr">
        <is>
          <t>a financiero gravamen movimiento</t>
        </is>
      </c>
      <c r="D1200" s="13" t="n">
        <v>-1</v>
      </c>
      <c r="E1200" s="11">
        <f>IF(SUM(COUNTIFS('Conciliacion de compuestos'!$D$2:$D$48,"conciliado",'Conciliacion de compuestos'!$E$2:$E$48,"OK",'Conciliacion de compuestos'!$J$2:$J$48,A1200),COUNTIFS('Conciliacion de compuestos'!$D$2:$D$48,"conciliado",'Conciliacion de compuestos'!$E$2:$E$48,"OK",'Conciliacion de compuestos'!$K$2:$K$48,A1200),COUNTIFS('Conciliacion de compuestos'!$D$2:$D$48,"conciliado",'Conciliacion de compuestos'!$E$2:$E$48,"OK",'Conciliacion de compuestos'!$L$2:$L$48,A1200))&gt;0,"conciliado en compuesto confirmado","disponible")</f>
        <v/>
      </c>
    </row>
    <row r="1201">
      <c r="A1201" s="11" t="n">
        <v>1214</v>
      </c>
      <c r="B1201" s="12" t="n">
        <v>46013</v>
      </c>
      <c r="C1201" s="11" t="inlineStr">
        <is>
          <t>consignacion credibanco d e</t>
        </is>
      </c>
      <c r="D1201" s="13" t="n">
        <v>21900</v>
      </c>
      <c r="E1201" s="11">
        <f>IF(SUM(COUNTIFS('Conciliacion de compuestos'!$D$2:$D$48,"conciliado",'Conciliacion de compuestos'!$E$2:$E$48,"OK",'Conciliacion de compuestos'!$J$2:$J$48,A1201),COUNTIFS('Conciliacion de compuestos'!$D$2:$D$48,"conciliado",'Conciliacion de compuestos'!$E$2:$E$48,"OK",'Conciliacion de compuestos'!$K$2:$K$48,A1201),COUNTIFS('Conciliacion de compuestos'!$D$2:$D$48,"conciliado",'Conciliacion de compuestos'!$E$2:$E$48,"OK",'Conciliacion de compuestos'!$L$2:$L$48,A1201))&gt;0,"conciliado en compuesto confirmado","disponible")</f>
        <v/>
      </c>
    </row>
    <row r="1202">
      <c r="A1202" s="11" t="n">
        <v>1215</v>
      </c>
      <c r="B1202" s="12" t="n">
        <v>46013</v>
      </c>
      <c r="C1202" s="11" t="inlineStr">
        <is>
          <t>cobro comision depositos electronicos</t>
        </is>
      </c>
      <c r="D1202" s="13" t="n">
        <v>-473</v>
      </c>
      <c r="E1202" s="11">
        <f>IF(SUM(COUNTIFS('Conciliacion de compuestos'!$D$2:$D$48,"conciliado",'Conciliacion de compuestos'!$E$2:$E$48,"OK",'Conciliacion de compuestos'!$J$2:$J$48,A1202),COUNTIFS('Conciliacion de compuestos'!$D$2:$D$48,"conciliado",'Conciliacion de compuestos'!$E$2:$E$48,"OK",'Conciliacion de compuestos'!$K$2:$K$48,A1202),COUNTIFS('Conciliacion de compuestos'!$D$2:$D$48,"conciliado",'Conciliacion de compuestos'!$E$2:$E$48,"OK",'Conciliacion de compuestos'!$L$2:$L$48,A1202))&gt;0,"conciliado en compuesto confirmado","disponible")</f>
        <v/>
      </c>
    </row>
    <row r="1203">
      <c r="A1203" s="11" t="n">
        <v>1216</v>
      </c>
      <c r="B1203" s="12" t="n">
        <v>46013</v>
      </c>
      <c r="C1203" s="11" t="inlineStr">
        <is>
          <t>a financiero gravamen movimiento</t>
        </is>
      </c>
      <c r="D1203" s="13" t="n">
        <v>-2</v>
      </c>
      <c r="E1203" s="11">
        <f>IF(SUM(COUNTIFS('Conciliacion de compuestos'!$D$2:$D$48,"conciliado",'Conciliacion de compuestos'!$E$2:$E$48,"OK",'Conciliacion de compuestos'!$J$2:$J$48,A1203),COUNTIFS('Conciliacion de compuestos'!$D$2:$D$48,"conciliado",'Conciliacion de compuestos'!$E$2:$E$48,"OK",'Conciliacion de compuestos'!$K$2:$K$48,A1203),COUNTIFS('Conciliacion de compuestos'!$D$2:$D$48,"conciliado",'Conciliacion de compuestos'!$E$2:$E$48,"OK",'Conciliacion de compuestos'!$L$2:$L$48,A1203))&gt;0,"conciliado en compuesto confirmado","disponible")</f>
        <v/>
      </c>
    </row>
    <row r="1204">
      <c r="A1204" s="11" t="n">
        <v>1217</v>
      </c>
      <c r="B1204" s="12" t="n">
        <v>46013</v>
      </c>
      <c r="C1204" s="11" t="inlineStr">
        <is>
          <t>credibanco d e retefuente voucher y</t>
        </is>
      </c>
      <c r="D1204" s="13" t="n">
        <v>-329</v>
      </c>
      <c r="E1204" s="11">
        <f>IF(SUM(COUNTIFS('Conciliacion de compuestos'!$D$2:$D$48,"conciliado",'Conciliacion de compuestos'!$E$2:$E$48,"OK",'Conciliacion de compuestos'!$J$2:$J$48,A1204),COUNTIFS('Conciliacion de compuestos'!$D$2:$D$48,"conciliado",'Conciliacion de compuestos'!$E$2:$E$48,"OK",'Conciliacion de compuestos'!$K$2:$K$48,A1204),COUNTIFS('Conciliacion de compuestos'!$D$2:$D$48,"conciliado",'Conciliacion de compuestos'!$E$2:$E$48,"OK",'Conciliacion de compuestos'!$L$2:$L$48,A1204))&gt;0,"conciliado en compuesto confirmado","disponible")</f>
        <v/>
      </c>
    </row>
    <row r="1205">
      <c r="A1205" s="11" t="n">
        <v>1218</v>
      </c>
      <c r="B1205" s="12" t="n">
        <v>46013</v>
      </c>
      <c r="C1205" s="11" t="inlineStr">
        <is>
          <t>a financiero gravamen movimiento</t>
        </is>
      </c>
      <c r="D1205" s="13" t="n">
        <v>-1</v>
      </c>
      <c r="E1205" s="11">
        <f>IF(SUM(COUNTIFS('Conciliacion de compuestos'!$D$2:$D$48,"conciliado",'Conciliacion de compuestos'!$E$2:$E$48,"OK",'Conciliacion de compuestos'!$J$2:$J$48,A1205),COUNTIFS('Conciliacion de compuestos'!$D$2:$D$48,"conciliado",'Conciliacion de compuestos'!$E$2:$E$48,"OK",'Conciliacion de compuestos'!$K$2:$K$48,A1205),COUNTIFS('Conciliacion de compuestos'!$D$2:$D$48,"conciliado",'Conciliacion de compuestos'!$E$2:$E$48,"OK",'Conciliacion de compuestos'!$L$2:$L$48,A1205))&gt;0,"conciliado en compuesto confirmado","disponible")</f>
        <v/>
      </c>
    </row>
    <row r="1206">
      <c r="A1206" s="11" t="n">
        <v>1219</v>
      </c>
      <c r="B1206" s="12" t="n">
        <v>46013</v>
      </c>
      <c r="C1206" s="11" t="inlineStr">
        <is>
          <t>consignacion credibanco d e</t>
        </is>
      </c>
      <c r="D1206" s="13" t="n">
        <v>54000</v>
      </c>
      <c r="E1206" s="11">
        <f>IF(SUM(COUNTIFS('Conciliacion de compuestos'!$D$2:$D$48,"conciliado",'Conciliacion de compuestos'!$E$2:$E$48,"OK",'Conciliacion de compuestos'!$J$2:$J$48,A1206),COUNTIFS('Conciliacion de compuestos'!$D$2:$D$48,"conciliado",'Conciliacion de compuestos'!$E$2:$E$48,"OK",'Conciliacion de compuestos'!$K$2:$K$48,A1206),COUNTIFS('Conciliacion de compuestos'!$D$2:$D$48,"conciliado",'Conciliacion de compuestos'!$E$2:$E$48,"OK",'Conciliacion de compuestos'!$L$2:$L$48,A1206))&gt;0,"conciliado en compuesto confirmado","disponible")</f>
        <v/>
      </c>
    </row>
    <row r="1207">
      <c r="A1207" s="11" t="n">
        <v>1220</v>
      </c>
      <c r="B1207" s="12" t="n">
        <v>46013</v>
      </c>
      <c r="C1207" s="11" t="inlineStr">
        <is>
          <t>cobro comision depositos electronicos</t>
        </is>
      </c>
      <c r="D1207" s="13" t="n">
        <v>-1166</v>
      </c>
      <c r="E1207" s="11">
        <f>IF(SUM(COUNTIFS('Conciliacion de compuestos'!$D$2:$D$48,"conciliado",'Conciliacion de compuestos'!$E$2:$E$48,"OK",'Conciliacion de compuestos'!$J$2:$J$48,A1207),COUNTIFS('Conciliacion de compuestos'!$D$2:$D$48,"conciliado",'Conciliacion de compuestos'!$E$2:$E$48,"OK",'Conciliacion de compuestos'!$K$2:$K$48,A1207),COUNTIFS('Conciliacion de compuestos'!$D$2:$D$48,"conciliado",'Conciliacion de compuestos'!$E$2:$E$48,"OK",'Conciliacion de compuestos'!$L$2:$L$48,A1207))&gt;0,"conciliado en compuesto confirmado","disponible")</f>
        <v/>
      </c>
    </row>
    <row r="1208">
      <c r="A1208" s="11" t="n">
        <v>1221</v>
      </c>
      <c r="B1208" s="12" t="n">
        <v>46013</v>
      </c>
      <c r="C1208" s="11" t="inlineStr">
        <is>
          <t>a financiero gravamen movimiento</t>
        </is>
      </c>
      <c r="D1208" s="13" t="n">
        <v>-5</v>
      </c>
      <c r="E1208" s="11">
        <f>IF(SUM(COUNTIFS('Conciliacion de compuestos'!$D$2:$D$48,"conciliado",'Conciliacion de compuestos'!$E$2:$E$48,"OK",'Conciliacion de compuestos'!$J$2:$J$48,A1208),COUNTIFS('Conciliacion de compuestos'!$D$2:$D$48,"conciliado",'Conciliacion de compuestos'!$E$2:$E$48,"OK",'Conciliacion de compuestos'!$K$2:$K$48,A1208),COUNTIFS('Conciliacion de compuestos'!$D$2:$D$48,"conciliado",'Conciliacion de compuestos'!$E$2:$E$48,"OK",'Conciliacion de compuestos'!$L$2:$L$48,A1208))&gt;0,"conciliado en compuesto confirmado","disponible")</f>
        <v/>
      </c>
    </row>
    <row r="1209">
      <c r="A1209" s="11" t="n">
        <v>1222</v>
      </c>
      <c r="B1209" s="12" t="n">
        <v>46013</v>
      </c>
      <c r="C1209" s="11" t="inlineStr">
        <is>
          <t>credibanco d e retefuente voucher y</t>
        </is>
      </c>
      <c r="D1209" s="13" t="n">
        <v>-810</v>
      </c>
      <c r="E1209" s="11">
        <f>IF(SUM(COUNTIFS('Conciliacion de compuestos'!$D$2:$D$48,"conciliado",'Conciliacion de compuestos'!$E$2:$E$48,"OK",'Conciliacion de compuestos'!$J$2:$J$48,A1209),COUNTIFS('Conciliacion de compuestos'!$D$2:$D$48,"conciliado",'Conciliacion de compuestos'!$E$2:$E$48,"OK",'Conciliacion de compuestos'!$K$2:$K$48,A1209),COUNTIFS('Conciliacion de compuestos'!$D$2:$D$48,"conciliado",'Conciliacion de compuestos'!$E$2:$E$48,"OK",'Conciliacion de compuestos'!$L$2:$L$48,A1209))&gt;0,"conciliado en compuesto confirmado","disponible")</f>
        <v/>
      </c>
    </row>
    <row r="1210">
      <c r="A1210" s="11" t="n">
        <v>1223</v>
      </c>
      <c r="B1210" s="12" t="n">
        <v>46013</v>
      </c>
      <c r="C1210" s="11" t="inlineStr">
        <is>
          <t>a financiero gravamen movimiento</t>
        </is>
      </c>
      <c r="D1210" s="13" t="n">
        <v>-3</v>
      </c>
      <c r="E1210" s="11">
        <f>IF(SUM(COUNTIFS('Conciliacion de compuestos'!$D$2:$D$48,"conciliado",'Conciliacion de compuestos'!$E$2:$E$48,"OK",'Conciliacion de compuestos'!$J$2:$J$48,A1210),COUNTIFS('Conciliacion de compuestos'!$D$2:$D$48,"conciliado",'Conciliacion de compuestos'!$E$2:$E$48,"OK",'Conciliacion de compuestos'!$K$2:$K$48,A1210),COUNTIFS('Conciliacion de compuestos'!$D$2:$D$48,"conciliado",'Conciliacion de compuestos'!$E$2:$E$48,"OK",'Conciliacion de compuestos'!$L$2:$L$48,A1210))&gt;0,"conciliado en compuesto confirmado","disponible")</f>
        <v/>
      </c>
    </row>
    <row r="1211">
      <c r="A1211" s="11" t="n">
        <v>1224</v>
      </c>
      <c r="B1211" s="12" t="n">
        <v>46013</v>
      </c>
      <c r="C1211" s="11" t="inlineStr">
        <is>
          <t>consignacion credibanco d e</t>
        </is>
      </c>
      <c r="D1211" s="13" t="n">
        <v>31700</v>
      </c>
      <c r="E1211" s="11">
        <f>IF(SUM(COUNTIFS('Conciliacion de compuestos'!$D$2:$D$48,"conciliado",'Conciliacion de compuestos'!$E$2:$E$48,"OK",'Conciliacion de compuestos'!$J$2:$J$48,A1211),COUNTIFS('Conciliacion de compuestos'!$D$2:$D$48,"conciliado",'Conciliacion de compuestos'!$E$2:$E$48,"OK",'Conciliacion de compuestos'!$K$2:$K$48,A1211),COUNTIFS('Conciliacion de compuestos'!$D$2:$D$48,"conciliado",'Conciliacion de compuestos'!$E$2:$E$48,"OK",'Conciliacion de compuestos'!$L$2:$L$48,A1211))&gt;0,"conciliado en compuesto confirmado","disponible")</f>
        <v/>
      </c>
    </row>
    <row r="1212">
      <c r="A1212" s="11" t="n">
        <v>1225</v>
      </c>
      <c r="B1212" s="12" t="n">
        <v>46013</v>
      </c>
      <c r="C1212" s="11" t="inlineStr">
        <is>
          <t>cobro comision depositos electronicos</t>
        </is>
      </c>
      <c r="D1212" s="13" t="n">
        <v>-694</v>
      </c>
      <c r="E1212" s="11">
        <f>IF(SUM(COUNTIFS('Conciliacion de compuestos'!$D$2:$D$48,"conciliado",'Conciliacion de compuestos'!$E$2:$E$48,"OK",'Conciliacion de compuestos'!$J$2:$J$48,A1212),COUNTIFS('Conciliacion de compuestos'!$D$2:$D$48,"conciliado",'Conciliacion de compuestos'!$E$2:$E$48,"OK",'Conciliacion de compuestos'!$K$2:$K$48,A1212),COUNTIFS('Conciliacion de compuestos'!$D$2:$D$48,"conciliado",'Conciliacion de compuestos'!$E$2:$E$48,"OK",'Conciliacion de compuestos'!$L$2:$L$48,A1212))&gt;0,"conciliado en compuesto confirmado","disponible")</f>
        <v/>
      </c>
    </row>
    <row r="1213">
      <c r="A1213" s="11" t="n">
        <v>1226</v>
      </c>
      <c r="B1213" s="12" t="n">
        <v>46013</v>
      </c>
      <c r="C1213" s="11" t="inlineStr">
        <is>
          <t>a financiero gravamen movimiento</t>
        </is>
      </c>
      <c r="D1213" s="13" t="n">
        <v>-3</v>
      </c>
      <c r="E1213" s="11">
        <f>IF(SUM(COUNTIFS('Conciliacion de compuestos'!$D$2:$D$48,"conciliado",'Conciliacion de compuestos'!$E$2:$E$48,"OK",'Conciliacion de compuestos'!$J$2:$J$48,A1213),COUNTIFS('Conciliacion de compuestos'!$D$2:$D$48,"conciliado",'Conciliacion de compuestos'!$E$2:$E$48,"OK",'Conciliacion de compuestos'!$K$2:$K$48,A1213),COUNTIFS('Conciliacion de compuestos'!$D$2:$D$48,"conciliado",'Conciliacion de compuestos'!$E$2:$E$48,"OK",'Conciliacion de compuestos'!$L$2:$L$48,A1213))&gt;0,"conciliado en compuesto confirmado","disponible")</f>
        <v/>
      </c>
    </row>
    <row r="1214">
      <c r="A1214" s="11" t="n">
        <v>1227</v>
      </c>
      <c r="B1214" s="12" t="n">
        <v>46013</v>
      </c>
      <c r="C1214" s="11" t="inlineStr">
        <is>
          <t>credibanco d e retefuente voucher y</t>
        </is>
      </c>
      <c r="D1214" s="13" t="n">
        <v>-476</v>
      </c>
      <c r="E1214" s="11">
        <f>IF(SUM(COUNTIFS('Conciliacion de compuestos'!$D$2:$D$48,"conciliado",'Conciliacion de compuestos'!$E$2:$E$48,"OK",'Conciliacion de compuestos'!$J$2:$J$48,A1214),COUNTIFS('Conciliacion de compuestos'!$D$2:$D$48,"conciliado",'Conciliacion de compuestos'!$E$2:$E$48,"OK",'Conciliacion de compuestos'!$K$2:$K$48,A1214),COUNTIFS('Conciliacion de compuestos'!$D$2:$D$48,"conciliado",'Conciliacion de compuestos'!$E$2:$E$48,"OK",'Conciliacion de compuestos'!$L$2:$L$48,A1214))&gt;0,"conciliado en compuesto confirmado","disponible")</f>
        <v/>
      </c>
    </row>
    <row r="1215">
      <c r="A1215" s="11" t="n">
        <v>1228</v>
      </c>
      <c r="B1215" s="12" t="n">
        <v>46013</v>
      </c>
      <c r="C1215" s="11" t="inlineStr">
        <is>
          <t>a financiero gravamen movimiento</t>
        </is>
      </c>
      <c r="D1215" s="13" t="n">
        <v>-2</v>
      </c>
      <c r="E1215" s="11">
        <f>IF(SUM(COUNTIFS('Conciliacion de compuestos'!$D$2:$D$48,"conciliado",'Conciliacion de compuestos'!$E$2:$E$48,"OK",'Conciliacion de compuestos'!$J$2:$J$48,A1215),COUNTIFS('Conciliacion de compuestos'!$D$2:$D$48,"conciliado",'Conciliacion de compuestos'!$E$2:$E$48,"OK",'Conciliacion de compuestos'!$K$2:$K$48,A1215),COUNTIFS('Conciliacion de compuestos'!$D$2:$D$48,"conciliado",'Conciliacion de compuestos'!$E$2:$E$48,"OK",'Conciliacion de compuestos'!$L$2:$L$48,A1215))&gt;0,"conciliado en compuesto confirmado","disponible")</f>
        <v/>
      </c>
    </row>
    <row r="1216">
      <c r="A1216" s="11" t="n">
        <v>1229</v>
      </c>
      <c r="B1216" s="12" t="n">
        <v>46013</v>
      </c>
      <c r="C1216" s="11" t="inlineStr">
        <is>
          <t>consignacion credibanco d e</t>
        </is>
      </c>
      <c r="D1216" s="13" t="n">
        <v>80000</v>
      </c>
      <c r="E1216" s="11">
        <f>IF(SUM(COUNTIFS('Conciliacion de compuestos'!$D$2:$D$48,"conciliado",'Conciliacion de compuestos'!$E$2:$E$48,"OK",'Conciliacion de compuestos'!$J$2:$J$48,A1216),COUNTIFS('Conciliacion de compuestos'!$D$2:$D$48,"conciliado",'Conciliacion de compuestos'!$E$2:$E$48,"OK",'Conciliacion de compuestos'!$K$2:$K$48,A1216),COUNTIFS('Conciliacion de compuestos'!$D$2:$D$48,"conciliado",'Conciliacion de compuestos'!$E$2:$E$48,"OK",'Conciliacion de compuestos'!$L$2:$L$48,A1216))&gt;0,"conciliado en compuesto confirmado","disponible")</f>
        <v/>
      </c>
    </row>
    <row r="1217">
      <c r="A1217" s="11" t="n">
        <v>1230</v>
      </c>
      <c r="B1217" s="12" t="n">
        <v>46013</v>
      </c>
      <c r="C1217" s="11" t="inlineStr">
        <is>
          <t>cobro comision depositos electronicos</t>
        </is>
      </c>
      <c r="D1217" s="13" t="n">
        <v>-1752</v>
      </c>
      <c r="E1217" s="11">
        <f>IF(SUM(COUNTIFS('Conciliacion de compuestos'!$D$2:$D$48,"conciliado",'Conciliacion de compuestos'!$E$2:$E$48,"OK",'Conciliacion de compuestos'!$J$2:$J$48,A1217),COUNTIFS('Conciliacion de compuestos'!$D$2:$D$48,"conciliado",'Conciliacion de compuestos'!$E$2:$E$48,"OK",'Conciliacion de compuestos'!$K$2:$K$48,A1217),COUNTIFS('Conciliacion de compuestos'!$D$2:$D$48,"conciliado",'Conciliacion de compuestos'!$E$2:$E$48,"OK",'Conciliacion de compuestos'!$L$2:$L$48,A1217))&gt;0,"conciliado en compuesto confirmado","disponible")</f>
        <v/>
      </c>
    </row>
    <row r="1218">
      <c r="A1218" s="11" t="n">
        <v>1231</v>
      </c>
      <c r="B1218" s="12" t="n">
        <v>46013</v>
      </c>
      <c r="C1218" s="11" t="inlineStr">
        <is>
          <t>a financiero gravamen movimiento</t>
        </is>
      </c>
      <c r="D1218" s="13" t="n">
        <v>-7</v>
      </c>
      <c r="E1218" s="11">
        <f>IF(SUM(COUNTIFS('Conciliacion de compuestos'!$D$2:$D$48,"conciliado",'Conciliacion de compuestos'!$E$2:$E$48,"OK",'Conciliacion de compuestos'!$J$2:$J$48,A1218),COUNTIFS('Conciliacion de compuestos'!$D$2:$D$48,"conciliado",'Conciliacion de compuestos'!$E$2:$E$48,"OK",'Conciliacion de compuestos'!$K$2:$K$48,A1218),COUNTIFS('Conciliacion de compuestos'!$D$2:$D$48,"conciliado",'Conciliacion de compuestos'!$E$2:$E$48,"OK",'Conciliacion de compuestos'!$L$2:$L$48,A1218))&gt;0,"conciliado en compuesto confirmado","disponible")</f>
        <v/>
      </c>
    </row>
    <row r="1219">
      <c r="A1219" s="11" t="n">
        <v>1232</v>
      </c>
      <c r="B1219" s="12" t="n">
        <v>46013</v>
      </c>
      <c r="C1219" s="11" t="inlineStr">
        <is>
          <t>credibanco d e retefuente voucher y</t>
        </is>
      </c>
      <c r="D1219" s="13" t="n">
        <v>-1200</v>
      </c>
      <c r="E1219" s="11">
        <f>IF(SUM(COUNTIFS('Conciliacion de compuestos'!$D$2:$D$48,"conciliado",'Conciliacion de compuestos'!$E$2:$E$48,"OK",'Conciliacion de compuestos'!$J$2:$J$48,A1219),COUNTIFS('Conciliacion de compuestos'!$D$2:$D$48,"conciliado",'Conciliacion de compuestos'!$E$2:$E$48,"OK",'Conciliacion de compuestos'!$K$2:$K$48,A1219),COUNTIFS('Conciliacion de compuestos'!$D$2:$D$48,"conciliado",'Conciliacion de compuestos'!$E$2:$E$48,"OK",'Conciliacion de compuestos'!$L$2:$L$48,A1219))&gt;0,"conciliado en compuesto confirmado","disponible")</f>
        <v/>
      </c>
    </row>
    <row r="1220">
      <c r="A1220" s="11" t="n">
        <v>1233</v>
      </c>
      <c r="B1220" s="12" t="n">
        <v>46013</v>
      </c>
      <c r="C1220" s="11" t="inlineStr">
        <is>
          <t>a financiero gravamen movimiento</t>
        </is>
      </c>
      <c r="D1220" s="13" t="n">
        <v>-5</v>
      </c>
      <c r="E1220" s="11">
        <f>IF(SUM(COUNTIFS('Conciliacion de compuestos'!$D$2:$D$48,"conciliado",'Conciliacion de compuestos'!$E$2:$E$48,"OK",'Conciliacion de compuestos'!$J$2:$J$48,A1220),COUNTIFS('Conciliacion de compuestos'!$D$2:$D$48,"conciliado",'Conciliacion de compuestos'!$E$2:$E$48,"OK",'Conciliacion de compuestos'!$K$2:$K$48,A1220),COUNTIFS('Conciliacion de compuestos'!$D$2:$D$48,"conciliado",'Conciliacion de compuestos'!$E$2:$E$48,"OK",'Conciliacion de compuestos'!$L$2:$L$48,A1220))&gt;0,"conciliado en compuesto confirmado","disponible")</f>
        <v/>
      </c>
    </row>
    <row r="1221">
      <c r="A1221" s="11" t="n">
        <v>1234</v>
      </c>
      <c r="B1221" s="12" t="n">
        <v>46013</v>
      </c>
      <c r="C1221" s="11" t="inlineStr">
        <is>
          <t>consignacion credibanco d e</t>
        </is>
      </c>
      <c r="D1221" s="13" t="n">
        <v>92000</v>
      </c>
      <c r="E1221" s="11">
        <f>IF(SUM(COUNTIFS('Conciliacion de compuestos'!$D$2:$D$48,"conciliado",'Conciliacion de compuestos'!$E$2:$E$48,"OK",'Conciliacion de compuestos'!$J$2:$J$48,A1221),COUNTIFS('Conciliacion de compuestos'!$D$2:$D$48,"conciliado",'Conciliacion de compuestos'!$E$2:$E$48,"OK",'Conciliacion de compuestos'!$K$2:$K$48,A1221),COUNTIFS('Conciliacion de compuestos'!$D$2:$D$48,"conciliado",'Conciliacion de compuestos'!$E$2:$E$48,"OK",'Conciliacion de compuestos'!$L$2:$L$48,A1221))&gt;0,"conciliado en compuesto confirmado","disponible")</f>
        <v/>
      </c>
    </row>
    <row r="1222">
      <c r="A1222" s="11" t="n">
        <v>1235</v>
      </c>
      <c r="B1222" s="12" t="n">
        <v>46013</v>
      </c>
      <c r="C1222" s="11" t="inlineStr">
        <is>
          <t>cobro comision depositos electronicos</t>
        </is>
      </c>
      <c r="D1222" s="13" t="n">
        <v>-1895</v>
      </c>
      <c r="E1222" s="11">
        <f>IF(SUM(COUNTIFS('Conciliacion de compuestos'!$D$2:$D$48,"conciliado",'Conciliacion de compuestos'!$E$2:$E$48,"OK",'Conciliacion de compuestos'!$J$2:$J$48,A1222),COUNTIFS('Conciliacion de compuestos'!$D$2:$D$48,"conciliado",'Conciliacion de compuestos'!$E$2:$E$48,"OK",'Conciliacion de compuestos'!$K$2:$K$48,A1222),COUNTIFS('Conciliacion de compuestos'!$D$2:$D$48,"conciliado",'Conciliacion de compuestos'!$E$2:$E$48,"OK",'Conciliacion de compuestos'!$L$2:$L$48,A1222))&gt;0,"conciliado en compuesto confirmado","disponible")</f>
        <v/>
      </c>
    </row>
    <row r="1223">
      <c r="A1223" s="11" t="n">
        <v>1236</v>
      </c>
      <c r="B1223" s="12" t="n">
        <v>46013</v>
      </c>
      <c r="C1223" s="11" t="inlineStr">
        <is>
          <t>a financiero gravamen movimiento</t>
        </is>
      </c>
      <c r="D1223" s="13" t="n">
        <v>-8</v>
      </c>
      <c r="E1223" s="11">
        <f>IF(SUM(COUNTIFS('Conciliacion de compuestos'!$D$2:$D$48,"conciliado",'Conciliacion de compuestos'!$E$2:$E$48,"OK",'Conciliacion de compuestos'!$J$2:$J$48,A1223),COUNTIFS('Conciliacion de compuestos'!$D$2:$D$48,"conciliado",'Conciliacion de compuestos'!$E$2:$E$48,"OK",'Conciliacion de compuestos'!$K$2:$K$48,A1223),COUNTIFS('Conciliacion de compuestos'!$D$2:$D$48,"conciliado",'Conciliacion de compuestos'!$E$2:$E$48,"OK",'Conciliacion de compuestos'!$L$2:$L$48,A1223))&gt;0,"conciliado en compuesto confirmado","disponible")</f>
        <v/>
      </c>
    </row>
    <row r="1224">
      <c r="A1224" s="11" t="n">
        <v>1237</v>
      </c>
      <c r="B1224" s="12" t="n">
        <v>46013</v>
      </c>
      <c r="C1224" s="11" t="inlineStr">
        <is>
          <t>credibanco d e retefuente voucher y</t>
        </is>
      </c>
      <c r="D1224" s="13" t="n">
        <v>-1380</v>
      </c>
      <c r="E1224" s="11">
        <f>IF(SUM(COUNTIFS('Conciliacion de compuestos'!$D$2:$D$48,"conciliado",'Conciliacion de compuestos'!$E$2:$E$48,"OK",'Conciliacion de compuestos'!$J$2:$J$48,A1224),COUNTIFS('Conciliacion de compuestos'!$D$2:$D$48,"conciliado",'Conciliacion de compuestos'!$E$2:$E$48,"OK",'Conciliacion de compuestos'!$K$2:$K$48,A1224),COUNTIFS('Conciliacion de compuestos'!$D$2:$D$48,"conciliado",'Conciliacion de compuestos'!$E$2:$E$48,"OK",'Conciliacion de compuestos'!$L$2:$L$48,A1224))&gt;0,"conciliado en compuesto confirmado","disponible")</f>
        <v/>
      </c>
    </row>
    <row r="1225">
      <c r="A1225" s="11" t="n">
        <v>1238</v>
      </c>
      <c r="B1225" s="12" t="n">
        <v>46013</v>
      </c>
      <c r="C1225" s="11" t="inlineStr">
        <is>
          <t>a financiero gravamen movimiento</t>
        </is>
      </c>
      <c r="D1225" s="13" t="n">
        <v>-6</v>
      </c>
      <c r="E1225" s="11">
        <f>IF(SUM(COUNTIFS('Conciliacion de compuestos'!$D$2:$D$48,"conciliado",'Conciliacion de compuestos'!$E$2:$E$48,"OK",'Conciliacion de compuestos'!$J$2:$J$48,A1225),COUNTIFS('Conciliacion de compuestos'!$D$2:$D$48,"conciliado",'Conciliacion de compuestos'!$E$2:$E$48,"OK",'Conciliacion de compuestos'!$K$2:$K$48,A1225),COUNTIFS('Conciliacion de compuestos'!$D$2:$D$48,"conciliado",'Conciliacion de compuestos'!$E$2:$E$48,"OK",'Conciliacion de compuestos'!$L$2:$L$48,A1225))&gt;0,"conciliado en compuesto confirmado","disponible")</f>
        <v/>
      </c>
    </row>
    <row r="1226">
      <c r="A1226" s="11" t="n">
        <v>1239</v>
      </c>
      <c r="B1226" s="12" t="n">
        <v>46013</v>
      </c>
      <c r="C1226" s="11" t="inlineStr">
        <is>
          <t>consignacion credibanco d e</t>
        </is>
      </c>
      <c r="D1226" s="13" t="n">
        <v>76000</v>
      </c>
      <c r="E1226" s="11">
        <f>IF(SUM(COUNTIFS('Conciliacion de compuestos'!$D$2:$D$48,"conciliado",'Conciliacion de compuestos'!$E$2:$E$48,"OK",'Conciliacion de compuestos'!$J$2:$J$48,A1226),COUNTIFS('Conciliacion de compuestos'!$D$2:$D$48,"conciliado",'Conciliacion de compuestos'!$E$2:$E$48,"OK",'Conciliacion de compuestos'!$K$2:$K$48,A1226),COUNTIFS('Conciliacion de compuestos'!$D$2:$D$48,"conciliado",'Conciliacion de compuestos'!$E$2:$E$48,"OK",'Conciliacion de compuestos'!$L$2:$L$48,A1226))&gt;0,"conciliado en compuesto confirmado","disponible")</f>
        <v/>
      </c>
    </row>
    <row r="1227">
      <c r="A1227" s="11" t="n">
        <v>1240</v>
      </c>
      <c r="B1227" s="12" t="n">
        <v>46013</v>
      </c>
      <c r="C1227" s="11" t="inlineStr">
        <is>
          <t>cobro comision depositos electronicos</t>
        </is>
      </c>
      <c r="D1227" s="13" t="n">
        <v>-1566</v>
      </c>
      <c r="E1227" s="11">
        <f>IF(SUM(COUNTIFS('Conciliacion de compuestos'!$D$2:$D$48,"conciliado",'Conciliacion de compuestos'!$E$2:$E$48,"OK",'Conciliacion de compuestos'!$J$2:$J$48,A1227),COUNTIFS('Conciliacion de compuestos'!$D$2:$D$48,"conciliado",'Conciliacion de compuestos'!$E$2:$E$48,"OK",'Conciliacion de compuestos'!$K$2:$K$48,A1227),COUNTIFS('Conciliacion de compuestos'!$D$2:$D$48,"conciliado",'Conciliacion de compuestos'!$E$2:$E$48,"OK",'Conciliacion de compuestos'!$L$2:$L$48,A1227))&gt;0,"conciliado en compuesto confirmado","disponible")</f>
        <v/>
      </c>
    </row>
    <row r="1228">
      <c r="A1228" s="11" t="n">
        <v>1241</v>
      </c>
      <c r="B1228" s="12" t="n">
        <v>46013</v>
      </c>
      <c r="C1228" s="11" t="inlineStr">
        <is>
          <t>a financiero gravamen movimiento</t>
        </is>
      </c>
      <c r="D1228" s="13" t="n">
        <v>-6</v>
      </c>
      <c r="E1228" s="11">
        <f>IF(SUM(COUNTIFS('Conciliacion de compuestos'!$D$2:$D$48,"conciliado",'Conciliacion de compuestos'!$E$2:$E$48,"OK",'Conciliacion de compuestos'!$J$2:$J$48,A1228),COUNTIFS('Conciliacion de compuestos'!$D$2:$D$48,"conciliado",'Conciliacion de compuestos'!$E$2:$E$48,"OK",'Conciliacion de compuestos'!$K$2:$K$48,A1228),COUNTIFS('Conciliacion de compuestos'!$D$2:$D$48,"conciliado",'Conciliacion de compuestos'!$E$2:$E$48,"OK",'Conciliacion de compuestos'!$L$2:$L$48,A1228))&gt;0,"conciliado en compuesto confirmado","disponible")</f>
        <v/>
      </c>
    </row>
    <row r="1229">
      <c r="A1229" s="11" t="n">
        <v>1242</v>
      </c>
      <c r="B1229" s="12" t="n">
        <v>46013</v>
      </c>
      <c r="C1229" s="11" t="inlineStr">
        <is>
          <t>credibanco d e retefuente voucher y</t>
        </is>
      </c>
      <c r="D1229" s="13" t="n">
        <v>-1140</v>
      </c>
      <c r="E1229" s="11">
        <f>IF(SUM(COUNTIFS('Conciliacion de compuestos'!$D$2:$D$48,"conciliado",'Conciliacion de compuestos'!$E$2:$E$48,"OK",'Conciliacion de compuestos'!$J$2:$J$48,A1229),COUNTIFS('Conciliacion de compuestos'!$D$2:$D$48,"conciliado",'Conciliacion de compuestos'!$E$2:$E$48,"OK",'Conciliacion de compuestos'!$K$2:$K$48,A1229),COUNTIFS('Conciliacion de compuestos'!$D$2:$D$48,"conciliado",'Conciliacion de compuestos'!$E$2:$E$48,"OK",'Conciliacion de compuestos'!$L$2:$L$48,A1229))&gt;0,"conciliado en compuesto confirmado","disponible")</f>
        <v/>
      </c>
    </row>
    <row r="1230">
      <c r="A1230" s="11" t="n">
        <v>1243</v>
      </c>
      <c r="B1230" s="12" t="n">
        <v>46013</v>
      </c>
      <c r="C1230" s="11" t="inlineStr">
        <is>
          <t>a financiero gravamen movimiento</t>
        </is>
      </c>
      <c r="D1230" s="13" t="n">
        <v>-5</v>
      </c>
      <c r="E1230" s="11">
        <f>IF(SUM(COUNTIFS('Conciliacion de compuestos'!$D$2:$D$48,"conciliado",'Conciliacion de compuestos'!$E$2:$E$48,"OK",'Conciliacion de compuestos'!$J$2:$J$48,A1230),COUNTIFS('Conciliacion de compuestos'!$D$2:$D$48,"conciliado",'Conciliacion de compuestos'!$E$2:$E$48,"OK",'Conciliacion de compuestos'!$K$2:$K$48,A1230),COUNTIFS('Conciliacion de compuestos'!$D$2:$D$48,"conciliado",'Conciliacion de compuestos'!$E$2:$E$48,"OK",'Conciliacion de compuestos'!$L$2:$L$48,A1230))&gt;0,"conciliado en compuesto confirmado","disponible")</f>
        <v/>
      </c>
    </row>
    <row r="1231">
      <c r="A1231" s="11" t="n">
        <v>1244</v>
      </c>
      <c r="B1231" s="12" t="n">
        <v>46013</v>
      </c>
      <c r="C1231" s="11" t="inlineStr">
        <is>
          <t>consignacion credibanco d e</t>
        </is>
      </c>
      <c r="D1231" s="13" t="n">
        <v>49878</v>
      </c>
      <c r="E1231" s="11">
        <f>IF(SUM(COUNTIFS('Conciliacion de compuestos'!$D$2:$D$48,"conciliado",'Conciliacion de compuestos'!$E$2:$E$48,"OK",'Conciliacion de compuestos'!$J$2:$J$48,A1231),COUNTIFS('Conciliacion de compuestos'!$D$2:$D$48,"conciliado",'Conciliacion de compuestos'!$E$2:$E$48,"OK",'Conciliacion de compuestos'!$K$2:$K$48,A1231),COUNTIFS('Conciliacion de compuestos'!$D$2:$D$48,"conciliado",'Conciliacion de compuestos'!$E$2:$E$48,"OK",'Conciliacion de compuestos'!$L$2:$L$48,A1231))&gt;0,"conciliado en compuesto confirmado","disponible")</f>
        <v/>
      </c>
    </row>
    <row r="1232">
      <c r="A1232" s="11" t="n">
        <v>1245</v>
      </c>
      <c r="B1232" s="12" t="n">
        <v>46013</v>
      </c>
      <c r="C1232" s="11" t="inlineStr">
        <is>
          <t>cobro comision depositos electronicos</t>
        </is>
      </c>
      <c r="D1232" s="13" t="n">
        <v>-1077</v>
      </c>
      <c r="E1232" s="11">
        <f>IF(SUM(COUNTIFS('Conciliacion de compuestos'!$D$2:$D$48,"conciliado",'Conciliacion de compuestos'!$E$2:$E$48,"OK",'Conciliacion de compuestos'!$J$2:$J$48,A1232),COUNTIFS('Conciliacion de compuestos'!$D$2:$D$48,"conciliado",'Conciliacion de compuestos'!$E$2:$E$48,"OK",'Conciliacion de compuestos'!$K$2:$K$48,A1232),COUNTIFS('Conciliacion de compuestos'!$D$2:$D$48,"conciliado",'Conciliacion de compuestos'!$E$2:$E$48,"OK",'Conciliacion de compuestos'!$L$2:$L$48,A1232))&gt;0,"conciliado en compuesto confirmado","disponible")</f>
        <v/>
      </c>
    </row>
    <row r="1233">
      <c r="A1233" s="11" t="n">
        <v>1246</v>
      </c>
      <c r="B1233" s="12" t="n">
        <v>46013</v>
      </c>
      <c r="C1233" s="11" t="inlineStr">
        <is>
          <t>a financiero gravamen movimiento</t>
        </is>
      </c>
      <c r="D1233" s="13" t="n">
        <v>-4</v>
      </c>
      <c r="E1233" s="11">
        <f>IF(SUM(COUNTIFS('Conciliacion de compuestos'!$D$2:$D$48,"conciliado",'Conciliacion de compuestos'!$E$2:$E$48,"OK",'Conciliacion de compuestos'!$J$2:$J$48,A1233),COUNTIFS('Conciliacion de compuestos'!$D$2:$D$48,"conciliado",'Conciliacion de compuestos'!$E$2:$E$48,"OK",'Conciliacion de compuestos'!$K$2:$K$48,A1233),COUNTIFS('Conciliacion de compuestos'!$D$2:$D$48,"conciliado",'Conciliacion de compuestos'!$E$2:$E$48,"OK",'Conciliacion de compuestos'!$L$2:$L$48,A1233))&gt;0,"conciliado en compuesto confirmado","disponible")</f>
        <v/>
      </c>
    </row>
    <row r="1234">
      <c r="A1234" s="11" t="n">
        <v>1247</v>
      </c>
      <c r="B1234" s="12" t="n">
        <v>46013</v>
      </c>
      <c r="C1234" s="11" t="inlineStr">
        <is>
          <t>credibanco d e retefuente voucher y</t>
        </is>
      </c>
      <c r="D1234" s="13" t="n">
        <v>-748</v>
      </c>
      <c r="E1234" s="11">
        <f>IF(SUM(COUNTIFS('Conciliacion de compuestos'!$D$2:$D$48,"conciliado",'Conciliacion de compuestos'!$E$2:$E$48,"OK",'Conciliacion de compuestos'!$J$2:$J$48,A1234),COUNTIFS('Conciliacion de compuestos'!$D$2:$D$48,"conciliado",'Conciliacion de compuestos'!$E$2:$E$48,"OK",'Conciliacion de compuestos'!$K$2:$K$48,A1234),COUNTIFS('Conciliacion de compuestos'!$D$2:$D$48,"conciliado",'Conciliacion de compuestos'!$E$2:$E$48,"OK",'Conciliacion de compuestos'!$L$2:$L$48,A1234))&gt;0,"conciliado en compuesto confirmado","disponible")</f>
        <v/>
      </c>
    </row>
    <row r="1235">
      <c r="A1235" s="11" t="n">
        <v>1248</v>
      </c>
      <c r="B1235" s="12" t="n">
        <v>46013</v>
      </c>
      <c r="C1235" s="11" t="inlineStr">
        <is>
          <t>a financiero gravamen movimiento</t>
        </is>
      </c>
      <c r="D1235" s="13" t="n">
        <v>-3</v>
      </c>
      <c r="E1235" s="11">
        <f>IF(SUM(COUNTIFS('Conciliacion de compuestos'!$D$2:$D$48,"conciliado",'Conciliacion de compuestos'!$E$2:$E$48,"OK",'Conciliacion de compuestos'!$J$2:$J$48,A1235),COUNTIFS('Conciliacion de compuestos'!$D$2:$D$48,"conciliado",'Conciliacion de compuestos'!$E$2:$E$48,"OK",'Conciliacion de compuestos'!$K$2:$K$48,A1235),COUNTIFS('Conciliacion de compuestos'!$D$2:$D$48,"conciliado",'Conciliacion de compuestos'!$E$2:$E$48,"OK",'Conciliacion de compuestos'!$L$2:$L$48,A1235))&gt;0,"conciliado en compuesto confirmado","disponible")</f>
        <v/>
      </c>
    </row>
    <row r="1236">
      <c r="A1236" s="11" t="n">
        <v>1249</v>
      </c>
      <c r="B1236" s="12" t="n">
        <v>46013</v>
      </c>
      <c r="C1236" s="11" t="inlineStr">
        <is>
          <t>depositos electronicos masterca transaccion</t>
        </is>
      </c>
      <c r="D1236" s="13" t="n">
        <v>20500</v>
      </c>
      <c r="E1236" s="11">
        <f>IF(SUM(COUNTIFS('Conciliacion de compuestos'!$D$2:$D$48,"conciliado",'Conciliacion de compuestos'!$E$2:$E$48,"OK",'Conciliacion de compuestos'!$J$2:$J$48,A1236),COUNTIFS('Conciliacion de compuestos'!$D$2:$D$48,"conciliado",'Conciliacion de compuestos'!$E$2:$E$48,"OK",'Conciliacion de compuestos'!$K$2:$K$48,A1236),COUNTIFS('Conciliacion de compuestos'!$D$2:$D$48,"conciliado",'Conciliacion de compuestos'!$E$2:$E$48,"OK",'Conciliacion de compuestos'!$L$2:$L$48,A1236))&gt;0,"conciliado en compuesto confirmado","disponible")</f>
        <v/>
      </c>
    </row>
    <row r="1237">
      <c r="A1237" s="11" t="n">
        <v>1250</v>
      </c>
      <c r="B1237" s="12" t="n">
        <v>46013</v>
      </c>
      <c r="C1237" s="11" t="inlineStr">
        <is>
          <t>comision depositos electronicos mastercard</t>
        </is>
      </c>
      <c r="D1237" s="13" t="n">
        <v>-482</v>
      </c>
      <c r="E1237" s="11">
        <f>IF(SUM(COUNTIFS('Conciliacion de compuestos'!$D$2:$D$48,"conciliado",'Conciliacion de compuestos'!$E$2:$E$48,"OK",'Conciliacion de compuestos'!$J$2:$J$48,A1237),COUNTIFS('Conciliacion de compuestos'!$D$2:$D$48,"conciliado",'Conciliacion de compuestos'!$E$2:$E$48,"OK",'Conciliacion de compuestos'!$K$2:$K$48,A1237),COUNTIFS('Conciliacion de compuestos'!$D$2:$D$48,"conciliado",'Conciliacion de compuestos'!$E$2:$E$48,"OK",'Conciliacion de compuestos'!$L$2:$L$48,A1237))&gt;0,"conciliado en compuesto confirmado","disponible")</f>
        <v/>
      </c>
    </row>
    <row r="1238">
      <c r="A1238" s="11" t="n">
        <v>1251</v>
      </c>
      <c r="B1238" s="12" t="n">
        <v>46013</v>
      </c>
      <c r="C1238" s="11" t="inlineStr">
        <is>
          <t>a financiero gravamen movimiento</t>
        </is>
      </c>
      <c r="D1238" s="13" t="n">
        <v>-2</v>
      </c>
      <c r="E1238" s="11">
        <f>IF(SUM(COUNTIFS('Conciliacion de compuestos'!$D$2:$D$48,"conciliado",'Conciliacion de compuestos'!$E$2:$E$48,"OK",'Conciliacion de compuestos'!$J$2:$J$48,A1238),COUNTIFS('Conciliacion de compuestos'!$D$2:$D$48,"conciliado",'Conciliacion de compuestos'!$E$2:$E$48,"OK",'Conciliacion de compuestos'!$K$2:$K$48,A1238),COUNTIFS('Conciliacion de compuestos'!$D$2:$D$48,"conciliado",'Conciliacion de compuestos'!$E$2:$E$48,"OK",'Conciliacion de compuestos'!$L$2:$L$48,A1238))&gt;0,"conciliado en compuesto confirmado","disponible")</f>
        <v/>
      </c>
    </row>
    <row r="1239">
      <c r="A1239" s="11" t="n">
        <v>1252</v>
      </c>
      <c r="B1239" s="12" t="n">
        <v>46013</v>
      </c>
      <c r="C1239" s="11" t="inlineStr">
        <is>
          <t>depositos electronicos mastercar retefuente</t>
        </is>
      </c>
      <c r="D1239" s="13" t="n">
        <v>-308</v>
      </c>
      <c r="E1239" s="11">
        <f>IF(SUM(COUNTIFS('Conciliacion de compuestos'!$D$2:$D$48,"conciliado",'Conciliacion de compuestos'!$E$2:$E$48,"OK",'Conciliacion de compuestos'!$J$2:$J$48,A1239),COUNTIFS('Conciliacion de compuestos'!$D$2:$D$48,"conciliado",'Conciliacion de compuestos'!$E$2:$E$48,"OK",'Conciliacion de compuestos'!$K$2:$K$48,A1239),COUNTIFS('Conciliacion de compuestos'!$D$2:$D$48,"conciliado",'Conciliacion de compuestos'!$E$2:$E$48,"OK",'Conciliacion de compuestos'!$L$2:$L$48,A1239))&gt;0,"conciliado en compuesto confirmado","disponible")</f>
        <v/>
      </c>
    </row>
    <row r="1240">
      <c r="A1240" s="11" t="n">
        <v>1253</v>
      </c>
      <c r="B1240" s="12" t="n">
        <v>46013</v>
      </c>
      <c r="C1240" s="11" t="inlineStr">
        <is>
          <t>a financiero gravamen movimiento</t>
        </is>
      </c>
      <c r="D1240" s="13" t="n">
        <v>-1</v>
      </c>
      <c r="E1240" s="11">
        <f>IF(SUM(COUNTIFS('Conciliacion de compuestos'!$D$2:$D$48,"conciliado",'Conciliacion de compuestos'!$E$2:$E$48,"OK",'Conciliacion de compuestos'!$J$2:$J$48,A1240),COUNTIFS('Conciliacion de compuestos'!$D$2:$D$48,"conciliado",'Conciliacion de compuestos'!$E$2:$E$48,"OK",'Conciliacion de compuestos'!$K$2:$K$48,A1240),COUNTIFS('Conciliacion de compuestos'!$D$2:$D$48,"conciliado",'Conciliacion de compuestos'!$E$2:$E$48,"OK",'Conciliacion de compuestos'!$L$2:$L$48,A1240))&gt;0,"conciliado en compuesto confirmado","disponible")</f>
        <v/>
      </c>
    </row>
    <row r="1241">
      <c r="A1241" s="11" t="n">
        <v>1254</v>
      </c>
      <c r="B1241" s="12" t="n">
        <v>46013</v>
      </c>
      <c r="C1241" s="11" t="inlineStr">
        <is>
          <t>depositos electronicos masterca transaccion</t>
        </is>
      </c>
      <c r="D1241" s="13" t="n">
        <v>43300</v>
      </c>
      <c r="E1241" s="11">
        <f>IF(SUM(COUNTIFS('Conciliacion de compuestos'!$D$2:$D$48,"conciliado",'Conciliacion de compuestos'!$E$2:$E$48,"OK",'Conciliacion de compuestos'!$J$2:$J$48,A1241),COUNTIFS('Conciliacion de compuestos'!$D$2:$D$48,"conciliado",'Conciliacion de compuestos'!$E$2:$E$48,"OK",'Conciliacion de compuestos'!$K$2:$K$48,A1241),COUNTIFS('Conciliacion de compuestos'!$D$2:$D$48,"conciliado",'Conciliacion de compuestos'!$E$2:$E$48,"OK",'Conciliacion de compuestos'!$L$2:$L$48,A1241))&gt;0,"conciliado en compuesto confirmado","disponible")</f>
        <v/>
      </c>
    </row>
    <row r="1242">
      <c r="A1242" s="11" t="n">
        <v>1255</v>
      </c>
      <c r="B1242" s="12" t="n">
        <v>46013</v>
      </c>
      <c r="C1242" s="11" t="inlineStr">
        <is>
          <t>comision depositos electronicos mastercard</t>
        </is>
      </c>
      <c r="D1242" s="13" t="n">
        <v>-823</v>
      </c>
      <c r="E1242" s="11">
        <f>IF(SUM(COUNTIFS('Conciliacion de compuestos'!$D$2:$D$48,"conciliado",'Conciliacion de compuestos'!$E$2:$E$48,"OK",'Conciliacion de compuestos'!$J$2:$J$48,A1242),COUNTIFS('Conciliacion de compuestos'!$D$2:$D$48,"conciliado",'Conciliacion de compuestos'!$E$2:$E$48,"OK",'Conciliacion de compuestos'!$K$2:$K$48,A1242),COUNTIFS('Conciliacion de compuestos'!$D$2:$D$48,"conciliado",'Conciliacion de compuestos'!$E$2:$E$48,"OK",'Conciliacion de compuestos'!$L$2:$L$48,A1242))&gt;0,"conciliado en compuesto confirmado","disponible")</f>
        <v/>
      </c>
    </row>
    <row r="1243">
      <c r="A1243" s="11" t="n">
        <v>1256</v>
      </c>
      <c r="B1243" s="12" t="n">
        <v>46013</v>
      </c>
      <c r="C1243" s="11" t="inlineStr">
        <is>
          <t>a financiero gravamen movimiento</t>
        </is>
      </c>
      <c r="D1243" s="13" t="n">
        <v>-3</v>
      </c>
      <c r="E1243" s="11">
        <f>IF(SUM(COUNTIFS('Conciliacion de compuestos'!$D$2:$D$48,"conciliado",'Conciliacion de compuestos'!$E$2:$E$48,"OK",'Conciliacion de compuestos'!$J$2:$J$48,A1243),COUNTIFS('Conciliacion de compuestos'!$D$2:$D$48,"conciliado",'Conciliacion de compuestos'!$E$2:$E$48,"OK",'Conciliacion de compuestos'!$K$2:$K$48,A1243),COUNTIFS('Conciliacion de compuestos'!$D$2:$D$48,"conciliado",'Conciliacion de compuestos'!$E$2:$E$48,"OK",'Conciliacion de compuestos'!$L$2:$L$48,A1243))&gt;0,"conciliado en compuesto confirmado","disponible")</f>
        <v/>
      </c>
    </row>
    <row r="1244">
      <c r="A1244" s="11" t="n">
        <v>1257</v>
      </c>
      <c r="B1244" s="12" t="n">
        <v>46013</v>
      </c>
      <c r="C1244" s="11" t="inlineStr">
        <is>
          <t>depositos electronicos mastercar retefuente</t>
        </is>
      </c>
      <c r="D1244" s="13" t="n">
        <v>-650</v>
      </c>
      <c r="E1244" s="11">
        <f>IF(SUM(COUNTIFS('Conciliacion de compuestos'!$D$2:$D$48,"conciliado",'Conciliacion de compuestos'!$E$2:$E$48,"OK",'Conciliacion de compuestos'!$J$2:$J$48,A1244),COUNTIFS('Conciliacion de compuestos'!$D$2:$D$48,"conciliado",'Conciliacion de compuestos'!$E$2:$E$48,"OK",'Conciliacion de compuestos'!$K$2:$K$48,A1244),COUNTIFS('Conciliacion de compuestos'!$D$2:$D$48,"conciliado",'Conciliacion de compuestos'!$E$2:$E$48,"OK",'Conciliacion de compuestos'!$L$2:$L$48,A1244))&gt;0,"conciliado en compuesto confirmado","disponible")</f>
        <v/>
      </c>
    </row>
    <row r="1245">
      <c r="A1245" s="11" t="n">
        <v>1258</v>
      </c>
      <c r="B1245" s="12" t="n">
        <v>46013</v>
      </c>
      <c r="C1245" s="11" t="inlineStr">
        <is>
          <t>a financiero gravamen movimiento</t>
        </is>
      </c>
      <c r="D1245" s="13" t="n">
        <v>-3</v>
      </c>
      <c r="E1245" s="11">
        <f>IF(SUM(COUNTIFS('Conciliacion de compuestos'!$D$2:$D$48,"conciliado",'Conciliacion de compuestos'!$E$2:$E$48,"OK",'Conciliacion de compuestos'!$J$2:$J$48,A1245),COUNTIFS('Conciliacion de compuestos'!$D$2:$D$48,"conciliado",'Conciliacion de compuestos'!$E$2:$E$48,"OK",'Conciliacion de compuestos'!$K$2:$K$48,A1245),COUNTIFS('Conciliacion de compuestos'!$D$2:$D$48,"conciliado",'Conciliacion de compuestos'!$E$2:$E$48,"OK",'Conciliacion de compuestos'!$L$2:$L$48,A1245))&gt;0,"conciliado en compuesto confirmado","disponible")</f>
        <v/>
      </c>
    </row>
    <row r="1246">
      <c r="A1246" s="11" t="n">
        <v>1259</v>
      </c>
      <c r="B1246" s="12" t="n">
        <v>46013</v>
      </c>
      <c r="C1246" s="11" t="inlineStr">
        <is>
          <t>depositos electronicos masterca transaccion</t>
        </is>
      </c>
      <c r="D1246" s="13" t="n">
        <v>166000</v>
      </c>
      <c r="E1246" s="11">
        <f>IF(SUM(COUNTIFS('Conciliacion de compuestos'!$D$2:$D$48,"conciliado",'Conciliacion de compuestos'!$E$2:$E$48,"OK",'Conciliacion de compuestos'!$J$2:$J$48,A1246),COUNTIFS('Conciliacion de compuestos'!$D$2:$D$48,"conciliado",'Conciliacion de compuestos'!$E$2:$E$48,"OK",'Conciliacion de compuestos'!$K$2:$K$48,A1246),COUNTIFS('Conciliacion de compuestos'!$D$2:$D$48,"conciliado",'Conciliacion de compuestos'!$E$2:$E$48,"OK",'Conciliacion de compuestos'!$L$2:$L$48,A1246))&gt;0,"conciliado en compuesto confirmado","disponible")</f>
        <v/>
      </c>
    </row>
    <row r="1247">
      <c r="A1247" s="11" t="n">
        <v>1260</v>
      </c>
      <c r="B1247" s="12" t="n">
        <v>46013</v>
      </c>
      <c r="C1247" s="11" t="inlineStr">
        <is>
          <t>comision depositos electronicos mastercard</t>
        </is>
      </c>
      <c r="D1247" s="13" t="n">
        <v>-3154</v>
      </c>
      <c r="E1247" s="11">
        <f>IF(SUM(COUNTIFS('Conciliacion de compuestos'!$D$2:$D$48,"conciliado",'Conciliacion de compuestos'!$E$2:$E$48,"OK",'Conciliacion de compuestos'!$J$2:$J$48,A1247),COUNTIFS('Conciliacion de compuestos'!$D$2:$D$48,"conciliado",'Conciliacion de compuestos'!$E$2:$E$48,"OK",'Conciliacion de compuestos'!$K$2:$K$48,A1247),COUNTIFS('Conciliacion de compuestos'!$D$2:$D$48,"conciliado",'Conciliacion de compuestos'!$E$2:$E$48,"OK",'Conciliacion de compuestos'!$L$2:$L$48,A1247))&gt;0,"conciliado en compuesto confirmado","disponible")</f>
        <v/>
      </c>
    </row>
    <row r="1248">
      <c r="A1248" s="11" t="n">
        <v>1261</v>
      </c>
      <c r="B1248" s="12" t="n">
        <v>46013</v>
      </c>
      <c r="C1248" s="11" t="inlineStr">
        <is>
          <t>a financiero gravamen movimiento</t>
        </is>
      </c>
      <c r="D1248" s="13" t="n">
        <v>-13</v>
      </c>
      <c r="E1248" s="11">
        <f>IF(SUM(COUNTIFS('Conciliacion de compuestos'!$D$2:$D$48,"conciliado",'Conciliacion de compuestos'!$E$2:$E$48,"OK",'Conciliacion de compuestos'!$J$2:$J$48,A1248),COUNTIFS('Conciliacion de compuestos'!$D$2:$D$48,"conciliado",'Conciliacion de compuestos'!$E$2:$E$48,"OK",'Conciliacion de compuestos'!$K$2:$K$48,A1248),COUNTIFS('Conciliacion de compuestos'!$D$2:$D$48,"conciliado",'Conciliacion de compuestos'!$E$2:$E$48,"OK",'Conciliacion de compuestos'!$L$2:$L$48,A1248))&gt;0,"conciliado en compuesto confirmado","disponible")</f>
        <v/>
      </c>
    </row>
    <row r="1249">
      <c r="A1249" s="11" t="n">
        <v>1262</v>
      </c>
      <c r="B1249" s="12" t="n">
        <v>46013</v>
      </c>
      <c r="C1249" s="11" t="inlineStr">
        <is>
          <t>depositos electronicos mastercar retefuente</t>
        </is>
      </c>
      <c r="D1249" s="13" t="n">
        <v>-2490</v>
      </c>
      <c r="E1249" s="11">
        <f>IF(SUM(COUNTIFS('Conciliacion de compuestos'!$D$2:$D$48,"conciliado",'Conciliacion de compuestos'!$E$2:$E$48,"OK",'Conciliacion de compuestos'!$J$2:$J$48,A1249),COUNTIFS('Conciliacion de compuestos'!$D$2:$D$48,"conciliado",'Conciliacion de compuestos'!$E$2:$E$48,"OK",'Conciliacion de compuestos'!$K$2:$K$48,A1249),COUNTIFS('Conciliacion de compuestos'!$D$2:$D$48,"conciliado",'Conciliacion de compuestos'!$E$2:$E$48,"OK",'Conciliacion de compuestos'!$L$2:$L$48,A1249))&gt;0,"conciliado en compuesto confirmado","disponible")</f>
        <v/>
      </c>
    </row>
    <row r="1250">
      <c r="A1250" s="11" t="n">
        <v>1263</v>
      </c>
      <c r="B1250" s="12" t="n">
        <v>46013</v>
      </c>
      <c r="C1250" s="11" t="inlineStr">
        <is>
          <t>a financiero gravamen movimiento</t>
        </is>
      </c>
      <c r="D1250" s="13" t="n">
        <v>-10</v>
      </c>
      <c r="E1250" s="11">
        <f>IF(SUM(COUNTIFS('Conciliacion de compuestos'!$D$2:$D$48,"conciliado",'Conciliacion de compuestos'!$E$2:$E$48,"OK",'Conciliacion de compuestos'!$J$2:$J$48,A1250),COUNTIFS('Conciliacion de compuestos'!$D$2:$D$48,"conciliado",'Conciliacion de compuestos'!$E$2:$E$48,"OK",'Conciliacion de compuestos'!$K$2:$K$48,A1250),COUNTIFS('Conciliacion de compuestos'!$D$2:$D$48,"conciliado",'Conciliacion de compuestos'!$E$2:$E$48,"OK",'Conciliacion de compuestos'!$L$2:$L$48,A1250))&gt;0,"conciliado en compuesto confirmado","disponible")</f>
        <v/>
      </c>
    </row>
    <row r="1251">
      <c r="A1251" s="11" t="n">
        <v>1264</v>
      </c>
      <c r="B1251" s="12" t="n">
        <v>46013</v>
      </c>
      <c r="C1251" s="11" t="inlineStr">
        <is>
          <t>depositos electronicos masterca transaccion</t>
        </is>
      </c>
      <c r="D1251" s="13" t="n">
        <v>26100</v>
      </c>
      <c r="E1251" s="11">
        <f>IF(SUM(COUNTIFS('Conciliacion de compuestos'!$D$2:$D$48,"conciliado",'Conciliacion de compuestos'!$E$2:$E$48,"OK",'Conciliacion de compuestos'!$J$2:$J$48,A1251),COUNTIFS('Conciliacion de compuestos'!$D$2:$D$48,"conciliado",'Conciliacion de compuestos'!$E$2:$E$48,"OK",'Conciliacion de compuestos'!$K$2:$K$48,A1251),COUNTIFS('Conciliacion de compuestos'!$D$2:$D$48,"conciliado",'Conciliacion de compuestos'!$E$2:$E$48,"OK",'Conciliacion de compuestos'!$L$2:$L$48,A1251))&gt;0,"conciliado en compuesto confirmado","disponible")</f>
        <v/>
      </c>
    </row>
    <row r="1252">
      <c r="A1252" s="11" t="n">
        <v>1265</v>
      </c>
      <c r="B1252" s="12" t="n">
        <v>46013</v>
      </c>
      <c r="C1252" s="11" t="inlineStr">
        <is>
          <t>comision depositos electronicos mastercard</t>
        </is>
      </c>
      <c r="D1252" s="13" t="n">
        <v>-496</v>
      </c>
      <c r="E1252" s="11">
        <f>IF(SUM(COUNTIFS('Conciliacion de compuestos'!$D$2:$D$48,"conciliado",'Conciliacion de compuestos'!$E$2:$E$48,"OK",'Conciliacion de compuestos'!$J$2:$J$48,A1252),COUNTIFS('Conciliacion de compuestos'!$D$2:$D$48,"conciliado",'Conciliacion de compuestos'!$E$2:$E$48,"OK",'Conciliacion de compuestos'!$K$2:$K$48,A1252),COUNTIFS('Conciliacion de compuestos'!$D$2:$D$48,"conciliado",'Conciliacion de compuestos'!$E$2:$E$48,"OK",'Conciliacion de compuestos'!$L$2:$L$48,A1252))&gt;0,"conciliado en compuesto confirmado","disponible")</f>
        <v/>
      </c>
    </row>
    <row r="1253">
      <c r="A1253" s="11" t="n">
        <v>1266</v>
      </c>
      <c r="B1253" s="12" t="n">
        <v>46013</v>
      </c>
      <c r="C1253" s="11" t="inlineStr">
        <is>
          <t>a financiero gravamen movimiento</t>
        </is>
      </c>
      <c r="D1253" s="13" t="n">
        <v>-2</v>
      </c>
      <c r="E1253" s="11">
        <f>IF(SUM(COUNTIFS('Conciliacion de compuestos'!$D$2:$D$48,"conciliado",'Conciliacion de compuestos'!$E$2:$E$48,"OK",'Conciliacion de compuestos'!$J$2:$J$48,A1253),COUNTIFS('Conciliacion de compuestos'!$D$2:$D$48,"conciliado",'Conciliacion de compuestos'!$E$2:$E$48,"OK",'Conciliacion de compuestos'!$K$2:$K$48,A1253),COUNTIFS('Conciliacion de compuestos'!$D$2:$D$48,"conciliado",'Conciliacion de compuestos'!$E$2:$E$48,"OK",'Conciliacion de compuestos'!$L$2:$L$48,A1253))&gt;0,"conciliado en compuesto confirmado","disponible")</f>
        <v/>
      </c>
    </row>
    <row r="1254">
      <c r="A1254" s="11" t="n">
        <v>1267</v>
      </c>
      <c r="B1254" s="12" t="n">
        <v>46013</v>
      </c>
      <c r="C1254" s="11" t="inlineStr">
        <is>
          <t>depositos electronicos mastercar retefuente</t>
        </is>
      </c>
      <c r="D1254" s="13" t="n">
        <v>-392</v>
      </c>
      <c r="E1254" s="11">
        <f>IF(SUM(COUNTIFS('Conciliacion de compuestos'!$D$2:$D$48,"conciliado",'Conciliacion de compuestos'!$E$2:$E$48,"OK",'Conciliacion de compuestos'!$J$2:$J$48,A1254),COUNTIFS('Conciliacion de compuestos'!$D$2:$D$48,"conciliado",'Conciliacion de compuestos'!$E$2:$E$48,"OK",'Conciliacion de compuestos'!$K$2:$K$48,A1254),COUNTIFS('Conciliacion de compuestos'!$D$2:$D$48,"conciliado",'Conciliacion de compuestos'!$E$2:$E$48,"OK",'Conciliacion de compuestos'!$L$2:$L$48,A1254))&gt;0,"conciliado en compuesto confirmado","disponible")</f>
        <v/>
      </c>
    </row>
    <row r="1255">
      <c r="A1255" s="11" t="n">
        <v>1268</v>
      </c>
      <c r="B1255" s="12" t="n">
        <v>46013</v>
      </c>
      <c r="C1255" s="11" t="inlineStr">
        <is>
          <t>a financiero gravamen movimiento</t>
        </is>
      </c>
      <c r="D1255" s="13" t="n">
        <v>-2</v>
      </c>
      <c r="E1255" s="11">
        <f>IF(SUM(COUNTIFS('Conciliacion de compuestos'!$D$2:$D$48,"conciliado",'Conciliacion de compuestos'!$E$2:$E$48,"OK",'Conciliacion de compuestos'!$J$2:$J$48,A1255),COUNTIFS('Conciliacion de compuestos'!$D$2:$D$48,"conciliado",'Conciliacion de compuestos'!$E$2:$E$48,"OK",'Conciliacion de compuestos'!$K$2:$K$48,A1255),COUNTIFS('Conciliacion de compuestos'!$D$2:$D$48,"conciliado",'Conciliacion de compuestos'!$E$2:$E$48,"OK",'Conciliacion de compuestos'!$L$2:$L$48,A1255))&gt;0,"conciliado en compuesto confirmado","disponible")</f>
        <v/>
      </c>
    </row>
    <row r="1256">
      <c r="A1256" s="11" t="n">
        <v>1269</v>
      </c>
      <c r="B1256" s="12" t="n">
        <v>46013</v>
      </c>
      <c r="C1256" s="11" t="inlineStr">
        <is>
          <t>depositos electronicos masterca transaccion</t>
        </is>
      </c>
      <c r="D1256" s="13" t="n">
        <v>17300</v>
      </c>
      <c r="E1256" s="11">
        <f>IF(SUM(COUNTIFS('Conciliacion de compuestos'!$D$2:$D$48,"conciliado",'Conciliacion de compuestos'!$E$2:$E$48,"OK",'Conciliacion de compuestos'!$J$2:$J$48,A1256),COUNTIFS('Conciliacion de compuestos'!$D$2:$D$48,"conciliado",'Conciliacion de compuestos'!$E$2:$E$48,"OK",'Conciliacion de compuestos'!$K$2:$K$48,A1256),COUNTIFS('Conciliacion de compuestos'!$D$2:$D$48,"conciliado",'Conciliacion de compuestos'!$E$2:$E$48,"OK",'Conciliacion de compuestos'!$L$2:$L$48,A1256))&gt;0,"conciliado en compuesto confirmado","disponible")</f>
        <v/>
      </c>
    </row>
    <row r="1257">
      <c r="A1257" s="11" t="n">
        <v>1270</v>
      </c>
      <c r="B1257" s="12" t="n">
        <v>46013</v>
      </c>
      <c r="C1257" s="11" t="inlineStr">
        <is>
          <t>comision depositos electronicos mastercard</t>
        </is>
      </c>
      <c r="D1257" s="13" t="n">
        <v>-329</v>
      </c>
      <c r="E1257" s="11">
        <f>IF(SUM(COUNTIFS('Conciliacion de compuestos'!$D$2:$D$48,"conciliado",'Conciliacion de compuestos'!$E$2:$E$48,"OK",'Conciliacion de compuestos'!$J$2:$J$48,A1257),COUNTIFS('Conciliacion de compuestos'!$D$2:$D$48,"conciliado",'Conciliacion de compuestos'!$E$2:$E$48,"OK",'Conciliacion de compuestos'!$K$2:$K$48,A1257),COUNTIFS('Conciliacion de compuestos'!$D$2:$D$48,"conciliado",'Conciliacion de compuestos'!$E$2:$E$48,"OK",'Conciliacion de compuestos'!$L$2:$L$48,A1257))&gt;0,"conciliado en compuesto confirmado","disponible")</f>
        <v/>
      </c>
    </row>
    <row r="1258">
      <c r="A1258" s="11" t="n">
        <v>1271</v>
      </c>
      <c r="B1258" s="12" t="n">
        <v>46013</v>
      </c>
      <c r="C1258" s="11" t="inlineStr">
        <is>
          <t>a financiero gravamen movimiento</t>
        </is>
      </c>
      <c r="D1258" s="13" t="n">
        <v>-1</v>
      </c>
      <c r="E1258" s="11">
        <f>IF(SUM(COUNTIFS('Conciliacion de compuestos'!$D$2:$D$48,"conciliado",'Conciliacion de compuestos'!$E$2:$E$48,"OK",'Conciliacion de compuestos'!$J$2:$J$48,A1258),COUNTIFS('Conciliacion de compuestos'!$D$2:$D$48,"conciliado",'Conciliacion de compuestos'!$E$2:$E$48,"OK",'Conciliacion de compuestos'!$K$2:$K$48,A1258),COUNTIFS('Conciliacion de compuestos'!$D$2:$D$48,"conciliado",'Conciliacion de compuestos'!$E$2:$E$48,"OK",'Conciliacion de compuestos'!$L$2:$L$48,A1258))&gt;0,"conciliado en compuesto confirmado","disponible")</f>
        <v/>
      </c>
    </row>
    <row r="1259">
      <c r="A1259" s="11" t="n">
        <v>1272</v>
      </c>
      <c r="B1259" s="12" t="n">
        <v>46013</v>
      </c>
      <c r="C1259" s="11" t="inlineStr">
        <is>
          <t>depositos electronicos mastercar retefuente</t>
        </is>
      </c>
      <c r="D1259" s="13" t="n">
        <v>-260</v>
      </c>
      <c r="E1259" s="11">
        <f>IF(SUM(COUNTIFS('Conciliacion de compuestos'!$D$2:$D$48,"conciliado",'Conciliacion de compuestos'!$E$2:$E$48,"OK",'Conciliacion de compuestos'!$J$2:$J$48,A1259),COUNTIFS('Conciliacion de compuestos'!$D$2:$D$48,"conciliado",'Conciliacion de compuestos'!$E$2:$E$48,"OK",'Conciliacion de compuestos'!$K$2:$K$48,A1259),COUNTIFS('Conciliacion de compuestos'!$D$2:$D$48,"conciliado",'Conciliacion de compuestos'!$E$2:$E$48,"OK",'Conciliacion de compuestos'!$L$2:$L$48,A1259))&gt;0,"conciliado en compuesto confirmado","disponible")</f>
        <v/>
      </c>
    </row>
    <row r="1260">
      <c r="A1260" s="11" t="n">
        <v>1273</v>
      </c>
      <c r="B1260" s="12" t="n">
        <v>46013</v>
      </c>
      <c r="C1260" s="11" t="inlineStr">
        <is>
          <t>a financiero gravamen movimiento</t>
        </is>
      </c>
      <c r="D1260" s="13" t="n">
        <v>-1</v>
      </c>
      <c r="E1260" s="11">
        <f>IF(SUM(COUNTIFS('Conciliacion de compuestos'!$D$2:$D$48,"conciliado",'Conciliacion de compuestos'!$E$2:$E$48,"OK",'Conciliacion de compuestos'!$J$2:$J$48,A1260),COUNTIFS('Conciliacion de compuestos'!$D$2:$D$48,"conciliado",'Conciliacion de compuestos'!$E$2:$E$48,"OK",'Conciliacion de compuestos'!$K$2:$K$48,A1260),COUNTIFS('Conciliacion de compuestos'!$D$2:$D$48,"conciliado",'Conciliacion de compuestos'!$E$2:$E$48,"OK",'Conciliacion de compuestos'!$L$2:$L$48,A1260))&gt;0,"conciliado en compuesto confirmado","disponible")</f>
        <v/>
      </c>
    </row>
    <row r="1261">
      <c r="A1261" s="11" t="n">
        <v>1274</v>
      </c>
      <c r="B1261" s="12" t="n">
        <v>46013</v>
      </c>
      <c r="C1261" s="11" t="inlineStr">
        <is>
          <t>depositos electronicos masterca transaccion</t>
        </is>
      </c>
      <c r="D1261" s="13" t="n">
        <v>37100</v>
      </c>
      <c r="E1261" s="11">
        <f>IF(SUM(COUNTIFS('Conciliacion de compuestos'!$D$2:$D$48,"conciliado",'Conciliacion de compuestos'!$E$2:$E$48,"OK",'Conciliacion de compuestos'!$J$2:$J$48,A1261),COUNTIFS('Conciliacion de compuestos'!$D$2:$D$48,"conciliado",'Conciliacion de compuestos'!$E$2:$E$48,"OK",'Conciliacion de compuestos'!$K$2:$K$48,A1261),COUNTIFS('Conciliacion de compuestos'!$D$2:$D$48,"conciliado",'Conciliacion de compuestos'!$E$2:$E$48,"OK",'Conciliacion de compuestos'!$L$2:$L$48,A1261))&gt;0,"conciliado en compuesto confirmado","disponible")</f>
        <v/>
      </c>
    </row>
    <row r="1262">
      <c r="A1262" s="11" t="n">
        <v>1275</v>
      </c>
      <c r="B1262" s="12" t="n">
        <v>46013</v>
      </c>
      <c r="C1262" s="11" t="inlineStr">
        <is>
          <t>comision depositos electronicos mastercard</t>
        </is>
      </c>
      <c r="D1262" s="13" t="n">
        <v>-705</v>
      </c>
      <c r="E1262" s="11">
        <f>IF(SUM(COUNTIFS('Conciliacion de compuestos'!$D$2:$D$48,"conciliado",'Conciliacion de compuestos'!$E$2:$E$48,"OK",'Conciliacion de compuestos'!$J$2:$J$48,A1262),COUNTIFS('Conciliacion de compuestos'!$D$2:$D$48,"conciliado",'Conciliacion de compuestos'!$E$2:$E$48,"OK",'Conciliacion de compuestos'!$K$2:$K$48,A1262),COUNTIFS('Conciliacion de compuestos'!$D$2:$D$48,"conciliado",'Conciliacion de compuestos'!$E$2:$E$48,"OK",'Conciliacion de compuestos'!$L$2:$L$48,A1262))&gt;0,"conciliado en compuesto confirmado","disponible")</f>
        <v/>
      </c>
    </row>
    <row r="1263">
      <c r="A1263" s="11" t="n">
        <v>1276</v>
      </c>
      <c r="B1263" s="12" t="n">
        <v>46013</v>
      </c>
      <c r="C1263" s="11" t="inlineStr">
        <is>
          <t>a financiero gravamen movimiento</t>
        </is>
      </c>
      <c r="D1263" s="13" t="n">
        <v>-3</v>
      </c>
      <c r="E1263" s="11">
        <f>IF(SUM(COUNTIFS('Conciliacion de compuestos'!$D$2:$D$48,"conciliado",'Conciliacion de compuestos'!$E$2:$E$48,"OK",'Conciliacion de compuestos'!$J$2:$J$48,A1263),COUNTIFS('Conciliacion de compuestos'!$D$2:$D$48,"conciliado",'Conciliacion de compuestos'!$E$2:$E$48,"OK",'Conciliacion de compuestos'!$K$2:$K$48,A1263),COUNTIFS('Conciliacion de compuestos'!$D$2:$D$48,"conciliado",'Conciliacion de compuestos'!$E$2:$E$48,"OK",'Conciliacion de compuestos'!$L$2:$L$48,A1263))&gt;0,"conciliado en compuesto confirmado","disponible")</f>
        <v/>
      </c>
    </row>
    <row r="1264">
      <c r="A1264" s="11" t="n">
        <v>1277</v>
      </c>
      <c r="B1264" s="12" t="n">
        <v>46013</v>
      </c>
      <c r="C1264" s="11" t="inlineStr">
        <is>
          <t>depositos electronicos mastercar retefuente</t>
        </is>
      </c>
      <c r="D1264" s="13" t="n">
        <v>-557</v>
      </c>
      <c r="E1264" s="11">
        <f>IF(SUM(COUNTIFS('Conciliacion de compuestos'!$D$2:$D$48,"conciliado",'Conciliacion de compuestos'!$E$2:$E$48,"OK",'Conciliacion de compuestos'!$J$2:$J$48,A1264),COUNTIFS('Conciliacion de compuestos'!$D$2:$D$48,"conciliado",'Conciliacion de compuestos'!$E$2:$E$48,"OK",'Conciliacion de compuestos'!$K$2:$K$48,A1264),COUNTIFS('Conciliacion de compuestos'!$D$2:$D$48,"conciliado",'Conciliacion de compuestos'!$E$2:$E$48,"OK",'Conciliacion de compuestos'!$L$2:$L$48,A1264))&gt;0,"conciliado en compuesto confirmado","disponible")</f>
        <v/>
      </c>
    </row>
    <row r="1265">
      <c r="A1265" s="11" t="n">
        <v>1278</v>
      </c>
      <c r="B1265" s="12" t="n">
        <v>46013</v>
      </c>
      <c r="C1265" s="11" t="inlineStr">
        <is>
          <t>a financiero gravamen movimiento</t>
        </is>
      </c>
      <c r="D1265" s="13" t="n">
        <v>-2</v>
      </c>
      <c r="E1265" s="11">
        <f>IF(SUM(COUNTIFS('Conciliacion de compuestos'!$D$2:$D$48,"conciliado",'Conciliacion de compuestos'!$E$2:$E$48,"OK",'Conciliacion de compuestos'!$J$2:$J$48,A1265),COUNTIFS('Conciliacion de compuestos'!$D$2:$D$48,"conciliado",'Conciliacion de compuestos'!$E$2:$E$48,"OK",'Conciliacion de compuestos'!$K$2:$K$48,A1265),COUNTIFS('Conciliacion de compuestos'!$D$2:$D$48,"conciliado",'Conciliacion de compuestos'!$E$2:$E$48,"OK",'Conciliacion de compuestos'!$L$2:$L$48,A1265))&gt;0,"conciliado en compuesto confirmado","disponible")</f>
        <v/>
      </c>
    </row>
    <row r="1266">
      <c r="A1266" s="11" t="n">
        <v>1279</v>
      </c>
      <c r="B1266" s="12" t="n">
        <v>46013</v>
      </c>
      <c r="C1266" s="11" t="inlineStr">
        <is>
          <t>depositos electronicos masterca transaccion</t>
        </is>
      </c>
      <c r="D1266" s="13" t="n">
        <v>461400</v>
      </c>
      <c r="E1266" s="11">
        <f>IF(SUM(COUNTIFS('Conciliacion de compuestos'!$D$2:$D$48,"conciliado",'Conciliacion de compuestos'!$E$2:$E$48,"OK",'Conciliacion de compuestos'!$J$2:$J$48,A1266),COUNTIFS('Conciliacion de compuestos'!$D$2:$D$48,"conciliado",'Conciliacion de compuestos'!$E$2:$E$48,"OK",'Conciliacion de compuestos'!$K$2:$K$48,A1266),COUNTIFS('Conciliacion de compuestos'!$D$2:$D$48,"conciliado",'Conciliacion de compuestos'!$E$2:$E$48,"OK",'Conciliacion de compuestos'!$L$2:$L$48,A1266))&gt;0,"conciliado en compuesto confirmado","disponible")</f>
        <v/>
      </c>
    </row>
    <row r="1267">
      <c r="A1267" s="11" t="n">
        <v>1280</v>
      </c>
      <c r="B1267" s="12" t="n">
        <v>46013</v>
      </c>
      <c r="C1267" s="11" t="inlineStr">
        <is>
          <t>comision depositos electronicos mastercard</t>
        </is>
      </c>
      <c r="D1267" s="13" t="n">
        <v>-8767</v>
      </c>
      <c r="E1267" s="11">
        <f>IF(SUM(COUNTIFS('Conciliacion de compuestos'!$D$2:$D$48,"conciliado",'Conciliacion de compuestos'!$E$2:$E$48,"OK",'Conciliacion de compuestos'!$J$2:$J$48,A1267),COUNTIFS('Conciliacion de compuestos'!$D$2:$D$48,"conciliado",'Conciliacion de compuestos'!$E$2:$E$48,"OK",'Conciliacion de compuestos'!$K$2:$K$48,A1267),COUNTIFS('Conciliacion de compuestos'!$D$2:$D$48,"conciliado",'Conciliacion de compuestos'!$E$2:$E$48,"OK",'Conciliacion de compuestos'!$L$2:$L$48,A1267))&gt;0,"conciliado en compuesto confirmado","disponible")</f>
        <v/>
      </c>
    </row>
    <row r="1268">
      <c r="A1268" s="11" t="n">
        <v>1281</v>
      </c>
      <c r="B1268" s="12" t="n">
        <v>46013</v>
      </c>
      <c r="C1268" s="11" t="inlineStr">
        <is>
          <t>a financiero gravamen movimiento</t>
        </is>
      </c>
      <c r="D1268" s="13" t="n">
        <v>-35</v>
      </c>
      <c r="E1268" s="11">
        <f>IF(SUM(COUNTIFS('Conciliacion de compuestos'!$D$2:$D$48,"conciliado",'Conciliacion de compuestos'!$E$2:$E$48,"OK",'Conciliacion de compuestos'!$J$2:$J$48,A1268),COUNTIFS('Conciliacion de compuestos'!$D$2:$D$48,"conciliado",'Conciliacion de compuestos'!$E$2:$E$48,"OK",'Conciliacion de compuestos'!$K$2:$K$48,A1268),COUNTIFS('Conciliacion de compuestos'!$D$2:$D$48,"conciliado",'Conciliacion de compuestos'!$E$2:$E$48,"OK",'Conciliacion de compuestos'!$L$2:$L$48,A1268))&gt;0,"conciliado en compuesto confirmado","disponible")</f>
        <v/>
      </c>
    </row>
    <row r="1269">
      <c r="A1269" s="11" t="n">
        <v>1282</v>
      </c>
      <c r="B1269" s="12" t="n">
        <v>46013</v>
      </c>
      <c r="C1269" s="11" t="inlineStr">
        <is>
          <t>depositos electronicos mastercar retefuente</t>
        </is>
      </c>
      <c r="D1269" s="13" t="n">
        <v>-6921</v>
      </c>
      <c r="E1269" s="11">
        <f>IF(SUM(COUNTIFS('Conciliacion de compuestos'!$D$2:$D$48,"conciliado",'Conciliacion de compuestos'!$E$2:$E$48,"OK",'Conciliacion de compuestos'!$J$2:$J$48,A1269),COUNTIFS('Conciliacion de compuestos'!$D$2:$D$48,"conciliado",'Conciliacion de compuestos'!$E$2:$E$48,"OK",'Conciliacion de compuestos'!$K$2:$K$48,A1269),COUNTIFS('Conciliacion de compuestos'!$D$2:$D$48,"conciliado",'Conciliacion de compuestos'!$E$2:$E$48,"OK",'Conciliacion de compuestos'!$L$2:$L$48,A1269))&gt;0,"conciliado en compuesto confirmado","disponible")</f>
        <v/>
      </c>
    </row>
    <row r="1270">
      <c r="A1270" s="11" t="n">
        <v>1283</v>
      </c>
      <c r="B1270" s="12" t="n">
        <v>46013</v>
      </c>
      <c r="C1270" s="11" t="inlineStr">
        <is>
          <t>a financiero gravamen movimiento</t>
        </is>
      </c>
      <c r="D1270" s="13" t="n">
        <v>-28</v>
      </c>
      <c r="E1270" s="11">
        <f>IF(SUM(COUNTIFS('Conciliacion de compuestos'!$D$2:$D$48,"conciliado",'Conciliacion de compuestos'!$E$2:$E$48,"OK",'Conciliacion de compuestos'!$J$2:$J$48,A1270),COUNTIFS('Conciliacion de compuestos'!$D$2:$D$48,"conciliado",'Conciliacion de compuestos'!$E$2:$E$48,"OK",'Conciliacion de compuestos'!$K$2:$K$48,A1270),COUNTIFS('Conciliacion de compuestos'!$D$2:$D$48,"conciliado",'Conciliacion de compuestos'!$E$2:$E$48,"OK",'Conciliacion de compuestos'!$L$2:$L$48,A1270))&gt;0,"conciliado en compuesto confirmado","disponible")</f>
        <v/>
      </c>
    </row>
    <row r="1271">
      <c r="A1271" s="11" t="n">
        <v>1284</v>
      </c>
      <c r="B1271" s="12" t="n">
        <v>46013</v>
      </c>
      <c r="C1271" s="11" t="inlineStr">
        <is>
          <t>depositos electronicos masterca transaccion</t>
        </is>
      </c>
      <c r="D1271" s="13" t="n">
        <v>26200</v>
      </c>
      <c r="E1271" s="11">
        <f>IF(SUM(COUNTIFS('Conciliacion de compuestos'!$D$2:$D$48,"conciliado",'Conciliacion de compuestos'!$E$2:$E$48,"OK",'Conciliacion de compuestos'!$J$2:$J$48,A1271),COUNTIFS('Conciliacion de compuestos'!$D$2:$D$48,"conciliado",'Conciliacion de compuestos'!$E$2:$E$48,"OK",'Conciliacion de compuestos'!$K$2:$K$48,A1271),COUNTIFS('Conciliacion de compuestos'!$D$2:$D$48,"conciliado",'Conciliacion de compuestos'!$E$2:$E$48,"OK",'Conciliacion de compuestos'!$L$2:$L$48,A1271))&gt;0,"conciliado en compuesto confirmado","disponible")</f>
        <v/>
      </c>
    </row>
    <row r="1272">
      <c r="A1272" s="11" t="n">
        <v>1285</v>
      </c>
      <c r="B1272" s="12" t="n">
        <v>46013</v>
      </c>
      <c r="C1272" s="11" t="inlineStr">
        <is>
          <t>comision depositos electronicos mastercard</t>
        </is>
      </c>
      <c r="D1272" s="13" t="n">
        <v>-498</v>
      </c>
      <c r="E1272" s="11">
        <f>IF(SUM(COUNTIFS('Conciliacion de compuestos'!$D$2:$D$48,"conciliado",'Conciliacion de compuestos'!$E$2:$E$48,"OK",'Conciliacion de compuestos'!$J$2:$J$48,A1272),COUNTIFS('Conciliacion de compuestos'!$D$2:$D$48,"conciliado",'Conciliacion de compuestos'!$E$2:$E$48,"OK",'Conciliacion de compuestos'!$K$2:$K$48,A1272),COUNTIFS('Conciliacion de compuestos'!$D$2:$D$48,"conciliado",'Conciliacion de compuestos'!$E$2:$E$48,"OK",'Conciliacion de compuestos'!$L$2:$L$48,A1272))&gt;0,"conciliado en compuesto confirmado","disponible")</f>
        <v/>
      </c>
    </row>
    <row r="1273">
      <c r="A1273" s="11" t="n">
        <v>1286</v>
      </c>
      <c r="B1273" s="12" t="n">
        <v>46013</v>
      </c>
      <c r="C1273" s="11" t="inlineStr">
        <is>
          <t>a financiero gravamen movimiento</t>
        </is>
      </c>
      <c r="D1273" s="13" t="n">
        <v>-2</v>
      </c>
      <c r="E1273" s="11">
        <f>IF(SUM(COUNTIFS('Conciliacion de compuestos'!$D$2:$D$48,"conciliado",'Conciliacion de compuestos'!$E$2:$E$48,"OK",'Conciliacion de compuestos'!$J$2:$J$48,A1273),COUNTIFS('Conciliacion de compuestos'!$D$2:$D$48,"conciliado",'Conciliacion de compuestos'!$E$2:$E$48,"OK",'Conciliacion de compuestos'!$K$2:$K$48,A1273),COUNTIFS('Conciliacion de compuestos'!$D$2:$D$48,"conciliado",'Conciliacion de compuestos'!$E$2:$E$48,"OK",'Conciliacion de compuestos'!$L$2:$L$48,A1273))&gt;0,"conciliado en compuesto confirmado","disponible")</f>
        <v/>
      </c>
    </row>
    <row r="1274">
      <c r="A1274" s="11" t="n">
        <v>1287</v>
      </c>
      <c r="B1274" s="12" t="n">
        <v>46013</v>
      </c>
      <c r="C1274" s="11" t="inlineStr">
        <is>
          <t>depositos electronicos mastercar retefuente</t>
        </is>
      </c>
      <c r="D1274" s="13" t="n">
        <v>-393</v>
      </c>
      <c r="E1274" s="11">
        <f>IF(SUM(COUNTIFS('Conciliacion de compuestos'!$D$2:$D$48,"conciliado",'Conciliacion de compuestos'!$E$2:$E$48,"OK",'Conciliacion de compuestos'!$J$2:$J$48,A1274),COUNTIFS('Conciliacion de compuestos'!$D$2:$D$48,"conciliado",'Conciliacion de compuestos'!$E$2:$E$48,"OK",'Conciliacion de compuestos'!$K$2:$K$48,A1274),COUNTIFS('Conciliacion de compuestos'!$D$2:$D$48,"conciliado",'Conciliacion de compuestos'!$E$2:$E$48,"OK",'Conciliacion de compuestos'!$L$2:$L$48,A1274))&gt;0,"conciliado en compuesto confirmado","disponible")</f>
        <v/>
      </c>
    </row>
    <row r="1275">
      <c r="A1275" s="11" t="n">
        <v>1288</v>
      </c>
      <c r="B1275" s="12" t="n">
        <v>46013</v>
      </c>
      <c r="C1275" s="11" t="inlineStr">
        <is>
          <t>a financiero gravamen movimiento</t>
        </is>
      </c>
      <c r="D1275" s="13" t="n">
        <v>-2</v>
      </c>
      <c r="E1275" s="11">
        <f>IF(SUM(COUNTIFS('Conciliacion de compuestos'!$D$2:$D$48,"conciliado",'Conciliacion de compuestos'!$E$2:$E$48,"OK",'Conciliacion de compuestos'!$J$2:$J$48,A1275),COUNTIFS('Conciliacion de compuestos'!$D$2:$D$48,"conciliado",'Conciliacion de compuestos'!$E$2:$E$48,"OK",'Conciliacion de compuestos'!$K$2:$K$48,A1275),COUNTIFS('Conciliacion de compuestos'!$D$2:$D$48,"conciliado",'Conciliacion de compuestos'!$E$2:$E$48,"OK",'Conciliacion de compuestos'!$L$2:$L$48,A1275))&gt;0,"conciliado en compuesto confirmado","disponible")</f>
        <v/>
      </c>
    </row>
    <row r="1276">
      <c r="A1276" s="11" t="n">
        <v>1289</v>
      </c>
      <c r="B1276" s="12" t="n">
        <v>46013</v>
      </c>
      <c r="C1276" s="11" t="inlineStr">
        <is>
          <t>depositos electronicos masterca transaccion</t>
        </is>
      </c>
      <c r="D1276" s="13" t="n">
        <v>244800</v>
      </c>
      <c r="E1276" s="11">
        <f>IF(SUM(COUNTIFS('Conciliacion de compuestos'!$D$2:$D$48,"conciliado",'Conciliacion de compuestos'!$E$2:$E$48,"OK",'Conciliacion de compuestos'!$J$2:$J$48,A1276),COUNTIFS('Conciliacion de compuestos'!$D$2:$D$48,"conciliado",'Conciliacion de compuestos'!$E$2:$E$48,"OK",'Conciliacion de compuestos'!$K$2:$K$48,A1276),COUNTIFS('Conciliacion de compuestos'!$D$2:$D$48,"conciliado",'Conciliacion de compuestos'!$E$2:$E$48,"OK",'Conciliacion de compuestos'!$L$2:$L$48,A1276))&gt;0,"conciliado en compuesto confirmado","disponible")</f>
        <v/>
      </c>
    </row>
    <row r="1277">
      <c r="A1277" s="11" t="n">
        <v>1290</v>
      </c>
      <c r="B1277" s="12" t="n">
        <v>46013</v>
      </c>
      <c r="C1277" s="11" t="inlineStr">
        <is>
          <t>comision depositos electronicos mastercard</t>
        </is>
      </c>
      <c r="D1277" s="13" t="n">
        <v>-4651</v>
      </c>
      <c r="E1277" s="11">
        <f>IF(SUM(COUNTIFS('Conciliacion de compuestos'!$D$2:$D$48,"conciliado",'Conciliacion de compuestos'!$E$2:$E$48,"OK",'Conciliacion de compuestos'!$J$2:$J$48,A1277),COUNTIFS('Conciliacion de compuestos'!$D$2:$D$48,"conciliado",'Conciliacion de compuestos'!$E$2:$E$48,"OK",'Conciliacion de compuestos'!$K$2:$K$48,A1277),COUNTIFS('Conciliacion de compuestos'!$D$2:$D$48,"conciliado",'Conciliacion de compuestos'!$E$2:$E$48,"OK",'Conciliacion de compuestos'!$L$2:$L$48,A1277))&gt;0,"conciliado en compuesto confirmado","disponible")</f>
        <v/>
      </c>
    </row>
    <row r="1278">
      <c r="A1278" s="11" t="n">
        <v>1291</v>
      </c>
      <c r="B1278" s="12" t="n">
        <v>46013</v>
      </c>
      <c r="C1278" s="11" t="inlineStr">
        <is>
          <t>a financiero gravamen movimiento</t>
        </is>
      </c>
      <c r="D1278" s="13" t="n">
        <v>-19</v>
      </c>
      <c r="E1278" s="11">
        <f>IF(SUM(COUNTIFS('Conciliacion de compuestos'!$D$2:$D$48,"conciliado",'Conciliacion de compuestos'!$E$2:$E$48,"OK",'Conciliacion de compuestos'!$J$2:$J$48,A1278),COUNTIFS('Conciliacion de compuestos'!$D$2:$D$48,"conciliado",'Conciliacion de compuestos'!$E$2:$E$48,"OK",'Conciliacion de compuestos'!$K$2:$K$48,A1278),COUNTIFS('Conciliacion de compuestos'!$D$2:$D$48,"conciliado",'Conciliacion de compuestos'!$E$2:$E$48,"OK",'Conciliacion de compuestos'!$L$2:$L$48,A1278))&gt;0,"conciliado en compuesto confirmado","disponible")</f>
        <v/>
      </c>
    </row>
    <row r="1279">
      <c r="A1279" s="11" t="n">
        <v>1292</v>
      </c>
      <c r="B1279" s="12" t="n">
        <v>46013</v>
      </c>
      <c r="C1279" s="11" t="inlineStr">
        <is>
          <t>depositos electronicos mastercar retefuente</t>
        </is>
      </c>
      <c r="D1279" s="13" t="n">
        <v>-3672</v>
      </c>
      <c r="E1279" s="11">
        <f>IF(SUM(COUNTIFS('Conciliacion de compuestos'!$D$2:$D$48,"conciliado",'Conciliacion de compuestos'!$E$2:$E$48,"OK",'Conciliacion de compuestos'!$J$2:$J$48,A1279),COUNTIFS('Conciliacion de compuestos'!$D$2:$D$48,"conciliado",'Conciliacion de compuestos'!$E$2:$E$48,"OK",'Conciliacion de compuestos'!$K$2:$K$48,A1279),COUNTIFS('Conciliacion de compuestos'!$D$2:$D$48,"conciliado",'Conciliacion de compuestos'!$E$2:$E$48,"OK",'Conciliacion de compuestos'!$L$2:$L$48,A1279))&gt;0,"conciliado en compuesto confirmado","disponible")</f>
        <v/>
      </c>
    </row>
    <row r="1280">
      <c r="A1280" s="11" t="n">
        <v>1293</v>
      </c>
      <c r="B1280" s="12" t="n">
        <v>46013</v>
      </c>
      <c r="C1280" s="11" t="inlineStr">
        <is>
          <t>a financiero gravamen movimiento</t>
        </is>
      </c>
      <c r="D1280" s="13" t="n">
        <v>-15</v>
      </c>
      <c r="E1280" s="11">
        <f>IF(SUM(COUNTIFS('Conciliacion de compuestos'!$D$2:$D$48,"conciliado",'Conciliacion de compuestos'!$E$2:$E$48,"OK",'Conciliacion de compuestos'!$J$2:$J$48,A1280),COUNTIFS('Conciliacion de compuestos'!$D$2:$D$48,"conciliado",'Conciliacion de compuestos'!$E$2:$E$48,"OK",'Conciliacion de compuestos'!$K$2:$K$48,A1280),COUNTIFS('Conciliacion de compuestos'!$D$2:$D$48,"conciliado",'Conciliacion de compuestos'!$E$2:$E$48,"OK",'Conciliacion de compuestos'!$L$2:$L$48,A1280))&gt;0,"conciliado en compuesto confirmado","disponible")</f>
        <v/>
      </c>
    </row>
    <row r="1281">
      <c r="A1281" s="11" t="n">
        <v>1294</v>
      </c>
      <c r="B1281" s="12" t="n">
        <v>46013</v>
      </c>
      <c r="C1281" s="11" t="inlineStr">
        <is>
          <t>depositos electronicos masterca transaccion</t>
        </is>
      </c>
      <c r="D1281" s="13" t="n">
        <v>17300</v>
      </c>
      <c r="E1281" s="11">
        <f>IF(SUM(COUNTIFS('Conciliacion de compuestos'!$D$2:$D$48,"conciliado",'Conciliacion de compuestos'!$E$2:$E$48,"OK",'Conciliacion de compuestos'!$J$2:$J$48,A1281),COUNTIFS('Conciliacion de compuestos'!$D$2:$D$48,"conciliado",'Conciliacion de compuestos'!$E$2:$E$48,"OK",'Conciliacion de compuestos'!$K$2:$K$48,A1281),COUNTIFS('Conciliacion de compuestos'!$D$2:$D$48,"conciliado",'Conciliacion de compuestos'!$E$2:$E$48,"OK",'Conciliacion de compuestos'!$L$2:$L$48,A1281))&gt;0,"conciliado en compuesto confirmado","disponible")</f>
        <v/>
      </c>
    </row>
    <row r="1282">
      <c r="A1282" s="11" t="n">
        <v>1295</v>
      </c>
      <c r="B1282" s="12" t="n">
        <v>46013</v>
      </c>
      <c r="C1282" s="11" t="inlineStr">
        <is>
          <t>comision depositos electronicos mastercard</t>
        </is>
      </c>
      <c r="D1282" s="13" t="n">
        <v>-329</v>
      </c>
      <c r="E1282" s="11">
        <f>IF(SUM(COUNTIFS('Conciliacion de compuestos'!$D$2:$D$48,"conciliado",'Conciliacion de compuestos'!$E$2:$E$48,"OK",'Conciliacion de compuestos'!$J$2:$J$48,A1282),COUNTIFS('Conciliacion de compuestos'!$D$2:$D$48,"conciliado",'Conciliacion de compuestos'!$E$2:$E$48,"OK",'Conciliacion de compuestos'!$K$2:$K$48,A1282),COUNTIFS('Conciliacion de compuestos'!$D$2:$D$48,"conciliado",'Conciliacion de compuestos'!$E$2:$E$48,"OK",'Conciliacion de compuestos'!$L$2:$L$48,A1282))&gt;0,"conciliado en compuesto confirmado","disponible")</f>
        <v/>
      </c>
    </row>
    <row r="1283">
      <c r="A1283" s="11" t="n">
        <v>1296</v>
      </c>
      <c r="B1283" s="12" t="n">
        <v>46013</v>
      </c>
      <c r="C1283" s="11" t="inlineStr">
        <is>
          <t>a financiero gravamen movimiento</t>
        </is>
      </c>
      <c r="D1283" s="13" t="n">
        <v>-1</v>
      </c>
      <c r="E1283" s="11">
        <f>IF(SUM(COUNTIFS('Conciliacion de compuestos'!$D$2:$D$48,"conciliado",'Conciliacion de compuestos'!$E$2:$E$48,"OK",'Conciliacion de compuestos'!$J$2:$J$48,A1283),COUNTIFS('Conciliacion de compuestos'!$D$2:$D$48,"conciliado",'Conciliacion de compuestos'!$E$2:$E$48,"OK",'Conciliacion de compuestos'!$K$2:$K$48,A1283),COUNTIFS('Conciliacion de compuestos'!$D$2:$D$48,"conciliado",'Conciliacion de compuestos'!$E$2:$E$48,"OK",'Conciliacion de compuestos'!$L$2:$L$48,A1283))&gt;0,"conciliado en compuesto confirmado","disponible")</f>
        <v/>
      </c>
    </row>
    <row r="1284">
      <c r="A1284" s="11" t="n">
        <v>1297</v>
      </c>
      <c r="B1284" s="12" t="n">
        <v>46013</v>
      </c>
      <c r="C1284" s="11" t="inlineStr">
        <is>
          <t>depositos electronicos mastercar retefuente</t>
        </is>
      </c>
      <c r="D1284" s="13" t="n">
        <v>-260</v>
      </c>
      <c r="E1284" s="11">
        <f>IF(SUM(COUNTIFS('Conciliacion de compuestos'!$D$2:$D$48,"conciliado",'Conciliacion de compuestos'!$E$2:$E$48,"OK",'Conciliacion de compuestos'!$J$2:$J$48,A1284),COUNTIFS('Conciliacion de compuestos'!$D$2:$D$48,"conciliado",'Conciliacion de compuestos'!$E$2:$E$48,"OK",'Conciliacion de compuestos'!$K$2:$K$48,A1284),COUNTIFS('Conciliacion de compuestos'!$D$2:$D$48,"conciliado",'Conciliacion de compuestos'!$E$2:$E$48,"OK",'Conciliacion de compuestos'!$L$2:$L$48,A1284))&gt;0,"conciliado en compuesto confirmado","disponible")</f>
        <v/>
      </c>
    </row>
    <row r="1285">
      <c r="A1285" s="11" t="n">
        <v>1298</v>
      </c>
      <c r="B1285" s="12" t="n">
        <v>46013</v>
      </c>
      <c r="C1285" s="11" t="inlineStr">
        <is>
          <t>a financiero gravamen movimiento</t>
        </is>
      </c>
      <c r="D1285" s="13" t="n">
        <v>-1</v>
      </c>
      <c r="E1285" s="11">
        <f>IF(SUM(COUNTIFS('Conciliacion de compuestos'!$D$2:$D$48,"conciliado",'Conciliacion de compuestos'!$E$2:$E$48,"OK",'Conciliacion de compuestos'!$J$2:$J$48,A1285),COUNTIFS('Conciliacion de compuestos'!$D$2:$D$48,"conciliado",'Conciliacion de compuestos'!$E$2:$E$48,"OK",'Conciliacion de compuestos'!$K$2:$K$48,A1285),COUNTIFS('Conciliacion de compuestos'!$D$2:$D$48,"conciliado",'Conciliacion de compuestos'!$E$2:$E$48,"OK",'Conciliacion de compuestos'!$L$2:$L$48,A1285))&gt;0,"conciliado en compuesto confirmado","disponible")</f>
        <v/>
      </c>
    </row>
    <row r="1286">
      <c r="A1286" s="11" t="n">
        <v>1299</v>
      </c>
      <c r="B1286" s="12" t="n">
        <v>46013</v>
      </c>
      <c r="C1286" s="11" t="inlineStr">
        <is>
          <t>depositos electronicos masterca transaccion</t>
        </is>
      </c>
      <c r="D1286" s="13" t="n">
        <v>85600</v>
      </c>
      <c r="E1286" s="11">
        <f>IF(SUM(COUNTIFS('Conciliacion de compuestos'!$D$2:$D$48,"conciliado",'Conciliacion de compuestos'!$E$2:$E$48,"OK",'Conciliacion de compuestos'!$J$2:$J$48,A1286),COUNTIFS('Conciliacion de compuestos'!$D$2:$D$48,"conciliado",'Conciliacion de compuestos'!$E$2:$E$48,"OK",'Conciliacion de compuestos'!$K$2:$K$48,A1286),COUNTIFS('Conciliacion de compuestos'!$D$2:$D$48,"conciliado",'Conciliacion de compuestos'!$E$2:$E$48,"OK",'Conciliacion de compuestos'!$L$2:$L$48,A1286))&gt;0,"conciliado en compuesto confirmado","disponible")</f>
        <v/>
      </c>
    </row>
    <row r="1287">
      <c r="A1287" s="11" t="n">
        <v>1300</v>
      </c>
      <c r="B1287" s="12" t="n">
        <v>46013</v>
      </c>
      <c r="C1287" s="11" t="inlineStr">
        <is>
          <t>comision depositos electronicos mastercard</t>
        </is>
      </c>
      <c r="D1287" s="13" t="n">
        <v>-1626</v>
      </c>
      <c r="E1287" s="11">
        <f>IF(SUM(COUNTIFS('Conciliacion de compuestos'!$D$2:$D$48,"conciliado",'Conciliacion de compuestos'!$E$2:$E$48,"OK",'Conciliacion de compuestos'!$J$2:$J$48,A1287),COUNTIFS('Conciliacion de compuestos'!$D$2:$D$48,"conciliado",'Conciliacion de compuestos'!$E$2:$E$48,"OK",'Conciliacion de compuestos'!$K$2:$K$48,A1287),COUNTIFS('Conciliacion de compuestos'!$D$2:$D$48,"conciliado",'Conciliacion de compuestos'!$E$2:$E$48,"OK",'Conciliacion de compuestos'!$L$2:$L$48,A1287))&gt;0,"conciliado en compuesto confirmado","disponible")</f>
        <v/>
      </c>
    </row>
    <row r="1288">
      <c r="A1288" s="11" t="n">
        <v>1301</v>
      </c>
      <c r="B1288" s="12" t="n">
        <v>46013</v>
      </c>
      <c r="C1288" s="11" t="inlineStr">
        <is>
          <t>a financiero gravamen movimiento</t>
        </is>
      </c>
      <c r="D1288" s="13" t="n">
        <v>-7</v>
      </c>
      <c r="E1288" s="11">
        <f>IF(SUM(COUNTIFS('Conciliacion de compuestos'!$D$2:$D$48,"conciliado",'Conciliacion de compuestos'!$E$2:$E$48,"OK",'Conciliacion de compuestos'!$J$2:$J$48,A1288),COUNTIFS('Conciliacion de compuestos'!$D$2:$D$48,"conciliado",'Conciliacion de compuestos'!$E$2:$E$48,"OK",'Conciliacion de compuestos'!$K$2:$K$48,A1288),COUNTIFS('Conciliacion de compuestos'!$D$2:$D$48,"conciliado",'Conciliacion de compuestos'!$E$2:$E$48,"OK",'Conciliacion de compuestos'!$L$2:$L$48,A1288))&gt;0,"conciliado en compuesto confirmado","disponible")</f>
        <v/>
      </c>
    </row>
    <row r="1289">
      <c r="A1289" s="11" t="n">
        <v>1302</v>
      </c>
      <c r="B1289" s="12" t="n">
        <v>46013</v>
      </c>
      <c r="C1289" s="11" t="inlineStr">
        <is>
          <t>depositos electronicos mastercar retefuente</t>
        </is>
      </c>
      <c r="D1289" s="13" t="n">
        <v>-1284</v>
      </c>
      <c r="E1289" s="11">
        <f>IF(SUM(COUNTIFS('Conciliacion de compuestos'!$D$2:$D$48,"conciliado",'Conciliacion de compuestos'!$E$2:$E$48,"OK",'Conciliacion de compuestos'!$J$2:$J$48,A1289),COUNTIFS('Conciliacion de compuestos'!$D$2:$D$48,"conciliado",'Conciliacion de compuestos'!$E$2:$E$48,"OK",'Conciliacion de compuestos'!$K$2:$K$48,A1289),COUNTIFS('Conciliacion de compuestos'!$D$2:$D$48,"conciliado",'Conciliacion de compuestos'!$E$2:$E$48,"OK",'Conciliacion de compuestos'!$L$2:$L$48,A1289))&gt;0,"conciliado en compuesto confirmado","disponible")</f>
        <v/>
      </c>
    </row>
    <row r="1290">
      <c r="A1290" s="11" t="n">
        <v>1303</v>
      </c>
      <c r="B1290" s="12" t="n">
        <v>46013</v>
      </c>
      <c r="C1290" s="11" t="inlineStr">
        <is>
          <t>a financiero gravamen movimiento</t>
        </is>
      </c>
      <c r="D1290" s="13" t="n">
        <v>-5</v>
      </c>
      <c r="E1290" s="11">
        <f>IF(SUM(COUNTIFS('Conciliacion de compuestos'!$D$2:$D$48,"conciliado",'Conciliacion de compuestos'!$E$2:$E$48,"OK",'Conciliacion de compuestos'!$J$2:$J$48,A1290),COUNTIFS('Conciliacion de compuestos'!$D$2:$D$48,"conciliado",'Conciliacion de compuestos'!$E$2:$E$48,"OK",'Conciliacion de compuestos'!$K$2:$K$48,A1290),COUNTIFS('Conciliacion de compuestos'!$D$2:$D$48,"conciliado",'Conciliacion de compuestos'!$E$2:$E$48,"OK",'Conciliacion de compuestos'!$L$2:$L$48,A1290))&gt;0,"conciliado en compuesto confirmado","disponible")</f>
        <v/>
      </c>
    </row>
    <row r="1291">
      <c r="A1291" s="11" t="n">
        <v>1304</v>
      </c>
      <c r="B1291" s="12" t="n">
        <v>46013</v>
      </c>
      <c r="C1291" s="11" t="inlineStr">
        <is>
          <t>depositos electronicos masterca transaccion</t>
        </is>
      </c>
      <c r="D1291" s="13" t="n">
        <v>86000</v>
      </c>
      <c r="E1291" s="11">
        <f>IF(SUM(COUNTIFS('Conciliacion de compuestos'!$D$2:$D$48,"conciliado",'Conciliacion de compuestos'!$E$2:$E$48,"OK",'Conciliacion de compuestos'!$J$2:$J$48,A1291),COUNTIFS('Conciliacion de compuestos'!$D$2:$D$48,"conciliado",'Conciliacion de compuestos'!$E$2:$E$48,"OK",'Conciliacion de compuestos'!$K$2:$K$48,A1291),COUNTIFS('Conciliacion de compuestos'!$D$2:$D$48,"conciliado",'Conciliacion de compuestos'!$E$2:$E$48,"OK",'Conciliacion de compuestos'!$L$2:$L$48,A1291))&gt;0,"conciliado en compuesto confirmado","disponible")</f>
        <v/>
      </c>
    </row>
    <row r="1292">
      <c r="A1292" s="11" t="n">
        <v>1305</v>
      </c>
      <c r="B1292" s="12" t="n">
        <v>46013</v>
      </c>
      <c r="C1292" s="11" t="inlineStr">
        <is>
          <t>comision depositos electronicos mastercard</t>
        </is>
      </c>
      <c r="D1292" s="13" t="n">
        <v>-1634</v>
      </c>
      <c r="E1292" s="11">
        <f>IF(SUM(COUNTIFS('Conciliacion de compuestos'!$D$2:$D$48,"conciliado",'Conciliacion de compuestos'!$E$2:$E$48,"OK",'Conciliacion de compuestos'!$J$2:$J$48,A1292),COUNTIFS('Conciliacion de compuestos'!$D$2:$D$48,"conciliado",'Conciliacion de compuestos'!$E$2:$E$48,"OK",'Conciliacion de compuestos'!$K$2:$K$48,A1292),COUNTIFS('Conciliacion de compuestos'!$D$2:$D$48,"conciliado",'Conciliacion de compuestos'!$E$2:$E$48,"OK",'Conciliacion de compuestos'!$L$2:$L$48,A1292))&gt;0,"conciliado en compuesto confirmado","disponible")</f>
        <v/>
      </c>
    </row>
    <row r="1293">
      <c r="A1293" s="11" t="n">
        <v>1306</v>
      </c>
      <c r="B1293" s="12" t="n">
        <v>46013</v>
      </c>
      <c r="C1293" s="11" t="inlineStr">
        <is>
          <t>a financiero gravamen movimiento</t>
        </is>
      </c>
      <c r="D1293" s="13" t="n">
        <v>-7</v>
      </c>
      <c r="E1293" s="11">
        <f>IF(SUM(COUNTIFS('Conciliacion de compuestos'!$D$2:$D$48,"conciliado",'Conciliacion de compuestos'!$E$2:$E$48,"OK",'Conciliacion de compuestos'!$J$2:$J$48,A1293),COUNTIFS('Conciliacion de compuestos'!$D$2:$D$48,"conciliado",'Conciliacion de compuestos'!$E$2:$E$48,"OK",'Conciliacion de compuestos'!$K$2:$K$48,A1293),COUNTIFS('Conciliacion de compuestos'!$D$2:$D$48,"conciliado",'Conciliacion de compuestos'!$E$2:$E$48,"OK",'Conciliacion de compuestos'!$L$2:$L$48,A1293))&gt;0,"conciliado en compuesto confirmado","disponible")</f>
        <v/>
      </c>
    </row>
    <row r="1294">
      <c r="A1294" s="11" t="n">
        <v>1307</v>
      </c>
      <c r="B1294" s="12" t="n">
        <v>46013</v>
      </c>
      <c r="C1294" s="11" t="inlineStr">
        <is>
          <t>depositos electronicos mastercar retefuente</t>
        </is>
      </c>
      <c r="D1294" s="13" t="n">
        <v>-1290</v>
      </c>
      <c r="E1294" s="11">
        <f>IF(SUM(COUNTIFS('Conciliacion de compuestos'!$D$2:$D$48,"conciliado",'Conciliacion de compuestos'!$E$2:$E$48,"OK",'Conciliacion de compuestos'!$J$2:$J$48,A1294),COUNTIFS('Conciliacion de compuestos'!$D$2:$D$48,"conciliado",'Conciliacion de compuestos'!$E$2:$E$48,"OK",'Conciliacion de compuestos'!$K$2:$K$48,A1294),COUNTIFS('Conciliacion de compuestos'!$D$2:$D$48,"conciliado",'Conciliacion de compuestos'!$E$2:$E$48,"OK",'Conciliacion de compuestos'!$L$2:$L$48,A1294))&gt;0,"conciliado en compuesto confirmado","disponible")</f>
        <v/>
      </c>
    </row>
    <row r="1295">
      <c r="A1295" s="11" t="n">
        <v>1308</v>
      </c>
      <c r="B1295" s="12" t="n">
        <v>46013</v>
      </c>
      <c r="C1295" s="11" t="inlineStr">
        <is>
          <t>a financiero gravamen movimiento</t>
        </is>
      </c>
      <c r="D1295" s="13" t="n">
        <v>-5</v>
      </c>
      <c r="E1295" s="11">
        <f>IF(SUM(COUNTIFS('Conciliacion de compuestos'!$D$2:$D$48,"conciliado",'Conciliacion de compuestos'!$E$2:$E$48,"OK",'Conciliacion de compuestos'!$J$2:$J$48,A1295),COUNTIFS('Conciliacion de compuestos'!$D$2:$D$48,"conciliado",'Conciliacion de compuestos'!$E$2:$E$48,"OK",'Conciliacion de compuestos'!$K$2:$K$48,A1295),COUNTIFS('Conciliacion de compuestos'!$D$2:$D$48,"conciliado",'Conciliacion de compuestos'!$E$2:$E$48,"OK",'Conciliacion de compuestos'!$L$2:$L$48,A1295))&gt;0,"conciliado en compuesto confirmado","disponible")</f>
        <v/>
      </c>
    </row>
    <row r="1296">
      <c r="A1296" s="11" t="n">
        <v>1309</v>
      </c>
      <c r="B1296" s="12" t="n">
        <v>46013</v>
      </c>
      <c r="C1296" s="11" t="inlineStr">
        <is>
          <t>depositos electronicos masterca transaccion</t>
        </is>
      </c>
      <c r="D1296" s="13" t="n">
        <v>75000</v>
      </c>
      <c r="E1296" s="11">
        <f>IF(SUM(COUNTIFS('Conciliacion de compuestos'!$D$2:$D$48,"conciliado",'Conciliacion de compuestos'!$E$2:$E$48,"OK",'Conciliacion de compuestos'!$J$2:$J$48,A1296),COUNTIFS('Conciliacion de compuestos'!$D$2:$D$48,"conciliado",'Conciliacion de compuestos'!$E$2:$E$48,"OK",'Conciliacion de compuestos'!$K$2:$K$48,A1296),COUNTIFS('Conciliacion de compuestos'!$D$2:$D$48,"conciliado",'Conciliacion de compuestos'!$E$2:$E$48,"OK",'Conciliacion de compuestos'!$L$2:$L$48,A1296))&gt;0,"conciliado en compuesto confirmado","disponible")</f>
        <v/>
      </c>
    </row>
    <row r="1297">
      <c r="A1297" s="11" t="n">
        <v>1310</v>
      </c>
      <c r="B1297" s="12" t="n">
        <v>46013</v>
      </c>
      <c r="C1297" s="11" t="inlineStr">
        <is>
          <t>comision depositos electronicos mastercard</t>
        </is>
      </c>
      <c r="D1297" s="13" t="n">
        <v>-1425</v>
      </c>
      <c r="E1297" s="11">
        <f>IF(SUM(COUNTIFS('Conciliacion de compuestos'!$D$2:$D$48,"conciliado",'Conciliacion de compuestos'!$E$2:$E$48,"OK",'Conciliacion de compuestos'!$J$2:$J$48,A1297),COUNTIFS('Conciliacion de compuestos'!$D$2:$D$48,"conciliado",'Conciliacion de compuestos'!$E$2:$E$48,"OK",'Conciliacion de compuestos'!$K$2:$K$48,A1297),COUNTIFS('Conciliacion de compuestos'!$D$2:$D$48,"conciliado",'Conciliacion de compuestos'!$E$2:$E$48,"OK",'Conciliacion de compuestos'!$L$2:$L$48,A1297))&gt;0,"conciliado en compuesto confirmado","disponible")</f>
        <v/>
      </c>
    </row>
    <row r="1298">
      <c r="A1298" s="11" t="n">
        <v>1311</v>
      </c>
      <c r="B1298" s="12" t="n">
        <v>46013</v>
      </c>
      <c r="C1298" s="11" t="inlineStr">
        <is>
          <t>a financiero gravamen movimiento</t>
        </is>
      </c>
      <c r="D1298" s="13" t="n">
        <v>-6</v>
      </c>
      <c r="E1298" s="11">
        <f>IF(SUM(COUNTIFS('Conciliacion de compuestos'!$D$2:$D$48,"conciliado",'Conciliacion de compuestos'!$E$2:$E$48,"OK",'Conciliacion de compuestos'!$J$2:$J$48,A1298),COUNTIFS('Conciliacion de compuestos'!$D$2:$D$48,"conciliado",'Conciliacion de compuestos'!$E$2:$E$48,"OK",'Conciliacion de compuestos'!$K$2:$K$48,A1298),COUNTIFS('Conciliacion de compuestos'!$D$2:$D$48,"conciliado",'Conciliacion de compuestos'!$E$2:$E$48,"OK",'Conciliacion de compuestos'!$L$2:$L$48,A1298))&gt;0,"conciliado en compuesto confirmado","disponible")</f>
        <v/>
      </c>
    </row>
    <row r="1299">
      <c r="A1299" s="11" t="n">
        <v>1312</v>
      </c>
      <c r="B1299" s="12" t="n">
        <v>46013</v>
      </c>
      <c r="C1299" s="11" t="inlineStr">
        <is>
          <t>depositos electronicos mastercar retefuente</t>
        </is>
      </c>
      <c r="D1299" s="13" t="n">
        <v>-1125</v>
      </c>
      <c r="E1299" s="11">
        <f>IF(SUM(COUNTIFS('Conciliacion de compuestos'!$D$2:$D$48,"conciliado",'Conciliacion de compuestos'!$E$2:$E$48,"OK",'Conciliacion de compuestos'!$J$2:$J$48,A1299),COUNTIFS('Conciliacion de compuestos'!$D$2:$D$48,"conciliado",'Conciliacion de compuestos'!$E$2:$E$48,"OK",'Conciliacion de compuestos'!$K$2:$K$48,A1299),COUNTIFS('Conciliacion de compuestos'!$D$2:$D$48,"conciliado",'Conciliacion de compuestos'!$E$2:$E$48,"OK",'Conciliacion de compuestos'!$L$2:$L$48,A1299))&gt;0,"conciliado en compuesto confirmado","disponible")</f>
        <v/>
      </c>
    </row>
    <row r="1300">
      <c r="A1300" s="11" t="n">
        <v>1313</v>
      </c>
      <c r="B1300" s="12" t="n">
        <v>46013</v>
      </c>
      <c r="C1300" s="11" t="inlineStr">
        <is>
          <t>a financiero gravamen movimiento</t>
        </is>
      </c>
      <c r="D1300" s="13" t="n">
        <v>-5</v>
      </c>
      <c r="E1300" s="11">
        <f>IF(SUM(COUNTIFS('Conciliacion de compuestos'!$D$2:$D$48,"conciliado",'Conciliacion de compuestos'!$E$2:$E$48,"OK",'Conciliacion de compuestos'!$J$2:$J$48,A1300),COUNTIFS('Conciliacion de compuestos'!$D$2:$D$48,"conciliado",'Conciliacion de compuestos'!$E$2:$E$48,"OK",'Conciliacion de compuestos'!$K$2:$K$48,A1300),COUNTIFS('Conciliacion de compuestos'!$D$2:$D$48,"conciliado",'Conciliacion de compuestos'!$E$2:$E$48,"OK",'Conciliacion de compuestos'!$L$2:$L$48,A1300))&gt;0,"conciliado en compuesto confirmado","disponible")</f>
        <v/>
      </c>
    </row>
    <row r="1301">
      <c r="A1301" s="11" t="n">
        <v>1314</v>
      </c>
      <c r="B1301" s="12" t="n">
        <v>46013</v>
      </c>
      <c r="C1301" s="11" t="inlineStr">
        <is>
          <t>depositos electronicos masterca transaccion</t>
        </is>
      </c>
      <c r="D1301" s="13" t="n">
        <v>107900</v>
      </c>
      <c r="E1301" s="11">
        <f>IF(SUM(COUNTIFS('Conciliacion de compuestos'!$D$2:$D$48,"conciliado",'Conciliacion de compuestos'!$E$2:$E$48,"OK",'Conciliacion de compuestos'!$J$2:$J$48,A1301),COUNTIFS('Conciliacion de compuestos'!$D$2:$D$48,"conciliado",'Conciliacion de compuestos'!$E$2:$E$48,"OK",'Conciliacion de compuestos'!$K$2:$K$48,A1301),COUNTIFS('Conciliacion de compuestos'!$D$2:$D$48,"conciliado",'Conciliacion de compuestos'!$E$2:$E$48,"OK",'Conciliacion de compuestos'!$L$2:$L$48,A1301))&gt;0,"conciliado en compuesto confirmado","disponible")</f>
        <v/>
      </c>
    </row>
    <row r="1302">
      <c r="A1302" s="11" t="n">
        <v>1315</v>
      </c>
      <c r="B1302" s="12" t="n">
        <v>46013</v>
      </c>
      <c r="C1302" s="11" t="inlineStr">
        <is>
          <t>comision depositos electronicos mastercard</t>
        </is>
      </c>
      <c r="D1302" s="13" t="n">
        <v>-2050</v>
      </c>
      <c r="E1302" s="11">
        <f>IF(SUM(COUNTIFS('Conciliacion de compuestos'!$D$2:$D$48,"conciliado",'Conciliacion de compuestos'!$E$2:$E$48,"OK",'Conciliacion de compuestos'!$J$2:$J$48,A1302),COUNTIFS('Conciliacion de compuestos'!$D$2:$D$48,"conciliado",'Conciliacion de compuestos'!$E$2:$E$48,"OK",'Conciliacion de compuestos'!$K$2:$K$48,A1302),COUNTIFS('Conciliacion de compuestos'!$D$2:$D$48,"conciliado",'Conciliacion de compuestos'!$E$2:$E$48,"OK",'Conciliacion de compuestos'!$L$2:$L$48,A1302))&gt;0,"conciliado en compuesto confirmado","disponible")</f>
        <v/>
      </c>
    </row>
    <row r="1303">
      <c r="A1303" s="11" t="n">
        <v>1316</v>
      </c>
      <c r="B1303" s="12" t="n">
        <v>46013</v>
      </c>
      <c r="C1303" s="11" t="inlineStr">
        <is>
          <t>a financiero gravamen movimiento</t>
        </is>
      </c>
      <c r="D1303" s="13" t="n">
        <v>-8</v>
      </c>
      <c r="E1303" s="11">
        <f>IF(SUM(COUNTIFS('Conciliacion de compuestos'!$D$2:$D$48,"conciliado",'Conciliacion de compuestos'!$E$2:$E$48,"OK",'Conciliacion de compuestos'!$J$2:$J$48,A1303),COUNTIFS('Conciliacion de compuestos'!$D$2:$D$48,"conciliado",'Conciliacion de compuestos'!$E$2:$E$48,"OK",'Conciliacion de compuestos'!$K$2:$K$48,A1303),COUNTIFS('Conciliacion de compuestos'!$D$2:$D$48,"conciliado",'Conciliacion de compuestos'!$E$2:$E$48,"OK",'Conciliacion de compuestos'!$L$2:$L$48,A1303))&gt;0,"conciliado en compuesto confirmado","disponible")</f>
        <v/>
      </c>
    </row>
    <row r="1304">
      <c r="A1304" s="11" t="n">
        <v>1317</v>
      </c>
      <c r="B1304" s="12" t="n">
        <v>46013</v>
      </c>
      <c r="C1304" s="11" t="inlineStr">
        <is>
          <t>depositos electronicos mastercar retefuente</t>
        </is>
      </c>
      <c r="D1304" s="13" t="n">
        <v>-1619</v>
      </c>
      <c r="E1304" s="11">
        <f>IF(SUM(COUNTIFS('Conciliacion de compuestos'!$D$2:$D$48,"conciliado",'Conciliacion de compuestos'!$E$2:$E$48,"OK",'Conciliacion de compuestos'!$J$2:$J$48,A1304),COUNTIFS('Conciliacion de compuestos'!$D$2:$D$48,"conciliado",'Conciliacion de compuestos'!$E$2:$E$48,"OK",'Conciliacion de compuestos'!$K$2:$K$48,A1304),COUNTIFS('Conciliacion de compuestos'!$D$2:$D$48,"conciliado",'Conciliacion de compuestos'!$E$2:$E$48,"OK",'Conciliacion de compuestos'!$L$2:$L$48,A1304))&gt;0,"conciliado en compuesto confirmado","disponible")</f>
        <v/>
      </c>
    </row>
    <row r="1305">
      <c r="A1305" s="11" t="n">
        <v>1318</v>
      </c>
      <c r="B1305" s="12" t="n">
        <v>46013</v>
      </c>
      <c r="C1305" s="11" t="inlineStr">
        <is>
          <t>a financiero gravamen movimiento</t>
        </is>
      </c>
      <c r="D1305" s="13" t="n">
        <v>-6</v>
      </c>
      <c r="E1305" s="11">
        <f>IF(SUM(COUNTIFS('Conciliacion de compuestos'!$D$2:$D$48,"conciliado",'Conciliacion de compuestos'!$E$2:$E$48,"OK",'Conciliacion de compuestos'!$J$2:$J$48,A1305),COUNTIFS('Conciliacion de compuestos'!$D$2:$D$48,"conciliado",'Conciliacion de compuestos'!$E$2:$E$48,"OK",'Conciliacion de compuestos'!$K$2:$K$48,A1305),COUNTIFS('Conciliacion de compuestos'!$D$2:$D$48,"conciliado",'Conciliacion de compuestos'!$E$2:$E$48,"OK",'Conciliacion de compuestos'!$L$2:$L$48,A1305))&gt;0,"conciliado en compuesto confirmado","disponible")</f>
        <v/>
      </c>
    </row>
    <row r="1306">
      <c r="A1306" s="11" t="n">
        <v>1319</v>
      </c>
      <c r="B1306" s="12" t="n">
        <v>46013</v>
      </c>
      <c r="C1306" s="11" t="inlineStr">
        <is>
          <t>depositos electronicos masterca transaccion</t>
        </is>
      </c>
      <c r="D1306" s="13" t="n">
        <v>101100</v>
      </c>
      <c r="E1306" s="11">
        <f>IF(SUM(COUNTIFS('Conciliacion de compuestos'!$D$2:$D$48,"conciliado",'Conciliacion de compuestos'!$E$2:$E$48,"OK",'Conciliacion de compuestos'!$J$2:$J$48,A1306),COUNTIFS('Conciliacion de compuestos'!$D$2:$D$48,"conciliado",'Conciliacion de compuestos'!$E$2:$E$48,"OK",'Conciliacion de compuestos'!$K$2:$K$48,A1306),COUNTIFS('Conciliacion de compuestos'!$D$2:$D$48,"conciliado",'Conciliacion de compuestos'!$E$2:$E$48,"OK",'Conciliacion de compuestos'!$L$2:$L$48,A1306))&gt;0,"conciliado en compuesto confirmado","disponible")</f>
        <v/>
      </c>
    </row>
    <row r="1307">
      <c r="A1307" s="11" t="n">
        <v>1320</v>
      </c>
      <c r="B1307" s="12" t="n">
        <v>46013</v>
      </c>
      <c r="C1307" s="11" t="inlineStr">
        <is>
          <t>comision depositos electronicos mastercard</t>
        </is>
      </c>
      <c r="D1307" s="13" t="n">
        <v>-1921</v>
      </c>
      <c r="E1307" s="11">
        <f>IF(SUM(COUNTIFS('Conciliacion de compuestos'!$D$2:$D$48,"conciliado",'Conciliacion de compuestos'!$E$2:$E$48,"OK",'Conciliacion de compuestos'!$J$2:$J$48,A1307),COUNTIFS('Conciliacion de compuestos'!$D$2:$D$48,"conciliado",'Conciliacion de compuestos'!$E$2:$E$48,"OK",'Conciliacion de compuestos'!$K$2:$K$48,A1307),COUNTIFS('Conciliacion de compuestos'!$D$2:$D$48,"conciliado",'Conciliacion de compuestos'!$E$2:$E$48,"OK",'Conciliacion de compuestos'!$L$2:$L$48,A1307))&gt;0,"conciliado en compuesto confirmado","disponible")</f>
        <v/>
      </c>
    </row>
    <row r="1308">
      <c r="A1308" s="11" t="n">
        <v>1321</v>
      </c>
      <c r="B1308" s="12" t="n">
        <v>46013</v>
      </c>
      <c r="C1308" s="11" t="inlineStr">
        <is>
          <t>a financiero gravamen movimiento</t>
        </is>
      </c>
      <c r="D1308" s="13" t="n">
        <v>-8</v>
      </c>
      <c r="E1308" s="11">
        <f>IF(SUM(COUNTIFS('Conciliacion de compuestos'!$D$2:$D$48,"conciliado",'Conciliacion de compuestos'!$E$2:$E$48,"OK",'Conciliacion de compuestos'!$J$2:$J$48,A1308),COUNTIFS('Conciliacion de compuestos'!$D$2:$D$48,"conciliado",'Conciliacion de compuestos'!$E$2:$E$48,"OK",'Conciliacion de compuestos'!$K$2:$K$48,A1308),COUNTIFS('Conciliacion de compuestos'!$D$2:$D$48,"conciliado",'Conciliacion de compuestos'!$E$2:$E$48,"OK",'Conciliacion de compuestos'!$L$2:$L$48,A1308))&gt;0,"conciliado en compuesto confirmado","disponible")</f>
        <v/>
      </c>
    </row>
    <row r="1309">
      <c r="A1309" s="11" t="n">
        <v>1322</v>
      </c>
      <c r="B1309" s="12" t="n">
        <v>46013</v>
      </c>
      <c r="C1309" s="11" t="inlineStr">
        <is>
          <t>depositos electronicos mastercar retefuente</t>
        </is>
      </c>
      <c r="D1309" s="13" t="n">
        <v>-1517</v>
      </c>
      <c r="E1309" s="11">
        <f>IF(SUM(COUNTIFS('Conciliacion de compuestos'!$D$2:$D$48,"conciliado",'Conciliacion de compuestos'!$E$2:$E$48,"OK",'Conciliacion de compuestos'!$J$2:$J$48,A1309),COUNTIFS('Conciliacion de compuestos'!$D$2:$D$48,"conciliado",'Conciliacion de compuestos'!$E$2:$E$48,"OK",'Conciliacion de compuestos'!$K$2:$K$48,A1309),COUNTIFS('Conciliacion de compuestos'!$D$2:$D$48,"conciliado",'Conciliacion de compuestos'!$E$2:$E$48,"OK",'Conciliacion de compuestos'!$L$2:$L$48,A1309))&gt;0,"conciliado en compuesto confirmado","disponible")</f>
        <v/>
      </c>
    </row>
    <row r="1310">
      <c r="A1310" s="11" t="n">
        <v>1323</v>
      </c>
      <c r="B1310" s="12" t="n">
        <v>46013</v>
      </c>
      <c r="C1310" s="11" t="inlineStr">
        <is>
          <t>a financiero gravamen movimiento</t>
        </is>
      </c>
      <c r="D1310" s="13" t="n">
        <v>-6</v>
      </c>
      <c r="E1310" s="11">
        <f>IF(SUM(COUNTIFS('Conciliacion de compuestos'!$D$2:$D$48,"conciliado",'Conciliacion de compuestos'!$E$2:$E$48,"OK",'Conciliacion de compuestos'!$J$2:$J$48,A1310),COUNTIFS('Conciliacion de compuestos'!$D$2:$D$48,"conciliado",'Conciliacion de compuestos'!$E$2:$E$48,"OK",'Conciliacion de compuestos'!$K$2:$K$48,A1310),COUNTIFS('Conciliacion de compuestos'!$D$2:$D$48,"conciliado",'Conciliacion de compuestos'!$E$2:$E$48,"OK",'Conciliacion de compuestos'!$L$2:$L$48,A1310))&gt;0,"conciliado en compuesto confirmado","disponible")</f>
        <v/>
      </c>
    </row>
    <row r="1311">
      <c r="A1311" s="11" t="n">
        <v>1324</v>
      </c>
      <c r="B1311" s="12" t="n">
        <v>46013</v>
      </c>
      <c r="C1311" s="11" t="inlineStr">
        <is>
          <t>compra internet nd por pse</t>
        </is>
      </c>
      <c r="D1311" s="13" t="n">
        <v>-3569048</v>
      </c>
      <c r="E1311" s="11">
        <f>IF(SUM(COUNTIFS('Conciliacion de compuestos'!$D$2:$D$48,"conciliado",'Conciliacion de compuestos'!$E$2:$E$48,"OK",'Conciliacion de compuestos'!$J$2:$J$48,A1311),COUNTIFS('Conciliacion de compuestos'!$D$2:$D$48,"conciliado",'Conciliacion de compuestos'!$E$2:$E$48,"OK",'Conciliacion de compuestos'!$K$2:$K$48,A1311),COUNTIFS('Conciliacion de compuestos'!$D$2:$D$48,"conciliado",'Conciliacion de compuestos'!$E$2:$E$48,"OK",'Conciliacion de compuestos'!$L$2:$L$48,A1311))&gt;0,"conciliado en compuesto confirmado","disponible")</f>
        <v/>
      </c>
    </row>
    <row r="1312">
      <c r="A1312" s="11" t="n">
        <v>1325</v>
      </c>
      <c r="B1312" s="12" t="n">
        <v>46013</v>
      </c>
      <c r="C1312" s="11" t="inlineStr">
        <is>
          <t>a financiero gravamen movimiento</t>
        </is>
      </c>
      <c r="D1312" s="13" t="n">
        <v>-14276</v>
      </c>
      <c r="E1312" s="11">
        <f>IF(SUM(COUNTIFS('Conciliacion de compuestos'!$D$2:$D$48,"conciliado",'Conciliacion de compuestos'!$E$2:$E$48,"OK",'Conciliacion de compuestos'!$J$2:$J$48,A1312),COUNTIFS('Conciliacion de compuestos'!$D$2:$D$48,"conciliado",'Conciliacion de compuestos'!$E$2:$E$48,"OK",'Conciliacion de compuestos'!$K$2:$K$48,A1312),COUNTIFS('Conciliacion de compuestos'!$D$2:$D$48,"conciliado",'Conciliacion de compuestos'!$E$2:$E$48,"OK",'Conciliacion de compuestos'!$L$2:$L$48,A1312))&gt;0,"conciliado en compuesto confirmado","disponible")</f>
        <v/>
      </c>
    </row>
    <row r="1313">
      <c r="A1313" s="11" t="n">
        <v>1326</v>
      </c>
      <c r="B1313" s="12" t="n">
        <v>46014</v>
      </c>
      <c r="C1313" s="11" t="inlineStr">
        <is>
          <t>consignacion credibanco d e</t>
        </is>
      </c>
      <c r="D1313" s="13" t="n">
        <v>164200</v>
      </c>
      <c r="E1313" s="11">
        <f>IF(SUM(COUNTIFS('Conciliacion de compuestos'!$D$2:$D$48,"conciliado",'Conciliacion de compuestos'!$E$2:$E$48,"OK",'Conciliacion de compuestos'!$J$2:$J$48,A1313),COUNTIFS('Conciliacion de compuestos'!$D$2:$D$48,"conciliado",'Conciliacion de compuestos'!$E$2:$E$48,"OK",'Conciliacion de compuestos'!$K$2:$K$48,A1313),COUNTIFS('Conciliacion de compuestos'!$D$2:$D$48,"conciliado",'Conciliacion de compuestos'!$E$2:$E$48,"OK",'Conciliacion de compuestos'!$L$2:$L$48,A1313))&gt;0,"conciliado en compuesto confirmado","disponible")</f>
        <v/>
      </c>
    </row>
    <row r="1314">
      <c r="A1314" s="11" t="n">
        <v>1327</v>
      </c>
      <c r="B1314" s="12" t="n">
        <v>46014</v>
      </c>
      <c r="C1314" s="11" t="inlineStr">
        <is>
          <t>cobro comision depositos electronicos</t>
        </is>
      </c>
      <c r="D1314" s="13" t="n">
        <v>-1330</v>
      </c>
      <c r="E1314" s="11">
        <f>IF(SUM(COUNTIFS('Conciliacion de compuestos'!$D$2:$D$48,"conciliado",'Conciliacion de compuestos'!$E$2:$E$48,"OK",'Conciliacion de compuestos'!$J$2:$J$48,A1314),COUNTIFS('Conciliacion de compuestos'!$D$2:$D$48,"conciliado",'Conciliacion de compuestos'!$E$2:$E$48,"OK",'Conciliacion de compuestos'!$K$2:$K$48,A1314),COUNTIFS('Conciliacion de compuestos'!$D$2:$D$48,"conciliado",'Conciliacion de compuestos'!$E$2:$E$48,"OK",'Conciliacion de compuestos'!$L$2:$L$48,A1314))&gt;0,"conciliado en compuesto confirmado","disponible")</f>
        <v/>
      </c>
    </row>
    <row r="1315">
      <c r="A1315" s="11" t="n">
        <v>1328</v>
      </c>
      <c r="B1315" s="12" t="n">
        <v>46014</v>
      </c>
      <c r="C1315" s="11" t="inlineStr">
        <is>
          <t>a financiero gravamen movimiento</t>
        </is>
      </c>
      <c r="D1315" s="13" t="n">
        <v>-5</v>
      </c>
      <c r="E1315" s="11">
        <f>IF(SUM(COUNTIFS('Conciliacion de compuestos'!$D$2:$D$48,"conciliado",'Conciliacion de compuestos'!$E$2:$E$48,"OK",'Conciliacion de compuestos'!$J$2:$J$48,A1315),COUNTIFS('Conciliacion de compuestos'!$D$2:$D$48,"conciliado",'Conciliacion de compuestos'!$E$2:$E$48,"OK",'Conciliacion de compuestos'!$K$2:$K$48,A1315),COUNTIFS('Conciliacion de compuestos'!$D$2:$D$48,"conciliado",'Conciliacion de compuestos'!$E$2:$E$48,"OK",'Conciliacion de compuestos'!$L$2:$L$48,A1315))&gt;0,"conciliado en compuesto confirmado","disponible")</f>
        <v/>
      </c>
    </row>
    <row r="1316">
      <c r="A1316" s="11" t="n">
        <v>1329</v>
      </c>
      <c r="B1316" s="12" t="n">
        <v>46014</v>
      </c>
      <c r="C1316" s="11" t="inlineStr">
        <is>
          <t>credibanco d e retefuente voucher y</t>
        </is>
      </c>
      <c r="D1316" s="13" t="n">
        <v>-2463</v>
      </c>
      <c r="E1316" s="11">
        <f>IF(SUM(COUNTIFS('Conciliacion de compuestos'!$D$2:$D$48,"conciliado",'Conciliacion de compuestos'!$E$2:$E$48,"OK",'Conciliacion de compuestos'!$J$2:$J$48,A1316),COUNTIFS('Conciliacion de compuestos'!$D$2:$D$48,"conciliado",'Conciliacion de compuestos'!$E$2:$E$48,"OK",'Conciliacion de compuestos'!$K$2:$K$48,A1316),COUNTIFS('Conciliacion de compuestos'!$D$2:$D$48,"conciliado",'Conciliacion de compuestos'!$E$2:$E$48,"OK",'Conciliacion de compuestos'!$L$2:$L$48,A1316))&gt;0,"conciliado en compuesto confirmado","disponible")</f>
        <v/>
      </c>
    </row>
    <row r="1317">
      <c r="A1317" s="11" t="n">
        <v>1330</v>
      </c>
      <c r="B1317" s="12" t="n">
        <v>46014</v>
      </c>
      <c r="C1317" s="11" t="inlineStr">
        <is>
          <t>a financiero gravamen movimiento</t>
        </is>
      </c>
      <c r="D1317" s="13" t="n">
        <v>-10</v>
      </c>
      <c r="E1317" s="11">
        <f>IF(SUM(COUNTIFS('Conciliacion de compuestos'!$D$2:$D$48,"conciliado",'Conciliacion de compuestos'!$E$2:$E$48,"OK",'Conciliacion de compuestos'!$J$2:$J$48,A1317),COUNTIFS('Conciliacion de compuestos'!$D$2:$D$48,"conciliado",'Conciliacion de compuestos'!$E$2:$E$48,"OK",'Conciliacion de compuestos'!$K$2:$K$48,A1317),COUNTIFS('Conciliacion de compuestos'!$D$2:$D$48,"conciliado",'Conciliacion de compuestos'!$E$2:$E$48,"OK",'Conciliacion de compuestos'!$L$2:$L$48,A1317))&gt;0,"conciliado en compuesto confirmado","disponible")</f>
        <v/>
      </c>
    </row>
    <row r="1318">
      <c r="A1318" s="11" t="n">
        <v>1331</v>
      </c>
      <c r="B1318" s="12" t="n">
        <v>46014</v>
      </c>
      <c r="C1318" s="11" t="inlineStr">
        <is>
          <t>consignacion credibanco d e</t>
        </is>
      </c>
      <c r="D1318" s="13" t="n">
        <v>86545</v>
      </c>
      <c r="E1318" s="11">
        <f>IF(SUM(COUNTIFS('Conciliacion de compuestos'!$D$2:$D$48,"conciliado",'Conciliacion de compuestos'!$E$2:$E$48,"OK",'Conciliacion de compuestos'!$J$2:$J$48,A1318),COUNTIFS('Conciliacion de compuestos'!$D$2:$D$48,"conciliado",'Conciliacion de compuestos'!$E$2:$E$48,"OK",'Conciliacion de compuestos'!$K$2:$K$48,A1318),COUNTIFS('Conciliacion de compuestos'!$D$2:$D$48,"conciliado",'Conciliacion de compuestos'!$E$2:$E$48,"OK",'Conciliacion de compuestos'!$L$2:$L$48,A1318))&gt;0,"conciliado en compuesto confirmado","disponible")</f>
        <v/>
      </c>
    </row>
    <row r="1319">
      <c r="A1319" s="11" t="n">
        <v>1332</v>
      </c>
      <c r="B1319" s="12" t="n">
        <v>46014</v>
      </c>
      <c r="C1319" s="11" t="inlineStr">
        <is>
          <t>cobro comision depositos electronicos</t>
        </is>
      </c>
      <c r="D1319" s="13" t="n">
        <v>-1783</v>
      </c>
      <c r="E1319" s="11">
        <f>IF(SUM(COUNTIFS('Conciliacion de compuestos'!$D$2:$D$48,"conciliado",'Conciliacion de compuestos'!$E$2:$E$48,"OK",'Conciliacion de compuestos'!$J$2:$J$48,A1319),COUNTIFS('Conciliacion de compuestos'!$D$2:$D$48,"conciliado",'Conciliacion de compuestos'!$E$2:$E$48,"OK",'Conciliacion de compuestos'!$K$2:$K$48,A1319),COUNTIFS('Conciliacion de compuestos'!$D$2:$D$48,"conciliado",'Conciliacion de compuestos'!$E$2:$E$48,"OK",'Conciliacion de compuestos'!$L$2:$L$48,A1319))&gt;0,"conciliado en compuesto confirmado","disponible")</f>
        <v/>
      </c>
    </row>
    <row r="1320">
      <c r="A1320" s="11" t="n">
        <v>1333</v>
      </c>
      <c r="B1320" s="12" t="n">
        <v>46014</v>
      </c>
      <c r="C1320" s="11" t="inlineStr">
        <is>
          <t>a financiero gravamen movimiento</t>
        </is>
      </c>
      <c r="D1320" s="13" t="n">
        <v>-7</v>
      </c>
      <c r="E1320" s="11">
        <f>IF(SUM(COUNTIFS('Conciliacion de compuestos'!$D$2:$D$48,"conciliado",'Conciliacion de compuestos'!$E$2:$E$48,"OK",'Conciliacion de compuestos'!$J$2:$J$48,A1320),COUNTIFS('Conciliacion de compuestos'!$D$2:$D$48,"conciliado",'Conciliacion de compuestos'!$E$2:$E$48,"OK",'Conciliacion de compuestos'!$K$2:$K$48,A1320),COUNTIFS('Conciliacion de compuestos'!$D$2:$D$48,"conciliado",'Conciliacion de compuestos'!$E$2:$E$48,"OK",'Conciliacion de compuestos'!$L$2:$L$48,A1320))&gt;0,"conciliado en compuesto confirmado","disponible")</f>
        <v/>
      </c>
    </row>
    <row r="1321">
      <c r="A1321" s="11" t="n">
        <v>1334</v>
      </c>
      <c r="B1321" s="12" t="n">
        <v>46014</v>
      </c>
      <c r="C1321" s="11" t="inlineStr">
        <is>
          <t>credibanco d e retefuente voucher y</t>
        </is>
      </c>
      <c r="D1321" s="13" t="n">
        <v>-1298</v>
      </c>
      <c r="E1321" s="11">
        <f>IF(SUM(COUNTIFS('Conciliacion de compuestos'!$D$2:$D$48,"conciliado",'Conciliacion de compuestos'!$E$2:$E$48,"OK",'Conciliacion de compuestos'!$J$2:$J$48,A1321),COUNTIFS('Conciliacion de compuestos'!$D$2:$D$48,"conciliado",'Conciliacion de compuestos'!$E$2:$E$48,"OK",'Conciliacion de compuestos'!$K$2:$K$48,A1321),COUNTIFS('Conciliacion de compuestos'!$D$2:$D$48,"conciliado",'Conciliacion de compuestos'!$E$2:$E$48,"OK",'Conciliacion de compuestos'!$L$2:$L$48,A1321))&gt;0,"conciliado en compuesto confirmado","disponible")</f>
        <v/>
      </c>
    </row>
    <row r="1322">
      <c r="A1322" s="11" t="n">
        <v>1335</v>
      </c>
      <c r="B1322" s="12" t="n">
        <v>46014</v>
      </c>
      <c r="C1322" s="11" t="inlineStr">
        <is>
          <t>a financiero gravamen movimiento</t>
        </is>
      </c>
      <c r="D1322" s="13" t="n">
        <v>-5</v>
      </c>
      <c r="E1322" s="11">
        <f>IF(SUM(COUNTIFS('Conciliacion de compuestos'!$D$2:$D$48,"conciliado",'Conciliacion de compuestos'!$E$2:$E$48,"OK",'Conciliacion de compuestos'!$J$2:$J$48,A1322),COUNTIFS('Conciliacion de compuestos'!$D$2:$D$48,"conciliado",'Conciliacion de compuestos'!$E$2:$E$48,"OK",'Conciliacion de compuestos'!$K$2:$K$48,A1322),COUNTIFS('Conciliacion de compuestos'!$D$2:$D$48,"conciliado",'Conciliacion de compuestos'!$E$2:$E$48,"OK",'Conciliacion de compuestos'!$L$2:$L$48,A1322))&gt;0,"conciliado en compuesto confirmado","disponible")</f>
        <v/>
      </c>
    </row>
    <row r="1323">
      <c r="A1323" s="11" t="n">
        <v>1337</v>
      </c>
      <c r="B1323" s="12" t="n">
        <v>46014</v>
      </c>
      <c r="C1323" s="11" t="inlineStr">
        <is>
          <t>cobro comision depositos electronicos</t>
        </is>
      </c>
      <c r="D1323" s="13" t="n">
        <v>-577</v>
      </c>
      <c r="E1323" s="11">
        <f>IF(SUM(COUNTIFS('Conciliacion de compuestos'!$D$2:$D$48,"conciliado",'Conciliacion de compuestos'!$E$2:$E$48,"OK",'Conciliacion de compuestos'!$J$2:$J$48,A1323),COUNTIFS('Conciliacion de compuestos'!$D$2:$D$48,"conciliado",'Conciliacion de compuestos'!$E$2:$E$48,"OK",'Conciliacion de compuestos'!$K$2:$K$48,A1323),COUNTIFS('Conciliacion de compuestos'!$D$2:$D$48,"conciliado",'Conciliacion de compuestos'!$E$2:$E$48,"OK",'Conciliacion de compuestos'!$L$2:$L$48,A1323))&gt;0,"conciliado en compuesto confirmado","disponible")</f>
        <v/>
      </c>
    </row>
    <row r="1324">
      <c r="A1324" s="11" t="n">
        <v>1338</v>
      </c>
      <c r="B1324" s="12" t="n">
        <v>46014</v>
      </c>
      <c r="C1324" s="11" t="inlineStr">
        <is>
          <t>a financiero gravamen movimiento</t>
        </is>
      </c>
      <c r="D1324" s="13" t="n">
        <v>-2</v>
      </c>
      <c r="E1324" s="11">
        <f>IF(SUM(COUNTIFS('Conciliacion de compuestos'!$D$2:$D$48,"conciliado",'Conciliacion de compuestos'!$E$2:$E$48,"OK",'Conciliacion de compuestos'!$J$2:$J$48,A1324),COUNTIFS('Conciliacion de compuestos'!$D$2:$D$48,"conciliado",'Conciliacion de compuestos'!$E$2:$E$48,"OK",'Conciliacion de compuestos'!$K$2:$K$48,A1324),COUNTIFS('Conciliacion de compuestos'!$D$2:$D$48,"conciliado",'Conciliacion de compuestos'!$E$2:$E$48,"OK",'Conciliacion de compuestos'!$L$2:$L$48,A1324))&gt;0,"conciliado en compuesto confirmado","disponible")</f>
        <v/>
      </c>
    </row>
    <row r="1325">
      <c r="A1325" s="11" t="n">
        <v>1339</v>
      </c>
      <c r="B1325" s="12" t="n">
        <v>46014</v>
      </c>
      <c r="C1325" s="11" t="inlineStr">
        <is>
          <t>credibanco d e retefuente voucher y</t>
        </is>
      </c>
      <c r="D1325" s="13" t="n">
        <v>-420</v>
      </c>
      <c r="E1325" s="11">
        <f>IF(SUM(COUNTIFS('Conciliacion de compuestos'!$D$2:$D$48,"conciliado",'Conciliacion de compuestos'!$E$2:$E$48,"OK",'Conciliacion de compuestos'!$J$2:$J$48,A1325),COUNTIFS('Conciliacion de compuestos'!$D$2:$D$48,"conciliado",'Conciliacion de compuestos'!$E$2:$E$48,"OK",'Conciliacion de compuestos'!$K$2:$K$48,A1325),COUNTIFS('Conciliacion de compuestos'!$D$2:$D$48,"conciliado",'Conciliacion de compuestos'!$E$2:$E$48,"OK",'Conciliacion de compuestos'!$L$2:$L$48,A1325))&gt;0,"conciliado en compuesto confirmado","disponible")</f>
        <v/>
      </c>
    </row>
    <row r="1326">
      <c r="A1326" s="11" t="n">
        <v>1340</v>
      </c>
      <c r="B1326" s="12" t="n">
        <v>46014</v>
      </c>
      <c r="C1326" s="11" t="inlineStr">
        <is>
          <t>a financiero gravamen movimiento</t>
        </is>
      </c>
      <c r="D1326" s="13" t="n">
        <v>-2</v>
      </c>
      <c r="E1326" s="11">
        <f>IF(SUM(COUNTIFS('Conciliacion de compuestos'!$D$2:$D$48,"conciliado",'Conciliacion de compuestos'!$E$2:$E$48,"OK",'Conciliacion de compuestos'!$J$2:$J$48,A1326),COUNTIFS('Conciliacion de compuestos'!$D$2:$D$48,"conciliado",'Conciliacion de compuestos'!$E$2:$E$48,"OK",'Conciliacion de compuestos'!$K$2:$K$48,A1326),COUNTIFS('Conciliacion de compuestos'!$D$2:$D$48,"conciliado",'Conciliacion de compuestos'!$E$2:$E$48,"OK",'Conciliacion de compuestos'!$L$2:$L$48,A1326))&gt;0,"conciliado en compuesto confirmado","disponible")</f>
        <v/>
      </c>
    </row>
    <row r="1327">
      <c r="A1327" s="11" t="n">
        <v>1341</v>
      </c>
      <c r="B1327" s="12" t="n">
        <v>46014</v>
      </c>
      <c r="C1327" s="11" t="inlineStr">
        <is>
          <t>consignacion credibanco d e</t>
        </is>
      </c>
      <c r="D1327" s="13" t="n">
        <v>142300</v>
      </c>
      <c r="E1327" s="11">
        <f>IF(SUM(COUNTIFS('Conciliacion de compuestos'!$D$2:$D$48,"conciliado",'Conciliacion de compuestos'!$E$2:$E$48,"OK",'Conciliacion de compuestos'!$J$2:$J$48,A1327),COUNTIFS('Conciliacion de compuestos'!$D$2:$D$48,"conciliado",'Conciliacion de compuestos'!$E$2:$E$48,"OK",'Conciliacion de compuestos'!$K$2:$K$48,A1327),COUNTIFS('Conciliacion de compuestos'!$D$2:$D$48,"conciliado",'Conciliacion de compuestos'!$E$2:$E$48,"OK",'Conciliacion de compuestos'!$L$2:$L$48,A1327))&gt;0,"conciliado en compuesto confirmado","disponible")</f>
        <v/>
      </c>
    </row>
    <row r="1328">
      <c r="A1328" s="11" t="n">
        <v>1342</v>
      </c>
      <c r="B1328" s="12" t="n">
        <v>46014</v>
      </c>
      <c r="C1328" s="11" t="inlineStr">
        <is>
          <t>cobro comision depositos electronicos</t>
        </is>
      </c>
      <c r="D1328" s="13" t="n">
        <v>-3074</v>
      </c>
      <c r="E1328" s="11">
        <f>IF(SUM(COUNTIFS('Conciliacion de compuestos'!$D$2:$D$48,"conciliado",'Conciliacion de compuestos'!$E$2:$E$48,"OK",'Conciliacion de compuestos'!$J$2:$J$48,A1328),COUNTIFS('Conciliacion de compuestos'!$D$2:$D$48,"conciliado",'Conciliacion de compuestos'!$E$2:$E$48,"OK",'Conciliacion de compuestos'!$K$2:$K$48,A1328),COUNTIFS('Conciliacion de compuestos'!$D$2:$D$48,"conciliado",'Conciliacion de compuestos'!$E$2:$E$48,"OK",'Conciliacion de compuestos'!$L$2:$L$48,A1328))&gt;0,"conciliado en compuesto confirmado","disponible")</f>
        <v/>
      </c>
    </row>
    <row r="1329">
      <c r="A1329" s="11" t="n">
        <v>1343</v>
      </c>
      <c r="B1329" s="12" t="n">
        <v>46014</v>
      </c>
      <c r="C1329" s="11" t="inlineStr">
        <is>
          <t>a financiero gravamen movimiento</t>
        </is>
      </c>
      <c r="D1329" s="13" t="n">
        <v>-12</v>
      </c>
      <c r="E1329" s="11">
        <f>IF(SUM(COUNTIFS('Conciliacion de compuestos'!$D$2:$D$48,"conciliado",'Conciliacion de compuestos'!$E$2:$E$48,"OK",'Conciliacion de compuestos'!$J$2:$J$48,A1329),COUNTIFS('Conciliacion de compuestos'!$D$2:$D$48,"conciliado",'Conciliacion de compuestos'!$E$2:$E$48,"OK",'Conciliacion de compuestos'!$K$2:$K$48,A1329),COUNTIFS('Conciliacion de compuestos'!$D$2:$D$48,"conciliado",'Conciliacion de compuestos'!$E$2:$E$48,"OK",'Conciliacion de compuestos'!$L$2:$L$48,A1329))&gt;0,"conciliado en compuesto confirmado","disponible")</f>
        <v/>
      </c>
    </row>
    <row r="1330">
      <c r="A1330" s="11" t="n">
        <v>1344</v>
      </c>
      <c r="B1330" s="12" t="n">
        <v>46014</v>
      </c>
      <c r="C1330" s="11" t="inlineStr">
        <is>
          <t>credibanco d e retefuente voucher y</t>
        </is>
      </c>
      <c r="D1330" s="13" t="n">
        <v>-2135</v>
      </c>
      <c r="E1330" s="11">
        <f>IF(SUM(COUNTIFS('Conciliacion de compuestos'!$D$2:$D$48,"conciliado",'Conciliacion de compuestos'!$E$2:$E$48,"OK",'Conciliacion de compuestos'!$J$2:$J$48,A1330),COUNTIFS('Conciliacion de compuestos'!$D$2:$D$48,"conciliado",'Conciliacion de compuestos'!$E$2:$E$48,"OK",'Conciliacion de compuestos'!$K$2:$K$48,A1330),COUNTIFS('Conciliacion de compuestos'!$D$2:$D$48,"conciliado",'Conciliacion de compuestos'!$E$2:$E$48,"OK",'Conciliacion de compuestos'!$L$2:$L$48,A1330))&gt;0,"conciliado en compuesto confirmado","disponible")</f>
        <v/>
      </c>
    </row>
    <row r="1331">
      <c r="A1331" s="11" t="n">
        <v>1345</v>
      </c>
      <c r="B1331" s="12" t="n">
        <v>46014</v>
      </c>
      <c r="C1331" s="11" t="inlineStr">
        <is>
          <t>a financiero gravamen movimiento</t>
        </is>
      </c>
      <c r="D1331" s="13" t="n">
        <v>-9</v>
      </c>
      <c r="E1331" s="11">
        <f>IF(SUM(COUNTIFS('Conciliacion de compuestos'!$D$2:$D$48,"conciliado",'Conciliacion de compuestos'!$E$2:$E$48,"OK",'Conciliacion de compuestos'!$J$2:$J$48,A1331),COUNTIFS('Conciliacion de compuestos'!$D$2:$D$48,"conciliado",'Conciliacion de compuestos'!$E$2:$E$48,"OK",'Conciliacion de compuestos'!$K$2:$K$48,A1331),COUNTIFS('Conciliacion de compuestos'!$D$2:$D$48,"conciliado",'Conciliacion de compuestos'!$E$2:$E$48,"OK",'Conciliacion de compuestos'!$L$2:$L$48,A1331))&gt;0,"conciliado en compuesto confirmado","disponible")</f>
        <v/>
      </c>
    </row>
    <row r="1332">
      <c r="A1332" s="11" t="n">
        <v>1346</v>
      </c>
      <c r="B1332" s="12" t="n">
        <v>46014</v>
      </c>
      <c r="C1332" s="11" t="inlineStr">
        <is>
          <t>consignacion credibanco d e</t>
        </is>
      </c>
      <c r="D1332" s="13" t="n">
        <v>50000</v>
      </c>
      <c r="E1332" s="11">
        <f>IF(SUM(COUNTIFS('Conciliacion de compuestos'!$D$2:$D$48,"conciliado",'Conciliacion de compuestos'!$E$2:$E$48,"OK",'Conciliacion de compuestos'!$J$2:$J$48,A1332),COUNTIFS('Conciliacion de compuestos'!$D$2:$D$48,"conciliado",'Conciliacion de compuestos'!$E$2:$E$48,"OK",'Conciliacion de compuestos'!$K$2:$K$48,A1332),COUNTIFS('Conciliacion de compuestos'!$D$2:$D$48,"conciliado",'Conciliacion de compuestos'!$E$2:$E$48,"OK",'Conciliacion de compuestos'!$L$2:$L$48,A1332))&gt;0,"conciliado en compuesto confirmado","disponible")</f>
        <v/>
      </c>
    </row>
    <row r="1333">
      <c r="A1333" s="11" t="n">
        <v>1347</v>
      </c>
      <c r="B1333" s="12" t="n">
        <v>46014</v>
      </c>
      <c r="C1333" s="11" t="inlineStr">
        <is>
          <t>cobro comision depositos electronicos</t>
        </is>
      </c>
      <c r="D1333" s="13" t="n">
        <v>-1030</v>
      </c>
      <c r="E1333" s="11">
        <f>IF(SUM(COUNTIFS('Conciliacion de compuestos'!$D$2:$D$48,"conciliado",'Conciliacion de compuestos'!$E$2:$E$48,"OK",'Conciliacion de compuestos'!$J$2:$J$48,A1333),COUNTIFS('Conciliacion de compuestos'!$D$2:$D$48,"conciliado",'Conciliacion de compuestos'!$E$2:$E$48,"OK",'Conciliacion de compuestos'!$K$2:$K$48,A1333),COUNTIFS('Conciliacion de compuestos'!$D$2:$D$48,"conciliado",'Conciliacion de compuestos'!$E$2:$E$48,"OK",'Conciliacion de compuestos'!$L$2:$L$48,A1333))&gt;0,"conciliado en compuesto confirmado","disponible")</f>
        <v/>
      </c>
    </row>
    <row r="1334">
      <c r="A1334" s="11" t="n">
        <v>1348</v>
      </c>
      <c r="B1334" s="12" t="n">
        <v>46014</v>
      </c>
      <c r="C1334" s="11" t="inlineStr">
        <is>
          <t>a financiero gravamen movimiento</t>
        </is>
      </c>
      <c r="D1334" s="13" t="n">
        <v>-4</v>
      </c>
      <c r="E1334" s="11">
        <f>IF(SUM(COUNTIFS('Conciliacion de compuestos'!$D$2:$D$48,"conciliado",'Conciliacion de compuestos'!$E$2:$E$48,"OK",'Conciliacion de compuestos'!$J$2:$J$48,A1334),COUNTIFS('Conciliacion de compuestos'!$D$2:$D$48,"conciliado",'Conciliacion de compuestos'!$E$2:$E$48,"OK",'Conciliacion de compuestos'!$K$2:$K$48,A1334),COUNTIFS('Conciliacion de compuestos'!$D$2:$D$48,"conciliado",'Conciliacion de compuestos'!$E$2:$E$48,"OK",'Conciliacion de compuestos'!$L$2:$L$48,A1334))&gt;0,"conciliado en compuesto confirmado","disponible")</f>
        <v/>
      </c>
    </row>
    <row r="1335">
      <c r="A1335" s="11" t="n">
        <v>1349</v>
      </c>
      <c r="B1335" s="12" t="n">
        <v>46014</v>
      </c>
      <c r="C1335" s="11" t="inlineStr">
        <is>
          <t>credibanco d e retefuente voucher y</t>
        </is>
      </c>
      <c r="D1335" s="13" t="n">
        <v>-750</v>
      </c>
      <c r="E1335" s="11">
        <f>IF(SUM(COUNTIFS('Conciliacion de compuestos'!$D$2:$D$48,"conciliado",'Conciliacion de compuestos'!$E$2:$E$48,"OK",'Conciliacion de compuestos'!$J$2:$J$48,A1335),COUNTIFS('Conciliacion de compuestos'!$D$2:$D$48,"conciliado",'Conciliacion de compuestos'!$E$2:$E$48,"OK",'Conciliacion de compuestos'!$K$2:$K$48,A1335),COUNTIFS('Conciliacion de compuestos'!$D$2:$D$48,"conciliado",'Conciliacion de compuestos'!$E$2:$E$48,"OK",'Conciliacion de compuestos'!$L$2:$L$48,A1335))&gt;0,"conciliado en compuesto confirmado","disponible")</f>
        <v/>
      </c>
    </row>
    <row r="1336">
      <c r="A1336" s="11" t="n">
        <v>1350</v>
      </c>
      <c r="B1336" s="12" t="n">
        <v>46014</v>
      </c>
      <c r="C1336" s="11" t="inlineStr">
        <is>
          <t>a financiero gravamen movimiento</t>
        </is>
      </c>
      <c r="D1336" s="13" t="n">
        <v>-3</v>
      </c>
      <c r="E1336" s="11">
        <f>IF(SUM(COUNTIFS('Conciliacion de compuestos'!$D$2:$D$48,"conciliado",'Conciliacion de compuestos'!$E$2:$E$48,"OK",'Conciliacion de compuestos'!$J$2:$J$48,A1336),COUNTIFS('Conciliacion de compuestos'!$D$2:$D$48,"conciliado",'Conciliacion de compuestos'!$E$2:$E$48,"OK",'Conciliacion de compuestos'!$K$2:$K$48,A1336),COUNTIFS('Conciliacion de compuestos'!$D$2:$D$48,"conciliado",'Conciliacion de compuestos'!$E$2:$E$48,"OK",'Conciliacion de compuestos'!$L$2:$L$48,A1336))&gt;0,"conciliado en compuesto confirmado","disponible")</f>
        <v/>
      </c>
    </row>
    <row r="1337">
      <c r="A1337" s="11" t="n">
        <v>1351</v>
      </c>
      <c r="B1337" s="12" t="n">
        <v>46014</v>
      </c>
      <c r="C1337" s="11" t="inlineStr">
        <is>
          <t>consignacion credibanco d e</t>
        </is>
      </c>
      <c r="D1337" s="13" t="n">
        <v>57800</v>
      </c>
      <c r="E1337" s="11">
        <f>IF(SUM(COUNTIFS('Conciliacion de compuestos'!$D$2:$D$48,"conciliado",'Conciliacion de compuestos'!$E$2:$E$48,"OK",'Conciliacion de compuestos'!$J$2:$J$48,A1337),COUNTIFS('Conciliacion de compuestos'!$D$2:$D$48,"conciliado",'Conciliacion de compuestos'!$E$2:$E$48,"OK",'Conciliacion de compuestos'!$K$2:$K$48,A1337),COUNTIFS('Conciliacion de compuestos'!$D$2:$D$48,"conciliado",'Conciliacion de compuestos'!$E$2:$E$48,"OK",'Conciliacion de compuestos'!$L$2:$L$48,A1337))&gt;0,"conciliado en compuesto confirmado","disponible")</f>
        <v/>
      </c>
    </row>
    <row r="1338">
      <c r="A1338" s="11" t="n">
        <v>1352</v>
      </c>
      <c r="B1338" s="12" t="n">
        <v>46014</v>
      </c>
      <c r="C1338" s="11" t="inlineStr">
        <is>
          <t>cobro comision depositos electronicos</t>
        </is>
      </c>
      <c r="D1338" s="13" t="n">
        <v>-1248</v>
      </c>
      <c r="E1338" s="11">
        <f>IF(SUM(COUNTIFS('Conciliacion de compuestos'!$D$2:$D$48,"conciliado",'Conciliacion de compuestos'!$E$2:$E$48,"OK",'Conciliacion de compuestos'!$J$2:$J$48,A1338),COUNTIFS('Conciliacion de compuestos'!$D$2:$D$48,"conciliado",'Conciliacion de compuestos'!$E$2:$E$48,"OK",'Conciliacion de compuestos'!$K$2:$K$48,A1338),COUNTIFS('Conciliacion de compuestos'!$D$2:$D$48,"conciliado",'Conciliacion de compuestos'!$E$2:$E$48,"OK",'Conciliacion de compuestos'!$L$2:$L$48,A1338))&gt;0,"conciliado en compuesto confirmado","disponible")</f>
        <v/>
      </c>
    </row>
    <row r="1339">
      <c r="A1339" s="11" t="n">
        <v>1353</v>
      </c>
      <c r="B1339" s="12" t="n">
        <v>46014</v>
      </c>
      <c r="C1339" s="11" t="inlineStr">
        <is>
          <t>a financiero gravamen movimiento</t>
        </is>
      </c>
      <c r="D1339" s="13" t="n">
        <v>-5</v>
      </c>
      <c r="E1339" s="11">
        <f>IF(SUM(COUNTIFS('Conciliacion de compuestos'!$D$2:$D$48,"conciliado",'Conciliacion de compuestos'!$E$2:$E$48,"OK",'Conciliacion de compuestos'!$J$2:$J$48,A1339),COUNTIFS('Conciliacion de compuestos'!$D$2:$D$48,"conciliado",'Conciliacion de compuestos'!$E$2:$E$48,"OK",'Conciliacion de compuestos'!$K$2:$K$48,A1339),COUNTIFS('Conciliacion de compuestos'!$D$2:$D$48,"conciliado",'Conciliacion de compuestos'!$E$2:$E$48,"OK",'Conciliacion de compuestos'!$L$2:$L$48,A1339))&gt;0,"conciliado en compuesto confirmado","disponible")</f>
        <v/>
      </c>
    </row>
    <row r="1340">
      <c r="A1340" s="11" t="n">
        <v>1354</v>
      </c>
      <c r="B1340" s="12" t="n">
        <v>46014</v>
      </c>
      <c r="C1340" s="11" t="inlineStr">
        <is>
          <t>credibanco d e retefuente voucher y</t>
        </is>
      </c>
      <c r="D1340" s="13" t="n">
        <v>-867</v>
      </c>
      <c r="E1340" s="11">
        <f>IF(SUM(COUNTIFS('Conciliacion de compuestos'!$D$2:$D$48,"conciliado",'Conciliacion de compuestos'!$E$2:$E$48,"OK",'Conciliacion de compuestos'!$J$2:$J$48,A1340),COUNTIFS('Conciliacion de compuestos'!$D$2:$D$48,"conciliado",'Conciliacion de compuestos'!$E$2:$E$48,"OK",'Conciliacion de compuestos'!$K$2:$K$48,A1340),COUNTIFS('Conciliacion de compuestos'!$D$2:$D$48,"conciliado",'Conciliacion de compuestos'!$E$2:$E$48,"OK",'Conciliacion de compuestos'!$L$2:$L$48,A1340))&gt;0,"conciliado en compuesto confirmado","disponible")</f>
        <v/>
      </c>
    </row>
    <row r="1341">
      <c r="A1341" s="11" t="n">
        <v>1355</v>
      </c>
      <c r="B1341" s="12" t="n">
        <v>46014</v>
      </c>
      <c r="C1341" s="11" t="inlineStr">
        <is>
          <t>a financiero gravamen movimiento</t>
        </is>
      </c>
      <c r="D1341" s="13" t="n">
        <v>-3</v>
      </c>
      <c r="E1341" s="11">
        <f>IF(SUM(COUNTIFS('Conciliacion de compuestos'!$D$2:$D$48,"conciliado",'Conciliacion de compuestos'!$E$2:$E$48,"OK",'Conciliacion de compuestos'!$J$2:$J$48,A1341),COUNTIFS('Conciliacion de compuestos'!$D$2:$D$48,"conciliado",'Conciliacion de compuestos'!$E$2:$E$48,"OK",'Conciliacion de compuestos'!$K$2:$K$48,A1341),COUNTIFS('Conciliacion de compuestos'!$D$2:$D$48,"conciliado",'Conciliacion de compuestos'!$E$2:$E$48,"OK",'Conciliacion de compuestos'!$L$2:$L$48,A1341))&gt;0,"conciliado en compuesto confirmado","disponible")</f>
        <v/>
      </c>
    </row>
    <row r="1342">
      <c r="A1342" s="11" t="n">
        <v>1356</v>
      </c>
      <c r="B1342" s="12" t="n">
        <v>46014</v>
      </c>
      <c r="C1342" s="11" t="inlineStr">
        <is>
          <t>consignacion credibanco d e</t>
        </is>
      </c>
      <c r="D1342" s="13" t="n">
        <v>205100</v>
      </c>
      <c r="E1342" s="11">
        <f>IF(SUM(COUNTIFS('Conciliacion de compuestos'!$D$2:$D$48,"conciliado",'Conciliacion de compuestos'!$E$2:$E$48,"OK",'Conciliacion de compuestos'!$J$2:$J$48,A1342),COUNTIFS('Conciliacion de compuestos'!$D$2:$D$48,"conciliado",'Conciliacion de compuestos'!$E$2:$E$48,"OK",'Conciliacion de compuestos'!$K$2:$K$48,A1342),COUNTIFS('Conciliacion de compuestos'!$D$2:$D$48,"conciliado",'Conciliacion de compuestos'!$E$2:$E$48,"OK",'Conciliacion de compuestos'!$L$2:$L$48,A1342))&gt;0,"conciliado en compuesto confirmado","disponible")</f>
        <v/>
      </c>
    </row>
    <row r="1343">
      <c r="A1343" s="11" t="n">
        <v>1357</v>
      </c>
      <c r="B1343" s="12" t="n">
        <v>46014</v>
      </c>
      <c r="C1343" s="11" t="inlineStr">
        <is>
          <t>cobro comision depositos electronicos</t>
        </is>
      </c>
      <c r="D1343" s="13" t="n">
        <v>-4430</v>
      </c>
      <c r="E1343" s="11">
        <f>IF(SUM(COUNTIFS('Conciliacion de compuestos'!$D$2:$D$48,"conciliado",'Conciliacion de compuestos'!$E$2:$E$48,"OK",'Conciliacion de compuestos'!$J$2:$J$48,A1343),COUNTIFS('Conciliacion de compuestos'!$D$2:$D$48,"conciliado",'Conciliacion de compuestos'!$E$2:$E$48,"OK",'Conciliacion de compuestos'!$K$2:$K$48,A1343),COUNTIFS('Conciliacion de compuestos'!$D$2:$D$48,"conciliado",'Conciliacion de compuestos'!$E$2:$E$48,"OK",'Conciliacion de compuestos'!$L$2:$L$48,A1343))&gt;0,"conciliado en compuesto confirmado","disponible")</f>
        <v/>
      </c>
    </row>
    <row r="1344">
      <c r="A1344" s="11" t="n">
        <v>1358</v>
      </c>
      <c r="B1344" s="12" t="n">
        <v>46014</v>
      </c>
      <c r="C1344" s="11" t="inlineStr">
        <is>
          <t>a financiero gravamen movimiento</t>
        </is>
      </c>
      <c r="D1344" s="13" t="n">
        <v>-18</v>
      </c>
      <c r="E1344" s="11">
        <f>IF(SUM(COUNTIFS('Conciliacion de compuestos'!$D$2:$D$48,"conciliado",'Conciliacion de compuestos'!$E$2:$E$48,"OK",'Conciliacion de compuestos'!$J$2:$J$48,A1344),COUNTIFS('Conciliacion de compuestos'!$D$2:$D$48,"conciliado",'Conciliacion de compuestos'!$E$2:$E$48,"OK",'Conciliacion de compuestos'!$K$2:$K$48,A1344),COUNTIFS('Conciliacion de compuestos'!$D$2:$D$48,"conciliado",'Conciliacion de compuestos'!$E$2:$E$48,"OK",'Conciliacion de compuestos'!$L$2:$L$48,A1344))&gt;0,"conciliado en compuesto confirmado","disponible")</f>
        <v/>
      </c>
    </row>
    <row r="1345">
      <c r="A1345" s="11" t="n">
        <v>1359</v>
      </c>
      <c r="B1345" s="12" t="n">
        <v>46014</v>
      </c>
      <c r="C1345" s="11" t="inlineStr">
        <is>
          <t>credibanco d e retefuente voucher y</t>
        </is>
      </c>
      <c r="D1345" s="13" t="n">
        <v>-3077</v>
      </c>
      <c r="E1345" s="11">
        <f>IF(SUM(COUNTIFS('Conciliacion de compuestos'!$D$2:$D$48,"conciliado",'Conciliacion de compuestos'!$E$2:$E$48,"OK",'Conciliacion de compuestos'!$J$2:$J$48,A1345),COUNTIFS('Conciliacion de compuestos'!$D$2:$D$48,"conciliado",'Conciliacion de compuestos'!$E$2:$E$48,"OK",'Conciliacion de compuestos'!$K$2:$K$48,A1345),COUNTIFS('Conciliacion de compuestos'!$D$2:$D$48,"conciliado",'Conciliacion de compuestos'!$E$2:$E$48,"OK",'Conciliacion de compuestos'!$L$2:$L$48,A1345))&gt;0,"conciliado en compuesto confirmado","disponible")</f>
        <v/>
      </c>
    </row>
    <row r="1346">
      <c r="A1346" s="11" t="n">
        <v>1360</v>
      </c>
      <c r="B1346" s="12" t="n">
        <v>46014</v>
      </c>
      <c r="C1346" s="11" t="inlineStr">
        <is>
          <t>a financiero gravamen movimiento</t>
        </is>
      </c>
      <c r="D1346" s="13" t="n">
        <v>-12</v>
      </c>
      <c r="E1346" s="11">
        <f>IF(SUM(COUNTIFS('Conciliacion de compuestos'!$D$2:$D$48,"conciliado",'Conciliacion de compuestos'!$E$2:$E$48,"OK",'Conciliacion de compuestos'!$J$2:$J$48,A1346),COUNTIFS('Conciliacion de compuestos'!$D$2:$D$48,"conciliado",'Conciliacion de compuestos'!$E$2:$E$48,"OK",'Conciliacion de compuestos'!$K$2:$K$48,A1346),COUNTIFS('Conciliacion de compuestos'!$D$2:$D$48,"conciliado",'Conciliacion de compuestos'!$E$2:$E$48,"OK",'Conciliacion de compuestos'!$L$2:$L$48,A1346))&gt;0,"conciliado en compuesto confirmado","disponible")</f>
        <v/>
      </c>
    </row>
    <row r="1347">
      <c r="A1347" s="11" t="n">
        <v>1361</v>
      </c>
      <c r="B1347" s="12" t="n">
        <v>46014</v>
      </c>
      <c r="C1347" s="11" t="inlineStr">
        <is>
          <t>consignacion credibanco d e</t>
        </is>
      </c>
      <c r="D1347" s="13" t="n">
        <v>94000</v>
      </c>
      <c r="E1347" s="11">
        <f>IF(SUM(COUNTIFS('Conciliacion de compuestos'!$D$2:$D$48,"conciliado",'Conciliacion de compuestos'!$E$2:$E$48,"OK",'Conciliacion de compuestos'!$J$2:$J$48,A1347),COUNTIFS('Conciliacion de compuestos'!$D$2:$D$48,"conciliado",'Conciliacion de compuestos'!$E$2:$E$48,"OK",'Conciliacion de compuestos'!$K$2:$K$48,A1347),COUNTIFS('Conciliacion de compuestos'!$D$2:$D$48,"conciliado",'Conciliacion de compuestos'!$E$2:$E$48,"OK",'Conciliacion de compuestos'!$L$2:$L$48,A1347))&gt;0,"conciliado en compuesto confirmado","disponible")</f>
        <v/>
      </c>
    </row>
    <row r="1348">
      <c r="A1348" s="11" t="n">
        <v>1362</v>
      </c>
      <c r="B1348" s="12" t="n">
        <v>46014</v>
      </c>
      <c r="C1348" s="11" t="inlineStr">
        <is>
          <t>cobro comision depositos electronicos</t>
        </is>
      </c>
      <c r="D1348" s="13" t="n">
        <v>-2030</v>
      </c>
      <c r="E1348" s="11">
        <f>IF(SUM(COUNTIFS('Conciliacion de compuestos'!$D$2:$D$48,"conciliado",'Conciliacion de compuestos'!$E$2:$E$48,"OK",'Conciliacion de compuestos'!$J$2:$J$48,A1348),COUNTIFS('Conciliacion de compuestos'!$D$2:$D$48,"conciliado",'Conciliacion de compuestos'!$E$2:$E$48,"OK",'Conciliacion de compuestos'!$K$2:$K$48,A1348),COUNTIFS('Conciliacion de compuestos'!$D$2:$D$48,"conciliado",'Conciliacion de compuestos'!$E$2:$E$48,"OK",'Conciliacion de compuestos'!$L$2:$L$48,A1348))&gt;0,"conciliado en compuesto confirmado","disponible")</f>
        <v/>
      </c>
    </row>
    <row r="1349">
      <c r="A1349" s="11" t="n">
        <v>1363</v>
      </c>
      <c r="B1349" s="12" t="n">
        <v>46014</v>
      </c>
      <c r="C1349" s="11" t="inlineStr">
        <is>
          <t>a financiero gravamen movimiento</t>
        </is>
      </c>
      <c r="D1349" s="13" t="n">
        <v>-8</v>
      </c>
      <c r="E1349" s="11">
        <f>IF(SUM(COUNTIFS('Conciliacion de compuestos'!$D$2:$D$48,"conciliado",'Conciliacion de compuestos'!$E$2:$E$48,"OK",'Conciliacion de compuestos'!$J$2:$J$48,A1349),COUNTIFS('Conciliacion de compuestos'!$D$2:$D$48,"conciliado",'Conciliacion de compuestos'!$E$2:$E$48,"OK",'Conciliacion de compuestos'!$K$2:$K$48,A1349),COUNTIFS('Conciliacion de compuestos'!$D$2:$D$48,"conciliado",'Conciliacion de compuestos'!$E$2:$E$48,"OK",'Conciliacion de compuestos'!$L$2:$L$48,A1349))&gt;0,"conciliado en compuesto confirmado","disponible")</f>
        <v/>
      </c>
    </row>
    <row r="1350">
      <c r="A1350" s="11" t="n">
        <v>1364</v>
      </c>
      <c r="B1350" s="12" t="n">
        <v>46014</v>
      </c>
      <c r="C1350" s="11" t="inlineStr">
        <is>
          <t>credibanco d e retefuente voucher y</t>
        </is>
      </c>
      <c r="D1350" s="13" t="n">
        <v>-1410</v>
      </c>
      <c r="E1350" s="11">
        <f>IF(SUM(COUNTIFS('Conciliacion de compuestos'!$D$2:$D$48,"conciliado",'Conciliacion de compuestos'!$E$2:$E$48,"OK",'Conciliacion de compuestos'!$J$2:$J$48,A1350),COUNTIFS('Conciliacion de compuestos'!$D$2:$D$48,"conciliado",'Conciliacion de compuestos'!$E$2:$E$48,"OK",'Conciliacion de compuestos'!$K$2:$K$48,A1350),COUNTIFS('Conciliacion de compuestos'!$D$2:$D$48,"conciliado",'Conciliacion de compuestos'!$E$2:$E$48,"OK",'Conciliacion de compuestos'!$L$2:$L$48,A1350))&gt;0,"conciliado en compuesto confirmado","disponible")</f>
        <v/>
      </c>
    </row>
    <row r="1351">
      <c r="A1351" s="11" t="n">
        <v>1365</v>
      </c>
      <c r="B1351" s="12" t="n">
        <v>46014</v>
      </c>
      <c r="C1351" s="11" t="inlineStr">
        <is>
          <t>a financiero gravamen movimiento</t>
        </is>
      </c>
      <c r="D1351" s="13" t="n">
        <v>-6</v>
      </c>
      <c r="E1351" s="11">
        <f>IF(SUM(COUNTIFS('Conciliacion de compuestos'!$D$2:$D$48,"conciliado",'Conciliacion de compuestos'!$E$2:$E$48,"OK",'Conciliacion de compuestos'!$J$2:$J$48,A1351),COUNTIFS('Conciliacion de compuestos'!$D$2:$D$48,"conciliado",'Conciliacion de compuestos'!$E$2:$E$48,"OK",'Conciliacion de compuestos'!$K$2:$K$48,A1351),COUNTIFS('Conciliacion de compuestos'!$D$2:$D$48,"conciliado",'Conciliacion de compuestos'!$E$2:$E$48,"OK",'Conciliacion de compuestos'!$L$2:$L$48,A1351))&gt;0,"conciliado en compuesto confirmado","disponible")</f>
        <v/>
      </c>
    </row>
    <row r="1352">
      <c r="A1352" s="11" t="n">
        <v>1366</v>
      </c>
      <c r="B1352" s="12" t="n">
        <v>46014</v>
      </c>
      <c r="C1352" s="11" t="inlineStr">
        <is>
          <t>consignacion credibanco d e</t>
        </is>
      </c>
      <c r="D1352" s="13" t="n">
        <v>106000</v>
      </c>
      <c r="E1352" s="11">
        <f>IF(SUM(COUNTIFS('Conciliacion de compuestos'!$D$2:$D$48,"conciliado",'Conciliacion de compuestos'!$E$2:$E$48,"OK",'Conciliacion de compuestos'!$J$2:$J$48,A1352),COUNTIFS('Conciliacion de compuestos'!$D$2:$D$48,"conciliado",'Conciliacion de compuestos'!$E$2:$E$48,"OK",'Conciliacion de compuestos'!$K$2:$K$48,A1352),COUNTIFS('Conciliacion de compuestos'!$D$2:$D$48,"conciliado",'Conciliacion de compuestos'!$E$2:$E$48,"OK",'Conciliacion de compuestos'!$L$2:$L$48,A1352))&gt;0,"conciliado en compuesto confirmado","disponible")</f>
        <v/>
      </c>
    </row>
    <row r="1353">
      <c r="A1353" s="11" t="n">
        <v>1367</v>
      </c>
      <c r="B1353" s="12" t="n">
        <v>46014</v>
      </c>
      <c r="C1353" s="11" t="inlineStr">
        <is>
          <t>cobro comision depositos electronicos</t>
        </is>
      </c>
      <c r="D1353" s="13" t="n">
        <v>-2290</v>
      </c>
      <c r="E1353" s="11">
        <f>IF(SUM(COUNTIFS('Conciliacion de compuestos'!$D$2:$D$48,"conciliado",'Conciliacion de compuestos'!$E$2:$E$48,"OK",'Conciliacion de compuestos'!$J$2:$J$48,A1353),COUNTIFS('Conciliacion de compuestos'!$D$2:$D$48,"conciliado",'Conciliacion de compuestos'!$E$2:$E$48,"OK",'Conciliacion de compuestos'!$K$2:$K$48,A1353),COUNTIFS('Conciliacion de compuestos'!$D$2:$D$48,"conciliado",'Conciliacion de compuestos'!$E$2:$E$48,"OK",'Conciliacion de compuestos'!$L$2:$L$48,A1353))&gt;0,"conciliado en compuesto confirmado","disponible")</f>
        <v/>
      </c>
    </row>
    <row r="1354">
      <c r="A1354" s="11" t="n">
        <v>1368</v>
      </c>
      <c r="B1354" s="12" t="n">
        <v>46014</v>
      </c>
      <c r="C1354" s="11" t="inlineStr">
        <is>
          <t>a financiero gravamen movimiento</t>
        </is>
      </c>
      <c r="D1354" s="13" t="n">
        <v>-9</v>
      </c>
      <c r="E1354" s="11">
        <f>IF(SUM(COUNTIFS('Conciliacion de compuestos'!$D$2:$D$48,"conciliado",'Conciliacion de compuestos'!$E$2:$E$48,"OK",'Conciliacion de compuestos'!$J$2:$J$48,A1354),COUNTIFS('Conciliacion de compuestos'!$D$2:$D$48,"conciliado",'Conciliacion de compuestos'!$E$2:$E$48,"OK",'Conciliacion de compuestos'!$K$2:$K$48,A1354),COUNTIFS('Conciliacion de compuestos'!$D$2:$D$48,"conciliado",'Conciliacion de compuestos'!$E$2:$E$48,"OK",'Conciliacion de compuestos'!$L$2:$L$48,A1354))&gt;0,"conciliado en compuesto confirmado","disponible")</f>
        <v/>
      </c>
    </row>
    <row r="1355">
      <c r="A1355" s="11" t="n">
        <v>1369</v>
      </c>
      <c r="B1355" s="12" t="n">
        <v>46014</v>
      </c>
      <c r="C1355" s="11" t="inlineStr">
        <is>
          <t>credibanco d e retefuente voucher y</t>
        </is>
      </c>
      <c r="D1355" s="13" t="n">
        <v>-1590</v>
      </c>
      <c r="E1355" s="11">
        <f>IF(SUM(COUNTIFS('Conciliacion de compuestos'!$D$2:$D$48,"conciliado",'Conciliacion de compuestos'!$E$2:$E$48,"OK",'Conciliacion de compuestos'!$J$2:$J$48,A1355),COUNTIFS('Conciliacion de compuestos'!$D$2:$D$48,"conciliado",'Conciliacion de compuestos'!$E$2:$E$48,"OK",'Conciliacion de compuestos'!$K$2:$K$48,A1355),COUNTIFS('Conciliacion de compuestos'!$D$2:$D$48,"conciliado",'Conciliacion de compuestos'!$E$2:$E$48,"OK",'Conciliacion de compuestos'!$L$2:$L$48,A1355))&gt;0,"conciliado en compuesto confirmado","disponible")</f>
        <v/>
      </c>
    </row>
    <row r="1356">
      <c r="A1356" s="11" t="n">
        <v>1370</v>
      </c>
      <c r="B1356" s="12" t="n">
        <v>46014</v>
      </c>
      <c r="C1356" s="11" t="inlineStr">
        <is>
          <t>a financiero gravamen movimiento</t>
        </is>
      </c>
      <c r="D1356" s="13" t="n">
        <v>-6</v>
      </c>
      <c r="E1356" s="11">
        <f>IF(SUM(COUNTIFS('Conciliacion de compuestos'!$D$2:$D$48,"conciliado",'Conciliacion de compuestos'!$E$2:$E$48,"OK",'Conciliacion de compuestos'!$J$2:$J$48,A1356),COUNTIFS('Conciliacion de compuestos'!$D$2:$D$48,"conciliado",'Conciliacion de compuestos'!$E$2:$E$48,"OK",'Conciliacion de compuestos'!$K$2:$K$48,A1356),COUNTIFS('Conciliacion de compuestos'!$D$2:$D$48,"conciliado",'Conciliacion de compuestos'!$E$2:$E$48,"OK",'Conciliacion de compuestos'!$L$2:$L$48,A1356))&gt;0,"conciliado en compuesto confirmado","disponible")</f>
        <v/>
      </c>
    </row>
    <row r="1357">
      <c r="A1357" s="11" t="n">
        <v>1371</v>
      </c>
      <c r="B1357" s="12" t="n">
        <v>46014</v>
      </c>
      <c r="C1357" s="11" t="inlineStr">
        <is>
          <t>consignacion credibanco d e</t>
        </is>
      </c>
      <c r="D1357" s="13" t="n">
        <v>62800</v>
      </c>
      <c r="E1357" s="11">
        <f>IF(SUM(COUNTIFS('Conciliacion de compuestos'!$D$2:$D$48,"conciliado",'Conciliacion de compuestos'!$E$2:$E$48,"OK",'Conciliacion de compuestos'!$J$2:$J$48,A1357),COUNTIFS('Conciliacion de compuestos'!$D$2:$D$48,"conciliado",'Conciliacion de compuestos'!$E$2:$E$48,"OK",'Conciliacion de compuestos'!$K$2:$K$48,A1357),COUNTIFS('Conciliacion de compuestos'!$D$2:$D$48,"conciliado",'Conciliacion de compuestos'!$E$2:$E$48,"OK",'Conciliacion de compuestos'!$L$2:$L$48,A1357))&gt;0,"conciliado en compuesto confirmado","disponible")</f>
        <v/>
      </c>
    </row>
    <row r="1358">
      <c r="A1358" s="11" t="n">
        <v>1372</v>
      </c>
      <c r="B1358" s="12" t="n">
        <v>46014</v>
      </c>
      <c r="C1358" s="11" t="inlineStr">
        <is>
          <t>cobro comision depositos electronicos</t>
        </is>
      </c>
      <c r="D1358" s="13" t="n">
        <v>-1356</v>
      </c>
      <c r="E1358" s="11">
        <f>IF(SUM(COUNTIFS('Conciliacion de compuestos'!$D$2:$D$48,"conciliado",'Conciliacion de compuestos'!$E$2:$E$48,"OK",'Conciliacion de compuestos'!$J$2:$J$48,A1358),COUNTIFS('Conciliacion de compuestos'!$D$2:$D$48,"conciliado",'Conciliacion de compuestos'!$E$2:$E$48,"OK",'Conciliacion de compuestos'!$K$2:$K$48,A1358),COUNTIFS('Conciliacion de compuestos'!$D$2:$D$48,"conciliado",'Conciliacion de compuestos'!$E$2:$E$48,"OK",'Conciliacion de compuestos'!$L$2:$L$48,A1358))&gt;0,"conciliado en compuesto confirmado","disponible")</f>
        <v/>
      </c>
    </row>
    <row r="1359">
      <c r="A1359" s="11" t="n">
        <v>1373</v>
      </c>
      <c r="B1359" s="12" t="n">
        <v>46014</v>
      </c>
      <c r="C1359" s="11" t="inlineStr">
        <is>
          <t>a financiero gravamen movimiento</t>
        </is>
      </c>
      <c r="D1359" s="13" t="n">
        <v>-5</v>
      </c>
      <c r="E1359" s="11">
        <f>IF(SUM(COUNTIFS('Conciliacion de compuestos'!$D$2:$D$48,"conciliado",'Conciliacion de compuestos'!$E$2:$E$48,"OK",'Conciliacion de compuestos'!$J$2:$J$48,A1359),COUNTIFS('Conciliacion de compuestos'!$D$2:$D$48,"conciliado",'Conciliacion de compuestos'!$E$2:$E$48,"OK",'Conciliacion de compuestos'!$K$2:$K$48,A1359),COUNTIFS('Conciliacion de compuestos'!$D$2:$D$48,"conciliado",'Conciliacion de compuestos'!$E$2:$E$48,"OK",'Conciliacion de compuestos'!$L$2:$L$48,A1359))&gt;0,"conciliado en compuesto confirmado","disponible")</f>
        <v/>
      </c>
    </row>
    <row r="1360">
      <c r="A1360" s="11" t="n">
        <v>1374</v>
      </c>
      <c r="B1360" s="12" t="n">
        <v>46014</v>
      </c>
      <c r="C1360" s="11" t="inlineStr">
        <is>
          <t>credibanco d e retefuente voucher y</t>
        </is>
      </c>
      <c r="D1360" s="13" t="n">
        <v>-942</v>
      </c>
      <c r="E1360" s="11">
        <f>IF(SUM(COUNTIFS('Conciliacion de compuestos'!$D$2:$D$48,"conciliado",'Conciliacion de compuestos'!$E$2:$E$48,"OK",'Conciliacion de compuestos'!$J$2:$J$48,A1360),COUNTIFS('Conciliacion de compuestos'!$D$2:$D$48,"conciliado",'Conciliacion de compuestos'!$E$2:$E$48,"OK",'Conciliacion de compuestos'!$K$2:$K$48,A1360),COUNTIFS('Conciliacion de compuestos'!$D$2:$D$48,"conciliado",'Conciliacion de compuestos'!$E$2:$E$48,"OK",'Conciliacion de compuestos'!$L$2:$L$48,A1360))&gt;0,"conciliado en compuesto confirmado","disponible")</f>
        <v/>
      </c>
    </row>
    <row r="1361">
      <c r="A1361" s="11" t="n">
        <v>1375</v>
      </c>
      <c r="B1361" s="12" t="n">
        <v>46014</v>
      </c>
      <c r="C1361" s="11" t="inlineStr">
        <is>
          <t>a financiero gravamen movimiento</t>
        </is>
      </c>
      <c r="D1361" s="13" t="n">
        <v>-4</v>
      </c>
      <c r="E1361" s="11">
        <f>IF(SUM(COUNTIFS('Conciliacion de compuestos'!$D$2:$D$48,"conciliado",'Conciliacion de compuestos'!$E$2:$E$48,"OK",'Conciliacion de compuestos'!$J$2:$J$48,A1361),COUNTIFS('Conciliacion de compuestos'!$D$2:$D$48,"conciliado",'Conciliacion de compuestos'!$E$2:$E$48,"OK",'Conciliacion de compuestos'!$K$2:$K$48,A1361),COUNTIFS('Conciliacion de compuestos'!$D$2:$D$48,"conciliado",'Conciliacion de compuestos'!$E$2:$E$48,"OK",'Conciliacion de compuestos'!$L$2:$L$48,A1361))&gt;0,"conciliado en compuesto confirmado","disponible")</f>
        <v/>
      </c>
    </row>
    <row r="1362">
      <c r="A1362" s="11" t="n">
        <v>1376</v>
      </c>
      <c r="B1362" s="12" t="n">
        <v>46014</v>
      </c>
      <c r="C1362" s="11" t="inlineStr">
        <is>
          <t>consignacion credibanco d e</t>
        </is>
      </c>
      <c r="D1362" s="13" t="n">
        <v>65300</v>
      </c>
      <c r="E1362" s="11">
        <f>IF(SUM(COUNTIFS('Conciliacion de compuestos'!$D$2:$D$48,"conciliado",'Conciliacion de compuestos'!$E$2:$E$48,"OK",'Conciliacion de compuestos'!$J$2:$J$48,A1362),COUNTIFS('Conciliacion de compuestos'!$D$2:$D$48,"conciliado",'Conciliacion de compuestos'!$E$2:$E$48,"OK",'Conciliacion de compuestos'!$K$2:$K$48,A1362),COUNTIFS('Conciliacion de compuestos'!$D$2:$D$48,"conciliado",'Conciliacion de compuestos'!$E$2:$E$48,"OK",'Conciliacion de compuestos'!$L$2:$L$48,A1362))&gt;0,"conciliado en compuesto confirmado","disponible")</f>
        <v/>
      </c>
    </row>
    <row r="1363">
      <c r="A1363" s="11" t="n">
        <v>1377</v>
      </c>
      <c r="B1363" s="12" t="n">
        <v>46014</v>
      </c>
      <c r="C1363" s="11" t="inlineStr">
        <is>
          <t>cobro comision depositos electronicos</t>
        </is>
      </c>
      <c r="D1363" s="13" t="n">
        <v>-1410</v>
      </c>
      <c r="E1363" s="11">
        <f>IF(SUM(COUNTIFS('Conciliacion de compuestos'!$D$2:$D$48,"conciliado",'Conciliacion de compuestos'!$E$2:$E$48,"OK",'Conciliacion de compuestos'!$J$2:$J$48,A1363),COUNTIFS('Conciliacion de compuestos'!$D$2:$D$48,"conciliado",'Conciliacion de compuestos'!$E$2:$E$48,"OK",'Conciliacion de compuestos'!$K$2:$K$48,A1363),COUNTIFS('Conciliacion de compuestos'!$D$2:$D$48,"conciliado",'Conciliacion de compuestos'!$E$2:$E$48,"OK",'Conciliacion de compuestos'!$L$2:$L$48,A1363))&gt;0,"conciliado en compuesto confirmado","disponible")</f>
        <v/>
      </c>
    </row>
    <row r="1364">
      <c r="A1364" s="11" t="n">
        <v>1378</v>
      </c>
      <c r="B1364" s="12" t="n">
        <v>46014</v>
      </c>
      <c r="C1364" s="11" t="inlineStr">
        <is>
          <t>a financiero gravamen movimiento</t>
        </is>
      </c>
      <c r="D1364" s="13" t="n">
        <v>-6</v>
      </c>
      <c r="E1364" s="11">
        <f>IF(SUM(COUNTIFS('Conciliacion de compuestos'!$D$2:$D$48,"conciliado",'Conciliacion de compuestos'!$E$2:$E$48,"OK",'Conciliacion de compuestos'!$J$2:$J$48,A1364),COUNTIFS('Conciliacion de compuestos'!$D$2:$D$48,"conciliado",'Conciliacion de compuestos'!$E$2:$E$48,"OK",'Conciliacion de compuestos'!$K$2:$K$48,A1364),COUNTIFS('Conciliacion de compuestos'!$D$2:$D$48,"conciliado",'Conciliacion de compuestos'!$E$2:$E$48,"OK",'Conciliacion de compuestos'!$L$2:$L$48,A1364))&gt;0,"conciliado en compuesto confirmado","disponible")</f>
        <v/>
      </c>
    </row>
    <row r="1365">
      <c r="A1365" s="11" t="n">
        <v>1379</v>
      </c>
      <c r="B1365" s="12" t="n">
        <v>46014</v>
      </c>
      <c r="C1365" s="11" t="inlineStr">
        <is>
          <t>credibanco d e retefuente voucher y</t>
        </is>
      </c>
      <c r="D1365" s="13" t="n">
        <v>-980</v>
      </c>
      <c r="E1365" s="11">
        <f>IF(SUM(COUNTIFS('Conciliacion de compuestos'!$D$2:$D$48,"conciliado",'Conciliacion de compuestos'!$E$2:$E$48,"OK",'Conciliacion de compuestos'!$J$2:$J$48,A1365),COUNTIFS('Conciliacion de compuestos'!$D$2:$D$48,"conciliado",'Conciliacion de compuestos'!$E$2:$E$48,"OK",'Conciliacion de compuestos'!$K$2:$K$48,A1365),COUNTIFS('Conciliacion de compuestos'!$D$2:$D$48,"conciliado",'Conciliacion de compuestos'!$E$2:$E$48,"OK",'Conciliacion de compuestos'!$L$2:$L$48,A1365))&gt;0,"conciliado en compuesto confirmado","disponible")</f>
        <v/>
      </c>
    </row>
    <row r="1366">
      <c r="A1366" s="11" t="n">
        <v>1380</v>
      </c>
      <c r="B1366" s="12" t="n">
        <v>46014</v>
      </c>
      <c r="C1366" s="11" t="inlineStr">
        <is>
          <t>a financiero gravamen movimiento</t>
        </is>
      </c>
      <c r="D1366" s="13" t="n">
        <v>-4</v>
      </c>
      <c r="E1366" s="11">
        <f>IF(SUM(COUNTIFS('Conciliacion de compuestos'!$D$2:$D$48,"conciliado",'Conciliacion de compuestos'!$E$2:$E$48,"OK",'Conciliacion de compuestos'!$J$2:$J$48,A1366),COUNTIFS('Conciliacion de compuestos'!$D$2:$D$48,"conciliado",'Conciliacion de compuestos'!$E$2:$E$48,"OK",'Conciliacion de compuestos'!$K$2:$K$48,A1366),COUNTIFS('Conciliacion de compuestos'!$D$2:$D$48,"conciliado",'Conciliacion de compuestos'!$E$2:$E$48,"OK",'Conciliacion de compuestos'!$L$2:$L$48,A1366))&gt;0,"conciliado en compuesto confirmado","disponible")</f>
        <v/>
      </c>
    </row>
    <row r="1367">
      <c r="A1367" s="11" t="n">
        <v>1381</v>
      </c>
      <c r="B1367" s="12" t="n">
        <v>46014</v>
      </c>
      <c r="C1367" s="11" t="inlineStr">
        <is>
          <t>consignacion credibanco d e</t>
        </is>
      </c>
      <c r="D1367" s="13" t="n">
        <v>42000</v>
      </c>
      <c r="E1367" s="11">
        <f>IF(SUM(COUNTIFS('Conciliacion de compuestos'!$D$2:$D$48,"conciliado",'Conciliacion de compuestos'!$E$2:$E$48,"OK",'Conciliacion de compuestos'!$J$2:$J$48,A1367),COUNTIFS('Conciliacion de compuestos'!$D$2:$D$48,"conciliado",'Conciliacion de compuestos'!$E$2:$E$48,"OK",'Conciliacion de compuestos'!$K$2:$K$48,A1367),COUNTIFS('Conciliacion de compuestos'!$D$2:$D$48,"conciliado",'Conciliacion de compuestos'!$E$2:$E$48,"OK",'Conciliacion de compuestos'!$L$2:$L$48,A1367))&gt;0,"conciliado en compuesto confirmado","disponible")</f>
        <v/>
      </c>
    </row>
    <row r="1368">
      <c r="A1368" s="11" t="n">
        <v>1382</v>
      </c>
      <c r="B1368" s="12" t="n">
        <v>46014</v>
      </c>
      <c r="C1368" s="11" t="inlineStr">
        <is>
          <t>cobro comision depositos electronicos</t>
        </is>
      </c>
      <c r="D1368" s="13" t="n">
        <v>-920</v>
      </c>
      <c r="E1368" s="11">
        <f>IF(SUM(COUNTIFS('Conciliacion de compuestos'!$D$2:$D$48,"conciliado",'Conciliacion de compuestos'!$E$2:$E$48,"OK",'Conciliacion de compuestos'!$J$2:$J$48,A1368),COUNTIFS('Conciliacion de compuestos'!$D$2:$D$48,"conciliado",'Conciliacion de compuestos'!$E$2:$E$48,"OK",'Conciliacion de compuestos'!$K$2:$K$48,A1368),COUNTIFS('Conciliacion de compuestos'!$D$2:$D$48,"conciliado",'Conciliacion de compuestos'!$E$2:$E$48,"OK",'Conciliacion de compuestos'!$L$2:$L$48,A1368))&gt;0,"conciliado en compuesto confirmado","disponible")</f>
        <v/>
      </c>
    </row>
    <row r="1369">
      <c r="A1369" s="11" t="n">
        <v>1383</v>
      </c>
      <c r="B1369" s="12" t="n">
        <v>46014</v>
      </c>
      <c r="C1369" s="11" t="inlineStr">
        <is>
          <t>a financiero gravamen movimiento</t>
        </is>
      </c>
      <c r="D1369" s="13" t="n">
        <v>-4</v>
      </c>
      <c r="E1369" s="11">
        <f>IF(SUM(COUNTIFS('Conciliacion de compuestos'!$D$2:$D$48,"conciliado",'Conciliacion de compuestos'!$E$2:$E$48,"OK",'Conciliacion de compuestos'!$J$2:$J$48,A1369),COUNTIFS('Conciliacion de compuestos'!$D$2:$D$48,"conciliado",'Conciliacion de compuestos'!$E$2:$E$48,"OK",'Conciliacion de compuestos'!$K$2:$K$48,A1369),COUNTIFS('Conciliacion de compuestos'!$D$2:$D$48,"conciliado",'Conciliacion de compuestos'!$E$2:$E$48,"OK",'Conciliacion de compuestos'!$L$2:$L$48,A1369))&gt;0,"conciliado en compuesto confirmado","disponible")</f>
        <v/>
      </c>
    </row>
    <row r="1370">
      <c r="A1370" s="11" t="n">
        <v>1384</v>
      </c>
      <c r="B1370" s="12" t="n">
        <v>46014</v>
      </c>
      <c r="C1370" s="11" t="inlineStr">
        <is>
          <t>credibanco d e retefuente voucher y</t>
        </is>
      </c>
      <c r="D1370" s="13" t="n">
        <v>-630</v>
      </c>
      <c r="E1370" s="11">
        <f>IF(SUM(COUNTIFS('Conciliacion de compuestos'!$D$2:$D$48,"conciliado",'Conciliacion de compuestos'!$E$2:$E$48,"OK",'Conciliacion de compuestos'!$J$2:$J$48,A1370),COUNTIFS('Conciliacion de compuestos'!$D$2:$D$48,"conciliado",'Conciliacion de compuestos'!$E$2:$E$48,"OK",'Conciliacion de compuestos'!$K$2:$K$48,A1370),COUNTIFS('Conciliacion de compuestos'!$D$2:$D$48,"conciliado",'Conciliacion de compuestos'!$E$2:$E$48,"OK",'Conciliacion de compuestos'!$L$2:$L$48,A1370))&gt;0,"conciliado en compuesto confirmado","disponible")</f>
        <v/>
      </c>
    </row>
    <row r="1371">
      <c r="A1371" s="11" t="n">
        <v>1385</v>
      </c>
      <c r="B1371" s="12" t="n">
        <v>46014</v>
      </c>
      <c r="C1371" s="11" t="inlineStr">
        <is>
          <t>a financiero gravamen movimiento</t>
        </is>
      </c>
      <c r="D1371" s="13" t="n">
        <v>-3</v>
      </c>
      <c r="E1371" s="11">
        <f>IF(SUM(COUNTIFS('Conciliacion de compuestos'!$D$2:$D$48,"conciliado",'Conciliacion de compuestos'!$E$2:$E$48,"OK",'Conciliacion de compuestos'!$J$2:$J$48,A1371),COUNTIFS('Conciliacion de compuestos'!$D$2:$D$48,"conciliado",'Conciliacion de compuestos'!$E$2:$E$48,"OK",'Conciliacion de compuestos'!$K$2:$K$48,A1371),COUNTIFS('Conciliacion de compuestos'!$D$2:$D$48,"conciliado",'Conciliacion de compuestos'!$E$2:$E$48,"OK",'Conciliacion de compuestos'!$L$2:$L$48,A1371))&gt;0,"conciliado en compuesto confirmado","disponible")</f>
        <v/>
      </c>
    </row>
    <row r="1372">
      <c r="A1372" s="11" t="n">
        <v>1386</v>
      </c>
      <c r="B1372" s="12" t="n">
        <v>46014</v>
      </c>
      <c r="C1372" s="11" t="inlineStr">
        <is>
          <t>consignacion credibanco d e</t>
        </is>
      </c>
      <c r="D1372" s="13" t="n">
        <v>209600</v>
      </c>
      <c r="E1372" s="11">
        <f>IF(SUM(COUNTIFS('Conciliacion de compuestos'!$D$2:$D$48,"conciliado",'Conciliacion de compuestos'!$E$2:$E$48,"OK",'Conciliacion de compuestos'!$J$2:$J$48,A1372),COUNTIFS('Conciliacion de compuestos'!$D$2:$D$48,"conciliado",'Conciliacion de compuestos'!$E$2:$E$48,"OK",'Conciliacion de compuestos'!$K$2:$K$48,A1372),COUNTIFS('Conciliacion de compuestos'!$D$2:$D$48,"conciliado",'Conciliacion de compuestos'!$E$2:$E$48,"OK",'Conciliacion de compuestos'!$L$2:$L$48,A1372))&gt;0,"conciliado en compuesto confirmado","disponible")</f>
        <v/>
      </c>
    </row>
    <row r="1373">
      <c r="A1373" s="11" t="n">
        <v>1387</v>
      </c>
      <c r="B1373" s="12" t="n">
        <v>46014</v>
      </c>
      <c r="C1373" s="11" t="inlineStr">
        <is>
          <t>cobro comision depositos electronicos</t>
        </is>
      </c>
      <c r="D1373" s="13" t="n">
        <v>-4590</v>
      </c>
      <c r="E1373" s="11">
        <f>IF(SUM(COUNTIFS('Conciliacion de compuestos'!$D$2:$D$48,"conciliado",'Conciliacion de compuestos'!$E$2:$E$48,"OK",'Conciliacion de compuestos'!$J$2:$J$48,A1373),COUNTIFS('Conciliacion de compuestos'!$D$2:$D$48,"conciliado",'Conciliacion de compuestos'!$E$2:$E$48,"OK",'Conciliacion de compuestos'!$K$2:$K$48,A1373),COUNTIFS('Conciliacion de compuestos'!$D$2:$D$48,"conciliado",'Conciliacion de compuestos'!$E$2:$E$48,"OK",'Conciliacion de compuestos'!$L$2:$L$48,A1373))&gt;0,"conciliado en compuesto confirmado","disponible")</f>
        <v/>
      </c>
    </row>
    <row r="1374">
      <c r="A1374" s="11" t="n">
        <v>1388</v>
      </c>
      <c r="B1374" s="12" t="n">
        <v>46014</v>
      </c>
      <c r="C1374" s="11" t="inlineStr">
        <is>
          <t>a financiero gravamen movimiento</t>
        </is>
      </c>
      <c r="D1374" s="13" t="n">
        <v>-18</v>
      </c>
      <c r="E1374" s="11">
        <f>IF(SUM(COUNTIFS('Conciliacion de compuestos'!$D$2:$D$48,"conciliado",'Conciliacion de compuestos'!$E$2:$E$48,"OK",'Conciliacion de compuestos'!$J$2:$J$48,A1374),COUNTIFS('Conciliacion de compuestos'!$D$2:$D$48,"conciliado",'Conciliacion de compuestos'!$E$2:$E$48,"OK",'Conciliacion de compuestos'!$K$2:$K$48,A1374),COUNTIFS('Conciliacion de compuestos'!$D$2:$D$48,"conciliado",'Conciliacion de compuestos'!$E$2:$E$48,"OK",'Conciliacion de compuestos'!$L$2:$L$48,A1374))&gt;0,"conciliado en compuesto confirmado","disponible")</f>
        <v/>
      </c>
    </row>
    <row r="1375">
      <c r="A1375" s="11" t="n">
        <v>1389</v>
      </c>
      <c r="B1375" s="12" t="n">
        <v>46014</v>
      </c>
      <c r="C1375" s="11" t="inlineStr">
        <is>
          <t>credibanco d e retefuente voucher y</t>
        </is>
      </c>
      <c r="D1375" s="13" t="n">
        <v>-3144</v>
      </c>
      <c r="E1375" s="11">
        <f>IF(SUM(COUNTIFS('Conciliacion de compuestos'!$D$2:$D$48,"conciliado",'Conciliacion de compuestos'!$E$2:$E$48,"OK",'Conciliacion de compuestos'!$J$2:$J$48,A1375),COUNTIFS('Conciliacion de compuestos'!$D$2:$D$48,"conciliado",'Conciliacion de compuestos'!$E$2:$E$48,"OK",'Conciliacion de compuestos'!$K$2:$K$48,A1375),COUNTIFS('Conciliacion de compuestos'!$D$2:$D$48,"conciliado",'Conciliacion de compuestos'!$E$2:$E$48,"OK",'Conciliacion de compuestos'!$L$2:$L$48,A1375))&gt;0,"conciliado en compuesto confirmado","disponible")</f>
        <v/>
      </c>
    </row>
    <row r="1376">
      <c r="A1376" s="11" t="n">
        <v>1390</v>
      </c>
      <c r="B1376" s="12" t="n">
        <v>46014</v>
      </c>
      <c r="C1376" s="11" t="inlineStr">
        <is>
          <t>a financiero gravamen movimiento</t>
        </is>
      </c>
      <c r="D1376" s="13" t="n">
        <v>-13</v>
      </c>
      <c r="E1376" s="11">
        <f>IF(SUM(COUNTIFS('Conciliacion de compuestos'!$D$2:$D$48,"conciliado",'Conciliacion de compuestos'!$E$2:$E$48,"OK",'Conciliacion de compuestos'!$J$2:$J$48,A1376),COUNTIFS('Conciliacion de compuestos'!$D$2:$D$48,"conciliado",'Conciliacion de compuestos'!$E$2:$E$48,"OK",'Conciliacion de compuestos'!$K$2:$K$48,A1376),COUNTIFS('Conciliacion de compuestos'!$D$2:$D$48,"conciliado",'Conciliacion de compuestos'!$E$2:$E$48,"OK",'Conciliacion de compuestos'!$L$2:$L$48,A1376))&gt;0,"conciliado en compuesto confirmado","disponible")</f>
        <v/>
      </c>
    </row>
    <row r="1377">
      <c r="A1377" s="11" t="n">
        <v>1391</v>
      </c>
      <c r="B1377" s="12" t="n">
        <v>46014</v>
      </c>
      <c r="C1377" s="11" t="inlineStr">
        <is>
          <t>consignacion credibanco d e</t>
        </is>
      </c>
      <c r="D1377" s="13" t="n">
        <v>25900</v>
      </c>
      <c r="E1377" s="11">
        <f>IF(SUM(COUNTIFS('Conciliacion de compuestos'!$D$2:$D$48,"conciliado",'Conciliacion de compuestos'!$E$2:$E$48,"OK",'Conciliacion de compuestos'!$J$2:$J$48,A1377),COUNTIFS('Conciliacion de compuestos'!$D$2:$D$48,"conciliado",'Conciliacion de compuestos'!$E$2:$E$48,"OK",'Conciliacion de compuestos'!$K$2:$K$48,A1377),COUNTIFS('Conciliacion de compuestos'!$D$2:$D$48,"conciliado",'Conciliacion de compuestos'!$E$2:$E$48,"OK",'Conciliacion de compuestos'!$L$2:$L$48,A1377))&gt;0,"conciliado en compuesto confirmado","disponible")</f>
        <v/>
      </c>
    </row>
    <row r="1378">
      <c r="A1378" s="11" t="n">
        <v>1392</v>
      </c>
      <c r="B1378" s="12" t="n">
        <v>46014</v>
      </c>
      <c r="C1378" s="11" t="inlineStr">
        <is>
          <t>cobro comision depositos electronicos</t>
        </is>
      </c>
      <c r="D1378" s="13" t="n">
        <v>-567</v>
      </c>
      <c r="E1378" s="11">
        <f>IF(SUM(COUNTIFS('Conciliacion de compuestos'!$D$2:$D$48,"conciliado",'Conciliacion de compuestos'!$E$2:$E$48,"OK",'Conciliacion de compuestos'!$J$2:$J$48,A1378),COUNTIFS('Conciliacion de compuestos'!$D$2:$D$48,"conciliado",'Conciliacion de compuestos'!$E$2:$E$48,"OK",'Conciliacion de compuestos'!$K$2:$K$48,A1378),COUNTIFS('Conciliacion de compuestos'!$D$2:$D$48,"conciliado",'Conciliacion de compuestos'!$E$2:$E$48,"OK",'Conciliacion de compuestos'!$L$2:$L$48,A1378))&gt;0,"conciliado en compuesto confirmado","disponible")</f>
        <v/>
      </c>
    </row>
    <row r="1379">
      <c r="A1379" s="11" t="n">
        <v>1393</v>
      </c>
      <c r="B1379" s="12" t="n">
        <v>46014</v>
      </c>
      <c r="C1379" s="11" t="inlineStr">
        <is>
          <t>a financiero gravamen movimiento</t>
        </is>
      </c>
      <c r="D1379" s="13" t="n">
        <v>-2</v>
      </c>
      <c r="E1379" s="11">
        <f>IF(SUM(COUNTIFS('Conciliacion de compuestos'!$D$2:$D$48,"conciliado",'Conciliacion de compuestos'!$E$2:$E$48,"OK",'Conciliacion de compuestos'!$J$2:$J$48,A1379),COUNTIFS('Conciliacion de compuestos'!$D$2:$D$48,"conciliado",'Conciliacion de compuestos'!$E$2:$E$48,"OK",'Conciliacion de compuestos'!$K$2:$K$48,A1379),COUNTIFS('Conciliacion de compuestos'!$D$2:$D$48,"conciliado",'Conciliacion de compuestos'!$E$2:$E$48,"OK",'Conciliacion de compuestos'!$L$2:$L$48,A1379))&gt;0,"conciliado en compuesto confirmado","disponible")</f>
        <v/>
      </c>
    </row>
    <row r="1380">
      <c r="A1380" s="11" t="n">
        <v>1394</v>
      </c>
      <c r="B1380" s="12" t="n">
        <v>46014</v>
      </c>
      <c r="C1380" s="11" t="inlineStr">
        <is>
          <t>credibanco d e retefuente voucher y</t>
        </is>
      </c>
      <c r="D1380" s="13" t="n">
        <v>-389</v>
      </c>
      <c r="E1380" s="11">
        <f>IF(SUM(COUNTIFS('Conciliacion de compuestos'!$D$2:$D$48,"conciliado",'Conciliacion de compuestos'!$E$2:$E$48,"OK",'Conciliacion de compuestos'!$J$2:$J$48,A1380),COUNTIFS('Conciliacion de compuestos'!$D$2:$D$48,"conciliado",'Conciliacion de compuestos'!$E$2:$E$48,"OK",'Conciliacion de compuestos'!$K$2:$K$48,A1380),COUNTIFS('Conciliacion de compuestos'!$D$2:$D$48,"conciliado",'Conciliacion de compuestos'!$E$2:$E$48,"OK",'Conciliacion de compuestos'!$L$2:$L$48,A1380))&gt;0,"conciliado en compuesto confirmado","disponible")</f>
        <v/>
      </c>
    </row>
    <row r="1381">
      <c r="A1381" s="11" t="n">
        <v>1395</v>
      </c>
      <c r="B1381" s="12" t="n">
        <v>46014</v>
      </c>
      <c r="C1381" s="11" t="inlineStr">
        <is>
          <t>a financiero gravamen movimiento</t>
        </is>
      </c>
      <c r="D1381" s="13" t="n">
        <v>-2</v>
      </c>
      <c r="E1381" s="11">
        <f>IF(SUM(COUNTIFS('Conciliacion de compuestos'!$D$2:$D$48,"conciliado",'Conciliacion de compuestos'!$E$2:$E$48,"OK",'Conciliacion de compuestos'!$J$2:$J$48,A1381),COUNTIFS('Conciliacion de compuestos'!$D$2:$D$48,"conciliado",'Conciliacion de compuestos'!$E$2:$E$48,"OK",'Conciliacion de compuestos'!$K$2:$K$48,A1381),COUNTIFS('Conciliacion de compuestos'!$D$2:$D$48,"conciliado",'Conciliacion de compuestos'!$E$2:$E$48,"OK",'Conciliacion de compuestos'!$L$2:$L$48,A1381))&gt;0,"conciliado en compuesto confirmado","disponible")</f>
        <v/>
      </c>
    </row>
    <row r="1382">
      <c r="A1382" s="11" t="n">
        <v>1396</v>
      </c>
      <c r="B1382" s="12" t="n">
        <v>46014</v>
      </c>
      <c r="C1382" s="11" t="inlineStr">
        <is>
          <t>consignacion credibanco d e</t>
        </is>
      </c>
      <c r="D1382" s="13" t="n">
        <v>56500</v>
      </c>
      <c r="E1382" s="11">
        <f>IF(SUM(COUNTIFS('Conciliacion de compuestos'!$D$2:$D$48,"conciliado",'Conciliacion de compuestos'!$E$2:$E$48,"OK",'Conciliacion de compuestos'!$J$2:$J$48,A1382),COUNTIFS('Conciliacion de compuestos'!$D$2:$D$48,"conciliado",'Conciliacion de compuestos'!$E$2:$E$48,"OK",'Conciliacion de compuestos'!$K$2:$K$48,A1382),COUNTIFS('Conciliacion de compuestos'!$D$2:$D$48,"conciliado",'Conciliacion de compuestos'!$E$2:$E$48,"OK",'Conciliacion de compuestos'!$L$2:$L$48,A1382))&gt;0,"conciliado en compuesto confirmado","disponible")</f>
        <v/>
      </c>
    </row>
    <row r="1383">
      <c r="A1383" s="11" t="n">
        <v>1397</v>
      </c>
      <c r="B1383" s="12" t="n">
        <v>46014</v>
      </c>
      <c r="C1383" s="11" t="inlineStr">
        <is>
          <t>cobro comision depositos electronicos</t>
        </is>
      </c>
      <c r="D1383" s="13" t="n">
        <v>-1237</v>
      </c>
      <c r="E1383" s="11">
        <f>IF(SUM(COUNTIFS('Conciliacion de compuestos'!$D$2:$D$48,"conciliado",'Conciliacion de compuestos'!$E$2:$E$48,"OK",'Conciliacion de compuestos'!$J$2:$J$48,A1383),COUNTIFS('Conciliacion de compuestos'!$D$2:$D$48,"conciliado",'Conciliacion de compuestos'!$E$2:$E$48,"OK",'Conciliacion de compuestos'!$K$2:$K$48,A1383),COUNTIFS('Conciliacion de compuestos'!$D$2:$D$48,"conciliado",'Conciliacion de compuestos'!$E$2:$E$48,"OK",'Conciliacion de compuestos'!$L$2:$L$48,A1383))&gt;0,"conciliado en compuesto confirmado","disponible")</f>
        <v/>
      </c>
    </row>
    <row r="1384">
      <c r="A1384" s="11" t="n">
        <v>1398</v>
      </c>
      <c r="B1384" s="12" t="n">
        <v>46014</v>
      </c>
      <c r="C1384" s="11" t="inlineStr">
        <is>
          <t>a financiero gravamen movimiento</t>
        </is>
      </c>
      <c r="D1384" s="13" t="n">
        <v>-5</v>
      </c>
      <c r="E1384" s="11">
        <f>IF(SUM(COUNTIFS('Conciliacion de compuestos'!$D$2:$D$48,"conciliado",'Conciliacion de compuestos'!$E$2:$E$48,"OK",'Conciliacion de compuestos'!$J$2:$J$48,A1384),COUNTIFS('Conciliacion de compuestos'!$D$2:$D$48,"conciliado",'Conciliacion de compuestos'!$E$2:$E$48,"OK",'Conciliacion de compuestos'!$K$2:$K$48,A1384),COUNTIFS('Conciliacion de compuestos'!$D$2:$D$48,"conciliado",'Conciliacion de compuestos'!$E$2:$E$48,"OK",'Conciliacion de compuestos'!$L$2:$L$48,A1384))&gt;0,"conciliado en compuesto confirmado","disponible")</f>
        <v/>
      </c>
    </row>
    <row r="1385">
      <c r="A1385" s="11" t="n">
        <v>1399</v>
      </c>
      <c r="B1385" s="12" t="n">
        <v>46014</v>
      </c>
      <c r="C1385" s="11" t="inlineStr">
        <is>
          <t>credibanco d e retefuente voucher y</t>
        </is>
      </c>
      <c r="D1385" s="13" t="n">
        <v>-848</v>
      </c>
      <c r="E1385" s="11">
        <f>IF(SUM(COUNTIFS('Conciliacion de compuestos'!$D$2:$D$48,"conciliado",'Conciliacion de compuestos'!$E$2:$E$48,"OK",'Conciliacion de compuestos'!$J$2:$J$48,A1385),COUNTIFS('Conciliacion de compuestos'!$D$2:$D$48,"conciliado",'Conciliacion de compuestos'!$E$2:$E$48,"OK",'Conciliacion de compuestos'!$K$2:$K$48,A1385),COUNTIFS('Conciliacion de compuestos'!$D$2:$D$48,"conciliado",'Conciliacion de compuestos'!$E$2:$E$48,"OK",'Conciliacion de compuestos'!$L$2:$L$48,A1385))&gt;0,"conciliado en compuesto confirmado","disponible")</f>
        <v/>
      </c>
    </row>
    <row r="1386">
      <c r="A1386" s="11" t="n">
        <v>1400</v>
      </c>
      <c r="B1386" s="12" t="n">
        <v>46014</v>
      </c>
      <c r="C1386" s="11" t="inlineStr">
        <is>
          <t>a financiero gravamen movimiento</t>
        </is>
      </c>
      <c r="D1386" s="13" t="n">
        <v>-3</v>
      </c>
      <c r="E1386" s="11">
        <f>IF(SUM(COUNTIFS('Conciliacion de compuestos'!$D$2:$D$48,"conciliado",'Conciliacion de compuestos'!$E$2:$E$48,"OK",'Conciliacion de compuestos'!$J$2:$J$48,A1386),COUNTIFS('Conciliacion de compuestos'!$D$2:$D$48,"conciliado",'Conciliacion de compuestos'!$E$2:$E$48,"OK",'Conciliacion de compuestos'!$K$2:$K$48,A1386),COUNTIFS('Conciliacion de compuestos'!$D$2:$D$48,"conciliado",'Conciliacion de compuestos'!$E$2:$E$48,"OK",'Conciliacion de compuestos'!$L$2:$L$48,A1386))&gt;0,"conciliado en compuesto confirmado","disponible")</f>
        <v/>
      </c>
    </row>
    <row r="1387">
      <c r="A1387" s="11" t="n">
        <v>1401</v>
      </c>
      <c r="B1387" s="12" t="n">
        <v>46014</v>
      </c>
      <c r="C1387" s="11" t="inlineStr">
        <is>
          <t>depositos electronicos masterca transaccion</t>
        </is>
      </c>
      <c r="D1387" s="13" t="n">
        <v>99300</v>
      </c>
      <c r="E1387" s="11">
        <f>IF(SUM(COUNTIFS('Conciliacion de compuestos'!$D$2:$D$48,"conciliado",'Conciliacion de compuestos'!$E$2:$E$48,"OK",'Conciliacion de compuestos'!$J$2:$J$48,A1387),COUNTIFS('Conciliacion de compuestos'!$D$2:$D$48,"conciliado",'Conciliacion de compuestos'!$E$2:$E$48,"OK",'Conciliacion de compuestos'!$K$2:$K$48,A1387),COUNTIFS('Conciliacion de compuestos'!$D$2:$D$48,"conciliado",'Conciliacion de compuestos'!$E$2:$E$48,"OK",'Conciliacion de compuestos'!$L$2:$L$48,A1387))&gt;0,"conciliado en compuesto confirmado","disponible")</f>
        <v/>
      </c>
    </row>
    <row r="1388">
      <c r="A1388" s="11" t="n">
        <v>1402</v>
      </c>
      <c r="B1388" s="12" t="n">
        <v>46014</v>
      </c>
      <c r="C1388" s="11" t="inlineStr">
        <is>
          <t>comision depositos electronicos mastercard</t>
        </is>
      </c>
      <c r="D1388" s="13" t="n">
        <v>-2334</v>
      </c>
      <c r="E1388" s="11">
        <f>IF(SUM(COUNTIFS('Conciliacion de compuestos'!$D$2:$D$48,"conciliado",'Conciliacion de compuestos'!$E$2:$E$48,"OK",'Conciliacion de compuestos'!$J$2:$J$48,A1388),COUNTIFS('Conciliacion de compuestos'!$D$2:$D$48,"conciliado",'Conciliacion de compuestos'!$E$2:$E$48,"OK",'Conciliacion de compuestos'!$K$2:$K$48,A1388),COUNTIFS('Conciliacion de compuestos'!$D$2:$D$48,"conciliado",'Conciliacion de compuestos'!$E$2:$E$48,"OK",'Conciliacion de compuestos'!$L$2:$L$48,A1388))&gt;0,"conciliado en compuesto confirmado","disponible")</f>
        <v/>
      </c>
    </row>
    <row r="1389">
      <c r="A1389" s="11" t="n">
        <v>1403</v>
      </c>
      <c r="B1389" s="12" t="n">
        <v>46014</v>
      </c>
      <c r="C1389" s="11" t="inlineStr">
        <is>
          <t>a financiero gravamen movimiento</t>
        </is>
      </c>
      <c r="D1389" s="13" t="n">
        <v>-9</v>
      </c>
      <c r="E1389" s="11">
        <f>IF(SUM(COUNTIFS('Conciliacion de compuestos'!$D$2:$D$48,"conciliado",'Conciliacion de compuestos'!$E$2:$E$48,"OK",'Conciliacion de compuestos'!$J$2:$J$48,A1389),COUNTIFS('Conciliacion de compuestos'!$D$2:$D$48,"conciliado",'Conciliacion de compuestos'!$E$2:$E$48,"OK",'Conciliacion de compuestos'!$K$2:$K$48,A1389),COUNTIFS('Conciliacion de compuestos'!$D$2:$D$48,"conciliado",'Conciliacion de compuestos'!$E$2:$E$48,"OK",'Conciliacion de compuestos'!$L$2:$L$48,A1389))&gt;0,"conciliado en compuesto confirmado","disponible")</f>
        <v/>
      </c>
    </row>
    <row r="1390">
      <c r="A1390" s="11" t="n">
        <v>1404</v>
      </c>
      <c r="B1390" s="12" t="n">
        <v>46014</v>
      </c>
      <c r="C1390" s="11" t="inlineStr">
        <is>
          <t>depositos electronicos mastercar retefuente</t>
        </is>
      </c>
      <c r="D1390" s="13" t="n">
        <v>-1490</v>
      </c>
      <c r="E1390" s="11">
        <f>IF(SUM(COUNTIFS('Conciliacion de compuestos'!$D$2:$D$48,"conciliado",'Conciliacion de compuestos'!$E$2:$E$48,"OK",'Conciliacion de compuestos'!$J$2:$J$48,A1390),COUNTIFS('Conciliacion de compuestos'!$D$2:$D$48,"conciliado",'Conciliacion de compuestos'!$E$2:$E$48,"OK",'Conciliacion de compuestos'!$K$2:$K$48,A1390),COUNTIFS('Conciliacion de compuestos'!$D$2:$D$48,"conciliado",'Conciliacion de compuestos'!$E$2:$E$48,"OK",'Conciliacion de compuestos'!$L$2:$L$48,A1390))&gt;0,"conciliado en compuesto confirmado","disponible")</f>
        <v/>
      </c>
    </row>
    <row r="1391">
      <c r="A1391" s="11" t="n">
        <v>1405</v>
      </c>
      <c r="B1391" s="12" t="n">
        <v>46014</v>
      </c>
      <c r="C1391" s="11" t="inlineStr">
        <is>
          <t>a financiero gravamen movimiento</t>
        </is>
      </c>
      <c r="D1391" s="13" t="n">
        <v>-6</v>
      </c>
      <c r="E1391" s="11">
        <f>IF(SUM(COUNTIFS('Conciliacion de compuestos'!$D$2:$D$48,"conciliado",'Conciliacion de compuestos'!$E$2:$E$48,"OK",'Conciliacion de compuestos'!$J$2:$J$48,A1391),COUNTIFS('Conciliacion de compuestos'!$D$2:$D$48,"conciliado",'Conciliacion de compuestos'!$E$2:$E$48,"OK",'Conciliacion de compuestos'!$K$2:$K$48,A1391),COUNTIFS('Conciliacion de compuestos'!$D$2:$D$48,"conciliado",'Conciliacion de compuestos'!$E$2:$E$48,"OK",'Conciliacion de compuestos'!$L$2:$L$48,A1391))&gt;0,"conciliado en compuesto confirmado","disponible")</f>
        <v/>
      </c>
    </row>
    <row r="1392">
      <c r="A1392" s="11" t="n">
        <v>1406</v>
      </c>
      <c r="B1392" s="12" t="n">
        <v>46014</v>
      </c>
      <c r="C1392" s="11" t="inlineStr">
        <is>
          <t>depositos electronicos masterca transaccion</t>
        </is>
      </c>
      <c r="D1392" s="13" t="n">
        <v>88400</v>
      </c>
      <c r="E1392" s="11">
        <f>IF(SUM(COUNTIFS('Conciliacion de compuestos'!$D$2:$D$48,"conciliado",'Conciliacion de compuestos'!$E$2:$E$48,"OK",'Conciliacion de compuestos'!$J$2:$J$48,A1392),COUNTIFS('Conciliacion de compuestos'!$D$2:$D$48,"conciliado",'Conciliacion de compuestos'!$E$2:$E$48,"OK",'Conciliacion de compuestos'!$K$2:$K$48,A1392),COUNTIFS('Conciliacion de compuestos'!$D$2:$D$48,"conciliado",'Conciliacion de compuestos'!$E$2:$E$48,"OK",'Conciliacion de compuestos'!$L$2:$L$48,A1392))&gt;0,"conciliado en compuesto confirmado","disponible")</f>
        <v/>
      </c>
    </row>
    <row r="1393">
      <c r="A1393" s="11" t="n">
        <v>1407</v>
      </c>
      <c r="B1393" s="12" t="n">
        <v>46014</v>
      </c>
      <c r="C1393" s="11" t="inlineStr">
        <is>
          <t>comision depositos electronicos mastercard</t>
        </is>
      </c>
      <c r="D1393" s="13" t="n">
        <v>-1680</v>
      </c>
      <c r="E1393" s="11">
        <f>IF(SUM(COUNTIFS('Conciliacion de compuestos'!$D$2:$D$48,"conciliado",'Conciliacion de compuestos'!$E$2:$E$48,"OK",'Conciliacion de compuestos'!$J$2:$J$48,A1393),COUNTIFS('Conciliacion de compuestos'!$D$2:$D$48,"conciliado",'Conciliacion de compuestos'!$E$2:$E$48,"OK",'Conciliacion de compuestos'!$K$2:$K$48,A1393),COUNTIFS('Conciliacion de compuestos'!$D$2:$D$48,"conciliado",'Conciliacion de compuestos'!$E$2:$E$48,"OK",'Conciliacion de compuestos'!$L$2:$L$48,A1393))&gt;0,"conciliado en compuesto confirmado","disponible")</f>
        <v/>
      </c>
    </row>
    <row r="1394">
      <c r="A1394" s="11" t="n">
        <v>1408</v>
      </c>
      <c r="B1394" s="12" t="n">
        <v>46014</v>
      </c>
      <c r="C1394" s="11" t="inlineStr">
        <is>
          <t>a financiero gravamen movimiento</t>
        </is>
      </c>
      <c r="D1394" s="13" t="n">
        <v>-7</v>
      </c>
      <c r="E1394" s="11">
        <f>IF(SUM(COUNTIFS('Conciliacion de compuestos'!$D$2:$D$48,"conciliado",'Conciliacion de compuestos'!$E$2:$E$48,"OK",'Conciliacion de compuestos'!$J$2:$J$48,A1394),COUNTIFS('Conciliacion de compuestos'!$D$2:$D$48,"conciliado",'Conciliacion de compuestos'!$E$2:$E$48,"OK",'Conciliacion de compuestos'!$K$2:$K$48,A1394),COUNTIFS('Conciliacion de compuestos'!$D$2:$D$48,"conciliado",'Conciliacion de compuestos'!$E$2:$E$48,"OK",'Conciliacion de compuestos'!$L$2:$L$48,A1394))&gt;0,"conciliado en compuesto confirmado","disponible")</f>
        <v/>
      </c>
    </row>
    <row r="1395">
      <c r="A1395" s="11" t="n">
        <v>1409</v>
      </c>
      <c r="B1395" s="12" t="n">
        <v>46014</v>
      </c>
      <c r="C1395" s="11" t="inlineStr">
        <is>
          <t>depositos electronicos mastercar retefuente</t>
        </is>
      </c>
      <c r="D1395" s="13" t="n">
        <v>-1326</v>
      </c>
      <c r="E1395" s="11">
        <f>IF(SUM(COUNTIFS('Conciliacion de compuestos'!$D$2:$D$48,"conciliado",'Conciliacion de compuestos'!$E$2:$E$48,"OK",'Conciliacion de compuestos'!$J$2:$J$48,A1395),COUNTIFS('Conciliacion de compuestos'!$D$2:$D$48,"conciliado",'Conciliacion de compuestos'!$E$2:$E$48,"OK",'Conciliacion de compuestos'!$K$2:$K$48,A1395),COUNTIFS('Conciliacion de compuestos'!$D$2:$D$48,"conciliado",'Conciliacion de compuestos'!$E$2:$E$48,"OK",'Conciliacion de compuestos'!$L$2:$L$48,A1395))&gt;0,"conciliado en compuesto confirmado","disponible")</f>
        <v/>
      </c>
    </row>
    <row r="1396">
      <c r="A1396" s="11" t="n">
        <v>1410</v>
      </c>
      <c r="B1396" s="12" t="n">
        <v>46014</v>
      </c>
      <c r="C1396" s="11" t="inlineStr">
        <is>
          <t>a financiero gravamen movimiento</t>
        </is>
      </c>
      <c r="D1396" s="13" t="n">
        <v>-5</v>
      </c>
      <c r="E1396" s="11">
        <f>IF(SUM(COUNTIFS('Conciliacion de compuestos'!$D$2:$D$48,"conciliado",'Conciliacion de compuestos'!$E$2:$E$48,"OK",'Conciliacion de compuestos'!$J$2:$J$48,A1396),COUNTIFS('Conciliacion de compuestos'!$D$2:$D$48,"conciliado",'Conciliacion de compuestos'!$E$2:$E$48,"OK",'Conciliacion de compuestos'!$K$2:$K$48,A1396),COUNTIFS('Conciliacion de compuestos'!$D$2:$D$48,"conciliado",'Conciliacion de compuestos'!$E$2:$E$48,"OK",'Conciliacion de compuestos'!$L$2:$L$48,A1396))&gt;0,"conciliado en compuesto confirmado","disponible")</f>
        <v/>
      </c>
    </row>
    <row r="1397">
      <c r="A1397" s="11" t="n">
        <v>1411</v>
      </c>
      <c r="B1397" s="12" t="n">
        <v>46014</v>
      </c>
      <c r="C1397" s="11" t="inlineStr">
        <is>
          <t>depositos electronicos masterca transaccion</t>
        </is>
      </c>
      <c r="D1397" s="13" t="n">
        <v>910000</v>
      </c>
      <c r="E1397" s="11">
        <f>IF(SUM(COUNTIFS('Conciliacion de compuestos'!$D$2:$D$48,"conciliado",'Conciliacion de compuestos'!$E$2:$E$48,"OK",'Conciliacion de compuestos'!$J$2:$J$48,A1397),COUNTIFS('Conciliacion de compuestos'!$D$2:$D$48,"conciliado",'Conciliacion de compuestos'!$E$2:$E$48,"OK",'Conciliacion de compuestos'!$K$2:$K$48,A1397),COUNTIFS('Conciliacion de compuestos'!$D$2:$D$48,"conciliado",'Conciliacion de compuestos'!$E$2:$E$48,"OK",'Conciliacion de compuestos'!$L$2:$L$48,A1397))&gt;0,"conciliado en compuesto confirmado","disponible")</f>
        <v/>
      </c>
    </row>
    <row r="1398">
      <c r="A1398" s="11" t="n">
        <v>1412</v>
      </c>
      <c r="B1398" s="12" t="n">
        <v>46014</v>
      </c>
      <c r="C1398" s="11" t="inlineStr">
        <is>
          <t>comision depositos electronicos mastercard</t>
        </is>
      </c>
      <c r="D1398" s="13" t="n">
        <v>-21385</v>
      </c>
      <c r="E1398" s="11">
        <f>IF(SUM(COUNTIFS('Conciliacion de compuestos'!$D$2:$D$48,"conciliado",'Conciliacion de compuestos'!$E$2:$E$48,"OK",'Conciliacion de compuestos'!$J$2:$J$48,A1398),COUNTIFS('Conciliacion de compuestos'!$D$2:$D$48,"conciliado",'Conciliacion de compuestos'!$E$2:$E$48,"OK",'Conciliacion de compuestos'!$K$2:$K$48,A1398),COUNTIFS('Conciliacion de compuestos'!$D$2:$D$48,"conciliado",'Conciliacion de compuestos'!$E$2:$E$48,"OK",'Conciliacion de compuestos'!$L$2:$L$48,A1398))&gt;0,"conciliado en compuesto confirmado","disponible")</f>
        <v/>
      </c>
    </row>
    <row r="1399">
      <c r="A1399" s="11" t="n">
        <v>1413</v>
      </c>
      <c r="B1399" s="12" t="n">
        <v>46014</v>
      </c>
      <c r="C1399" s="11" t="inlineStr">
        <is>
          <t>a financiero gravamen movimiento</t>
        </is>
      </c>
      <c r="D1399" s="13" t="n">
        <v>-86</v>
      </c>
      <c r="E1399" s="11">
        <f>IF(SUM(COUNTIFS('Conciliacion de compuestos'!$D$2:$D$48,"conciliado",'Conciliacion de compuestos'!$E$2:$E$48,"OK",'Conciliacion de compuestos'!$J$2:$J$48,A1399),COUNTIFS('Conciliacion de compuestos'!$D$2:$D$48,"conciliado",'Conciliacion de compuestos'!$E$2:$E$48,"OK",'Conciliacion de compuestos'!$K$2:$K$48,A1399),COUNTIFS('Conciliacion de compuestos'!$D$2:$D$48,"conciliado",'Conciliacion de compuestos'!$E$2:$E$48,"OK",'Conciliacion de compuestos'!$L$2:$L$48,A1399))&gt;0,"conciliado en compuesto confirmado","disponible")</f>
        <v/>
      </c>
    </row>
    <row r="1400">
      <c r="A1400" s="11" t="n">
        <v>1414</v>
      </c>
      <c r="B1400" s="12" t="n">
        <v>46014</v>
      </c>
      <c r="C1400" s="11" t="inlineStr">
        <is>
          <t>depositos electronicos mastercar retefuente</t>
        </is>
      </c>
      <c r="D1400" s="13" t="n">
        <v>-13650</v>
      </c>
      <c r="E1400" s="11">
        <f>IF(SUM(COUNTIFS('Conciliacion de compuestos'!$D$2:$D$48,"conciliado",'Conciliacion de compuestos'!$E$2:$E$48,"OK",'Conciliacion de compuestos'!$J$2:$J$48,A1400),COUNTIFS('Conciliacion de compuestos'!$D$2:$D$48,"conciliado",'Conciliacion de compuestos'!$E$2:$E$48,"OK",'Conciliacion de compuestos'!$K$2:$K$48,A1400),COUNTIFS('Conciliacion de compuestos'!$D$2:$D$48,"conciliado",'Conciliacion de compuestos'!$E$2:$E$48,"OK",'Conciliacion de compuestos'!$L$2:$L$48,A1400))&gt;0,"conciliado en compuesto confirmado","disponible")</f>
        <v/>
      </c>
    </row>
    <row r="1401">
      <c r="A1401" s="11" t="n">
        <v>1415</v>
      </c>
      <c r="B1401" s="12" t="n">
        <v>46014</v>
      </c>
      <c r="C1401" s="11" t="inlineStr">
        <is>
          <t>a financiero gravamen movimiento</t>
        </is>
      </c>
      <c r="D1401" s="13" t="n">
        <v>-55</v>
      </c>
      <c r="E1401" s="11">
        <f>IF(SUM(COUNTIFS('Conciliacion de compuestos'!$D$2:$D$48,"conciliado",'Conciliacion de compuestos'!$E$2:$E$48,"OK",'Conciliacion de compuestos'!$J$2:$J$48,A1401),COUNTIFS('Conciliacion de compuestos'!$D$2:$D$48,"conciliado",'Conciliacion de compuestos'!$E$2:$E$48,"OK",'Conciliacion de compuestos'!$K$2:$K$48,A1401),COUNTIFS('Conciliacion de compuestos'!$D$2:$D$48,"conciliado",'Conciliacion de compuestos'!$E$2:$E$48,"OK",'Conciliacion de compuestos'!$L$2:$L$48,A1401))&gt;0,"conciliado en compuesto confirmado","disponible")</f>
        <v/>
      </c>
    </row>
    <row r="1402">
      <c r="A1402" s="11" t="n">
        <v>1416</v>
      </c>
      <c r="B1402" s="12" t="n">
        <v>46014</v>
      </c>
      <c r="C1402" s="11" t="inlineStr">
        <is>
          <t>depositos electronicos masterca transaccion</t>
        </is>
      </c>
      <c r="D1402" s="13" t="n">
        <v>1000000</v>
      </c>
      <c r="E1402" s="11">
        <f>IF(SUM(COUNTIFS('Conciliacion de compuestos'!$D$2:$D$48,"conciliado",'Conciliacion de compuestos'!$E$2:$E$48,"OK",'Conciliacion de compuestos'!$J$2:$J$48,A1402),COUNTIFS('Conciliacion de compuestos'!$D$2:$D$48,"conciliado",'Conciliacion de compuestos'!$E$2:$E$48,"OK",'Conciliacion de compuestos'!$K$2:$K$48,A1402),COUNTIFS('Conciliacion de compuestos'!$D$2:$D$48,"conciliado",'Conciliacion de compuestos'!$E$2:$E$48,"OK",'Conciliacion de compuestos'!$L$2:$L$48,A1402))&gt;0,"conciliado en compuesto confirmado","disponible")</f>
        <v/>
      </c>
    </row>
    <row r="1403">
      <c r="A1403" s="11" t="n">
        <v>1417</v>
      </c>
      <c r="B1403" s="12" t="n">
        <v>46014</v>
      </c>
      <c r="C1403" s="11" t="inlineStr">
        <is>
          <t>comision depositos electronicos mastercard</t>
        </is>
      </c>
      <c r="D1403" s="13" t="n">
        <v>-23500</v>
      </c>
      <c r="E1403" s="11">
        <f>IF(SUM(COUNTIFS('Conciliacion de compuestos'!$D$2:$D$48,"conciliado",'Conciliacion de compuestos'!$E$2:$E$48,"OK",'Conciliacion de compuestos'!$J$2:$J$48,A1403),COUNTIFS('Conciliacion de compuestos'!$D$2:$D$48,"conciliado",'Conciliacion de compuestos'!$E$2:$E$48,"OK",'Conciliacion de compuestos'!$K$2:$K$48,A1403),COUNTIFS('Conciliacion de compuestos'!$D$2:$D$48,"conciliado",'Conciliacion de compuestos'!$E$2:$E$48,"OK",'Conciliacion de compuestos'!$L$2:$L$48,A1403))&gt;0,"conciliado en compuesto confirmado","disponible")</f>
        <v/>
      </c>
    </row>
    <row r="1404">
      <c r="A1404" s="11" t="n">
        <v>1418</v>
      </c>
      <c r="B1404" s="12" t="n">
        <v>46014</v>
      </c>
      <c r="C1404" s="11" t="inlineStr">
        <is>
          <t>a financiero gravamen movimiento</t>
        </is>
      </c>
      <c r="D1404" s="13" t="n">
        <v>-94</v>
      </c>
      <c r="E1404" s="11">
        <f>IF(SUM(COUNTIFS('Conciliacion de compuestos'!$D$2:$D$48,"conciliado",'Conciliacion de compuestos'!$E$2:$E$48,"OK",'Conciliacion de compuestos'!$J$2:$J$48,A1404),COUNTIFS('Conciliacion de compuestos'!$D$2:$D$48,"conciliado",'Conciliacion de compuestos'!$E$2:$E$48,"OK",'Conciliacion de compuestos'!$K$2:$K$48,A1404),COUNTIFS('Conciliacion de compuestos'!$D$2:$D$48,"conciliado",'Conciliacion de compuestos'!$E$2:$E$48,"OK",'Conciliacion de compuestos'!$L$2:$L$48,A1404))&gt;0,"conciliado en compuesto confirmado","disponible")</f>
        <v/>
      </c>
    </row>
    <row r="1405">
      <c r="A1405" s="11" t="n">
        <v>1419</v>
      </c>
      <c r="B1405" s="12" t="n">
        <v>46014</v>
      </c>
      <c r="C1405" s="11" t="inlineStr">
        <is>
          <t>depositos electronicos mastercar retefuente</t>
        </is>
      </c>
      <c r="D1405" s="13" t="n">
        <v>-15000</v>
      </c>
      <c r="E1405" s="11">
        <f>IF(SUM(COUNTIFS('Conciliacion de compuestos'!$D$2:$D$48,"conciliado",'Conciliacion de compuestos'!$E$2:$E$48,"OK",'Conciliacion de compuestos'!$J$2:$J$48,A1405),COUNTIFS('Conciliacion de compuestos'!$D$2:$D$48,"conciliado",'Conciliacion de compuestos'!$E$2:$E$48,"OK",'Conciliacion de compuestos'!$K$2:$K$48,A1405),COUNTIFS('Conciliacion de compuestos'!$D$2:$D$48,"conciliado",'Conciliacion de compuestos'!$E$2:$E$48,"OK",'Conciliacion de compuestos'!$L$2:$L$48,A1405))&gt;0,"conciliado en compuesto confirmado","disponible")</f>
        <v/>
      </c>
    </row>
    <row r="1406">
      <c r="A1406" s="11" t="n">
        <v>1420</v>
      </c>
      <c r="B1406" s="12" t="n">
        <v>46014</v>
      </c>
      <c r="C1406" s="11" t="inlineStr">
        <is>
          <t>a financiero gravamen movimiento</t>
        </is>
      </c>
      <c r="D1406" s="13" t="n">
        <v>-60</v>
      </c>
      <c r="E1406" s="11">
        <f>IF(SUM(COUNTIFS('Conciliacion de compuestos'!$D$2:$D$48,"conciliado",'Conciliacion de compuestos'!$E$2:$E$48,"OK",'Conciliacion de compuestos'!$J$2:$J$48,A1406),COUNTIFS('Conciliacion de compuestos'!$D$2:$D$48,"conciliado",'Conciliacion de compuestos'!$E$2:$E$48,"OK",'Conciliacion de compuestos'!$K$2:$K$48,A1406),COUNTIFS('Conciliacion de compuestos'!$D$2:$D$48,"conciliado",'Conciliacion de compuestos'!$E$2:$E$48,"OK",'Conciliacion de compuestos'!$L$2:$L$48,A1406))&gt;0,"conciliado en compuesto confirmado","disponible")</f>
        <v/>
      </c>
    </row>
    <row r="1407">
      <c r="A1407" s="11" t="n">
        <v>1421</v>
      </c>
      <c r="B1407" s="12" t="n">
        <v>46014</v>
      </c>
      <c r="C1407" s="11" t="inlineStr">
        <is>
          <t>depositos electronicos masterca transaccion</t>
        </is>
      </c>
      <c r="D1407" s="13" t="n">
        <v>127700</v>
      </c>
      <c r="E1407" s="11">
        <f>IF(SUM(COUNTIFS('Conciliacion de compuestos'!$D$2:$D$48,"conciliado",'Conciliacion de compuestos'!$E$2:$E$48,"OK",'Conciliacion de compuestos'!$J$2:$J$48,A1407),COUNTIFS('Conciliacion de compuestos'!$D$2:$D$48,"conciliado",'Conciliacion de compuestos'!$E$2:$E$48,"OK",'Conciliacion de compuestos'!$K$2:$K$48,A1407),COUNTIFS('Conciliacion de compuestos'!$D$2:$D$48,"conciliado",'Conciliacion de compuestos'!$E$2:$E$48,"OK",'Conciliacion de compuestos'!$L$2:$L$48,A1407))&gt;0,"conciliado en compuesto confirmado","disponible")</f>
        <v/>
      </c>
    </row>
    <row r="1408">
      <c r="A1408" s="11" t="n">
        <v>1422</v>
      </c>
      <c r="B1408" s="12" t="n">
        <v>46014</v>
      </c>
      <c r="C1408" s="11" t="inlineStr">
        <is>
          <t>comision depositos electronicos mastercard</t>
        </is>
      </c>
      <c r="D1408" s="13" t="n">
        <v>-2426</v>
      </c>
      <c r="E1408" s="11">
        <f>IF(SUM(COUNTIFS('Conciliacion de compuestos'!$D$2:$D$48,"conciliado",'Conciliacion de compuestos'!$E$2:$E$48,"OK",'Conciliacion de compuestos'!$J$2:$J$48,A1408),COUNTIFS('Conciliacion de compuestos'!$D$2:$D$48,"conciliado",'Conciliacion de compuestos'!$E$2:$E$48,"OK",'Conciliacion de compuestos'!$K$2:$K$48,A1408),COUNTIFS('Conciliacion de compuestos'!$D$2:$D$48,"conciliado",'Conciliacion de compuestos'!$E$2:$E$48,"OK",'Conciliacion de compuestos'!$L$2:$L$48,A1408))&gt;0,"conciliado en compuesto confirmado","disponible")</f>
        <v/>
      </c>
    </row>
    <row r="1409">
      <c r="A1409" s="11" t="n">
        <v>1423</v>
      </c>
      <c r="B1409" s="12" t="n">
        <v>46014</v>
      </c>
      <c r="C1409" s="11" t="inlineStr">
        <is>
          <t>a financiero gravamen movimiento</t>
        </is>
      </c>
      <c r="D1409" s="13" t="n">
        <v>-10</v>
      </c>
      <c r="E1409" s="11">
        <f>IF(SUM(COUNTIFS('Conciliacion de compuestos'!$D$2:$D$48,"conciliado",'Conciliacion de compuestos'!$E$2:$E$48,"OK",'Conciliacion de compuestos'!$J$2:$J$48,A1409),COUNTIFS('Conciliacion de compuestos'!$D$2:$D$48,"conciliado",'Conciliacion de compuestos'!$E$2:$E$48,"OK",'Conciliacion de compuestos'!$K$2:$K$48,A1409),COUNTIFS('Conciliacion de compuestos'!$D$2:$D$48,"conciliado",'Conciliacion de compuestos'!$E$2:$E$48,"OK",'Conciliacion de compuestos'!$L$2:$L$48,A1409))&gt;0,"conciliado en compuesto confirmado","disponible")</f>
        <v/>
      </c>
    </row>
    <row r="1410">
      <c r="A1410" s="11" t="n">
        <v>1424</v>
      </c>
      <c r="B1410" s="12" t="n">
        <v>46014</v>
      </c>
      <c r="C1410" s="11" t="inlineStr">
        <is>
          <t>depositos electronicos mastercar retefuente</t>
        </is>
      </c>
      <c r="D1410" s="13" t="n">
        <v>-1916</v>
      </c>
      <c r="E1410" s="11">
        <f>IF(SUM(COUNTIFS('Conciliacion de compuestos'!$D$2:$D$48,"conciliado",'Conciliacion de compuestos'!$E$2:$E$48,"OK",'Conciliacion de compuestos'!$J$2:$J$48,A1410),COUNTIFS('Conciliacion de compuestos'!$D$2:$D$48,"conciliado",'Conciliacion de compuestos'!$E$2:$E$48,"OK",'Conciliacion de compuestos'!$K$2:$K$48,A1410),COUNTIFS('Conciliacion de compuestos'!$D$2:$D$48,"conciliado",'Conciliacion de compuestos'!$E$2:$E$48,"OK",'Conciliacion de compuestos'!$L$2:$L$48,A1410))&gt;0,"conciliado en compuesto confirmado","disponible")</f>
        <v/>
      </c>
    </row>
    <row r="1411">
      <c r="A1411" s="11" t="n">
        <v>1425</v>
      </c>
      <c r="B1411" s="12" t="n">
        <v>46014</v>
      </c>
      <c r="C1411" s="11" t="inlineStr">
        <is>
          <t>a financiero gravamen movimiento</t>
        </is>
      </c>
      <c r="D1411" s="13" t="n">
        <v>-8</v>
      </c>
      <c r="E1411" s="11">
        <f>IF(SUM(COUNTIFS('Conciliacion de compuestos'!$D$2:$D$48,"conciliado",'Conciliacion de compuestos'!$E$2:$E$48,"OK",'Conciliacion de compuestos'!$J$2:$J$48,A1411),COUNTIFS('Conciliacion de compuestos'!$D$2:$D$48,"conciliado",'Conciliacion de compuestos'!$E$2:$E$48,"OK",'Conciliacion de compuestos'!$K$2:$K$48,A1411),COUNTIFS('Conciliacion de compuestos'!$D$2:$D$48,"conciliado",'Conciliacion de compuestos'!$E$2:$E$48,"OK",'Conciliacion de compuestos'!$L$2:$L$48,A1411))&gt;0,"conciliado en compuesto confirmado","disponible")</f>
        <v/>
      </c>
    </row>
    <row r="1412">
      <c r="A1412" s="11" t="n">
        <v>1426</v>
      </c>
      <c r="B1412" s="12" t="n">
        <v>46014</v>
      </c>
      <c r="C1412" s="11" t="inlineStr">
        <is>
          <t>depositos electronicos masterca transaccion</t>
        </is>
      </c>
      <c r="D1412" s="13" t="n">
        <v>169600</v>
      </c>
      <c r="E1412" s="11">
        <f>IF(SUM(COUNTIFS('Conciliacion de compuestos'!$D$2:$D$48,"conciliado",'Conciliacion de compuestos'!$E$2:$E$48,"OK",'Conciliacion de compuestos'!$J$2:$J$48,A1412),COUNTIFS('Conciliacion de compuestos'!$D$2:$D$48,"conciliado",'Conciliacion de compuestos'!$E$2:$E$48,"OK",'Conciliacion de compuestos'!$K$2:$K$48,A1412),COUNTIFS('Conciliacion de compuestos'!$D$2:$D$48,"conciliado",'Conciliacion de compuestos'!$E$2:$E$48,"OK",'Conciliacion de compuestos'!$L$2:$L$48,A1412))&gt;0,"conciliado en compuesto confirmado","disponible")</f>
        <v/>
      </c>
    </row>
    <row r="1413">
      <c r="A1413" s="11" t="n">
        <v>1427</v>
      </c>
      <c r="B1413" s="12" t="n">
        <v>46014</v>
      </c>
      <c r="C1413" s="11" t="inlineStr">
        <is>
          <t>comision depositos electronicos mastercard</t>
        </is>
      </c>
      <c r="D1413" s="13" t="n">
        <v>-3222</v>
      </c>
      <c r="E1413" s="11">
        <f>IF(SUM(COUNTIFS('Conciliacion de compuestos'!$D$2:$D$48,"conciliado",'Conciliacion de compuestos'!$E$2:$E$48,"OK",'Conciliacion de compuestos'!$J$2:$J$48,A1413),COUNTIFS('Conciliacion de compuestos'!$D$2:$D$48,"conciliado",'Conciliacion de compuestos'!$E$2:$E$48,"OK",'Conciliacion de compuestos'!$K$2:$K$48,A1413),COUNTIFS('Conciliacion de compuestos'!$D$2:$D$48,"conciliado",'Conciliacion de compuestos'!$E$2:$E$48,"OK",'Conciliacion de compuestos'!$L$2:$L$48,A1413))&gt;0,"conciliado en compuesto confirmado","disponible")</f>
        <v/>
      </c>
    </row>
    <row r="1414">
      <c r="A1414" s="11" t="n">
        <v>1428</v>
      </c>
      <c r="B1414" s="12" t="n">
        <v>46014</v>
      </c>
      <c r="C1414" s="11" t="inlineStr">
        <is>
          <t>a financiero gravamen movimiento</t>
        </is>
      </c>
      <c r="D1414" s="13" t="n">
        <v>-13</v>
      </c>
      <c r="E1414" s="11">
        <f>IF(SUM(COUNTIFS('Conciliacion de compuestos'!$D$2:$D$48,"conciliado",'Conciliacion de compuestos'!$E$2:$E$48,"OK",'Conciliacion de compuestos'!$J$2:$J$48,A1414),COUNTIFS('Conciliacion de compuestos'!$D$2:$D$48,"conciliado",'Conciliacion de compuestos'!$E$2:$E$48,"OK",'Conciliacion de compuestos'!$K$2:$K$48,A1414),COUNTIFS('Conciliacion de compuestos'!$D$2:$D$48,"conciliado",'Conciliacion de compuestos'!$E$2:$E$48,"OK",'Conciliacion de compuestos'!$L$2:$L$48,A1414))&gt;0,"conciliado en compuesto confirmado","disponible")</f>
        <v/>
      </c>
    </row>
    <row r="1415">
      <c r="A1415" s="11" t="n">
        <v>1429</v>
      </c>
      <c r="B1415" s="12" t="n">
        <v>46014</v>
      </c>
      <c r="C1415" s="11" t="inlineStr">
        <is>
          <t>depositos electronicos mastercar retefuente</t>
        </is>
      </c>
      <c r="D1415" s="13" t="n">
        <v>-2544</v>
      </c>
      <c r="E1415" s="11">
        <f>IF(SUM(COUNTIFS('Conciliacion de compuestos'!$D$2:$D$48,"conciliado",'Conciliacion de compuestos'!$E$2:$E$48,"OK",'Conciliacion de compuestos'!$J$2:$J$48,A1415),COUNTIFS('Conciliacion de compuestos'!$D$2:$D$48,"conciliado",'Conciliacion de compuestos'!$E$2:$E$48,"OK",'Conciliacion de compuestos'!$K$2:$K$48,A1415),COUNTIFS('Conciliacion de compuestos'!$D$2:$D$48,"conciliado",'Conciliacion de compuestos'!$E$2:$E$48,"OK",'Conciliacion de compuestos'!$L$2:$L$48,A1415))&gt;0,"conciliado en compuesto confirmado","disponible")</f>
        <v/>
      </c>
    </row>
    <row r="1416">
      <c r="A1416" s="11" t="n">
        <v>1430</v>
      </c>
      <c r="B1416" s="12" t="n">
        <v>46014</v>
      </c>
      <c r="C1416" s="11" t="inlineStr">
        <is>
          <t>a financiero gravamen movimiento</t>
        </is>
      </c>
      <c r="D1416" s="13" t="n">
        <v>-10</v>
      </c>
      <c r="E1416" s="11">
        <f>IF(SUM(COUNTIFS('Conciliacion de compuestos'!$D$2:$D$48,"conciliado",'Conciliacion de compuestos'!$E$2:$E$48,"OK",'Conciliacion de compuestos'!$J$2:$J$48,A1416),COUNTIFS('Conciliacion de compuestos'!$D$2:$D$48,"conciliado",'Conciliacion de compuestos'!$E$2:$E$48,"OK",'Conciliacion de compuestos'!$K$2:$K$48,A1416),COUNTIFS('Conciliacion de compuestos'!$D$2:$D$48,"conciliado",'Conciliacion de compuestos'!$E$2:$E$48,"OK",'Conciliacion de compuestos'!$L$2:$L$48,A1416))&gt;0,"conciliado en compuesto confirmado","disponible")</f>
        <v/>
      </c>
    </row>
    <row r="1417">
      <c r="A1417" s="11" t="n">
        <v>1431</v>
      </c>
      <c r="B1417" s="12" t="n">
        <v>46015</v>
      </c>
      <c r="C1417" s="11" t="inlineStr">
        <is>
          <t>consignacion credibanco d e</t>
        </is>
      </c>
      <c r="D1417" s="13" t="n">
        <v>127200</v>
      </c>
      <c r="E1417" s="11">
        <f>IF(SUM(COUNTIFS('Conciliacion de compuestos'!$D$2:$D$48,"conciliado",'Conciliacion de compuestos'!$E$2:$E$48,"OK",'Conciliacion de compuestos'!$J$2:$J$48,A1417),COUNTIFS('Conciliacion de compuestos'!$D$2:$D$48,"conciliado",'Conciliacion de compuestos'!$E$2:$E$48,"OK",'Conciliacion de compuestos'!$K$2:$K$48,A1417),COUNTIFS('Conciliacion de compuestos'!$D$2:$D$48,"conciliado",'Conciliacion de compuestos'!$E$2:$E$48,"OK",'Conciliacion de compuestos'!$L$2:$L$48,A1417))&gt;0,"conciliado en compuesto confirmado","disponible")</f>
        <v/>
      </c>
    </row>
    <row r="1418">
      <c r="A1418" s="11" t="n">
        <v>1432</v>
      </c>
      <c r="B1418" s="12" t="n">
        <v>46015</v>
      </c>
      <c r="C1418" s="11" t="inlineStr">
        <is>
          <t>cobro comision depositos electronicos</t>
        </is>
      </c>
      <c r="D1418" s="13" t="n">
        <v>-2748</v>
      </c>
      <c r="E1418" s="11">
        <f>IF(SUM(COUNTIFS('Conciliacion de compuestos'!$D$2:$D$48,"conciliado",'Conciliacion de compuestos'!$E$2:$E$48,"OK",'Conciliacion de compuestos'!$J$2:$J$48,A1418),COUNTIFS('Conciliacion de compuestos'!$D$2:$D$48,"conciliado",'Conciliacion de compuestos'!$E$2:$E$48,"OK",'Conciliacion de compuestos'!$K$2:$K$48,A1418),COUNTIFS('Conciliacion de compuestos'!$D$2:$D$48,"conciliado",'Conciliacion de compuestos'!$E$2:$E$48,"OK",'Conciliacion de compuestos'!$L$2:$L$48,A1418))&gt;0,"conciliado en compuesto confirmado","disponible")</f>
        <v/>
      </c>
    </row>
    <row r="1419">
      <c r="A1419" s="11" t="n">
        <v>1433</v>
      </c>
      <c r="B1419" s="12" t="n">
        <v>46015</v>
      </c>
      <c r="C1419" s="11" t="inlineStr">
        <is>
          <t>a financiero gravamen movimiento</t>
        </is>
      </c>
      <c r="D1419" s="13" t="n">
        <v>-11</v>
      </c>
      <c r="E1419" s="11">
        <f>IF(SUM(COUNTIFS('Conciliacion de compuestos'!$D$2:$D$48,"conciliado",'Conciliacion de compuestos'!$E$2:$E$48,"OK",'Conciliacion de compuestos'!$J$2:$J$48,A1419),COUNTIFS('Conciliacion de compuestos'!$D$2:$D$48,"conciliado",'Conciliacion de compuestos'!$E$2:$E$48,"OK",'Conciliacion de compuestos'!$K$2:$K$48,A1419),COUNTIFS('Conciliacion de compuestos'!$D$2:$D$48,"conciliado",'Conciliacion de compuestos'!$E$2:$E$48,"OK",'Conciliacion de compuestos'!$L$2:$L$48,A1419))&gt;0,"conciliado en compuesto confirmado","disponible")</f>
        <v/>
      </c>
    </row>
    <row r="1420">
      <c r="A1420" s="11" t="n">
        <v>1434</v>
      </c>
      <c r="B1420" s="12" t="n">
        <v>46015</v>
      </c>
      <c r="C1420" s="11" t="inlineStr">
        <is>
          <t>credibanco d e retefuente voucher y</t>
        </is>
      </c>
      <c r="D1420" s="13" t="n">
        <v>-1908</v>
      </c>
      <c r="E1420" s="11">
        <f>IF(SUM(COUNTIFS('Conciliacion de compuestos'!$D$2:$D$48,"conciliado",'Conciliacion de compuestos'!$E$2:$E$48,"OK",'Conciliacion de compuestos'!$J$2:$J$48,A1420),COUNTIFS('Conciliacion de compuestos'!$D$2:$D$48,"conciliado",'Conciliacion de compuestos'!$E$2:$E$48,"OK",'Conciliacion de compuestos'!$K$2:$K$48,A1420),COUNTIFS('Conciliacion de compuestos'!$D$2:$D$48,"conciliado",'Conciliacion de compuestos'!$E$2:$E$48,"OK",'Conciliacion de compuestos'!$L$2:$L$48,A1420))&gt;0,"conciliado en compuesto confirmado","disponible")</f>
        <v/>
      </c>
    </row>
    <row r="1421">
      <c r="A1421" s="11" t="n">
        <v>1435</v>
      </c>
      <c r="B1421" s="12" t="n">
        <v>46015</v>
      </c>
      <c r="C1421" s="11" t="inlineStr">
        <is>
          <t>a financiero gravamen movimiento</t>
        </is>
      </c>
      <c r="D1421" s="13" t="n">
        <v>-8</v>
      </c>
      <c r="E1421" s="11">
        <f>IF(SUM(COUNTIFS('Conciliacion de compuestos'!$D$2:$D$48,"conciliado",'Conciliacion de compuestos'!$E$2:$E$48,"OK",'Conciliacion de compuestos'!$J$2:$J$48,A1421),COUNTIFS('Conciliacion de compuestos'!$D$2:$D$48,"conciliado",'Conciliacion de compuestos'!$E$2:$E$48,"OK",'Conciliacion de compuestos'!$K$2:$K$48,A1421),COUNTIFS('Conciliacion de compuestos'!$D$2:$D$48,"conciliado",'Conciliacion de compuestos'!$E$2:$E$48,"OK",'Conciliacion de compuestos'!$L$2:$L$48,A1421))&gt;0,"conciliado en compuesto confirmado","disponible")</f>
        <v/>
      </c>
    </row>
    <row r="1422">
      <c r="A1422" s="11" t="n">
        <v>1436</v>
      </c>
      <c r="B1422" s="12" t="n">
        <v>46015</v>
      </c>
      <c r="C1422" s="11" t="inlineStr">
        <is>
          <t>consignacion credibanco d e</t>
        </is>
      </c>
      <c r="D1422" s="13" t="n">
        <v>44400</v>
      </c>
      <c r="E1422" s="11">
        <f>IF(SUM(COUNTIFS('Conciliacion de compuestos'!$D$2:$D$48,"conciliado",'Conciliacion de compuestos'!$E$2:$E$48,"OK",'Conciliacion de compuestos'!$J$2:$J$48,A1422),COUNTIFS('Conciliacion de compuestos'!$D$2:$D$48,"conciliado",'Conciliacion de compuestos'!$E$2:$E$48,"OK",'Conciliacion de compuestos'!$K$2:$K$48,A1422),COUNTIFS('Conciliacion de compuestos'!$D$2:$D$48,"conciliado",'Conciliacion de compuestos'!$E$2:$E$48,"OK",'Conciliacion de compuestos'!$L$2:$L$48,A1422))&gt;0,"conciliado en compuesto confirmado","disponible")</f>
        <v/>
      </c>
    </row>
    <row r="1423">
      <c r="A1423" s="11" t="n">
        <v>1437</v>
      </c>
      <c r="B1423" s="12" t="n">
        <v>46015</v>
      </c>
      <c r="C1423" s="11" t="inlineStr">
        <is>
          <t>cobro comision depositos electronicos</t>
        </is>
      </c>
      <c r="D1423" s="13" t="n">
        <v>-959</v>
      </c>
      <c r="E1423" s="11">
        <f>IF(SUM(COUNTIFS('Conciliacion de compuestos'!$D$2:$D$48,"conciliado",'Conciliacion de compuestos'!$E$2:$E$48,"OK",'Conciliacion de compuestos'!$J$2:$J$48,A1423),COUNTIFS('Conciliacion de compuestos'!$D$2:$D$48,"conciliado",'Conciliacion de compuestos'!$E$2:$E$48,"OK",'Conciliacion de compuestos'!$K$2:$K$48,A1423),COUNTIFS('Conciliacion de compuestos'!$D$2:$D$48,"conciliado",'Conciliacion de compuestos'!$E$2:$E$48,"OK",'Conciliacion de compuestos'!$L$2:$L$48,A1423))&gt;0,"conciliado en compuesto confirmado","disponible")</f>
        <v/>
      </c>
    </row>
    <row r="1424">
      <c r="A1424" s="11" t="n">
        <v>1438</v>
      </c>
      <c r="B1424" s="12" t="n">
        <v>46015</v>
      </c>
      <c r="C1424" s="11" t="inlineStr">
        <is>
          <t>a financiero gravamen movimiento</t>
        </is>
      </c>
      <c r="D1424" s="13" t="n">
        <v>-4</v>
      </c>
      <c r="E1424" s="11">
        <f>IF(SUM(COUNTIFS('Conciliacion de compuestos'!$D$2:$D$48,"conciliado",'Conciliacion de compuestos'!$E$2:$E$48,"OK",'Conciliacion de compuestos'!$J$2:$J$48,A1424),COUNTIFS('Conciliacion de compuestos'!$D$2:$D$48,"conciliado",'Conciliacion de compuestos'!$E$2:$E$48,"OK",'Conciliacion de compuestos'!$K$2:$K$48,A1424),COUNTIFS('Conciliacion de compuestos'!$D$2:$D$48,"conciliado",'Conciliacion de compuestos'!$E$2:$E$48,"OK",'Conciliacion de compuestos'!$L$2:$L$48,A1424))&gt;0,"conciliado en compuesto confirmado","disponible")</f>
        <v/>
      </c>
    </row>
    <row r="1425">
      <c r="A1425" s="11" t="n">
        <v>1439</v>
      </c>
      <c r="B1425" s="12" t="n">
        <v>46015</v>
      </c>
      <c r="C1425" s="11" t="inlineStr">
        <is>
          <t>credibanco d e retefuente voucher y</t>
        </is>
      </c>
      <c r="D1425" s="13" t="n">
        <v>-666</v>
      </c>
      <c r="E1425" s="11">
        <f>IF(SUM(COUNTIFS('Conciliacion de compuestos'!$D$2:$D$48,"conciliado",'Conciliacion de compuestos'!$E$2:$E$48,"OK",'Conciliacion de compuestos'!$J$2:$J$48,A1425),COUNTIFS('Conciliacion de compuestos'!$D$2:$D$48,"conciliado",'Conciliacion de compuestos'!$E$2:$E$48,"OK",'Conciliacion de compuestos'!$K$2:$K$48,A1425),COUNTIFS('Conciliacion de compuestos'!$D$2:$D$48,"conciliado",'Conciliacion de compuestos'!$E$2:$E$48,"OK",'Conciliacion de compuestos'!$L$2:$L$48,A1425))&gt;0,"conciliado en compuesto confirmado","disponible")</f>
        <v/>
      </c>
    </row>
    <row r="1426">
      <c r="A1426" s="11" t="n">
        <v>1440</v>
      </c>
      <c r="B1426" s="12" t="n">
        <v>46015</v>
      </c>
      <c r="C1426" s="11" t="inlineStr">
        <is>
          <t>a financiero gravamen movimiento</t>
        </is>
      </c>
      <c r="D1426" s="13" t="n">
        <v>-3</v>
      </c>
      <c r="E1426" s="11">
        <f>IF(SUM(COUNTIFS('Conciliacion de compuestos'!$D$2:$D$48,"conciliado",'Conciliacion de compuestos'!$E$2:$E$48,"OK",'Conciliacion de compuestos'!$J$2:$J$48,A1426),COUNTIFS('Conciliacion de compuestos'!$D$2:$D$48,"conciliado",'Conciliacion de compuestos'!$E$2:$E$48,"OK",'Conciliacion de compuestos'!$K$2:$K$48,A1426),COUNTIFS('Conciliacion de compuestos'!$D$2:$D$48,"conciliado",'Conciliacion de compuestos'!$E$2:$E$48,"OK",'Conciliacion de compuestos'!$L$2:$L$48,A1426))&gt;0,"conciliado en compuesto confirmado","disponible")</f>
        <v/>
      </c>
    </row>
    <row r="1427">
      <c r="A1427" s="11" t="n">
        <v>1441</v>
      </c>
      <c r="B1427" s="12" t="n">
        <v>46015</v>
      </c>
      <c r="C1427" s="11" t="inlineStr">
        <is>
          <t>consignacion credibanco d e</t>
        </is>
      </c>
      <c r="D1427" s="13" t="n">
        <v>28000</v>
      </c>
      <c r="E1427" s="11">
        <f>IF(SUM(COUNTIFS('Conciliacion de compuestos'!$D$2:$D$48,"conciliado",'Conciliacion de compuestos'!$E$2:$E$48,"OK",'Conciliacion de compuestos'!$J$2:$J$48,A1427),COUNTIFS('Conciliacion de compuestos'!$D$2:$D$48,"conciliado",'Conciliacion de compuestos'!$E$2:$E$48,"OK",'Conciliacion de compuestos'!$K$2:$K$48,A1427),COUNTIFS('Conciliacion de compuestos'!$D$2:$D$48,"conciliado",'Conciliacion de compuestos'!$E$2:$E$48,"OK",'Conciliacion de compuestos'!$L$2:$L$48,A1427))&gt;0,"conciliado en compuesto confirmado","disponible")</f>
        <v/>
      </c>
    </row>
    <row r="1428">
      <c r="A1428" s="11" t="n">
        <v>1442</v>
      </c>
      <c r="B1428" s="12" t="n">
        <v>46015</v>
      </c>
      <c r="C1428" s="11" t="inlineStr">
        <is>
          <t>cobro comision depositos electronicos</t>
        </is>
      </c>
      <c r="D1428" s="13" t="n">
        <v>-605</v>
      </c>
      <c r="E1428" s="11">
        <f>IF(SUM(COUNTIFS('Conciliacion de compuestos'!$D$2:$D$48,"conciliado",'Conciliacion de compuestos'!$E$2:$E$48,"OK",'Conciliacion de compuestos'!$J$2:$J$48,A1428),COUNTIFS('Conciliacion de compuestos'!$D$2:$D$48,"conciliado",'Conciliacion de compuestos'!$E$2:$E$48,"OK",'Conciliacion de compuestos'!$K$2:$K$48,A1428),COUNTIFS('Conciliacion de compuestos'!$D$2:$D$48,"conciliado",'Conciliacion de compuestos'!$E$2:$E$48,"OK",'Conciliacion de compuestos'!$L$2:$L$48,A1428))&gt;0,"conciliado en compuesto confirmado","disponible")</f>
        <v/>
      </c>
    </row>
    <row r="1429">
      <c r="A1429" s="11" t="n">
        <v>1443</v>
      </c>
      <c r="B1429" s="12" t="n">
        <v>46015</v>
      </c>
      <c r="C1429" s="11" t="inlineStr">
        <is>
          <t>a financiero gravamen movimiento</t>
        </is>
      </c>
      <c r="D1429" s="13" t="n">
        <v>-2</v>
      </c>
      <c r="E1429" s="11">
        <f>IF(SUM(COUNTIFS('Conciliacion de compuestos'!$D$2:$D$48,"conciliado",'Conciliacion de compuestos'!$E$2:$E$48,"OK",'Conciliacion de compuestos'!$J$2:$J$48,A1429),COUNTIFS('Conciliacion de compuestos'!$D$2:$D$48,"conciliado",'Conciliacion de compuestos'!$E$2:$E$48,"OK",'Conciliacion de compuestos'!$K$2:$K$48,A1429),COUNTIFS('Conciliacion de compuestos'!$D$2:$D$48,"conciliado",'Conciliacion de compuestos'!$E$2:$E$48,"OK",'Conciliacion de compuestos'!$L$2:$L$48,A1429))&gt;0,"conciliado en compuesto confirmado","disponible")</f>
        <v/>
      </c>
    </row>
    <row r="1430">
      <c r="A1430" s="11" t="n">
        <v>1444</v>
      </c>
      <c r="B1430" s="12" t="n">
        <v>46015</v>
      </c>
      <c r="C1430" s="11" t="inlineStr">
        <is>
          <t>credibanco d e retefuente voucher y</t>
        </is>
      </c>
      <c r="D1430" s="13" t="n">
        <v>-420</v>
      </c>
      <c r="E1430" s="11">
        <f>IF(SUM(COUNTIFS('Conciliacion de compuestos'!$D$2:$D$48,"conciliado",'Conciliacion de compuestos'!$E$2:$E$48,"OK",'Conciliacion de compuestos'!$J$2:$J$48,A1430),COUNTIFS('Conciliacion de compuestos'!$D$2:$D$48,"conciliado",'Conciliacion de compuestos'!$E$2:$E$48,"OK",'Conciliacion de compuestos'!$K$2:$K$48,A1430),COUNTIFS('Conciliacion de compuestos'!$D$2:$D$48,"conciliado",'Conciliacion de compuestos'!$E$2:$E$48,"OK",'Conciliacion de compuestos'!$L$2:$L$48,A1430))&gt;0,"conciliado en compuesto confirmado","disponible")</f>
        <v/>
      </c>
    </row>
    <row r="1431">
      <c r="A1431" s="11" t="n">
        <v>1445</v>
      </c>
      <c r="B1431" s="12" t="n">
        <v>46015</v>
      </c>
      <c r="C1431" s="11" t="inlineStr">
        <is>
          <t>a financiero gravamen movimiento</t>
        </is>
      </c>
      <c r="D1431" s="13" t="n">
        <v>-2</v>
      </c>
      <c r="E1431" s="11">
        <f>IF(SUM(COUNTIFS('Conciliacion de compuestos'!$D$2:$D$48,"conciliado",'Conciliacion de compuestos'!$E$2:$E$48,"OK",'Conciliacion de compuestos'!$J$2:$J$48,A1431),COUNTIFS('Conciliacion de compuestos'!$D$2:$D$48,"conciliado",'Conciliacion de compuestos'!$E$2:$E$48,"OK",'Conciliacion de compuestos'!$K$2:$K$48,A1431),COUNTIFS('Conciliacion de compuestos'!$D$2:$D$48,"conciliado",'Conciliacion de compuestos'!$E$2:$E$48,"OK",'Conciliacion de compuestos'!$L$2:$L$48,A1431))&gt;0,"conciliado en compuesto confirmado","disponible")</f>
        <v/>
      </c>
    </row>
    <row r="1432">
      <c r="A1432" s="11" t="n">
        <v>1446</v>
      </c>
      <c r="B1432" s="12" t="n">
        <v>46015</v>
      </c>
      <c r="C1432" s="11" t="inlineStr">
        <is>
          <t>consignacion credibanco d e</t>
        </is>
      </c>
      <c r="D1432" s="13" t="n">
        <v>28700</v>
      </c>
      <c r="E1432" s="11">
        <f>IF(SUM(COUNTIFS('Conciliacion de compuestos'!$D$2:$D$48,"conciliado",'Conciliacion de compuestos'!$E$2:$E$48,"OK",'Conciliacion de compuestos'!$J$2:$J$48,A1432),COUNTIFS('Conciliacion de compuestos'!$D$2:$D$48,"conciliado",'Conciliacion de compuestos'!$E$2:$E$48,"OK",'Conciliacion de compuestos'!$K$2:$K$48,A1432),COUNTIFS('Conciliacion de compuestos'!$D$2:$D$48,"conciliado",'Conciliacion de compuestos'!$E$2:$E$48,"OK",'Conciliacion de compuestos'!$L$2:$L$48,A1432))&gt;0,"conciliado en compuesto confirmado","disponible")</f>
        <v/>
      </c>
    </row>
    <row r="1433">
      <c r="A1433" s="11" t="n">
        <v>1447</v>
      </c>
      <c r="B1433" s="12" t="n">
        <v>46015</v>
      </c>
      <c r="C1433" s="11" t="inlineStr">
        <is>
          <t>cobro comision depositos electronicos</t>
        </is>
      </c>
      <c r="D1433" s="13" t="n">
        <v>-620</v>
      </c>
      <c r="E1433" s="11">
        <f>IF(SUM(COUNTIFS('Conciliacion de compuestos'!$D$2:$D$48,"conciliado",'Conciliacion de compuestos'!$E$2:$E$48,"OK",'Conciliacion de compuestos'!$J$2:$J$48,A1433),COUNTIFS('Conciliacion de compuestos'!$D$2:$D$48,"conciliado",'Conciliacion de compuestos'!$E$2:$E$48,"OK",'Conciliacion de compuestos'!$K$2:$K$48,A1433),COUNTIFS('Conciliacion de compuestos'!$D$2:$D$48,"conciliado",'Conciliacion de compuestos'!$E$2:$E$48,"OK",'Conciliacion de compuestos'!$L$2:$L$48,A1433))&gt;0,"conciliado en compuesto confirmado","disponible")</f>
        <v/>
      </c>
    </row>
    <row r="1434">
      <c r="A1434" s="11" t="n">
        <v>1448</v>
      </c>
      <c r="B1434" s="12" t="n">
        <v>46015</v>
      </c>
      <c r="C1434" s="11" t="inlineStr">
        <is>
          <t>a financiero gravamen movimiento</t>
        </is>
      </c>
      <c r="D1434" s="13" t="n">
        <v>-2</v>
      </c>
      <c r="E1434" s="11">
        <f>IF(SUM(COUNTIFS('Conciliacion de compuestos'!$D$2:$D$48,"conciliado",'Conciliacion de compuestos'!$E$2:$E$48,"OK",'Conciliacion de compuestos'!$J$2:$J$48,A1434),COUNTIFS('Conciliacion de compuestos'!$D$2:$D$48,"conciliado",'Conciliacion de compuestos'!$E$2:$E$48,"OK",'Conciliacion de compuestos'!$K$2:$K$48,A1434),COUNTIFS('Conciliacion de compuestos'!$D$2:$D$48,"conciliado",'Conciliacion de compuestos'!$E$2:$E$48,"OK",'Conciliacion de compuestos'!$L$2:$L$48,A1434))&gt;0,"conciliado en compuesto confirmado","disponible")</f>
        <v/>
      </c>
    </row>
    <row r="1435">
      <c r="A1435" s="11" t="n">
        <v>1449</v>
      </c>
      <c r="B1435" s="12" t="n">
        <v>46015</v>
      </c>
      <c r="C1435" s="11" t="inlineStr">
        <is>
          <t>credibanco d e retefuente voucher y</t>
        </is>
      </c>
      <c r="D1435" s="13" t="n">
        <v>-431</v>
      </c>
      <c r="E1435" s="11">
        <f>IF(SUM(COUNTIFS('Conciliacion de compuestos'!$D$2:$D$48,"conciliado",'Conciliacion de compuestos'!$E$2:$E$48,"OK",'Conciliacion de compuestos'!$J$2:$J$48,A1435),COUNTIFS('Conciliacion de compuestos'!$D$2:$D$48,"conciliado",'Conciliacion de compuestos'!$E$2:$E$48,"OK",'Conciliacion de compuestos'!$K$2:$K$48,A1435),COUNTIFS('Conciliacion de compuestos'!$D$2:$D$48,"conciliado",'Conciliacion de compuestos'!$E$2:$E$48,"OK",'Conciliacion de compuestos'!$L$2:$L$48,A1435))&gt;0,"conciliado en compuesto confirmado","disponible")</f>
        <v/>
      </c>
    </row>
    <row r="1436">
      <c r="A1436" s="11" t="n">
        <v>1450</v>
      </c>
      <c r="B1436" s="12" t="n">
        <v>46015</v>
      </c>
      <c r="C1436" s="11" t="inlineStr">
        <is>
          <t>a financiero gravamen movimiento</t>
        </is>
      </c>
      <c r="D1436" s="13" t="n">
        <v>-2</v>
      </c>
      <c r="E1436" s="11">
        <f>IF(SUM(COUNTIFS('Conciliacion de compuestos'!$D$2:$D$48,"conciliado",'Conciliacion de compuestos'!$E$2:$E$48,"OK",'Conciliacion de compuestos'!$J$2:$J$48,A1436),COUNTIFS('Conciliacion de compuestos'!$D$2:$D$48,"conciliado",'Conciliacion de compuestos'!$E$2:$E$48,"OK",'Conciliacion de compuestos'!$K$2:$K$48,A1436),COUNTIFS('Conciliacion de compuestos'!$D$2:$D$48,"conciliado",'Conciliacion de compuestos'!$E$2:$E$48,"OK",'Conciliacion de compuestos'!$L$2:$L$48,A1436))&gt;0,"conciliado en compuesto confirmado","disponible")</f>
        <v/>
      </c>
    </row>
    <row r="1437">
      <c r="A1437" s="11" t="n">
        <v>1451</v>
      </c>
      <c r="B1437" s="12" t="n">
        <v>46015</v>
      </c>
      <c r="C1437" s="11" t="inlineStr">
        <is>
          <t>consignacion credibanco d e</t>
        </is>
      </c>
      <c r="D1437" s="13" t="n">
        <v>72718</v>
      </c>
      <c r="E1437" s="11">
        <f>IF(SUM(COUNTIFS('Conciliacion de compuestos'!$D$2:$D$48,"conciliado",'Conciliacion de compuestos'!$E$2:$E$48,"OK",'Conciliacion de compuestos'!$J$2:$J$48,A1437),COUNTIFS('Conciliacion de compuestos'!$D$2:$D$48,"conciliado",'Conciliacion de compuestos'!$E$2:$E$48,"OK",'Conciliacion de compuestos'!$K$2:$K$48,A1437),COUNTIFS('Conciliacion de compuestos'!$D$2:$D$48,"conciliado",'Conciliacion de compuestos'!$E$2:$E$48,"OK",'Conciliacion de compuestos'!$L$2:$L$48,A1437))&gt;0,"conciliado en compuesto confirmado","disponible")</f>
        <v/>
      </c>
    </row>
    <row r="1438">
      <c r="A1438" s="11" t="n">
        <v>1452</v>
      </c>
      <c r="B1438" s="12" t="n">
        <v>46015</v>
      </c>
      <c r="C1438" s="11" t="inlineStr">
        <is>
          <t>cobro comision depositos electronicos</t>
        </is>
      </c>
      <c r="D1438" s="13" t="n">
        <v>-1571</v>
      </c>
      <c r="E1438" s="11">
        <f>IF(SUM(COUNTIFS('Conciliacion de compuestos'!$D$2:$D$48,"conciliado",'Conciliacion de compuestos'!$E$2:$E$48,"OK",'Conciliacion de compuestos'!$J$2:$J$48,A1438),COUNTIFS('Conciliacion de compuestos'!$D$2:$D$48,"conciliado",'Conciliacion de compuestos'!$E$2:$E$48,"OK",'Conciliacion de compuestos'!$K$2:$K$48,A1438),COUNTIFS('Conciliacion de compuestos'!$D$2:$D$48,"conciliado",'Conciliacion de compuestos'!$E$2:$E$48,"OK",'Conciliacion de compuestos'!$L$2:$L$48,A1438))&gt;0,"conciliado en compuesto confirmado","disponible")</f>
        <v/>
      </c>
    </row>
    <row r="1439">
      <c r="A1439" s="11" t="n">
        <v>1453</v>
      </c>
      <c r="B1439" s="12" t="n">
        <v>46015</v>
      </c>
      <c r="C1439" s="11" t="inlineStr">
        <is>
          <t>a financiero gravamen movimiento</t>
        </is>
      </c>
      <c r="D1439" s="13" t="n">
        <v>-6</v>
      </c>
      <c r="E1439" s="11">
        <f>IF(SUM(COUNTIFS('Conciliacion de compuestos'!$D$2:$D$48,"conciliado",'Conciliacion de compuestos'!$E$2:$E$48,"OK",'Conciliacion de compuestos'!$J$2:$J$48,A1439),COUNTIFS('Conciliacion de compuestos'!$D$2:$D$48,"conciliado",'Conciliacion de compuestos'!$E$2:$E$48,"OK",'Conciliacion de compuestos'!$K$2:$K$48,A1439),COUNTIFS('Conciliacion de compuestos'!$D$2:$D$48,"conciliado",'Conciliacion de compuestos'!$E$2:$E$48,"OK",'Conciliacion de compuestos'!$L$2:$L$48,A1439))&gt;0,"conciliado en compuesto confirmado","disponible")</f>
        <v/>
      </c>
    </row>
    <row r="1440">
      <c r="A1440" s="11" t="n">
        <v>1454</v>
      </c>
      <c r="B1440" s="12" t="n">
        <v>46015</v>
      </c>
      <c r="C1440" s="11" t="inlineStr">
        <is>
          <t>credibanco d e retefuente voucher y</t>
        </is>
      </c>
      <c r="D1440" s="13" t="n">
        <v>-1091</v>
      </c>
      <c r="E1440" s="11">
        <f>IF(SUM(COUNTIFS('Conciliacion de compuestos'!$D$2:$D$48,"conciliado",'Conciliacion de compuestos'!$E$2:$E$48,"OK",'Conciliacion de compuestos'!$J$2:$J$48,A1440),COUNTIFS('Conciliacion de compuestos'!$D$2:$D$48,"conciliado",'Conciliacion de compuestos'!$E$2:$E$48,"OK",'Conciliacion de compuestos'!$K$2:$K$48,A1440),COUNTIFS('Conciliacion de compuestos'!$D$2:$D$48,"conciliado",'Conciliacion de compuestos'!$E$2:$E$48,"OK",'Conciliacion de compuestos'!$L$2:$L$48,A1440))&gt;0,"conciliado en compuesto confirmado","disponible")</f>
        <v/>
      </c>
    </row>
    <row r="1441">
      <c r="A1441" s="11" t="n">
        <v>1455</v>
      </c>
      <c r="B1441" s="12" t="n">
        <v>46015</v>
      </c>
      <c r="C1441" s="11" t="inlineStr">
        <is>
          <t>a financiero gravamen movimiento</t>
        </is>
      </c>
      <c r="D1441" s="13" t="n">
        <v>-4</v>
      </c>
      <c r="E1441" s="11">
        <f>IF(SUM(COUNTIFS('Conciliacion de compuestos'!$D$2:$D$48,"conciliado",'Conciliacion de compuestos'!$E$2:$E$48,"OK",'Conciliacion de compuestos'!$J$2:$J$48,A1441),COUNTIFS('Conciliacion de compuestos'!$D$2:$D$48,"conciliado",'Conciliacion de compuestos'!$E$2:$E$48,"OK",'Conciliacion de compuestos'!$K$2:$K$48,A1441),COUNTIFS('Conciliacion de compuestos'!$D$2:$D$48,"conciliado",'Conciliacion de compuestos'!$E$2:$E$48,"OK",'Conciliacion de compuestos'!$L$2:$L$48,A1441))&gt;0,"conciliado en compuesto confirmado","disponible")</f>
        <v/>
      </c>
    </row>
    <row r="1442">
      <c r="A1442" s="11" t="n">
        <v>1456</v>
      </c>
      <c r="B1442" s="12" t="n">
        <v>46015</v>
      </c>
      <c r="C1442" s="11" t="inlineStr">
        <is>
          <t>consignacion credibanco d e</t>
        </is>
      </c>
      <c r="D1442" s="13" t="n">
        <v>55850</v>
      </c>
      <c r="E1442" s="11">
        <f>IF(SUM(COUNTIFS('Conciliacion de compuestos'!$D$2:$D$48,"conciliado",'Conciliacion de compuestos'!$E$2:$E$48,"OK",'Conciliacion de compuestos'!$J$2:$J$48,A1442),COUNTIFS('Conciliacion de compuestos'!$D$2:$D$48,"conciliado",'Conciliacion de compuestos'!$E$2:$E$48,"OK",'Conciliacion de compuestos'!$K$2:$K$48,A1442),COUNTIFS('Conciliacion de compuestos'!$D$2:$D$48,"conciliado",'Conciliacion de compuestos'!$E$2:$E$48,"OK",'Conciliacion de compuestos'!$L$2:$L$48,A1442))&gt;0,"conciliado en compuesto confirmado","disponible")</f>
        <v/>
      </c>
    </row>
    <row r="1443">
      <c r="A1443" s="11" t="n">
        <v>1457</v>
      </c>
      <c r="B1443" s="12" t="n">
        <v>46015</v>
      </c>
      <c r="C1443" s="11" t="inlineStr">
        <is>
          <t>cobro comision depositos electronicos</t>
        </is>
      </c>
      <c r="D1443" s="13" t="n">
        <v>-1206</v>
      </c>
      <c r="E1443" s="11">
        <f>IF(SUM(COUNTIFS('Conciliacion de compuestos'!$D$2:$D$48,"conciliado",'Conciliacion de compuestos'!$E$2:$E$48,"OK",'Conciliacion de compuestos'!$J$2:$J$48,A1443),COUNTIFS('Conciliacion de compuestos'!$D$2:$D$48,"conciliado",'Conciliacion de compuestos'!$E$2:$E$48,"OK",'Conciliacion de compuestos'!$K$2:$K$48,A1443),COUNTIFS('Conciliacion de compuestos'!$D$2:$D$48,"conciliado",'Conciliacion de compuestos'!$E$2:$E$48,"OK",'Conciliacion de compuestos'!$L$2:$L$48,A1443))&gt;0,"conciliado en compuesto confirmado","disponible")</f>
        <v/>
      </c>
    </row>
    <row r="1444">
      <c r="A1444" s="11" t="n">
        <v>1458</v>
      </c>
      <c r="B1444" s="12" t="n">
        <v>46015</v>
      </c>
      <c r="C1444" s="11" t="inlineStr">
        <is>
          <t>a financiero gravamen movimiento</t>
        </is>
      </c>
      <c r="D1444" s="13" t="n">
        <v>-5</v>
      </c>
      <c r="E1444" s="11">
        <f>IF(SUM(COUNTIFS('Conciliacion de compuestos'!$D$2:$D$48,"conciliado",'Conciliacion de compuestos'!$E$2:$E$48,"OK",'Conciliacion de compuestos'!$J$2:$J$48,A1444),COUNTIFS('Conciliacion de compuestos'!$D$2:$D$48,"conciliado",'Conciliacion de compuestos'!$E$2:$E$48,"OK",'Conciliacion de compuestos'!$K$2:$K$48,A1444),COUNTIFS('Conciliacion de compuestos'!$D$2:$D$48,"conciliado",'Conciliacion de compuestos'!$E$2:$E$48,"OK",'Conciliacion de compuestos'!$L$2:$L$48,A1444))&gt;0,"conciliado en compuesto confirmado","disponible")</f>
        <v/>
      </c>
    </row>
    <row r="1445">
      <c r="A1445" s="11" t="n">
        <v>1459</v>
      </c>
      <c r="B1445" s="12" t="n">
        <v>46015</v>
      </c>
      <c r="C1445" s="11" t="inlineStr">
        <is>
          <t>credibanco d e retefuente voucher y</t>
        </is>
      </c>
      <c r="D1445" s="13" t="n">
        <v>-838</v>
      </c>
      <c r="E1445" s="11">
        <f>IF(SUM(COUNTIFS('Conciliacion de compuestos'!$D$2:$D$48,"conciliado",'Conciliacion de compuestos'!$E$2:$E$48,"OK",'Conciliacion de compuestos'!$J$2:$J$48,A1445),COUNTIFS('Conciliacion de compuestos'!$D$2:$D$48,"conciliado",'Conciliacion de compuestos'!$E$2:$E$48,"OK",'Conciliacion de compuestos'!$K$2:$K$48,A1445),COUNTIFS('Conciliacion de compuestos'!$D$2:$D$48,"conciliado",'Conciliacion de compuestos'!$E$2:$E$48,"OK",'Conciliacion de compuestos'!$L$2:$L$48,A1445))&gt;0,"conciliado en compuesto confirmado","disponible")</f>
        <v/>
      </c>
    </row>
    <row r="1446">
      <c r="A1446" s="11" t="n">
        <v>1460</v>
      </c>
      <c r="B1446" s="12" t="n">
        <v>46015</v>
      </c>
      <c r="C1446" s="11" t="inlineStr">
        <is>
          <t>a financiero gravamen movimiento</t>
        </is>
      </c>
      <c r="D1446" s="13" t="n">
        <v>-3</v>
      </c>
      <c r="E1446" s="11">
        <f>IF(SUM(COUNTIFS('Conciliacion de compuestos'!$D$2:$D$48,"conciliado",'Conciliacion de compuestos'!$E$2:$E$48,"OK",'Conciliacion de compuestos'!$J$2:$J$48,A1446),COUNTIFS('Conciliacion de compuestos'!$D$2:$D$48,"conciliado",'Conciliacion de compuestos'!$E$2:$E$48,"OK",'Conciliacion de compuestos'!$K$2:$K$48,A1446),COUNTIFS('Conciliacion de compuestos'!$D$2:$D$48,"conciliado",'Conciliacion de compuestos'!$E$2:$E$48,"OK",'Conciliacion de compuestos'!$L$2:$L$48,A1446))&gt;0,"conciliado en compuesto confirmado","disponible")</f>
        <v/>
      </c>
    </row>
    <row r="1447">
      <c r="A1447" s="11" t="n">
        <v>1461</v>
      </c>
      <c r="B1447" s="12" t="n">
        <v>46015</v>
      </c>
      <c r="C1447" s="11" t="inlineStr">
        <is>
          <t>consignacion credibanco d e</t>
        </is>
      </c>
      <c r="D1447" s="13" t="n">
        <v>20700</v>
      </c>
      <c r="E1447" s="11">
        <f>IF(SUM(COUNTIFS('Conciliacion de compuestos'!$D$2:$D$48,"conciliado",'Conciliacion de compuestos'!$E$2:$E$48,"OK",'Conciliacion de compuestos'!$J$2:$J$48,A1447),COUNTIFS('Conciliacion de compuestos'!$D$2:$D$48,"conciliado",'Conciliacion de compuestos'!$E$2:$E$48,"OK",'Conciliacion de compuestos'!$K$2:$K$48,A1447),COUNTIFS('Conciliacion de compuestos'!$D$2:$D$48,"conciliado",'Conciliacion de compuestos'!$E$2:$E$48,"OK",'Conciliacion de compuestos'!$L$2:$L$48,A1447))&gt;0,"conciliado en compuesto confirmado","disponible")</f>
        <v/>
      </c>
    </row>
    <row r="1448">
      <c r="A1448" s="11" t="n">
        <v>1462</v>
      </c>
      <c r="B1448" s="12" t="n">
        <v>46015</v>
      </c>
      <c r="C1448" s="11" t="inlineStr">
        <is>
          <t>cobro comision depositos electronicos</t>
        </is>
      </c>
      <c r="D1448" s="13" t="n">
        <v>-453</v>
      </c>
      <c r="E1448" s="11">
        <f>IF(SUM(COUNTIFS('Conciliacion de compuestos'!$D$2:$D$48,"conciliado",'Conciliacion de compuestos'!$E$2:$E$48,"OK",'Conciliacion de compuestos'!$J$2:$J$48,A1448),COUNTIFS('Conciliacion de compuestos'!$D$2:$D$48,"conciliado",'Conciliacion de compuestos'!$E$2:$E$48,"OK",'Conciliacion de compuestos'!$K$2:$K$48,A1448),COUNTIFS('Conciliacion de compuestos'!$D$2:$D$48,"conciliado",'Conciliacion de compuestos'!$E$2:$E$48,"OK",'Conciliacion de compuestos'!$L$2:$L$48,A1448))&gt;0,"conciliado en compuesto confirmado","disponible")</f>
        <v/>
      </c>
    </row>
    <row r="1449">
      <c r="A1449" s="11" t="n">
        <v>1463</v>
      </c>
      <c r="B1449" s="12" t="n">
        <v>46015</v>
      </c>
      <c r="C1449" s="11" t="inlineStr">
        <is>
          <t>a financiero gravamen movimiento</t>
        </is>
      </c>
      <c r="D1449" s="13" t="n">
        <v>-2</v>
      </c>
      <c r="E1449" s="11">
        <f>IF(SUM(COUNTIFS('Conciliacion de compuestos'!$D$2:$D$48,"conciliado",'Conciliacion de compuestos'!$E$2:$E$48,"OK",'Conciliacion de compuestos'!$J$2:$J$48,A1449),COUNTIFS('Conciliacion de compuestos'!$D$2:$D$48,"conciliado",'Conciliacion de compuestos'!$E$2:$E$48,"OK",'Conciliacion de compuestos'!$K$2:$K$48,A1449),COUNTIFS('Conciliacion de compuestos'!$D$2:$D$48,"conciliado",'Conciliacion de compuestos'!$E$2:$E$48,"OK",'Conciliacion de compuestos'!$L$2:$L$48,A1449))&gt;0,"conciliado en compuesto confirmado","disponible")</f>
        <v/>
      </c>
    </row>
    <row r="1450">
      <c r="A1450" s="11" t="n">
        <v>1464</v>
      </c>
      <c r="B1450" s="12" t="n">
        <v>46015</v>
      </c>
      <c r="C1450" s="11" t="inlineStr">
        <is>
          <t>credibanco d e retefuente voucher y</t>
        </is>
      </c>
      <c r="D1450" s="13" t="n">
        <v>-311</v>
      </c>
      <c r="E1450" s="11">
        <f>IF(SUM(COUNTIFS('Conciliacion de compuestos'!$D$2:$D$48,"conciliado",'Conciliacion de compuestos'!$E$2:$E$48,"OK",'Conciliacion de compuestos'!$J$2:$J$48,A1450),COUNTIFS('Conciliacion de compuestos'!$D$2:$D$48,"conciliado",'Conciliacion de compuestos'!$E$2:$E$48,"OK",'Conciliacion de compuestos'!$K$2:$K$48,A1450),COUNTIFS('Conciliacion de compuestos'!$D$2:$D$48,"conciliado",'Conciliacion de compuestos'!$E$2:$E$48,"OK",'Conciliacion de compuestos'!$L$2:$L$48,A1450))&gt;0,"conciliado en compuesto confirmado","disponible")</f>
        <v/>
      </c>
    </row>
    <row r="1451">
      <c r="A1451" s="11" t="n">
        <v>1465</v>
      </c>
      <c r="B1451" s="12" t="n">
        <v>46015</v>
      </c>
      <c r="C1451" s="11" t="inlineStr">
        <is>
          <t>a financiero gravamen movimiento</t>
        </is>
      </c>
      <c r="D1451" s="13" t="n">
        <v>-1</v>
      </c>
      <c r="E1451" s="11">
        <f>IF(SUM(COUNTIFS('Conciliacion de compuestos'!$D$2:$D$48,"conciliado",'Conciliacion de compuestos'!$E$2:$E$48,"OK",'Conciliacion de compuestos'!$J$2:$J$48,A1451),COUNTIFS('Conciliacion de compuestos'!$D$2:$D$48,"conciliado",'Conciliacion de compuestos'!$E$2:$E$48,"OK",'Conciliacion de compuestos'!$K$2:$K$48,A1451),COUNTIFS('Conciliacion de compuestos'!$D$2:$D$48,"conciliado",'Conciliacion de compuestos'!$E$2:$E$48,"OK",'Conciliacion de compuestos'!$L$2:$L$48,A1451))&gt;0,"conciliado en compuesto confirmado","disponible")</f>
        <v/>
      </c>
    </row>
    <row r="1452">
      <c r="A1452" s="11" t="n">
        <v>1466</v>
      </c>
      <c r="B1452" s="12" t="n">
        <v>46015</v>
      </c>
      <c r="C1452" s="11" t="inlineStr">
        <is>
          <t>consignacion credibanco d e</t>
        </is>
      </c>
      <c r="D1452" s="13" t="n">
        <v>23900</v>
      </c>
      <c r="E1452" s="11">
        <f>IF(SUM(COUNTIFS('Conciliacion de compuestos'!$D$2:$D$48,"conciliado",'Conciliacion de compuestos'!$E$2:$E$48,"OK",'Conciliacion de compuestos'!$J$2:$J$48,A1452),COUNTIFS('Conciliacion de compuestos'!$D$2:$D$48,"conciliado",'Conciliacion de compuestos'!$E$2:$E$48,"OK",'Conciliacion de compuestos'!$K$2:$K$48,A1452),COUNTIFS('Conciliacion de compuestos'!$D$2:$D$48,"conciliado",'Conciliacion de compuestos'!$E$2:$E$48,"OK",'Conciliacion de compuestos'!$L$2:$L$48,A1452))&gt;0,"conciliado en compuesto confirmado","disponible")</f>
        <v/>
      </c>
    </row>
    <row r="1453">
      <c r="A1453" s="11" t="n">
        <v>1467</v>
      </c>
      <c r="B1453" s="12" t="n">
        <v>46015</v>
      </c>
      <c r="C1453" s="11" t="inlineStr">
        <is>
          <t>cobro comision depositos electronicos</t>
        </is>
      </c>
      <c r="D1453" s="13" t="n">
        <v>-523</v>
      </c>
      <c r="E1453" s="11">
        <f>IF(SUM(COUNTIFS('Conciliacion de compuestos'!$D$2:$D$48,"conciliado",'Conciliacion de compuestos'!$E$2:$E$48,"OK",'Conciliacion de compuestos'!$J$2:$J$48,A1453),COUNTIFS('Conciliacion de compuestos'!$D$2:$D$48,"conciliado",'Conciliacion de compuestos'!$E$2:$E$48,"OK",'Conciliacion de compuestos'!$K$2:$K$48,A1453),COUNTIFS('Conciliacion de compuestos'!$D$2:$D$48,"conciliado",'Conciliacion de compuestos'!$E$2:$E$48,"OK",'Conciliacion de compuestos'!$L$2:$L$48,A1453))&gt;0,"conciliado en compuesto confirmado","disponible")</f>
        <v/>
      </c>
    </row>
    <row r="1454">
      <c r="A1454" s="11" t="n">
        <v>1468</v>
      </c>
      <c r="B1454" s="12" t="n">
        <v>46015</v>
      </c>
      <c r="C1454" s="11" t="inlineStr">
        <is>
          <t>a financiero gravamen movimiento</t>
        </is>
      </c>
      <c r="D1454" s="13" t="n">
        <v>-2</v>
      </c>
      <c r="E1454" s="11">
        <f>IF(SUM(COUNTIFS('Conciliacion de compuestos'!$D$2:$D$48,"conciliado",'Conciliacion de compuestos'!$E$2:$E$48,"OK",'Conciliacion de compuestos'!$J$2:$J$48,A1454),COUNTIFS('Conciliacion de compuestos'!$D$2:$D$48,"conciliado",'Conciliacion de compuestos'!$E$2:$E$48,"OK",'Conciliacion de compuestos'!$K$2:$K$48,A1454),COUNTIFS('Conciliacion de compuestos'!$D$2:$D$48,"conciliado",'Conciliacion de compuestos'!$E$2:$E$48,"OK",'Conciliacion de compuestos'!$L$2:$L$48,A1454))&gt;0,"conciliado en compuesto confirmado","disponible")</f>
        <v/>
      </c>
    </row>
    <row r="1455">
      <c r="A1455" s="11" t="n">
        <v>1469</v>
      </c>
      <c r="B1455" s="12" t="n">
        <v>46015</v>
      </c>
      <c r="C1455" s="11" t="inlineStr">
        <is>
          <t>credibanco d e retefuente voucher y</t>
        </is>
      </c>
      <c r="D1455" s="13" t="n">
        <v>-359</v>
      </c>
      <c r="E1455" s="11">
        <f>IF(SUM(COUNTIFS('Conciliacion de compuestos'!$D$2:$D$48,"conciliado",'Conciliacion de compuestos'!$E$2:$E$48,"OK",'Conciliacion de compuestos'!$J$2:$J$48,A1455),COUNTIFS('Conciliacion de compuestos'!$D$2:$D$48,"conciliado",'Conciliacion de compuestos'!$E$2:$E$48,"OK",'Conciliacion de compuestos'!$K$2:$K$48,A1455),COUNTIFS('Conciliacion de compuestos'!$D$2:$D$48,"conciliado",'Conciliacion de compuestos'!$E$2:$E$48,"OK",'Conciliacion de compuestos'!$L$2:$L$48,A1455))&gt;0,"conciliado en compuesto confirmado","disponible")</f>
        <v/>
      </c>
    </row>
    <row r="1456">
      <c r="A1456" s="11" t="n">
        <v>1470</v>
      </c>
      <c r="B1456" s="12" t="n">
        <v>46015</v>
      </c>
      <c r="C1456" s="11" t="inlineStr">
        <is>
          <t>a financiero gravamen movimiento</t>
        </is>
      </c>
      <c r="D1456" s="13" t="n">
        <v>-1</v>
      </c>
      <c r="E1456" s="11">
        <f>IF(SUM(COUNTIFS('Conciliacion de compuestos'!$D$2:$D$48,"conciliado",'Conciliacion de compuestos'!$E$2:$E$48,"OK",'Conciliacion de compuestos'!$J$2:$J$48,A1456),COUNTIFS('Conciliacion de compuestos'!$D$2:$D$48,"conciliado",'Conciliacion de compuestos'!$E$2:$E$48,"OK",'Conciliacion de compuestos'!$K$2:$K$48,A1456),COUNTIFS('Conciliacion de compuestos'!$D$2:$D$48,"conciliado",'Conciliacion de compuestos'!$E$2:$E$48,"OK",'Conciliacion de compuestos'!$L$2:$L$48,A1456))&gt;0,"conciliado en compuesto confirmado","disponible")</f>
        <v/>
      </c>
    </row>
    <row r="1457">
      <c r="A1457" s="11" t="n">
        <v>1471</v>
      </c>
      <c r="B1457" s="12" t="n">
        <v>46015</v>
      </c>
      <c r="C1457" s="11" t="inlineStr">
        <is>
          <t>consignacion credibanco d e</t>
        </is>
      </c>
      <c r="D1457" s="13" t="n">
        <v>59900</v>
      </c>
      <c r="E1457" s="11">
        <f>IF(SUM(COUNTIFS('Conciliacion de compuestos'!$D$2:$D$48,"conciliado",'Conciliacion de compuestos'!$E$2:$E$48,"OK",'Conciliacion de compuestos'!$J$2:$J$48,A1457),COUNTIFS('Conciliacion de compuestos'!$D$2:$D$48,"conciliado",'Conciliacion de compuestos'!$E$2:$E$48,"OK",'Conciliacion de compuestos'!$K$2:$K$48,A1457),COUNTIFS('Conciliacion de compuestos'!$D$2:$D$48,"conciliado",'Conciliacion de compuestos'!$E$2:$E$48,"OK",'Conciliacion de compuestos'!$L$2:$L$48,A1457))&gt;0,"conciliado en compuesto confirmado","disponible")</f>
        <v/>
      </c>
    </row>
    <row r="1458">
      <c r="A1458" s="11" t="n">
        <v>1472</v>
      </c>
      <c r="B1458" s="12" t="n">
        <v>46015</v>
      </c>
      <c r="C1458" s="11" t="inlineStr">
        <is>
          <t>cobro comision depositos electronicos</t>
        </is>
      </c>
      <c r="D1458" s="13" t="n">
        <v>-1312</v>
      </c>
      <c r="E1458" s="11">
        <f>IF(SUM(COUNTIFS('Conciliacion de compuestos'!$D$2:$D$48,"conciliado",'Conciliacion de compuestos'!$E$2:$E$48,"OK",'Conciliacion de compuestos'!$J$2:$J$48,A1458),COUNTIFS('Conciliacion de compuestos'!$D$2:$D$48,"conciliado",'Conciliacion de compuestos'!$E$2:$E$48,"OK",'Conciliacion de compuestos'!$K$2:$K$48,A1458),COUNTIFS('Conciliacion de compuestos'!$D$2:$D$48,"conciliado",'Conciliacion de compuestos'!$E$2:$E$48,"OK",'Conciliacion de compuestos'!$L$2:$L$48,A1458))&gt;0,"conciliado en compuesto confirmado","disponible")</f>
        <v/>
      </c>
    </row>
    <row r="1459">
      <c r="A1459" s="11" t="n">
        <v>1473</v>
      </c>
      <c r="B1459" s="12" t="n">
        <v>46015</v>
      </c>
      <c r="C1459" s="11" t="inlineStr">
        <is>
          <t>a financiero gravamen movimiento</t>
        </is>
      </c>
      <c r="D1459" s="13" t="n">
        <v>-5</v>
      </c>
      <c r="E1459" s="11">
        <f>IF(SUM(COUNTIFS('Conciliacion de compuestos'!$D$2:$D$48,"conciliado",'Conciliacion de compuestos'!$E$2:$E$48,"OK",'Conciliacion de compuestos'!$J$2:$J$48,A1459),COUNTIFS('Conciliacion de compuestos'!$D$2:$D$48,"conciliado",'Conciliacion de compuestos'!$E$2:$E$48,"OK",'Conciliacion de compuestos'!$K$2:$K$48,A1459),COUNTIFS('Conciliacion de compuestos'!$D$2:$D$48,"conciliado",'Conciliacion de compuestos'!$E$2:$E$48,"OK",'Conciliacion de compuestos'!$L$2:$L$48,A1459))&gt;0,"conciliado en compuesto confirmado","disponible")</f>
        <v/>
      </c>
    </row>
    <row r="1460">
      <c r="A1460" s="11" t="n">
        <v>1474</v>
      </c>
      <c r="B1460" s="12" t="n">
        <v>46015</v>
      </c>
      <c r="C1460" s="11" t="inlineStr">
        <is>
          <t>credibanco d e retefuente voucher y</t>
        </is>
      </c>
      <c r="D1460" s="13" t="n">
        <v>-899</v>
      </c>
      <c r="E1460" s="11">
        <f>IF(SUM(COUNTIFS('Conciliacion de compuestos'!$D$2:$D$48,"conciliado",'Conciliacion de compuestos'!$E$2:$E$48,"OK",'Conciliacion de compuestos'!$J$2:$J$48,A1460),COUNTIFS('Conciliacion de compuestos'!$D$2:$D$48,"conciliado",'Conciliacion de compuestos'!$E$2:$E$48,"OK",'Conciliacion de compuestos'!$K$2:$K$48,A1460),COUNTIFS('Conciliacion de compuestos'!$D$2:$D$48,"conciliado",'Conciliacion de compuestos'!$E$2:$E$48,"OK",'Conciliacion de compuestos'!$L$2:$L$48,A1460))&gt;0,"conciliado en compuesto confirmado","disponible")</f>
        <v/>
      </c>
    </row>
    <row r="1461">
      <c r="A1461" s="11" t="n">
        <v>1475</v>
      </c>
      <c r="B1461" s="12" t="n">
        <v>46015</v>
      </c>
      <c r="C1461" s="11" t="inlineStr">
        <is>
          <t>a financiero gravamen movimiento</t>
        </is>
      </c>
      <c r="D1461" s="13" t="n">
        <v>-4</v>
      </c>
      <c r="E1461" s="11">
        <f>IF(SUM(COUNTIFS('Conciliacion de compuestos'!$D$2:$D$48,"conciliado",'Conciliacion de compuestos'!$E$2:$E$48,"OK",'Conciliacion de compuestos'!$J$2:$J$48,A1461),COUNTIFS('Conciliacion de compuestos'!$D$2:$D$48,"conciliado",'Conciliacion de compuestos'!$E$2:$E$48,"OK",'Conciliacion de compuestos'!$K$2:$K$48,A1461),COUNTIFS('Conciliacion de compuestos'!$D$2:$D$48,"conciliado",'Conciliacion de compuestos'!$E$2:$E$48,"OK",'Conciliacion de compuestos'!$L$2:$L$48,A1461))&gt;0,"conciliado en compuesto confirmado","disponible")</f>
        <v/>
      </c>
    </row>
    <row r="1462">
      <c r="A1462" s="11" t="n">
        <v>1476</v>
      </c>
      <c r="B1462" s="12" t="n">
        <v>46015</v>
      </c>
      <c r="C1462" s="11" t="inlineStr">
        <is>
          <t>consignacion credibanco d e</t>
        </is>
      </c>
      <c r="D1462" s="13" t="n">
        <v>596400</v>
      </c>
      <c r="E1462" s="11">
        <f>IF(SUM(COUNTIFS('Conciliacion de compuestos'!$D$2:$D$48,"conciliado",'Conciliacion de compuestos'!$E$2:$E$48,"OK",'Conciliacion de compuestos'!$J$2:$J$48,A1462),COUNTIFS('Conciliacion de compuestos'!$D$2:$D$48,"conciliado",'Conciliacion de compuestos'!$E$2:$E$48,"OK",'Conciliacion de compuestos'!$K$2:$K$48,A1462),COUNTIFS('Conciliacion de compuestos'!$D$2:$D$48,"conciliado",'Conciliacion de compuestos'!$E$2:$E$48,"OK",'Conciliacion de compuestos'!$L$2:$L$48,A1462))&gt;0,"conciliado en compuesto confirmado","disponible")</f>
        <v/>
      </c>
    </row>
    <row r="1463">
      <c r="A1463" s="11" t="n">
        <v>1477</v>
      </c>
      <c r="B1463" s="12" t="n">
        <v>46015</v>
      </c>
      <c r="C1463" s="11" t="inlineStr">
        <is>
          <t>cobro comision depositos electronicos</t>
        </is>
      </c>
      <c r="D1463" s="13" t="n">
        <v>-13061</v>
      </c>
      <c r="E1463" s="11">
        <f>IF(SUM(COUNTIFS('Conciliacion de compuestos'!$D$2:$D$48,"conciliado",'Conciliacion de compuestos'!$E$2:$E$48,"OK",'Conciliacion de compuestos'!$J$2:$J$48,A1463),COUNTIFS('Conciliacion de compuestos'!$D$2:$D$48,"conciliado",'Conciliacion de compuestos'!$E$2:$E$48,"OK",'Conciliacion de compuestos'!$K$2:$K$48,A1463),COUNTIFS('Conciliacion de compuestos'!$D$2:$D$48,"conciliado",'Conciliacion de compuestos'!$E$2:$E$48,"OK",'Conciliacion de compuestos'!$L$2:$L$48,A1463))&gt;0,"conciliado en compuesto confirmado","disponible")</f>
        <v/>
      </c>
    </row>
    <row r="1464">
      <c r="A1464" s="11" t="n">
        <v>1478</v>
      </c>
      <c r="B1464" s="12" t="n">
        <v>46015</v>
      </c>
      <c r="C1464" s="11" t="inlineStr">
        <is>
          <t>a financiero gravamen movimiento</t>
        </is>
      </c>
      <c r="D1464" s="13" t="n">
        <v>-52</v>
      </c>
      <c r="E1464" s="11">
        <f>IF(SUM(COUNTIFS('Conciliacion de compuestos'!$D$2:$D$48,"conciliado",'Conciliacion de compuestos'!$E$2:$E$48,"OK",'Conciliacion de compuestos'!$J$2:$J$48,A1464),COUNTIFS('Conciliacion de compuestos'!$D$2:$D$48,"conciliado",'Conciliacion de compuestos'!$E$2:$E$48,"OK",'Conciliacion de compuestos'!$K$2:$K$48,A1464),COUNTIFS('Conciliacion de compuestos'!$D$2:$D$48,"conciliado",'Conciliacion de compuestos'!$E$2:$E$48,"OK",'Conciliacion de compuestos'!$L$2:$L$48,A1464))&gt;0,"conciliado en compuesto confirmado","disponible")</f>
        <v/>
      </c>
    </row>
    <row r="1465">
      <c r="A1465" s="11" t="n">
        <v>1479</v>
      </c>
      <c r="B1465" s="12" t="n">
        <v>46015</v>
      </c>
      <c r="C1465" s="11" t="inlineStr">
        <is>
          <t>credibanco d e retefuente voucher y</t>
        </is>
      </c>
      <c r="D1465" s="13" t="n">
        <v>-8946</v>
      </c>
      <c r="E1465" s="11">
        <f>IF(SUM(COUNTIFS('Conciliacion de compuestos'!$D$2:$D$48,"conciliado",'Conciliacion de compuestos'!$E$2:$E$48,"OK",'Conciliacion de compuestos'!$J$2:$J$48,A1465),COUNTIFS('Conciliacion de compuestos'!$D$2:$D$48,"conciliado",'Conciliacion de compuestos'!$E$2:$E$48,"OK",'Conciliacion de compuestos'!$K$2:$K$48,A1465),COUNTIFS('Conciliacion de compuestos'!$D$2:$D$48,"conciliado",'Conciliacion de compuestos'!$E$2:$E$48,"OK",'Conciliacion de compuestos'!$L$2:$L$48,A1465))&gt;0,"conciliado en compuesto confirmado","disponible")</f>
        <v/>
      </c>
    </row>
    <row r="1466">
      <c r="A1466" s="11" t="n">
        <v>1480</v>
      </c>
      <c r="B1466" s="12" t="n">
        <v>46015</v>
      </c>
      <c r="C1466" s="11" t="inlineStr">
        <is>
          <t>a financiero gravamen movimiento</t>
        </is>
      </c>
      <c r="D1466" s="13" t="n">
        <v>-36</v>
      </c>
      <c r="E1466" s="11">
        <f>IF(SUM(COUNTIFS('Conciliacion de compuestos'!$D$2:$D$48,"conciliado",'Conciliacion de compuestos'!$E$2:$E$48,"OK",'Conciliacion de compuestos'!$J$2:$J$48,A1466),COUNTIFS('Conciliacion de compuestos'!$D$2:$D$48,"conciliado",'Conciliacion de compuestos'!$E$2:$E$48,"OK",'Conciliacion de compuestos'!$K$2:$K$48,A1466),COUNTIFS('Conciliacion de compuestos'!$D$2:$D$48,"conciliado",'Conciliacion de compuestos'!$E$2:$E$48,"OK",'Conciliacion de compuestos'!$L$2:$L$48,A1466))&gt;0,"conciliado en compuesto confirmado","disponible")</f>
        <v/>
      </c>
    </row>
    <row r="1467">
      <c r="A1467" s="11" t="n">
        <v>1481</v>
      </c>
      <c r="B1467" s="12" t="n">
        <v>46015</v>
      </c>
      <c r="C1467" s="11" t="inlineStr">
        <is>
          <t>depositos electronicos masterca transaccion</t>
        </is>
      </c>
      <c r="D1467" s="13" t="n">
        <v>43500</v>
      </c>
      <c r="E1467" s="11">
        <f>IF(SUM(COUNTIFS('Conciliacion de compuestos'!$D$2:$D$48,"conciliado",'Conciliacion de compuestos'!$E$2:$E$48,"OK",'Conciliacion de compuestos'!$J$2:$J$48,A1467),COUNTIFS('Conciliacion de compuestos'!$D$2:$D$48,"conciliado",'Conciliacion de compuestos'!$E$2:$E$48,"OK",'Conciliacion de compuestos'!$K$2:$K$48,A1467),COUNTIFS('Conciliacion de compuestos'!$D$2:$D$48,"conciliado",'Conciliacion de compuestos'!$E$2:$E$48,"OK",'Conciliacion de compuestos'!$L$2:$L$48,A1467))&gt;0,"conciliado en compuesto confirmado","disponible")</f>
        <v/>
      </c>
    </row>
    <row r="1468">
      <c r="A1468" s="11" t="n">
        <v>1482</v>
      </c>
      <c r="B1468" s="12" t="n">
        <v>46015</v>
      </c>
      <c r="C1468" s="11" t="inlineStr">
        <is>
          <t>comision depositos electronicos mastercard</t>
        </is>
      </c>
      <c r="D1468" s="13" t="n">
        <v>-827</v>
      </c>
      <c r="E1468" s="11">
        <f>IF(SUM(COUNTIFS('Conciliacion de compuestos'!$D$2:$D$48,"conciliado",'Conciliacion de compuestos'!$E$2:$E$48,"OK",'Conciliacion de compuestos'!$J$2:$J$48,A1468),COUNTIFS('Conciliacion de compuestos'!$D$2:$D$48,"conciliado",'Conciliacion de compuestos'!$E$2:$E$48,"OK",'Conciliacion de compuestos'!$K$2:$K$48,A1468),COUNTIFS('Conciliacion de compuestos'!$D$2:$D$48,"conciliado",'Conciliacion de compuestos'!$E$2:$E$48,"OK",'Conciliacion de compuestos'!$L$2:$L$48,A1468))&gt;0,"conciliado en compuesto confirmado","disponible")</f>
        <v/>
      </c>
    </row>
    <row r="1469">
      <c r="A1469" s="11" t="n">
        <v>1483</v>
      </c>
      <c r="B1469" s="12" t="n">
        <v>46015</v>
      </c>
      <c r="C1469" s="11" t="inlineStr">
        <is>
          <t>a financiero gravamen movimiento</t>
        </is>
      </c>
      <c r="D1469" s="13" t="n">
        <v>-3</v>
      </c>
      <c r="E1469" s="11">
        <f>IF(SUM(COUNTIFS('Conciliacion de compuestos'!$D$2:$D$48,"conciliado",'Conciliacion de compuestos'!$E$2:$E$48,"OK",'Conciliacion de compuestos'!$J$2:$J$48,A1469),COUNTIFS('Conciliacion de compuestos'!$D$2:$D$48,"conciliado",'Conciliacion de compuestos'!$E$2:$E$48,"OK",'Conciliacion de compuestos'!$K$2:$K$48,A1469),COUNTIFS('Conciliacion de compuestos'!$D$2:$D$48,"conciliado",'Conciliacion de compuestos'!$E$2:$E$48,"OK",'Conciliacion de compuestos'!$L$2:$L$48,A1469))&gt;0,"conciliado en compuesto confirmado","disponible")</f>
        <v/>
      </c>
    </row>
    <row r="1470">
      <c r="A1470" s="11" t="n">
        <v>1484</v>
      </c>
      <c r="B1470" s="12" t="n">
        <v>46015</v>
      </c>
      <c r="C1470" s="11" t="inlineStr">
        <is>
          <t>depositos electronicos mastercar retefuente</t>
        </is>
      </c>
      <c r="D1470" s="13" t="n">
        <v>-653</v>
      </c>
      <c r="E1470" s="11">
        <f>IF(SUM(COUNTIFS('Conciliacion de compuestos'!$D$2:$D$48,"conciliado",'Conciliacion de compuestos'!$E$2:$E$48,"OK",'Conciliacion de compuestos'!$J$2:$J$48,A1470),COUNTIFS('Conciliacion de compuestos'!$D$2:$D$48,"conciliado",'Conciliacion de compuestos'!$E$2:$E$48,"OK",'Conciliacion de compuestos'!$K$2:$K$48,A1470),COUNTIFS('Conciliacion de compuestos'!$D$2:$D$48,"conciliado",'Conciliacion de compuestos'!$E$2:$E$48,"OK",'Conciliacion de compuestos'!$L$2:$L$48,A1470))&gt;0,"conciliado en compuesto confirmado","disponible")</f>
        <v/>
      </c>
    </row>
    <row r="1471">
      <c r="A1471" s="11" t="n">
        <v>1485</v>
      </c>
      <c r="B1471" s="12" t="n">
        <v>46015</v>
      </c>
      <c r="C1471" s="11" t="inlineStr">
        <is>
          <t>a financiero gravamen movimiento</t>
        </is>
      </c>
      <c r="D1471" s="13" t="n">
        <v>-3</v>
      </c>
      <c r="E1471" s="11">
        <f>IF(SUM(COUNTIFS('Conciliacion de compuestos'!$D$2:$D$48,"conciliado",'Conciliacion de compuestos'!$E$2:$E$48,"OK",'Conciliacion de compuestos'!$J$2:$J$48,A1471),COUNTIFS('Conciliacion de compuestos'!$D$2:$D$48,"conciliado",'Conciliacion de compuestos'!$E$2:$E$48,"OK",'Conciliacion de compuestos'!$K$2:$K$48,A1471),COUNTIFS('Conciliacion de compuestos'!$D$2:$D$48,"conciliado",'Conciliacion de compuestos'!$E$2:$E$48,"OK",'Conciliacion de compuestos'!$L$2:$L$48,A1471))&gt;0,"conciliado en compuesto confirmado","disponible")</f>
        <v/>
      </c>
    </row>
    <row r="1472">
      <c r="A1472" s="11" t="n">
        <v>1486</v>
      </c>
      <c r="B1472" s="12" t="n">
        <v>46015</v>
      </c>
      <c r="C1472" s="11" t="inlineStr">
        <is>
          <t>depositos electronicos masterca transaccion</t>
        </is>
      </c>
      <c r="D1472" s="13" t="n">
        <v>900000</v>
      </c>
      <c r="E1472" s="11">
        <f>IF(SUM(COUNTIFS('Conciliacion de compuestos'!$D$2:$D$48,"conciliado",'Conciliacion de compuestos'!$E$2:$E$48,"OK",'Conciliacion de compuestos'!$J$2:$J$48,A1472),COUNTIFS('Conciliacion de compuestos'!$D$2:$D$48,"conciliado",'Conciliacion de compuestos'!$E$2:$E$48,"OK",'Conciliacion de compuestos'!$K$2:$K$48,A1472),COUNTIFS('Conciliacion de compuestos'!$D$2:$D$48,"conciliado",'Conciliacion de compuestos'!$E$2:$E$48,"OK",'Conciliacion de compuestos'!$L$2:$L$48,A1472))&gt;0,"conciliado en compuesto confirmado","disponible")</f>
        <v/>
      </c>
    </row>
    <row r="1473">
      <c r="A1473" s="11" t="n">
        <v>1487</v>
      </c>
      <c r="B1473" s="12" t="n">
        <v>46015</v>
      </c>
      <c r="C1473" s="11" t="inlineStr">
        <is>
          <t>comision depositos electronicos mastercard</t>
        </is>
      </c>
      <c r="D1473" s="13" t="n">
        <v>-17100</v>
      </c>
      <c r="E1473" s="11">
        <f>IF(SUM(COUNTIFS('Conciliacion de compuestos'!$D$2:$D$48,"conciliado",'Conciliacion de compuestos'!$E$2:$E$48,"OK",'Conciliacion de compuestos'!$J$2:$J$48,A1473),COUNTIFS('Conciliacion de compuestos'!$D$2:$D$48,"conciliado",'Conciliacion de compuestos'!$E$2:$E$48,"OK",'Conciliacion de compuestos'!$K$2:$K$48,A1473),COUNTIFS('Conciliacion de compuestos'!$D$2:$D$48,"conciliado",'Conciliacion de compuestos'!$E$2:$E$48,"OK",'Conciliacion de compuestos'!$L$2:$L$48,A1473))&gt;0,"conciliado en compuesto confirmado","disponible")</f>
        <v/>
      </c>
    </row>
    <row r="1474">
      <c r="A1474" s="11" t="n">
        <v>1488</v>
      </c>
      <c r="B1474" s="12" t="n">
        <v>46015</v>
      </c>
      <c r="C1474" s="11" t="inlineStr">
        <is>
          <t>a financiero gravamen movimiento</t>
        </is>
      </c>
      <c r="D1474" s="13" t="n">
        <v>-68</v>
      </c>
      <c r="E1474" s="11">
        <f>IF(SUM(COUNTIFS('Conciliacion de compuestos'!$D$2:$D$48,"conciliado",'Conciliacion de compuestos'!$E$2:$E$48,"OK",'Conciliacion de compuestos'!$J$2:$J$48,A1474),COUNTIFS('Conciliacion de compuestos'!$D$2:$D$48,"conciliado",'Conciliacion de compuestos'!$E$2:$E$48,"OK",'Conciliacion de compuestos'!$K$2:$K$48,A1474),COUNTIFS('Conciliacion de compuestos'!$D$2:$D$48,"conciliado",'Conciliacion de compuestos'!$E$2:$E$48,"OK",'Conciliacion de compuestos'!$L$2:$L$48,A1474))&gt;0,"conciliado en compuesto confirmado","disponible")</f>
        <v/>
      </c>
    </row>
    <row r="1475">
      <c r="A1475" s="11" t="n">
        <v>1489</v>
      </c>
      <c r="B1475" s="12" t="n">
        <v>46015</v>
      </c>
      <c r="C1475" s="11" t="inlineStr">
        <is>
          <t>depositos electronicos mastercar retefuente</t>
        </is>
      </c>
      <c r="D1475" s="13" t="n">
        <v>-13500</v>
      </c>
      <c r="E1475" s="11">
        <f>IF(SUM(COUNTIFS('Conciliacion de compuestos'!$D$2:$D$48,"conciliado",'Conciliacion de compuestos'!$E$2:$E$48,"OK",'Conciliacion de compuestos'!$J$2:$J$48,A1475),COUNTIFS('Conciliacion de compuestos'!$D$2:$D$48,"conciliado",'Conciliacion de compuestos'!$E$2:$E$48,"OK",'Conciliacion de compuestos'!$K$2:$K$48,A1475),COUNTIFS('Conciliacion de compuestos'!$D$2:$D$48,"conciliado",'Conciliacion de compuestos'!$E$2:$E$48,"OK",'Conciliacion de compuestos'!$L$2:$L$48,A1475))&gt;0,"conciliado en compuesto confirmado","disponible")</f>
        <v/>
      </c>
    </row>
    <row r="1476">
      <c r="A1476" s="11" t="n">
        <v>1490</v>
      </c>
      <c r="B1476" s="12" t="n">
        <v>46015</v>
      </c>
      <c r="C1476" s="11" t="inlineStr">
        <is>
          <t>a financiero gravamen movimiento</t>
        </is>
      </c>
      <c r="D1476" s="13" t="n">
        <v>-54</v>
      </c>
      <c r="E1476" s="11">
        <f>IF(SUM(COUNTIFS('Conciliacion de compuestos'!$D$2:$D$48,"conciliado",'Conciliacion de compuestos'!$E$2:$E$48,"OK",'Conciliacion de compuestos'!$J$2:$J$48,A1476),COUNTIFS('Conciliacion de compuestos'!$D$2:$D$48,"conciliado",'Conciliacion de compuestos'!$E$2:$E$48,"OK",'Conciliacion de compuestos'!$K$2:$K$48,A1476),COUNTIFS('Conciliacion de compuestos'!$D$2:$D$48,"conciliado",'Conciliacion de compuestos'!$E$2:$E$48,"OK",'Conciliacion de compuestos'!$L$2:$L$48,A1476))&gt;0,"conciliado en compuesto confirmado","disponible")</f>
        <v/>
      </c>
    </row>
    <row r="1477">
      <c r="A1477" s="11" t="n">
        <v>1491</v>
      </c>
      <c r="B1477" s="12" t="n">
        <v>46015</v>
      </c>
      <c r="C1477" s="11" t="inlineStr">
        <is>
          <t>depositos electronicos masterca transaccion</t>
        </is>
      </c>
      <c r="D1477" s="13" t="n">
        <v>349900</v>
      </c>
      <c r="E1477" s="11">
        <f>IF(SUM(COUNTIFS('Conciliacion de compuestos'!$D$2:$D$48,"conciliado",'Conciliacion de compuestos'!$E$2:$E$48,"OK",'Conciliacion de compuestos'!$J$2:$J$48,A1477),COUNTIFS('Conciliacion de compuestos'!$D$2:$D$48,"conciliado",'Conciliacion de compuestos'!$E$2:$E$48,"OK",'Conciliacion de compuestos'!$K$2:$K$48,A1477),COUNTIFS('Conciliacion de compuestos'!$D$2:$D$48,"conciliado",'Conciliacion de compuestos'!$E$2:$E$48,"OK",'Conciliacion de compuestos'!$L$2:$L$48,A1477))&gt;0,"conciliado en compuesto confirmado","disponible")</f>
        <v/>
      </c>
    </row>
    <row r="1478">
      <c r="A1478" s="11" t="n">
        <v>1492</v>
      </c>
      <c r="B1478" s="12" t="n">
        <v>46015</v>
      </c>
      <c r="C1478" s="11" t="inlineStr">
        <is>
          <t>comision depositos electronicos mastercard</t>
        </is>
      </c>
      <c r="D1478" s="13" t="n">
        <v>-6648</v>
      </c>
      <c r="E1478" s="11">
        <f>IF(SUM(COUNTIFS('Conciliacion de compuestos'!$D$2:$D$48,"conciliado",'Conciliacion de compuestos'!$E$2:$E$48,"OK",'Conciliacion de compuestos'!$J$2:$J$48,A1478),COUNTIFS('Conciliacion de compuestos'!$D$2:$D$48,"conciliado",'Conciliacion de compuestos'!$E$2:$E$48,"OK",'Conciliacion de compuestos'!$K$2:$K$48,A1478),COUNTIFS('Conciliacion de compuestos'!$D$2:$D$48,"conciliado",'Conciliacion de compuestos'!$E$2:$E$48,"OK",'Conciliacion de compuestos'!$L$2:$L$48,A1478))&gt;0,"conciliado en compuesto confirmado","disponible")</f>
        <v/>
      </c>
    </row>
    <row r="1479">
      <c r="A1479" s="11" t="n">
        <v>1493</v>
      </c>
      <c r="B1479" s="12" t="n">
        <v>46015</v>
      </c>
      <c r="C1479" s="11" t="inlineStr">
        <is>
          <t>a financiero gravamen movimiento</t>
        </is>
      </c>
      <c r="D1479" s="13" t="n">
        <v>-27</v>
      </c>
      <c r="E1479" s="11">
        <f>IF(SUM(COUNTIFS('Conciliacion de compuestos'!$D$2:$D$48,"conciliado",'Conciliacion de compuestos'!$E$2:$E$48,"OK",'Conciliacion de compuestos'!$J$2:$J$48,A1479),COUNTIFS('Conciliacion de compuestos'!$D$2:$D$48,"conciliado",'Conciliacion de compuestos'!$E$2:$E$48,"OK",'Conciliacion de compuestos'!$K$2:$K$48,A1479),COUNTIFS('Conciliacion de compuestos'!$D$2:$D$48,"conciliado",'Conciliacion de compuestos'!$E$2:$E$48,"OK",'Conciliacion de compuestos'!$L$2:$L$48,A1479))&gt;0,"conciliado en compuesto confirmado","disponible")</f>
        <v/>
      </c>
    </row>
    <row r="1480">
      <c r="A1480" s="11" t="n">
        <v>1494</v>
      </c>
      <c r="B1480" s="12" t="n">
        <v>46015</v>
      </c>
      <c r="C1480" s="11" t="inlineStr">
        <is>
          <t>depositos electronicos mastercar retefuente</t>
        </is>
      </c>
      <c r="D1480" s="13" t="n">
        <v>-5249</v>
      </c>
      <c r="E1480" s="11">
        <f>IF(SUM(COUNTIFS('Conciliacion de compuestos'!$D$2:$D$48,"conciliado",'Conciliacion de compuestos'!$E$2:$E$48,"OK",'Conciliacion de compuestos'!$J$2:$J$48,A1480),COUNTIFS('Conciliacion de compuestos'!$D$2:$D$48,"conciliado",'Conciliacion de compuestos'!$E$2:$E$48,"OK",'Conciliacion de compuestos'!$K$2:$K$48,A1480),COUNTIFS('Conciliacion de compuestos'!$D$2:$D$48,"conciliado",'Conciliacion de compuestos'!$E$2:$E$48,"OK",'Conciliacion de compuestos'!$L$2:$L$48,A1480))&gt;0,"conciliado en compuesto confirmado","disponible")</f>
        <v/>
      </c>
    </row>
    <row r="1481">
      <c r="A1481" s="11" t="n">
        <v>1495</v>
      </c>
      <c r="B1481" s="12" t="n">
        <v>46015</v>
      </c>
      <c r="C1481" s="11" t="inlineStr">
        <is>
          <t>a financiero gravamen movimiento</t>
        </is>
      </c>
      <c r="D1481" s="13" t="n">
        <v>-21</v>
      </c>
      <c r="E1481" s="11">
        <f>IF(SUM(COUNTIFS('Conciliacion de compuestos'!$D$2:$D$48,"conciliado",'Conciliacion de compuestos'!$E$2:$E$48,"OK",'Conciliacion de compuestos'!$J$2:$J$48,A1481),COUNTIFS('Conciliacion de compuestos'!$D$2:$D$48,"conciliado",'Conciliacion de compuestos'!$E$2:$E$48,"OK",'Conciliacion de compuestos'!$K$2:$K$48,A1481),COUNTIFS('Conciliacion de compuestos'!$D$2:$D$48,"conciliado",'Conciliacion de compuestos'!$E$2:$E$48,"OK",'Conciliacion de compuestos'!$L$2:$L$48,A1481))&gt;0,"conciliado en compuesto confirmado","disponible")</f>
        <v/>
      </c>
    </row>
    <row r="1482">
      <c r="A1482" s="11" t="n">
        <v>1496</v>
      </c>
      <c r="B1482" s="12" t="n">
        <v>46017</v>
      </c>
      <c r="C1482" s="11" t="inlineStr">
        <is>
          <t>consignacion credibanco d e</t>
        </is>
      </c>
      <c r="D1482" s="13" t="n">
        <v>32500</v>
      </c>
      <c r="E1482" s="11">
        <f>IF(SUM(COUNTIFS('Conciliacion de compuestos'!$D$2:$D$48,"conciliado",'Conciliacion de compuestos'!$E$2:$E$48,"OK",'Conciliacion de compuestos'!$J$2:$J$48,A1482),COUNTIFS('Conciliacion de compuestos'!$D$2:$D$48,"conciliado",'Conciliacion de compuestos'!$E$2:$E$48,"OK",'Conciliacion de compuestos'!$K$2:$K$48,A1482),COUNTIFS('Conciliacion de compuestos'!$D$2:$D$48,"conciliado",'Conciliacion de compuestos'!$E$2:$E$48,"OK",'Conciliacion de compuestos'!$L$2:$L$48,A1482))&gt;0,"conciliado en compuesto confirmado","disponible")</f>
        <v/>
      </c>
    </row>
    <row r="1483">
      <c r="A1483" s="11" t="n">
        <v>1497</v>
      </c>
      <c r="B1483" s="12" t="n">
        <v>46017</v>
      </c>
      <c r="C1483" s="11" t="inlineStr">
        <is>
          <t>cobro comision depositos electronicos</t>
        </is>
      </c>
      <c r="D1483" s="13" t="n">
        <v>-670</v>
      </c>
      <c r="E1483" s="11">
        <f>IF(SUM(COUNTIFS('Conciliacion de compuestos'!$D$2:$D$48,"conciliado",'Conciliacion de compuestos'!$E$2:$E$48,"OK",'Conciliacion de compuestos'!$J$2:$J$48,A1483),COUNTIFS('Conciliacion de compuestos'!$D$2:$D$48,"conciliado",'Conciliacion de compuestos'!$E$2:$E$48,"OK",'Conciliacion de compuestos'!$K$2:$K$48,A1483),COUNTIFS('Conciliacion de compuestos'!$D$2:$D$48,"conciliado",'Conciliacion de compuestos'!$E$2:$E$48,"OK",'Conciliacion de compuestos'!$L$2:$L$48,A1483))&gt;0,"conciliado en compuesto confirmado","disponible")</f>
        <v/>
      </c>
    </row>
    <row r="1484">
      <c r="A1484" s="11" t="n">
        <v>1498</v>
      </c>
      <c r="B1484" s="12" t="n">
        <v>46017</v>
      </c>
      <c r="C1484" s="11" t="inlineStr">
        <is>
          <t>a financiero gravamen movimiento</t>
        </is>
      </c>
      <c r="D1484" s="13" t="n">
        <v>-3</v>
      </c>
      <c r="E1484" s="11">
        <f>IF(SUM(COUNTIFS('Conciliacion de compuestos'!$D$2:$D$48,"conciliado",'Conciliacion de compuestos'!$E$2:$E$48,"OK",'Conciliacion de compuestos'!$J$2:$J$48,A1484),COUNTIFS('Conciliacion de compuestos'!$D$2:$D$48,"conciliado",'Conciliacion de compuestos'!$E$2:$E$48,"OK",'Conciliacion de compuestos'!$K$2:$K$48,A1484),COUNTIFS('Conciliacion de compuestos'!$D$2:$D$48,"conciliado",'Conciliacion de compuestos'!$E$2:$E$48,"OK",'Conciliacion de compuestos'!$L$2:$L$48,A1484))&gt;0,"conciliado en compuesto confirmado","disponible")</f>
        <v/>
      </c>
    </row>
    <row r="1485">
      <c r="A1485" s="11" t="n">
        <v>1499</v>
      </c>
      <c r="B1485" s="12" t="n">
        <v>46017</v>
      </c>
      <c r="C1485" s="11" t="inlineStr">
        <is>
          <t>credibanco d e retefuente voucher y</t>
        </is>
      </c>
      <c r="D1485" s="13" t="n">
        <v>-488</v>
      </c>
      <c r="E1485" s="11">
        <f>IF(SUM(COUNTIFS('Conciliacion de compuestos'!$D$2:$D$48,"conciliado",'Conciliacion de compuestos'!$E$2:$E$48,"OK",'Conciliacion de compuestos'!$J$2:$J$48,A1485),COUNTIFS('Conciliacion de compuestos'!$D$2:$D$48,"conciliado",'Conciliacion de compuestos'!$E$2:$E$48,"OK",'Conciliacion de compuestos'!$K$2:$K$48,A1485),COUNTIFS('Conciliacion de compuestos'!$D$2:$D$48,"conciliado",'Conciliacion de compuestos'!$E$2:$E$48,"OK",'Conciliacion de compuestos'!$L$2:$L$48,A1485))&gt;0,"conciliado en compuesto confirmado","disponible")</f>
        <v/>
      </c>
    </row>
    <row r="1486">
      <c r="A1486" s="11" t="n">
        <v>1500</v>
      </c>
      <c r="B1486" s="12" t="n">
        <v>46017</v>
      </c>
      <c r="C1486" s="11" t="inlineStr">
        <is>
          <t>a financiero gravamen movimiento</t>
        </is>
      </c>
      <c r="D1486" s="13" t="n">
        <v>-2</v>
      </c>
      <c r="E1486" s="11">
        <f>IF(SUM(COUNTIFS('Conciliacion de compuestos'!$D$2:$D$48,"conciliado",'Conciliacion de compuestos'!$E$2:$E$48,"OK",'Conciliacion de compuestos'!$J$2:$J$48,A1486),COUNTIFS('Conciliacion de compuestos'!$D$2:$D$48,"conciliado",'Conciliacion de compuestos'!$E$2:$E$48,"OK",'Conciliacion de compuestos'!$K$2:$K$48,A1486),COUNTIFS('Conciliacion de compuestos'!$D$2:$D$48,"conciliado",'Conciliacion de compuestos'!$E$2:$E$48,"OK",'Conciliacion de compuestos'!$L$2:$L$48,A1486))&gt;0,"conciliado en compuesto confirmado","disponible")</f>
        <v/>
      </c>
    </row>
    <row r="1487">
      <c r="A1487" s="11" t="n">
        <v>1501</v>
      </c>
      <c r="B1487" s="12" t="n">
        <v>46017</v>
      </c>
      <c r="C1487" s="11" t="inlineStr">
        <is>
          <t>consignacion credibanco d e</t>
        </is>
      </c>
      <c r="D1487" s="13" t="n">
        <v>89500</v>
      </c>
      <c r="E1487" s="11">
        <f>IF(SUM(COUNTIFS('Conciliacion de compuestos'!$D$2:$D$48,"conciliado",'Conciliacion de compuestos'!$E$2:$E$48,"OK",'Conciliacion de compuestos'!$J$2:$J$48,A1487),COUNTIFS('Conciliacion de compuestos'!$D$2:$D$48,"conciliado",'Conciliacion de compuestos'!$E$2:$E$48,"OK",'Conciliacion de compuestos'!$K$2:$K$48,A1487),COUNTIFS('Conciliacion de compuestos'!$D$2:$D$48,"conciliado",'Conciliacion de compuestos'!$E$2:$E$48,"OK",'Conciliacion de compuestos'!$L$2:$L$48,A1487))&gt;0,"conciliado en compuesto confirmado","disponible")</f>
        <v/>
      </c>
    </row>
    <row r="1488">
      <c r="A1488" s="11" t="n">
        <v>1502</v>
      </c>
      <c r="B1488" s="12" t="n">
        <v>46017</v>
      </c>
      <c r="C1488" s="11" t="inlineStr">
        <is>
          <t>cobro comision depositos electronicos</t>
        </is>
      </c>
      <c r="D1488" s="13" t="n">
        <v>-725</v>
      </c>
      <c r="E1488" s="11">
        <f>IF(SUM(COUNTIFS('Conciliacion de compuestos'!$D$2:$D$48,"conciliado",'Conciliacion de compuestos'!$E$2:$E$48,"OK",'Conciliacion de compuestos'!$J$2:$J$48,A1488),COUNTIFS('Conciliacion de compuestos'!$D$2:$D$48,"conciliado",'Conciliacion de compuestos'!$E$2:$E$48,"OK",'Conciliacion de compuestos'!$K$2:$K$48,A1488),COUNTIFS('Conciliacion de compuestos'!$D$2:$D$48,"conciliado",'Conciliacion de compuestos'!$E$2:$E$48,"OK",'Conciliacion de compuestos'!$L$2:$L$48,A1488))&gt;0,"conciliado en compuesto confirmado","disponible")</f>
        <v/>
      </c>
    </row>
    <row r="1489">
      <c r="A1489" s="11" t="n">
        <v>1503</v>
      </c>
      <c r="B1489" s="12" t="n">
        <v>46017</v>
      </c>
      <c r="C1489" s="11" t="inlineStr">
        <is>
          <t>a financiero gravamen movimiento</t>
        </is>
      </c>
      <c r="D1489" s="13" t="n">
        <v>-3</v>
      </c>
      <c r="E1489" s="11">
        <f>IF(SUM(COUNTIFS('Conciliacion de compuestos'!$D$2:$D$48,"conciliado",'Conciliacion de compuestos'!$E$2:$E$48,"OK",'Conciliacion de compuestos'!$J$2:$J$48,A1489),COUNTIFS('Conciliacion de compuestos'!$D$2:$D$48,"conciliado",'Conciliacion de compuestos'!$E$2:$E$48,"OK",'Conciliacion de compuestos'!$K$2:$K$48,A1489),COUNTIFS('Conciliacion de compuestos'!$D$2:$D$48,"conciliado",'Conciliacion de compuestos'!$E$2:$E$48,"OK",'Conciliacion de compuestos'!$L$2:$L$48,A1489))&gt;0,"conciliado en compuesto confirmado","disponible")</f>
        <v/>
      </c>
    </row>
    <row r="1490">
      <c r="A1490" s="11" t="n">
        <v>1504</v>
      </c>
      <c r="B1490" s="12" t="n">
        <v>46017</v>
      </c>
      <c r="C1490" s="11" t="inlineStr">
        <is>
          <t>credibanco d e retefuente voucher y</t>
        </is>
      </c>
      <c r="D1490" s="13" t="n">
        <v>-1343</v>
      </c>
      <c r="E1490" s="11">
        <f>IF(SUM(COUNTIFS('Conciliacion de compuestos'!$D$2:$D$48,"conciliado",'Conciliacion de compuestos'!$E$2:$E$48,"OK",'Conciliacion de compuestos'!$J$2:$J$48,A1490),COUNTIFS('Conciliacion de compuestos'!$D$2:$D$48,"conciliado",'Conciliacion de compuestos'!$E$2:$E$48,"OK",'Conciliacion de compuestos'!$K$2:$K$48,A1490),COUNTIFS('Conciliacion de compuestos'!$D$2:$D$48,"conciliado",'Conciliacion de compuestos'!$E$2:$E$48,"OK",'Conciliacion de compuestos'!$L$2:$L$48,A1490))&gt;0,"conciliado en compuesto confirmado","disponible")</f>
        <v/>
      </c>
    </row>
    <row r="1491">
      <c r="A1491" s="11" t="n">
        <v>1505</v>
      </c>
      <c r="B1491" s="12" t="n">
        <v>46017</v>
      </c>
      <c r="C1491" s="11" t="inlineStr">
        <is>
          <t>a financiero gravamen movimiento</t>
        </is>
      </c>
      <c r="D1491" s="13" t="n">
        <v>-5</v>
      </c>
      <c r="E1491" s="11">
        <f>IF(SUM(COUNTIFS('Conciliacion de compuestos'!$D$2:$D$48,"conciliado",'Conciliacion de compuestos'!$E$2:$E$48,"OK",'Conciliacion de compuestos'!$J$2:$J$48,A1491),COUNTIFS('Conciliacion de compuestos'!$D$2:$D$48,"conciliado",'Conciliacion de compuestos'!$E$2:$E$48,"OK",'Conciliacion de compuestos'!$K$2:$K$48,A1491),COUNTIFS('Conciliacion de compuestos'!$D$2:$D$48,"conciliado",'Conciliacion de compuestos'!$E$2:$E$48,"OK",'Conciliacion de compuestos'!$L$2:$L$48,A1491))&gt;0,"conciliado en compuesto confirmado","disponible")</f>
        <v/>
      </c>
    </row>
    <row r="1492">
      <c r="A1492" s="11" t="n">
        <v>1506</v>
      </c>
      <c r="B1492" s="12" t="n">
        <v>46017</v>
      </c>
      <c r="C1492" s="11" t="inlineStr">
        <is>
          <t>consignacion credibanco d e</t>
        </is>
      </c>
      <c r="D1492" s="13" t="n">
        <v>46000</v>
      </c>
      <c r="E1492" s="11">
        <f>IF(SUM(COUNTIFS('Conciliacion de compuestos'!$D$2:$D$48,"conciliado",'Conciliacion de compuestos'!$E$2:$E$48,"OK",'Conciliacion de compuestos'!$J$2:$J$48,A1492),COUNTIFS('Conciliacion de compuestos'!$D$2:$D$48,"conciliado",'Conciliacion de compuestos'!$E$2:$E$48,"OK",'Conciliacion de compuestos'!$K$2:$K$48,A1492),COUNTIFS('Conciliacion de compuestos'!$D$2:$D$48,"conciliado",'Conciliacion de compuestos'!$E$2:$E$48,"OK",'Conciliacion de compuestos'!$L$2:$L$48,A1492))&gt;0,"conciliado en compuesto confirmado","disponible")</f>
        <v/>
      </c>
    </row>
    <row r="1493">
      <c r="A1493" s="11" t="n">
        <v>1507</v>
      </c>
      <c r="B1493" s="12" t="n">
        <v>46017</v>
      </c>
      <c r="C1493" s="11" t="inlineStr">
        <is>
          <t>cobro comision depositos electronicos</t>
        </is>
      </c>
      <c r="D1493" s="13" t="n">
        <v>-994</v>
      </c>
      <c r="E1493" s="11">
        <f>IF(SUM(COUNTIFS('Conciliacion de compuestos'!$D$2:$D$48,"conciliado",'Conciliacion de compuestos'!$E$2:$E$48,"OK",'Conciliacion de compuestos'!$J$2:$J$48,A1493),COUNTIFS('Conciliacion de compuestos'!$D$2:$D$48,"conciliado",'Conciliacion de compuestos'!$E$2:$E$48,"OK",'Conciliacion de compuestos'!$K$2:$K$48,A1493),COUNTIFS('Conciliacion de compuestos'!$D$2:$D$48,"conciliado",'Conciliacion de compuestos'!$E$2:$E$48,"OK",'Conciliacion de compuestos'!$L$2:$L$48,A1493))&gt;0,"conciliado en compuesto confirmado","disponible")</f>
        <v/>
      </c>
    </row>
    <row r="1494">
      <c r="A1494" s="11" t="n">
        <v>1508</v>
      </c>
      <c r="B1494" s="12" t="n">
        <v>46017</v>
      </c>
      <c r="C1494" s="11" t="inlineStr">
        <is>
          <t>a financiero gravamen movimiento</t>
        </is>
      </c>
      <c r="D1494" s="13" t="n">
        <v>-4</v>
      </c>
      <c r="E1494" s="11">
        <f>IF(SUM(COUNTIFS('Conciliacion de compuestos'!$D$2:$D$48,"conciliado",'Conciliacion de compuestos'!$E$2:$E$48,"OK",'Conciliacion de compuestos'!$J$2:$J$48,A1494),COUNTIFS('Conciliacion de compuestos'!$D$2:$D$48,"conciliado",'Conciliacion de compuestos'!$E$2:$E$48,"OK",'Conciliacion de compuestos'!$K$2:$K$48,A1494),COUNTIFS('Conciliacion de compuestos'!$D$2:$D$48,"conciliado",'Conciliacion de compuestos'!$E$2:$E$48,"OK",'Conciliacion de compuestos'!$L$2:$L$48,A1494))&gt;0,"conciliado en compuesto confirmado","disponible")</f>
        <v/>
      </c>
    </row>
    <row r="1495">
      <c r="A1495" s="11" t="n">
        <v>1509</v>
      </c>
      <c r="B1495" s="12" t="n">
        <v>46017</v>
      </c>
      <c r="C1495" s="11" t="inlineStr">
        <is>
          <t>credibanco d e retefuente voucher y</t>
        </is>
      </c>
      <c r="D1495" s="13" t="n">
        <v>-690</v>
      </c>
      <c r="E1495" s="11">
        <f>IF(SUM(COUNTIFS('Conciliacion de compuestos'!$D$2:$D$48,"conciliado",'Conciliacion de compuestos'!$E$2:$E$48,"OK",'Conciliacion de compuestos'!$J$2:$J$48,A1495),COUNTIFS('Conciliacion de compuestos'!$D$2:$D$48,"conciliado",'Conciliacion de compuestos'!$E$2:$E$48,"OK",'Conciliacion de compuestos'!$K$2:$K$48,A1495),COUNTIFS('Conciliacion de compuestos'!$D$2:$D$48,"conciliado",'Conciliacion de compuestos'!$E$2:$E$48,"OK",'Conciliacion de compuestos'!$L$2:$L$48,A1495))&gt;0,"conciliado en compuesto confirmado","disponible")</f>
        <v/>
      </c>
    </row>
    <row r="1496">
      <c r="A1496" s="11" t="n">
        <v>1510</v>
      </c>
      <c r="B1496" s="12" t="n">
        <v>46017</v>
      </c>
      <c r="C1496" s="11" t="inlineStr">
        <is>
          <t>a financiero gravamen movimiento</t>
        </is>
      </c>
      <c r="D1496" s="13" t="n">
        <v>-3</v>
      </c>
      <c r="E1496" s="11">
        <f>IF(SUM(COUNTIFS('Conciliacion de compuestos'!$D$2:$D$48,"conciliado",'Conciliacion de compuestos'!$E$2:$E$48,"OK",'Conciliacion de compuestos'!$J$2:$J$48,A1496),COUNTIFS('Conciliacion de compuestos'!$D$2:$D$48,"conciliado",'Conciliacion de compuestos'!$E$2:$E$48,"OK",'Conciliacion de compuestos'!$K$2:$K$48,A1496),COUNTIFS('Conciliacion de compuestos'!$D$2:$D$48,"conciliado",'Conciliacion de compuestos'!$E$2:$E$48,"OK",'Conciliacion de compuestos'!$L$2:$L$48,A1496))&gt;0,"conciliado en compuesto confirmado","disponible")</f>
        <v/>
      </c>
    </row>
    <row r="1497">
      <c r="A1497" s="11" t="n">
        <v>1511</v>
      </c>
      <c r="B1497" s="12" t="n">
        <v>46017</v>
      </c>
      <c r="C1497" s="11" t="inlineStr">
        <is>
          <t>consignacion credibanco d e</t>
        </is>
      </c>
      <c r="D1497" s="13" t="n">
        <v>42000</v>
      </c>
      <c r="E1497" s="11">
        <f>IF(SUM(COUNTIFS('Conciliacion de compuestos'!$D$2:$D$48,"conciliado",'Conciliacion de compuestos'!$E$2:$E$48,"OK",'Conciliacion de compuestos'!$J$2:$J$48,A1497),COUNTIFS('Conciliacion de compuestos'!$D$2:$D$48,"conciliado",'Conciliacion de compuestos'!$E$2:$E$48,"OK",'Conciliacion de compuestos'!$K$2:$K$48,A1497),COUNTIFS('Conciliacion de compuestos'!$D$2:$D$48,"conciliado",'Conciliacion de compuestos'!$E$2:$E$48,"OK",'Conciliacion de compuestos'!$L$2:$L$48,A1497))&gt;0,"conciliado en compuesto confirmado","disponible")</f>
        <v/>
      </c>
    </row>
    <row r="1498">
      <c r="A1498" s="11" t="n">
        <v>1512</v>
      </c>
      <c r="B1498" s="12" t="n">
        <v>46017</v>
      </c>
      <c r="C1498" s="11" t="inlineStr">
        <is>
          <t>cobro comision depositos electronicos</t>
        </is>
      </c>
      <c r="D1498" s="13" t="n">
        <v>-920</v>
      </c>
      <c r="E1498" s="11">
        <f>IF(SUM(COUNTIFS('Conciliacion de compuestos'!$D$2:$D$48,"conciliado",'Conciliacion de compuestos'!$E$2:$E$48,"OK",'Conciliacion de compuestos'!$J$2:$J$48,A1498),COUNTIFS('Conciliacion de compuestos'!$D$2:$D$48,"conciliado",'Conciliacion de compuestos'!$E$2:$E$48,"OK",'Conciliacion de compuestos'!$K$2:$K$48,A1498),COUNTIFS('Conciliacion de compuestos'!$D$2:$D$48,"conciliado",'Conciliacion de compuestos'!$E$2:$E$48,"OK",'Conciliacion de compuestos'!$L$2:$L$48,A1498))&gt;0,"conciliado en compuesto confirmado","disponible")</f>
        <v/>
      </c>
    </row>
    <row r="1499">
      <c r="A1499" s="11" t="n">
        <v>1513</v>
      </c>
      <c r="B1499" s="12" t="n">
        <v>46017</v>
      </c>
      <c r="C1499" s="11" t="inlineStr">
        <is>
          <t>a financiero gravamen movimiento</t>
        </is>
      </c>
      <c r="D1499" s="13" t="n">
        <v>-4</v>
      </c>
      <c r="E1499" s="11">
        <f>IF(SUM(COUNTIFS('Conciliacion de compuestos'!$D$2:$D$48,"conciliado",'Conciliacion de compuestos'!$E$2:$E$48,"OK",'Conciliacion de compuestos'!$J$2:$J$48,A1499),COUNTIFS('Conciliacion de compuestos'!$D$2:$D$48,"conciliado",'Conciliacion de compuestos'!$E$2:$E$48,"OK",'Conciliacion de compuestos'!$K$2:$K$48,A1499),COUNTIFS('Conciliacion de compuestos'!$D$2:$D$48,"conciliado",'Conciliacion de compuestos'!$E$2:$E$48,"OK",'Conciliacion de compuestos'!$L$2:$L$48,A1499))&gt;0,"conciliado en compuesto confirmado","disponible")</f>
        <v/>
      </c>
    </row>
    <row r="1500">
      <c r="A1500" s="11" t="n">
        <v>1514</v>
      </c>
      <c r="B1500" s="12" t="n">
        <v>46017</v>
      </c>
      <c r="C1500" s="11" t="inlineStr">
        <is>
          <t>credibanco d e retefuente voucher y</t>
        </is>
      </c>
      <c r="D1500" s="13" t="n">
        <v>-630</v>
      </c>
      <c r="E1500" s="11">
        <f>IF(SUM(COUNTIFS('Conciliacion de compuestos'!$D$2:$D$48,"conciliado",'Conciliacion de compuestos'!$E$2:$E$48,"OK",'Conciliacion de compuestos'!$J$2:$J$48,A1500),COUNTIFS('Conciliacion de compuestos'!$D$2:$D$48,"conciliado",'Conciliacion de compuestos'!$E$2:$E$48,"OK",'Conciliacion de compuestos'!$K$2:$K$48,A1500),COUNTIFS('Conciliacion de compuestos'!$D$2:$D$48,"conciliado",'Conciliacion de compuestos'!$E$2:$E$48,"OK",'Conciliacion de compuestos'!$L$2:$L$48,A1500))&gt;0,"conciliado en compuesto confirmado","disponible")</f>
        <v/>
      </c>
    </row>
    <row r="1501">
      <c r="A1501" s="11" t="n">
        <v>1515</v>
      </c>
      <c r="B1501" s="12" t="n">
        <v>46017</v>
      </c>
      <c r="C1501" s="11" t="inlineStr">
        <is>
          <t>a financiero gravamen movimiento</t>
        </is>
      </c>
      <c r="D1501" s="13" t="n">
        <v>-3</v>
      </c>
      <c r="E1501" s="11">
        <f>IF(SUM(COUNTIFS('Conciliacion de compuestos'!$D$2:$D$48,"conciliado",'Conciliacion de compuestos'!$E$2:$E$48,"OK",'Conciliacion de compuestos'!$J$2:$J$48,A1501),COUNTIFS('Conciliacion de compuestos'!$D$2:$D$48,"conciliado",'Conciliacion de compuestos'!$E$2:$E$48,"OK",'Conciliacion de compuestos'!$K$2:$K$48,A1501),COUNTIFS('Conciliacion de compuestos'!$D$2:$D$48,"conciliado",'Conciliacion de compuestos'!$E$2:$E$48,"OK",'Conciliacion de compuestos'!$L$2:$L$48,A1501))&gt;0,"conciliado en compuesto confirmado","disponible")</f>
        <v/>
      </c>
    </row>
    <row r="1502">
      <c r="A1502" s="11" t="n">
        <v>1516</v>
      </c>
      <c r="B1502" s="12" t="n">
        <v>46017</v>
      </c>
      <c r="C1502" s="11" t="inlineStr">
        <is>
          <t>consignacion credibanco d e</t>
        </is>
      </c>
      <c r="D1502" s="13" t="n">
        <v>21700</v>
      </c>
      <c r="E1502" s="11">
        <f>IF(SUM(COUNTIFS('Conciliacion de compuestos'!$D$2:$D$48,"conciliado",'Conciliacion de compuestos'!$E$2:$E$48,"OK",'Conciliacion de compuestos'!$J$2:$J$48,A1502),COUNTIFS('Conciliacion de compuestos'!$D$2:$D$48,"conciliado",'Conciliacion de compuestos'!$E$2:$E$48,"OK",'Conciliacion de compuestos'!$K$2:$K$48,A1502),COUNTIFS('Conciliacion de compuestos'!$D$2:$D$48,"conciliado",'Conciliacion de compuestos'!$E$2:$E$48,"OK",'Conciliacion de compuestos'!$L$2:$L$48,A1502))&gt;0,"conciliado en compuesto confirmado","disponible")</f>
        <v/>
      </c>
    </row>
    <row r="1503">
      <c r="A1503" s="11" t="n">
        <v>1517</v>
      </c>
      <c r="B1503" s="12" t="n">
        <v>46017</v>
      </c>
      <c r="C1503" s="11" t="inlineStr">
        <is>
          <t>cobro comision depositos electronicos</t>
        </is>
      </c>
      <c r="D1503" s="13" t="n">
        <v>-475</v>
      </c>
      <c r="E1503" s="11">
        <f>IF(SUM(COUNTIFS('Conciliacion de compuestos'!$D$2:$D$48,"conciliado",'Conciliacion de compuestos'!$E$2:$E$48,"OK",'Conciliacion de compuestos'!$J$2:$J$48,A1503),COUNTIFS('Conciliacion de compuestos'!$D$2:$D$48,"conciliado",'Conciliacion de compuestos'!$E$2:$E$48,"OK",'Conciliacion de compuestos'!$K$2:$K$48,A1503),COUNTIFS('Conciliacion de compuestos'!$D$2:$D$48,"conciliado",'Conciliacion de compuestos'!$E$2:$E$48,"OK",'Conciliacion de compuestos'!$L$2:$L$48,A1503))&gt;0,"conciliado en compuesto confirmado","disponible")</f>
        <v/>
      </c>
    </row>
    <row r="1504">
      <c r="A1504" s="11" t="n">
        <v>1518</v>
      </c>
      <c r="B1504" s="12" t="n">
        <v>46017</v>
      </c>
      <c r="C1504" s="11" t="inlineStr">
        <is>
          <t>a financiero gravamen movimiento</t>
        </is>
      </c>
      <c r="D1504" s="13" t="n">
        <v>-2</v>
      </c>
      <c r="E1504" s="11">
        <f>IF(SUM(COUNTIFS('Conciliacion de compuestos'!$D$2:$D$48,"conciliado",'Conciliacion de compuestos'!$E$2:$E$48,"OK",'Conciliacion de compuestos'!$J$2:$J$48,A1504),COUNTIFS('Conciliacion de compuestos'!$D$2:$D$48,"conciliado",'Conciliacion de compuestos'!$E$2:$E$48,"OK",'Conciliacion de compuestos'!$K$2:$K$48,A1504),COUNTIFS('Conciliacion de compuestos'!$D$2:$D$48,"conciliado",'Conciliacion de compuestos'!$E$2:$E$48,"OK",'Conciliacion de compuestos'!$L$2:$L$48,A1504))&gt;0,"conciliado en compuesto confirmado","disponible")</f>
        <v/>
      </c>
    </row>
    <row r="1505">
      <c r="A1505" s="11" t="n">
        <v>1519</v>
      </c>
      <c r="B1505" s="12" t="n">
        <v>46017</v>
      </c>
      <c r="C1505" s="11" t="inlineStr">
        <is>
          <t>credibanco d e retefuente voucher y</t>
        </is>
      </c>
      <c r="D1505" s="13" t="n">
        <v>-326</v>
      </c>
      <c r="E1505" s="11">
        <f>IF(SUM(COUNTIFS('Conciliacion de compuestos'!$D$2:$D$48,"conciliado",'Conciliacion de compuestos'!$E$2:$E$48,"OK",'Conciliacion de compuestos'!$J$2:$J$48,A1505),COUNTIFS('Conciliacion de compuestos'!$D$2:$D$48,"conciliado",'Conciliacion de compuestos'!$E$2:$E$48,"OK",'Conciliacion de compuestos'!$K$2:$K$48,A1505),COUNTIFS('Conciliacion de compuestos'!$D$2:$D$48,"conciliado",'Conciliacion de compuestos'!$E$2:$E$48,"OK",'Conciliacion de compuestos'!$L$2:$L$48,A1505))&gt;0,"conciliado en compuesto confirmado","disponible")</f>
        <v/>
      </c>
    </row>
    <row r="1506">
      <c r="A1506" s="11" t="n">
        <v>1520</v>
      </c>
      <c r="B1506" s="12" t="n">
        <v>46017</v>
      </c>
      <c r="C1506" s="11" t="inlineStr">
        <is>
          <t>a financiero gravamen movimiento</t>
        </is>
      </c>
      <c r="D1506" s="13" t="n">
        <v>-1</v>
      </c>
      <c r="E1506" s="11">
        <f>IF(SUM(COUNTIFS('Conciliacion de compuestos'!$D$2:$D$48,"conciliado",'Conciliacion de compuestos'!$E$2:$E$48,"OK",'Conciliacion de compuestos'!$J$2:$J$48,A1506),COUNTIFS('Conciliacion de compuestos'!$D$2:$D$48,"conciliado",'Conciliacion de compuestos'!$E$2:$E$48,"OK",'Conciliacion de compuestos'!$K$2:$K$48,A1506),COUNTIFS('Conciliacion de compuestos'!$D$2:$D$48,"conciliado",'Conciliacion de compuestos'!$E$2:$E$48,"OK",'Conciliacion de compuestos'!$L$2:$L$48,A1506))&gt;0,"conciliado en compuesto confirmado","disponible")</f>
        <v/>
      </c>
    </row>
    <row r="1507">
      <c r="A1507" s="11" t="n">
        <v>1521</v>
      </c>
      <c r="B1507" s="12" t="n">
        <v>46017</v>
      </c>
      <c r="C1507" s="11" t="inlineStr">
        <is>
          <t>consignacion credibanco d e</t>
        </is>
      </c>
      <c r="D1507" s="13" t="n">
        <v>55000</v>
      </c>
      <c r="E1507" s="11">
        <f>IF(SUM(COUNTIFS('Conciliacion de compuestos'!$D$2:$D$48,"conciliado",'Conciliacion de compuestos'!$E$2:$E$48,"OK",'Conciliacion de compuestos'!$J$2:$J$48,A1507),COUNTIFS('Conciliacion de compuestos'!$D$2:$D$48,"conciliado",'Conciliacion de compuestos'!$E$2:$E$48,"OK",'Conciliacion de compuestos'!$K$2:$K$48,A1507),COUNTIFS('Conciliacion de compuestos'!$D$2:$D$48,"conciliado",'Conciliacion de compuestos'!$E$2:$E$48,"OK",'Conciliacion de compuestos'!$L$2:$L$48,A1507))&gt;0,"conciliado en compuesto confirmado","disponible")</f>
        <v/>
      </c>
    </row>
    <row r="1508">
      <c r="A1508" s="11" t="n">
        <v>1522</v>
      </c>
      <c r="B1508" s="12" t="n">
        <v>46017</v>
      </c>
      <c r="C1508" s="11" t="inlineStr">
        <is>
          <t>cobro comision depositos electronicos</t>
        </is>
      </c>
      <c r="D1508" s="13" t="n">
        <v>-446</v>
      </c>
      <c r="E1508" s="11">
        <f>IF(SUM(COUNTIFS('Conciliacion de compuestos'!$D$2:$D$48,"conciliado",'Conciliacion de compuestos'!$E$2:$E$48,"OK",'Conciliacion de compuestos'!$J$2:$J$48,A1508),COUNTIFS('Conciliacion de compuestos'!$D$2:$D$48,"conciliado",'Conciliacion de compuestos'!$E$2:$E$48,"OK",'Conciliacion de compuestos'!$K$2:$K$48,A1508),COUNTIFS('Conciliacion de compuestos'!$D$2:$D$48,"conciliado",'Conciliacion de compuestos'!$E$2:$E$48,"OK",'Conciliacion de compuestos'!$L$2:$L$48,A1508))&gt;0,"conciliado en compuesto confirmado","disponible")</f>
        <v/>
      </c>
    </row>
    <row r="1509">
      <c r="A1509" s="11" t="n">
        <v>1523</v>
      </c>
      <c r="B1509" s="12" t="n">
        <v>46017</v>
      </c>
      <c r="C1509" s="11" t="inlineStr">
        <is>
          <t>a financiero gravamen movimiento</t>
        </is>
      </c>
      <c r="D1509" s="13" t="n">
        <v>-2</v>
      </c>
      <c r="E1509" s="11">
        <f>IF(SUM(COUNTIFS('Conciliacion de compuestos'!$D$2:$D$48,"conciliado",'Conciliacion de compuestos'!$E$2:$E$48,"OK",'Conciliacion de compuestos'!$J$2:$J$48,A1509),COUNTIFS('Conciliacion de compuestos'!$D$2:$D$48,"conciliado",'Conciliacion de compuestos'!$E$2:$E$48,"OK",'Conciliacion de compuestos'!$K$2:$K$48,A1509),COUNTIFS('Conciliacion de compuestos'!$D$2:$D$48,"conciliado",'Conciliacion de compuestos'!$E$2:$E$48,"OK",'Conciliacion de compuestos'!$L$2:$L$48,A1509))&gt;0,"conciliado en compuesto confirmado","disponible")</f>
        <v/>
      </c>
    </row>
    <row r="1510">
      <c r="A1510" s="11" t="n">
        <v>1524</v>
      </c>
      <c r="B1510" s="12" t="n">
        <v>46017</v>
      </c>
      <c r="C1510" s="11" t="inlineStr">
        <is>
          <t>credibanco d e retefuente voucher y</t>
        </is>
      </c>
      <c r="D1510" s="13" t="n">
        <v>-825</v>
      </c>
      <c r="E1510" s="11">
        <f>IF(SUM(COUNTIFS('Conciliacion de compuestos'!$D$2:$D$48,"conciliado",'Conciliacion de compuestos'!$E$2:$E$48,"OK",'Conciliacion de compuestos'!$J$2:$J$48,A1510),COUNTIFS('Conciliacion de compuestos'!$D$2:$D$48,"conciliado",'Conciliacion de compuestos'!$E$2:$E$48,"OK",'Conciliacion de compuestos'!$K$2:$K$48,A1510),COUNTIFS('Conciliacion de compuestos'!$D$2:$D$48,"conciliado",'Conciliacion de compuestos'!$E$2:$E$48,"OK",'Conciliacion de compuestos'!$L$2:$L$48,A1510))&gt;0,"conciliado en compuesto confirmado","disponible")</f>
        <v/>
      </c>
    </row>
    <row r="1511">
      <c r="A1511" s="11" t="n">
        <v>1525</v>
      </c>
      <c r="B1511" s="12" t="n">
        <v>46017</v>
      </c>
      <c r="C1511" s="11" t="inlineStr">
        <is>
          <t>a financiero gravamen movimiento</t>
        </is>
      </c>
      <c r="D1511" s="13" t="n">
        <v>-3</v>
      </c>
      <c r="E1511" s="11">
        <f>IF(SUM(COUNTIFS('Conciliacion de compuestos'!$D$2:$D$48,"conciliado",'Conciliacion de compuestos'!$E$2:$E$48,"OK",'Conciliacion de compuestos'!$J$2:$J$48,A1511),COUNTIFS('Conciliacion de compuestos'!$D$2:$D$48,"conciliado",'Conciliacion de compuestos'!$E$2:$E$48,"OK",'Conciliacion de compuestos'!$K$2:$K$48,A1511),COUNTIFS('Conciliacion de compuestos'!$D$2:$D$48,"conciliado",'Conciliacion de compuestos'!$E$2:$E$48,"OK",'Conciliacion de compuestos'!$L$2:$L$48,A1511))&gt;0,"conciliado en compuesto confirmado","disponible")</f>
        <v/>
      </c>
    </row>
    <row r="1512">
      <c r="A1512" s="11" t="n">
        <v>1526</v>
      </c>
      <c r="B1512" s="12" t="n">
        <v>46017</v>
      </c>
      <c r="C1512" s="11" t="inlineStr">
        <is>
          <t>consignacion credibanco d e</t>
        </is>
      </c>
      <c r="D1512" s="13" t="n">
        <v>23700</v>
      </c>
      <c r="E1512" s="11">
        <f>IF(SUM(COUNTIFS('Conciliacion de compuestos'!$D$2:$D$48,"conciliado",'Conciliacion de compuestos'!$E$2:$E$48,"OK",'Conciliacion de compuestos'!$J$2:$J$48,A1512),COUNTIFS('Conciliacion de compuestos'!$D$2:$D$48,"conciliado",'Conciliacion de compuestos'!$E$2:$E$48,"OK",'Conciliacion de compuestos'!$K$2:$K$48,A1512),COUNTIFS('Conciliacion de compuestos'!$D$2:$D$48,"conciliado",'Conciliacion de compuestos'!$E$2:$E$48,"OK",'Conciliacion de compuestos'!$L$2:$L$48,A1512))&gt;0,"conciliado en compuesto confirmado","disponible")</f>
        <v/>
      </c>
    </row>
    <row r="1513">
      <c r="A1513" s="11" t="n">
        <v>1527</v>
      </c>
      <c r="B1513" s="12" t="n">
        <v>46017</v>
      </c>
      <c r="C1513" s="11" t="inlineStr">
        <is>
          <t>cobro comision depositos electronicos</t>
        </is>
      </c>
      <c r="D1513" s="13" t="n">
        <v>-488</v>
      </c>
      <c r="E1513" s="11">
        <f>IF(SUM(COUNTIFS('Conciliacion de compuestos'!$D$2:$D$48,"conciliado",'Conciliacion de compuestos'!$E$2:$E$48,"OK",'Conciliacion de compuestos'!$J$2:$J$48,A1513),COUNTIFS('Conciliacion de compuestos'!$D$2:$D$48,"conciliado",'Conciliacion de compuestos'!$E$2:$E$48,"OK",'Conciliacion de compuestos'!$K$2:$K$48,A1513),COUNTIFS('Conciliacion de compuestos'!$D$2:$D$48,"conciliado",'Conciliacion de compuestos'!$E$2:$E$48,"OK",'Conciliacion de compuestos'!$L$2:$L$48,A1513))&gt;0,"conciliado en compuesto confirmado","disponible")</f>
        <v/>
      </c>
    </row>
    <row r="1514">
      <c r="A1514" s="11" t="n">
        <v>1528</v>
      </c>
      <c r="B1514" s="12" t="n">
        <v>46017</v>
      </c>
      <c r="C1514" s="11" t="inlineStr">
        <is>
          <t>a financiero gravamen movimiento</t>
        </is>
      </c>
      <c r="D1514" s="13" t="n">
        <v>-2</v>
      </c>
      <c r="E1514" s="11">
        <f>IF(SUM(COUNTIFS('Conciliacion de compuestos'!$D$2:$D$48,"conciliado",'Conciliacion de compuestos'!$E$2:$E$48,"OK",'Conciliacion de compuestos'!$J$2:$J$48,A1514),COUNTIFS('Conciliacion de compuestos'!$D$2:$D$48,"conciliado",'Conciliacion de compuestos'!$E$2:$E$48,"OK",'Conciliacion de compuestos'!$K$2:$K$48,A1514),COUNTIFS('Conciliacion de compuestos'!$D$2:$D$48,"conciliado",'Conciliacion de compuestos'!$E$2:$E$48,"OK",'Conciliacion de compuestos'!$L$2:$L$48,A1514))&gt;0,"conciliado en compuesto confirmado","disponible")</f>
        <v/>
      </c>
    </row>
    <row r="1515">
      <c r="A1515" s="11" t="n">
        <v>1529</v>
      </c>
      <c r="B1515" s="12" t="n">
        <v>46017</v>
      </c>
      <c r="C1515" s="11" t="inlineStr">
        <is>
          <t>credibanco d e retefuente voucher y</t>
        </is>
      </c>
      <c r="D1515" s="13" t="n">
        <v>-356</v>
      </c>
      <c r="E1515" s="11">
        <f>IF(SUM(COUNTIFS('Conciliacion de compuestos'!$D$2:$D$48,"conciliado",'Conciliacion de compuestos'!$E$2:$E$48,"OK",'Conciliacion de compuestos'!$J$2:$J$48,A1515),COUNTIFS('Conciliacion de compuestos'!$D$2:$D$48,"conciliado",'Conciliacion de compuestos'!$E$2:$E$48,"OK",'Conciliacion de compuestos'!$K$2:$K$48,A1515),COUNTIFS('Conciliacion de compuestos'!$D$2:$D$48,"conciliado",'Conciliacion de compuestos'!$E$2:$E$48,"OK",'Conciliacion de compuestos'!$L$2:$L$48,A1515))&gt;0,"conciliado en compuesto confirmado","disponible")</f>
        <v/>
      </c>
    </row>
    <row r="1516">
      <c r="A1516" s="11" t="n">
        <v>1530</v>
      </c>
      <c r="B1516" s="12" t="n">
        <v>46017</v>
      </c>
      <c r="C1516" s="11" t="inlineStr">
        <is>
          <t>a financiero gravamen movimiento</t>
        </is>
      </c>
      <c r="D1516" s="13" t="n">
        <v>-1</v>
      </c>
      <c r="E1516" s="11">
        <f>IF(SUM(COUNTIFS('Conciliacion de compuestos'!$D$2:$D$48,"conciliado",'Conciliacion de compuestos'!$E$2:$E$48,"OK",'Conciliacion de compuestos'!$J$2:$J$48,A1516),COUNTIFS('Conciliacion de compuestos'!$D$2:$D$48,"conciliado",'Conciliacion de compuestos'!$E$2:$E$48,"OK",'Conciliacion de compuestos'!$K$2:$K$48,A1516),COUNTIFS('Conciliacion de compuestos'!$D$2:$D$48,"conciliado",'Conciliacion de compuestos'!$E$2:$E$48,"OK",'Conciliacion de compuestos'!$L$2:$L$48,A1516))&gt;0,"conciliado en compuesto confirmado","disponible")</f>
        <v/>
      </c>
    </row>
    <row r="1517">
      <c r="A1517" s="11" t="n">
        <v>1531</v>
      </c>
      <c r="B1517" s="12" t="n">
        <v>46017</v>
      </c>
      <c r="C1517" s="11" t="inlineStr">
        <is>
          <t>consignacion credibanco d e</t>
        </is>
      </c>
      <c r="D1517" s="13" t="n">
        <v>83800</v>
      </c>
      <c r="E1517" s="11">
        <f>IF(SUM(COUNTIFS('Conciliacion de compuestos'!$D$2:$D$48,"conciliado",'Conciliacion de compuestos'!$E$2:$E$48,"OK",'Conciliacion de compuestos'!$J$2:$J$48,A1517),COUNTIFS('Conciliacion de compuestos'!$D$2:$D$48,"conciliado",'Conciliacion de compuestos'!$E$2:$E$48,"OK",'Conciliacion de compuestos'!$K$2:$K$48,A1517),COUNTIFS('Conciliacion de compuestos'!$D$2:$D$48,"conciliado",'Conciliacion de compuestos'!$E$2:$E$48,"OK",'Conciliacion de compuestos'!$L$2:$L$48,A1517))&gt;0,"conciliado en compuesto confirmado","disponible")</f>
        <v/>
      </c>
    </row>
    <row r="1518">
      <c r="A1518" s="11" t="n">
        <v>1532</v>
      </c>
      <c r="B1518" s="12" t="n">
        <v>46017</v>
      </c>
      <c r="C1518" s="11" t="inlineStr">
        <is>
          <t>cobro comision depositos electronicos</t>
        </is>
      </c>
      <c r="D1518" s="13" t="n">
        <v>-1726</v>
      </c>
      <c r="E1518" s="11">
        <f>IF(SUM(COUNTIFS('Conciliacion de compuestos'!$D$2:$D$48,"conciliado",'Conciliacion de compuestos'!$E$2:$E$48,"OK",'Conciliacion de compuestos'!$J$2:$J$48,A1518),COUNTIFS('Conciliacion de compuestos'!$D$2:$D$48,"conciliado",'Conciliacion de compuestos'!$E$2:$E$48,"OK",'Conciliacion de compuestos'!$K$2:$K$48,A1518),COUNTIFS('Conciliacion de compuestos'!$D$2:$D$48,"conciliado",'Conciliacion de compuestos'!$E$2:$E$48,"OK",'Conciliacion de compuestos'!$L$2:$L$48,A1518))&gt;0,"conciliado en compuesto confirmado","disponible")</f>
        <v/>
      </c>
    </row>
    <row r="1519">
      <c r="A1519" s="11" t="n">
        <v>1533</v>
      </c>
      <c r="B1519" s="12" t="n">
        <v>46017</v>
      </c>
      <c r="C1519" s="11" t="inlineStr">
        <is>
          <t>a financiero gravamen movimiento</t>
        </is>
      </c>
      <c r="D1519" s="13" t="n">
        <v>-7</v>
      </c>
      <c r="E1519" s="11">
        <f>IF(SUM(COUNTIFS('Conciliacion de compuestos'!$D$2:$D$48,"conciliado",'Conciliacion de compuestos'!$E$2:$E$48,"OK",'Conciliacion de compuestos'!$J$2:$J$48,A1519),COUNTIFS('Conciliacion de compuestos'!$D$2:$D$48,"conciliado",'Conciliacion de compuestos'!$E$2:$E$48,"OK",'Conciliacion de compuestos'!$K$2:$K$48,A1519),COUNTIFS('Conciliacion de compuestos'!$D$2:$D$48,"conciliado",'Conciliacion de compuestos'!$E$2:$E$48,"OK",'Conciliacion de compuestos'!$L$2:$L$48,A1519))&gt;0,"conciliado en compuesto confirmado","disponible")</f>
        <v/>
      </c>
    </row>
    <row r="1520">
      <c r="A1520" s="11" t="n">
        <v>1534</v>
      </c>
      <c r="B1520" s="12" t="n">
        <v>46017</v>
      </c>
      <c r="C1520" s="11" t="inlineStr">
        <is>
          <t>credibanco d e retefuente voucher y</t>
        </is>
      </c>
      <c r="D1520" s="13" t="n">
        <v>-1257</v>
      </c>
      <c r="E1520" s="11">
        <f>IF(SUM(COUNTIFS('Conciliacion de compuestos'!$D$2:$D$48,"conciliado",'Conciliacion de compuestos'!$E$2:$E$48,"OK",'Conciliacion de compuestos'!$J$2:$J$48,A1520),COUNTIFS('Conciliacion de compuestos'!$D$2:$D$48,"conciliado",'Conciliacion de compuestos'!$E$2:$E$48,"OK",'Conciliacion de compuestos'!$K$2:$K$48,A1520),COUNTIFS('Conciliacion de compuestos'!$D$2:$D$48,"conciliado",'Conciliacion de compuestos'!$E$2:$E$48,"OK",'Conciliacion de compuestos'!$L$2:$L$48,A1520))&gt;0,"conciliado en compuesto confirmado","disponible")</f>
        <v/>
      </c>
    </row>
    <row r="1521">
      <c r="A1521" s="11" t="n">
        <v>1535</v>
      </c>
      <c r="B1521" s="12" t="n">
        <v>46017</v>
      </c>
      <c r="C1521" s="11" t="inlineStr">
        <is>
          <t>a financiero gravamen movimiento</t>
        </is>
      </c>
      <c r="D1521" s="13" t="n">
        <v>-5</v>
      </c>
      <c r="E1521" s="11">
        <f>IF(SUM(COUNTIFS('Conciliacion de compuestos'!$D$2:$D$48,"conciliado",'Conciliacion de compuestos'!$E$2:$E$48,"OK",'Conciliacion de compuestos'!$J$2:$J$48,A1521),COUNTIFS('Conciliacion de compuestos'!$D$2:$D$48,"conciliado",'Conciliacion de compuestos'!$E$2:$E$48,"OK",'Conciliacion de compuestos'!$K$2:$K$48,A1521),COUNTIFS('Conciliacion de compuestos'!$D$2:$D$48,"conciliado",'Conciliacion de compuestos'!$E$2:$E$48,"OK",'Conciliacion de compuestos'!$L$2:$L$48,A1521))&gt;0,"conciliado en compuesto confirmado","disponible")</f>
        <v/>
      </c>
    </row>
    <row r="1522">
      <c r="A1522" s="11" t="n">
        <v>1536</v>
      </c>
      <c r="B1522" s="12" t="n">
        <v>46017</v>
      </c>
      <c r="C1522" s="11" t="inlineStr">
        <is>
          <t>consignacion credibanco d e</t>
        </is>
      </c>
      <c r="D1522" s="13" t="n">
        <v>47600</v>
      </c>
      <c r="E1522" s="11">
        <f>IF(SUM(COUNTIFS('Conciliacion de compuestos'!$D$2:$D$48,"conciliado",'Conciliacion de compuestos'!$E$2:$E$48,"OK",'Conciliacion de compuestos'!$J$2:$J$48,A1522),COUNTIFS('Conciliacion de compuestos'!$D$2:$D$48,"conciliado",'Conciliacion de compuestos'!$E$2:$E$48,"OK",'Conciliacion de compuestos'!$K$2:$K$48,A1522),COUNTIFS('Conciliacion de compuestos'!$D$2:$D$48,"conciliado",'Conciliacion de compuestos'!$E$2:$E$48,"OK",'Conciliacion de compuestos'!$L$2:$L$48,A1522))&gt;0,"conciliado en compuesto confirmado","disponible")</f>
        <v/>
      </c>
    </row>
    <row r="1523">
      <c r="A1523" s="11" t="n">
        <v>1537</v>
      </c>
      <c r="B1523" s="12" t="n">
        <v>46017</v>
      </c>
      <c r="C1523" s="11" t="inlineStr">
        <is>
          <t>cobro comision depositos electronicos</t>
        </is>
      </c>
      <c r="D1523" s="13" t="n">
        <v>-981</v>
      </c>
      <c r="E1523" s="11">
        <f>IF(SUM(COUNTIFS('Conciliacion de compuestos'!$D$2:$D$48,"conciliado",'Conciliacion de compuestos'!$E$2:$E$48,"OK",'Conciliacion de compuestos'!$J$2:$J$48,A1523),COUNTIFS('Conciliacion de compuestos'!$D$2:$D$48,"conciliado",'Conciliacion de compuestos'!$E$2:$E$48,"OK",'Conciliacion de compuestos'!$K$2:$K$48,A1523),COUNTIFS('Conciliacion de compuestos'!$D$2:$D$48,"conciliado",'Conciliacion de compuestos'!$E$2:$E$48,"OK",'Conciliacion de compuestos'!$L$2:$L$48,A1523))&gt;0,"conciliado en compuesto confirmado","disponible")</f>
        <v/>
      </c>
    </row>
    <row r="1524">
      <c r="A1524" s="11" t="n">
        <v>1538</v>
      </c>
      <c r="B1524" s="12" t="n">
        <v>46017</v>
      </c>
      <c r="C1524" s="11" t="inlineStr">
        <is>
          <t>a financiero gravamen movimiento</t>
        </is>
      </c>
      <c r="D1524" s="13" t="n">
        <v>-4</v>
      </c>
      <c r="E1524" s="11">
        <f>IF(SUM(COUNTIFS('Conciliacion de compuestos'!$D$2:$D$48,"conciliado",'Conciliacion de compuestos'!$E$2:$E$48,"OK",'Conciliacion de compuestos'!$J$2:$J$48,A1524),COUNTIFS('Conciliacion de compuestos'!$D$2:$D$48,"conciliado",'Conciliacion de compuestos'!$E$2:$E$48,"OK",'Conciliacion de compuestos'!$K$2:$K$48,A1524),COUNTIFS('Conciliacion de compuestos'!$D$2:$D$48,"conciliado",'Conciliacion de compuestos'!$E$2:$E$48,"OK",'Conciliacion de compuestos'!$L$2:$L$48,A1524))&gt;0,"conciliado en compuesto confirmado","disponible")</f>
        <v/>
      </c>
    </row>
    <row r="1525">
      <c r="A1525" s="11" t="n">
        <v>1539</v>
      </c>
      <c r="B1525" s="12" t="n">
        <v>46017</v>
      </c>
      <c r="C1525" s="11" t="inlineStr">
        <is>
          <t>credibanco d e retefuente voucher y</t>
        </is>
      </c>
      <c r="D1525" s="13" t="n">
        <v>-714</v>
      </c>
      <c r="E1525" s="11">
        <f>IF(SUM(COUNTIFS('Conciliacion de compuestos'!$D$2:$D$48,"conciliado",'Conciliacion de compuestos'!$E$2:$E$48,"OK",'Conciliacion de compuestos'!$J$2:$J$48,A1525),COUNTIFS('Conciliacion de compuestos'!$D$2:$D$48,"conciliado",'Conciliacion de compuestos'!$E$2:$E$48,"OK",'Conciliacion de compuestos'!$K$2:$K$48,A1525),COUNTIFS('Conciliacion de compuestos'!$D$2:$D$48,"conciliado",'Conciliacion de compuestos'!$E$2:$E$48,"OK",'Conciliacion de compuestos'!$L$2:$L$48,A1525))&gt;0,"conciliado en compuesto confirmado","disponible")</f>
        <v/>
      </c>
    </row>
    <row r="1526">
      <c r="A1526" s="11" t="n">
        <v>1540</v>
      </c>
      <c r="B1526" s="12" t="n">
        <v>46017</v>
      </c>
      <c r="C1526" s="11" t="inlineStr">
        <is>
          <t>a financiero gravamen movimiento</t>
        </is>
      </c>
      <c r="D1526" s="13" t="n">
        <v>-3</v>
      </c>
      <c r="E1526" s="11">
        <f>IF(SUM(COUNTIFS('Conciliacion de compuestos'!$D$2:$D$48,"conciliado",'Conciliacion de compuestos'!$E$2:$E$48,"OK",'Conciliacion de compuestos'!$J$2:$J$48,A1526),COUNTIFS('Conciliacion de compuestos'!$D$2:$D$48,"conciliado",'Conciliacion de compuestos'!$E$2:$E$48,"OK",'Conciliacion de compuestos'!$K$2:$K$48,A1526),COUNTIFS('Conciliacion de compuestos'!$D$2:$D$48,"conciliado",'Conciliacion de compuestos'!$E$2:$E$48,"OK",'Conciliacion de compuestos'!$L$2:$L$48,A1526))&gt;0,"conciliado en compuesto confirmado","disponible")</f>
        <v/>
      </c>
    </row>
    <row r="1527">
      <c r="A1527" s="11" t="n">
        <v>1541</v>
      </c>
      <c r="B1527" s="12" t="n">
        <v>46017</v>
      </c>
      <c r="C1527" s="11" t="inlineStr">
        <is>
          <t>consignacion credibanco d e</t>
        </is>
      </c>
      <c r="D1527" s="13" t="n">
        <v>58300</v>
      </c>
      <c r="E1527" s="11">
        <f>IF(SUM(COUNTIFS('Conciliacion de compuestos'!$D$2:$D$48,"conciliado",'Conciliacion de compuestos'!$E$2:$E$48,"OK",'Conciliacion de compuestos'!$J$2:$J$48,A1527),COUNTIFS('Conciliacion de compuestos'!$D$2:$D$48,"conciliado",'Conciliacion de compuestos'!$E$2:$E$48,"OK",'Conciliacion de compuestos'!$K$2:$K$48,A1527),COUNTIFS('Conciliacion de compuestos'!$D$2:$D$48,"conciliado",'Conciliacion de compuestos'!$E$2:$E$48,"OK",'Conciliacion de compuestos'!$L$2:$L$48,A1527))&gt;0,"conciliado en compuesto confirmado","disponible")</f>
        <v/>
      </c>
    </row>
    <row r="1528">
      <c r="A1528" s="11" t="n">
        <v>1542</v>
      </c>
      <c r="B1528" s="12" t="n">
        <v>46017</v>
      </c>
      <c r="C1528" s="11" t="inlineStr">
        <is>
          <t>cobro comision depositos electronicos</t>
        </is>
      </c>
      <c r="D1528" s="13" t="n">
        <v>-1201</v>
      </c>
      <c r="E1528" s="11">
        <f>IF(SUM(COUNTIFS('Conciliacion de compuestos'!$D$2:$D$48,"conciliado",'Conciliacion de compuestos'!$E$2:$E$48,"OK",'Conciliacion de compuestos'!$J$2:$J$48,A1528),COUNTIFS('Conciliacion de compuestos'!$D$2:$D$48,"conciliado",'Conciliacion de compuestos'!$E$2:$E$48,"OK",'Conciliacion de compuestos'!$K$2:$K$48,A1528),COUNTIFS('Conciliacion de compuestos'!$D$2:$D$48,"conciliado",'Conciliacion de compuestos'!$E$2:$E$48,"OK",'Conciliacion de compuestos'!$L$2:$L$48,A1528))&gt;0,"conciliado en compuesto confirmado","disponible")</f>
        <v/>
      </c>
    </row>
    <row r="1529">
      <c r="A1529" s="11" t="n">
        <v>1543</v>
      </c>
      <c r="B1529" s="12" t="n">
        <v>46017</v>
      </c>
      <c r="C1529" s="11" t="inlineStr">
        <is>
          <t>a financiero gravamen movimiento</t>
        </is>
      </c>
      <c r="D1529" s="13" t="n">
        <v>-5</v>
      </c>
      <c r="E1529" s="11">
        <f>IF(SUM(COUNTIFS('Conciliacion de compuestos'!$D$2:$D$48,"conciliado",'Conciliacion de compuestos'!$E$2:$E$48,"OK",'Conciliacion de compuestos'!$J$2:$J$48,A1529),COUNTIFS('Conciliacion de compuestos'!$D$2:$D$48,"conciliado",'Conciliacion de compuestos'!$E$2:$E$48,"OK",'Conciliacion de compuestos'!$K$2:$K$48,A1529),COUNTIFS('Conciliacion de compuestos'!$D$2:$D$48,"conciliado",'Conciliacion de compuestos'!$E$2:$E$48,"OK",'Conciliacion de compuestos'!$L$2:$L$48,A1529))&gt;0,"conciliado en compuesto confirmado","disponible")</f>
        <v/>
      </c>
    </row>
    <row r="1530">
      <c r="A1530" s="11" t="n">
        <v>1544</v>
      </c>
      <c r="B1530" s="12" t="n">
        <v>46017</v>
      </c>
      <c r="C1530" s="11" t="inlineStr">
        <is>
          <t>credibanco d e retefuente voucher y</t>
        </is>
      </c>
      <c r="D1530" s="13" t="n">
        <v>-875</v>
      </c>
      <c r="E1530" s="11">
        <f>IF(SUM(COUNTIFS('Conciliacion de compuestos'!$D$2:$D$48,"conciliado",'Conciliacion de compuestos'!$E$2:$E$48,"OK",'Conciliacion de compuestos'!$J$2:$J$48,A1530),COUNTIFS('Conciliacion de compuestos'!$D$2:$D$48,"conciliado",'Conciliacion de compuestos'!$E$2:$E$48,"OK",'Conciliacion de compuestos'!$K$2:$K$48,A1530),COUNTIFS('Conciliacion de compuestos'!$D$2:$D$48,"conciliado",'Conciliacion de compuestos'!$E$2:$E$48,"OK",'Conciliacion de compuestos'!$L$2:$L$48,A1530))&gt;0,"conciliado en compuesto confirmado","disponible")</f>
        <v/>
      </c>
    </row>
    <row r="1531">
      <c r="A1531" s="11" t="n">
        <v>1545</v>
      </c>
      <c r="B1531" s="12" t="n">
        <v>46017</v>
      </c>
      <c r="C1531" s="11" t="inlineStr">
        <is>
          <t>a financiero gravamen movimiento</t>
        </is>
      </c>
      <c r="D1531" s="13" t="n">
        <v>-4</v>
      </c>
      <c r="E1531" s="11">
        <f>IF(SUM(COUNTIFS('Conciliacion de compuestos'!$D$2:$D$48,"conciliado",'Conciliacion de compuestos'!$E$2:$E$48,"OK",'Conciliacion de compuestos'!$J$2:$J$48,A1531),COUNTIFS('Conciliacion de compuestos'!$D$2:$D$48,"conciliado",'Conciliacion de compuestos'!$E$2:$E$48,"OK",'Conciliacion de compuestos'!$K$2:$K$48,A1531),COUNTIFS('Conciliacion de compuestos'!$D$2:$D$48,"conciliado",'Conciliacion de compuestos'!$E$2:$E$48,"OK",'Conciliacion de compuestos'!$L$2:$L$48,A1531))&gt;0,"conciliado en compuesto confirmado","disponible")</f>
        <v/>
      </c>
    </row>
    <row r="1532">
      <c r="A1532" s="11" t="n">
        <v>1546</v>
      </c>
      <c r="B1532" s="12" t="n">
        <v>46017</v>
      </c>
      <c r="C1532" s="11" t="inlineStr">
        <is>
          <t>consignacion credibanco d e</t>
        </is>
      </c>
      <c r="D1532" s="13" t="n">
        <v>20600</v>
      </c>
      <c r="E1532" s="11">
        <f>IF(SUM(COUNTIFS('Conciliacion de compuestos'!$D$2:$D$48,"conciliado",'Conciliacion de compuestos'!$E$2:$E$48,"OK",'Conciliacion de compuestos'!$J$2:$J$48,A1532),COUNTIFS('Conciliacion de compuestos'!$D$2:$D$48,"conciliado",'Conciliacion de compuestos'!$E$2:$E$48,"OK",'Conciliacion de compuestos'!$K$2:$K$48,A1532),COUNTIFS('Conciliacion de compuestos'!$D$2:$D$48,"conciliado",'Conciliacion de compuestos'!$E$2:$E$48,"OK",'Conciliacion de compuestos'!$L$2:$L$48,A1532))&gt;0,"conciliado en compuesto confirmado","disponible")</f>
        <v/>
      </c>
    </row>
    <row r="1533">
      <c r="A1533" s="11" t="n">
        <v>1547</v>
      </c>
      <c r="B1533" s="12" t="n">
        <v>46017</v>
      </c>
      <c r="C1533" s="11" t="inlineStr">
        <is>
          <t>cobro comision depositos electronicos</t>
        </is>
      </c>
      <c r="D1533" s="13" t="n">
        <v>-445</v>
      </c>
      <c r="E1533" s="11">
        <f>IF(SUM(COUNTIFS('Conciliacion de compuestos'!$D$2:$D$48,"conciliado",'Conciliacion de compuestos'!$E$2:$E$48,"OK",'Conciliacion de compuestos'!$J$2:$J$48,A1533),COUNTIFS('Conciliacion de compuestos'!$D$2:$D$48,"conciliado",'Conciliacion de compuestos'!$E$2:$E$48,"OK",'Conciliacion de compuestos'!$K$2:$K$48,A1533),COUNTIFS('Conciliacion de compuestos'!$D$2:$D$48,"conciliado",'Conciliacion de compuestos'!$E$2:$E$48,"OK",'Conciliacion de compuestos'!$L$2:$L$48,A1533))&gt;0,"conciliado en compuesto confirmado","disponible")</f>
        <v/>
      </c>
    </row>
    <row r="1534">
      <c r="A1534" s="11" t="n">
        <v>1548</v>
      </c>
      <c r="B1534" s="12" t="n">
        <v>46017</v>
      </c>
      <c r="C1534" s="11" t="inlineStr">
        <is>
          <t>a financiero gravamen movimiento</t>
        </is>
      </c>
      <c r="D1534" s="13" t="n">
        <v>-2</v>
      </c>
      <c r="E1534" s="11">
        <f>IF(SUM(COUNTIFS('Conciliacion de compuestos'!$D$2:$D$48,"conciliado",'Conciliacion de compuestos'!$E$2:$E$48,"OK",'Conciliacion de compuestos'!$J$2:$J$48,A1534),COUNTIFS('Conciliacion de compuestos'!$D$2:$D$48,"conciliado",'Conciliacion de compuestos'!$E$2:$E$48,"OK",'Conciliacion de compuestos'!$K$2:$K$48,A1534),COUNTIFS('Conciliacion de compuestos'!$D$2:$D$48,"conciliado",'Conciliacion de compuestos'!$E$2:$E$48,"OK",'Conciliacion de compuestos'!$L$2:$L$48,A1534))&gt;0,"conciliado en compuesto confirmado","disponible")</f>
        <v/>
      </c>
    </row>
    <row r="1535">
      <c r="A1535" s="11" t="n">
        <v>1549</v>
      </c>
      <c r="B1535" s="12" t="n">
        <v>46017</v>
      </c>
      <c r="C1535" s="11" t="inlineStr">
        <is>
          <t>credibanco d e retefuente voucher y</t>
        </is>
      </c>
      <c r="D1535" s="13" t="n">
        <v>-309</v>
      </c>
      <c r="E1535" s="11">
        <f>IF(SUM(COUNTIFS('Conciliacion de compuestos'!$D$2:$D$48,"conciliado",'Conciliacion de compuestos'!$E$2:$E$48,"OK",'Conciliacion de compuestos'!$J$2:$J$48,A1535),COUNTIFS('Conciliacion de compuestos'!$D$2:$D$48,"conciliado",'Conciliacion de compuestos'!$E$2:$E$48,"OK",'Conciliacion de compuestos'!$K$2:$K$48,A1535),COUNTIFS('Conciliacion de compuestos'!$D$2:$D$48,"conciliado",'Conciliacion de compuestos'!$E$2:$E$48,"OK",'Conciliacion de compuestos'!$L$2:$L$48,A1535))&gt;0,"conciliado en compuesto confirmado","disponible")</f>
        <v/>
      </c>
    </row>
    <row r="1536">
      <c r="A1536" s="11" t="n">
        <v>1550</v>
      </c>
      <c r="B1536" s="12" t="n">
        <v>46017</v>
      </c>
      <c r="C1536" s="11" t="inlineStr">
        <is>
          <t>a financiero gravamen movimiento</t>
        </is>
      </c>
      <c r="D1536" s="13" t="n">
        <v>-1</v>
      </c>
      <c r="E1536" s="11">
        <f>IF(SUM(COUNTIFS('Conciliacion de compuestos'!$D$2:$D$48,"conciliado",'Conciliacion de compuestos'!$E$2:$E$48,"OK",'Conciliacion de compuestos'!$J$2:$J$48,A1536),COUNTIFS('Conciliacion de compuestos'!$D$2:$D$48,"conciliado",'Conciliacion de compuestos'!$E$2:$E$48,"OK",'Conciliacion de compuestos'!$K$2:$K$48,A1536),COUNTIFS('Conciliacion de compuestos'!$D$2:$D$48,"conciliado",'Conciliacion de compuestos'!$E$2:$E$48,"OK",'Conciliacion de compuestos'!$L$2:$L$48,A1536))&gt;0,"conciliado en compuesto confirmado","disponible")</f>
        <v/>
      </c>
    </row>
    <row r="1537">
      <c r="A1537" s="11" t="n">
        <v>1551</v>
      </c>
      <c r="B1537" s="12" t="n">
        <v>46017</v>
      </c>
      <c r="C1537" s="11" t="inlineStr">
        <is>
          <t>consignacion credibanco d e</t>
        </is>
      </c>
      <c r="D1537" s="13" t="n">
        <v>84000</v>
      </c>
      <c r="E1537" s="11">
        <f>IF(SUM(COUNTIFS('Conciliacion de compuestos'!$D$2:$D$48,"conciliado",'Conciliacion de compuestos'!$E$2:$E$48,"OK",'Conciliacion de compuestos'!$J$2:$J$48,A1537),COUNTIFS('Conciliacion de compuestos'!$D$2:$D$48,"conciliado",'Conciliacion de compuestos'!$E$2:$E$48,"OK",'Conciliacion de compuestos'!$K$2:$K$48,A1537),COUNTIFS('Conciliacion de compuestos'!$D$2:$D$48,"conciliado",'Conciliacion de compuestos'!$E$2:$E$48,"OK",'Conciliacion de compuestos'!$L$2:$L$48,A1537))&gt;0,"conciliado en compuesto confirmado","disponible")</f>
        <v/>
      </c>
    </row>
    <row r="1538">
      <c r="A1538" s="11" t="n">
        <v>1552</v>
      </c>
      <c r="B1538" s="12" t="n">
        <v>46017</v>
      </c>
      <c r="C1538" s="11" t="inlineStr">
        <is>
          <t>cobro comision depositos electronicos</t>
        </is>
      </c>
      <c r="D1538" s="13" t="n">
        <v>-1814</v>
      </c>
      <c r="E1538" s="11">
        <f>IF(SUM(COUNTIFS('Conciliacion de compuestos'!$D$2:$D$48,"conciliado",'Conciliacion de compuestos'!$E$2:$E$48,"OK",'Conciliacion de compuestos'!$J$2:$J$48,A1538),COUNTIFS('Conciliacion de compuestos'!$D$2:$D$48,"conciliado",'Conciliacion de compuestos'!$E$2:$E$48,"OK",'Conciliacion de compuestos'!$K$2:$K$48,A1538),COUNTIFS('Conciliacion de compuestos'!$D$2:$D$48,"conciliado",'Conciliacion de compuestos'!$E$2:$E$48,"OK",'Conciliacion de compuestos'!$L$2:$L$48,A1538))&gt;0,"conciliado en compuesto confirmado","disponible")</f>
        <v/>
      </c>
    </row>
    <row r="1539">
      <c r="A1539" s="11" t="n">
        <v>1553</v>
      </c>
      <c r="B1539" s="12" t="n">
        <v>46017</v>
      </c>
      <c r="C1539" s="11" t="inlineStr">
        <is>
          <t>a financiero gravamen movimiento</t>
        </is>
      </c>
      <c r="D1539" s="13" t="n">
        <v>-7</v>
      </c>
      <c r="E1539" s="11">
        <f>IF(SUM(COUNTIFS('Conciliacion de compuestos'!$D$2:$D$48,"conciliado",'Conciliacion de compuestos'!$E$2:$E$48,"OK",'Conciliacion de compuestos'!$J$2:$J$48,A1539),COUNTIFS('Conciliacion de compuestos'!$D$2:$D$48,"conciliado",'Conciliacion de compuestos'!$E$2:$E$48,"OK",'Conciliacion de compuestos'!$K$2:$K$48,A1539),COUNTIFS('Conciliacion de compuestos'!$D$2:$D$48,"conciliado",'Conciliacion de compuestos'!$E$2:$E$48,"OK",'Conciliacion de compuestos'!$L$2:$L$48,A1539))&gt;0,"conciliado en compuesto confirmado","disponible")</f>
        <v/>
      </c>
    </row>
    <row r="1540">
      <c r="A1540" s="11" t="n">
        <v>1554</v>
      </c>
      <c r="B1540" s="12" t="n">
        <v>46017</v>
      </c>
      <c r="C1540" s="11" t="inlineStr">
        <is>
          <t>credibanco d e retefuente voucher y</t>
        </is>
      </c>
      <c r="D1540" s="13" t="n">
        <v>-1260</v>
      </c>
      <c r="E1540" s="11">
        <f>IF(SUM(COUNTIFS('Conciliacion de compuestos'!$D$2:$D$48,"conciliado",'Conciliacion de compuestos'!$E$2:$E$48,"OK",'Conciliacion de compuestos'!$J$2:$J$48,A1540),COUNTIFS('Conciliacion de compuestos'!$D$2:$D$48,"conciliado",'Conciliacion de compuestos'!$E$2:$E$48,"OK",'Conciliacion de compuestos'!$K$2:$K$48,A1540),COUNTIFS('Conciliacion de compuestos'!$D$2:$D$48,"conciliado",'Conciliacion de compuestos'!$E$2:$E$48,"OK",'Conciliacion de compuestos'!$L$2:$L$48,A1540))&gt;0,"conciliado en compuesto confirmado","disponible")</f>
        <v/>
      </c>
    </row>
    <row r="1541">
      <c r="A1541" s="11" t="n">
        <v>1555</v>
      </c>
      <c r="B1541" s="12" t="n">
        <v>46017</v>
      </c>
      <c r="C1541" s="11" t="inlineStr">
        <is>
          <t>a financiero gravamen movimiento</t>
        </is>
      </c>
      <c r="D1541" s="13" t="n">
        <v>-5</v>
      </c>
      <c r="E1541" s="11">
        <f>IF(SUM(COUNTIFS('Conciliacion de compuestos'!$D$2:$D$48,"conciliado",'Conciliacion de compuestos'!$E$2:$E$48,"OK",'Conciliacion de compuestos'!$J$2:$J$48,A1541),COUNTIFS('Conciliacion de compuestos'!$D$2:$D$48,"conciliado",'Conciliacion de compuestos'!$E$2:$E$48,"OK",'Conciliacion de compuestos'!$K$2:$K$48,A1541),COUNTIFS('Conciliacion de compuestos'!$D$2:$D$48,"conciliado",'Conciliacion de compuestos'!$E$2:$E$48,"OK",'Conciliacion de compuestos'!$L$2:$L$48,A1541))&gt;0,"conciliado en compuesto confirmado","disponible")</f>
        <v/>
      </c>
    </row>
    <row r="1542">
      <c r="A1542" s="11" t="n">
        <v>1556</v>
      </c>
      <c r="B1542" s="12" t="n">
        <v>46017</v>
      </c>
      <c r="C1542" s="11" t="inlineStr">
        <is>
          <t>consignacion credibanco d e</t>
        </is>
      </c>
      <c r="D1542" s="13" t="n">
        <v>23500</v>
      </c>
      <c r="E1542" s="11">
        <f>IF(SUM(COUNTIFS('Conciliacion de compuestos'!$D$2:$D$48,"conciliado",'Conciliacion de compuestos'!$E$2:$E$48,"OK",'Conciliacion de compuestos'!$J$2:$J$48,A1542),COUNTIFS('Conciliacion de compuestos'!$D$2:$D$48,"conciliado",'Conciliacion de compuestos'!$E$2:$E$48,"OK",'Conciliacion de compuestos'!$K$2:$K$48,A1542),COUNTIFS('Conciliacion de compuestos'!$D$2:$D$48,"conciliado",'Conciliacion de compuestos'!$E$2:$E$48,"OK",'Conciliacion de compuestos'!$L$2:$L$48,A1542))&gt;0,"conciliado en compuesto confirmado","disponible")</f>
        <v/>
      </c>
    </row>
    <row r="1543">
      <c r="A1543" s="11" t="n">
        <v>1557</v>
      </c>
      <c r="B1543" s="12" t="n">
        <v>46017</v>
      </c>
      <c r="C1543" s="11" t="inlineStr">
        <is>
          <t>cobro comision depositos electronicos</t>
        </is>
      </c>
      <c r="D1543" s="13" t="n">
        <v>-508</v>
      </c>
      <c r="E1543" s="11">
        <f>IF(SUM(COUNTIFS('Conciliacion de compuestos'!$D$2:$D$48,"conciliado",'Conciliacion de compuestos'!$E$2:$E$48,"OK",'Conciliacion de compuestos'!$J$2:$J$48,A1543),COUNTIFS('Conciliacion de compuestos'!$D$2:$D$48,"conciliado",'Conciliacion de compuestos'!$E$2:$E$48,"OK",'Conciliacion de compuestos'!$K$2:$K$48,A1543),COUNTIFS('Conciliacion de compuestos'!$D$2:$D$48,"conciliado",'Conciliacion de compuestos'!$E$2:$E$48,"OK",'Conciliacion de compuestos'!$L$2:$L$48,A1543))&gt;0,"conciliado en compuesto confirmado","disponible")</f>
        <v/>
      </c>
    </row>
    <row r="1544">
      <c r="A1544" s="11" t="n">
        <v>1558</v>
      </c>
      <c r="B1544" s="12" t="n">
        <v>46017</v>
      </c>
      <c r="C1544" s="11" t="inlineStr">
        <is>
          <t>a financiero gravamen movimiento</t>
        </is>
      </c>
      <c r="D1544" s="13" t="n">
        <v>-2</v>
      </c>
      <c r="E1544" s="11">
        <f>IF(SUM(COUNTIFS('Conciliacion de compuestos'!$D$2:$D$48,"conciliado",'Conciliacion de compuestos'!$E$2:$E$48,"OK",'Conciliacion de compuestos'!$J$2:$J$48,A1544),COUNTIFS('Conciliacion de compuestos'!$D$2:$D$48,"conciliado",'Conciliacion de compuestos'!$E$2:$E$48,"OK",'Conciliacion de compuestos'!$K$2:$K$48,A1544),COUNTIFS('Conciliacion de compuestos'!$D$2:$D$48,"conciliado",'Conciliacion de compuestos'!$E$2:$E$48,"OK",'Conciliacion de compuestos'!$L$2:$L$48,A1544))&gt;0,"conciliado en compuesto confirmado","disponible")</f>
        <v/>
      </c>
    </row>
    <row r="1545">
      <c r="A1545" s="11" t="n">
        <v>1559</v>
      </c>
      <c r="B1545" s="12" t="n">
        <v>46017</v>
      </c>
      <c r="C1545" s="11" t="inlineStr">
        <is>
          <t>credibanco d e retefuente voucher y</t>
        </is>
      </c>
      <c r="D1545" s="13" t="n">
        <v>-353</v>
      </c>
      <c r="E1545" s="11">
        <f>IF(SUM(COUNTIFS('Conciliacion de compuestos'!$D$2:$D$48,"conciliado",'Conciliacion de compuestos'!$E$2:$E$48,"OK",'Conciliacion de compuestos'!$J$2:$J$48,A1545),COUNTIFS('Conciliacion de compuestos'!$D$2:$D$48,"conciliado",'Conciliacion de compuestos'!$E$2:$E$48,"OK",'Conciliacion de compuestos'!$K$2:$K$48,A1545),COUNTIFS('Conciliacion de compuestos'!$D$2:$D$48,"conciliado",'Conciliacion de compuestos'!$E$2:$E$48,"OK",'Conciliacion de compuestos'!$L$2:$L$48,A1545))&gt;0,"conciliado en compuesto confirmado","disponible")</f>
        <v/>
      </c>
    </row>
    <row r="1546">
      <c r="A1546" s="11" t="n">
        <v>1560</v>
      </c>
      <c r="B1546" s="12" t="n">
        <v>46017</v>
      </c>
      <c r="C1546" s="11" t="inlineStr">
        <is>
          <t>a financiero gravamen movimiento</t>
        </is>
      </c>
      <c r="D1546" s="13" t="n">
        <v>-1</v>
      </c>
      <c r="E1546" s="11">
        <f>IF(SUM(COUNTIFS('Conciliacion de compuestos'!$D$2:$D$48,"conciliado",'Conciliacion de compuestos'!$E$2:$E$48,"OK",'Conciliacion de compuestos'!$J$2:$J$48,A1546),COUNTIFS('Conciliacion de compuestos'!$D$2:$D$48,"conciliado",'Conciliacion de compuestos'!$E$2:$E$48,"OK",'Conciliacion de compuestos'!$K$2:$K$48,A1546),COUNTIFS('Conciliacion de compuestos'!$D$2:$D$48,"conciliado",'Conciliacion de compuestos'!$E$2:$E$48,"OK",'Conciliacion de compuestos'!$L$2:$L$48,A1546))&gt;0,"conciliado en compuesto confirmado","disponible")</f>
        <v/>
      </c>
    </row>
    <row r="1547">
      <c r="A1547" s="11" t="n">
        <v>1561</v>
      </c>
      <c r="B1547" s="12" t="n">
        <v>46017</v>
      </c>
      <c r="C1547" s="11" t="inlineStr">
        <is>
          <t>consignacion credibanco d e</t>
        </is>
      </c>
      <c r="D1547" s="13" t="n">
        <v>60000</v>
      </c>
      <c r="E1547" s="11">
        <f>IF(SUM(COUNTIFS('Conciliacion de compuestos'!$D$2:$D$48,"conciliado",'Conciliacion de compuestos'!$E$2:$E$48,"OK",'Conciliacion de compuestos'!$J$2:$J$48,A1547),COUNTIFS('Conciliacion de compuestos'!$D$2:$D$48,"conciliado",'Conciliacion de compuestos'!$E$2:$E$48,"OK",'Conciliacion de compuestos'!$K$2:$K$48,A1547),COUNTIFS('Conciliacion de compuestos'!$D$2:$D$48,"conciliado",'Conciliacion de compuestos'!$E$2:$E$48,"OK",'Conciliacion de compuestos'!$L$2:$L$48,A1547))&gt;0,"conciliado en compuesto confirmado","disponible")</f>
        <v/>
      </c>
    </row>
    <row r="1548">
      <c r="A1548" s="11" t="n">
        <v>1562</v>
      </c>
      <c r="B1548" s="12" t="n">
        <v>46017</v>
      </c>
      <c r="C1548" s="11" t="inlineStr">
        <is>
          <t>cobro comision depositos electronicos</t>
        </is>
      </c>
      <c r="D1548" s="13" t="n">
        <v>-1296</v>
      </c>
      <c r="E1548" s="11">
        <f>IF(SUM(COUNTIFS('Conciliacion de compuestos'!$D$2:$D$48,"conciliado",'Conciliacion de compuestos'!$E$2:$E$48,"OK",'Conciliacion de compuestos'!$J$2:$J$48,A1548),COUNTIFS('Conciliacion de compuestos'!$D$2:$D$48,"conciliado",'Conciliacion de compuestos'!$E$2:$E$48,"OK",'Conciliacion de compuestos'!$K$2:$K$48,A1548),COUNTIFS('Conciliacion de compuestos'!$D$2:$D$48,"conciliado",'Conciliacion de compuestos'!$E$2:$E$48,"OK",'Conciliacion de compuestos'!$L$2:$L$48,A1548))&gt;0,"conciliado en compuesto confirmado","disponible")</f>
        <v/>
      </c>
    </row>
    <row r="1549">
      <c r="A1549" s="11" t="n">
        <v>1563</v>
      </c>
      <c r="B1549" s="12" t="n">
        <v>46017</v>
      </c>
      <c r="C1549" s="11" t="inlineStr">
        <is>
          <t>a financiero gravamen movimiento</t>
        </is>
      </c>
      <c r="D1549" s="13" t="n">
        <v>-5</v>
      </c>
      <c r="E1549" s="11">
        <f>IF(SUM(COUNTIFS('Conciliacion de compuestos'!$D$2:$D$48,"conciliado",'Conciliacion de compuestos'!$E$2:$E$48,"OK",'Conciliacion de compuestos'!$J$2:$J$48,A1549),COUNTIFS('Conciliacion de compuestos'!$D$2:$D$48,"conciliado",'Conciliacion de compuestos'!$E$2:$E$48,"OK",'Conciliacion de compuestos'!$K$2:$K$48,A1549),COUNTIFS('Conciliacion de compuestos'!$D$2:$D$48,"conciliado",'Conciliacion de compuestos'!$E$2:$E$48,"OK",'Conciliacion de compuestos'!$L$2:$L$48,A1549))&gt;0,"conciliado en compuesto confirmado","disponible")</f>
        <v/>
      </c>
    </row>
    <row r="1550">
      <c r="A1550" s="11" t="n">
        <v>1564</v>
      </c>
      <c r="B1550" s="12" t="n">
        <v>46017</v>
      </c>
      <c r="C1550" s="11" t="inlineStr">
        <is>
          <t>credibanco d e retefuente voucher y</t>
        </is>
      </c>
      <c r="D1550" s="13" t="n">
        <v>-900</v>
      </c>
      <c r="E1550" s="11">
        <f>IF(SUM(COUNTIFS('Conciliacion de compuestos'!$D$2:$D$48,"conciliado",'Conciliacion de compuestos'!$E$2:$E$48,"OK",'Conciliacion de compuestos'!$J$2:$J$48,A1550),COUNTIFS('Conciliacion de compuestos'!$D$2:$D$48,"conciliado",'Conciliacion de compuestos'!$E$2:$E$48,"OK",'Conciliacion de compuestos'!$K$2:$K$48,A1550),COUNTIFS('Conciliacion de compuestos'!$D$2:$D$48,"conciliado",'Conciliacion de compuestos'!$E$2:$E$48,"OK",'Conciliacion de compuestos'!$L$2:$L$48,A1550))&gt;0,"conciliado en compuesto confirmado","disponible")</f>
        <v/>
      </c>
    </row>
    <row r="1551">
      <c r="A1551" s="11" t="n">
        <v>1565</v>
      </c>
      <c r="B1551" s="12" t="n">
        <v>46017</v>
      </c>
      <c r="C1551" s="11" t="inlineStr">
        <is>
          <t>a financiero gravamen movimiento</t>
        </is>
      </c>
      <c r="D1551" s="13" t="n">
        <v>-4</v>
      </c>
      <c r="E1551" s="11">
        <f>IF(SUM(COUNTIFS('Conciliacion de compuestos'!$D$2:$D$48,"conciliado",'Conciliacion de compuestos'!$E$2:$E$48,"OK",'Conciliacion de compuestos'!$J$2:$J$48,A1551),COUNTIFS('Conciliacion de compuestos'!$D$2:$D$48,"conciliado",'Conciliacion de compuestos'!$E$2:$E$48,"OK",'Conciliacion de compuestos'!$K$2:$K$48,A1551),COUNTIFS('Conciliacion de compuestos'!$D$2:$D$48,"conciliado",'Conciliacion de compuestos'!$E$2:$E$48,"OK",'Conciliacion de compuestos'!$L$2:$L$48,A1551))&gt;0,"conciliado en compuesto confirmado","disponible")</f>
        <v/>
      </c>
    </row>
    <row r="1552">
      <c r="A1552" s="11" t="n">
        <v>1566</v>
      </c>
      <c r="B1552" s="12" t="n">
        <v>46017</v>
      </c>
      <c r="C1552" s="11" t="inlineStr">
        <is>
          <t>consignacion credibanco d e</t>
        </is>
      </c>
      <c r="D1552" s="13" t="n">
        <v>62300</v>
      </c>
      <c r="E1552" s="11">
        <f>IF(SUM(COUNTIFS('Conciliacion de compuestos'!$D$2:$D$48,"conciliado",'Conciliacion de compuestos'!$E$2:$E$48,"OK",'Conciliacion de compuestos'!$J$2:$J$48,A1552),COUNTIFS('Conciliacion de compuestos'!$D$2:$D$48,"conciliado",'Conciliacion de compuestos'!$E$2:$E$48,"OK",'Conciliacion de compuestos'!$K$2:$K$48,A1552),COUNTIFS('Conciliacion de compuestos'!$D$2:$D$48,"conciliado",'Conciliacion de compuestos'!$E$2:$E$48,"OK",'Conciliacion de compuestos'!$L$2:$L$48,A1552))&gt;0,"conciliado en compuesto confirmado","disponible")</f>
        <v/>
      </c>
    </row>
    <row r="1553">
      <c r="A1553" s="11" t="n">
        <v>1567</v>
      </c>
      <c r="B1553" s="12" t="n">
        <v>46017</v>
      </c>
      <c r="C1553" s="11" t="inlineStr">
        <is>
          <t>cobro comision depositos electronicos</t>
        </is>
      </c>
      <c r="D1553" s="13" t="n">
        <v>-1346</v>
      </c>
      <c r="E1553" s="11">
        <f>IF(SUM(COUNTIFS('Conciliacion de compuestos'!$D$2:$D$48,"conciliado",'Conciliacion de compuestos'!$E$2:$E$48,"OK",'Conciliacion de compuestos'!$J$2:$J$48,A1553),COUNTIFS('Conciliacion de compuestos'!$D$2:$D$48,"conciliado",'Conciliacion de compuestos'!$E$2:$E$48,"OK",'Conciliacion de compuestos'!$K$2:$K$48,A1553),COUNTIFS('Conciliacion de compuestos'!$D$2:$D$48,"conciliado",'Conciliacion de compuestos'!$E$2:$E$48,"OK",'Conciliacion de compuestos'!$L$2:$L$48,A1553))&gt;0,"conciliado en compuesto confirmado","disponible")</f>
        <v/>
      </c>
    </row>
    <row r="1554">
      <c r="A1554" s="11" t="n">
        <v>1568</v>
      </c>
      <c r="B1554" s="12" t="n">
        <v>46017</v>
      </c>
      <c r="C1554" s="11" t="inlineStr">
        <is>
          <t>a financiero gravamen movimiento</t>
        </is>
      </c>
      <c r="D1554" s="13" t="n">
        <v>-5</v>
      </c>
      <c r="E1554" s="11">
        <f>IF(SUM(COUNTIFS('Conciliacion de compuestos'!$D$2:$D$48,"conciliado",'Conciliacion de compuestos'!$E$2:$E$48,"OK",'Conciliacion de compuestos'!$J$2:$J$48,A1554),COUNTIFS('Conciliacion de compuestos'!$D$2:$D$48,"conciliado",'Conciliacion de compuestos'!$E$2:$E$48,"OK",'Conciliacion de compuestos'!$K$2:$K$48,A1554),COUNTIFS('Conciliacion de compuestos'!$D$2:$D$48,"conciliado",'Conciliacion de compuestos'!$E$2:$E$48,"OK",'Conciliacion de compuestos'!$L$2:$L$48,A1554))&gt;0,"conciliado en compuesto confirmado","disponible")</f>
        <v/>
      </c>
    </row>
    <row r="1555">
      <c r="A1555" s="11" t="n">
        <v>1569</v>
      </c>
      <c r="B1555" s="12" t="n">
        <v>46017</v>
      </c>
      <c r="C1555" s="11" t="inlineStr">
        <is>
          <t>credibanco d e retefuente voucher y</t>
        </is>
      </c>
      <c r="D1555" s="13" t="n">
        <v>-935</v>
      </c>
      <c r="E1555" s="11">
        <f>IF(SUM(COUNTIFS('Conciliacion de compuestos'!$D$2:$D$48,"conciliado",'Conciliacion de compuestos'!$E$2:$E$48,"OK",'Conciliacion de compuestos'!$J$2:$J$48,A1555),COUNTIFS('Conciliacion de compuestos'!$D$2:$D$48,"conciliado",'Conciliacion de compuestos'!$E$2:$E$48,"OK",'Conciliacion de compuestos'!$K$2:$K$48,A1555),COUNTIFS('Conciliacion de compuestos'!$D$2:$D$48,"conciliado",'Conciliacion de compuestos'!$E$2:$E$48,"OK",'Conciliacion de compuestos'!$L$2:$L$48,A1555))&gt;0,"conciliado en compuesto confirmado","disponible")</f>
        <v/>
      </c>
    </row>
    <row r="1556">
      <c r="A1556" s="11" t="n">
        <v>1570</v>
      </c>
      <c r="B1556" s="12" t="n">
        <v>46017</v>
      </c>
      <c r="C1556" s="11" t="inlineStr">
        <is>
          <t>a financiero gravamen movimiento</t>
        </is>
      </c>
      <c r="D1556" s="13" t="n">
        <v>-4</v>
      </c>
      <c r="E1556" s="11">
        <f>IF(SUM(COUNTIFS('Conciliacion de compuestos'!$D$2:$D$48,"conciliado",'Conciliacion de compuestos'!$E$2:$E$48,"OK",'Conciliacion de compuestos'!$J$2:$J$48,A1556),COUNTIFS('Conciliacion de compuestos'!$D$2:$D$48,"conciliado",'Conciliacion de compuestos'!$E$2:$E$48,"OK",'Conciliacion de compuestos'!$K$2:$K$48,A1556),COUNTIFS('Conciliacion de compuestos'!$D$2:$D$48,"conciliado",'Conciliacion de compuestos'!$E$2:$E$48,"OK",'Conciliacion de compuestos'!$L$2:$L$48,A1556))&gt;0,"conciliado en compuesto confirmado","disponible")</f>
        <v/>
      </c>
    </row>
    <row r="1557">
      <c r="A1557" s="11" t="n">
        <v>1571</v>
      </c>
      <c r="B1557" s="12" t="n">
        <v>46017</v>
      </c>
      <c r="C1557" s="11" t="inlineStr">
        <is>
          <t>consignacion credibanco d e</t>
        </is>
      </c>
      <c r="D1557" s="13" t="n">
        <v>68000</v>
      </c>
      <c r="E1557" s="11">
        <f>IF(SUM(COUNTIFS('Conciliacion de compuestos'!$D$2:$D$48,"conciliado",'Conciliacion de compuestos'!$E$2:$E$48,"OK",'Conciliacion de compuestos'!$J$2:$J$48,A1557),COUNTIFS('Conciliacion de compuestos'!$D$2:$D$48,"conciliado",'Conciliacion de compuestos'!$E$2:$E$48,"OK",'Conciliacion de compuestos'!$K$2:$K$48,A1557),COUNTIFS('Conciliacion de compuestos'!$D$2:$D$48,"conciliado",'Conciliacion de compuestos'!$E$2:$E$48,"OK",'Conciliacion de compuestos'!$L$2:$L$48,A1557))&gt;0,"conciliado en compuesto confirmado","disponible")</f>
        <v/>
      </c>
    </row>
    <row r="1558">
      <c r="A1558" s="11" t="n">
        <v>1572</v>
      </c>
      <c r="B1558" s="12" t="n">
        <v>46017</v>
      </c>
      <c r="C1558" s="11" t="inlineStr">
        <is>
          <t>cobro comision depositos electronicos</t>
        </is>
      </c>
      <c r="D1558" s="13" t="n">
        <v>-1469</v>
      </c>
      <c r="E1558" s="11">
        <f>IF(SUM(COUNTIFS('Conciliacion de compuestos'!$D$2:$D$48,"conciliado",'Conciliacion de compuestos'!$E$2:$E$48,"OK",'Conciliacion de compuestos'!$J$2:$J$48,A1558),COUNTIFS('Conciliacion de compuestos'!$D$2:$D$48,"conciliado",'Conciliacion de compuestos'!$E$2:$E$48,"OK",'Conciliacion de compuestos'!$K$2:$K$48,A1558),COUNTIFS('Conciliacion de compuestos'!$D$2:$D$48,"conciliado",'Conciliacion de compuestos'!$E$2:$E$48,"OK",'Conciliacion de compuestos'!$L$2:$L$48,A1558))&gt;0,"conciliado en compuesto confirmado","disponible")</f>
        <v/>
      </c>
    </row>
    <row r="1559">
      <c r="A1559" s="11" t="n">
        <v>1573</v>
      </c>
      <c r="B1559" s="12" t="n">
        <v>46017</v>
      </c>
      <c r="C1559" s="11" t="inlineStr">
        <is>
          <t>a financiero gravamen movimiento</t>
        </is>
      </c>
      <c r="D1559" s="13" t="n">
        <v>-6</v>
      </c>
      <c r="E1559" s="11">
        <f>IF(SUM(COUNTIFS('Conciliacion de compuestos'!$D$2:$D$48,"conciliado",'Conciliacion de compuestos'!$E$2:$E$48,"OK",'Conciliacion de compuestos'!$J$2:$J$48,A1559),COUNTIFS('Conciliacion de compuestos'!$D$2:$D$48,"conciliado",'Conciliacion de compuestos'!$E$2:$E$48,"OK",'Conciliacion de compuestos'!$K$2:$K$48,A1559),COUNTIFS('Conciliacion de compuestos'!$D$2:$D$48,"conciliado",'Conciliacion de compuestos'!$E$2:$E$48,"OK",'Conciliacion de compuestos'!$L$2:$L$48,A1559))&gt;0,"conciliado en compuesto confirmado","disponible")</f>
        <v/>
      </c>
    </row>
    <row r="1560">
      <c r="A1560" s="11" t="n">
        <v>1574</v>
      </c>
      <c r="B1560" s="12" t="n">
        <v>46017</v>
      </c>
      <c r="C1560" s="11" t="inlineStr">
        <is>
          <t>credibanco d e retefuente voucher y</t>
        </is>
      </c>
      <c r="D1560" s="13" t="n">
        <v>-1020</v>
      </c>
      <c r="E1560" s="11">
        <f>IF(SUM(COUNTIFS('Conciliacion de compuestos'!$D$2:$D$48,"conciliado",'Conciliacion de compuestos'!$E$2:$E$48,"OK",'Conciliacion de compuestos'!$J$2:$J$48,A1560),COUNTIFS('Conciliacion de compuestos'!$D$2:$D$48,"conciliado",'Conciliacion de compuestos'!$E$2:$E$48,"OK",'Conciliacion de compuestos'!$K$2:$K$48,A1560),COUNTIFS('Conciliacion de compuestos'!$D$2:$D$48,"conciliado",'Conciliacion de compuestos'!$E$2:$E$48,"OK",'Conciliacion de compuestos'!$L$2:$L$48,A1560))&gt;0,"conciliado en compuesto confirmado","disponible")</f>
        <v/>
      </c>
    </row>
    <row r="1561">
      <c r="A1561" s="11" t="n">
        <v>1575</v>
      </c>
      <c r="B1561" s="12" t="n">
        <v>46017</v>
      </c>
      <c r="C1561" s="11" t="inlineStr">
        <is>
          <t>a financiero gravamen movimiento</t>
        </is>
      </c>
      <c r="D1561" s="13" t="n">
        <v>-4</v>
      </c>
      <c r="E1561" s="11">
        <f>IF(SUM(COUNTIFS('Conciliacion de compuestos'!$D$2:$D$48,"conciliado",'Conciliacion de compuestos'!$E$2:$E$48,"OK",'Conciliacion de compuestos'!$J$2:$J$48,A1561),COUNTIFS('Conciliacion de compuestos'!$D$2:$D$48,"conciliado",'Conciliacion de compuestos'!$E$2:$E$48,"OK",'Conciliacion de compuestos'!$K$2:$K$48,A1561),COUNTIFS('Conciliacion de compuestos'!$D$2:$D$48,"conciliado",'Conciliacion de compuestos'!$E$2:$E$48,"OK",'Conciliacion de compuestos'!$L$2:$L$48,A1561))&gt;0,"conciliado en compuesto confirmado","disponible")</f>
        <v/>
      </c>
    </row>
    <row r="1562">
      <c r="A1562" s="11" t="n">
        <v>1576</v>
      </c>
      <c r="B1562" s="12" t="n">
        <v>46017</v>
      </c>
      <c r="C1562" s="11" t="inlineStr">
        <is>
          <t>consignacion credibanco d e</t>
        </is>
      </c>
      <c r="D1562" s="13" t="n">
        <v>125700</v>
      </c>
      <c r="E1562" s="11">
        <f>IF(SUM(COUNTIFS('Conciliacion de compuestos'!$D$2:$D$48,"conciliado",'Conciliacion de compuestos'!$E$2:$E$48,"OK",'Conciliacion de compuestos'!$J$2:$J$48,A1562),COUNTIFS('Conciliacion de compuestos'!$D$2:$D$48,"conciliado",'Conciliacion de compuestos'!$E$2:$E$48,"OK",'Conciliacion de compuestos'!$K$2:$K$48,A1562),COUNTIFS('Conciliacion de compuestos'!$D$2:$D$48,"conciliado",'Conciliacion de compuestos'!$E$2:$E$48,"OK",'Conciliacion de compuestos'!$L$2:$L$48,A1562))&gt;0,"conciliado en compuesto confirmado","disponible")</f>
        <v/>
      </c>
    </row>
    <row r="1563">
      <c r="A1563" s="11" t="n">
        <v>1577</v>
      </c>
      <c r="B1563" s="12" t="n">
        <v>46017</v>
      </c>
      <c r="C1563" s="11" t="inlineStr">
        <is>
          <t>cobro comision depositos electronicos</t>
        </is>
      </c>
      <c r="D1563" s="13" t="n">
        <v>-2753</v>
      </c>
      <c r="E1563" s="11">
        <f>IF(SUM(COUNTIFS('Conciliacion de compuestos'!$D$2:$D$48,"conciliado",'Conciliacion de compuestos'!$E$2:$E$48,"OK",'Conciliacion de compuestos'!$J$2:$J$48,A1563),COUNTIFS('Conciliacion de compuestos'!$D$2:$D$48,"conciliado",'Conciliacion de compuestos'!$E$2:$E$48,"OK",'Conciliacion de compuestos'!$K$2:$K$48,A1563),COUNTIFS('Conciliacion de compuestos'!$D$2:$D$48,"conciliado",'Conciliacion de compuestos'!$E$2:$E$48,"OK",'Conciliacion de compuestos'!$L$2:$L$48,A1563))&gt;0,"conciliado en compuesto confirmado","disponible")</f>
        <v/>
      </c>
    </row>
    <row r="1564">
      <c r="A1564" s="11" t="n">
        <v>1578</v>
      </c>
      <c r="B1564" s="12" t="n">
        <v>46017</v>
      </c>
      <c r="C1564" s="11" t="inlineStr">
        <is>
          <t>a financiero gravamen movimiento</t>
        </is>
      </c>
      <c r="D1564" s="13" t="n">
        <v>-11</v>
      </c>
      <c r="E1564" s="11">
        <f>IF(SUM(COUNTIFS('Conciliacion de compuestos'!$D$2:$D$48,"conciliado",'Conciliacion de compuestos'!$E$2:$E$48,"OK",'Conciliacion de compuestos'!$J$2:$J$48,A1564),COUNTIFS('Conciliacion de compuestos'!$D$2:$D$48,"conciliado",'Conciliacion de compuestos'!$E$2:$E$48,"OK",'Conciliacion de compuestos'!$K$2:$K$48,A1564),COUNTIFS('Conciliacion de compuestos'!$D$2:$D$48,"conciliado",'Conciliacion de compuestos'!$E$2:$E$48,"OK",'Conciliacion de compuestos'!$L$2:$L$48,A1564))&gt;0,"conciliado en compuesto confirmado","disponible")</f>
        <v/>
      </c>
    </row>
    <row r="1565">
      <c r="A1565" s="11" t="n">
        <v>1579</v>
      </c>
      <c r="B1565" s="12" t="n">
        <v>46017</v>
      </c>
      <c r="C1565" s="11" t="inlineStr">
        <is>
          <t>credibanco d e retefuente voucher y</t>
        </is>
      </c>
      <c r="D1565" s="13" t="n">
        <v>-1886</v>
      </c>
      <c r="E1565" s="11">
        <f>IF(SUM(COUNTIFS('Conciliacion de compuestos'!$D$2:$D$48,"conciliado",'Conciliacion de compuestos'!$E$2:$E$48,"OK",'Conciliacion de compuestos'!$J$2:$J$48,A1565),COUNTIFS('Conciliacion de compuestos'!$D$2:$D$48,"conciliado",'Conciliacion de compuestos'!$E$2:$E$48,"OK",'Conciliacion de compuestos'!$K$2:$K$48,A1565),COUNTIFS('Conciliacion de compuestos'!$D$2:$D$48,"conciliado",'Conciliacion de compuestos'!$E$2:$E$48,"OK",'Conciliacion de compuestos'!$L$2:$L$48,A1565))&gt;0,"conciliado en compuesto confirmado","disponible")</f>
        <v/>
      </c>
    </row>
    <row r="1566">
      <c r="A1566" s="11" t="n">
        <v>1580</v>
      </c>
      <c r="B1566" s="12" t="n">
        <v>46017</v>
      </c>
      <c r="C1566" s="11" t="inlineStr">
        <is>
          <t>a financiero gravamen movimiento</t>
        </is>
      </c>
      <c r="D1566" s="13" t="n">
        <v>-8</v>
      </c>
      <c r="E1566" s="11">
        <f>IF(SUM(COUNTIFS('Conciliacion de compuestos'!$D$2:$D$48,"conciliado",'Conciliacion de compuestos'!$E$2:$E$48,"OK",'Conciliacion de compuestos'!$J$2:$J$48,A1566),COUNTIFS('Conciliacion de compuestos'!$D$2:$D$48,"conciliado",'Conciliacion de compuestos'!$E$2:$E$48,"OK",'Conciliacion de compuestos'!$K$2:$K$48,A1566),COUNTIFS('Conciliacion de compuestos'!$D$2:$D$48,"conciliado",'Conciliacion de compuestos'!$E$2:$E$48,"OK",'Conciliacion de compuestos'!$L$2:$L$48,A1566))&gt;0,"conciliado en compuesto confirmado","disponible")</f>
        <v/>
      </c>
    </row>
    <row r="1567">
      <c r="A1567" s="11" t="n">
        <v>1581</v>
      </c>
      <c r="B1567" s="12" t="n">
        <v>46017</v>
      </c>
      <c r="C1567" s="11" t="inlineStr">
        <is>
          <t>consignacion credibanco d e</t>
        </is>
      </c>
      <c r="D1567" s="13" t="n">
        <v>19000</v>
      </c>
      <c r="E1567" s="11">
        <f>IF(SUM(COUNTIFS('Conciliacion de compuestos'!$D$2:$D$48,"conciliado",'Conciliacion de compuestos'!$E$2:$E$48,"OK",'Conciliacion de compuestos'!$J$2:$J$48,A1567),COUNTIFS('Conciliacion de compuestos'!$D$2:$D$48,"conciliado",'Conciliacion de compuestos'!$E$2:$E$48,"OK",'Conciliacion de compuestos'!$K$2:$K$48,A1567),COUNTIFS('Conciliacion de compuestos'!$D$2:$D$48,"conciliado",'Conciliacion de compuestos'!$E$2:$E$48,"OK",'Conciliacion de compuestos'!$L$2:$L$48,A1567))&gt;0,"conciliado en compuesto confirmado","disponible")</f>
        <v/>
      </c>
    </row>
    <row r="1568">
      <c r="A1568" s="11" t="n">
        <v>1582</v>
      </c>
      <c r="B1568" s="12" t="n">
        <v>46017</v>
      </c>
      <c r="C1568" s="11" t="inlineStr">
        <is>
          <t>cobro comision depositos electronicos</t>
        </is>
      </c>
      <c r="D1568" s="13" t="n">
        <v>-416</v>
      </c>
      <c r="E1568" s="11">
        <f>IF(SUM(COUNTIFS('Conciliacion de compuestos'!$D$2:$D$48,"conciliado",'Conciliacion de compuestos'!$E$2:$E$48,"OK",'Conciliacion de compuestos'!$J$2:$J$48,A1568),COUNTIFS('Conciliacion de compuestos'!$D$2:$D$48,"conciliado",'Conciliacion de compuestos'!$E$2:$E$48,"OK",'Conciliacion de compuestos'!$K$2:$K$48,A1568),COUNTIFS('Conciliacion de compuestos'!$D$2:$D$48,"conciliado",'Conciliacion de compuestos'!$E$2:$E$48,"OK",'Conciliacion de compuestos'!$L$2:$L$48,A1568))&gt;0,"conciliado en compuesto confirmado","disponible")</f>
        <v/>
      </c>
    </row>
    <row r="1569">
      <c r="A1569" s="11" t="n">
        <v>1583</v>
      </c>
      <c r="B1569" s="12" t="n">
        <v>46017</v>
      </c>
      <c r="C1569" s="11" t="inlineStr">
        <is>
          <t>a financiero gravamen movimiento</t>
        </is>
      </c>
      <c r="D1569" s="13" t="n">
        <v>-2</v>
      </c>
      <c r="E1569" s="11">
        <f>IF(SUM(COUNTIFS('Conciliacion de compuestos'!$D$2:$D$48,"conciliado",'Conciliacion de compuestos'!$E$2:$E$48,"OK",'Conciliacion de compuestos'!$J$2:$J$48,A1569),COUNTIFS('Conciliacion de compuestos'!$D$2:$D$48,"conciliado",'Conciliacion de compuestos'!$E$2:$E$48,"OK",'Conciliacion de compuestos'!$K$2:$K$48,A1569),COUNTIFS('Conciliacion de compuestos'!$D$2:$D$48,"conciliado",'Conciliacion de compuestos'!$E$2:$E$48,"OK",'Conciliacion de compuestos'!$L$2:$L$48,A1569))&gt;0,"conciliado en compuesto confirmado","disponible")</f>
        <v/>
      </c>
    </row>
    <row r="1570">
      <c r="A1570" s="11" t="n">
        <v>1584</v>
      </c>
      <c r="B1570" s="12" t="n">
        <v>46017</v>
      </c>
      <c r="C1570" s="11" t="inlineStr">
        <is>
          <t>credibanco d e retefuente voucher y</t>
        </is>
      </c>
      <c r="D1570" s="13" t="n">
        <v>-285</v>
      </c>
      <c r="E1570" s="11">
        <f>IF(SUM(COUNTIFS('Conciliacion de compuestos'!$D$2:$D$48,"conciliado",'Conciliacion de compuestos'!$E$2:$E$48,"OK",'Conciliacion de compuestos'!$J$2:$J$48,A1570),COUNTIFS('Conciliacion de compuestos'!$D$2:$D$48,"conciliado",'Conciliacion de compuestos'!$E$2:$E$48,"OK",'Conciliacion de compuestos'!$K$2:$K$48,A1570),COUNTIFS('Conciliacion de compuestos'!$D$2:$D$48,"conciliado",'Conciliacion de compuestos'!$E$2:$E$48,"OK",'Conciliacion de compuestos'!$L$2:$L$48,A1570))&gt;0,"conciliado en compuesto confirmado","disponible")</f>
        <v/>
      </c>
    </row>
    <row r="1571">
      <c r="A1571" s="11" t="n">
        <v>1585</v>
      </c>
      <c r="B1571" s="12" t="n">
        <v>46017</v>
      </c>
      <c r="C1571" s="11" t="inlineStr">
        <is>
          <t>a financiero gravamen movimiento</t>
        </is>
      </c>
      <c r="D1571" s="13" t="n">
        <v>-1</v>
      </c>
      <c r="E1571" s="11">
        <f>IF(SUM(COUNTIFS('Conciliacion de compuestos'!$D$2:$D$48,"conciliado",'Conciliacion de compuestos'!$E$2:$E$48,"OK",'Conciliacion de compuestos'!$J$2:$J$48,A1571),COUNTIFS('Conciliacion de compuestos'!$D$2:$D$48,"conciliado",'Conciliacion de compuestos'!$E$2:$E$48,"OK",'Conciliacion de compuestos'!$K$2:$K$48,A1571),COUNTIFS('Conciliacion de compuestos'!$D$2:$D$48,"conciliado",'Conciliacion de compuestos'!$E$2:$E$48,"OK",'Conciliacion de compuestos'!$L$2:$L$48,A1571))&gt;0,"conciliado en compuesto confirmado","disponible")</f>
        <v/>
      </c>
    </row>
    <row r="1572">
      <c r="A1572" s="11" t="n">
        <v>1586</v>
      </c>
      <c r="B1572" s="12" t="n">
        <v>46017</v>
      </c>
      <c r="C1572" s="11" t="inlineStr">
        <is>
          <t>consignacion credibanco d e</t>
        </is>
      </c>
      <c r="D1572" s="13" t="n">
        <v>173300</v>
      </c>
      <c r="E1572" s="11">
        <f>IF(SUM(COUNTIFS('Conciliacion de compuestos'!$D$2:$D$48,"conciliado",'Conciliacion de compuestos'!$E$2:$E$48,"OK",'Conciliacion de compuestos'!$J$2:$J$48,A1572),COUNTIFS('Conciliacion de compuestos'!$D$2:$D$48,"conciliado",'Conciliacion de compuestos'!$E$2:$E$48,"OK",'Conciliacion de compuestos'!$K$2:$K$48,A1572),COUNTIFS('Conciliacion de compuestos'!$D$2:$D$48,"conciliado",'Conciliacion de compuestos'!$E$2:$E$48,"OK",'Conciliacion de compuestos'!$L$2:$L$48,A1572))&gt;0,"conciliado en compuesto confirmado","disponible")</f>
        <v/>
      </c>
    </row>
    <row r="1573">
      <c r="A1573" s="11" t="n">
        <v>1587</v>
      </c>
      <c r="B1573" s="12" t="n">
        <v>46017</v>
      </c>
      <c r="C1573" s="11" t="inlineStr">
        <is>
          <t>cobro comision depositos electronicos</t>
        </is>
      </c>
      <c r="D1573" s="13" t="n">
        <v>-3795</v>
      </c>
      <c r="E1573" s="11">
        <f>IF(SUM(COUNTIFS('Conciliacion de compuestos'!$D$2:$D$48,"conciliado",'Conciliacion de compuestos'!$E$2:$E$48,"OK",'Conciliacion de compuestos'!$J$2:$J$48,A1573),COUNTIFS('Conciliacion de compuestos'!$D$2:$D$48,"conciliado",'Conciliacion de compuestos'!$E$2:$E$48,"OK",'Conciliacion de compuestos'!$K$2:$K$48,A1573),COUNTIFS('Conciliacion de compuestos'!$D$2:$D$48,"conciliado",'Conciliacion de compuestos'!$E$2:$E$48,"OK",'Conciliacion de compuestos'!$L$2:$L$48,A1573))&gt;0,"conciliado en compuesto confirmado","disponible")</f>
        <v/>
      </c>
    </row>
    <row r="1574">
      <c r="A1574" s="11" t="n">
        <v>1588</v>
      </c>
      <c r="B1574" s="12" t="n">
        <v>46017</v>
      </c>
      <c r="C1574" s="11" t="inlineStr">
        <is>
          <t>a financiero gravamen movimiento</t>
        </is>
      </c>
      <c r="D1574" s="13" t="n">
        <v>-15</v>
      </c>
      <c r="E1574" s="11">
        <f>IF(SUM(COUNTIFS('Conciliacion de compuestos'!$D$2:$D$48,"conciliado",'Conciliacion de compuestos'!$E$2:$E$48,"OK",'Conciliacion de compuestos'!$J$2:$J$48,A1574),COUNTIFS('Conciliacion de compuestos'!$D$2:$D$48,"conciliado",'Conciliacion de compuestos'!$E$2:$E$48,"OK",'Conciliacion de compuestos'!$K$2:$K$48,A1574),COUNTIFS('Conciliacion de compuestos'!$D$2:$D$48,"conciliado",'Conciliacion de compuestos'!$E$2:$E$48,"OK",'Conciliacion de compuestos'!$L$2:$L$48,A1574))&gt;0,"conciliado en compuesto confirmado","disponible")</f>
        <v/>
      </c>
    </row>
    <row r="1575">
      <c r="A1575" s="11" t="n">
        <v>1589</v>
      </c>
      <c r="B1575" s="12" t="n">
        <v>46017</v>
      </c>
      <c r="C1575" s="11" t="inlineStr">
        <is>
          <t>credibanco d e retefuente voucher y</t>
        </is>
      </c>
      <c r="D1575" s="13" t="n">
        <v>-2600</v>
      </c>
      <c r="E1575" s="11">
        <f>IF(SUM(COUNTIFS('Conciliacion de compuestos'!$D$2:$D$48,"conciliado",'Conciliacion de compuestos'!$E$2:$E$48,"OK",'Conciliacion de compuestos'!$J$2:$J$48,A1575),COUNTIFS('Conciliacion de compuestos'!$D$2:$D$48,"conciliado",'Conciliacion de compuestos'!$E$2:$E$48,"OK",'Conciliacion de compuestos'!$K$2:$K$48,A1575),COUNTIFS('Conciliacion de compuestos'!$D$2:$D$48,"conciliado",'Conciliacion de compuestos'!$E$2:$E$48,"OK",'Conciliacion de compuestos'!$L$2:$L$48,A1575))&gt;0,"conciliado en compuesto confirmado","disponible")</f>
        <v/>
      </c>
    </row>
    <row r="1576">
      <c r="A1576" s="11" t="n">
        <v>1590</v>
      </c>
      <c r="B1576" s="12" t="n">
        <v>46017</v>
      </c>
      <c r="C1576" s="11" t="inlineStr">
        <is>
          <t>a financiero gravamen movimiento</t>
        </is>
      </c>
      <c r="D1576" s="13" t="n">
        <v>-10</v>
      </c>
      <c r="E1576" s="11">
        <f>IF(SUM(COUNTIFS('Conciliacion de compuestos'!$D$2:$D$48,"conciliado",'Conciliacion de compuestos'!$E$2:$E$48,"OK",'Conciliacion de compuestos'!$J$2:$J$48,A1576),COUNTIFS('Conciliacion de compuestos'!$D$2:$D$48,"conciliado",'Conciliacion de compuestos'!$E$2:$E$48,"OK",'Conciliacion de compuestos'!$K$2:$K$48,A1576),COUNTIFS('Conciliacion de compuestos'!$D$2:$D$48,"conciliado",'Conciliacion de compuestos'!$E$2:$E$48,"OK",'Conciliacion de compuestos'!$L$2:$L$48,A1576))&gt;0,"conciliado en compuesto confirmado","disponible")</f>
        <v/>
      </c>
    </row>
    <row r="1577">
      <c r="A1577" s="11" t="n">
        <v>1591</v>
      </c>
      <c r="B1577" s="12" t="n">
        <v>46017</v>
      </c>
      <c r="C1577" s="11" t="inlineStr">
        <is>
          <t>consignacion credibanco d e</t>
        </is>
      </c>
      <c r="D1577" s="13" t="n">
        <v>170000</v>
      </c>
      <c r="E1577" s="11">
        <f>IF(SUM(COUNTIFS('Conciliacion de compuestos'!$D$2:$D$48,"conciliado",'Conciliacion de compuestos'!$E$2:$E$48,"OK",'Conciliacion de compuestos'!$J$2:$J$48,A1577),COUNTIFS('Conciliacion de compuestos'!$D$2:$D$48,"conciliado",'Conciliacion de compuestos'!$E$2:$E$48,"OK",'Conciliacion de compuestos'!$K$2:$K$48,A1577),COUNTIFS('Conciliacion de compuestos'!$D$2:$D$48,"conciliado",'Conciliacion de compuestos'!$E$2:$E$48,"OK",'Conciliacion de compuestos'!$L$2:$L$48,A1577))&gt;0,"conciliado en compuesto confirmado","disponible")</f>
        <v/>
      </c>
    </row>
    <row r="1578">
      <c r="A1578" s="11" t="n">
        <v>1592</v>
      </c>
      <c r="B1578" s="12" t="n">
        <v>46017</v>
      </c>
      <c r="C1578" s="11" t="inlineStr">
        <is>
          <t>cobro comision depositos electronicos</t>
        </is>
      </c>
      <c r="D1578" s="13" t="n">
        <v>-3723</v>
      </c>
      <c r="E1578" s="11">
        <f>IF(SUM(COUNTIFS('Conciliacion de compuestos'!$D$2:$D$48,"conciliado",'Conciliacion de compuestos'!$E$2:$E$48,"OK",'Conciliacion de compuestos'!$J$2:$J$48,A1578),COUNTIFS('Conciliacion de compuestos'!$D$2:$D$48,"conciliado",'Conciliacion de compuestos'!$E$2:$E$48,"OK",'Conciliacion de compuestos'!$K$2:$K$48,A1578),COUNTIFS('Conciliacion de compuestos'!$D$2:$D$48,"conciliado",'Conciliacion de compuestos'!$E$2:$E$48,"OK",'Conciliacion de compuestos'!$L$2:$L$48,A1578))&gt;0,"conciliado en compuesto confirmado","disponible")</f>
        <v/>
      </c>
    </row>
    <row r="1579">
      <c r="A1579" s="11" t="n">
        <v>1593</v>
      </c>
      <c r="B1579" s="12" t="n">
        <v>46017</v>
      </c>
      <c r="C1579" s="11" t="inlineStr">
        <is>
          <t>a financiero gravamen movimiento</t>
        </is>
      </c>
      <c r="D1579" s="13" t="n">
        <v>-15</v>
      </c>
      <c r="E1579" s="11">
        <f>IF(SUM(COUNTIFS('Conciliacion de compuestos'!$D$2:$D$48,"conciliado",'Conciliacion de compuestos'!$E$2:$E$48,"OK",'Conciliacion de compuestos'!$J$2:$J$48,A1579),COUNTIFS('Conciliacion de compuestos'!$D$2:$D$48,"conciliado",'Conciliacion de compuestos'!$E$2:$E$48,"OK",'Conciliacion de compuestos'!$K$2:$K$48,A1579),COUNTIFS('Conciliacion de compuestos'!$D$2:$D$48,"conciliado",'Conciliacion de compuestos'!$E$2:$E$48,"OK",'Conciliacion de compuestos'!$L$2:$L$48,A1579))&gt;0,"conciliado en compuesto confirmado","disponible")</f>
        <v/>
      </c>
    </row>
    <row r="1580">
      <c r="A1580" s="11" t="n">
        <v>1594</v>
      </c>
      <c r="B1580" s="12" t="n">
        <v>46017</v>
      </c>
      <c r="C1580" s="11" t="inlineStr">
        <is>
          <t>credibanco d e retefuente voucher y</t>
        </is>
      </c>
      <c r="D1580" s="13" t="n">
        <v>-2550</v>
      </c>
      <c r="E1580" s="11">
        <f>IF(SUM(COUNTIFS('Conciliacion de compuestos'!$D$2:$D$48,"conciliado",'Conciliacion de compuestos'!$E$2:$E$48,"OK",'Conciliacion de compuestos'!$J$2:$J$48,A1580),COUNTIFS('Conciliacion de compuestos'!$D$2:$D$48,"conciliado",'Conciliacion de compuestos'!$E$2:$E$48,"OK",'Conciliacion de compuestos'!$K$2:$K$48,A1580),COUNTIFS('Conciliacion de compuestos'!$D$2:$D$48,"conciliado",'Conciliacion de compuestos'!$E$2:$E$48,"OK",'Conciliacion de compuestos'!$L$2:$L$48,A1580))&gt;0,"conciliado en compuesto confirmado","disponible")</f>
        <v/>
      </c>
    </row>
    <row r="1581">
      <c r="A1581" s="11" t="n">
        <v>1595</v>
      </c>
      <c r="B1581" s="12" t="n">
        <v>46017</v>
      </c>
      <c r="C1581" s="11" t="inlineStr">
        <is>
          <t>a financiero gravamen movimiento</t>
        </is>
      </c>
      <c r="D1581" s="13" t="n">
        <v>-10</v>
      </c>
      <c r="E1581" s="11">
        <f>IF(SUM(COUNTIFS('Conciliacion de compuestos'!$D$2:$D$48,"conciliado",'Conciliacion de compuestos'!$E$2:$E$48,"OK",'Conciliacion de compuestos'!$J$2:$J$48,A1581),COUNTIFS('Conciliacion de compuestos'!$D$2:$D$48,"conciliado",'Conciliacion de compuestos'!$E$2:$E$48,"OK",'Conciliacion de compuestos'!$K$2:$K$48,A1581),COUNTIFS('Conciliacion de compuestos'!$D$2:$D$48,"conciliado",'Conciliacion de compuestos'!$E$2:$E$48,"OK",'Conciliacion de compuestos'!$L$2:$L$48,A1581))&gt;0,"conciliado en compuesto confirmado","disponible")</f>
        <v/>
      </c>
    </row>
    <row r="1582">
      <c r="A1582" s="11" t="n">
        <v>1596</v>
      </c>
      <c r="B1582" s="12" t="n">
        <v>46017</v>
      </c>
      <c r="C1582" s="11" t="inlineStr">
        <is>
          <t>consignacion credibanco d e</t>
        </is>
      </c>
      <c r="D1582" s="13" t="n">
        <v>25800</v>
      </c>
      <c r="E1582" s="11">
        <f>IF(SUM(COUNTIFS('Conciliacion de compuestos'!$D$2:$D$48,"conciliado",'Conciliacion de compuestos'!$E$2:$E$48,"OK",'Conciliacion de compuestos'!$J$2:$J$48,A1582),COUNTIFS('Conciliacion de compuestos'!$D$2:$D$48,"conciliado",'Conciliacion de compuestos'!$E$2:$E$48,"OK",'Conciliacion de compuestos'!$K$2:$K$48,A1582),COUNTIFS('Conciliacion de compuestos'!$D$2:$D$48,"conciliado",'Conciliacion de compuestos'!$E$2:$E$48,"OK",'Conciliacion de compuestos'!$L$2:$L$48,A1582))&gt;0,"conciliado en compuesto confirmado","disponible")</f>
        <v/>
      </c>
    </row>
    <row r="1583">
      <c r="A1583" s="11" t="n">
        <v>1597</v>
      </c>
      <c r="B1583" s="12" t="n">
        <v>46017</v>
      </c>
      <c r="C1583" s="11" t="inlineStr">
        <is>
          <t>cobro comision depositos electronicos</t>
        </is>
      </c>
      <c r="D1583" s="13" t="n">
        <v>-565</v>
      </c>
      <c r="E1583" s="11">
        <f>IF(SUM(COUNTIFS('Conciliacion de compuestos'!$D$2:$D$48,"conciliado",'Conciliacion de compuestos'!$E$2:$E$48,"OK",'Conciliacion de compuestos'!$J$2:$J$48,A1583),COUNTIFS('Conciliacion de compuestos'!$D$2:$D$48,"conciliado",'Conciliacion de compuestos'!$E$2:$E$48,"OK",'Conciliacion de compuestos'!$K$2:$K$48,A1583),COUNTIFS('Conciliacion de compuestos'!$D$2:$D$48,"conciliado",'Conciliacion de compuestos'!$E$2:$E$48,"OK",'Conciliacion de compuestos'!$L$2:$L$48,A1583))&gt;0,"conciliado en compuesto confirmado","disponible")</f>
        <v/>
      </c>
    </row>
    <row r="1584">
      <c r="A1584" s="11" t="n">
        <v>1598</v>
      </c>
      <c r="B1584" s="12" t="n">
        <v>46017</v>
      </c>
      <c r="C1584" s="11" t="inlineStr">
        <is>
          <t>a financiero gravamen movimiento</t>
        </is>
      </c>
      <c r="D1584" s="13" t="n">
        <v>-2</v>
      </c>
      <c r="E1584" s="11">
        <f>IF(SUM(COUNTIFS('Conciliacion de compuestos'!$D$2:$D$48,"conciliado",'Conciliacion de compuestos'!$E$2:$E$48,"OK",'Conciliacion de compuestos'!$J$2:$J$48,A1584),COUNTIFS('Conciliacion de compuestos'!$D$2:$D$48,"conciliado",'Conciliacion de compuestos'!$E$2:$E$48,"OK",'Conciliacion de compuestos'!$K$2:$K$48,A1584),COUNTIFS('Conciliacion de compuestos'!$D$2:$D$48,"conciliado",'Conciliacion de compuestos'!$E$2:$E$48,"OK",'Conciliacion de compuestos'!$L$2:$L$48,A1584))&gt;0,"conciliado en compuesto confirmado","disponible")</f>
        <v/>
      </c>
    </row>
    <row r="1585">
      <c r="A1585" s="11" t="n">
        <v>1599</v>
      </c>
      <c r="B1585" s="12" t="n">
        <v>46017</v>
      </c>
      <c r="C1585" s="11" t="inlineStr">
        <is>
          <t>credibanco d e retefuente voucher y</t>
        </is>
      </c>
      <c r="D1585" s="13" t="n">
        <v>-387</v>
      </c>
      <c r="E1585" s="11">
        <f>IF(SUM(COUNTIFS('Conciliacion de compuestos'!$D$2:$D$48,"conciliado",'Conciliacion de compuestos'!$E$2:$E$48,"OK",'Conciliacion de compuestos'!$J$2:$J$48,A1585),COUNTIFS('Conciliacion de compuestos'!$D$2:$D$48,"conciliado",'Conciliacion de compuestos'!$E$2:$E$48,"OK",'Conciliacion de compuestos'!$K$2:$K$48,A1585),COUNTIFS('Conciliacion de compuestos'!$D$2:$D$48,"conciliado",'Conciliacion de compuestos'!$E$2:$E$48,"OK",'Conciliacion de compuestos'!$L$2:$L$48,A1585))&gt;0,"conciliado en compuesto confirmado","disponible")</f>
        <v/>
      </c>
    </row>
    <row r="1586">
      <c r="A1586" s="11" t="n">
        <v>1600</v>
      </c>
      <c r="B1586" s="12" t="n">
        <v>46017</v>
      </c>
      <c r="C1586" s="11" t="inlineStr">
        <is>
          <t>a financiero gravamen movimiento</t>
        </is>
      </c>
      <c r="D1586" s="13" t="n">
        <v>-2</v>
      </c>
      <c r="E1586" s="11">
        <f>IF(SUM(COUNTIFS('Conciliacion de compuestos'!$D$2:$D$48,"conciliado",'Conciliacion de compuestos'!$E$2:$E$48,"OK",'Conciliacion de compuestos'!$J$2:$J$48,A1586),COUNTIFS('Conciliacion de compuestos'!$D$2:$D$48,"conciliado",'Conciliacion de compuestos'!$E$2:$E$48,"OK",'Conciliacion de compuestos'!$K$2:$K$48,A1586),COUNTIFS('Conciliacion de compuestos'!$D$2:$D$48,"conciliado",'Conciliacion de compuestos'!$E$2:$E$48,"OK",'Conciliacion de compuestos'!$L$2:$L$48,A1586))&gt;0,"conciliado en compuesto confirmado","disponible")</f>
        <v/>
      </c>
    </row>
    <row r="1587">
      <c r="A1587" s="11" t="n">
        <v>1601</v>
      </c>
      <c r="B1587" s="12" t="n">
        <v>46017</v>
      </c>
      <c r="C1587" s="11" t="inlineStr">
        <is>
          <t>consignacion credibanco d e</t>
        </is>
      </c>
      <c r="D1587" s="13" t="n">
        <v>52100</v>
      </c>
      <c r="E1587" s="11">
        <f>IF(SUM(COUNTIFS('Conciliacion de compuestos'!$D$2:$D$48,"conciliado",'Conciliacion de compuestos'!$E$2:$E$48,"OK",'Conciliacion de compuestos'!$J$2:$J$48,A1587),COUNTIFS('Conciliacion de compuestos'!$D$2:$D$48,"conciliado",'Conciliacion de compuestos'!$E$2:$E$48,"OK",'Conciliacion de compuestos'!$K$2:$K$48,A1587),COUNTIFS('Conciliacion de compuestos'!$D$2:$D$48,"conciliado",'Conciliacion de compuestos'!$E$2:$E$48,"OK",'Conciliacion de compuestos'!$L$2:$L$48,A1587))&gt;0,"conciliado en compuesto confirmado","disponible")</f>
        <v/>
      </c>
    </row>
    <row r="1588">
      <c r="A1588" s="11" t="n">
        <v>1602</v>
      </c>
      <c r="B1588" s="12" t="n">
        <v>46017</v>
      </c>
      <c r="C1588" s="11" t="inlineStr">
        <is>
          <t>cobro comision depositos electronicos</t>
        </is>
      </c>
      <c r="D1588" s="13" t="n">
        <v>-1141</v>
      </c>
      <c r="E1588" s="11">
        <f>IF(SUM(COUNTIFS('Conciliacion de compuestos'!$D$2:$D$48,"conciliado",'Conciliacion de compuestos'!$E$2:$E$48,"OK",'Conciliacion de compuestos'!$J$2:$J$48,A1588),COUNTIFS('Conciliacion de compuestos'!$D$2:$D$48,"conciliado",'Conciliacion de compuestos'!$E$2:$E$48,"OK",'Conciliacion de compuestos'!$K$2:$K$48,A1588),COUNTIFS('Conciliacion de compuestos'!$D$2:$D$48,"conciliado",'Conciliacion de compuestos'!$E$2:$E$48,"OK",'Conciliacion de compuestos'!$L$2:$L$48,A1588))&gt;0,"conciliado en compuesto confirmado","disponible")</f>
        <v/>
      </c>
    </row>
    <row r="1589">
      <c r="A1589" s="11" t="n">
        <v>1603</v>
      </c>
      <c r="B1589" s="12" t="n">
        <v>46017</v>
      </c>
      <c r="C1589" s="11" t="inlineStr">
        <is>
          <t>a financiero gravamen movimiento</t>
        </is>
      </c>
      <c r="D1589" s="13" t="n">
        <v>-5</v>
      </c>
      <c r="E1589" s="11">
        <f>IF(SUM(COUNTIFS('Conciliacion de compuestos'!$D$2:$D$48,"conciliado",'Conciliacion de compuestos'!$E$2:$E$48,"OK",'Conciliacion de compuestos'!$J$2:$J$48,A1589),COUNTIFS('Conciliacion de compuestos'!$D$2:$D$48,"conciliado",'Conciliacion de compuestos'!$E$2:$E$48,"OK",'Conciliacion de compuestos'!$K$2:$K$48,A1589),COUNTIFS('Conciliacion de compuestos'!$D$2:$D$48,"conciliado",'Conciliacion de compuestos'!$E$2:$E$48,"OK",'Conciliacion de compuestos'!$L$2:$L$48,A1589))&gt;0,"conciliado en compuesto confirmado","disponible")</f>
        <v/>
      </c>
    </row>
    <row r="1590">
      <c r="A1590" s="11" t="n">
        <v>1604</v>
      </c>
      <c r="B1590" s="12" t="n">
        <v>46017</v>
      </c>
      <c r="C1590" s="11" t="inlineStr">
        <is>
          <t>credibanco d e retefuente voucher y</t>
        </is>
      </c>
      <c r="D1590" s="13" t="n">
        <v>-782</v>
      </c>
      <c r="E1590" s="11">
        <f>IF(SUM(COUNTIFS('Conciliacion de compuestos'!$D$2:$D$48,"conciliado",'Conciliacion de compuestos'!$E$2:$E$48,"OK",'Conciliacion de compuestos'!$J$2:$J$48,A1590),COUNTIFS('Conciliacion de compuestos'!$D$2:$D$48,"conciliado",'Conciliacion de compuestos'!$E$2:$E$48,"OK",'Conciliacion de compuestos'!$K$2:$K$48,A1590),COUNTIFS('Conciliacion de compuestos'!$D$2:$D$48,"conciliado",'Conciliacion de compuestos'!$E$2:$E$48,"OK",'Conciliacion de compuestos'!$L$2:$L$48,A1590))&gt;0,"conciliado en compuesto confirmado","disponible")</f>
        <v/>
      </c>
    </row>
    <row r="1591">
      <c r="A1591" s="11" t="n">
        <v>1605</v>
      </c>
      <c r="B1591" s="12" t="n">
        <v>46017</v>
      </c>
      <c r="C1591" s="11" t="inlineStr">
        <is>
          <t>a financiero gravamen movimiento</t>
        </is>
      </c>
      <c r="D1591" s="13" t="n">
        <v>-3</v>
      </c>
      <c r="E1591" s="11">
        <f>IF(SUM(COUNTIFS('Conciliacion de compuestos'!$D$2:$D$48,"conciliado",'Conciliacion de compuestos'!$E$2:$E$48,"OK",'Conciliacion de compuestos'!$J$2:$J$48,A1591),COUNTIFS('Conciliacion de compuestos'!$D$2:$D$48,"conciliado",'Conciliacion de compuestos'!$E$2:$E$48,"OK",'Conciliacion de compuestos'!$K$2:$K$48,A1591),COUNTIFS('Conciliacion de compuestos'!$D$2:$D$48,"conciliado",'Conciliacion de compuestos'!$E$2:$E$48,"OK",'Conciliacion de compuestos'!$L$2:$L$48,A1591))&gt;0,"conciliado en compuesto confirmado","disponible")</f>
        <v/>
      </c>
    </row>
    <row r="1592">
      <c r="A1592" s="11" t="n">
        <v>1606</v>
      </c>
      <c r="B1592" s="12" t="n">
        <v>46017</v>
      </c>
      <c r="C1592" s="11" t="inlineStr">
        <is>
          <t>consignacion credibanco d e</t>
        </is>
      </c>
      <c r="D1592" s="13" t="n">
        <v>221000</v>
      </c>
      <c r="E1592" s="11">
        <f>IF(SUM(COUNTIFS('Conciliacion de compuestos'!$D$2:$D$48,"conciliado",'Conciliacion de compuestos'!$E$2:$E$48,"OK",'Conciliacion de compuestos'!$J$2:$J$48,A1592),COUNTIFS('Conciliacion de compuestos'!$D$2:$D$48,"conciliado",'Conciliacion de compuestos'!$E$2:$E$48,"OK",'Conciliacion de compuestos'!$K$2:$K$48,A1592),COUNTIFS('Conciliacion de compuestos'!$D$2:$D$48,"conciliado",'Conciliacion de compuestos'!$E$2:$E$48,"OK",'Conciliacion de compuestos'!$L$2:$L$48,A1592))&gt;0,"conciliado en compuesto confirmado","disponible")</f>
        <v/>
      </c>
    </row>
    <row r="1593">
      <c r="A1593" s="11" t="n">
        <v>1607</v>
      </c>
      <c r="B1593" s="12" t="n">
        <v>46017</v>
      </c>
      <c r="C1593" s="11" t="inlineStr">
        <is>
          <t>cobro comision depositos electronicos</t>
        </is>
      </c>
      <c r="D1593" s="13" t="n">
        <v>-4840</v>
      </c>
      <c r="E1593" s="11">
        <f>IF(SUM(COUNTIFS('Conciliacion de compuestos'!$D$2:$D$48,"conciliado",'Conciliacion de compuestos'!$E$2:$E$48,"OK",'Conciliacion de compuestos'!$J$2:$J$48,A1593),COUNTIFS('Conciliacion de compuestos'!$D$2:$D$48,"conciliado",'Conciliacion de compuestos'!$E$2:$E$48,"OK",'Conciliacion de compuestos'!$K$2:$K$48,A1593),COUNTIFS('Conciliacion de compuestos'!$D$2:$D$48,"conciliado",'Conciliacion de compuestos'!$E$2:$E$48,"OK",'Conciliacion de compuestos'!$L$2:$L$48,A1593))&gt;0,"conciliado en compuesto confirmado","disponible")</f>
        <v/>
      </c>
    </row>
    <row r="1594">
      <c r="A1594" s="11" t="n">
        <v>1608</v>
      </c>
      <c r="B1594" s="12" t="n">
        <v>46017</v>
      </c>
      <c r="C1594" s="11" t="inlineStr">
        <is>
          <t>a financiero gravamen movimiento</t>
        </is>
      </c>
      <c r="D1594" s="13" t="n">
        <v>-19</v>
      </c>
      <c r="E1594" s="11">
        <f>IF(SUM(COUNTIFS('Conciliacion de compuestos'!$D$2:$D$48,"conciliado",'Conciliacion de compuestos'!$E$2:$E$48,"OK",'Conciliacion de compuestos'!$J$2:$J$48,A1594),COUNTIFS('Conciliacion de compuestos'!$D$2:$D$48,"conciliado",'Conciliacion de compuestos'!$E$2:$E$48,"OK",'Conciliacion de compuestos'!$K$2:$K$48,A1594),COUNTIFS('Conciliacion de compuestos'!$D$2:$D$48,"conciliado",'Conciliacion de compuestos'!$E$2:$E$48,"OK",'Conciliacion de compuestos'!$L$2:$L$48,A1594))&gt;0,"conciliado en compuesto confirmado","disponible")</f>
        <v/>
      </c>
    </row>
    <row r="1595">
      <c r="A1595" s="11" t="n">
        <v>1609</v>
      </c>
      <c r="B1595" s="12" t="n">
        <v>46017</v>
      </c>
      <c r="C1595" s="11" t="inlineStr">
        <is>
          <t>credibanco d e retefuente voucher y</t>
        </is>
      </c>
      <c r="D1595" s="13" t="n">
        <v>-3315</v>
      </c>
      <c r="E1595" s="11">
        <f>IF(SUM(COUNTIFS('Conciliacion de compuestos'!$D$2:$D$48,"conciliado",'Conciliacion de compuestos'!$E$2:$E$48,"OK",'Conciliacion de compuestos'!$J$2:$J$48,A1595),COUNTIFS('Conciliacion de compuestos'!$D$2:$D$48,"conciliado",'Conciliacion de compuestos'!$E$2:$E$48,"OK",'Conciliacion de compuestos'!$K$2:$K$48,A1595),COUNTIFS('Conciliacion de compuestos'!$D$2:$D$48,"conciliado",'Conciliacion de compuestos'!$E$2:$E$48,"OK",'Conciliacion de compuestos'!$L$2:$L$48,A1595))&gt;0,"conciliado en compuesto confirmado","disponible")</f>
        <v/>
      </c>
    </row>
    <row r="1596">
      <c r="A1596" s="11" t="n">
        <v>1610</v>
      </c>
      <c r="B1596" s="12" t="n">
        <v>46017</v>
      </c>
      <c r="C1596" s="11" t="inlineStr">
        <is>
          <t>a financiero gravamen movimiento</t>
        </is>
      </c>
      <c r="D1596" s="13" t="n">
        <v>-13</v>
      </c>
      <c r="E1596" s="11">
        <f>IF(SUM(COUNTIFS('Conciliacion de compuestos'!$D$2:$D$48,"conciliado",'Conciliacion de compuestos'!$E$2:$E$48,"OK",'Conciliacion de compuestos'!$J$2:$J$48,A1596),COUNTIFS('Conciliacion de compuestos'!$D$2:$D$48,"conciliado",'Conciliacion de compuestos'!$E$2:$E$48,"OK",'Conciliacion de compuestos'!$K$2:$K$48,A1596),COUNTIFS('Conciliacion de compuestos'!$D$2:$D$48,"conciliado",'Conciliacion de compuestos'!$E$2:$E$48,"OK",'Conciliacion de compuestos'!$L$2:$L$48,A1596))&gt;0,"conciliado en compuesto confirmado","disponible")</f>
        <v/>
      </c>
    </row>
    <row r="1597">
      <c r="A1597" s="11" t="n">
        <v>1611</v>
      </c>
      <c r="B1597" s="12" t="n">
        <v>46017</v>
      </c>
      <c r="C1597" s="11" t="inlineStr">
        <is>
          <t>consignacion credibanco d e</t>
        </is>
      </c>
      <c r="D1597" s="13" t="n">
        <v>98000</v>
      </c>
      <c r="E1597" s="11">
        <f>IF(SUM(COUNTIFS('Conciliacion de compuestos'!$D$2:$D$48,"conciliado",'Conciliacion de compuestos'!$E$2:$E$48,"OK",'Conciliacion de compuestos'!$J$2:$J$48,A1597),COUNTIFS('Conciliacion de compuestos'!$D$2:$D$48,"conciliado",'Conciliacion de compuestos'!$E$2:$E$48,"OK",'Conciliacion de compuestos'!$K$2:$K$48,A1597),COUNTIFS('Conciliacion de compuestos'!$D$2:$D$48,"conciliado",'Conciliacion de compuestos'!$E$2:$E$48,"OK",'Conciliacion de compuestos'!$L$2:$L$48,A1597))&gt;0,"conciliado en compuesto confirmado","disponible")</f>
        <v/>
      </c>
    </row>
    <row r="1598">
      <c r="A1598" s="11" t="n">
        <v>1612</v>
      </c>
      <c r="B1598" s="12" t="n">
        <v>46017</v>
      </c>
      <c r="C1598" s="11" t="inlineStr">
        <is>
          <t>cobro comision depositos electronicos</t>
        </is>
      </c>
      <c r="D1598" s="13" t="n">
        <v>-2146</v>
      </c>
      <c r="E1598" s="11">
        <f>IF(SUM(COUNTIFS('Conciliacion de compuestos'!$D$2:$D$48,"conciliado",'Conciliacion de compuestos'!$E$2:$E$48,"OK",'Conciliacion de compuestos'!$J$2:$J$48,A1598),COUNTIFS('Conciliacion de compuestos'!$D$2:$D$48,"conciliado",'Conciliacion de compuestos'!$E$2:$E$48,"OK",'Conciliacion de compuestos'!$K$2:$K$48,A1598),COUNTIFS('Conciliacion de compuestos'!$D$2:$D$48,"conciliado",'Conciliacion de compuestos'!$E$2:$E$48,"OK",'Conciliacion de compuestos'!$L$2:$L$48,A1598))&gt;0,"conciliado en compuesto confirmado","disponible")</f>
        <v/>
      </c>
    </row>
    <row r="1599">
      <c r="A1599" s="11" t="n">
        <v>1613</v>
      </c>
      <c r="B1599" s="12" t="n">
        <v>46017</v>
      </c>
      <c r="C1599" s="11" t="inlineStr">
        <is>
          <t>a financiero gravamen movimiento</t>
        </is>
      </c>
      <c r="D1599" s="13" t="n">
        <v>-9</v>
      </c>
      <c r="E1599" s="11">
        <f>IF(SUM(COUNTIFS('Conciliacion de compuestos'!$D$2:$D$48,"conciliado",'Conciliacion de compuestos'!$E$2:$E$48,"OK",'Conciliacion de compuestos'!$J$2:$J$48,A1599),COUNTIFS('Conciliacion de compuestos'!$D$2:$D$48,"conciliado",'Conciliacion de compuestos'!$E$2:$E$48,"OK",'Conciliacion de compuestos'!$K$2:$K$48,A1599),COUNTIFS('Conciliacion de compuestos'!$D$2:$D$48,"conciliado",'Conciliacion de compuestos'!$E$2:$E$48,"OK",'Conciliacion de compuestos'!$L$2:$L$48,A1599))&gt;0,"conciliado en compuesto confirmado","disponible")</f>
        <v/>
      </c>
    </row>
    <row r="1600">
      <c r="A1600" s="11" t="n">
        <v>1614</v>
      </c>
      <c r="B1600" s="12" t="n">
        <v>46017</v>
      </c>
      <c r="C1600" s="11" t="inlineStr">
        <is>
          <t>credibanco d e retefuente voucher y</t>
        </is>
      </c>
      <c r="D1600" s="13" t="n">
        <v>-1470</v>
      </c>
      <c r="E1600" s="11">
        <f>IF(SUM(COUNTIFS('Conciliacion de compuestos'!$D$2:$D$48,"conciliado",'Conciliacion de compuestos'!$E$2:$E$48,"OK",'Conciliacion de compuestos'!$J$2:$J$48,A1600),COUNTIFS('Conciliacion de compuestos'!$D$2:$D$48,"conciliado",'Conciliacion de compuestos'!$E$2:$E$48,"OK",'Conciliacion de compuestos'!$K$2:$K$48,A1600),COUNTIFS('Conciliacion de compuestos'!$D$2:$D$48,"conciliado",'Conciliacion de compuestos'!$E$2:$E$48,"OK",'Conciliacion de compuestos'!$L$2:$L$48,A1600))&gt;0,"conciliado en compuesto confirmado","disponible")</f>
        <v/>
      </c>
    </row>
    <row r="1601">
      <c r="A1601" s="11" t="n">
        <v>1615</v>
      </c>
      <c r="B1601" s="12" t="n">
        <v>46017</v>
      </c>
      <c r="C1601" s="11" t="inlineStr">
        <is>
          <t>a financiero gravamen movimiento</t>
        </is>
      </c>
      <c r="D1601" s="13" t="n">
        <v>-6</v>
      </c>
      <c r="E1601" s="11">
        <f>IF(SUM(COUNTIFS('Conciliacion de compuestos'!$D$2:$D$48,"conciliado",'Conciliacion de compuestos'!$E$2:$E$48,"OK",'Conciliacion de compuestos'!$J$2:$J$48,A1601),COUNTIFS('Conciliacion de compuestos'!$D$2:$D$48,"conciliado",'Conciliacion de compuestos'!$E$2:$E$48,"OK",'Conciliacion de compuestos'!$K$2:$K$48,A1601),COUNTIFS('Conciliacion de compuestos'!$D$2:$D$48,"conciliado",'Conciliacion de compuestos'!$E$2:$E$48,"OK",'Conciliacion de compuestos'!$L$2:$L$48,A1601))&gt;0,"conciliado en compuesto confirmado","disponible")</f>
        <v/>
      </c>
    </row>
    <row r="1602">
      <c r="A1602" s="11" t="n">
        <v>1616</v>
      </c>
      <c r="B1602" s="12" t="n">
        <v>46017</v>
      </c>
      <c r="C1602" s="11" t="inlineStr">
        <is>
          <t>depositos electronicos masterca transaccion</t>
        </is>
      </c>
      <c r="D1602" s="13" t="n">
        <v>876900</v>
      </c>
      <c r="E1602" s="11">
        <f>IF(SUM(COUNTIFS('Conciliacion de compuestos'!$D$2:$D$48,"conciliado",'Conciliacion de compuestos'!$E$2:$E$48,"OK",'Conciliacion de compuestos'!$J$2:$J$48,A1602),COUNTIFS('Conciliacion de compuestos'!$D$2:$D$48,"conciliado",'Conciliacion de compuestos'!$E$2:$E$48,"OK",'Conciliacion de compuestos'!$K$2:$K$48,A1602),COUNTIFS('Conciliacion de compuestos'!$D$2:$D$48,"conciliado",'Conciliacion de compuestos'!$E$2:$E$48,"OK",'Conciliacion de compuestos'!$L$2:$L$48,A1602))&gt;0,"conciliado en compuesto confirmado","disponible")</f>
        <v/>
      </c>
    </row>
    <row r="1603">
      <c r="A1603" s="11" t="n">
        <v>1617</v>
      </c>
      <c r="B1603" s="12" t="n">
        <v>46017</v>
      </c>
      <c r="C1603" s="11" t="inlineStr">
        <is>
          <t>comision depositos electronicos mastercard</t>
        </is>
      </c>
      <c r="D1603" s="13" t="n">
        <v>-20607</v>
      </c>
      <c r="E1603" s="11">
        <f>IF(SUM(COUNTIFS('Conciliacion de compuestos'!$D$2:$D$48,"conciliado",'Conciliacion de compuestos'!$E$2:$E$48,"OK",'Conciliacion de compuestos'!$J$2:$J$48,A1603),COUNTIFS('Conciliacion de compuestos'!$D$2:$D$48,"conciliado",'Conciliacion de compuestos'!$E$2:$E$48,"OK",'Conciliacion de compuestos'!$K$2:$K$48,A1603),COUNTIFS('Conciliacion de compuestos'!$D$2:$D$48,"conciliado",'Conciliacion de compuestos'!$E$2:$E$48,"OK",'Conciliacion de compuestos'!$L$2:$L$48,A1603))&gt;0,"conciliado en compuesto confirmado","disponible")</f>
        <v/>
      </c>
    </row>
    <row r="1604">
      <c r="A1604" s="11" t="n">
        <v>1618</v>
      </c>
      <c r="B1604" s="12" t="n">
        <v>46017</v>
      </c>
      <c r="C1604" s="11" t="inlineStr">
        <is>
          <t>a financiero gravamen movimiento</t>
        </is>
      </c>
      <c r="D1604" s="13" t="n">
        <v>-82</v>
      </c>
      <c r="E1604" s="11">
        <f>IF(SUM(COUNTIFS('Conciliacion de compuestos'!$D$2:$D$48,"conciliado",'Conciliacion de compuestos'!$E$2:$E$48,"OK",'Conciliacion de compuestos'!$J$2:$J$48,A1604),COUNTIFS('Conciliacion de compuestos'!$D$2:$D$48,"conciliado",'Conciliacion de compuestos'!$E$2:$E$48,"OK",'Conciliacion de compuestos'!$K$2:$K$48,A1604),COUNTIFS('Conciliacion de compuestos'!$D$2:$D$48,"conciliado",'Conciliacion de compuestos'!$E$2:$E$48,"OK",'Conciliacion de compuestos'!$L$2:$L$48,A1604))&gt;0,"conciliado en compuesto confirmado","disponible")</f>
        <v/>
      </c>
    </row>
    <row r="1605">
      <c r="A1605" s="11" t="n">
        <v>1619</v>
      </c>
      <c r="B1605" s="12" t="n">
        <v>46017</v>
      </c>
      <c r="C1605" s="11" t="inlineStr">
        <is>
          <t>depositos electronicos mastercar retefuente</t>
        </is>
      </c>
      <c r="D1605" s="13" t="n">
        <v>-13154</v>
      </c>
      <c r="E1605" s="11">
        <f>IF(SUM(COUNTIFS('Conciliacion de compuestos'!$D$2:$D$48,"conciliado",'Conciliacion de compuestos'!$E$2:$E$48,"OK",'Conciliacion de compuestos'!$J$2:$J$48,A1605),COUNTIFS('Conciliacion de compuestos'!$D$2:$D$48,"conciliado",'Conciliacion de compuestos'!$E$2:$E$48,"OK",'Conciliacion de compuestos'!$K$2:$K$48,A1605),COUNTIFS('Conciliacion de compuestos'!$D$2:$D$48,"conciliado",'Conciliacion de compuestos'!$E$2:$E$48,"OK",'Conciliacion de compuestos'!$L$2:$L$48,A1605))&gt;0,"conciliado en compuesto confirmado","disponible")</f>
        <v/>
      </c>
    </row>
    <row r="1606">
      <c r="A1606" s="11" t="n">
        <v>1620</v>
      </c>
      <c r="B1606" s="12" t="n">
        <v>46017</v>
      </c>
      <c r="C1606" s="11" t="inlineStr">
        <is>
          <t>a financiero gravamen movimiento</t>
        </is>
      </c>
      <c r="D1606" s="13" t="n">
        <v>-53</v>
      </c>
      <c r="E1606" s="11">
        <f>IF(SUM(COUNTIFS('Conciliacion de compuestos'!$D$2:$D$48,"conciliado",'Conciliacion de compuestos'!$E$2:$E$48,"OK",'Conciliacion de compuestos'!$J$2:$J$48,A1606),COUNTIFS('Conciliacion de compuestos'!$D$2:$D$48,"conciliado",'Conciliacion de compuestos'!$E$2:$E$48,"OK",'Conciliacion de compuestos'!$K$2:$K$48,A1606),COUNTIFS('Conciliacion de compuestos'!$D$2:$D$48,"conciliado",'Conciliacion de compuestos'!$E$2:$E$48,"OK",'Conciliacion de compuestos'!$L$2:$L$48,A1606))&gt;0,"conciliado en compuesto confirmado","disponible")</f>
        <v/>
      </c>
    </row>
    <row r="1607">
      <c r="A1607" s="11" t="n">
        <v>1621</v>
      </c>
      <c r="B1607" s="12" t="n">
        <v>46017</v>
      </c>
      <c r="C1607" s="11" t="inlineStr">
        <is>
          <t>depositos electronicos masterca transaccion</t>
        </is>
      </c>
      <c r="D1607" s="13" t="n">
        <v>412600</v>
      </c>
      <c r="E1607" s="11">
        <f>IF(SUM(COUNTIFS('Conciliacion de compuestos'!$D$2:$D$48,"conciliado",'Conciliacion de compuestos'!$E$2:$E$48,"OK",'Conciliacion de compuestos'!$J$2:$J$48,A1607),COUNTIFS('Conciliacion de compuestos'!$D$2:$D$48,"conciliado",'Conciliacion de compuestos'!$E$2:$E$48,"OK",'Conciliacion de compuestos'!$K$2:$K$48,A1607),COUNTIFS('Conciliacion de compuestos'!$D$2:$D$48,"conciliado",'Conciliacion de compuestos'!$E$2:$E$48,"OK",'Conciliacion de compuestos'!$L$2:$L$48,A1607))&gt;0,"conciliado en compuesto confirmado","disponible")</f>
        <v/>
      </c>
    </row>
    <row r="1608">
      <c r="A1608" s="11" t="n">
        <v>1622</v>
      </c>
      <c r="B1608" s="12" t="n">
        <v>46017</v>
      </c>
      <c r="C1608" s="11" t="inlineStr">
        <is>
          <t>comision depositos electronicos mastercard</t>
        </is>
      </c>
      <c r="D1608" s="13" t="n">
        <v>-9696</v>
      </c>
      <c r="E1608" s="11">
        <f>IF(SUM(COUNTIFS('Conciliacion de compuestos'!$D$2:$D$48,"conciliado",'Conciliacion de compuestos'!$E$2:$E$48,"OK",'Conciliacion de compuestos'!$J$2:$J$48,A1608),COUNTIFS('Conciliacion de compuestos'!$D$2:$D$48,"conciliado",'Conciliacion de compuestos'!$E$2:$E$48,"OK",'Conciliacion de compuestos'!$K$2:$K$48,A1608),COUNTIFS('Conciliacion de compuestos'!$D$2:$D$48,"conciliado",'Conciliacion de compuestos'!$E$2:$E$48,"OK",'Conciliacion de compuestos'!$L$2:$L$48,A1608))&gt;0,"conciliado en compuesto confirmado","disponible")</f>
        <v/>
      </c>
    </row>
    <row r="1609">
      <c r="A1609" s="11" t="n">
        <v>1623</v>
      </c>
      <c r="B1609" s="12" t="n">
        <v>46017</v>
      </c>
      <c r="C1609" s="11" t="inlineStr">
        <is>
          <t>a financiero gravamen movimiento</t>
        </is>
      </c>
      <c r="D1609" s="13" t="n">
        <v>-39</v>
      </c>
      <c r="E1609" s="11">
        <f>IF(SUM(COUNTIFS('Conciliacion de compuestos'!$D$2:$D$48,"conciliado",'Conciliacion de compuestos'!$E$2:$E$48,"OK",'Conciliacion de compuestos'!$J$2:$J$48,A1609),COUNTIFS('Conciliacion de compuestos'!$D$2:$D$48,"conciliado",'Conciliacion de compuestos'!$E$2:$E$48,"OK",'Conciliacion de compuestos'!$K$2:$K$48,A1609),COUNTIFS('Conciliacion de compuestos'!$D$2:$D$48,"conciliado",'Conciliacion de compuestos'!$E$2:$E$48,"OK",'Conciliacion de compuestos'!$L$2:$L$48,A1609))&gt;0,"conciliado en compuesto confirmado","disponible")</f>
        <v/>
      </c>
    </row>
    <row r="1610">
      <c r="A1610" s="11" t="n">
        <v>1624</v>
      </c>
      <c r="B1610" s="12" t="n">
        <v>46017</v>
      </c>
      <c r="C1610" s="11" t="inlineStr">
        <is>
          <t>depositos electronicos mastercar retefuente</t>
        </is>
      </c>
      <c r="D1610" s="13" t="n">
        <v>-6189</v>
      </c>
      <c r="E1610" s="11">
        <f>IF(SUM(COUNTIFS('Conciliacion de compuestos'!$D$2:$D$48,"conciliado",'Conciliacion de compuestos'!$E$2:$E$48,"OK",'Conciliacion de compuestos'!$J$2:$J$48,A1610),COUNTIFS('Conciliacion de compuestos'!$D$2:$D$48,"conciliado",'Conciliacion de compuestos'!$E$2:$E$48,"OK",'Conciliacion de compuestos'!$K$2:$K$48,A1610),COUNTIFS('Conciliacion de compuestos'!$D$2:$D$48,"conciliado",'Conciliacion de compuestos'!$E$2:$E$48,"OK",'Conciliacion de compuestos'!$L$2:$L$48,A1610))&gt;0,"conciliado en compuesto confirmado","disponible")</f>
        <v/>
      </c>
    </row>
    <row r="1611">
      <c r="A1611" s="11" t="n">
        <v>1625</v>
      </c>
      <c r="B1611" s="12" t="n">
        <v>46017</v>
      </c>
      <c r="C1611" s="11" t="inlineStr">
        <is>
          <t>a financiero gravamen movimiento</t>
        </is>
      </c>
      <c r="D1611" s="13" t="n">
        <v>-25</v>
      </c>
      <c r="E1611" s="11">
        <f>IF(SUM(COUNTIFS('Conciliacion de compuestos'!$D$2:$D$48,"conciliado",'Conciliacion de compuestos'!$E$2:$E$48,"OK",'Conciliacion de compuestos'!$J$2:$J$48,A1611),COUNTIFS('Conciliacion de compuestos'!$D$2:$D$48,"conciliado",'Conciliacion de compuestos'!$E$2:$E$48,"OK",'Conciliacion de compuestos'!$K$2:$K$48,A1611),COUNTIFS('Conciliacion de compuestos'!$D$2:$D$48,"conciliado",'Conciliacion de compuestos'!$E$2:$E$48,"OK",'Conciliacion de compuestos'!$L$2:$L$48,A1611))&gt;0,"conciliado en compuesto confirmado","disponible")</f>
        <v/>
      </c>
    </row>
    <row r="1612">
      <c r="A1612" s="11" t="n">
        <v>1626</v>
      </c>
      <c r="B1612" s="12" t="n">
        <v>46017</v>
      </c>
      <c r="C1612" s="11" t="inlineStr">
        <is>
          <t>depositos electronicos masterca transaccion</t>
        </is>
      </c>
      <c r="D1612" s="13" t="n">
        <v>148400</v>
      </c>
      <c r="E1612" s="11">
        <f>IF(SUM(COUNTIFS('Conciliacion de compuestos'!$D$2:$D$48,"conciliado",'Conciliacion de compuestos'!$E$2:$E$48,"OK",'Conciliacion de compuestos'!$J$2:$J$48,A1612),COUNTIFS('Conciliacion de compuestos'!$D$2:$D$48,"conciliado",'Conciliacion de compuestos'!$E$2:$E$48,"OK",'Conciliacion de compuestos'!$K$2:$K$48,A1612),COUNTIFS('Conciliacion de compuestos'!$D$2:$D$48,"conciliado",'Conciliacion de compuestos'!$E$2:$E$48,"OK",'Conciliacion de compuestos'!$L$2:$L$48,A1612))&gt;0,"conciliado en compuesto confirmado","disponible")</f>
        <v/>
      </c>
    </row>
    <row r="1613">
      <c r="A1613" s="11" t="n">
        <v>1627</v>
      </c>
      <c r="B1613" s="12" t="n">
        <v>46017</v>
      </c>
      <c r="C1613" s="11" t="inlineStr">
        <is>
          <t>comision depositos electronicos mastercard</t>
        </is>
      </c>
      <c r="D1613" s="13" t="n">
        <v>-2820</v>
      </c>
      <c r="E1613" s="11">
        <f>IF(SUM(COUNTIFS('Conciliacion de compuestos'!$D$2:$D$48,"conciliado",'Conciliacion de compuestos'!$E$2:$E$48,"OK",'Conciliacion de compuestos'!$J$2:$J$48,A1613),COUNTIFS('Conciliacion de compuestos'!$D$2:$D$48,"conciliado",'Conciliacion de compuestos'!$E$2:$E$48,"OK",'Conciliacion de compuestos'!$K$2:$K$48,A1613),COUNTIFS('Conciliacion de compuestos'!$D$2:$D$48,"conciliado",'Conciliacion de compuestos'!$E$2:$E$48,"OK",'Conciliacion de compuestos'!$L$2:$L$48,A1613))&gt;0,"conciliado en compuesto confirmado","disponible")</f>
        <v/>
      </c>
    </row>
    <row r="1614">
      <c r="A1614" s="11" t="n">
        <v>1628</v>
      </c>
      <c r="B1614" s="12" t="n">
        <v>46017</v>
      </c>
      <c r="C1614" s="11" t="inlineStr">
        <is>
          <t>a financiero gravamen movimiento</t>
        </is>
      </c>
      <c r="D1614" s="13" t="n">
        <v>-11</v>
      </c>
      <c r="E1614" s="11">
        <f>IF(SUM(COUNTIFS('Conciliacion de compuestos'!$D$2:$D$48,"conciliado",'Conciliacion de compuestos'!$E$2:$E$48,"OK",'Conciliacion de compuestos'!$J$2:$J$48,A1614),COUNTIFS('Conciliacion de compuestos'!$D$2:$D$48,"conciliado",'Conciliacion de compuestos'!$E$2:$E$48,"OK",'Conciliacion de compuestos'!$K$2:$K$48,A1614),COUNTIFS('Conciliacion de compuestos'!$D$2:$D$48,"conciliado",'Conciliacion de compuestos'!$E$2:$E$48,"OK",'Conciliacion de compuestos'!$L$2:$L$48,A1614))&gt;0,"conciliado en compuesto confirmado","disponible")</f>
        <v/>
      </c>
    </row>
    <row r="1615">
      <c r="A1615" s="11" t="n">
        <v>1629</v>
      </c>
      <c r="B1615" s="12" t="n">
        <v>46017</v>
      </c>
      <c r="C1615" s="11" t="inlineStr">
        <is>
          <t>depositos electronicos mastercar retefuente</t>
        </is>
      </c>
      <c r="D1615" s="13" t="n">
        <v>-2226</v>
      </c>
      <c r="E1615" s="11">
        <f>IF(SUM(COUNTIFS('Conciliacion de compuestos'!$D$2:$D$48,"conciliado",'Conciliacion de compuestos'!$E$2:$E$48,"OK",'Conciliacion de compuestos'!$J$2:$J$48,A1615),COUNTIFS('Conciliacion de compuestos'!$D$2:$D$48,"conciliado",'Conciliacion de compuestos'!$E$2:$E$48,"OK",'Conciliacion de compuestos'!$K$2:$K$48,A1615),COUNTIFS('Conciliacion de compuestos'!$D$2:$D$48,"conciliado",'Conciliacion de compuestos'!$E$2:$E$48,"OK",'Conciliacion de compuestos'!$L$2:$L$48,A1615))&gt;0,"conciliado en compuesto confirmado","disponible")</f>
        <v/>
      </c>
    </row>
    <row r="1616">
      <c r="A1616" s="11" t="n">
        <v>1630</v>
      </c>
      <c r="B1616" s="12" t="n">
        <v>46017</v>
      </c>
      <c r="C1616" s="11" t="inlineStr">
        <is>
          <t>a financiero gravamen movimiento</t>
        </is>
      </c>
      <c r="D1616" s="13" t="n">
        <v>-9</v>
      </c>
      <c r="E1616" s="11">
        <f>IF(SUM(COUNTIFS('Conciliacion de compuestos'!$D$2:$D$48,"conciliado",'Conciliacion de compuestos'!$E$2:$E$48,"OK",'Conciliacion de compuestos'!$J$2:$J$48,A1616),COUNTIFS('Conciliacion de compuestos'!$D$2:$D$48,"conciliado",'Conciliacion de compuestos'!$E$2:$E$48,"OK",'Conciliacion de compuestos'!$K$2:$K$48,A1616),COUNTIFS('Conciliacion de compuestos'!$D$2:$D$48,"conciliado",'Conciliacion de compuestos'!$E$2:$E$48,"OK",'Conciliacion de compuestos'!$L$2:$L$48,A1616))&gt;0,"conciliado en compuesto confirmado","disponible")</f>
        <v/>
      </c>
    </row>
    <row r="1617">
      <c r="A1617" s="11" t="n">
        <v>1631</v>
      </c>
      <c r="B1617" s="12" t="n">
        <v>46017</v>
      </c>
      <c r="C1617" s="11" t="inlineStr">
        <is>
          <t>depositos electronicos masterca transaccion</t>
        </is>
      </c>
      <c r="D1617" s="13" t="n">
        <v>511500</v>
      </c>
      <c r="E1617" s="11">
        <f>IF(SUM(COUNTIFS('Conciliacion de compuestos'!$D$2:$D$48,"conciliado",'Conciliacion de compuestos'!$E$2:$E$48,"OK",'Conciliacion de compuestos'!$J$2:$J$48,A1617),COUNTIFS('Conciliacion de compuestos'!$D$2:$D$48,"conciliado",'Conciliacion de compuestos'!$E$2:$E$48,"OK",'Conciliacion de compuestos'!$K$2:$K$48,A1617),COUNTIFS('Conciliacion de compuestos'!$D$2:$D$48,"conciliado",'Conciliacion de compuestos'!$E$2:$E$48,"OK",'Conciliacion de compuestos'!$L$2:$L$48,A1617))&gt;0,"conciliado en compuesto confirmado","disponible")</f>
        <v/>
      </c>
    </row>
    <row r="1618">
      <c r="A1618" s="11" t="n">
        <v>1632</v>
      </c>
      <c r="B1618" s="12" t="n">
        <v>46017</v>
      </c>
      <c r="C1618" s="11" t="inlineStr">
        <is>
          <t>comision depositos electronicos mastercard</t>
        </is>
      </c>
      <c r="D1618" s="13" t="n">
        <v>-12020</v>
      </c>
      <c r="E1618" s="11">
        <f>IF(SUM(COUNTIFS('Conciliacion de compuestos'!$D$2:$D$48,"conciliado",'Conciliacion de compuestos'!$E$2:$E$48,"OK",'Conciliacion de compuestos'!$J$2:$J$48,A1618),COUNTIFS('Conciliacion de compuestos'!$D$2:$D$48,"conciliado",'Conciliacion de compuestos'!$E$2:$E$48,"OK",'Conciliacion de compuestos'!$K$2:$K$48,A1618),COUNTIFS('Conciliacion de compuestos'!$D$2:$D$48,"conciliado",'Conciliacion de compuestos'!$E$2:$E$48,"OK",'Conciliacion de compuestos'!$L$2:$L$48,A1618))&gt;0,"conciliado en compuesto confirmado","disponible")</f>
        <v/>
      </c>
    </row>
    <row r="1619">
      <c r="A1619" s="11" t="n">
        <v>1633</v>
      </c>
      <c r="B1619" s="12" t="n">
        <v>46017</v>
      </c>
      <c r="C1619" s="11" t="inlineStr">
        <is>
          <t>a financiero gravamen movimiento</t>
        </is>
      </c>
      <c r="D1619" s="13" t="n">
        <v>-48</v>
      </c>
      <c r="E1619" s="11">
        <f>IF(SUM(COUNTIFS('Conciliacion de compuestos'!$D$2:$D$48,"conciliado",'Conciliacion de compuestos'!$E$2:$E$48,"OK",'Conciliacion de compuestos'!$J$2:$J$48,A1619),COUNTIFS('Conciliacion de compuestos'!$D$2:$D$48,"conciliado",'Conciliacion de compuestos'!$E$2:$E$48,"OK",'Conciliacion de compuestos'!$K$2:$K$48,A1619),COUNTIFS('Conciliacion de compuestos'!$D$2:$D$48,"conciliado",'Conciliacion de compuestos'!$E$2:$E$48,"OK",'Conciliacion de compuestos'!$L$2:$L$48,A1619))&gt;0,"conciliado en compuesto confirmado","disponible")</f>
        <v/>
      </c>
    </row>
    <row r="1620">
      <c r="A1620" s="11" t="n">
        <v>1634</v>
      </c>
      <c r="B1620" s="12" t="n">
        <v>46017</v>
      </c>
      <c r="C1620" s="11" t="inlineStr">
        <is>
          <t>depositos electronicos mastercar retefuente</t>
        </is>
      </c>
      <c r="D1620" s="13" t="n">
        <v>-7673</v>
      </c>
      <c r="E1620" s="11">
        <f>IF(SUM(COUNTIFS('Conciliacion de compuestos'!$D$2:$D$48,"conciliado",'Conciliacion de compuestos'!$E$2:$E$48,"OK",'Conciliacion de compuestos'!$J$2:$J$48,A1620),COUNTIFS('Conciliacion de compuestos'!$D$2:$D$48,"conciliado",'Conciliacion de compuestos'!$E$2:$E$48,"OK",'Conciliacion de compuestos'!$K$2:$K$48,A1620),COUNTIFS('Conciliacion de compuestos'!$D$2:$D$48,"conciliado",'Conciliacion de compuestos'!$E$2:$E$48,"OK",'Conciliacion de compuestos'!$L$2:$L$48,A1620))&gt;0,"conciliado en compuesto confirmado","disponible")</f>
        <v/>
      </c>
    </row>
    <row r="1621">
      <c r="A1621" s="11" t="n">
        <v>1635</v>
      </c>
      <c r="B1621" s="12" t="n">
        <v>46017</v>
      </c>
      <c r="C1621" s="11" t="inlineStr">
        <is>
          <t>a financiero gravamen movimiento</t>
        </is>
      </c>
      <c r="D1621" s="13" t="n">
        <v>-31</v>
      </c>
      <c r="E1621" s="11">
        <f>IF(SUM(COUNTIFS('Conciliacion de compuestos'!$D$2:$D$48,"conciliado",'Conciliacion de compuestos'!$E$2:$E$48,"OK",'Conciliacion de compuestos'!$J$2:$J$48,A1621),COUNTIFS('Conciliacion de compuestos'!$D$2:$D$48,"conciliado",'Conciliacion de compuestos'!$E$2:$E$48,"OK",'Conciliacion de compuestos'!$K$2:$K$48,A1621),COUNTIFS('Conciliacion de compuestos'!$D$2:$D$48,"conciliado",'Conciliacion de compuestos'!$E$2:$E$48,"OK",'Conciliacion de compuestos'!$L$2:$L$48,A1621))&gt;0,"conciliado en compuesto confirmado","disponible")</f>
        <v/>
      </c>
    </row>
    <row r="1622">
      <c r="A1622" s="11" t="n">
        <v>1636</v>
      </c>
      <c r="B1622" s="12" t="n">
        <v>46017</v>
      </c>
      <c r="C1622" s="11" t="inlineStr">
        <is>
          <t>depositos electronicos masterca transaccion</t>
        </is>
      </c>
      <c r="D1622" s="13" t="n">
        <v>68300</v>
      </c>
      <c r="E1622" s="11">
        <f>IF(SUM(COUNTIFS('Conciliacion de compuestos'!$D$2:$D$48,"conciliado",'Conciliacion de compuestos'!$E$2:$E$48,"OK",'Conciliacion de compuestos'!$J$2:$J$48,A1622),COUNTIFS('Conciliacion de compuestos'!$D$2:$D$48,"conciliado",'Conciliacion de compuestos'!$E$2:$E$48,"OK",'Conciliacion de compuestos'!$K$2:$K$48,A1622),COUNTIFS('Conciliacion de compuestos'!$D$2:$D$48,"conciliado",'Conciliacion de compuestos'!$E$2:$E$48,"OK",'Conciliacion de compuestos'!$L$2:$L$48,A1622))&gt;0,"conciliado en compuesto confirmado","disponible")</f>
        <v/>
      </c>
    </row>
    <row r="1623">
      <c r="A1623" s="11" t="n">
        <v>1637</v>
      </c>
      <c r="B1623" s="12" t="n">
        <v>46017</v>
      </c>
      <c r="C1623" s="11" t="inlineStr">
        <is>
          <t>comision depositos electronicos mastercard</t>
        </is>
      </c>
      <c r="D1623" s="13" t="n">
        <v>-1298</v>
      </c>
      <c r="E1623" s="11">
        <f>IF(SUM(COUNTIFS('Conciliacion de compuestos'!$D$2:$D$48,"conciliado",'Conciliacion de compuestos'!$E$2:$E$48,"OK",'Conciliacion de compuestos'!$J$2:$J$48,A1623),COUNTIFS('Conciliacion de compuestos'!$D$2:$D$48,"conciliado",'Conciliacion de compuestos'!$E$2:$E$48,"OK",'Conciliacion de compuestos'!$K$2:$K$48,A1623),COUNTIFS('Conciliacion de compuestos'!$D$2:$D$48,"conciliado",'Conciliacion de compuestos'!$E$2:$E$48,"OK",'Conciliacion de compuestos'!$L$2:$L$48,A1623))&gt;0,"conciliado en compuesto confirmado","disponible")</f>
        <v/>
      </c>
    </row>
    <row r="1624">
      <c r="A1624" s="11" t="n">
        <v>1638</v>
      </c>
      <c r="B1624" s="12" t="n">
        <v>46017</v>
      </c>
      <c r="C1624" s="11" t="inlineStr">
        <is>
          <t>a financiero gravamen movimiento</t>
        </is>
      </c>
      <c r="D1624" s="13" t="n">
        <v>-5</v>
      </c>
      <c r="E1624" s="11">
        <f>IF(SUM(COUNTIFS('Conciliacion de compuestos'!$D$2:$D$48,"conciliado",'Conciliacion de compuestos'!$E$2:$E$48,"OK",'Conciliacion de compuestos'!$J$2:$J$48,A1624),COUNTIFS('Conciliacion de compuestos'!$D$2:$D$48,"conciliado",'Conciliacion de compuestos'!$E$2:$E$48,"OK",'Conciliacion de compuestos'!$K$2:$K$48,A1624),COUNTIFS('Conciliacion de compuestos'!$D$2:$D$48,"conciliado",'Conciliacion de compuestos'!$E$2:$E$48,"OK",'Conciliacion de compuestos'!$L$2:$L$48,A1624))&gt;0,"conciliado en compuesto confirmado","disponible")</f>
        <v/>
      </c>
    </row>
    <row r="1625">
      <c r="A1625" s="11" t="n">
        <v>1639</v>
      </c>
      <c r="B1625" s="12" t="n">
        <v>46017</v>
      </c>
      <c r="C1625" s="11" t="inlineStr">
        <is>
          <t>depositos electronicos mastercar retefuente</t>
        </is>
      </c>
      <c r="D1625" s="13" t="n">
        <v>-1025</v>
      </c>
      <c r="E1625" s="11">
        <f>IF(SUM(COUNTIFS('Conciliacion de compuestos'!$D$2:$D$48,"conciliado",'Conciliacion de compuestos'!$E$2:$E$48,"OK",'Conciliacion de compuestos'!$J$2:$J$48,A1625),COUNTIFS('Conciliacion de compuestos'!$D$2:$D$48,"conciliado",'Conciliacion de compuestos'!$E$2:$E$48,"OK",'Conciliacion de compuestos'!$K$2:$K$48,A1625),COUNTIFS('Conciliacion de compuestos'!$D$2:$D$48,"conciliado",'Conciliacion de compuestos'!$E$2:$E$48,"OK",'Conciliacion de compuestos'!$L$2:$L$48,A1625))&gt;0,"conciliado en compuesto confirmado","disponible")</f>
        <v/>
      </c>
    </row>
    <row r="1626">
      <c r="A1626" s="11" t="n">
        <v>1640</v>
      </c>
      <c r="B1626" s="12" t="n">
        <v>46017</v>
      </c>
      <c r="C1626" s="11" t="inlineStr">
        <is>
          <t>a financiero gravamen movimiento</t>
        </is>
      </c>
      <c r="D1626" s="13" t="n">
        <v>-4</v>
      </c>
      <c r="E1626" s="11">
        <f>IF(SUM(COUNTIFS('Conciliacion de compuestos'!$D$2:$D$48,"conciliado",'Conciliacion de compuestos'!$E$2:$E$48,"OK",'Conciliacion de compuestos'!$J$2:$J$48,A1626),COUNTIFS('Conciliacion de compuestos'!$D$2:$D$48,"conciliado",'Conciliacion de compuestos'!$E$2:$E$48,"OK",'Conciliacion de compuestos'!$K$2:$K$48,A1626),COUNTIFS('Conciliacion de compuestos'!$D$2:$D$48,"conciliado",'Conciliacion de compuestos'!$E$2:$E$48,"OK",'Conciliacion de compuestos'!$L$2:$L$48,A1626))&gt;0,"conciliado en compuesto confirmado","disponible")</f>
        <v/>
      </c>
    </row>
    <row r="1627">
      <c r="A1627" s="11" t="n">
        <v>1641</v>
      </c>
      <c r="B1627" s="12" t="n">
        <v>46017</v>
      </c>
      <c r="C1627" s="11" t="inlineStr">
        <is>
          <t>depositos electronicos masterca transaccion</t>
        </is>
      </c>
      <c r="D1627" s="13" t="n">
        <v>12600</v>
      </c>
      <c r="E1627" s="11">
        <f>IF(SUM(COUNTIFS('Conciliacion de compuestos'!$D$2:$D$48,"conciliado",'Conciliacion de compuestos'!$E$2:$E$48,"OK",'Conciliacion de compuestos'!$J$2:$J$48,A1627),COUNTIFS('Conciliacion de compuestos'!$D$2:$D$48,"conciliado",'Conciliacion de compuestos'!$E$2:$E$48,"OK",'Conciliacion de compuestos'!$K$2:$K$48,A1627),COUNTIFS('Conciliacion de compuestos'!$D$2:$D$48,"conciliado",'Conciliacion de compuestos'!$E$2:$E$48,"OK",'Conciliacion de compuestos'!$L$2:$L$48,A1627))&gt;0,"conciliado en compuesto confirmado","disponible")</f>
        <v/>
      </c>
    </row>
    <row r="1628">
      <c r="A1628" s="11" t="n">
        <v>1642</v>
      </c>
      <c r="B1628" s="12" t="n">
        <v>46017</v>
      </c>
      <c r="C1628" s="11" t="inlineStr">
        <is>
          <t>comision depositos electronicos mastercard</t>
        </is>
      </c>
      <c r="D1628" s="13" t="n">
        <v>-239</v>
      </c>
      <c r="E1628" s="11">
        <f>IF(SUM(COUNTIFS('Conciliacion de compuestos'!$D$2:$D$48,"conciliado",'Conciliacion de compuestos'!$E$2:$E$48,"OK",'Conciliacion de compuestos'!$J$2:$J$48,A1628),COUNTIFS('Conciliacion de compuestos'!$D$2:$D$48,"conciliado",'Conciliacion de compuestos'!$E$2:$E$48,"OK",'Conciliacion de compuestos'!$K$2:$K$48,A1628),COUNTIFS('Conciliacion de compuestos'!$D$2:$D$48,"conciliado",'Conciliacion de compuestos'!$E$2:$E$48,"OK",'Conciliacion de compuestos'!$L$2:$L$48,A1628))&gt;0,"conciliado en compuesto confirmado","disponible")</f>
        <v/>
      </c>
    </row>
    <row r="1629">
      <c r="A1629" s="11" t="n">
        <v>1643</v>
      </c>
      <c r="B1629" s="12" t="n">
        <v>46017</v>
      </c>
      <c r="C1629" s="11" t="inlineStr">
        <is>
          <t>a financiero gravamen movimiento</t>
        </is>
      </c>
      <c r="D1629" s="13" t="n">
        <v>-1</v>
      </c>
      <c r="E1629" s="11">
        <f>IF(SUM(COUNTIFS('Conciliacion de compuestos'!$D$2:$D$48,"conciliado",'Conciliacion de compuestos'!$E$2:$E$48,"OK",'Conciliacion de compuestos'!$J$2:$J$48,A1629),COUNTIFS('Conciliacion de compuestos'!$D$2:$D$48,"conciliado",'Conciliacion de compuestos'!$E$2:$E$48,"OK",'Conciliacion de compuestos'!$K$2:$K$48,A1629),COUNTIFS('Conciliacion de compuestos'!$D$2:$D$48,"conciliado",'Conciliacion de compuestos'!$E$2:$E$48,"OK",'Conciliacion de compuestos'!$L$2:$L$48,A1629))&gt;0,"conciliado en compuesto confirmado","disponible")</f>
        <v/>
      </c>
    </row>
    <row r="1630">
      <c r="A1630" s="11" t="n">
        <v>1644</v>
      </c>
      <c r="B1630" s="12" t="n">
        <v>46017</v>
      </c>
      <c r="C1630" s="11" t="inlineStr">
        <is>
          <t>depositos electronicos mastercar retefuente</t>
        </is>
      </c>
      <c r="D1630" s="13" t="n">
        <v>-189</v>
      </c>
      <c r="E1630" s="11">
        <f>IF(SUM(COUNTIFS('Conciliacion de compuestos'!$D$2:$D$48,"conciliado",'Conciliacion de compuestos'!$E$2:$E$48,"OK",'Conciliacion de compuestos'!$J$2:$J$48,A1630),COUNTIFS('Conciliacion de compuestos'!$D$2:$D$48,"conciliado",'Conciliacion de compuestos'!$E$2:$E$48,"OK",'Conciliacion de compuestos'!$K$2:$K$48,A1630),COUNTIFS('Conciliacion de compuestos'!$D$2:$D$48,"conciliado",'Conciliacion de compuestos'!$E$2:$E$48,"OK",'Conciliacion de compuestos'!$L$2:$L$48,A1630))&gt;0,"conciliado en compuesto confirmado","disponible")</f>
        <v/>
      </c>
    </row>
    <row r="1631">
      <c r="A1631" s="11" t="n">
        <v>1645</v>
      </c>
      <c r="B1631" s="12" t="n">
        <v>46017</v>
      </c>
      <c r="C1631" s="11" t="inlineStr">
        <is>
          <t>a financiero gravamen movimiento</t>
        </is>
      </c>
      <c r="D1631" s="13" t="n">
        <v>-1</v>
      </c>
      <c r="E1631" s="11">
        <f>IF(SUM(COUNTIFS('Conciliacion de compuestos'!$D$2:$D$48,"conciliado",'Conciliacion de compuestos'!$E$2:$E$48,"OK",'Conciliacion de compuestos'!$J$2:$J$48,A1631),COUNTIFS('Conciliacion de compuestos'!$D$2:$D$48,"conciliado",'Conciliacion de compuestos'!$E$2:$E$48,"OK",'Conciliacion de compuestos'!$K$2:$K$48,A1631),COUNTIFS('Conciliacion de compuestos'!$D$2:$D$48,"conciliado",'Conciliacion de compuestos'!$E$2:$E$48,"OK",'Conciliacion de compuestos'!$L$2:$L$48,A1631))&gt;0,"conciliado en compuesto confirmado","disponible")</f>
        <v/>
      </c>
    </row>
    <row r="1632">
      <c r="A1632" s="11" t="n">
        <v>1646</v>
      </c>
      <c r="B1632" s="12" t="n">
        <v>46017</v>
      </c>
      <c r="C1632" s="11" t="inlineStr">
        <is>
          <t>depositos electronicos masterca transaccion</t>
        </is>
      </c>
      <c r="D1632" s="13" t="n">
        <v>42688</v>
      </c>
      <c r="E1632" s="11">
        <f>IF(SUM(COUNTIFS('Conciliacion de compuestos'!$D$2:$D$48,"conciliado",'Conciliacion de compuestos'!$E$2:$E$48,"OK",'Conciliacion de compuestos'!$J$2:$J$48,A1632),COUNTIFS('Conciliacion de compuestos'!$D$2:$D$48,"conciliado",'Conciliacion de compuestos'!$E$2:$E$48,"OK",'Conciliacion de compuestos'!$K$2:$K$48,A1632),COUNTIFS('Conciliacion de compuestos'!$D$2:$D$48,"conciliado",'Conciliacion de compuestos'!$E$2:$E$48,"OK",'Conciliacion de compuestos'!$L$2:$L$48,A1632))&gt;0,"conciliado en compuesto confirmado","disponible")</f>
        <v/>
      </c>
    </row>
    <row r="1633">
      <c r="A1633" s="11" t="n">
        <v>1647</v>
      </c>
      <c r="B1633" s="12" t="n">
        <v>46017</v>
      </c>
      <c r="C1633" s="11" t="inlineStr">
        <is>
          <t>comision depositos electronicos mastercard</t>
        </is>
      </c>
      <c r="D1633" s="13" t="n">
        <v>-811</v>
      </c>
      <c r="E1633" s="11">
        <f>IF(SUM(COUNTIFS('Conciliacion de compuestos'!$D$2:$D$48,"conciliado",'Conciliacion de compuestos'!$E$2:$E$48,"OK",'Conciliacion de compuestos'!$J$2:$J$48,A1633),COUNTIFS('Conciliacion de compuestos'!$D$2:$D$48,"conciliado",'Conciliacion de compuestos'!$E$2:$E$48,"OK",'Conciliacion de compuestos'!$K$2:$K$48,A1633),COUNTIFS('Conciliacion de compuestos'!$D$2:$D$48,"conciliado",'Conciliacion de compuestos'!$E$2:$E$48,"OK",'Conciliacion de compuestos'!$L$2:$L$48,A1633))&gt;0,"conciliado en compuesto confirmado","disponible")</f>
        <v/>
      </c>
    </row>
    <row r="1634">
      <c r="A1634" s="11" t="n">
        <v>1648</v>
      </c>
      <c r="B1634" s="12" t="n">
        <v>46017</v>
      </c>
      <c r="C1634" s="11" t="inlineStr">
        <is>
          <t>a financiero gravamen movimiento</t>
        </is>
      </c>
      <c r="D1634" s="13" t="n">
        <v>-3</v>
      </c>
      <c r="E1634" s="11">
        <f>IF(SUM(COUNTIFS('Conciliacion de compuestos'!$D$2:$D$48,"conciliado",'Conciliacion de compuestos'!$E$2:$E$48,"OK",'Conciliacion de compuestos'!$J$2:$J$48,A1634),COUNTIFS('Conciliacion de compuestos'!$D$2:$D$48,"conciliado",'Conciliacion de compuestos'!$E$2:$E$48,"OK",'Conciliacion de compuestos'!$K$2:$K$48,A1634),COUNTIFS('Conciliacion de compuestos'!$D$2:$D$48,"conciliado",'Conciliacion de compuestos'!$E$2:$E$48,"OK",'Conciliacion de compuestos'!$L$2:$L$48,A1634))&gt;0,"conciliado en compuesto confirmado","disponible")</f>
        <v/>
      </c>
    </row>
    <row r="1635">
      <c r="A1635" s="11" t="n">
        <v>1649</v>
      </c>
      <c r="B1635" s="12" t="n">
        <v>46017</v>
      </c>
      <c r="C1635" s="11" t="inlineStr">
        <is>
          <t>depositos electronicos mastercar retefuente</t>
        </is>
      </c>
      <c r="D1635" s="13" t="n">
        <v>-640</v>
      </c>
      <c r="E1635" s="11">
        <f>IF(SUM(COUNTIFS('Conciliacion de compuestos'!$D$2:$D$48,"conciliado",'Conciliacion de compuestos'!$E$2:$E$48,"OK",'Conciliacion de compuestos'!$J$2:$J$48,A1635),COUNTIFS('Conciliacion de compuestos'!$D$2:$D$48,"conciliado",'Conciliacion de compuestos'!$E$2:$E$48,"OK",'Conciliacion de compuestos'!$K$2:$K$48,A1635),COUNTIFS('Conciliacion de compuestos'!$D$2:$D$48,"conciliado",'Conciliacion de compuestos'!$E$2:$E$48,"OK",'Conciliacion de compuestos'!$L$2:$L$48,A1635))&gt;0,"conciliado en compuesto confirmado","disponible")</f>
        <v/>
      </c>
    </row>
    <row r="1636">
      <c r="A1636" s="11" t="n">
        <v>1650</v>
      </c>
      <c r="B1636" s="12" t="n">
        <v>46017</v>
      </c>
      <c r="C1636" s="11" t="inlineStr">
        <is>
          <t>a financiero gravamen movimiento</t>
        </is>
      </c>
      <c r="D1636" s="13" t="n">
        <v>-3</v>
      </c>
      <c r="E1636" s="11">
        <f>IF(SUM(COUNTIFS('Conciliacion de compuestos'!$D$2:$D$48,"conciliado",'Conciliacion de compuestos'!$E$2:$E$48,"OK",'Conciliacion de compuestos'!$J$2:$J$48,A1636),COUNTIFS('Conciliacion de compuestos'!$D$2:$D$48,"conciliado",'Conciliacion de compuestos'!$E$2:$E$48,"OK",'Conciliacion de compuestos'!$K$2:$K$48,A1636),COUNTIFS('Conciliacion de compuestos'!$D$2:$D$48,"conciliado",'Conciliacion de compuestos'!$E$2:$E$48,"OK",'Conciliacion de compuestos'!$L$2:$L$48,A1636))&gt;0,"conciliado en compuesto confirmado","disponible")</f>
        <v/>
      </c>
    </row>
    <row r="1637">
      <c r="A1637" s="11" t="n">
        <v>1651</v>
      </c>
      <c r="B1637" s="12" t="n">
        <v>46017</v>
      </c>
      <c r="C1637" s="11" t="inlineStr">
        <is>
          <t>depositos electronicos masterca transaccion</t>
        </is>
      </c>
      <c r="D1637" s="13" t="n">
        <v>20000</v>
      </c>
      <c r="E1637" s="11">
        <f>IF(SUM(COUNTIFS('Conciliacion de compuestos'!$D$2:$D$48,"conciliado",'Conciliacion de compuestos'!$E$2:$E$48,"OK",'Conciliacion de compuestos'!$J$2:$J$48,A1637),COUNTIFS('Conciliacion de compuestos'!$D$2:$D$48,"conciliado",'Conciliacion de compuestos'!$E$2:$E$48,"OK",'Conciliacion de compuestos'!$K$2:$K$48,A1637),COUNTIFS('Conciliacion de compuestos'!$D$2:$D$48,"conciliado",'Conciliacion de compuestos'!$E$2:$E$48,"OK",'Conciliacion de compuestos'!$L$2:$L$48,A1637))&gt;0,"conciliado en compuesto confirmado","disponible")</f>
        <v/>
      </c>
    </row>
    <row r="1638">
      <c r="A1638" s="11" t="n">
        <v>1652</v>
      </c>
      <c r="B1638" s="12" t="n">
        <v>46017</v>
      </c>
      <c r="C1638" s="11" t="inlineStr">
        <is>
          <t>comision depositos electronicos mastercard</t>
        </is>
      </c>
      <c r="D1638" s="13" t="n">
        <v>-380</v>
      </c>
      <c r="E1638" s="11">
        <f>IF(SUM(COUNTIFS('Conciliacion de compuestos'!$D$2:$D$48,"conciliado",'Conciliacion de compuestos'!$E$2:$E$48,"OK",'Conciliacion de compuestos'!$J$2:$J$48,A1638),COUNTIFS('Conciliacion de compuestos'!$D$2:$D$48,"conciliado",'Conciliacion de compuestos'!$E$2:$E$48,"OK",'Conciliacion de compuestos'!$K$2:$K$48,A1638),COUNTIFS('Conciliacion de compuestos'!$D$2:$D$48,"conciliado",'Conciliacion de compuestos'!$E$2:$E$48,"OK",'Conciliacion de compuestos'!$L$2:$L$48,A1638))&gt;0,"conciliado en compuesto confirmado","disponible")</f>
        <v/>
      </c>
    </row>
    <row r="1639">
      <c r="A1639" s="11" t="n">
        <v>1653</v>
      </c>
      <c r="B1639" s="12" t="n">
        <v>46017</v>
      </c>
      <c r="C1639" s="11" t="inlineStr">
        <is>
          <t>a financiero gravamen movimiento</t>
        </is>
      </c>
      <c r="D1639" s="13" t="n">
        <v>-2</v>
      </c>
      <c r="E1639" s="11">
        <f>IF(SUM(COUNTIFS('Conciliacion de compuestos'!$D$2:$D$48,"conciliado",'Conciliacion de compuestos'!$E$2:$E$48,"OK",'Conciliacion de compuestos'!$J$2:$J$48,A1639),COUNTIFS('Conciliacion de compuestos'!$D$2:$D$48,"conciliado",'Conciliacion de compuestos'!$E$2:$E$48,"OK",'Conciliacion de compuestos'!$K$2:$K$48,A1639),COUNTIFS('Conciliacion de compuestos'!$D$2:$D$48,"conciliado",'Conciliacion de compuestos'!$E$2:$E$48,"OK",'Conciliacion de compuestos'!$L$2:$L$48,A1639))&gt;0,"conciliado en compuesto confirmado","disponible")</f>
        <v/>
      </c>
    </row>
    <row r="1640">
      <c r="A1640" s="11" t="n">
        <v>1654</v>
      </c>
      <c r="B1640" s="12" t="n">
        <v>46017</v>
      </c>
      <c r="C1640" s="11" t="inlineStr">
        <is>
          <t>depositos electronicos mastercar retefuente</t>
        </is>
      </c>
      <c r="D1640" s="13" t="n">
        <v>-300</v>
      </c>
      <c r="E1640" s="11">
        <f>IF(SUM(COUNTIFS('Conciliacion de compuestos'!$D$2:$D$48,"conciliado",'Conciliacion de compuestos'!$E$2:$E$48,"OK",'Conciliacion de compuestos'!$J$2:$J$48,A1640),COUNTIFS('Conciliacion de compuestos'!$D$2:$D$48,"conciliado",'Conciliacion de compuestos'!$E$2:$E$48,"OK",'Conciliacion de compuestos'!$K$2:$K$48,A1640),COUNTIFS('Conciliacion de compuestos'!$D$2:$D$48,"conciliado",'Conciliacion de compuestos'!$E$2:$E$48,"OK",'Conciliacion de compuestos'!$L$2:$L$48,A1640))&gt;0,"conciliado en compuesto confirmado","disponible")</f>
        <v/>
      </c>
    </row>
    <row r="1641">
      <c r="A1641" s="11" t="n">
        <v>1655</v>
      </c>
      <c r="B1641" s="12" t="n">
        <v>46017</v>
      </c>
      <c r="C1641" s="11" t="inlineStr">
        <is>
          <t>a financiero gravamen movimiento</t>
        </is>
      </c>
      <c r="D1641" s="13" t="n">
        <v>-1</v>
      </c>
      <c r="E1641" s="11">
        <f>IF(SUM(COUNTIFS('Conciliacion de compuestos'!$D$2:$D$48,"conciliado",'Conciliacion de compuestos'!$E$2:$E$48,"OK",'Conciliacion de compuestos'!$J$2:$J$48,A1641),COUNTIFS('Conciliacion de compuestos'!$D$2:$D$48,"conciliado",'Conciliacion de compuestos'!$E$2:$E$48,"OK",'Conciliacion de compuestos'!$K$2:$K$48,A1641),COUNTIFS('Conciliacion de compuestos'!$D$2:$D$48,"conciliado",'Conciliacion de compuestos'!$E$2:$E$48,"OK",'Conciliacion de compuestos'!$L$2:$L$48,A1641))&gt;0,"conciliado en compuesto confirmado","disponible")</f>
        <v/>
      </c>
    </row>
    <row r="1642">
      <c r="A1642" s="11" t="n">
        <v>1656</v>
      </c>
      <c r="B1642" s="12" t="n">
        <v>46017</v>
      </c>
      <c r="C1642" s="11" t="inlineStr">
        <is>
          <t>depositos electronicos masterca transaccion</t>
        </is>
      </c>
      <c r="D1642" s="13" t="n">
        <v>78300</v>
      </c>
      <c r="E1642" s="11">
        <f>IF(SUM(COUNTIFS('Conciliacion de compuestos'!$D$2:$D$48,"conciliado",'Conciliacion de compuestos'!$E$2:$E$48,"OK",'Conciliacion de compuestos'!$J$2:$J$48,A1642),COUNTIFS('Conciliacion de compuestos'!$D$2:$D$48,"conciliado",'Conciliacion de compuestos'!$E$2:$E$48,"OK",'Conciliacion de compuestos'!$K$2:$K$48,A1642),COUNTIFS('Conciliacion de compuestos'!$D$2:$D$48,"conciliado",'Conciliacion de compuestos'!$E$2:$E$48,"OK",'Conciliacion de compuestos'!$L$2:$L$48,A1642))&gt;0,"conciliado en compuesto confirmado","disponible")</f>
        <v/>
      </c>
    </row>
    <row r="1643">
      <c r="A1643" s="11" t="n">
        <v>1657</v>
      </c>
      <c r="B1643" s="12" t="n">
        <v>46017</v>
      </c>
      <c r="C1643" s="11" t="inlineStr">
        <is>
          <t>comision depositos electronicos mastercard</t>
        </is>
      </c>
      <c r="D1643" s="13" t="n">
        <v>-1488</v>
      </c>
      <c r="E1643" s="11">
        <f>IF(SUM(COUNTIFS('Conciliacion de compuestos'!$D$2:$D$48,"conciliado",'Conciliacion de compuestos'!$E$2:$E$48,"OK",'Conciliacion de compuestos'!$J$2:$J$48,A1643),COUNTIFS('Conciliacion de compuestos'!$D$2:$D$48,"conciliado",'Conciliacion de compuestos'!$E$2:$E$48,"OK",'Conciliacion de compuestos'!$K$2:$K$48,A1643),COUNTIFS('Conciliacion de compuestos'!$D$2:$D$48,"conciliado",'Conciliacion de compuestos'!$E$2:$E$48,"OK",'Conciliacion de compuestos'!$L$2:$L$48,A1643))&gt;0,"conciliado en compuesto confirmado","disponible")</f>
        <v/>
      </c>
    </row>
    <row r="1644">
      <c r="A1644" s="11" t="n">
        <v>1658</v>
      </c>
      <c r="B1644" s="12" t="n">
        <v>46017</v>
      </c>
      <c r="C1644" s="11" t="inlineStr">
        <is>
          <t>a financiero gravamen movimiento</t>
        </is>
      </c>
      <c r="D1644" s="13" t="n">
        <v>-6</v>
      </c>
      <c r="E1644" s="11">
        <f>IF(SUM(COUNTIFS('Conciliacion de compuestos'!$D$2:$D$48,"conciliado",'Conciliacion de compuestos'!$E$2:$E$48,"OK",'Conciliacion de compuestos'!$J$2:$J$48,A1644),COUNTIFS('Conciliacion de compuestos'!$D$2:$D$48,"conciliado",'Conciliacion de compuestos'!$E$2:$E$48,"OK",'Conciliacion de compuestos'!$K$2:$K$48,A1644),COUNTIFS('Conciliacion de compuestos'!$D$2:$D$48,"conciliado",'Conciliacion de compuestos'!$E$2:$E$48,"OK",'Conciliacion de compuestos'!$L$2:$L$48,A1644))&gt;0,"conciliado en compuesto confirmado","disponible")</f>
        <v/>
      </c>
    </row>
    <row r="1645">
      <c r="A1645" s="11" t="n">
        <v>1659</v>
      </c>
      <c r="B1645" s="12" t="n">
        <v>46017</v>
      </c>
      <c r="C1645" s="11" t="inlineStr">
        <is>
          <t>depositos electronicos mastercar retefuente</t>
        </is>
      </c>
      <c r="D1645" s="13" t="n">
        <v>-1175</v>
      </c>
      <c r="E1645" s="11">
        <f>IF(SUM(COUNTIFS('Conciliacion de compuestos'!$D$2:$D$48,"conciliado",'Conciliacion de compuestos'!$E$2:$E$48,"OK",'Conciliacion de compuestos'!$J$2:$J$48,A1645),COUNTIFS('Conciliacion de compuestos'!$D$2:$D$48,"conciliado",'Conciliacion de compuestos'!$E$2:$E$48,"OK",'Conciliacion de compuestos'!$K$2:$K$48,A1645),COUNTIFS('Conciliacion de compuestos'!$D$2:$D$48,"conciliado",'Conciliacion de compuestos'!$E$2:$E$48,"OK",'Conciliacion de compuestos'!$L$2:$L$48,A1645))&gt;0,"conciliado en compuesto confirmado","disponible")</f>
        <v/>
      </c>
    </row>
    <row r="1646">
      <c r="A1646" s="11" t="n">
        <v>1660</v>
      </c>
      <c r="B1646" s="12" t="n">
        <v>46017</v>
      </c>
      <c r="C1646" s="11" t="inlineStr">
        <is>
          <t>a financiero gravamen movimiento</t>
        </is>
      </c>
      <c r="D1646" s="13" t="n">
        <v>-5</v>
      </c>
      <c r="E1646" s="11">
        <f>IF(SUM(COUNTIFS('Conciliacion de compuestos'!$D$2:$D$48,"conciliado",'Conciliacion de compuestos'!$E$2:$E$48,"OK",'Conciliacion de compuestos'!$J$2:$J$48,A1646),COUNTIFS('Conciliacion de compuestos'!$D$2:$D$48,"conciliado",'Conciliacion de compuestos'!$E$2:$E$48,"OK",'Conciliacion de compuestos'!$K$2:$K$48,A1646),COUNTIFS('Conciliacion de compuestos'!$D$2:$D$48,"conciliado",'Conciliacion de compuestos'!$E$2:$E$48,"OK",'Conciliacion de compuestos'!$L$2:$L$48,A1646))&gt;0,"conciliado en compuesto confirmado","disponible")</f>
        <v/>
      </c>
    </row>
    <row r="1647">
      <c r="A1647" s="11" t="n">
        <v>1661</v>
      </c>
      <c r="B1647" s="12" t="n">
        <v>46017</v>
      </c>
      <c r="C1647" s="11" t="inlineStr">
        <is>
          <t>depositos electronicos masterca transaccion</t>
        </is>
      </c>
      <c r="D1647" s="13" t="n">
        <v>135000</v>
      </c>
      <c r="E1647" s="11">
        <f>IF(SUM(COUNTIFS('Conciliacion de compuestos'!$D$2:$D$48,"conciliado",'Conciliacion de compuestos'!$E$2:$E$48,"OK",'Conciliacion de compuestos'!$J$2:$J$48,A1647),COUNTIFS('Conciliacion de compuestos'!$D$2:$D$48,"conciliado",'Conciliacion de compuestos'!$E$2:$E$48,"OK",'Conciliacion de compuestos'!$K$2:$K$48,A1647),COUNTIFS('Conciliacion de compuestos'!$D$2:$D$48,"conciliado",'Conciliacion de compuestos'!$E$2:$E$48,"OK",'Conciliacion de compuestos'!$L$2:$L$48,A1647))&gt;0,"conciliado en compuesto confirmado","disponible")</f>
        <v/>
      </c>
    </row>
    <row r="1648">
      <c r="A1648" s="11" t="n">
        <v>1662</v>
      </c>
      <c r="B1648" s="12" t="n">
        <v>46017</v>
      </c>
      <c r="C1648" s="11" t="inlineStr">
        <is>
          <t>comision depositos electronicos mastercard</t>
        </is>
      </c>
      <c r="D1648" s="13" t="n">
        <v>-2565</v>
      </c>
      <c r="E1648" s="11">
        <f>IF(SUM(COUNTIFS('Conciliacion de compuestos'!$D$2:$D$48,"conciliado",'Conciliacion de compuestos'!$E$2:$E$48,"OK",'Conciliacion de compuestos'!$J$2:$J$48,A1648),COUNTIFS('Conciliacion de compuestos'!$D$2:$D$48,"conciliado",'Conciliacion de compuestos'!$E$2:$E$48,"OK",'Conciliacion de compuestos'!$K$2:$K$48,A1648),COUNTIFS('Conciliacion de compuestos'!$D$2:$D$48,"conciliado",'Conciliacion de compuestos'!$E$2:$E$48,"OK",'Conciliacion de compuestos'!$L$2:$L$48,A1648))&gt;0,"conciliado en compuesto confirmado","disponible")</f>
        <v/>
      </c>
    </row>
    <row r="1649">
      <c r="A1649" s="11" t="n">
        <v>1663</v>
      </c>
      <c r="B1649" s="12" t="n">
        <v>46017</v>
      </c>
      <c r="C1649" s="11" t="inlineStr">
        <is>
          <t>a financiero gravamen movimiento</t>
        </is>
      </c>
      <c r="D1649" s="13" t="n">
        <v>-10</v>
      </c>
      <c r="E1649" s="11">
        <f>IF(SUM(COUNTIFS('Conciliacion de compuestos'!$D$2:$D$48,"conciliado",'Conciliacion de compuestos'!$E$2:$E$48,"OK",'Conciliacion de compuestos'!$J$2:$J$48,A1649),COUNTIFS('Conciliacion de compuestos'!$D$2:$D$48,"conciliado",'Conciliacion de compuestos'!$E$2:$E$48,"OK",'Conciliacion de compuestos'!$K$2:$K$48,A1649),COUNTIFS('Conciliacion de compuestos'!$D$2:$D$48,"conciliado",'Conciliacion de compuestos'!$E$2:$E$48,"OK",'Conciliacion de compuestos'!$L$2:$L$48,A1649))&gt;0,"conciliado en compuesto confirmado","disponible")</f>
        <v/>
      </c>
    </row>
    <row r="1650">
      <c r="A1650" s="11" t="n">
        <v>1664</v>
      </c>
      <c r="B1650" s="12" t="n">
        <v>46017</v>
      </c>
      <c r="C1650" s="11" t="inlineStr">
        <is>
          <t>depositos electronicos mastercar retefuente</t>
        </is>
      </c>
      <c r="D1650" s="13" t="n">
        <v>-2025</v>
      </c>
      <c r="E1650" s="11">
        <f>IF(SUM(COUNTIFS('Conciliacion de compuestos'!$D$2:$D$48,"conciliado",'Conciliacion de compuestos'!$E$2:$E$48,"OK",'Conciliacion de compuestos'!$J$2:$J$48,A1650),COUNTIFS('Conciliacion de compuestos'!$D$2:$D$48,"conciliado",'Conciliacion de compuestos'!$E$2:$E$48,"OK",'Conciliacion de compuestos'!$K$2:$K$48,A1650),COUNTIFS('Conciliacion de compuestos'!$D$2:$D$48,"conciliado",'Conciliacion de compuestos'!$E$2:$E$48,"OK",'Conciliacion de compuestos'!$L$2:$L$48,A1650))&gt;0,"conciliado en compuesto confirmado","disponible")</f>
        <v/>
      </c>
    </row>
    <row r="1651">
      <c r="A1651" s="11" t="n">
        <v>1665</v>
      </c>
      <c r="B1651" s="12" t="n">
        <v>46017</v>
      </c>
      <c r="C1651" s="11" t="inlineStr">
        <is>
          <t>a financiero gravamen movimiento</t>
        </is>
      </c>
      <c r="D1651" s="13" t="n">
        <v>-8</v>
      </c>
      <c r="E1651" s="11">
        <f>IF(SUM(COUNTIFS('Conciliacion de compuestos'!$D$2:$D$48,"conciliado",'Conciliacion de compuestos'!$E$2:$E$48,"OK",'Conciliacion de compuestos'!$J$2:$J$48,A1651),COUNTIFS('Conciliacion de compuestos'!$D$2:$D$48,"conciliado",'Conciliacion de compuestos'!$E$2:$E$48,"OK",'Conciliacion de compuestos'!$K$2:$K$48,A1651),COUNTIFS('Conciliacion de compuestos'!$D$2:$D$48,"conciliado",'Conciliacion de compuestos'!$E$2:$E$48,"OK",'Conciliacion de compuestos'!$L$2:$L$48,A1651))&gt;0,"conciliado en compuesto confirmado","disponible")</f>
        <v/>
      </c>
    </row>
    <row r="1652">
      <c r="A1652" s="11" t="n">
        <v>1666</v>
      </c>
      <c r="B1652" s="12" t="n">
        <v>46017</v>
      </c>
      <c r="C1652" s="11" t="inlineStr">
        <is>
          <t>depositos electronicos masterca transaccion</t>
        </is>
      </c>
      <c r="D1652" s="13" t="n">
        <v>83100</v>
      </c>
      <c r="E1652" s="11">
        <f>IF(SUM(COUNTIFS('Conciliacion de compuestos'!$D$2:$D$48,"conciliado",'Conciliacion de compuestos'!$E$2:$E$48,"OK",'Conciliacion de compuestos'!$J$2:$J$48,A1652),COUNTIFS('Conciliacion de compuestos'!$D$2:$D$48,"conciliado",'Conciliacion de compuestos'!$E$2:$E$48,"OK",'Conciliacion de compuestos'!$K$2:$K$48,A1652),COUNTIFS('Conciliacion de compuestos'!$D$2:$D$48,"conciliado",'Conciliacion de compuestos'!$E$2:$E$48,"OK",'Conciliacion de compuestos'!$L$2:$L$48,A1652))&gt;0,"conciliado en compuesto confirmado","disponible")</f>
        <v/>
      </c>
    </row>
    <row r="1653">
      <c r="A1653" s="11" t="n">
        <v>1667</v>
      </c>
      <c r="B1653" s="12" t="n">
        <v>46017</v>
      </c>
      <c r="C1653" s="11" t="inlineStr">
        <is>
          <t>comision depositos electronicos mastercard</t>
        </is>
      </c>
      <c r="D1653" s="13" t="n">
        <v>-1579</v>
      </c>
      <c r="E1653" s="11">
        <f>IF(SUM(COUNTIFS('Conciliacion de compuestos'!$D$2:$D$48,"conciliado",'Conciliacion de compuestos'!$E$2:$E$48,"OK",'Conciliacion de compuestos'!$J$2:$J$48,A1653),COUNTIFS('Conciliacion de compuestos'!$D$2:$D$48,"conciliado",'Conciliacion de compuestos'!$E$2:$E$48,"OK",'Conciliacion de compuestos'!$K$2:$K$48,A1653),COUNTIFS('Conciliacion de compuestos'!$D$2:$D$48,"conciliado",'Conciliacion de compuestos'!$E$2:$E$48,"OK",'Conciliacion de compuestos'!$L$2:$L$48,A1653))&gt;0,"conciliado en compuesto confirmado","disponible")</f>
        <v/>
      </c>
    </row>
    <row r="1654">
      <c r="A1654" s="11" t="n">
        <v>1668</v>
      </c>
      <c r="B1654" s="12" t="n">
        <v>46017</v>
      </c>
      <c r="C1654" s="11" t="inlineStr">
        <is>
          <t>a financiero gravamen movimiento</t>
        </is>
      </c>
      <c r="D1654" s="13" t="n">
        <v>-6</v>
      </c>
      <c r="E1654" s="11">
        <f>IF(SUM(COUNTIFS('Conciliacion de compuestos'!$D$2:$D$48,"conciliado",'Conciliacion de compuestos'!$E$2:$E$48,"OK",'Conciliacion de compuestos'!$J$2:$J$48,A1654),COUNTIFS('Conciliacion de compuestos'!$D$2:$D$48,"conciliado",'Conciliacion de compuestos'!$E$2:$E$48,"OK",'Conciliacion de compuestos'!$K$2:$K$48,A1654),COUNTIFS('Conciliacion de compuestos'!$D$2:$D$48,"conciliado",'Conciliacion de compuestos'!$E$2:$E$48,"OK",'Conciliacion de compuestos'!$L$2:$L$48,A1654))&gt;0,"conciliado en compuesto confirmado","disponible")</f>
        <v/>
      </c>
    </row>
    <row r="1655">
      <c r="A1655" s="11" t="n">
        <v>1669</v>
      </c>
      <c r="B1655" s="12" t="n">
        <v>46017</v>
      </c>
      <c r="C1655" s="11" t="inlineStr">
        <is>
          <t>depositos electronicos mastercar retefuente</t>
        </is>
      </c>
      <c r="D1655" s="13" t="n">
        <v>-1247</v>
      </c>
      <c r="E1655" s="11">
        <f>IF(SUM(COUNTIFS('Conciliacion de compuestos'!$D$2:$D$48,"conciliado",'Conciliacion de compuestos'!$E$2:$E$48,"OK",'Conciliacion de compuestos'!$J$2:$J$48,A1655),COUNTIFS('Conciliacion de compuestos'!$D$2:$D$48,"conciliado",'Conciliacion de compuestos'!$E$2:$E$48,"OK",'Conciliacion de compuestos'!$K$2:$K$48,A1655),COUNTIFS('Conciliacion de compuestos'!$D$2:$D$48,"conciliado",'Conciliacion de compuestos'!$E$2:$E$48,"OK",'Conciliacion de compuestos'!$L$2:$L$48,A1655))&gt;0,"conciliado en compuesto confirmado","disponible")</f>
        <v/>
      </c>
    </row>
    <row r="1656">
      <c r="A1656" s="11" t="n">
        <v>1670</v>
      </c>
      <c r="B1656" s="12" t="n">
        <v>46017</v>
      </c>
      <c r="C1656" s="11" t="inlineStr">
        <is>
          <t>a financiero gravamen movimiento</t>
        </is>
      </c>
      <c r="D1656" s="13" t="n">
        <v>-5</v>
      </c>
      <c r="E1656" s="11">
        <f>IF(SUM(COUNTIFS('Conciliacion de compuestos'!$D$2:$D$48,"conciliado",'Conciliacion de compuestos'!$E$2:$E$48,"OK",'Conciliacion de compuestos'!$J$2:$J$48,A1656),COUNTIFS('Conciliacion de compuestos'!$D$2:$D$48,"conciliado",'Conciliacion de compuestos'!$E$2:$E$48,"OK",'Conciliacion de compuestos'!$K$2:$K$48,A1656),COUNTIFS('Conciliacion de compuestos'!$D$2:$D$48,"conciliado",'Conciliacion de compuestos'!$E$2:$E$48,"OK",'Conciliacion de compuestos'!$L$2:$L$48,A1656))&gt;0,"conciliado en compuesto confirmado","disponible")</f>
        <v/>
      </c>
    </row>
    <row r="1657">
      <c r="A1657" s="11" t="n">
        <v>1671</v>
      </c>
      <c r="B1657" s="12" t="n">
        <v>46017</v>
      </c>
      <c r="C1657" s="11" t="inlineStr">
        <is>
          <t>depositos electronicos masterca transaccion</t>
        </is>
      </c>
      <c r="D1657" s="13" t="n">
        <v>108000</v>
      </c>
      <c r="E1657" s="11">
        <f>IF(SUM(COUNTIFS('Conciliacion de compuestos'!$D$2:$D$48,"conciliado",'Conciliacion de compuestos'!$E$2:$E$48,"OK",'Conciliacion de compuestos'!$J$2:$J$48,A1657),COUNTIFS('Conciliacion de compuestos'!$D$2:$D$48,"conciliado",'Conciliacion de compuestos'!$E$2:$E$48,"OK",'Conciliacion de compuestos'!$K$2:$K$48,A1657),COUNTIFS('Conciliacion de compuestos'!$D$2:$D$48,"conciliado",'Conciliacion de compuestos'!$E$2:$E$48,"OK",'Conciliacion de compuestos'!$L$2:$L$48,A1657))&gt;0,"conciliado en compuesto confirmado","disponible")</f>
        <v/>
      </c>
    </row>
    <row r="1658">
      <c r="A1658" s="11" t="n">
        <v>1672</v>
      </c>
      <c r="B1658" s="12" t="n">
        <v>46017</v>
      </c>
      <c r="C1658" s="11" t="inlineStr">
        <is>
          <t>comision depositos electronicos mastercard</t>
        </is>
      </c>
      <c r="D1658" s="13" t="n">
        <v>-2052</v>
      </c>
      <c r="E1658" s="11">
        <f>IF(SUM(COUNTIFS('Conciliacion de compuestos'!$D$2:$D$48,"conciliado",'Conciliacion de compuestos'!$E$2:$E$48,"OK",'Conciliacion de compuestos'!$J$2:$J$48,A1658),COUNTIFS('Conciliacion de compuestos'!$D$2:$D$48,"conciliado",'Conciliacion de compuestos'!$E$2:$E$48,"OK",'Conciliacion de compuestos'!$K$2:$K$48,A1658),COUNTIFS('Conciliacion de compuestos'!$D$2:$D$48,"conciliado",'Conciliacion de compuestos'!$E$2:$E$48,"OK",'Conciliacion de compuestos'!$L$2:$L$48,A1658))&gt;0,"conciliado en compuesto confirmado","disponible")</f>
        <v/>
      </c>
    </row>
    <row r="1659">
      <c r="A1659" s="11" t="n">
        <v>1673</v>
      </c>
      <c r="B1659" s="12" t="n">
        <v>46017</v>
      </c>
      <c r="C1659" s="11" t="inlineStr">
        <is>
          <t>a financiero gravamen movimiento</t>
        </is>
      </c>
      <c r="D1659" s="13" t="n">
        <v>-8</v>
      </c>
      <c r="E1659" s="11">
        <f>IF(SUM(COUNTIFS('Conciliacion de compuestos'!$D$2:$D$48,"conciliado",'Conciliacion de compuestos'!$E$2:$E$48,"OK",'Conciliacion de compuestos'!$J$2:$J$48,A1659),COUNTIFS('Conciliacion de compuestos'!$D$2:$D$48,"conciliado",'Conciliacion de compuestos'!$E$2:$E$48,"OK",'Conciliacion de compuestos'!$K$2:$K$48,A1659),COUNTIFS('Conciliacion de compuestos'!$D$2:$D$48,"conciliado",'Conciliacion de compuestos'!$E$2:$E$48,"OK",'Conciliacion de compuestos'!$L$2:$L$48,A1659))&gt;0,"conciliado en compuesto confirmado","disponible")</f>
        <v/>
      </c>
    </row>
    <row r="1660">
      <c r="A1660" s="11" t="n">
        <v>1674</v>
      </c>
      <c r="B1660" s="12" t="n">
        <v>46017</v>
      </c>
      <c r="C1660" s="11" t="inlineStr">
        <is>
          <t>depositos electronicos mastercar retefuente</t>
        </is>
      </c>
      <c r="D1660" s="13" t="n">
        <v>-1620</v>
      </c>
      <c r="E1660" s="11">
        <f>IF(SUM(COUNTIFS('Conciliacion de compuestos'!$D$2:$D$48,"conciliado",'Conciliacion de compuestos'!$E$2:$E$48,"OK",'Conciliacion de compuestos'!$J$2:$J$48,A1660),COUNTIFS('Conciliacion de compuestos'!$D$2:$D$48,"conciliado",'Conciliacion de compuestos'!$E$2:$E$48,"OK",'Conciliacion de compuestos'!$K$2:$K$48,A1660),COUNTIFS('Conciliacion de compuestos'!$D$2:$D$48,"conciliado",'Conciliacion de compuestos'!$E$2:$E$48,"OK",'Conciliacion de compuestos'!$L$2:$L$48,A1660))&gt;0,"conciliado en compuesto confirmado","disponible")</f>
        <v/>
      </c>
    </row>
    <row r="1661">
      <c r="A1661" s="11" t="n">
        <v>1675</v>
      </c>
      <c r="B1661" s="12" t="n">
        <v>46017</v>
      </c>
      <c r="C1661" s="11" t="inlineStr">
        <is>
          <t>a financiero gravamen movimiento</t>
        </is>
      </c>
      <c r="D1661" s="13" t="n">
        <v>-6</v>
      </c>
      <c r="E1661" s="11">
        <f>IF(SUM(COUNTIFS('Conciliacion de compuestos'!$D$2:$D$48,"conciliado",'Conciliacion de compuestos'!$E$2:$E$48,"OK",'Conciliacion de compuestos'!$J$2:$J$48,A1661),COUNTIFS('Conciliacion de compuestos'!$D$2:$D$48,"conciliado",'Conciliacion de compuestos'!$E$2:$E$48,"OK",'Conciliacion de compuestos'!$K$2:$K$48,A1661),COUNTIFS('Conciliacion de compuestos'!$D$2:$D$48,"conciliado",'Conciliacion de compuestos'!$E$2:$E$48,"OK",'Conciliacion de compuestos'!$L$2:$L$48,A1661))&gt;0,"conciliado en compuesto confirmado","disponible")</f>
        <v/>
      </c>
    </row>
    <row r="1662">
      <c r="A1662" s="11" t="n">
        <v>1676</v>
      </c>
      <c r="B1662" s="12" t="n">
        <v>46017</v>
      </c>
      <c r="C1662" s="11" t="inlineStr">
        <is>
          <t>depositos electronicos masterca transaccion</t>
        </is>
      </c>
      <c r="D1662" s="13" t="n">
        <v>40000</v>
      </c>
      <c r="E1662" s="11">
        <f>IF(SUM(COUNTIFS('Conciliacion de compuestos'!$D$2:$D$48,"conciliado",'Conciliacion de compuestos'!$E$2:$E$48,"OK",'Conciliacion de compuestos'!$J$2:$J$48,A1662),COUNTIFS('Conciliacion de compuestos'!$D$2:$D$48,"conciliado",'Conciliacion de compuestos'!$E$2:$E$48,"OK",'Conciliacion de compuestos'!$K$2:$K$48,A1662),COUNTIFS('Conciliacion de compuestos'!$D$2:$D$48,"conciliado",'Conciliacion de compuestos'!$E$2:$E$48,"OK",'Conciliacion de compuestos'!$L$2:$L$48,A1662))&gt;0,"conciliado en compuesto confirmado","disponible")</f>
        <v/>
      </c>
    </row>
    <row r="1663">
      <c r="A1663" s="11" t="n">
        <v>1677</v>
      </c>
      <c r="B1663" s="12" t="n">
        <v>46017</v>
      </c>
      <c r="C1663" s="11" t="inlineStr">
        <is>
          <t>comision depositos electronicos mastercard</t>
        </is>
      </c>
      <c r="D1663" s="13" t="n">
        <v>-760</v>
      </c>
      <c r="E1663" s="11">
        <f>IF(SUM(COUNTIFS('Conciliacion de compuestos'!$D$2:$D$48,"conciliado",'Conciliacion de compuestos'!$E$2:$E$48,"OK",'Conciliacion de compuestos'!$J$2:$J$48,A1663),COUNTIFS('Conciliacion de compuestos'!$D$2:$D$48,"conciliado",'Conciliacion de compuestos'!$E$2:$E$48,"OK",'Conciliacion de compuestos'!$K$2:$K$48,A1663),COUNTIFS('Conciliacion de compuestos'!$D$2:$D$48,"conciliado",'Conciliacion de compuestos'!$E$2:$E$48,"OK",'Conciliacion de compuestos'!$L$2:$L$48,A1663))&gt;0,"conciliado en compuesto confirmado","disponible")</f>
        <v/>
      </c>
    </row>
    <row r="1664">
      <c r="A1664" s="11" t="n">
        <v>1678</v>
      </c>
      <c r="B1664" s="12" t="n">
        <v>46017</v>
      </c>
      <c r="C1664" s="11" t="inlineStr">
        <is>
          <t>a financiero gravamen movimiento</t>
        </is>
      </c>
      <c r="D1664" s="13" t="n">
        <v>-3</v>
      </c>
      <c r="E1664" s="11">
        <f>IF(SUM(COUNTIFS('Conciliacion de compuestos'!$D$2:$D$48,"conciliado",'Conciliacion de compuestos'!$E$2:$E$48,"OK",'Conciliacion de compuestos'!$J$2:$J$48,A1664),COUNTIFS('Conciliacion de compuestos'!$D$2:$D$48,"conciliado",'Conciliacion de compuestos'!$E$2:$E$48,"OK",'Conciliacion de compuestos'!$K$2:$K$48,A1664),COUNTIFS('Conciliacion de compuestos'!$D$2:$D$48,"conciliado",'Conciliacion de compuestos'!$E$2:$E$48,"OK",'Conciliacion de compuestos'!$L$2:$L$48,A1664))&gt;0,"conciliado en compuesto confirmado","disponible")</f>
        <v/>
      </c>
    </row>
    <row r="1665">
      <c r="A1665" s="11" t="n">
        <v>1679</v>
      </c>
      <c r="B1665" s="12" t="n">
        <v>46017</v>
      </c>
      <c r="C1665" s="11" t="inlineStr">
        <is>
          <t>depositos electronicos mastercar retefuente</t>
        </is>
      </c>
      <c r="D1665" s="13" t="n">
        <v>-600</v>
      </c>
      <c r="E1665" s="11">
        <f>IF(SUM(COUNTIFS('Conciliacion de compuestos'!$D$2:$D$48,"conciliado",'Conciliacion de compuestos'!$E$2:$E$48,"OK",'Conciliacion de compuestos'!$J$2:$J$48,A1665),COUNTIFS('Conciliacion de compuestos'!$D$2:$D$48,"conciliado",'Conciliacion de compuestos'!$E$2:$E$48,"OK",'Conciliacion de compuestos'!$K$2:$K$48,A1665),COUNTIFS('Conciliacion de compuestos'!$D$2:$D$48,"conciliado",'Conciliacion de compuestos'!$E$2:$E$48,"OK",'Conciliacion de compuestos'!$L$2:$L$48,A1665))&gt;0,"conciliado en compuesto confirmado","disponible")</f>
        <v/>
      </c>
    </row>
    <row r="1666">
      <c r="A1666" s="11" t="n">
        <v>1680</v>
      </c>
      <c r="B1666" s="12" t="n">
        <v>46017</v>
      </c>
      <c r="C1666" s="11" t="inlineStr">
        <is>
          <t>a financiero gravamen movimiento</t>
        </is>
      </c>
      <c r="D1666" s="13" t="n">
        <v>-2</v>
      </c>
      <c r="E1666" s="11">
        <f>IF(SUM(COUNTIFS('Conciliacion de compuestos'!$D$2:$D$48,"conciliado",'Conciliacion de compuestos'!$E$2:$E$48,"OK",'Conciliacion de compuestos'!$J$2:$J$48,A1666),COUNTIFS('Conciliacion de compuestos'!$D$2:$D$48,"conciliado",'Conciliacion de compuestos'!$E$2:$E$48,"OK",'Conciliacion de compuestos'!$K$2:$K$48,A1666),COUNTIFS('Conciliacion de compuestos'!$D$2:$D$48,"conciliado",'Conciliacion de compuestos'!$E$2:$E$48,"OK",'Conciliacion de compuestos'!$L$2:$L$48,A1666))&gt;0,"conciliado en compuesto confirmado","disponible")</f>
        <v/>
      </c>
    </row>
    <row r="1667">
      <c r="A1667" s="11" t="n">
        <v>1681</v>
      </c>
      <c r="B1667" s="12" t="n">
        <v>46017</v>
      </c>
      <c r="C1667" s="11" t="inlineStr">
        <is>
          <t>depositos electronicos masterca transaccion</t>
        </is>
      </c>
      <c r="D1667" s="13" t="n">
        <v>66000</v>
      </c>
      <c r="E1667" s="11">
        <f>IF(SUM(COUNTIFS('Conciliacion de compuestos'!$D$2:$D$48,"conciliado",'Conciliacion de compuestos'!$E$2:$E$48,"OK",'Conciliacion de compuestos'!$J$2:$J$48,A1667),COUNTIFS('Conciliacion de compuestos'!$D$2:$D$48,"conciliado",'Conciliacion de compuestos'!$E$2:$E$48,"OK",'Conciliacion de compuestos'!$K$2:$K$48,A1667),COUNTIFS('Conciliacion de compuestos'!$D$2:$D$48,"conciliado",'Conciliacion de compuestos'!$E$2:$E$48,"OK",'Conciliacion de compuestos'!$L$2:$L$48,A1667))&gt;0,"conciliado en compuesto confirmado","disponible")</f>
        <v/>
      </c>
    </row>
    <row r="1668">
      <c r="A1668" s="11" t="n">
        <v>1682</v>
      </c>
      <c r="B1668" s="12" t="n">
        <v>46017</v>
      </c>
      <c r="C1668" s="11" t="inlineStr">
        <is>
          <t>comision depositos electronicos mastercard</t>
        </is>
      </c>
      <c r="D1668" s="13" t="n">
        <v>-1254</v>
      </c>
      <c r="E1668" s="11">
        <f>IF(SUM(COUNTIFS('Conciliacion de compuestos'!$D$2:$D$48,"conciliado",'Conciliacion de compuestos'!$E$2:$E$48,"OK",'Conciliacion de compuestos'!$J$2:$J$48,A1668),COUNTIFS('Conciliacion de compuestos'!$D$2:$D$48,"conciliado",'Conciliacion de compuestos'!$E$2:$E$48,"OK",'Conciliacion de compuestos'!$K$2:$K$48,A1668),COUNTIFS('Conciliacion de compuestos'!$D$2:$D$48,"conciliado",'Conciliacion de compuestos'!$E$2:$E$48,"OK",'Conciliacion de compuestos'!$L$2:$L$48,A1668))&gt;0,"conciliado en compuesto confirmado","disponible")</f>
        <v/>
      </c>
    </row>
    <row r="1669">
      <c r="A1669" s="11" t="n">
        <v>1683</v>
      </c>
      <c r="B1669" s="12" t="n">
        <v>46017</v>
      </c>
      <c r="C1669" s="11" t="inlineStr">
        <is>
          <t>a financiero gravamen movimiento</t>
        </is>
      </c>
      <c r="D1669" s="13" t="n">
        <v>-5</v>
      </c>
      <c r="E1669" s="11">
        <f>IF(SUM(COUNTIFS('Conciliacion de compuestos'!$D$2:$D$48,"conciliado",'Conciliacion de compuestos'!$E$2:$E$48,"OK",'Conciliacion de compuestos'!$J$2:$J$48,A1669),COUNTIFS('Conciliacion de compuestos'!$D$2:$D$48,"conciliado",'Conciliacion de compuestos'!$E$2:$E$48,"OK",'Conciliacion de compuestos'!$K$2:$K$48,A1669),COUNTIFS('Conciliacion de compuestos'!$D$2:$D$48,"conciliado",'Conciliacion de compuestos'!$E$2:$E$48,"OK",'Conciliacion de compuestos'!$L$2:$L$48,A1669))&gt;0,"conciliado en compuesto confirmado","disponible")</f>
        <v/>
      </c>
    </row>
    <row r="1670">
      <c r="A1670" s="11" t="n">
        <v>1684</v>
      </c>
      <c r="B1670" s="12" t="n">
        <v>46017</v>
      </c>
      <c r="C1670" s="11" t="inlineStr">
        <is>
          <t>depositos electronicos mastercar retefuente</t>
        </is>
      </c>
      <c r="D1670" s="13" t="n">
        <v>-990</v>
      </c>
      <c r="E1670" s="11">
        <f>IF(SUM(COUNTIFS('Conciliacion de compuestos'!$D$2:$D$48,"conciliado",'Conciliacion de compuestos'!$E$2:$E$48,"OK",'Conciliacion de compuestos'!$J$2:$J$48,A1670),COUNTIFS('Conciliacion de compuestos'!$D$2:$D$48,"conciliado",'Conciliacion de compuestos'!$E$2:$E$48,"OK",'Conciliacion de compuestos'!$K$2:$K$48,A1670),COUNTIFS('Conciliacion de compuestos'!$D$2:$D$48,"conciliado",'Conciliacion de compuestos'!$E$2:$E$48,"OK",'Conciliacion de compuestos'!$L$2:$L$48,A1670))&gt;0,"conciliado en compuesto confirmado","disponible")</f>
        <v/>
      </c>
    </row>
    <row r="1671">
      <c r="A1671" s="11" t="n">
        <v>1685</v>
      </c>
      <c r="B1671" s="12" t="n">
        <v>46017</v>
      </c>
      <c r="C1671" s="11" t="inlineStr">
        <is>
          <t>a financiero gravamen movimiento</t>
        </is>
      </c>
      <c r="D1671" s="13" t="n">
        <v>-4</v>
      </c>
      <c r="E1671" s="11">
        <f>IF(SUM(COUNTIFS('Conciliacion de compuestos'!$D$2:$D$48,"conciliado",'Conciliacion de compuestos'!$E$2:$E$48,"OK",'Conciliacion de compuestos'!$J$2:$J$48,A1671),COUNTIFS('Conciliacion de compuestos'!$D$2:$D$48,"conciliado",'Conciliacion de compuestos'!$E$2:$E$48,"OK",'Conciliacion de compuestos'!$K$2:$K$48,A1671),COUNTIFS('Conciliacion de compuestos'!$D$2:$D$48,"conciliado",'Conciliacion de compuestos'!$E$2:$E$48,"OK",'Conciliacion de compuestos'!$L$2:$L$48,A1671))&gt;0,"conciliado en compuesto confirmado","disponible")</f>
        <v/>
      </c>
    </row>
    <row r="1672">
      <c r="A1672" s="11" t="n">
        <v>1686</v>
      </c>
      <c r="B1672" s="12" t="n">
        <v>46020</v>
      </c>
      <c r="C1672" s="11" t="inlineStr">
        <is>
          <t>consignacion credibanco d e</t>
        </is>
      </c>
      <c r="D1672" s="13" t="n">
        <v>41600</v>
      </c>
      <c r="E1672" s="11">
        <f>IF(SUM(COUNTIFS('Conciliacion de compuestos'!$D$2:$D$48,"conciliado",'Conciliacion de compuestos'!$E$2:$E$48,"OK",'Conciliacion de compuestos'!$J$2:$J$48,A1672),COUNTIFS('Conciliacion de compuestos'!$D$2:$D$48,"conciliado",'Conciliacion de compuestos'!$E$2:$E$48,"OK",'Conciliacion de compuestos'!$K$2:$K$48,A1672),COUNTIFS('Conciliacion de compuestos'!$D$2:$D$48,"conciliado",'Conciliacion de compuestos'!$E$2:$E$48,"OK",'Conciliacion de compuestos'!$L$2:$L$48,A1672))&gt;0,"conciliado en compuesto confirmado","disponible")</f>
        <v/>
      </c>
    </row>
    <row r="1673">
      <c r="A1673" s="11" t="n">
        <v>1687</v>
      </c>
      <c r="B1673" s="12" t="n">
        <v>46020</v>
      </c>
      <c r="C1673" s="11" t="inlineStr">
        <is>
          <t>cobro comision depositos electronicos</t>
        </is>
      </c>
      <c r="D1673" s="13" t="n">
        <v>-337</v>
      </c>
      <c r="E1673" s="11">
        <f>IF(SUM(COUNTIFS('Conciliacion de compuestos'!$D$2:$D$48,"conciliado",'Conciliacion de compuestos'!$E$2:$E$48,"OK",'Conciliacion de compuestos'!$J$2:$J$48,A1673),COUNTIFS('Conciliacion de compuestos'!$D$2:$D$48,"conciliado",'Conciliacion de compuestos'!$E$2:$E$48,"OK",'Conciliacion de compuestos'!$K$2:$K$48,A1673),COUNTIFS('Conciliacion de compuestos'!$D$2:$D$48,"conciliado",'Conciliacion de compuestos'!$E$2:$E$48,"OK",'Conciliacion de compuestos'!$L$2:$L$48,A1673))&gt;0,"conciliado en compuesto confirmado","disponible")</f>
        <v/>
      </c>
    </row>
    <row r="1674">
      <c r="A1674" s="11" t="n">
        <v>1688</v>
      </c>
      <c r="B1674" s="12" t="n">
        <v>46020</v>
      </c>
      <c r="C1674" s="11" t="inlineStr">
        <is>
          <t>a financiero gravamen movimiento</t>
        </is>
      </c>
      <c r="D1674" s="13" t="n">
        <v>-1</v>
      </c>
      <c r="E1674" s="11">
        <f>IF(SUM(COUNTIFS('Conciliacion de compuestos'!$D$2:$D$48,"conciliado",'Conciliacion de compuestos'!$E$2:$E$48,"OK",'Conciliacion de compuestos'!$J$2:$J$48,A1674),COUNTIFS('Conciliacion de compuestos'!$D$2:$D$48,"conciliado",'Conciliacion de compuestos'!$E$2:$E$48,"OK",'Conciliacion de compuestos'!$K$2:$K$48,A1674),COUNTIFS('Conciliacion de compuestos'!$D$2:$D$48,"conciliado",'Conciliacion de compuestos'!$E$2:$E$48,"OK",'Conciliacion de compuestos'!$L$2:$L$48,A1674))&gt;0,"conciliado en compuesto confirmado","disponible")</f>
        <v/>
      </c>
    </row>
    <row r="1675">
      <c r="A1675" s="11" t="n">
        <v>1689</v>
      </c>
      <c r="B1675" s="12" t="n">
        <v>46020</v>
      </c>
      <c r="C1675" s="11" t="inlineStr">
        <is>
          <t>credibanco d e retefuente voucher y</t>
        </is>
      </c>
      <c r="D1675" s="13" t="n">
        <v>-624</v>
      </c>
      <c r="E1675" s="11">
        <f>IF(SUM(COUNTIFS('Conciliacion de compuestos'!$D$2:$D$48,"conciliado",'Conciliacion de compuestos'!$E$2:$E$48,"OK",'Conciliacion de compuestos'!$J$2:$J$48,A1675),COUNTIFS('Conciliacion de compuestos'!$D$2:$D$48,"conciliado",'Conciliacion de compuestos'!$E$2:$E$48,"OK",'Conciliacion de compuestos'!$K$2:$K$48,A1675),COUNTIFS('Conciliacion de compuestos'!$D$2:$D$48,"conciliado",'Conciliacion de compuestos'!$E$2:$E$48,"OK",'Conciliacion de compuestos'!$L$2:$L$48,A1675))&gt;0,"conciliado en compuesto confirmado","disponible")</f>
        <v/>
      </c>
    </row>
    <row r="1676">
      <c r="A1676" s="11" t="n">
        <v>1690</v>
      </c>
      <c r="B1676" s="12" t="n">
        <v>46020</v>
      </c>
      <c r="C1676" s="11" t="inlineStr">
        <is>
          <t>a financiero gravamen movimiento</t>
        </is>
      </c>
      <c r="D1676" s="13" t="n">
        <v>-2</v>
      </c>
      <c r="E1676" s="11">
        <f>IF(SUM(COUNTIFS('Conciliacion de compuestos'!$D$2:$D$48,"conciliado",'Conciliacion de compuestos'!$E$2:$E$48,"OK",'Conciliacion de compuestos'!$J$2:$J$48,A1676),COUNTIFS('Conciliacion de compuestos'!$D$2:$D$48,"conciliado",'Conciliacion de compuestos'!$E$2:$E$48,"OK",'Conciliacion de compuestos'!$K$2:$K$48,A1676),COUNTIFS('Conciliacion de compuestos'!$D$2:$D$48,"conciliado",'Conciliacion de compuestos'!$E$2:$E$48,"OK",'Conciliacion de compuestos'!$L$2:$L$48,A1676))&gt;0,"conciliado en compuesto confirmado","disponible")</f>
        <v/>
      </c>
    </row>
    <row r="1677">
      <c r="A1677" s="11" t="n">
        <v>1691</v>
      </c>
      <c r="B1677" s="12" t="n">
        <v>46020</v>
      </c>
      <c r="C1677" s="11" t="inlineStr">
        <is>
          <t>consignacion credibanco d e</t>
        </is>
      </c>
      <c r="D1677" s="13" t="n">
        <v>94100</v>
      </c>
      <c r="E1677" s="11">
        <f>IF(SUM(COUNTIFS('Conciliacion de compuestos'!$D$2:$D$48,"conciliado",'Conciliacion de compuestos'!$E$2:$E$48,"OK",'Conciliacion de compuestos'!$J$2:$J$48,A1677),COUNTIFS('Conciliacion de compuestos'!$D$2:$D$48,"conciliado",'Conciliacion de compuestos'!$E$2:$E$48,"OK",'Conciliacion de compuestos'!$K$2:$K$48,A1677),COUNTIFS('Conciliacion de compuestos'!$D$2:$D$48,"conciliado",'Conciliacion de compuestos'!$E$2:$E$48,"OK",'Conciliacion de compuestos'!$L$2:$L$48,A1677))&gt;0,"conciliado en compuesto confirmado","disponible")</f>
        <v/>
      </c>
    </row>
    <row r="1678">
      <c r="A1678" s="11" t="n">
        <v>1692</v>
      </c>
      <c r="B1678" s="12" t="n">
        <v>46020</v>
      </c>
      <c r="C1678" s="11" t="inlineStr">
        <is>
          <t>cobro comision depositos electronicos</t>
        </is>
      </c>
      <c r="D1678" s="13" t="n">
        <v>-1938</v>
      </c>
      <c r="E1678" s="11">
        <f>IF(SUM(COUNTIFS('Conciliacion de compuestos'!$D$2:$D$48,"conciliado",'Conciliacion de compuestos'!$E$2:$E$48,"OK",'Conciliacion de compuestos'!$J$2:$J$48,A1678),COUNTIFS('Conciliacion de compuestos'!$D$2:$D$48,"conciliado",'Conciliacion de compuestos'!$E$2:$E$48,"OK",'Conciliacion de compuestos'!$K$2:$K$48,A1678),COUNTIFS('Conciliacion de compuestos'!$D$2:$D$48,"conciliado",'Conciliacion de compuestos'!$E$2:$E$48,"OK",'Conciliacion de compuestos'!$L$2:$L$48,A1678))&gt;0,"conciliado en compuesto confirmado","disponible")</f>
        <v/>
      </c>
    </row>
    <row r="1679">
      <c r="A1679" s="11" t="n">
        <v>1693</v>
      </c>
      <c r="B1679" s="12" t="n">
        <v>46020</v>
      </c>
      <c r="C1679" s="11" t="inlineStr">
        <is>
          <t>a financiero gravamen movimiento</t>
        </is>
      </c>
      <c r="D1679" s="13" t="n">
        <v>-8</v>
      </c>
      <c r="E1679" s="11">
        <f>IF(SUM(COUNTIFS('Conciliacion de compuestos'!$D$2:$D$48,"conciliado",'Conciliacion de compuestos'!$E$2:$E$48,"OK",'Conciliacion de compuestos'!$J$2:$J$48,A1679),COUNTIFS('Conciliacion de compuestos'!$D$2:$D$48,"conciliado",'Conciliacion de compuestos'!$E$2:$E$48,"OK",'Conciliacion de compuestos'!$K$2:$K$48,A1679),COUNTIFS('Conciliacion de compuestos'!$D$2:$D$48,"conciliado",'Conciliacion de compuestos'!$E$2:$E$48,"OK",'Conciliacion de compuestos'!$L$2:$L$48,A1679))&gt;0,"conciliado en compuesto confirmado","disponible")</f>
        <v/>
      </c>
    </row>
    <row r="1680">
      <c r="A1680" s="11" t="n">
        <v>1694</v>
      </c>
      <c r="B1680" s="12" t="n">
        <v>46020</v>
      </c>
      <c r="C1680" s="11" t="inlineStr">
        <is>
          <t>credibanco d e retefuente voucher y</t>
        </is>
      </c>
      <c r="D1680" s="13" t="n">
        <v>-1412</v>
      </c>
      <c r="E1680" s="11">
        <f>IF(SUM(COUNTIFS('Conciliacion de compuestos'!$D$2:$D$48,"conciliado",'Conciliacion de compuestos'!$E$2:$E$48,"OK",'Conciliacion de compuestos'!$J$2:$J$48,A1680),COUNTIFS('Conciliacion de compuestos'!$D$2:$D$48,"conciliado",'Conciliacion de compuestos'!$E$2:$E$48,"OK",'Conciliacion de compuestos'!$K$2:$K$48,A1680),COUNTIFS('Conciliacion de compuestos'!$D$2:$D$48,"conciliado",'Conciliacion de compuestos'!$E$2:$E$48,"OK",'Conciliacion de compuestos'!$L$2:$L$48,A1680))&gt;0,"conciliado en compuesto confirmado","disponible")</f>
        <v/>
      </c>
    </row>
    <row r="1681">
      <c r="A1681" s="11" t="n">
        <v>1695</v>
      </c>
      <c r="B1681" s="12" t="n">
        <v>46020</v>
      </c>
      <c r="C1681" s="11" t="inlineStr">
        <is>
          <t>a financiero gravamen movimiento</t>
        </is>
      </c>
      <c r="D1681" s="13" t="n">
        <v>-6</v>
      </c>
      <c r="E1681" s="11">
        <f>IF(SUM(COUNTIFS('Conciliacion de compuestos'!$D$2:$D$48,"conciliado",'Conciliacion de compuestos'!$E$2:$E$48,"OK",'Conciliacion de compuestos'!$J$2:$J$48,A1681),COUNTIFS('Conciliacion de compuestos'!$D$2:$D$48,"conciliado",'Conciliacion de compuestos'!$E$2:$E$48,"OK",'Conciliacion de compuestos'!$K$2:$K$48,A1681),COUNTIFS('Conciliacion de compuestos'!$D$2:$D$48,"conciliado",'Conciliacion de compuestos'!$E$2:$E$48,"OK",'Conciliacion de compuestos'!$L$2:$L$48,A1681))&gt;0,"conciliado en compuesto confirmado","disponible")</f>
        <v/>
      </c>
    </row>
    <row r="1682">
      <c r="A1682" s="11" t="n">
        <v>1696</v>
      </c>
      <c r="B1682" s="12" t="n">
        <v>46020</v>
      </c>
      <c r="C1682" s="11" t="inlineStr">
        <is>
          <t>consignacion credibanco d e</t>
        </is>
      </c>
      <c r="D1682" s="13" t="n">
        <v>75000</v>
      </c>
      <c r="E1682" s="11">
        <f>IF(SUM(COUNTIFS('Conciliacion de compuestos'!$D$2:$D$48,"conciliado",'Conciliacion de compuestos'!$E$2:$E$48,"OK",'Conciliacion de compuestos'!$J$2:$J$48,A1682),COUNTIFS('Conciliacion de compuestos'!$D$2:$D$48,"conciliado",'Conciliacion de compuestos'!$E$2:$E$48,"OK",'Conciliacion de compuestos'!$K$2:$K$48,A1682),COUNTIFS('Conciliacion de compuestos'!$D$2:$D$48,"conciliado",'Conciliacion de compuestos'!$E$2:$E$48,"OK",'Conciliacion de compuestos'!$L$2:$L$48,A1682))&gt;0,"conciliado en compuesto confirmado","disponible")</f>
        <v/>
      </c>
    </row>
    <row r="1683">
      <c r="A1683" s="11" t="n">
        <v>1697</v>
      </c>
      <c r="B1683" s="12" t="n">
        <v>46020</v>
      </c>
      <c r="C1683" s="11" t="inlineStr">
        <is>
          <t>cobro comision depositos electronicos</t>
        </is>
      </c>
      <c r="D1683" s="13" t="n">
        <v>-1620</v>
      </c>
      <c r="E1683" s="11">
        <f>IF(SUM(COUNTIFS('Conciliacion de compuestos'!$D$2:$D$48,"conciliado",'Conciliacion de compuestos'!$E$2:$E$48,"OK",'Conciliacion de compuestos'!$J$2:$J$48,A1683),COUNTIFS('Conciliacion de compuestos'!$D$2:$D$48,"conciliado",'Conciliacion de compuestos'!$E$2:$E$48,"OK",'Conciliacion de compuestos'!$K$2:$K$48,A1683),COUNTIFS('Conciliacion de compuestos'!$D$2:$D$48,"conciliado",'Conciliacion de compuestos'!$E$2:$E$48,"OK",'Conciliacion de compuestos'!$L$2:$L$48,A1683))&gt;0,"conciliado en compuesto confirmado","disponible")</f>
        <v/>
      </c>
    </row>
    <row r="1684">
      <c r="A1684" s="11" t="n">
        <v>1698</v>
      </c>
      <c r="B1684" s="12" t="n">
        <v>46020</v>
      </c>
      <c r="C1684" s="11" t="inlineStr">
        <is>
          <t>a financiero gravamen movimiento</t>
        </is>
      </c>
      <c r="D1684" s="13" t="n">
        <v>-6</v>
      </c>
      <c r="E1684" s="11">
        <f>IF(SUM(COUNTIFS('Conciliacion de compuestos'!$D$2:$D$48,"conciliado",'Conciliacion de compuestos'!$E$2:$E$48,"OK",'Conciliacion de compuestos'!$J$2:$J$48,A1684),COUNTIFS('Conciliacion de compuestos'!$D$2:$D$48,"conciliado",'Conciliacion de compuestos'!$E$2:$E$48,"OK",'Conciliacion de compuestos'!$K$2:$K$48,A1684),COUNTIFS('Conciliacion de compuestos'!$D$2:$D$48,"conciliado",'Conciliacion de compuestos'!$E$2:$E$48,"OK",'Conciliacion de compuestos'!$L$2:$L$48,A1684))&gt;0,"conciliado en compuesto confirmado","disponible")</f>
        <v/>
      </c>
    </row>
    <row r="1685">
      <c r="A1685" s="11" t="n">
        <v>1699</v>
      </c>
      <c r="B1685" s="12" t="n">
        <v>46020</v>
      </c>
      <c r="C1685" s="11" t="inlineStr">
        <is>
          <t>credibanco d e retefuente voucher y</t>
        </is>
      </c>
      <c r="D1685" s="13" t="n">
        <v>-1125</v>
      </c>
      <c r="E1685" s="11">
        <f>IF(SUM(COUNTIFS('Conciliacion de compuestos'!$D$2:$D$48,"conciliado",'Conciliacion de compuestos'!$E$2:$E$48,"OK",'Conciliacion de compuestos'!$J$2:$J$48,A1685),COUNTIFS('Conciliacion de compuestos'!$D$2:$D$48,"conciliado",'Conciliacion de compuestos'!$E$2:$E$48,"OK",'Conciliacion de compuestos'!$K$2:$K$48,A1685),COUNTIFS('Conciliacion de compuestos'!$D$2:$D$48,"conciliado",'Conciliacion de compuestos'!$E$2:$E$48,"OK",'Conciliacion de compuestos'!$L$2:$L$48,A1685))&gt;0,"conciliado en compuesto confirmado","disponible")</f>
        <v/>
      </c>
    </row>
    <row r="1686">
      <c r="A1686" s="11" t="n">
        <v>1700</v>
      </c>
      <c r="B1686" s="12" t="n">
        <v>46020</v>
      </c>
      <c r="C1686" s="11" t="inlineStr">
        <is>
          <t>a financiero gravamen movimiento</t>
        </is>
      </c>
      <c r="D1686" s="13" t="n">
        <v>-5</v>
      </c>
      <c r="E1686" s="11">
        <f>IF(SUM(COUNTIFS('Conciliacion de compuestos'!$D$2:$D$48,"conciliado",'Conciliacion de compuestos'!$E$2:$E$48,"OK",'Conciliacion de compuestos'!$J$2:$J$48,A1686),COUNTIFS('Conciliacion de compuestos'!$D$2:$D$48,"conciliado",'Conciliacion de compuestos'!$E$2:$E$48,"OK",'Conciliacion de compuestos'!$K$2:$K$48,A1686),COUNTIFS('Conciliacion de compuestos'!$D$2:$D$48,"conciliado",'Conciliacion de compuestos'!$E$2:$E$48,"OK",'Conciliacion de compuestos'!$L$2:$L$48,A1686))&gt;0,"conciliado en compuesto confirmado","disponible")</f>
        <v/>
      </c>
    </row>
    <row r="1687">
      <c r="A1687" s="11" t="n">
        <v>1701</v>
      </c>
      <c r="B1687" s="12" t="n">
        <v>46020</v>
      </c>
      <c r="C1687" s="11" t="inlineStr">
        <is>
          <t>consignacion credibanco d e</t>
        </is>
      </c>
      <c r="D1687" s="13" t="n">
        <v>75000</v>
      </c>
      <c r="E1687" s="11">
        <f>IF(SUM(COUNTIFS('Conciliacion de compuestos'!$D$2:$D$48,"conciliado",'Conciliacion de compuestos'!$E$2:$E$48,"OK",'Conciliacion de compuestos'!$J$2:$J$48,A1687),COUNTIFS('Conciliacion de compuestos'!$D$2:$D$48,"conciliado",'Conciliacion de compuestos'!$E$2:$E$48,"OK",'Conciliacion de compuestos'!$K$2:$K$48,A1687),COUNTIFS('Conciliacion de compuestos'!$D$2:$D$48,"conciliado",'Conciliacion de compuestos'!$E$2:$E$48,"OK",'Conciliacion de compuestos'!$L$2:$L$48,A1687))&gt;0,"conciliado en compuesto confirmado","disponible")</f>
        <v/>
      </c>
    </row>
    <row r="1688">
      <c r="A1688" s="11" t="n">
        <v>1702</v>
      </c>
      <c r="B1688" s="12" t="n">
        <v>46020</v>
      </c>
      <c r="C1688" s="11" t="inlineStr">
        <is>
          <t>cobro comision depositos electronicos</t>
        </is>
      </c>
      <c r="D1688" s="13" t="n">
        <v>-1620</v>
      </c>
      <c r="E1688" s="11">
        <f>IF(SUM(COUNTIFS('Conciliacion de compuestos'!$D$2:$D$48,"conciliado",'Conciliacion de compuestos'!$E$2:$E$48,"OK",'Conciliacion de compuestos'!$J$2:$J$48,A1688),COUNTIFS('Conciliacion de compuestos'!$D$2:$D$48,"conciliado",'Conciliacion de compuestos'!$E$2:$E$48,"OK",'Conciliacion de compuestos'!$K$2:$K$48,A1688),COUNTIFS('Conciliacion de compuestos'!$D$2:$D$48,"conciliado",'Conciliacion de compuestos'!$E$2:$E$48,"OK",'Conciliacion de compuestos'!$L$2:$L$48,A1688))&gt;0,"conciliado en compuesto confirmado","disponible")</f>
        <v/>
      </c>
    </row>
    <row r="1689">
      <c r="A1689" s="11" t="n">
        <v>1703</v>
      </c>
      <c r="B1689" s="12" t="n">
        <v>46020</v>
      </c>
      <c r="C1689" s="11" t="inlineStr">
        <is>
          <t>a financiero gravamen movimiento</t>
        </is>
      </c>
      <c r="D1689" s="13" t="n">
        <v>-6</v>
      </c>
      <c r="E1689" s="11">
        <f>IF(SUM(COUNTIFS('Conciliacion de compuestos'!$D$2:$D$48,"conciliado",'Conciliacion de compuestos'!$E$2:$E$48,"OK",'Conciliacion de compuestos'!$J$2:$J$48,A1689),COUNTIFS('Conciliacion de compuestos'!$D$2:$D$48,"conciliado",'Conciliacion de compuestos'!$E$2:$E$48,"OK",'Conciliacion de compuestos'!$K$2:$K$48,A1689),COUNTIFS('Conciliacion de compuestos'!$D$2:$D$48,"conciliado",'Conciliacion de compuestos'!$E$2:$E$48,"OK",'Conciliacion de compuestos'!$L$2:$L$48,A1689))&gt;0,"conciliado en compuesto confirmado","disponible")</f>
        <v/>
      </c>
    </row>
    <row r="1690">
      <c r="A1690" s="11" t="n">
        <v>1704</v>
      </c>
      <c r="B1690" s="12" t="n">
        <v>46020</v>
      </c>
      <c r="C1690" s="11" t="inlineStr">
        <is>
          <t>credibanco d e retefuente voucher y</t>
        </is>
      </c>
      <c r="D1690" s="13" t="n">
        <v>-1125</v>
      </c>
      <c r="E1690" s="11">
        <f>IF(SUM(COUNTIFS('Conciliacion de compuestos'!$D$2:$D$48,"conciliado",'Conciliacion de compuestos'!$E$2:$E$48,"OK",'Conciliacion de compuestos'!$J$2:$J$48,A1690),COUNTIFS('Conciliacion de compuestos'!$D$2:$D$48,"conciliado",'Conciliacion de compuestos'!$E$2:$E$48,"OK",'Conciliacion de compuestos'!$K$2:$K$48,A1690),COUNTIFS('Conciliacion de compuestos'!$D$2:$D$48,"conciliado",'Conciliacion de compuestos'!$E$2:$E$48,"OK",'Conciliacion de compuestos'!$L$2:$L$48,A1690))&gt;0,"conciliado en compuesto confirmado","disponible")</f>
        <v/>
      </c>
    </row>
    <row r="1691">
      <c r="A1691" s="11" t="n">
        <v>1705</v>
      </c>
      <c r="B1691" s="12" t="n">
        <v>46020</v>
      </c>
      <c r="C1691" s="11" t="inlineStr">
        <is>
          <t>a financiero gravamen movimiento</t>
        </is>
      </c>
      <c r="D1691" s="13" t="n">
        <v>-5</v>
      </c>
      <c r="E1691" s="11">
        <f>IF(SUM(COUNTIFS('Conciliacion de compuestos'!$D$2:$D$48,"conciliado",'Conciliacion de compuestos'!$E$2:$E$48,"OK",'Conciliacion de compuestos'!$J$2:$J$48,A1691),COUNTIFS('Conciliacion de compuestos'!$D$2:$D$48,"conciliado",'Conciliacion de compuestos'!$E$2:$E$48,"OK",'Conciliacion de compuestos'!$K$2:$K$48,A1691),COUNTIFS('Conciliacion de compuestos'!$D$2:$D$48,"conciliado",'Conciliacion de compuestos'!$E$2:$E$48,"OK",'Conciliacion de compuestos'!$L$2:$L$48,A1691))&gt;0,"conciliado en compuesto confirmado","disponible")</f>
        <v/>
      </c>
    </row>
    <row r="1692">
      <c r="A1692" s="11" t="n">
        <v>1706</v>
      </c>
      <c r="B1692" s="12" t="n">
        <v>46020</v>
      </c>
      <c r="C1692" s="11" t="inlineStr">
        <is>
          <t>consignacion credibanco d e</t>
        </is>
      </c>
      <c r="D1692" s="13" t="n">
        <v>155000</v>
      </c>
      <c r="E1692" s="11">
        <f>IF(SUM(COUNTIFS('Conciliacion de compuestos'!$D$2:$D$48,"conciliado",'Conciliacion de compuestos'!$E$2:$E$48,"OK",'Conciliacion de compuestos'!$J$2:$J$48,A1692),COUNTIFS('Conciliacion de compuestos'!$D$2:$D$48,"conciliado",'Conciliacion de compuestos'!$E$2:$E$48,"OK",'Conciliacion de compuestos'!$K$2:$K$48,A1692),COUNTIFS('Conciliacion de compuestos'!$D$2:$D$48,"conciliado",'Conciliacion de compuestos'!$E$2:$E$48,"OK",'Conciliacion de compuestos'!$L$2:$L$48,A1692))&gt;0,"conciliado en compuesto confirmado","disponible")</f>
        <v/>
      </c>
    </row>
    <row r="1693">
      <c r="A1693" s="11" t="n">
        <v>1707</v>
      </c>
      <c r="B1693" s="12" t="n">
        <v>46020</v>
      </c>
      <c r="C1693" s="11" t="inlineStr">
        <is>
          <t>cobro comision depositos electronicos</t>
        </is>
      </c>
      <c r="D1693" s="13" t="n">
        <v>-3193</v>
      </c>
      <c r="E1693" s="11">
        <f>IF(SUM(COUNTIFS('Conciliacion de compuestos'!$D$2:$D$48,"conciliado",'Conciliacion de compuestos'!$E$2:$E$48,"OK",'Conciliacion de compuestos'!$J$2:$J$48,A1693),COUNTIFS('Conciliacion de compuestos'!$D$2:$D$48,"conciliado",'Conciliacion de compuestos'!$E$2:$E$48,"OK",'Conciliacion de compuestos'!$K$2:$K$48,A1693),COUNTIFS('Conciliacion de compuestos'!$D$2:$D$48,"conciliado",'Conciliacion de compuestos'!$E$2:$E$48,"OK",'Conciliacion de compuestos'!$L$2:$L$48,A1693))&gt;0,"conciliado en compuesto confirmado","disponible")</f>
        <v/>
      </c>
    </row>
    <row r="1694">
      <c r="A1694" s="11" t="n">
        <v>1708</v>
      </c>
      <c r="B1694" s="12" t="n">
        <v>46020</v>
      </c>
      <c r="C1694" s="11" t="inlineStr">
        <is>
          <t>a financiero gravamen movimiento</t>
        </is>
      </c>
      <c r="D1694" s="13" t="n">
        <v>-13</v>
      </c>
      <c r="E1694" s="11">
        <f>IF(SUM(COUNTIFS('Conciliacion de compuestos'!$D$2:$D$48,"conciliado",'Conciliacion de compuestos'!$E$2:$E$48,"OK",'Conciliacion de compuestos'!$J$2:$J$48,A1694),COUNTIFS('Conciliacion de compuestos'!$D$2:$D$48,"conciliado",'Conciliacion de compuestos'!$E$2:$E$48,"OK",'Conciliacion de compuestos'!$K$2:$K$48,A1694),COUNTIFS('Conciliacion de compuestos'!$D$2:$D$48,"conciliado",'Conciliacion de compuestos'!$E$2:$E$48,"OK",'Conciliacion de compuestos'!$L$2:$L$48,A1694))&gt;0,"conciliado en compuesto confirmado","disponible")</f>
        <v/>
      </c>
    </row>
    <row r="1695">
      <c r="A1695" s="11" t="n">
        <v>1709</v>
      </c>
      <c r="B1695" s="12" t="n">
        <v>46020</v>
      </c>
      <c r="C1695" s="11" t="inlineStr">
        <is>
          <t>credibanco d e retefuente voucher y</t>
        </is>
      </c>
      <c r="D1695" s="13" t="n">
        <v>-2325</v>
      </c>
      <c r="E1695" s="11">
        <f>IF(SUM(COUNTIFS('Conciliacion de compuestos'!$D$2:$D$48,"conciliado",'Conciliacion de compuestos'!$E$2:$E$48,"OK",'Conciliacion de compuestos'!$J$2:$J$48,A1695),COUNTIFS('Conciliacion de compuestos'!$D$2:$D$48,"conciliado",'Conciliacion de compuestos'!$E$2:$E$48,"OK",'Conciliacion de compuestos'!$K$2:$K$48,A1695),COUNTIFS('Conciliacion de compuestos'!$D$2:$D$48,"conciliado",'Conciliacion de compuestos'!$E$2:$E$48,"OK",'Conciliacion de compuestos'!$L$2:$L$48,A1695))&gt;0,"conciliado en compuesto confirmado","disponible")</f>
        <v/>
      </c>
    </row>
    <row r="1696">
      <c r="A1696" s="11" t="n">
        <v>1710</v>
      </c>
      <c r="B1696" s="12" t="n">
        <v>46020</v>
      </c>
      <c r="C1696" s="11" t="inlineStr">
        <is>
          <t>a financiero gravamen movimiento</t>
        </is>
      </c>
      <c r="D1696" s="13" t="n">
        <v>-9</v>
      </c>
      <c r="E1696" s="11">
        <f>IF(SUM(COUNTIFS('Conciliacion de compuestos'!$D$2:$D$48,"conciliado",'Conciliacion de compuestos'!$E$2:$E$48,"OK",'Conciliacion de compuestos'!$J$2:$J$48,A1696),COUNTIFS('Conciliacion de compuestos'!$D$2:$D$48,"conciliado",'Conciliacion de compuestos'!$E$2:$E$48,"OK",'Conciliacion de compuestos'!$K$2:$K$48,A1696),COUNTIFS('Conciliacion de compuestos'!$D$2:$D$48,"conciliado",'Conciliacion de compuestos'!$E$2:$E$48,"OK",'Conciliacion de compuestos'!$L$2:$L$48,A1696))&gt;0,"conciliado en compuesto confirmado","disponible")</f>
        <v/>
      </c>
    </row>
    <row r="1697">
      <c r="A1697" s="11" t="n">
        <v>1711</v>
      </c>
      <c r="B1697" s="12" t="n">
        <v>46020</v>
      </c>
      <c r="C1697" s="11" t="inlineStr">
        <is>
          <t>consignacion credibanco d e</t>
        </is>
      </c>
      <c r="D1697" s="13" t="n">
        <v>160800</v>
      </c>
      <c r="E1697" s="11">
        <f>IF(SUM(COUNTIFS('Conciliacion de compuestos'!$D$2:$D$48,"conciliado",'Conciliacion de compuestos'!$E$2:$E$48,"OK",'Conciliacion de compuestos'!$J$2:$J$48,A1697),COUNTIFS('Conciliacion de compuestos'!$D$2:$D$48,"conciliado",'Conciliacion de compuestos'!$E$2:$E$48,"OK",'Conciliacion de compuestos'!$K$2:$K$48,A1697),COUNTIFS('Conciliacion de compuestos'!$D$2:$D$48,"conciliado",'Conciliacion de compuestos'!$E$2:$E$48,"OK",'Conciliacion de compuestos'!$L$2:$L$48,A1697))&gt;0,"conciliado en compuesto confirmado","disponible")</f>
        <v/>
      </c>
    </row>
    <row r="1698">
      <c r="A1698" s="11" t="n">
        <v>1712</v>
      </c>
      <c r="B1698" s="12" t="n">
        <v>46020</v>
      </c>
      <c r="C1698" s="11" t="inlineStr">
        <is>
          <t>cobro comision depositos electronicos</t>
        </is>
      </c>
      <c r="D1698" s="13" t="n">
        <v>-3312</v>
      </c>
      <c r="E1698" s="11">
        <f>IF(SUM(COUNTIFS('Conciliacion de compuestos'!$D$2:$D$48,"conciliado",'Conciliacion de compuestos'!$E$2:$E$48,"OK",'Conciliacion de compuestos'!$J$2:$J$48,A1698),COUNTIFS('Conciliacion de compuestos'!$D$2:$D$48,"conciliado",'Conciliacion de compuestos'!$E$2:$E$48,"OK",'Conciliacion de compuestos'!$K$2:$K$48,A1698),COUNTIFS('Conciliacion de compuestos'!$D$2:$D$48,"conciliado",'Conciliacion de compuestos'!$E$2:$E$48,"OK",'Conciliacion de compuestos'!$L$2:$L$48,A1698))&gt;0,"conciliado en compuesto confirmado","disponible")</f>
        <v/>
      </c>
    </row>
    <row r="1699">
      <c r="A1699" s="11" t="n">
        <v>1713</v>
      </c>
      <c r="B1699" s="12" t="n">
        <v>46020</v>
      </c>
      <c r="C1699" s="11" t="inlineStr">
        <is>
          <t>a financiero gravamen movimiento</t>
        </is>
      </c>
      <c r="D1699" s="13" t="n">
        <v>-13</v>
      </c>
      <c r="E1699" s="11">
        <f>IF(SUM(COUNTIFS('Conciliacion de compuestos'!$D$2:$D$48,"conciliado",'Conciliacion de compuestos'!$E$2:$E$48,"OK",'Conciliacion de compuestos'!$J$2:$J$48,A1699),COUNTIFS('Conciliacion de compuestos'!$D$2:$D$48,"conciliado",'Conciliacion de compuestos'!$E$2:$E$48,"OK",'Conciliacion de compuestos'!$K$2:$K$48,A1699),COUNTIFS('Conciliacion de compuestos'!$D$2:$D$48,"conciliado",'Conciliacion de compuestos'!$E$2:$E$48,"OK",'Conciliacion de compuestos'!$L$2:$L$48,A1699))&gt;0,"conciliado en compuesto confirmado","disponible")</f>
        <v/>
      </c>
    </row>
    <row r="1700">
      <c r="A1700" s="11" t="n">
        <v>1714</v>
      </c>
      <c r="B1700" s="12" t="n">
        <v>46020</v>
      </c>
      <c r="C1700" s="11" t="inlineStr">
        <is>
          <t>credibanco d e retefuente voucher y</t>
        </is>
      </c>
      <c r="D1700" s="13" t="n">
        <v>-2412</v>
      </c>
      <c r="E1700" s="11">
        <f>IF(SUM(COUNTIFS('Conciliacion de compuestos'!$D$2:$D$48,"conciliado",'Conciliacion de compuestos'!$E$2:$E$48,"OK",'Conciliacion de compuestos'!$J$2:$J$48,A1700),COUNTIFS('Conciliacion de compuestos'!$D$2:$D$48,"conciliado",'Conciliacion de compuestos'!$E$2:$E$48,"OK",'Conciliacion de compuestos'!$K$2:$K$48,A1700),COUNTIFS('Conciliacion de compuestos'!$D$2:$D$48,"conciliado",'Conciliacion de compuestos'!$E$2:$E$48,"OK",'Conciliacion de compuestos'!$L$2:$L$48,A1700))&gt;0,"conciliado en compuesto confirmado","disponible")</f>
        <v/>
      </c>
    </row>
    <row r="1701">
      <c r="A1701" s="11" t="n">
        <v>1715</v>
      </c>
      <c r="B1701" s="12" t="n">
        <v>46020</v>
      </c>
      <c r="C1701" s="11" t="inlineStr">
        <is>
          <t>a financiero gravamen movimiento</t>
        </is>
      </c>
      <c r="D1701" s="13" t="n">
        <v>-10</v>
      </c>
      <c r="E1701" s="11">
        <f>IF(SUM(COUNTIFS('Conciliacion de compuestos'!$D$2:$D$48,"conciliado",'Conciliacion de compuestos'!$E$2:$E$48,"OK",'Conciliacion de compuestos'!$J$2:$J$48,A1701),COUNTIFS('Conciliacion de compuestos'!$D$2:$D$48,"conciliado",'Conciliacion de compuestos'!$E$2:$E$48,"OK",'Conciliacion de compuestos'!$K$2:$K$48,A1701),COUNTIFS('Conciliacion de compuestos'!$D$2:$D$48,"conciliado",'Conciliacion de compuestos'!$E$2:$E$48,"OK",'Conciliacion de compuestos'!$L$2:$L$48,A1701))&gt;0,"conciliado en compuesto confirmado","disponible")</f>
        <v/>
      </c>
    </row>
    <row r="1702">
      <c r="A1702" s="11" t="n">
        <v>1716</v>
      </c>
      <c r="B1702" s="12" t="n">
        <v>46020</v>
      </c>
      <c r="C1702" s="11" t="inlineStr">
        <is>
          <t>consignacion credibanco d e</t>
        </is>
      </c>
      <c r="D1702" s="13" t="n">
        <v>134400</v>
      </c>
      <c r="E1702" s="11">
        <f>IF(SUM(COUNTIFS('Conciliacion de compuestos'!$D$2:$D$48,"conciliado",'Conciliacion de compuestos'!$E$2:$E$48,"OK",'Conciliacion de compuestos'!$J$2:$J$48,A1702),COUNTIFS('Conciliacion de compuestos'!$D$2:$D$48,"conciliado",'Conciliacion de compuestos'!$E$2:$E$48,"OK",'Conciliacion de compuestos'!$K$2:$K$48,A1702),COUNTIFS('Conciliacion de compuestos'!$D$2:$D$48,"conciliado",'Conciliacion de compuestos'!$E$2:$E$48,"OK",'Conciliacion de compuestos'!$L$2:$L$48,A1702))&gt;0,"conciliado en compuesto confirmado","disponible")</f>
        <v/>
      </c>
    </row>
    <row r="1703">
      <c r="A1703" s="11" t="n">
        <v>1717</v>
      </c>
      <c r="B1703" s="12" t="n">
        <v>46020</v>
      </c>
      <c r="C1703" s="11" t="inlineStr">
        <is>
          <t>cobro comision depositos electronicos</t>
        </is>
      </c>
      <c r="D1703" s="13" t="n">
        <v>-2769</v>
      </c>
      <c r="E1703" s="11">
        <f>IF(SUM(COUNTIFS('Conciliacion de compuestos'!$D$2:$D$48,"conciliado",'Conciliacion de compuestos'!$E$2:$E$48,"OK",'Conciliacion de compuestos'!$J$2:$J$48,A1703),COUNTIFS('Conciliacion de compuestos'!$D$2:$D$48,"conciliado",'Conciliacion de compuestos'!$E$2:$E$48,"OK",'Conciliacion de compuestos'!$K$2:$K$48,A1703),COUNTIFS('Conciliacion de compuestos'!$D$2:$D$48,"conciliado",'Conciliacion de compuestos'!$E$2:$E$48,"OK",'Conciliacion de compuestos'!$L$2:$L$48,A1703))&gt;0,"conciliado en compuesto confirmado","disponible")</f>
        <v/>
      </c>
    </row>
    <row r="1704">
      <c r="A1704" s="11" t="n">
        <v>1718</v>
      </c>
      <c r="B1704" s="12" t="n">
        <v>46020</v>
      </c>
      <c r="C1704" s="11" t="inlineStr">
        <is>
          <t>a financiero gravamen movimiento</t>
        </is>
      </c>
      <c r="D1704" s="13" t="n">
        <v>-11</v>
      </c>
      <c r="E1704" s="11">
        <f>IF(SUM(COUNTIFS('Conciliacion de compuestos'!$D$2:$D$48,"conciliado",'Conciliacion de compuestos'!$E$2:$E$48,"OK",'Conciliacion de compuestos'!$J$2:$J$48,A1704),COUNTIFS('Conciliacion de compuestos'!$D$2:$D$48,"conciliado",'Conciliacion de compuestos'!$E$2:$E$48,"OK",'Conciliacion de compuestos'!$K$2:$K$48,A1704),COUNTIFS('Conciliacion de compuestos'!$D$2:$D$48,"conciliado",'Conciliacion de compuestos'!$E$2:$E$48,"OK",'Conciliacion de compuestos'!$L$2:$L$48,A1704))&gt;0,"conciliado en compuesto confirmado","disponible")</f>
        <v/>
      </c>
    </row>
    <row r="1705">
      <c r="A1705" s="11" t="n">
        <v>1719</v>
      </c>
      <c r="B1705" s="12" t="n">
        <v>46020</v>
      </c>
      <c r="C1705" s="11" t="inlineStr">
        <is>
          <t>credibanco d e retefuente voucher y</t>
        </is>
      </c>
      <c r="D1705" s="13" t="n">
        <v>-2016</v>
      </c>
      <c r="E1705" s="11">
        <f>IF(SUM(COUNTIFS('Conciliacion de compuestos'!$D$2:$D$48,"conciliado",'Conciliacion de compuestos'!$E$2:$E$48,"OK",'Conciliacion de compuestos'!$J$2:$J$48,A1705),COUNTIFS('Conciliacion de compuestos'!$D$2:$D$48,"conciliado",'Conciliacion de compuestos'!$E$2:$E$48,"OK",'Conciliacion de compuestos'!$K$2:$K$48,A1705),COUNTIFS('Conciliacion de compuestos'!$D$2:$D$48,"conciliado",'Conciliacion de compuestos'!$E$2:$E$48,"OK",'Conciliacion de compuestos'!$L$2:$L$48,A1705))&gt;0,"conciliado en compuesto confirmado","disponible")</f>
        <v/>
      </c>
    </row>
    <row r="1706">
      <c r="A1706" s="11" t="n">
        <v>1720</v>
      </c>
      <c r="B1706" s="12" t="n">
        <v>46020</v>
      </c>
      <c r="C1706" s="11" t="inlineStr">
        <is>
          <t>a financiero gravamen movimiento</t>
        </is>
      </c>
      <c r="D1706" s="13" t="n">
        <v>-8</v>
      </c>
      <c r="E1706" s="11">
        <f>IF(SUM(COUNTIFS('Conciliacion de compuestos'!$D$2:$D$48,"conciliado",'Conciliacion de compuestos'!$E$2:$E$48,"OK",'Conciliacion de compuestos'!$J$2:$J$48,A1706),COUNTIFS('Conciliacion de compuestos'!$D$2:$D$48,"conciliado",'Conciliacion de compuestos'!$E$2:$E$48,"OK",'Conciliacion de compuestos'!$K$2:$K$48,A1706),COUNTIFS('Conciliacion de compuestos'!$D$2:$D$48,"conciliado",'Conciliacion de compuestos'!$E$2:$E$48,"OK",'Conciliacion de compuestos'!$L$2:$L$48,A1706))&gt;0,"conciliado en compuesto confirmado","disponible")</f>
        <v/>
      </c>
    </row>
    <row r="1707">
      <c r="A1707" s="11" t="n">
        <v>1721</v>
      </c>
      <c r="B1707" s="12" t="n">
        <v>46020</v>
      </c>
      <c r="C1707" s="11" t="inlineStr">
        <is>
          <t>consignacion credibanco d e</t>
        </is>
      </c>
      <c r="D1707" s="13" t="n">
        <v>104800</v>
      </c>
      <c r="E1707" s="11">
        <f>IF(SUM(COUNTIFS('Conciliacion de compuestos'!$D$2:$D$48,"conciliado",'Conciliacion de compuestos'!$E$2:$E$48,"OK",'Conciliacion de compuestos'!$J$2:$J$48,A1707),COUNTIFS('Conciliacion de compuestos'!$D$2:$D$48,"conciliado",'Conciliacion de compuestos'!$E$2:$E$48,"OK",'Conciliacion de compuestos'!$K$2:$K$48,A1707),COUNTIFS('Conciliacion de compuestos'!$D$2:$D$48,"conciliado",'Conciliacion de compuestos'!$E$2:$E$48,"OK",'Conciliacion de compuestos'!$L$2:$L$48,A1707))&gt;0,"conciliado en compuesto confirmado","disponible")</f>
        <v/>
      </c>
    </row>
    <row r="1708">
      <c r="A1708" s="11" t="n">
        <v>1722</v>
      </c>
      <c r="B1708" s="12" t="n">
        <v>46020</v>
      </c>
      <c r="C1708" s="11" t="inlineStr">
        <is>
          <t>cobro comision depositos electronicos</t>
        </is>
      </c>
      <c r="D1708" s="13" t="n">
        <v>-2264</v>
      </c>
      <c r="E1708" s="11">
        <f>IF(SUM(COUNTIFS('Conciliacion de compuestos'!$D$2:$D$48,"conciliado",'Conciliacion de compuestos'!$E$2:$E$48,"OK",'Conciliacion de compuestos'!$J$2:$J$48,A1708),COUNTIFS('Conciliacion de compuestos'!$D$2:$D$48,"conciliado",'Conciliacion de compuestos'!$E$2:$E$48,"OK",'Conciliacion de compuestos'!$K$2:$K$48,A1708),COUNTIFS('Conciliacion de compuestos'!$D$2:$D$48,"conciliado",'Conciliacion de compuestos'!$E$2:$E$48,"OK",'Conciliacion de compuestos'!$L$2:$L$48,A1708))&gt;0,"conciliado en compuesto confirmado","disponible")</f>
        <v/>
      </c>
    </row>
    <row r="1709">
      <c r="A1709" s="11" t="n">
        <v>1723</v>
      </c>
      <c r="B1709" s="12" t="n">
        <v>46020</v>
      </c>
      <c r="C1709" s="11" t="inlineStr">
        <is>
          <t>a financiero gravamen movimiento</t>
        </is>
      </c>
      <c r="D1709" s="13" t="n">
        <v>-9</v>
      </c>
      <c r="E1709" s="11">
        <f>IF(SUM(COUNTIFS('Conciliacion de compuestos'!$D$2:$D$48,"conciliado",'Conciliacion de compuestos'!$E$2:$E$48,"OK",'Conciliacion de compuestos'!$J$2:$J$48,A1709),COUNTIFS('Conciliacion de compuestos'!$D$2:$D$48,"conciliado",'Conciliacion de compuestos'!$E$2:$E$48,"OK",'Conciliacion de compuestos'!$K$2:$K$48,A1709),COUNTIFS('Conciliacion de compuestos'!$D$2:$D$48,"conciliado",'Conciliacion de compuestos'!$E$2:$E$48,"OK",'Conciliacion de compuestos'!$L$2:$L$48,A1709))&gt;0,"conciliado en compuesto confirmado","disponible")</f>
        <v/>
      </c>
    </row>
    <row r="1710">
      <c r="A1710" s="11" t="n">
        <v>1724</v>
      </c>
      <c r="B1710" s="12" t="n">
        <v>46020</v>
      </c>
      <c r="C1710" s="11" t="inlineStr">
        <is>
          <t>credibanco d e retefuente voucher y</t>
        </is>
      </c>
      <c r="D1710" s="13" t="n">
        <v>-1572</v>
      </c>
      <c r="E1710" s="11">
        <f>IF(SUM(COUNTIFS('Conciliacion de compuestos'!$D$2:$D$48,"conciliado",'Conciliacion de compuestos'!$E$2:$E$48,"OK",'Conciliacion de compuestos'!$J$2:$J$48,A1710),COUNTIFS('Conciliacion de compuestos'!$D$2:$D$48,"conciliado",'Conciliacion de compuestos'!$E$2:$E$48,"OK",'Conciliacion de compuestos'!$K$2:$K$48,A1710),COUNTIFS('Conciliacion de compuestos'!$D$2:$D$48,"conciliado",'Conciliacion de compuestos'!$E$2:$E$48,"OK",'Conciliacion de compuestos'!$L$2:$L$48,A1710))&gt;0,"conciliado en compuesto confirmado","disponible")</f>
        <v/>
      </c>
    </row>
    <row r="1711">
      <c r="A1711" s="11" t="n">
        <v>1725</v>
      </c>
      <c r="B1711" s="12" t="n">
        <v>46020</v>
      </c>
      <c r="C1711" s="11" t="inlineStr">
        <is>
          <t>a financiero gravamen movimiento</t>
        </is>
      </c>
      <c r="D1711" s="13" t="n">
        <v>-6</v>
      </c>
      <c r="E1711" s="11">
        <f>IF(SUM(COUNTIFS('Conciliacion de compuestos'!$D$2:$D$48,"conciliado",'Conciliacion de compuestos'!$E$2:$E$48,"OK",'Conciliacion de compuestos'!$J$2:$J$48,A1711),COUNTIFS('Conciliacion de compuestos'!$D$2:$D$48,"conciliado",'Conciliacion de compuestos'!$E$2:$E$48,"OK",'Conciliacion de compuestos'!$K$2:$K$48,A1711),COUNTIFS('Conciliacion de compuestos'!$D$2:$D$48,"conciliado",'Conciliacion de compuestos'!$E$2:$E$48,"OK",'Conciliacion de compuestos'!$L$2:$L$48,A1711))&gt;0,"conciliado en compuesto confirmado","disponible")</f>
        <v/>
      </c>
    </row>
    <row r="1712">
      <c r="A1712" s="11" t="n">
        <v>1726</v>
      </c>
      <c r="B1712" s="12" t="n">
        <v>46020</v>
      </c>
      <c r="C1712" s="11" t="inlineStr">
        <is>
          <t>consignacion credibanco d e</t>
        </is>
      </c>
      <c r="D1712" s="13" t="n">
        <v>278300</v>
      </c>
      <c r="E1712" s="11">
        <f>IF(SUM(COUNTIFS('Conciliacion de compuestos'!$D$2:$D$48,"conciliado",'Conciliacion de compuestos'!$E$2:$E$48,"OK",'Conciliacion de compuestos'!$J$2:$J$48,A1712),COUNTIFS('Conciliacion de compuestos'!$D$2:$D$48,"conciliado",'Conciliacion de compuestos'!$E$2:$E$48,"OK",'Conciliacion de compuestos'!$K$2:$K$48,A1712),COUNTIFS('Conciliacion de compuestos'!$D$2:$D$48,"conciliado",'Conciliacion de compuestos'!$E$2:$E$48,"OK",'Conciliacion de compuestos'!$L$2:$L$48,A1712))&gt;0,"conciliado en compuesto confirmado","disponible")</f>
        <v/>
      </c>
    </row>
    <row r="1713">
      <c r="A1713" s="11" t="n">
        <v>1727</v>
      </c>
      <c r="B1713" s="12" t="n">
        <v>46020</v>
      </c>
      <c r="C1713" s="11" t="inlineStr">
        <is>
          <t>cobro comision depositos electronicos</t>
        </is>
      </c>
      <c r="D1713" s="13" t="n">
        <v>-6011</v>
      </c>
      <c r="E1713" s="11">
        <f>IF(SUM(COUNTIFS('Conciliacion de compuestos'!$D$2:$D$48,"conciliado",'Conciliacion de compuestos'!$E$2:$E$48,"OK",'Conciliacion de compuestos'!$J$2:$J$48,A1713),COUNTIFS('Conciliacion de compuestos'!$D$2:$D$48,"conciliado",'Conciliacion de compuestos'!$E$2:$E$48,"OK",'Conciliacion de compuestos'!$K$2:$K$48,A1713),COUNTIFS('Conciliacion de compuestos'!$D$2:$D$48,"conciliado",'Conciliacion de compuestos'!$E$2:$E$48,"OK",'Conciliacion de compuestos'!$L$2:$L$48,A1713))&gt;0,"conciliado en compuesto confirmado","disponible")</f>
        <v/>
      </c>
    </row>
    <row r="1714">
      <c r="A1714" s="11" t="n">
        <v>1728</v>
      </c>
      <c r="B1714" s="12" t="n">
        <v>46020</v>
      </c>
      <c r="C1714" s="11" t="inlineStr">
        <is>
          <t>a financiero gravamen movimiento</t>
        </is>
      </c>
      <c r="D1714" s="13" t="n">
        <v>-24</v>
      </c>
      <c r="E1714" s="11">
        <f>IF(SUM(COUNTIFS('Conciliacion de compuestos'!$D$2:$D$48,"conciliado",'Conciliacion de compuestos'!$E$2:$E$48,"OK",'Conciliacion de compuestos'!$J$2:$J$48,A1714),COUNTIFS('Conciliacion de compuestos'!$D$2:$D$48,"conciliado",'Conciliacion de compuestos'!$E$2:$E$48,"OK",'Conciliacion de compuestos'!$K$2:$K$48,A1714),COUNTIFS('Conciliacion de compuestos'!$D$2:$D$48,"conciliado",'Conciliacion de compuestos'!$E$2:$E$48,"OK",'Conciliacion de compuestos'!$L$2:$L$48,A1714))&gt;0,"conciliado en compuesto confirmado","disponible")</f>
        <v/>
      </c>
    </row>
    <row r="1715">
      <c r="A1715" s="11" t="n">
        <v>1729</v>
      </c>
      <c r="B1715" s="12" t="n">
        <v>46020</v>
      </c>
      <c r="C1715" s="11" t="inlineStr">
        <is>
          <t>credibanco d e retefuente voucher y</t>
        </is>
      </c>
      <c r="D1715" s="13" t="n">
        <v>-4175</v>
      </c>
      <c r="E1715" s="11">
        <f>IF(SUM(COUNTIFS('Conciliacion de compuestos'!$D$2:$D$48,"conciliado",'Conciliacion de compuestos'!$E$2:$E$48,"OK",'Conciliacion de compuestos'!$J$2:$J$48,A1715),COUNTIFS('Conciliacion de compuestos'!$D$2:$D$48,"conciliado",'Conciliacion de compuestos'!$E$2:$E$48,"OK",'Conciliacion de compuestos'!$K$2:$K$48,A1715),COUNTIFS('Conciliacion de compuestos'!$D$2:$D$48,"conciliado",'Conciliacion de compuestos'!$E$2:$E$48,"OK",'Conciliacion de compuestos'!$L$2:$L$48,A1715))&gt;0,"conciliado en compuesto confirmado","disponible")</f>
        <v/>
      </c>
    </row>
    <row r="1716">
      <c r="A1716" s="11" t="n">
        <v>1730</v>
      </c>
      <c r="B1716" s="12" t="n">
        <v>46020</v>
      </c>
      <c r="C1716" s="11" t="inlineStr">
        <is>
          <t>a financiero gravamen movimiento</t>
        </is>
      </c>
      <c r="D1716" s="13" t="n">
        <v>-17</v>
      </c>
      <c r="E1716" s="11">
        <f>IF(SUM(COUNTIFS('Conciliacion de compuestos'!$D$2:$D$48,"conciliado",'Conciliacion de compuestos'!$E$2:$E$48,"OK",'Conciliacion de compuestos'!$J$2:$J$48,A1716),COUNTIFS('Conciliacion de compuestos'!$D$2:$D$48,"conciliado",'Conciliacion de compuestos'!$E$2:$E$48,"OK",'Conciliacion de compuestos'!$K$2:$K$48,A1716),COUNTIFS('Conciliacion de compuestos'!$D$2:$D$48,"conciliado",'Conciliacion de compuestos'!$E$2:$E$48,"OK",'Conciliacion de compuestos'!$L$2:$L$48,A1716))&gt;0,"conciliado en compuesto confirmado","disponible")</f>
        <v/>
      </c>
    </row>
    <row r="1717">
      <c r="A1717" s="11" t="n">
        <v>1731</v>
      </c>
      <c r="B1717" s="12" t="n">
        <v>46020</v>
      </c>
      <c r="C1717" s="11" t="inlineStr">
        <is>
          <t>consignacion credibanco d e</t>
        </is>
      </c>
      <c r="D1717" s="13" t="n">
        <v>26350</v>
      </c>
      <c r="E1717" s="11">
        <f>IF(SUM(COUNTIFS('Conciliacion de compuestos'!$D$2:$D$48,"conciliado",'Conciliacion de compuestos'!$E$2:$E$48,"OK",'Conciliacion de compuestos'!$J$2:$J$48,A1717),COUNTIFS('Conciliacion de compuestos'!$D$2:$D$48,"conciliado",'Conciliacion de compuestos'!$E$2:$E$48,"OK",'Conciliacion de compuestos'!$K$2:$K$48,A1717),COUNTIFS('Conciliacion de compuestos'!$D$2:$D$48,"conciliado",'Conciliacion de compuestos'!$E$2:$E$48,"OK",'Conciliacion de compuestos'!$L$2:$L$48,A1717))&gt;0,"conciliado en compuesto confirmado","disponible")</f>
        <v/>
      </c>
    </row>
    <row r="1718">
      <c r="A1718" s="11" t="n">
        <v>1732</v>
      </c>
      <c r="B1718" s="12" t="n">
        <v>46020</v>
      </c>
      <c r="C1718" s="11" t="inlineStr">
        <is>
          <t>cobro comision depositos electronicos</t>
        </is>
      </c>
      <c r="D1718" s="13" t="n">
        <v>-569</v>
      </c>
      <c r="E1718" s="11">
        <f>IF(SUM(COUNTIFS('Conciliacion de compuestos'!$D$2:$D$48,"conciliado",'Conciliacion de compuestos'!$E$2:$E$48,"OK",'Conciliacion de compuestos'!$J$2:$J$48,A1718),COUNTIFS('Conciliacion de compuestos'!$D$2:$D$48,"conciliado",'Conciliacion de compuestos'!$E$2:$E$48,"OK",'Conciliacion de compuestos'!$K$2:$K$48,A1718),COUNTIFS('Conciliacion de compuestos'!$D$2:$D$48,"conciliado",'Conciliacion de compuestos'!$E$2:$E$48,"OK",'Conciliacion de compuestos'!$L$2:$L$48,A1718))&gt;0,"conciliado en compuesto confirmado","disponible")</f>
        <v/>
      </c>
    </row>
    <row r="1719">
      <c r="A1719" s="11" t="n">
        <v>1733</v>
      </c>
      <c r="B1719" s="12" t="n">
        <v>46020</v>
      </c>
      <c r="C1719" s="11" t="inlineStr">
        <is>
          <t>a financiero gravamen movimiento</t>
        </is>
      </c>
      <c r="D1719" s="13" t="n">
        <v>-2</v>
      </c>
      <c r="E1719" s="11">
        <f>IF(SUM(COUNTIFS('Conciliacion de compuestos'!$D$2:$D$48,"conciliado",'Conciliacion de compuestos'!$E$2:$E$48,"OK",'Conciliacion de compuestos'!$J$2:$J$48,A1719),COUNTIFS('Conciliacion de compuestos'!$D$2:$D$48,"conciliado",'Conciliacion de compuestos'!$E$2:$E$48,"OK",'Conciliacion de compuestos'!$K$2:$K$48,A1719),COUNTIFS('Conciliacion de compuestos'!$D$2:$D$48,"conciliado",'Conciliacion de compuestos'!$E$2:$E$48,"OK",'Conciliacion de compuestos'!$L$2:$L$48,A1719))&gt;0,"conciliado en compuesto confirmado","disponible")</f>
        <v/>
      </c>
    </row>
    <row r="1720">
      <c r="A1720" s="11" t="n">
        <v>1734</v>
      </c>
      <c r="B1720" s="12" t="n">
        <v>46020</v>
      </c>
      <c r="C1720" s="11" t="inlineStr">
        <is>
          <t>credibanco d e retefuente voucher y</t>
        </is>
      </c>
      <c r="D1720" s="13" t="n">
        <v>-395</v>
      </c>
      <c r="E1720" s="11">
        <f>IF(SUM(COUNTIFS('Conciliacion de compuestos'!$D$2:$D$48,"conciliado",'Conciliacion de compuestos'!$E$2:$E$48,"OK",'Conciliacion de compuestos'!$J$2:$J$48,A1720),COUNTIFS('Conciliacion de compuestos'!$D$2:$D$48,"conciliado",'Conciliacion de compuestos'!$E$2:$E$48,"OK",'Conciliacion de compuestos'!$K$2:$K$48,A1720),COUNTIFS('Conciliacion de compuestos'!$D$2:$D$48,"conciliado",'Conciliacion de compuestos'!$E$2:$E$48,"OK",'Conciliacion de compuestos'!$L$2:$L$48,A1720))&gt;0,"conciliado en compuesto confirmado","disponible")</f>
        <v/>
      </c>
    </row>
    <row r="1721">
      <c r="A1721" s="11" t="n">
        <v>1735</v>
      </c>
      <c r="B1721" s="12" t="n">
        <v>46020</v>
      </c>
      <c r="C1721" s="11" t="inlineStr">
        <is>
          <t>a financiero gravamen movimiento</t>
        </is>
      </c>
      <c r="D1721" s="13" t="n">
        <v>-2</v>
      </c>
      <c r="E1721" s="11">
        <f>IF(SUM(COUNTIFS('Conciliacion de compuestos'!$D$2:$D$48,"conciliado",'Conciliacion de compuestos'!$E$2:$E$48,"OK",'Conciliacion de compuestos'!$J$2:$J$48,A1721),COUNTIFS('Conciliacion de compuestos'!$D$2:$D$48,"conciliado",'Conciliacion de compuestos'!$E$2:$E$48,"OK",'Conciliacion de compuestos'!$K$2:$K$48,A1721),COUNTIFS('Conciliacion de compuestos'!$D$2:$D$48,"conciliado",'Conciliacion de compuestos'!$E$2:$E$48,"OK",'Conciliacion de compuestos'!$L$2:$L$48,A1721))&gt;0,"conciliado en compuesto confirmado","disponible")</f>
        <v/>
      </c>
    </row>
    <row r="1722">
      <c r="A1722" s="11" t="n">
        <v>1736</v>
      </c>
      <c r="B1722" s="12" t="n">
        <v>46020</v>
      </c>
      <c r="C1722" s="11" t="inlineStr">
        <is>
          <t>consignacion credibanco d e</t>
        </is>
      </c>
      <c r="D1722" s="13" t="n">
        <v>65000</v>
      </c>
      <c r="E1722" s="11">
        <f>IF(SUM(COUNTIFS('Conciliacion de compuestos'!$D$2:$D$48,"conciliado",'Conciliacion de compuestos'!$E$2:$E$48,"OK",'Conciliacion de compuestos'!$J$2:$J$48,A1722),COUNTIFS('Conciliacion de compuestos'!$D$2:$D$48,"conciliado",'Conciliacion de compuestos'!$E$2:$E$48,"OK",'Conciliacion de compuestos'!$K$2:$K$48,A1722),COUNTIFS('Conciliacion de compuestos'!$D$2:$D$48,"conciliado",'Conciliacion de compuestos'!$E$2:$E$48,"OK",'Conciliacion de compuestos'!$L$2:$L$48,A1722))&gt;0,"conciliado en compuesto confirmado","disponible")</f>
        <v/>
      </c>
    </row>
    <row r="1723">
      <c r="A1723" s="11" t="n">
        <v>1737</v>
      </c>
      <c r="B1723" s="12" t="n">
        <v>46020</v>
      </c>
      <c r="C1723" s="11" t="inlineStr">
        <is>
          <t>cobro comision depositos electronicos</t>
        </is>
      </c>
      <c r="D1723" s="13" t="n">
        <v>-1404</v>
      </c>
      <c r="E1723" s="11">
        <f>IF(SUM(COUNTIFS('Conciliacion de compuestos'!$D$2:$D$48,"conciliado",'Conciliacion de compuestos'!$E$2:$E$48,"OK",'Conciliacion de compuestos'!$J$2:$J$48,A1723),COUNTIFS('Conciliacion de compuestos'!$D$2:$D$48,"conciliado",'Conciliacion de compuestos'!$E$2:$E$48,"OK",'Conciliacion de compuestos'!$K$2:$K$48,A1723),COUNTIFS('Conciliacion de compuestos'!$D$2:$D$48,"conciliado",'Conciliacion de compuestos'!$E$2:$E$48,"OK",'Conciliacion de compuestos'!$L$2:$L$48,A1723))&gt;0,"conciliado en compuesto confirmado","disponible")</f>
        <v/>
      </c>
    </row>
    <row r="1724">
      <c r="A1724" s="11" t="n">
        <v>1738</v>
      </c>
      <c r="B1724" s="12" t="n">
        <v>46020</v>
      </c>
      <c r="C1724" s="11" t="inlineStr">
        <is>
          <t>a financiero gravamen movimiento</t>
        </is>
      </c>
      <c r="D1724" s="13" t="n">
        <v>-6</v>
      </c>
      <c r="E1724" s="11">
        <f>IF(SUM(COUNTIFS('Conciliacion de compuestos'!$D$2:$D$48,"conciliado",'Conciliacion de compuestos'!$E$2:$E$48,"OK",'Conciliacion de compuestos'!$J$2:$J$48,A1724),COUNTIFS('Conciliacion de compuestos'!$D$2:$D$48,"conciliado",'Conciliacion de compuestos'!$E$2:$E$48,"OK",'Conciliacion de compuestos'!$K$2:$K$48,A1724),COUNTIFS('Conciliacion de compuestos'!$D$2:$D$48,"conciliado",'Conciliacion de compuestos'!$E$2:$E$48,"OK",'Conciliacion de compuestos'!$L$2:$L$48,A1724))&gt;0,"conciliado en compuesto confirmado","disponible")</f>
        <v/>
      </c>
    </row>
    <row r="1725">
      <c r="A1725" s="11" t="n">
        <v>1739</v>
      </c>
      <c r="B1725" s="12" t="n">
        <v>46020</v>
      </c>
      <c r="C1725" s="11" t="inlineStr">
        <is>
          <t>credibanco d e retefuente voucher y</t>
        </is>
      </c>
      <c r="D1725" s="13" t="n">
        <v>-975</v>
      </c>
      <c r="E1725" s="11">
        <f>IF(SUM(COUNTIFS('Conciliacion de compuestos'!$D$2:$D$48,"conciliado",'Conciliacion de compuestos'!$E$2:$E$48,"OK",'Conciliacion de compuestos'!$J$2:$J$48,A1725),COUNTIFS('Conciliacion de compuestos'!$D$2:$D$48,"conciliado",'Conciliacion de compuestos'!$E$2:$E$48,"OK",'Conciliacion de compuestos'!$K$2:$K$48,A1725),COUNTIFS('Conciliacion de compuestos'!$D$2:$D$48,"conciliado",'Conciliacion de compuestos'!$E$2:$E$48,"OK",'Conciliacion de compuestos'!$L$2:$L$48,A1725))&gt;0,"conciliado en compuesto confirmado","disponible")</f>
        <v/>
      </c>
    </row>
    <row r="1726">
      <c r="A1726" s="11" t="n">
        <v>1740</v>
      </c>
      <c r="B1726" s="12" t="n">
        <v>46020</v>
      </c>
      <c r="C1726" s="11" t="inlineStr">
        <is>
          <t>a financiero gravamen movimiento</t>
        </is>
      </c>
      <c r="D1726" s="13" t="n">
        <v>-4</v>
      </c>
      <c r="E1726" s="11">
        <f>IF(SUM(COUNTIFS('Conciliacion de compuestos'!$D$2:$D$48,"conciliado",'Conciliacion de compuestos'!$E$2:$E$48,"OK",'Conciliacion de compuestos'!$J$2:$J$48,A1726),COUNTIFS('Conciliacion de compuestos'!$D$2:$D$48,"conciliado",'Conciliacion de compuestos'!$E$2:$E$48,"OK",'Conciliacion de compuestos'!$K$2:$K$48,A1726),COUNTIFS('Conciliacion de compuestos'!$D$2:$D$48,"conciliado",'Conciliacion de compuestos'!$E$2:$E$48,"OK",'Conciliacion de compuestos'!$L$2:$L$48,A1726))&gt;0,"conciliado en compuesto confirmado","disponible")</f>
        <v/>
      </c>
    </row>
    <row r="1727">
      <c r="A1727" s="11" t="n">
        <v>1741</v>
      </c>
      <c r="B1727" s="12" t="n">
        <v>46020</v>
      </c>
      <c r="C1727" s="11" t="inlineStr">
        <is>
          <t>consignacion credibanco d e</t>
        </is>
      </c>
      <c r="D1727" s="13" t="n">
        <v>46400</v>
      </c>
      <c r="E1727" s="11">
        <f>IF(SUM(COUNTIFS('Conciliacion de compuestos'!$D$2:$D$48,"conciliado",'Conciliacion de compuestos'!$E$2:$E$48,"OK",'Conciliacion de compuestos'!$J$2:$J$48,A1727),COUNTIFS('Conciliacion de compuestos'!$D$2:$D$48,"conciliado",'Conciliacion de compuestos'!$E$2:$E$48,"OK",'Conciliacion de compuestos'!$K$2:$K$48,A1727),COUNTIFS('Conciliacion de compuestos'!$D$2:$D$48,"conciliado",'Conciliacion de compuestos'!$E$2:$E$48,"OK",'Conciliacion de compuestos'!$L$2:$L$48,A1727))&gt;0,"conciliado en compuesto confirmado","disponible")</f>
        <v/>
      </c>
    </row>
    <row r="1728">
      <c r="A1728" s="11" t="n">
        <v>1742</v>
      </c>
      <c r="B1728" s="12" t="n">
        <v>46020</v>
      </c>
      <c r="C1728" s="11" t="inlineStr">
        <is>
          <t>cobro comision depositos electronicos</t>
        </is>
      </c>
      <c r="D1728" s="13" t="n">
        <v>-1002</v>
      </c>
      <c r="E1728" s="11">
        <f>IF(SUM(COUNTIFS('Conciliacion de compuestos'!$D$2:$D$48,"conciliado",'Conciliacion de compuestos'!$E$2:$E$48,"OK",'Conciliacion de compuestos'!$J$2:$J$48,A1728),COUNTIFS('Conciliacion de compuestos'!$D$2:$D$48,"conciliado",'Conciliacion de compuestos'!$E$2:$E$48,"OK",'Conciliacion de compuestos'!$K$2:$K$48,A1728),COUNTIFS('Conciliacion de compuestos'!$D$2:$D$48,"conciliado",'Conciliacion de compuestos'!$E$2:$E$48,"OK",'Conciliacion de compuestos'!$L$2:$L$48,A1728))&gt;0,"conciliado en compuesto confirmado","disponible")</f>
        <v/>
      </c>
    </row>
    <row r="1729">
      <c r="A1729" s="11" t="n">
        <v>1743</v>
      </c>
      <c r="B1729" s="12" t="n">
        <v>46020</v>
      </c>
      <c r="C1729" s="11" t="inlineStr">
        <is>
          <t>a financiero gravamen movimiento</t>
        </is>
      </c>
      <c r="D1729" s="13" t="n">
        <v>-4</v>
      </c>
      <c r="E1729" s="11">
        <f>IF(SUM(COUNTIFS('Conciliacion de compuestos'!$D$2:$D$48,"conciliado",'Conciliacion de compuestos'!$E$2:$E$48,"OK",'Conciliacion de compuestos'!$J$2:$J$48,A1729),COUNTIFS('Conciliacion de compuestos'!$D$2:$D$48,"conciliado",'Conciliacion de compuestos'!$E$2:$E$48,"OK",'Conciliacion de compuestos'!$K$2:$K$48,A1729),COUNTIFS('Conciliacion de compuestos'!$D$2:$D$48,"conciliado",'Conciliacion de compuestos'!$E$2:$E$48,"OK",'Conciliacion de compuestos'!$L$2:$L$48,A1729))&gt;0,"conciliado en compuesto confirmado","disponible")</f>
        <v/>
      </c>
    </row>
    <row r="1730">
      <c r="A1730" s="11" t="n">
        <v>1744</v>
      </c>
      <c r="B1730" s="12" t="n">
        <v>46020</v>
      </c>
      <c r="C1730" s="11" t="inlineStr">
        <is>
          <t>credibanco d e retefuente voucher y</t>
        </is>
      </c>
      <c r="D1730" s="13" t="n">
        <v>-696</v>
      </c>
      <c r="E1730" s="11">
        <f>IF(SUM(COUNTIFS('Conciliacion de compuestos'!$D$2:$D$48,"conciliado",'Conciliacion de compuestos'!$E$2:$E$48,"OK",'Conciliacion de compuestos'!$J$2:$J$48,A1730),COUNTIFS('Conciliacion de compuestos'!$D$2:$D$48,"conciliado",'Conciliacion de compuestos'!$E$2:$E$48,"OK",'Conciliacion de compuestos'!$K$2:$K$48,A1730),COUNTIFS('Conciliacion de compuestos'!$D$2:$D$48,"conciliado",'Conciliacion de compuestos'!$E$2:$E$48,"OK",'Conciliacion de compuestos'!$L$2:$L$48,A1730))&gt;0,"conciliado en compuesto confirmado","disponible")</f>
        <v/>
      </c>
    </row>
    <row r="1731">
      <c r="A1731" s="11" t="n">
        <v>1745</v>
      </c>
      <c r="B1731" s="12" t="n">
        <v>46020</v>
      </c>
      <c r="C1731" s="11" t="inlineStr">
        <is>
          <t>a financiero gravamen movimiento</t>
        </is>
      </c>
      <c r="D1731" s="13" t="n">
        <v>-3</v>
      </c>
      <c r="E1731" s="11">
        <f>IF(SUM(COUNTIFS('Conciliacion de compuestos'!$D$2:$D$48,"conciliado",'Conciliacion de compuestos'!$E$2:$E$48,"OK",'Conciliacion de compuestos'!$J$2:$J$48,A1731),COUNTIFS('Conciliacion de compuestos'!$D$2:$D$48,"conciliado",'Conciliacion de compuestos'!$E$2:$E$48,"OK",'Conciliacion de compuestos'!$K$2:$K$48,A1731),COUNTIFS('Conciliacion de compuestos'!$D$2:$D$48,"conciliado",'Conciliacion de compuestos'!$E$2:$E$48,"OK",'Conciliacion de compuestos'!$L$2:$L$48,A1731))&gt;0,"conciliado en compuesto confirmado","disponible")</f>
        <v/>
      </c>
    </row>
    <row r="1732">
      <c r="A1732" s="11" t="n">
        <v>1746</v>
      </c>
      <c r="B1732" s="12" t="n">
        <v>46020</v>
      </c>
      <c r="C1732" s="11" t="inlineStr">
        <is>
          <t>consignacion credibanco d e</t>
        </is>
      </c>
      <c r="D1732" s="13" t="n">
        <v>39528</v>
      </c>
      <c r="E1732" s="11">
        <f>IF(SUM(COUNTIFS('Conciliacion de compuestos'!$D$2:$D$48,"conciliado",'Conciliacion de compuestos'!$E$2:$E$48,"OK",'Conciliacion de compuestos'!$J$2:$J$48,A1732),COUNTIFS('Conciliacion de compuestos'!$D$2:$D$48,"conciliado",'Conciliacion de compuestos'!$E$2:$E$48,"OK",'Conciliacion de compuestos'!$K$2:$K$48,A1732),COUNTIFS('Conciliacion de compuestos'!$D$2:$D$48,"conciliado",'Conciliacion de compuestos'!$E$2:$E$48,"OK",'Conciliacion de compuestos'!$L$2:$L$48,A1732))&gt;0,"conciliado en compuesto confirmado","disponible")</f>
        <v/>
      </c>
    </row>
    <row r="1733">
      <c r="A1733" s="11" t="n">
        <v>1747</v>
      </c>
      <c r="B1733" s="12" t="n">
        <v>46020</v>
      </c>
      <c r="C1733" s="11" t="inlineStr">
        <is>
          <t>cobro comision depositos electronicos</t>
        </is>
      </c>
      <c r="D1733" s="13" t="n">
        <v>-854</v>
      </c>
      <c r="E1733" s="11">
        <f>IF(SUM(COUNTIFS('Conciliacion de compuestos'!$D$2:$D$48,"conciliado",'Conciliacion de compuestos'!$E$2:$E$48,"OK",'Conciliacion de compuestos'!$J$2:$J$48,A1733),COUNTIFS('Conciliacion de compuestos'!$D$2:$D$48,"conciliado",'Conciliacion de compuestos'!$E$2:$E$48,"OK",'Conciliacion de compuestos'!$K$2:$K$48,A1733),COUNTIFS('Conciliacion de compuestos'!$D$2:$D$48,"conciliado",'Conciliacion de compuestos'!$E$2:$E$48,"OK",'Conciliacion de compuestos'!$L$2:$L$48,A1733))&gt;0,"conciliado en compuesto confirmado","disponible")</f>
        <v/>
      </c>
    </row>
    <row r="1734">
      <c r="A1734" s="11" t="n">
        <v>1748</v>
      </c>
      <c r="B1734" s="12" t="n">
        <v>46020</v>
      </c>
      <c r="C1734" s="11" t="inlineStr">
        <is>
          <t>a financiero gravamen movimiento</t>
        </is>
      </c>
      <c r="D1734" s="13" t="n">
        <v>-3</v>
      </c>
      <c r="E1734" s="11">
        <f>IF(SUM(COUNTIFS('Conciliacion de compuestos'!$D$2:$D$48,"conciliado",'Conciliacion de compuestos'!$E$2:$E$48,"OK",'Conciliacion de compuestos'!$J$2:$J$48,A1734),COUNTIFS('Conciliacion de compuestos'!$D$2:$D$48,"conciliado",'Conciliacion de compuestos'!$E$2:$E$48,"OK",'Conciliacion de compuestos'!$K$2:$K$48,A1734),COUNTIFS('Conciliacion de compuestos'!$D$2:$D$48,"conciliado",'Conciliacion de compuestos'!$E$2:$E$48,"OK",'Conciliacion de compuestos'!$L$2:$L$48,A1734))&gt;0,"conciliado en compuesto confirmado","disponible")</f>
        <v/>
      </c>
    </row>
    <row r="1735">
      <c r="A1735" s="11" t="n">
        <v>1749</v>
      </c>
      <c r="B1735" s="12" t="n">
        <v>46020</v>
      </c>
      <c r="C1735" s="11" t="inlineStr">
        <is>
          <t>credibanco d e retefuente voucher y</t>
        </is>
      </c>
      <c r="D1735" s="13" t="n">
        <v>-593</v>
      </c>
      <c r="E1735" s="11">
        <f>IF(SUM(COUNTIFS('Conciliacion de compuestos'!$D$2:$D$48,"conciliado",'Conciliacion de compuestos'!$E$2:$E$48,"OK",'Conciliacion de compuestos'!$J$2:$J$48,A1735),COUNTIFS('Conciliacion de compuestos'!$D$2:$D$48,"conciliado",'Conciliacion de compuestos'!$E$2:$E$48,"OK",'Conciliacion de compuestos'!$K$2:$K$48,A1735),COUNTIFS('Conciliacion de compuestos'!$D$2:$D$48,"conciliado",'Conciliacion de compuestos'!$E$2:$E$48,"OK",'Conciliacion de compuestos'!$L$2:$L$48,A1735))&gt;0,"conciliado en compuesto confirmado","disponible")</f>
        <v/>
      </c>
    </row>
    <row r="1736">
      <c r="A1736" s="11" t="n">
        <v>1750</v>
      </c>
      <c r="B1736" s="12" t="n">
        <v>46020</v>
      </c>
      <c r="C1736" s="11" t="inlineStr">
        <is>
          <t>a financiero gravamen movimiento</t>
        </is>
      </c>
      <c r="D1736" s="13" t="n">
        <v>-2</v>
      </c>
      <c r="E1736" s="11">
        <f>IF(SUM(COUNTIFS('Conciliacion de compuestos'!$D$2:$D$48,"conciliado",'Conciliacion de compuestos'!$E$2:$E$48,"OK",'Conciliacion de compuestos'!$J$2:$J$48,A1736),COUNTIFS('Conciliacion de compuestos'!$D$2:$D$48,"conciliado",'Conciliacion de compuestos'!$E$2:$E$48,"OK",'Conciliacion de compuestos'!$K$2:$K$48,A1736),COUNTIFS('Conciliacion de compuestos'!$D$2:$D$48,"conciliado",'Conciliacion de compuestos'!$E$2:$E$48,"OK",'Conciliacion de compuestos'!$L$2:$L$48,A1736))&gt;0,"conciliado en compuesto confirmado","disponible")</f>
        <v/>
      </c>
    </row>
    <row r="1737">
      <c r="A1737" s="11" t="n">
        <v>1751</v>
      </c>
      <c r="B1737" s="12" t="n">
        <v>46020</v>
      </c>
      <c r="C1737" s="11" t="inlineStr">
        <is>
          <t>consignacion credibanco d e</t>
        </is>
      </c>
      <c r="D1737" s="13" t="n">
        <v>29900</v>
      </c>
      <c r="E1737" s="11">
        <f>IF(SUM(COUNTIFS('Conciliacion de compuestos'!$D$2:$D$48,"conciliado",'Conciliacion de compuestos'!$E$2:$E$48,"OK",'Conciliacion de compuestos'!$J$2:$J$48,A1737),COUNTIFS('Conciliacion de compuestos'!$D$2:$D$48,"conciliado",'Conciliacion de compuestos'!$E$2:$E$48,"OK",'Conciliacion de compuestos'!$K$2:$K$48,A1737),COUNTIFS('Conciliacion de compuestos'!$D$2:$D$48,"conciliado",'Conciliacion de compuestos'!$E$2:$E$48,"OK",'Conciliacion de compuestos'!$L$2:$L$48,A1737))&gt;0,"conciliado en compuesto confirmado","disponible")</f>
        <v/>
      </c>
    </row>
    <row r="1738">
      <c r="A1738" s="11" t="n">
        <v>1752</v>
      </c>
      <c r="B1738" s="12" t="n">
        <v>46020</v>
      </c>
      <c r="C1738" s="11" t="inlineStr">
        <is>
          <t>cobro comision depositos electronicos</t>
        </is>
      </c>
      <c r="D1738" s="13" t="n">
        <v>-646</v>
      </c>
      <c r="E1738" s="11">
        <f>IF(SUM(COUNTIFS('Conciliacion de compuestos'!$D$2:$D$48,"conciliado",'Conciliacion de compuestos'!$E$2:$E$48,"OK",'Conciliacion de compuestos'!$J$2:$J$48,A1738),COUNTIFS('Conciliacion de compuestos'!$D$2:$D$48,"conciliado",'Conciliacion de compuestos'!$E$2:$E$48,"OK",'Conciliacion de compuestos'!$K$2:$K$48,A1738),COUNTIFS('Conciliacion de compuestos'!$D$2:$D$48,"conciliado",'Conciliacion de compuestos'!$E$2:$E$48,"OK",'Conciliacion de compuestos'!$L$2:$L$48,A1738))&gt;0,"conciliado en compuesto confirmado","disponible")</f>
        <v/>
      </c>
    </row>
    <row r="1739">
      <c r="A1739" s="11" t="n">
        <v>1753</v>
      </c>
      <c r="B1739" s="12" t="n">
        <v>46020</v>
      </c>
      <c r="C1739" s="11" t="inlineStr">
        <is>
          <t>a financiero gravamen movimiento</t>
        </is>
      </c>
      <c r="D1739" s="13" t="n">
        <v>-3</v>
      </c>
      <c r="E1739" s="11">
        <f>IF(SUM(COUNTIFS('Conciliacion de compuestos'!$D$2:$D$48,"conciliado",'Conciliacion de compuestos'!$E$2:$E$48,"OK",'Conciliacion de compuestos'!$J$2:$J$48,A1739),COUNTIFS('Conciliacion de compuestos'!$D$2:$D$48,"conciliado",'Conciliacion de compuestos'!$E$2:$E$48,"OK",'Conciliacion de compuestos'!$K$2:$K$48,A1739),COUNTIFS('Conciliacion de compuestos'!$D$2:$D$48,"conciliado",'Conciliacion de compuestos'!$E$2:$E$48,"OK",'Conciliacion de compuestos'!$L$2:$L$48,A1739))&gt;0,"conciliado en compuesto confirmado","disponible")</f>
        <v/>
      </c>
    </row>
    <row r="1740">
      <c r="A1740" s="11" t="n">
        <v>1754</v>
      </c>
      <c r="B1740" s="12" t="n">
        <v>46020</v>
      </c>
      <c r="C1740" s="11" t="inlineStr">
        <is>
          <t>credibanco d e retefuente voucher y</t>
        </is>
      </c>
      <c r="D1740" s="13" t="n">
        <v>-449</v>
      </c>
      <c r="E1740" s="11">
        <f>IF(SUM(COUNTIFS('Conciliacion de compuestos'!$D$2:$D$48,"conciliado",'Conciliacion de compuestos'!$E$2:$E$48,"OK",'Conciliacion de compuestos'!$J$2:$J$48,A1740),COUNTIFS('Conciliacion de compuestos'!$D$2:$D$48,"conciliado",'Conciliacion de compuestos'!$E$2:$E$48,"OK",'Conciliacion de compuestos'!$K$2:$K$48,A1740),COUNTIFS('Conciliacion de compuestos'!$D$2:$D$48,"conciliado",'Conciliacion de compuestos'!$E$2:$E$48,"OK",'Conciliacion de compuestos'!$L$2:$L$48,A1740))&gt;0,"conciliado en compuesto confirmado","disponible")</f>
        <v/>
      </c>
    </row>
    <row r="1741">
      <c r="A1741" s="11" t="n">
        <v>1755</v>
      </c>
      <c r="B1741" s="12" t="n">
        <v>46020</v>
      </c>
      <c r="C1741" s="11" t="inlineStr">
        <is>
          <t>a financiero gravamen movimiento</t>
        </is>
      </c>
      <c r="D1741" s="13" t="n">
        <v>-2</v>
      </c>
      <c r="E1741" s="11">
        <f>IF(SUM(COUNTIFS('Conciliacion de compuestos'!$D$2:$D$48,"conciliado",'Conciliacion de compuestos'!$E$2:$E$48,"OK",'Conciliacion de compuestos'!$J$2:$J$48,A1741),COUNTIFS('Conciliacion de compuestos'!$D$2:$D$48,"conciliado",'Conciliacion de compuestos'!$E$2:$E$48,"OK",'Conciliacion de compuestos'!$K$2:$K$48,A1741),COUNTIFS('Conciliacion de compuestos'!$D$2:$D$48,"conciliado",'Conciliacion de compuestos'!$E$2:$E$48,"OK",'Conciliacion de compuestos'!$L$2:$L$48,A1741))&gt;0,"conciliado en compuesto confirmado","disponible")</f>
        <v/>
      </c>
    </row>
    <row r="1742">
      <c r="A1742" s="11" t="n">
        <v>1756</v>
      </c>
      <c r="B1742" s="12" t="n">
        <v>46020</v>
      </c>
      <c r="C1742" s="11" t="inlineStr">
        <is>
          <t>consignacion credibanco d e</t>
        </is>
      </c>
      <c r="D1742" s="13" t="n">
        <v>61360</v>
      </c>
      <c r="E1742" s="11">
        <f>IF(SUM(COUNTIFS('Conciliacion de compuestos'!$D$2:$D$48,"conciliado",'Conciliacion de compuestos'!$E$2:$E$48,"OK",'Conciliacion de compuestos'!$J$2:$J$48,A1742),COUNTIFS('Conciliacion de compuestos'!$D$2:$D$48,"conciliado",'Conciliacion de compuestos'!$E$2:$E$48,"OK",'Conciliacion de compuestos'!$K$2:$K$48,A1742),COUNTIFS('Conciliacion de compuestos'!$D$2:$D$48,"conciliado",'Conciliacion de compuestos'!$E$2:$E$48,"OK",'Conciliacion de compuestos'!$L$2:$L$48,A1742))&gt;0,"conciliado en compuesto confirmado","disponible")</f>
        <v/>
      </c>
    </row>
    <row r="1743">
      <c r="A1743" s="11" t="n">
        <v>1757</v>
      </c>
      <c r="B1743" s="12" t="n">
        <v>46020</v>
      </c>
      <c r="C1743" s="11" t="inlineStr">
        <is>
          <t>cobro comision depositos electronicos</t>
        </is>
      </c>
      <c r="D1743" s="13" t="n">
        <v>-497</v>
      </c>
      <c r="E1743" s="11">
        <f>IF(SUM(COUNTIFS('Conciliacion de compuestos'!$D$2:$D$48,"conciliado",'Conciliacion de compuestos'!$E$2:$E$48,"OK",'Conciliacion de compuestos'!$J$2:$J$48,A1743),COUNTIFS('Conciliacion de compuestos'!$D$2:$D$48,"conciliado",'Conciliacion de compuestos'!$E$2:$E$48,"OK",'Conciliacion de compuestos'!$K$2:$K$48,A1743),COUNTIFS('Conciliacion de compuestos'!$D$2:$D$48,"conciliado",'Conciliacion de compuestos'!$E$2:$E$48,"OK",'Conciliacion de compuestos'!$L$2:$L$48,A1743))&gt;0,"conciliado en compuesto confirmado","disponible")</f>
        <v/>
      </c>
    </row>
    <row r="1744">
      <c r="A1744" s="11" t="n">
        <v>1758</v>
      </c>
      <c r="B1744" s="12" t="n">
        <v>46020</v>
      </c>
      <c r="C1744" s="11" t="inlineStr">
        <is>
          <t>a financiero gravamen movimiento</t>
        </is>
      </c>
      <c r="D1744" s="13" t="n">
        <v>-2</v>
      </c>
      <c r="E1744" s="11">
        <f>IF(SUM(COUNTIFS('Conciliacion de compuestos'!$D$2:$D$48,"conciliado",'Conciliacion de compuestos'!$E$2:$E$48,"OK",'Conciliacion de compuestos'!$J$2:$J$48,A1744),COUNTIFS('Conciliacion de compuestos'!$D$2:$D$48,"conciliado",'Conciliacion de compuestos'!$E$2:$E$48,"OK",'Conciliacion de compuestos'!$K$2:$K$48,A1744),COUNTIFS('Conciliacion de compuestos'!$D$2:$D$48,"conciliado",'Conciliacion de compuestos'!$E$2:$E$48,"OK",'Conciliacion de compuestos'!$L$2:$L$48,A1744))&gt;0,"conciliado en compuesto confirmado","disponible")</f>
        <v/>
      </c>
    </row>
    <row r="1745">
      <c r="A1745" s="11" t="n">
        <v>1759</v>
      </c>
      <c r="B1745" s="12" t="n">
        <v>46020</v>
      </c>
      <c r="C1745" s="11" t="inlineStr">
        <is>
          <t>credibanco d e retefuente voucher y</t>
        </is>
      </c>
      <c r="D1745" s="13" t="n">
        <v>-920</v>
      </c>
      <c r="E1745" s="11">
        <f>IF(SUM(COUNTIFS('Conciliacion de compuestos'!$D$2:$D$48,"conciliado",'Conciliacion de compuestos'!$E$2:$E$48,"OK",'Conciliacion de compuestos'!$J$2:$J$48,A1745),COUNTIFS('Conciliacion de compuestos'!$D$2:$D$48,"conciliado",'Conciliacion de compuestos'!$E$2:$E$48,"OK",'Conciliacion de compuestos'!$K$2:$K$48,A1745),COUNTIFS('Conciliacion de compuestos'!$D$2:$D$48,"conciliado",'Conciliacion de compuestos'!$E$2:$E$48,"OK",'Conciliacion de compuestos'!$L$2:$L$48,A1745))&gt;0,"conciliado en compuesto confirmado","disponible")</f>
        <v/>
      </c>
    </row>
    <row r="1746">
      <c r="A1746" s="11" t="n">
        <v>1760</v>
      </c>
      <c r="B1746" s="12" t="n">
        <v>46020</v>
      </c>
      <c r="C1746" s="11" t="inlineStr">
        <is>
          <t>a financiero gravamen movimiento</t>
        </is>
      </c>
      <c r="D1746" s="13" t="n">
        <v>-4</v>
      </c>
      <c r="E1746" s="11">
        <f>IF(SUM(COUNTIFS('Conciliacion de compuestos'!$D$2:$D$48,"conciliado",'Conciliacion de compuestos'!$E$2:$E$48,"OK",'Conciliacion de compuestos'!$J$2:$J$48,A1746),COUNTIFS('Conciliacion de compuestos'!$D$2:$D$48,"conciliado",'Conciliacion de compuestos'!$E$2:$E$48,"OK",'Conciliacion de compuestos'!$K$2:$K$48,A1746),COUNTIFS('Conciliacion de compuestos'!$D$2:$D$48,"conciliado",'Conciliacion de compuestos'!$E$2:$E$48,"OK",'Conciliacion de compuestos'!$L$2:$L$48,A1746))&gt;0,"conciliado en compuesto confirmado","disponible")</f>
        <v/>
      </c>
    </row>
    <row r="1747">
      <c r="A1747" s="11" t="n">
        <v>1761</v>
      </c>
      <c r="B1747" s="12" t="n">
        <v>46020</v>
      </c>
      <c r="C1747" s="11" t="inlineStr">
        <is>
          <t>consignacion credibanco d e</t>
        </is>
      </c>
      <c r="D1747" s="13" t="n">
        <v>138200</v>
      </c>
      <c r="E1747" s="11">
        <f>IF(SUM(COUNTIFS('Conciliacion de compuestos'!$D$2:$D$48,"conciliado",'Conciliacion de compuestos'!$E$2:$E$48,"OK",'Conciliacion de compuestos'!$J$2:$J$48,A1747),COUNTIFS('Conciliacion de compuestos'!$D$2:$D$48,"conciliado",'Conciliacion de compuestos'!$E$2:$E$48,"OK",'Conciliacion de compuestos'!$K$2:$K$48,A1747),COUNTIFS('Conciliacion de compuestos'!$D$2:$D$48,"conciliado",'Conciliacion de compuestos'!$E$2:$E$48,"OK",'Conciliacion de compuestos'!$L$2:$L$48,A1747))&gt;0,"conciliado en compuesto confirmado","disponible")</f>
        <v/>
      </c>
    </row>
    <row r="1748">
      <c r="A1748" s="11" t="n">
        <v>1762</v>
      </c>
      <c r="B1748" s="12" t="n">
        <v>46020</v>
      </c>
      <c r="C1748" s="11" t="inlineStr">
        <is>
          <t>cobro comision depositos electronicos</t>
        </is>
      </c>
      <c r="D1748" s="13" t="n">
        <v>-1119</v>
      </c>
      <c r="E1748" s="11">
        <f>IF(SUM(COUNTIFS('Conciliacion de compuestos'!$D$2:$D$48,"conciliado",'Conciliacion de compuestos'!$E$2:$E$48,"OK",'Conciliacion de compuestos'!$J$2:$J$48,A1748),COUNTIFS('Conciliacion de compuestos'!$D$2:$D$48,"conciliado",'Conciliacion de compuestos'!$E$2:$E$48,"OK",'Conciliacion de compuestos'!$K$2:$K$48,A1748),COUNTIFS('Conciliacion de compuestos'!$D$2:$D$48,"conciliado",'Conciliacion de compuestos'!$E$2:$E$48,"OK",'Conciliacion de compuestos'!$L$2:$L$48,A1748))&gt;0,"conciliado en compuesto confirmado","disponible")</f>
        <v/>
      </c>
    </row>
    <row r="1749">
      <c r="A1749" s="11" t="n">
        <v>1763</v>
      </c>
      <c r="B1749" s="12" t="n">
        <v>46020</v>
      </c>
      <c r="C1749" s="11" t="inlineStr">
        <is>
          <t>a financiero gravamen movimiento</t>
        </is>
      </c>
      <c r="D1749" s="13" t="n">
        <v>-4</v>
      </c>
      <c r="E1749" s="11">
        <f>IF(SUM(COUNTIFS('Conciliacion de compuestos'!$D$2:$D$48,"conciliado",'Conciliacion de compuestos'!$E$2:$E$48,"OK",'Conciliacion de compuestos'!$J$2:$J$48,A1749),COUNTIFS('Conciliacion de compuestos'!$D$2:$D$48,"conciliado",'Conciliacion de compuestos'!$E$2:$E$48,"OK",'Conciliacion de compuestos'!$K$2:$K$48,A1749),COUNTIFS('Conciliacion de compuestos'!$D$2:$D$48,"conciliado",'Conciliacion de compuestos'!$E$2:$E$48,"OK",'Conciliacion de compuestos'!$L$2:$L$48,A1749))&gt;0,"conciliado en compuesto confirmado","disponible")</f>
        <v/>
      </c>
    </row>
    <row r="1750">
      <c r="A1750" s="11" t="n">
        <v>1764</v>
      </c>
      <c r="B1750" s="12" t="n">
        <v>46020</v>
      </c>
      <c r="C1750" s="11" t="inlineStr">
        <is>
          <t>credibanco d e retefuente voucher y</t>
        </is>
      </c>
      <c r="D1750" s="13" t="n">
        <v>-2073</v>
      </c>
      <c r="E1750" s="11">
        <f>IF(SUM(COUNTIFS('Conciliacion de compuestos'!$D$2:$D$48,"conciliado",'Conciliacion de compuestos'!$E$2:$E$48,"OK",'Conciliacion de compuestos'!$J$2:$J$48,A1750),COUNTIFS('Conciliacion de compuestos'!$D$2:$D$48,"conciliado",'Conciliacion de compuestos'!$E$2:$E$48,"OK",'Conciliacion de compuestos'!$K$2:$K$48,A1750),COUNTIFS('Conciliacion de compuestos'!$D$2:$D$48,"conciliado",'Conciliacion de compuestos'!$E$2:$E$48,"OK",'Conciliacion de compuestos'!$L$2:$L$48,A1750))&gt;0,"conciliado en compuesto confirmado","disponible")</f>
        <v/>
      </c>
    </row>
    <row r="1751">
      <c r="A1751" s="11" t="n">
        <v>1765</v>
      </c>
      <c r="B1751" s="12" t="n">
        <v>46020</v>
      </c>
      <c r="C1751" s="11" t="inlineStr">
        <is>
          <t>a financiero gravamen movimiento</t>
        </is>
      </c>
      <c r="D1751" s="13" t="n">
        <v>-8</v>
      </c>
      <c r="E1751" s="11">
        <f>IF(SUM(COUNTIFS('Conciliacion de compuestos'!$D$2:$D$48,"conciliado",'Conciliacion de compuestos'!$E$2:$E$48,"OK",'Conciliacion de compuestos'!$J$2:$J$48,A1751),COUNTIFS('Conciliacion de compuestos'!$D$2:$D$48,"conciliado",'Conciliacion de compuestos'!$E$2:$E$48,"OK",'Conciliacion de compuestos'!$K$2:$K$48,A1751),COUNTIFS('Conciliacion de compuestos'!$D$2:$D$48,"conciliado",'Conciliacion de compuestos'!$E$2:$E$48,"OK",'Conciliacion de compuestos'!$L$2:$L$48,A1751))&gt;0,"conciliado en compuesto confirmado","disponible")</f>
        <v/>
      </c>
    </row>
    <row r="1752">
      <c r="A1752" s="11" t="n">
        <v>1766</v>
      </c>
      <c r="B1752" s="12" t="n">
        <v>46020</v>
      </c>
      <c r="C1752" s="11" t="inlineStr">
        <is>
          <t>consignacion credibanco d e</t>
        </is>
      </c>
      <c r="D1752" s="13" t="n">
        <v>137680</v>
      </c>
      <c r="E1752" s="11">
        <f>IF(SUM(COUNTIFS('Conciliacion de compuestos'!$D$2:$D$48,"conciliado",'Conciliacion de compuestos'!$E$2:$E$48,"OK",'Conciliacion de compuestos'!$J$2:$J$48,A1752),COUNTIFS('Conciliacion de compuestos'!$D$2:$D$48,"conciliado",'Conciliacion de compuestos'!$E$2:$E$48,"OK",'Conciliacion de compuestos'!$K$2:$K$48,A1752),COUNTIFS('Conciliacion de compuestos'!$D$2:$D$48,"conciliado",'Conciliacion de compuestos'!$E$2:$E$48,"OK",'Conciliacion de compuestos'!$L$2:$L$48,A1752))&gt;0,"conciliado en compuesto confirmado","disponible")</f>
        <v/>
      </c>
    </row>
    <row r="1753">
      <c r="A1753" s="11" t="n">
        <v>1767</v>
      </c>
      <c r="B1753" s="12" t="n">
        <v>46020</v>
      </c>
      <c r="C1753" s="11" t="inlineStr">
        <is>
          <t>cobro comision depositos electronicos</t>
        </is>
      </c>
      <c r="D1753" s="13" t="n">
        <v>-1115</v>
      </c>
      <c r="E1753" s="11">
        <f>IF(SUM(COUNTIFS('Conciliacion de compuestos'!$D$2:$D$48,"conciliado",'Conciliacion de compuestos'!$E$2:$E$48,"OK",'Conciliacion de compuestos'!$J$2:$J$48,A1753),COUNTIFS('Conciliacion de compuestos'!$D$2:$D$48,"conciliado",'Conciliacion de compuestos'!$E$2:$E$48,"OK",'Conciliacion de compuestos'!$K$2:$K$48,A1753),COUNTIFS('Conciliacion de compuestos'!$D$2:$D$48,"conciliado",'Conciliacion de compuestos'!$E$2:$E$48,"OK",'Conciliacion de compuestos'!$L$2:$L$48,A1753))&gt;0,"conciliado en compuesto confirmado","disponible")</f>
        <v/>
      </c>
    </row>
    <row r="1754">
      <c r="A1754" s="11" t="n">
        <v>1768</v>
      </c>
      <c r="B1754" s="12" t="n">
        <v>46020</v>
      </c>
      <c r="C1754" s="11" t="inlineStr">
        <is>
          <t>a financiero gravamen movimiento</t>
        </is>
      </c>
      <c r="D1754" s="13" t="n">
        <v>-4</v>
      </c>
      <c r="E1754" s="11">
        <f>IF(SUM(COUNTIFS('Conciliacion de compuestos'!$D$2:$D$48,"conciliado",'Conciliacion de compuestos'!$E$2:$E$48,"OK",'Conciliacion de compuestos'!$J$2:$J$48,A1754),COUNTIFS('Conciliacion de compuestos'!$D$2:$D$48,"conciliado",'Conciliacion de compuestos'!$E$2:$E$48,"OK",'Conciliacion de compuestos'!$K$2:$K$48,A1754),COUNTIFS('Conciliacion de compuestos'!$D$2:$D$48,"conciliado",'Conciliacion de compuestos'!$E$2:$E$48,"OK",'Conciliacion de compuestos'!$L$2:$L$48,A1754))&gt;0,"conciliado en compuesto confirmado","disponible")</f>
        <v/>
      </c>
    </row>
    <row r="1755">
      <c r="A1755" s="11" t="n">
        <v>1769</v>
      </c>
      <c r="B1755" s="12" t="n">
        <v>46020</v>
      </c>
      <c r="C1755" s="11" t="inlineStr">
        <is>
          <t>credibanco d e retefuente voucher y</t>
        </is>
      </c>
      <c r="D1755" s="13" t="n">
        <v>-2065</v>
      </c>
      <c r="E1755" s="11">
        <f>IF(SUM(COUNTIFS('Conciliacion de compuestos'!$D$2:$D$48,"conciliado",'Conciliacion de compuestos'!$E$2:$E$48,"OK",'Conciliacion de compuestos'!$J$2:$J$48,A1755),COUNTIFS('Conciliacion de compuestos'!$D$2:$D$48,"conciliado",'Conciliacion de compuestos'!$E$2:$E$48,"OK",'Conciliacion de compuestos'!$K$2:$K$48,A1755),COUNTIFS('Conciliacion de compuestos'!$D$2:$D$48,"conciliado",'Conciliacion de compuestos'!$E$2:$E$48,"OK",'Conciliacion de compuestos'!$L$2:$L$48,A1755))&gt;0,"conciliado en compuesto confirmado","disponible")</f>
        <v/>
      </c>
    </row>
    <row r="1756">
      <c r="A1756" s="11" t="n">
        <v>1770</v>
      </c>
      <c r="B1756" s="12" t="n">
        <v>46020</v>
      </c>
      <c r="C1756" s="11" t="inlineStr">
        <is>
          <t>a financiero gravamen movimiento</t>
        </is>
      </c>
      <c r="D1756" s="13" t="n">
        <v>-8</v>
      </c>
      <c r="E1756" s="11">
        <f>IF(SUM(COUNTIFS('Conciliacion de compuestos'!$D$2:$D$48,"conciliado",'Conciliacion de compuestos'!$E$2:$E$48,"OK",'Conciliacion de compuestos'!$J$2:$J$48,A1756),COUNTIFS('Conciliacion de compuestos'!$D$2:$D$48,"conciliado",'Conciliacion de compuestos'!$E$2:$E$48,"OK",'Conciliacion de compuestos'!$K$2:$K$48,A1756),COUNTIFS('Conciliacion de compuestos'!$D$2:$D$48,"conciliado",'Conciliacion de compuestos'!$E$2:$E$48,"OK",'Conciliacion de compuestos'!$L$2:$L$48,A1756))&gt;0,"conciliado en compuesto confirmado","disponible")</f>
        <v/>
      </c>
    </row>
    <row r="1757">
      <c r="A1757" s="11" t="n">
        <v>1771</v>
      </c>
      <c r="B1757" s="12" t="n">
        <v>46020</v>
      </c>
      <c r="C1757" s="11" t="inlineStr">
        <is>
          <t>consignacion credibanco d e</t>
        </is>
      </c>
      <c r="D1757" s="13" t="n">
        <v>22000</v>
      </c>
      <c r="E1757" s="11">
        <f>IF(SUM(COUNTIFS('Conciliacion de compuestos'!$D$2:$D$48,"conciliado",'Conciliacion de compuestos'!$E$2:$E$48,"OK",'Conciliacion de compuestos'!$J$2:$J$48,A1757),COUNTIFS('Conciliacion de compuestos'!$D$2:$D$48,"conciliado",'Conciliacion de compuestos'!$E$2:$E$48,"OK",'Conciliacion de compuestos'!$K$2:$K$48,A1757),COUNTIFS('Conciliacion de compuestos'!$D$2:$D$48,"conciliado",'Conciliacion de compuestos'!$E$2:$E$48,"OK",'Conciliacion de compuestos'!$L$2:$L$48,A1757))&gt;0,"conciliado en compuesto confirmado","disponible")</f>
        <v/>
      </c>
    </row>
    <row r="1758">
      <c r="A1758" s="11" t="n">
        <v>1772</v>
      </c>
      <c r="B1758" s="12" t="n">
        <v>46020</v>
      </c>
      <c r="C1758" s="11" t="inlineStr">
        <is>
          <t>cobro comision depositos electronicos</t>
        </is>
      </c>
      <c r="D1758" s="13" t="n">
        <v>-475</v>
      </c>
      <c r="E1758" s="11">
        <f>IF(SUM(COUNTIFS('Conciliacion de compuestos'!$D$2:$D$48,"conciliado",'Conciliacion de compuestos'!$E$2:$E$48,"OK",'Conciliacion de compuestos'!$J$2:$J$48,A1758),COUNTIFS('Conciliacion de compuestos'!$D$2:$D$48,"conciliado",'Conciliacion de compuestos'!$E$2:$E$48,"OK",'Conciliacion de compuestos'!$K$2:$K$48,A1758),COUNTIFS('Conciliacion de compuestos'!$D$2:$D$48,"conciliado",'Conciliacion de compuestos'!$E$2:$E$48,"OK",'Conciliacion de compuestos'!$L$2:$L$48,A1758))&gt;0,"conciliado en compuesto confirmado","disponible")</f>
        <v/>
      </c>
    </row>
    <row r="1759">
      <c r="A1759" s="11" t="n">
        <v>1773</v>
      </c>
      <c r="B1759" s="12" t="n">
        <v>46020</v>
      </c>
      <c r="C1759" s="11" t="inlineStr">
        <is>
          <t>a financiero gravamen movimiento</t>
        </is>
      </c>
      <c r="D1759" s="13" t="n">
        <v>-2</v>
      </c>
      <c r="E1759" s="11">
        <f>IF(SUM(COUNTIFS('Conciliacion de compuestos'!$D$2:$D$48,"conciliado",'Conciliacion de compuestos'!$E$2:$E$48,"OK",'Conciliacion de compuestos'!$J$2:$J$48,A1759),COUNTIFS('Conciliacion de compuestos'!$D$2:$D$48,"conciliado",'Conciliacion de compuestos'!$E$2:$E$48,"OK",'Conciliacion de compuestos'!$K$2:$K$48,A1759),COUNTIFS('Conciliacion de compuestos'!$D$2:$D$48,"conciliado",'Conciliacion de compuestos'!$E$2:$E$48,"OK",'Conciliacion de compuestos'!$L$2:$L$48,A1759))&gt;0,"conciliado en compuesto confirmado","disponible")</f>
        <v/>
      </c>
    </row>
    <row r="1760">
      <c r="A1760" s="11" t="n">
        <v>1774</v>
      </c>
      <c r="B1760" s="12" t="n">
        <v>46020</v>
      </c>
      <c r="C1760" s="11" t="inlineStr">
        <is>
          <t>credibanco d e retefuente voucher y</t>
        </is>
      </c>
      <c r="D1760" s="13" t="n">
        <v>-330</v>
      </c>
      <c r="E1760" s="11">
        <f>IF(SUM(COUNTIFS('Conciliacion de compuestos'!$D$2:$D$48,"conciliado",'Conciliacion de compuestos'!$E$2:$E$48,"OK",'Conciliacion de compuestos'!$J$2:$J$48,A1760),COUNTIFS('Conciliacion de compuestos'!$D$2:$D$48,"conciliado",'Conciliacion de compuestos'!$E$2:$E$48,"OK",'Conciliacion de compuestos'!$K$2:$K$48,A1760),COUNTIFS('Conciliacion de compuestos'!$D$2:$D$48,"conciliado",'Conciliacion de compuestos'!$E$2:$E$48,"OK",'Conciliacion de compuestos'!$L$2:$L$48,A1760))&gt;0,"conciliado en compuesto confirmado","disponible")</f>
        <v/>
      </c>
    </row>
    <row r="1761">
      <c r="A1761" s="11" t="n">
        <v>1775</v>
      </c>
      <c r="B1761" s="12" t="n">
        <v>46020</v>
      </c>
      <c r="C1761" s="11" t="inlineStr">
        <is>
          <t>a financiero gravamen movimiento</t>
        </is>
      </c>
      <c r="D1761" s="13" t="n">
        <v>-1</v>
      </c>
      <c r="E1761" s="11">
        <f>IF(SUM(COUNTIFS('Conciliacion de compuestos'!$D$2:$D$48,"conciliado",'Conciliacion de compuestos'!$E$2:$E$48,"OK",'Conciliacion de compuestos'!$J$2:$J$48,A1761),COUNTIFS('Conciliacion de compuestos'!$D$2:$D$48,"conciliado",'Conciliacion de compuestos'!$E$2:$E$48,"OK",'Conciliacion de compuestos'!$K$2:$K$48,A1761),COUNTIFS('Conciliacion de compuestos'!$D$2:$D$48,"conciliado",'Conciliacion de compuestos'!$E$2:$E$48,"OK",'Conciliacion de compuestos'!$L$2:$L$48,A1761))&gt;0,"conciliado en compuesto confirmado","disponible")</f>
        <v/>
      </c>
    </row>
    <row r="1762">
      <c r="A1762" s="11" t="n">
        <v>1776</v>
      </c>
      <c r="B1762" s="12" t="n">
        <v>46020</v>
      </c>
      <c r="C1762" s="11" t="inlineStr">
        <is>
          <t>consignacion credibanco d e</t>
        </is>
      </c>
      <c r="D1762" s="13" t="n">
        <v>153000</v>
      </c>
      <c r="E1762" s="11">
        <f>IF(SUM(COUNTIFS('Conciliacion de compuestos'!$D$2:$D$48,"conciliado",'Conciliacion de compuestos'!$E$2:$E$48,"OK",'Conciliacion de compuestos'!$J$2:$J$48,A1762),COUNTIFS('Conciliacion de compuestos'!$D$2:$D$48,"conciliado",'Conciliacion de compuestos'!$E$2:$E$48,"OK",'Conciliacion de compuestos'!$K$2:$K$48,A1762),COUNTIFS('Conciliacion de compuestos'!$D$2:$D$48,"conciliado",'Conciliacion de compuestos'!$E$2:$E$48,"OK",'Conciliacion de compuestos'!$L$2:$L$48,A1762))&gt;0,"conciliado en compuesto confirmado","disponible")</f>
        <v/>
      </c>
    </row>
    <row r="1763">
      <c r="A1763" s="11" t="n">
        <v>1777</v>
      </c>
      <c r="B1763" s="12" t="n">
        <v>46020</v>
      </c>
      <c r="C1763" s="11" t="inlineStr">
        <is>
          <t>cobro comision depositos electronicos</t>
        </is>
      </c>
      <c r="D1763" s="13" t="n">
        <v>-3305</v>
      </c>
      <c r="E1763" s="11">
        <f>IF(SUM(COUNTIFS('Conciliacion de compuestos'!$D$2:$D$48,"conciliado",'Conciliacion de compuestos'!$E$2:$E$48,"OK",'Conciliacion de compuestos'!$J$2:$J$48,A1763),COUNTIFS('Conciliacion de compuestos'!$D$2:$D$48,"conciliado",'Conciliacion de compuestos'!$E$2:$E$48,"OK",'Conciliacion de compuestos'!$K$2:$K$48,A1763),COUNTIFS('Conciliacion de compuestos'!$D$2:$D$48,"conciliado",'Conciliacion de compuestos'!$E$2:$E$48,"OK",'Conciliacion de compuestos'!$L$2:$L$48,A1763))&gt;0,"conciliado en compuesto confirmado","disponible")</f>
        <v/>
      </c>
    </row>
    <row r="1764">
      <c r="A1764" s="11" t="n">
        <v>1778</v>
      </c>
      <c r="B1764" s="12" t="n">
        <v>46020</v>
      </c>
      <c r="C1764" s="11" t="inlineStr">
        <is>
          <t>a financiero gravamen movimiento</t>
        </is>
      </c>
      <c r="D1764" s="13" t="n">
        <v>-13</v>
      </c>
      <c r="E1764" s="11">
        <f>IF(SUM(COUNTIFS('Conciliacion de compuestos'!$D$2:$D$48,"conciliado",'Conciliacion de compuestos'!$E$2:$E$48,"OK",'Conciliacion de compuestos'!$J$2:$J$48,A1764),COUNTIFS('Conciliacion de compuestos'!$D$2:$D$48,"conciliado",'Conciliacion de compuestos'!$E$2:$E$48,"OK",'Conciliacion de compuestos'!$K$2:$K$48,A1764),COUNTIFS('Conciliacion de compuestos'!$D$2:$D$48,"conciliado",'Conciliacion de compuestos'!$E$2:$E$48,"OK",'Conciliacion de compuestos'!$L$2:$L$48,A1764))&gt;0,"conciliado en compuesto confirmado","disponible")</f>
        <v/>
      </c>
    </row>
    <row r="1765">
      <c r="A1765" s="11" t="n">
        <v>1779</v>
      </c>
      <c r="B1765" s="12" t="n">
        <v>46020</v>
      </c>
      <c r="C1765" s="11" t="inlineStr">
        <is>
          <t>credibanco d e retefuente voucher y</t>
        </is>
      </c>
      <c r="D1765" s="13" t="n">
        <v>-2295</v>
      </c>
      <c r="E1765" s="11">
        <f>IF(SUM(COUNTIFS('Conciliacion de compuestos'!$D$2:$D$48,"conciliado",'Conciliacion de compuestos'!$E$2:$E$48,"OK",'Conciliacion de compuestos'!$J$2:$J$48,A1765),COUNTIFS('Conciliacion de compuestos'!$D$2:$D$48,"conciliado",'Conciliacion de compuestos'!$E$2:$E$48,"OK",'Conciliacion de compuestos'!$K$2:$K$48,A1765),COUNTIFS('Conciliacion de compuestos'!$D$2:$D$48,"conciliado",'Conciliacion de compuestos'!$E$2:$E$48,"OK",'Conciliacion de compuestos'!$L$2:$L$48,A1765))&gt;0,"conciliado en compuesto confirmado","disponible")</f>
        <v/>
      </c>
    </row>
    <row r="1766">
      <c r="A1766" s="11" t="n">
        <v>1780</v>
      </c>
      <c r="B1766" s="12" t="n">
        <v>46020</v>
      </c>
      <c r="C1766" s="11" t="inlineStr">
        <is>
          <t>a financiero gravamen movimiento</t>
        </is>
      </c>
      <c r="D1766" s="13" t="n">
        <v>-9</v>
      </c>
      <c r="E1766" s="11">
        <f>IF(SUM(COUNTIFS('Conciliacion de compuestos'!$D$2:$D$48,"conciliado",'Conciliacion de compuestos'!$E$2:$E$48,"OK",'Conciliacion de compuestos'!$J$2:$J$48,A1766),COUNTIFS('Conciliacion de compuestos'!$D$2:$D$48,"conciliado",'Conciliacion de compuestos'!$E$2:$E$48,"OK",'Conciliacion de compuestos'!$K$2:$K$48,A1766),COUNTIFS('Conciliacion de compuestos'!$D$2:$D$48,"conciliado",'Conciliacion de compuestos'!$E$2:$E$48,"OK",'Conciliacion de compuestos'!$L$2:$L$48,A1766))&gt;0,"conciliado en compuesto confirmado","disponible")</f>
        <v/>
      </c>
    </row>
    <row r="1767">
      <c r="A1767" s="11" t="n">
        <v>1781</v>
      </c>
      <c r="B1767" s="12" t="n">
        <v>46020</v>
      </c>
      <c r="C1767" s="11" t="inlineStr">
        <is>
          <t>consignacion credibanco d e</t>
        </is>
      </c>
      <c r="D1767" s="13" t="n">
        <v>26915</v>
      </c>
      <c r="E1767" s="11">
        <f>IF(SUM(COUNTIFS('Conciliacion de compuestos'!$D$2:$D$48,"conciliado",'Conciliacion de compuestos'!$E$2:$E$48,"OK",'Conciliacion de compuestos'!$J$2:$J$48,A1767),COUNTIFS('Conciliacion de compuestos'!$D$2:$D$48,"conciliado",'Conciliacion de compuestos'!$E$2:$E$48,"OK",'Conciliacion de compuestos'!$K$2:$K$48,A1767),COUNTIFS('Conciliacion de compuestos'!$D$2:$D$48,"conciliado",'Conciliacion de compuestos'!$E$2:$E$48,"OK",'Conciliacion de compuestos'!$L$2:$L$48,A1767))&gt;0,"conciliado en compuesto confirmado","disponible")</f>
        <v/>
      </c>
    </row>
    <row r="1768">
      <c r="A1768" s="11" t="n">
        <v>1782</v>
      </c>
      <c r="B1768" s="12" t="n">
        <v>46020</v>
      </c>
      <c r="C1768" s="11" t="inlineStr">
        <is>
          <t>cobro comision depositos electronicos</t>
        </is>
      </c>
      <c r="D1768" s="13" t="n">
        <v>-554</v>
      </c>
      <c r="E1768" s="11">
        <f>IF(SUM(COUNTIFS('Conciliacion de compuestos'!$D$2:$D$48,"conciliado",'Conciliacion de compuestos'!$E$2:$E$48,"OK",'Conciliacion de compuestos'!$J$2:$J$48,A1768),COUNTIFS('Conciliacion de compuestos'!$D$2:$D$48,"conciliado",'Conciliacion de compuestos'!$E$2:$E$48,"OK",'Conciliacion de compuestos'!$K$2:$K$48,A1768),COUNTIFS('Conciliacion de compuestos'!$D$2:$D$48,"conciliado",'Conciliacion de compuestos'!$E$2:$E$48,"OK",'Conciliacion de compuestos'!$L$2:$L$48,A1768))&gt;0,"conciliado en compuesto confirmado","disponible")</f>
        <v/>
      </c>
    </row>
    <row r="1769">
      <c r="A1769" s="11" t="n">
        <v>1783</v>
      </c>
      <c r="B1769" s="12" t="n">
        <v>46020</v>
      </c>
      <c r="C1769" s="11" t="inlineStr">
        <is>
          <t>a financiero gravamen movimiento</t>
        </is>
      </c>
      <c r="D1769" s="13" t="n">
        <v>-2</v>
      </c>
      <c r="E1769" s="11">
        <f>IF(SUM(COUNTIFS('Conciliacion de compuestos'!$D$2:$D$48,"conciliado",'Conciliacion de compuestos'!$E$2:$E$48,"OK",'Conciliacion de compuestos'!$J$2:$J$48,A1769),COUNTIFS('Conciliacion de compuestos'!$D$2:$D$48,"conciliado",'Conciliacion de compuestos'!$E$2:$E$48,"OK",'Conciliacion de compuestos'!$K$2:$K$48,A1769),COUNTIFS('Conciliacion de compuestos'!$D$2:$D$48,"conciliado",'Conciliacion de compuestos'!$E$2:$E$48,"OK",'Conciliacion de compuestos'!$L$2:$L$48,A1769))&gt;0,"conciliado en compuesto confirmado","disponible")</f>
        <v/>
      </c>
    </row>
    <row r="1770">
      <c r="A1770" s="11" t="n">
        <v>1784</v>
      </c>
      <c r="B1770" s="12" t="n">
        <v>46020</v>
      </c>
      <c r="C1770" s="11" t="inlineStr">
        <is>
          <t>credibanco d e retefuente voucher y</t>
        </is>
      </c>
      <c r="D1770" s="13" t="n">
        <v>-404</v>
      </c>
      <c r="E1770" s="11">
        <f>IF(SUM(COUNTIFS('Conciliacion de compuestos'!$D$2:$D$48,"conciliado",'Conciliacion de compuestos'!$E$2:$E$48,"OK",'Conciliacion de compuestos'!$J$2:$J$48,A1770),COUNTIFS('Conciliacion de compuestos'!$D$2:$D$48,"conciliado",'Conciliacion de compuestos'!$E$2:$E$48,"OK",'Conciliacion de compuestos'!$K$2:$K$48,A1770),COUNTIFS('Conciliacion de compuestos'!$D$2:$D$48,"conciliado",'Conciliacion de compuestos'!$E$2:$E$48,"OK",'Conciliacion de compuestos'!$L$2:$L$48,A1770))&gt;0,"conciliado en compuesto confirmado","disponible")</f>
        <v/>
      </c>
    </row>
    <row r="1771">
      <c r="A1771" s="11" t="n">
        <v>1785</v>
      </c>
      <c r="B1771" s="12" t="n">
        <v>46020</v>
      </c>
      <c r="C1771" s="11" t="inlineStr">
        <is>
          <t>a financiero gravamen movimiento</t>
        </is>
      </c>
      <c r="D1771" s="13" t="n">
        <v>-2</v>
      </c>
      <c r="E1771" s="11">
        <f>IF(SUM(COUNTIFS('Conciliacion de compuestos'!$D$2:$D$48,"conciliado",'Conciliacion de compuestos'!$E$2:$E$48,"OK",'Conciliacion de compuestos'!$J$2:$J$48,A1771),COUNTIFS('Conciliacion de compuestos'!$D$2:$D$48,"conciliado",'Conciliacion de compuestos'!$E$2:$E$48,"OK",'Conciliacion de compuestos'!$K$2:$K$48,A1771),COUNTIFS('Conciliacion de compuestos'!$D$2:$D$48,"conciliado",'Conciliacion de compuestos'!$E$2:$E$48,"OK",'Conciliacion de compuestos'!$L$2:$L$48,A1771))&gt;0,"conciliado en compuesto confirmado","disponible")</f>
        <v/>
      </c>
    </row>
    <row r="1772">
      <c r="A1772" s="11" t="n">
        <v>1786</v>
      </c>
      <c r="B1772" s="12" t="n">
        <v>46020</v>
      </c>
      <c r="C1772" s="11" t="inlineStr">
        <is>
          <t>consignacion credibanco d e</t>
        </is>
      </c>
      <c r="D1772" s="13" t="n">
        <v>52300</v>
      </c>
      <c r="E1772" s="11">
        <f>IF(SUM(COUNTIFS('Conciliacion de compuestos'!$D$2:$D$48,"conciliado",'Conciliacion de compuestos'!$E$2:$E$48,"OK",'Conciliacion de compuestos'!$J$2:$J$48,A1772),COUNTIFS('Conciliacion de compuestos'!$D$2:$D$48,"conciliado",'Conciliacion de compuestos'!$E$2:$E$48,"OK",'Conciliacion de compuestos'!$K$2:$K$48,A1772),COUNTIFS('Conciliacion de compuestos'!$D$2:$D$48,"conciliado",'Conciliacion de compuestos'!$E$2:$E$48,"OK",'Conciliacion de compuestos'!$L$2:$L$48,A1772))&gt;0,"conciliado en compuesto confirmado","disponible")</f>
        <v/>
      </c>
    </row>
    <row r="1773">
      <c r="A1773" s="11" t="n">
        <v>1787</v>
      </c>
      <c r="B1773" s="12" t="n">
        <v>46020</v>
      </c>
      <c r="C1773" s="11" t="inlineStr">
        <is>
          <t>cobro comision depositos electronicos</t>
        </is>
      </c>
      <c r="D1773" s="13" t="n">
        <v>-1130</v>
      </c>
      <c r="E1773" s="11">
        <f>IF(SUM(COUNTIFS('Conciliacion de compuestos'!$D$2:$D$48,"conciliado",'Conciliacion de compuestos'!$E$2:$E$48,"OK",'Conciliacion de compuestos'!$J$2:$J$48,A1773),COUNTIFS('Conciliacion de compuestos'!$D$2:$D$48,"conciliado",'Conciliacion de compuestos'!$E$2:$E$48,"OK",'Conciliacion de compuestos'!$K$2:$K$48,A1773),COUNTIFS('Conciliacion de compuestos'!$D$2:$D$48,"conciliado",'Conciliacion de compuestos'!$E$2:$E$48,"OK",'Conciliacion de compuestos'!$L$2:$L$48,A1773))&gt;0,"conciliado en compuesto confirmado","disponible")</f>
        <v/>
      </c>
    </row>
    <row r="1774">
      <c r="A1774" s="11" t="n">
        <v>1788</v>
      </c>
      <c r="B1774" s="12" t="n">
        <v>46020</v>
      </c>
      <c r="C1774" s="11" t="inlineStr">
        <is>
          <t>a financiero gravamen movimiento</t>
        </is>
      </c>
      <c r="D1774" s="13" t="n">
        <v>-5</v>
      </c>
      <c r="E1774" s="11">
        <f>IF(SUM(COUNTIFS('Conciliacion de compuestos'!$D$2:$D$48,"conciliado",'Conciliacion de compuestos'!$E$2:$E$48,"OK",'Conciliacion de compuestos'!$J$2:$J$48,A1774),COUNTIFS('Conciliacion de compuestos'!$D$2:$D$48,"conciliado",'Conciliacion de compuestos'!$E$2:$E$48,"OK",'Conciliacion de compuestos'!$K$2:$K$48,A1774),COUNTIFS('Conciliacion de compuestos'!$D$2:$D$48,"conciliado",'Conciliacion de compuestos'!$E$2:$E$48,"OK",'Conciliacion de compuestos'!$L$2:$L$48,A1774))&gt;0,"conciliado en compuesto confirmado","disponible")</f>
        <v/>
      </c>
    </row>
    <row r="1775">
      <c r="A1775" s="11" t="n">
        <v>1789</v>
      </c>
      <c r="B1775" s="12" t="n">
        <v>46020</v>
      </c>
      <c r="C1775" s="11" t="inlineStr">
        <is>
          <t>credibanco d e retefuente voucher y</t>
        </is>
      </c>
      <c r="D1775" s="13" t="n">
        <v>-785</v>
      </c>
      <c r="E1775" s="11">
        <f>IF(SUM(COUNTIFS('Conciliacion de compuestos'!$D$2:$D$48,"conciliado",'Conciliacion de compuestos'!$E$2:$E$48,"OK",'Conciliacion de compuestos'!$J$2:$J$48,A1775),COUNTIFS('Conciliacion de compuestos'!$D$2:$D$48,"conciliado",'Conciliacion de compuestos'!$E$2:$E$48,"OK",'Conciliacion de compuestos'!$K$2:$K$48,A1775),COUNTIFS('Conciliacion de compuestos'!$D$2:$D$48,"conciliado",'Conciliacion de compuestos'!$E$2:$E$48,"OK",'Conciliacion de compuestos'!$L$2:$L$48,A1775))&gt;0,"conciliado en compuesto confirmado","disponible")</f>
        <v/>
      </c>
    </row>
    <row r="1776">
      <c r="A1776" s="11" t="n">
        <v>1790</v>
      </c>
      <c r="B1776" s="12" t="n">
        <v>46020</v>
      </c>
      <c r="C1776" s="11" t="inlineStr">
        <is>
          <t>a financiero gravamen movimiento</t>
        </is>
      </c>
      <c r="D1776" s="13" t="n">
        <v>-3</v>
      </c>
      <c r="E1776" s="11">
        <f>IF(SUM(COUNTIFS('Conciliacion de compuestos'!$D$2:$D$48,"conciliado",'Conciliacion de compuestos'!$E$2:$E$48,"OK",'Conciliacion de compuestos'!$J$2:$J$48,A1776),COUNTIFS('Conciliacion de compuestos'!$D$2:$D$48,"conciliado",'Conciliacion de compuestos'!$E$2:$E$48,"OK",'Conciliacion de compuestos'!$K$2:$K$48,A1776),COUNTIFS('Conciliacion de compuestos'!$D$2:$D$48,"conciliado",'Conciliacion de compuestos'!$E$2:$E$48,"OK",'Conciliacion de compuestos'!$L$2:$L$48,A1776))&gt;0,"conciliado en compuesto confirmado","disponible")</f>
        <v/>
      </c>
    </row>
    <row r="1777">
      <c r="A1777" s="11" t="n">
        <v>1791</v>
      </c>
      <c r="B1777" s="12" t="n">
        <v>46020</v>
      </c>
      <c r="C1777" s="11" t="inlineStr">
        <is>
          <t>consignacion credibanco d e</t>
        </is>
      </c>
      <c r="D1777" s="13" t="n">
        <v>46800</v>
      </c>
      <c r="E1777" s="11">
        <f>IF(SUM(COUNTIFS('Conciliacion de compuestos'!$D$2:$D$48,"conciliado",'Conciliacion de compuestos'!$E$2:$E$48,"OK",'Conciliacion de compuestos'!$J$2:$J$48,A1777),COUNTIFS('Conciliacion de compuestos'!$D$2:$D$48,"conciliado",'Conciliacion de compuestos'!$E$2:$E$48,"OK",'Conciliacion de compuestos'!$K$2:$K$48,A1777),COUNTIFS('Conciliacion de compuestos'!$D$2:$D$48,"conciliado",'Conciliacion de compuestos'!$E$2:$E$48,"OK",'Conciliacion de compuestos'!$L$2:$L$48,A1777))&gt;0,"conciliado en compuesto confirmado","disponible")</f>
        <v/>
      </c>
    </row>
    <row r="1778">
      <c r="A1778" s="11" t="n">
        <v>1792</v>
      </c>
      <c r="B1778" s="12" t="n">
        <v>46020</v>
      </c>
      <c r="C1778" s="11" t="inlineStr">
        <is>
          <t>cobro comision depositos electronicos</t>
        </is>
      </c>
      <c r="D1778" s="13" t="n">
        <v>-1025</v>
      </c>
      <c r="E1778" s="11">
        <f>IF(SUM(COUNTIFS('Conciliacion de compuestos'!$D$2:$D$48,"conciliado",'Conciliacion de compuestos'!$E$2:$E$48,"OK",'Conciliacion de compuestos'!$J$2:$J$48,A1778),COUNTIFS('Conciliacion de compuestos'!$D$2:$D$48,"conciliado",'Conciliacion de compuestos'!$E$2:$E$48,"OK",'Conciliacion de compuestos'!$K$2:$K$48,A1778),COUNTIFS('Conciliacion de compuestos'!$D$2:$D$48,"conciliado",'Conciliacion de compuestos'!$E$2:$E$48,"OK",'Conciliacion de compuestos'!$L$2:$L$48,A1778))&gt;0,"conciliado en compuesto confirmado","disponible")</f>
        <v/>
      </c>
    </row>
    <row r="1779">
      <c r="A1779" s="11" t="n">
        <v>1793</v>
      </c>
      <c r="B1779" s="12" t="n">
        <v>46020</v>
      </c>
      <c r="C1779" s="11" t="inlineStr">
        <is>
          <t>a financiero gravamen movimiento</t>
        </is>
      </c>
      <c r="D1779" s="13" t="n">
        <v>-4</v>
      </c>
      <c r="E1779" s="11">
        <f>IF(SUM(COUNTIFS('Conciliacion de compuestos'!$D$2:$D$48,"conciliado",'Conciliacion de compuestos'!$E$2:$E$48,"OK",'Conciliacion de compuestos'!$J$2:$J$48,A1779),COUNTIFS('Conciliacion de compuestos'!$D$2:$D$48,"conciliado",'Conciliacion de compuestos'!$E$2:$E$48,"OK",'Conciliacion de compuestos'!$K$2:$K$48,A1779),COUNTIFS('Conciliacion de compuestos'!$D$2:$D$48,"conciliado",'Conciliacion de compuestos'!$E$2:$E$48,"OK",'Conciliacion de compuestos'!$L$2:$L$48,A1779))&gt;0,"conciliado en compuesto confirmado","disponible")</f>
        <v/>
      </c>
    </row>
    <row r="1780">
      <c r="A1780" s="11" t="n">
        <v>1794</v>
      </c>
      <c r="B1780" s="12" t="n">
        <v>46020</v>
      </c>
      <c r="C1780" s="11" t="inlineStr">
        <is>
          <t>credibanco d e retefuente voucher y</t>
        </is>
      </c>
      <c r="D1780" s="13" t="n">
        <v>-702</v>
      </c>
      <c r="E1780" s="11">
        <f>IF(SUM(COUNTIFS('Conciliacion de compuestos'!$D$2:$D$48,"conciliado",'Conciliacion de compuestos'!$E$2:$E$48,"OK",'Conciliacion de compuestos'!$J$2:$J$48,A1780),COUNTIFS('Conciliacion de compuestos'!$D$2:$D$48,"conciliado",'Conciliacion de compuestos'!$E$2:$E$48,"OK",'Conciliacion de compuestos'!$K$2:$K$48,A1780),COUNTIFS('Conciliacion de compuestos'!$D$2:$D$48,"conciliado",'Conciliacion de compuestos'!$E$2:$E$48,"OK",'Conciliacion de compuestos'!$L$2:$L$48,A1780))&gt;0,"conciliado en compuesto confirmado","disponible")</f>
        <v/>
      </c>
    </row>
    <row r="1781">
      <c r="A1781" s="11" t="n">
        <v>1795</v>
      </c>
      <c r="B1781" s="12" t="n">
        <v>46020</v>
      </c>
      <c r="C1781" s="11" t="inlineStr">
        <is>
          <t>a financiero gravamen movimiento</t>
        </is>
      </c>
      <c r="D1781" s="13" t="n">
        <v>-3</v>
      </c>
      <c r="E1781" s="11">
        <f>IF(SUM(COUNTIFS('Conciliacion de compuestos'!$D$2:$D$48,"conciliado",'Conciliacion de compuestos'!$E$2:$E$48,"OK",'Conciliacion de compuestos'!$J$2:$J$48,A1781),COUNTIFS('Conciliacion de compuestos'!$D$2:$D$48,"conciliado",'Conciliacion de compuestos'!$E$2:$E$48,"OK",'Conciliacion de compuestos'!$K$2:$K$48,A1781),COUNTIFS('Conciliacion de compuestos'!$D$2:$D$48,"conciliado",'Conciliacion de compuestos'!$E$2:$E$48,"OK",'Conciliacion de compuestos'!$L$2:$L$48,A1781))&gt;0,"conciliado en compuesto confirmado","disponible")</f>
        <v/>
      </c>
    </row>
    <row r="1782">
      <c r="A1782" s="11" t="n">
        <v>1796</v>
      </c>
      <c r="B1782" s="12" t="n">
        <v>46020</v>
      </c>
      <c r="C1782" s="11" t="inlineStr">
        <is>
          <t>consignacion credibanco d e</t>
        </is>
      </c>
      <c r="D1782" s="13" t="n">
        <v>40600</v>
      </c>
      <c r="E1782" s="11">
        <f>IF(SUM(COUNTIFS('Conciliacion de compuestos'!$D$2:$D$48,"conciliado",'Conciliacion de compuestos'!$E$2:$E$48,"OK",'Conciliacion de compuestos'!$J$2:$J$48,A1782),COUNTIFS('Conciliacion de compuestos'!$D$2:$D$48,"conciliado",'Conciliacion de compuestos'!$E$2:$E$48,"OK",'Conciliacion de compuestos'!$K$2:$K$48,A1782),COUNTIFS('Conciliacion de compuestos'!$D$2:$D$48,"conciliado",'Conciliacion de compuestos'!$E$2:$E$48,"OK",'Conciliacion de compuestos'!$L$2:$L$48,A1782))&gt;0,"conciliado en compuesto confirmado","disponible")</f>
        <v/>
      </c>
    </row>
    <row r="1783">
      <c r="A1783" s="11" t="n">
        <v>1797</v>
      </c>
      <c r="B1783" s="12" t="n">
        <v>46020</v>
      </c>
      <c r="C1783" s="11" t="inlineStr">
        <is>
          <t>cobro comision depositos electronicos</t>
        </is>
      </c>
      <c r="D1783" s="13" t="n">
        <v>-889</v>
      </c>
      <c r="E1783" s="11">
        <f>IF(SUM(COUNTIFS('Conciliacion de compuestos'!$D$2:$D$48,"conciliado",'Conciliacion de compuestos'!$E$2:$E$48,"OK",'Conciliacion de compuestos'!$J$2:$J$48,A1783),COUNTIFS('Conciliacion de compuestos'!$D$2:$D$48,"conciliado",'Conciliacion de compuestos'!$E$2:$E$48,"OK",'Conciliacion de compuestos'!$K$2:$K$48,A1783),COUNTIFS('Conciliacion de compuestos'!$D$2:$D$48,"conciliado",'Conciliacion de compuestos'!$E$2:$E$48,"OK",'Conciliacion de compuestos'!$L$2:$L$48,A1783))&gt;0,"conciliado en compuesto confirmado","disponible")</f>
        <v/>
      </c>
    </row>
    <row r="1784">
      <c r="A1784" s="11" t="n">
        <v>1798</v>
      </c>
      <c r="B1784" s="12" t="n">
        <v>46020</v>
      </c>
      <c r="C1784" s="11" t="inlineStr">
        <is>
          <t>a financiero gravamen movimiento</t>
        </is>
      </c>
      <c r="D1784" s="13" t="n">
        <v>-4</v>
      </c>
      <c r="E1784" s="11">
        <f>IF(SUM(COUNTIFS('Conciliacion de compuestos'!$D$2:$D$48,"conciliado",'Conciliacion de compuestos'!$E$2:$E$48,"OK",'Conciliacion de compuestos'!$J$2:$J$48,A1784),COUNTIFS('Conciliacion de compuestos'!$D$2:$D$48,"conciliado",'Conciliacion de compuestos'!$E$2:$E$48,"OK",'Conciliacion de compuestos'!$K$2:$K$48,A1784),COUNTIFS('Conciliacion de compuestos'!$D$2:$D$48,"conciliado",'Conciliacion de compuestos'!$E$2:$E$48,"OK",'Conciliacion de compuestos'!$L$2:$L$48,A1784))&gt;0,"conciliado en compuesto confirmado","disponible")</f>
        <v/>
      </c>
    </row>
    <row r="1785">
      <c r="A1785" s="11" t="n">
        <v>1799</v>
      </c>
      <c r="B1785" s="12" t="n">
        <v>46020</v>
      </c>
      <c r="C1785" s="11" t="inlineStr">
        <is>
          <t>credibanco d e retefuente voucher y</t>
        </is>
      </c>
      <c r="D1785" s="13" t="n">
        <v>-609</v>
      </c>
      <c r="E1785" s="11">
        <f>IF(SUM(COUNTIFS('Conciliacion de compuestos'!$D$2:$D$48,"conciliado",'Conciliacion de compuestos'!$E$2:$E$48,"OK",'Conciliacion de compuestos'!$J$2:$J$48,A1785),COUNTIFS('Conciliacion de compuestos'!$D$2:$D$48,"conciliado",'Conciliacion de compuestos'!$E$2:$E$48,"OK",'Conciliacion de compuestos'!$K$2:$K$48,A1785),COUNTIFS('Conciliacion de compuestos'!$D$2:$D$48,"conciliado",'Conciliacion de compuestos'!$E$2:$E$48,"OK",'Conciliacion de compuestos'!$L$2:$L$48,A1785))&gt;0,"conciliado en compuesto confirmado","disponible")</f>
        <v/>
      </c>
    </row>
    <row r="1786">
      <c r="A1786" s="11" t="n">
        <v>1800</v>
      </c>
      <c r="B1786" s="12" t="n">
        <v>46020</v>
      </c>
      <c r="C1786" s="11" t="inlineStr">
        <is>
          <t>a financiero gravamen movimiento</t>
        </is>
      </c>
      <c r="D1786" s="13" t="n">
        <v>-2</v>
      </c>
      <c r="E1786" s="11">
        <f>IF(SUM(COUNTIFS('Conciliacion de compuestos'!$D$2:$D$48,"conciliado",'Conciliacion de compuestos'!$E$2:$E$48,"OK",'Conciliacion de compuestos'!$J$2:$J$48,A1786),COUNTIFS('Conciliacion de compuestos'!$D$2:$D$48,"conciliado",'Conciliacion de compuestos'!$E$2:$E$48,"OK",'Conciliacion de compuestos'!$K$2:$K$48,A1786),COUNTIFS('Conciliacion de compuestos'!$D$2:$D$48,"conciliado",'Conciliacion de compuestos'!$E$2:$E$48,"OK",'Conciliacion de compuestos'!$L$2:$L$48,A1786))&gt;0,"conciliado en compuesto confirmado","disponible")</f>
        <v/>
      </c>
    </row>
    <row r="1787">
      <c r="A1787" s="11" t="n">
        <v>1801</v>
      </c>
      <c r="B1787" s="12" t="n">
        <v>46020</v>
      </c>
      <c r="C1787" s="11" t="inlineStr">
        <is>
          <t>consignacion credibanco d e</t>
        </is>
      </c>
      <c r="D1787" s="13" t="n">
        <v>381088</v>
      </c>
      <c r="E1787" s="11">
        <f>IF(SUM(COUNTIFS('Conciliacion de compuestos'!$D$2:$D$48,"conciliado",'Conciliacion de compuestos'!$E$2:$E$48,"OK",'Conciliacion de compuestos'!$J$2:$J$48,A1787),COUNTIFS('Conciliacion de compuestos'!$D$2:$D$48,"conciliado",'Conciliacion de compuestos'!$E$2:$E$48,"OK",'Conciliacion de compuestos'!$K$2:$K$48,A1787),COUNTIFS('Conciliacion de compuestos'!$D$2:$D$48,"conciliado",'Conciliacion de compuestos'!$E$2:$E$48,"OK",'Conciliacion de compuestos'!$L$2:$L$48,A1787))&gt;0,"conciliado en compuesto confirmado","disponible")</f>
        <v/>
      </c>
    </row>
    <row r="1788">
      <c r="A1788" s="11" t="n">
        <v>1802</v>
      </c>
      <c r="B1788" s="12" t="n">
        <v>46020</v>
      </c>
      <c r="C1788" s="11" t="inlineStr">
        <is>
          <t>cobro comision depositos electronicos</t>
        </is>
      </c>
      <c r="D1788" s="13" t="n">
        <v>-8346</v>
      </c>
      <c r="E1788" s="11">
        <f>IF(SUM(COUNTIFS('Conciliacion de compuestos'!$D$2:$D$48,"conciliado",'Conciliacion de compuestos'!$E$2:$E$48,"OK",'Conciliacion de compuestos'!$J$2:$J$48,A1788),COUNTIFS('Conciliacion de compuestos'!$D$2:$D$48,"conciliado",'Conciliacion de compuestos'!$E$2:$E$48,"OK",'Conciliacion de compuestos'!$K$2:$K$48,A1788),COUNTIFS('Conciliacion de compuestos'!$D$2:$D$48,"conciliado",'Conciliacion de compuestos'!$E$2:$E$48,"OK",'Conciliacion de compuestos'!$L$2:$L$48,A1788))&gt;0,"conciliado en compuesto confirmado","disponible")</f>
        <v/>
      </c>
    </row>
    <row r="1789">
      <c r="A1789" s="11" t="n">
        <v>1803</v>
      </c>
      <c r="B1789" s="12" t="n">
        <v>46020</v>
      </c>
      <c r="C1789" s="11" t="inlineStr">
        <is>
          <t>a financiero gravamen movimiento</t>
        </is>
      </c>
      <c r="D1789" s="13" t="n">
        <v>-33</v>
      </c>
      <c r="E1789" s="11">
        <f>IF(SUM(COUNTIFS('Conciliacion de compuestos'!$D$2:$D$48,"conciliado",'Conciliacion de compuestos'!$E$2:$E$48,"OK",'Conciliacion de compuestos'!$J$2:$J$48,A1789),COUNTIFS('Conciliacion de compuestos'!$D$2:$D$48,"conciliado",'Conciliacion de compuestos'!$E$2:$E$48,"OK",'Conciliacion de compuestos'!$K$2:$K$48,A1789),COUNTIFS('Conciliacion de compuestos'!$D$2:$D$48,"conciliado",'Conciliacion de compuestos'!$E$2:$E$48,"OK",'Conciliacion de compuestos'!$L$2:$L$48,A1789))&gt;0,"conciliado en compuesto confirmado","disponible")</f>
        <v/>
      </c>
    </row>
    <row r="1790">
      <c r="A1790" s="11" t="n">
        <v>1804</v>
      </c>
      <c r="B1790" s="12" t="n">
        <v>46020</v>
      </c>
      <c r="C1790" s="11" t="inlineStr">
        <is>
          <t>credibanco d e retefuente voucher y</t>
        </is>
      </c>
      <c r="D1790" s="13" t="n">
        <v>-5716</v>
      </c>
      <c r="E1790" s="11">
        <f>IF(SUM(COUNTIFS('Conciliacion de compuestos'!$D$2:$D$48,"conciliado",'Conciliacion de compuestos'!$E$2:$E$48,"OK",'Conciliacion de compuestos'!$J$2:$J$48,A1790),COUNTIFS('Conciliacion de compuestos'!$D$2:$D$48,"conciliado",'Conciliacion de compuestos'!$E$2:$E$48,"OK",'Conciliacion de compuestos'!$K$2:$K$48,A1790),COUNTIFS('Conciliacion de compuestos'!$D$2:$D$48,"conciliado",'Conciliacion de compuestos'!$E$2:$E$48,"OK",'Conciliacion de compuestos'!$L$2:$L$48,A1790))&gt;0,"conciliado en compuesto confirmado","disponible")</f>
        <v/>
      </c>
    </row>
    <row r="1791">
      <c r="A1791" s="11" t="n">
        <v>1805</v>
      </c>
      <c r="B1791" s="12" t="n">
        <v>46020</v>
      </c>
      <c r="C1791" s="11" t="inlineStr">
        <is>
          <t>a financiero gravamen movimiento</t>
        </is>
      </c>
      <c r="D1791" s="13" t="n">
        <v>-23</v>
      </c>
      <c r="E1791" s="11">
        <f>IF(SUM(COUNTIFS('Conciliacion de compuestos'!$D$2:$D$48,"conciliado",'Conciliacion de compuestos'!$E$2:$E$48,"OK",'Conciliacion de compuestos'!$J$2:$J$48,A1791),COUNTIFS('Conciliacion de compuestos'!$D$2:$D$48,"conciliado",'Conciliacion de compuestos'!$E$2:$E$48,"OK",'Conciliacion de compuestos'!$K$2:$K$48,A1791),COUNTIFS('Conciliacion de compuestos'!$D$2:$D$48,"conciliado",'Conciliacion de compuestos'!$E$2:$E$48,"OK",'Conciliacion de compuestos'!$L$2:$L$48,A1791))&gt;0,"conciliado en compuesto confirmado","disponible")</f>
        <v/>
      </c>
    </row>
    <row r="1792">
      <c r="A1792" s="11" t="n">
        <v>1806</v>
      </c>
      <c r="B1792" s="12" t="n">
        <v>46020</v>
      </c>
      <c r="C1792" s="11" t="inlineStr">
        <is>
          <t>consignacion credibanco d e</t>
        </is>
      </c>
      <c r="D1792" s="13" t="n">
        <v>41460</v>
      </c>
      <c r="E1792" s="11">
        <f>IF(SUM(COUNTIFS('Conciliacion de compuestos'!$D$2:$D$48,"conciliado",'Conciliacion de compuestos'!$E$2:$E$48,"OK",'Conciliacion de compuestos'!$J$2:$J$48,A1792),COUNTIFS('Conciliacion de compuestos'!$D$2:$D$48,"conciliado",'Conciliacion de compuestos'!$E$2:$E$48,"OK",'Conciliacion de compuestos'!$K$2:$K$48,A1792),COUNTIFS('Conciliacion de compuestos'!$D$2:$D$48,"conciliado",'Conciliacion de compuestos'!$E$2:$E$48,"OK",'Conciliacion de compuestos'!$L$2:$L$48,A1792))&gt;0,"conciliado en compuesto confirmado","disponible")</f>
        <v/>
      </c>
    </row>
    <row r="1793">
      <c r="A1793" s="11" t="n">
        <v>1807</v>
      </c>
      <c r="B1793" s="12" t="n">
        <v>46020</v>
      </c>
      <c r="C1793" s="11" t="inlineStr">
        <is>
          <t>cobro comision depositos electronicos</t>
        </is>
      </c>
      <c r="D1793" s="13" t="n">
        <v>-854</v>
      </c>
      <c r="E1793" s="11">
        <f>IF(SUM(COUNTIFS('Conciliacion de compuestos'!$D$2:$D$48,"conciliado",'Conciliacion de compuestos'!$E$2:$E$48,"OK",'Conciliacion de compuestos'!$J$2:$J$48,A1793),COUNTIFS('Conciliacion de compuestos'!$D$2:$D$48,"conciliado",'Conciliacion de compuestos'!$E$2:$E$48,"OK",'Conciliacion de compuestos'!$K$2:$K$48,A1793),COUNTIFS('Conciliacion de compuestos'!$D$2:$D$48,"conciliado",'Conciliacion de compuestos'!$E$2:$E$48,"OK",'Conciliacion de compuestos'!$L$2:$L$48,A1793))&gt;0,"conciliado en compuesto confirmado","disponible")</f>
        <v/>
      </c>
    </row>
    <row r="1794">
      <c r="A1794" s="11" t="n">
        <v>1808</v>
      </c>
      <c r="B1794" s="12" t="n">
        <v>46020</v>
      </c>
      <c r="C1794" s="11" t="inlineStr">
        <is>
          <t>a financiero gravamen movimiento</t>
        </is>
      </c>
      <c r="D1794" s="13" t="n">
        <v>-3</v>
      </c>
      <c r="E1794" s="11">
        <f>IF(SUM(COUNTIFS('Conciliacion de compuestos'!$D$2:$D$48,"conciliado",'Conciliacion de compuestos'!$E$2:$E$48,"OK",'Conciliacion de compuestos'!$J$2:$J$48,A1794),COUNTIFS('Conciliacion de compuestos'!$D$2:$D$48,"conciliado",'Conciliacion de compuestos'!$E$2:$E$48,"OK",'Conciliacion de compuestos'!$K$2:$K$48,A1794),COUNTIFS('Conciliacion de compuestos'!$D$2:$D$48,"conciliado",'Conciliacion de compuestos'!$E$2:$E$48,"OK",'Conciliacion de compuestos'!$L$2:$L$48,A1794))&gt;0,"conciliado en compuesto confirmado","disponible")</f>
        <v/>
      </c>
    </row>
    <row r="1795">
      <c r="A1795" s="11" t="n">
        <v>1809</v>
      </c>
      <c r="B1795" s="12" t="n">
        <v>46020</v>
      </c>
      <c r="C1795" s="11" t="inlineStr">
        <is>
          <t>credibanco d e retefuente voucher y</t>
        </is>
      </c>
      <c r="D1795" s="13" t="n">
        <v>-622</v>
      </c>
      <c r="E1795" s="11">
        <f>IF(SUM(COUNTIFS('Conciliacion de compuestos'!$D$2:$D$48,"conciliado",'Conciliacion de compuestos'!$E$2:$E$48,"OK",'Conciliacion de compuestos'!$J$2:$J$48,A1795),COUNTIFS('Conciliacion de compuestos'!$D$2:$D$48,"conciliado",'Conciliacion de compuestos'!$E$2:$E$48,"OK",'Conciliacion de compuestos'!$K$2:$K$48,A1795),COUNTIFS('Conciliacion de compuestos'!$D$2:$D$48,"conciliado",'Conciliacion de compuestos'!$E$2:$E$48,"OK",'Conciliacion de compuestos'!$L$2:$L$48,A1795))&gt;0,"conciliado en compuesto confirmado","disponible")</f>
        <v/>
      </c>
    </row>
    <row r="1796">
      <c r="A1796" s="11" t="n">
        <v>1810</v>
      </c>
      <c r="B1796" s="12" t="n">
        <v>46020</v>
      </c>
      <c r="C1796" s="11" t="inlineStr">
        <is>
          <t>a financiero gravamen movimiento</t>
        </is>
      </c>
      <c r="D1796" s="13" t="n">
        <v>-2</v>
      </c>
      <c r="E1796" s="11">
        <f>IF(SUM(COUNTIFS('Conciliacion de compuestos'!$D$2:$D$48,"conciliado",'Conciliacion de compuestos'!$E$2:$E$48,"OK",'Conciliacion de compuestos'!$J$2:$J$48,A1796),COUNTIFS('Conciliacion de compuestos'!$D$2:$D$48,"conciliado",'Conciliacion de compuestos'!$E$2:$E$48,"OK",'Conciliacion de compuestos'!$K$2:$K$48,A1796),COUNTIFS('Conciliacion de compuestos'!$D$2:$D$48,"conciliado",'Conciliacion de compuestos'!$E$2:$E$48,"OK",'Conciliacion de compuestos'!$L$2:$L$48,A1796))&gt;0,"conciliado en compuesto confirmado","disponible")</f>
        <v/>
      </c>
    </row>
    <row r="1797">
      <c r="A1797" s="11" t="n">
        <v>1811</v>
      </c>
      <c r="B1797" s="12" t="n">
        <v>46020</v>
      </c>
      <c r="C1797" s="11" t="inlineStr">
        <is>
          <t>consignacion credibanco d e</t>
        </is>
      </c>
      <c r="D1797" s="13" t="n">
        <v>20500</v>
      </c>
      <c r="E1797" s="11">
        <f>IF(SUM(COUNTIFS('Conciliacion de compuestos'!$D$2:$D$48,"conciliado",'Conciliacion de compuestos'!$E$2:$E$48,"OK",'Conciliacion de compuestos'!$J$2:$J$48,A1797),COUNTIFS('Conciliacion de compuestos'!$D$2:$D$48,"conciliado",'Conciliacion de compuestos'!$E$2:$E$48,"OK",'Conciliacion de compuestos'!$K$2:$K$48,A1797),COUNTIFS('Conciliacion de compuestos'!$D$2:$D$48,"conciliado",'Conciliacion de compuestos'!$E$2:$E$48,"OK",'Conciliacion de compuestos'!$L$2:$L$48,A1797))&gt;0,"conciliado en compuesto confirmado","disponible")</f>
        <v/>
      </c>
    </row>
    <row r="1798">
      <c r="A1798" s="11" t="n">
        <v>1812</v>
      </c>
      <c r="B1798" s="12" t="n">
        <v>46020</v>
      </c>
      <c r="C1798" s="11" t="inlineStr">
        <is>
          <t>cobro comision depositos electronicos</t>
        </is>
      </c>
      <c r="D1798" s="13" t="n">
        <v>-422</v>
      </c>
      <c r="E1798" s="11">
        <f>IF(SUM(COUNTIFS('Conciliacion de compuestos'!$D$2:$D$48,"conciliado",'Conciliacion de compuestos'!$E$2:$E$48,"OK",'Conciliacion de compuestos'!$J$2:$J$48,A1798),COUNTIFS('Conciliacion de compuestos'!$D$2:$D$48,"conciliado",'Conciliacion de compuestos'!$E$2:$E$48,"OK",'Conciliacion de compuestos'!$K$2:$K$48,A1798),COUNTIFS('Conciliacion de compuestos'!$D$2:$D$48,"conciliado",'Conciliacion de compuestos'!$E$2:$E$48,"OK",'Conciliacion de compuestos'!$L$2:$L$48,A1798))&gt;0,"conciliado en compuesto confirmado","disponible")</f>
        <v/>
      </c>
    </row>
    <row r="1799">
      <c r="A1799" s="11" t="n">
        <v>1813</v>
      </c>
      <c r="B1799" s="12" t="n">
        <v>46020</v>
      </c>
      <c r="C1799" s="11" t="inlineStr">
        <is>
          <t>a financiero gravamen movimiento</t>
        </is>
      </c>
      <c r="D1799" s="13" t="n">
        <v>-2</v>
      </c>
      <c r="E1799" s="11">
        <f>IF(SUM(COUNTIFS('Conciliacion de compuestos'!$D$2:$D$48,"conciliado",'Conciliacion de compuestos'!$E$2:$E$48,"OK",'Conciliacion de compuestos'!$J$2:$J$48,A1799),COUNTIFS('Conciliacion de compuestos'!$D$2:$D$48,"conciliado",'Conciliacion de compuestos'!$E$2:$E$48,"OK",'Conciliacion de compuestos'!$K$2:$K$48,A1799),COUNTIFS('Conciliacion de compuestos'!$D$2:$D$48,"conciliado",'Conciliacion de compuestos'!$E$2:$E$48,"OK",'Conciliacion de compuestos'!$L$2:$L$48,A1799))&gt;0,"conciliado en compuesto confirmado","disponible")</f>
        <v/>
      </c>
    </row>
    <row r="1800">
      <c r="A1800" s="11" t="n">
        <v>1814</v>
      </c>
      <c r="B1800" s="12" t="n">
        <v>46020</v>
      </c>
      <c r="C1800" s="11" t="inlineStr">
        <is>
          <t>credibanco d e retefuente voucher y</t>
        </is>
      </c>
      <c r="D1800" s="13" t="n">
        <v>-308</v>
      </c>
      <c r="E1800" s="11">
        <f>IF(SUM(COUNTIFS('Conciliacion de compuestos'!$D$2:$D$48,"conciliado",'Conciliacion de compuestos'!$E$2:$E$48,"OK",'Conciliacion de compuestos'!$J$2:$J$48,A1800),COUNTIFS('Conciliacion de compuestos'!$D$2:$D$48,"conciliado",'Conciliacion de compuestos'!$E$2:$E$48,"OK",'Conciliacion de compuestos'!$K$2:$K$48,A1800),COUNTIFS('Conciliacion de compuestos'!$D$2:$D$48,"conciliado",'Conciliacion de compuestos'!$E$2:$E$48,"OK",'Conciliacion de compuestos'!$L$2:$L$48,A1800))&gt;0,"conciliado en compuesto confirmado","disponible")</f>
        <v/>
      </c>
    </row>
    <row r="1801">
      <c r="A1801" s="11" t="n">
        <v>1815</v>
      </c>
      <c r="B1801" s="12" t="n">
        <v>46020</v>
      </c>
      <c r="C1801" s="11" t="inlineStr">
        <is>
          <t>a financiero gravamen movimiento</t>
        </is>
      </c>
      <c r="D1801" s="13" t="n">
        <v>-1</v>
      </c>
      <c r="E1801" s="11">
        <f>IF(SUM(COUNTIFS('Conciliacion de compuestos'!$D$2:$D$48,"conciliado",'Conciliacion de compuestos'!$E$2:$E$48,"OK",'Conciliacion de compuestos'!$J$2:$J$48,A1801),COUNTIFS('Conciliacion de compuestos'!$D$2:$D$48,"conciliado",'Conciliacion de compuestos'!$E$2:$E$48,"OK",'Conciliacion de compuestos'!$K$2:$K$48,A1801),COUNTIFS('Conciliacion de compuestos'!$D$2:$D$48,"conciliado",'Conciliacion de compuestos'!$E$2:$E$48,"OK",'Conciliacion de compuestos'!$L$2:$L$48,A1801))&gt;0,"conciliado en compuesto confirmado","disponible")</f>
        <v/>
      </c>
    </row>
    <row r="1802">
      <c r="A1802" s="11" t="n">
        <v>1816</v>
      </c>
      <c r="B1802" s="12" t="n">
        <v>46020</v>
      </c>
      <c r="C1802" s="11" t="inlineStr">
        <is>
          <t>depositos electronicos masterca transaccion</t>
        </is>
      </c>
      <c r="D1802" s="13" t="n">
        <v>332000</v>
      </c>
      <c r="E1802" s="11">
        <f>IF(SUM(COUNTIFS('Conciliacion de compuestos'!$D$2:$D$48,"conciliado",'Conciliacion de compuestos'!$E$2:$E$48,"OK",'Conciliacion de compuestos'!$J$2:$J$48,A1802),COUNTIFS('Conciliacion de compuestos'!$D$2:$D$48,"conciliado",'Conciliacion de compuestos'!$E$2:$E$48,"OK",'Conciliacion de compuestos'!$K$2:$K$48,A1802),COUNTIFS('Conciliacion de compuestos'!$D$2:$D$48,"conciliado",'Conciliacion de compuestos'!$E$2:$E$48,"OK",'Conciliacion de compuestos'!$L$2:$L$48,A1802))&gt;0,"conciliado en compuesto confirmado","disponible")</f>
        <v/>
      </c>
    </row>
    <row r="1803">
      <c r="A1803" s="11" t="n">
        <v>1817</v>
      </c>
      <c r="B1803" s="12" t="n">
        <v>46020</v>
      </c>
      <c r="C1803" s="11" t="inlineStr">
        <is>
          <t>comision depositos electronicos mastercard</t>
        </is>
      </c>
      <c r="D1803" s="13" t="n">
        <v>-6308</v>
      </c>
      <c r="E1803" s="11">
        <f>IF(SUM(COUNTIFS('Conciliacion de compuestos'!$D$2:$D$48,"conciliado",'Conciliacion de compuestos'!$E$2:$E$48,"OK",'Conciliacion de compuestos'!$J$2:$J$48,A1803),COUNTIFS('Conciliacion de compuestos'!$D$2:$D$48,"conciliado",'Conciliacion de compuestos'!$E$2:$E$48,"OK",'Conciliacion de compuestos'!$K$2:$K$48,A1803),COUNTIFS('Conciliacion de compuestos'!$D$2:$D$48,"conciliado",'Conciliacion de compuestos'!$E$2:$E$48,"OK",'Conciliacion de compuestos'!$L$2:$L$48,A1803))&gt;0,"conciliado en compuesto confirmado","disponible")</f>
        <v/>
      </c>
    </row>
    <row r="1804">
      <c r="A1804" s="11" t="n">
        <v>1818</v>
      </c>
      <c r="B1804" s="12" t="n">
        <v>46020</v>
      </c>
      <c r="C1804" s="11" t="inlineStr">
        <is>
          <t>a financiero gravamen movimiento</t>
        </is>
      </c>
      <c r="D1804" s="13" t="n">
        <v>-25</v>
      </c>
      <c r="E1804" s="11">
        <f>IF(SUM(COUNTIFS('Conciliacion de compuestos'!$D$2:$D$48,"conciliado",'Conciliacion de compuestos'!$E$2:$E$48,"OK",'Conciliacion de compuestos'!$J$2:$J$48,A1804),COUNTIFS('Conciliacion de compuestos'!$D$2:$D$48,"conciliado",'Conciliacion de compuestos'!$E$2:$E$48,"OK",'Conciliacion de compuestos'!$K$2:$K$48,A1804),COUNTIFS('Conciliacion de compuestos'!$D$2:$D$48,"conciliado",'Conciliacion de compuestos'!$E$2:$E$48,"OK",'Conciliacion de compuestos'!$L$2:$L$48,A1804))&gt;0,"conciliado en compuesto confirmado","disponible")</f>
        <v/>
      </c>
    </row>
    <row r="1805">
      <c r="A1805" s="11" t="n">
        <v>1819</v>
      </c>
      <c r="B1805" s="12" t="n">
        <v>46020</v>
      </c>
      <c r="C1805" s="11" t="inlineStr">
        <is>
          <t>depositos electronicos mastercar retefuente</t>
        </is>
      </c>
      <c r="D1805" s="13" t="n">
        <v>-4980</v>
      </c>
      <c r="E1805" s="11">
        <f>IF(SUM(COUNTIFS('Conciliacion de compuestos'!$D$2:$D$48,"conciliado",'Conciliacion de compuestos'!$E$2:$E$48,"OK",'Conciliacion de compuestos'!$J$2:$J$48,A1805),COUNTIFS('Conciliacion de compuestos'!$D$2:$D$48,"conciliado",'Conciliacion de compuestos'!$E$2:$E$48,"OK",'Conciliacion de compuestos'!$K$2:$K$48,A1805),COUNTIFS('Conciliacion de compuestos'!$D$2:$D$48,"conciliado",'Conciliacion de compuestos'!$E$2:$E$48,"OK",'Conciliacion de compuestos'!$L$2:$L$48,A1805))&gt;0,"conciliado en compuesto confirmado","disponible")</f>
        <v/>
      </c>
    </row>
    <row r="1806">
      <c r="A1806" s="11" t="n">
        <v>1820</v>
      </c>
      <c r="B1806" s="12" t="n">
        <v>46020</v>
      </c>
      <c r="C1806" s="11" t="inlineStr">
        <is>
          <t>a financiero gravamen movimiento</t>
        </is>
      </c>
      <c r="D1806" s="13" t="n">
        <v>-20</v>
      </c>
      <c r="E1806" s="11">
        <f>IF(SUM(COUNTIFS('Conciliacion de compuestos'!$D$2:$D$48,"conciliado",'Conciliacion de compuestos'!$E$2:$E$48,"OK",'Conciliacion de compuestos'!$J$2:$J$48,A1806),COUNTIFS('Conciliacion de compuestos'!$D$2:$D$48,"conciliado",'Conciliacion de compuestos'!$E$2:$E$48,"OK",'Conciliacion de compuestos'!$K$2:$K$48,A1806),COUNTIFS('Conciliacion de compuestos'!$D$2:$D$48,"conciliado",'Conciliacion de compuestos'!$E$2:$E$48,"OK",'Conciliacion de compuestos'!$L$2:$L$48,A1806))&gt;0,"conciliado en compuesto confirmado","disponible")</f>
        <v/>
      </c>
    </row>
    <row r="1807">
      <c r="A1807" s="11" t="n">
        <v>1821</v>
      </c>
      <c r="B1807" s="12" t="n">
        <v>46020</v>
      </c>
      <c r="C1807" s="11" t="inlineStr">
        <is>
          <t>depositos electronicos masterca transaccion</t>
        </is>
      </c>
      <c r="D1807" s="13" t="n">
        <v>26800</v>
      </c>
      <c r="E1807" s="11">
        <f>IF(SUM(COUNTIFS('Conciliacion de compuestos'!$D$2:$D$48,"conciliado",'Conciliacion de compuestos'!$E$2:$E$48,"OK",'Conciliacion de compuestos'!$J$2:$J$48,A1807),COUNTIFS('Conciliacion de compuestos'!$D$2:$D$48,"conciliado",'Conciliacion de compuestos'!$E$2:$E$48,"OK",'Conciliacion de compuestos'!$K$2:$K$48,A1807),COUNTIFS('Conciliacion de compuestos'!$D$2:$D$48,"conciliado",'Conciliacion de compuestos'!$E$2:$E$48,"OK",'Conciliacion de compuestos'!$L$2:$L$48,A1807))&gt;0,"conciliado en compuesto confirmado","disponible")</f>
        <v/>
      </c>
    </row>
    <row r="1808">
      <c r="A1808" s="11" t="n">
        <v>1822</v>
      </c>
      <c r="B1808" s="12" t="n">
        <v>46020</v>
      </c>
      <c r="C1808" s="11" t="inlineStr">
        <is>
          <t>comision depositos electronicos mastercard</t>
        </is>
      </c>
      <c r="D1808" s="13" t="n">
        <v>-509</v>
      </c>
      <c r="E1808" s="11">
        <f>IF(SUM(COUNTIFS('Conciliacion de compuestos'!$D$2:$D$48,"conciliado",'Conciliacion de compuestos'!$E$2:$E$48,"OK",'Conciliacion de compuestos'!$J$2:$J$48,A1808),COUNTIFS('Conciliacion de compuestos'!$D$2:$D$48,"conciliado",'Conciliacion de compuestos'!$E$2:$E$48,"OK",'Conciliacion de compuestos'!$K$2:$K$48,A1808),COUNTIFS('Conciliacion de compuestos'!$D$2:$D$48,"conciliado",'Conciliacion de compuestos'!$E$2:$E$48,"OK",'Conciliacion de compuestos'!$L$2:$L$48,A1808))&gt;0,"conciliado en compuesto confirmado","disponible")</f>
        <v/>
      </c>
    </row>
    <row r="1809">
      <c r="A1809" s="11" t="n">
        <v>1823</v>
      </c>
      <c r="B1809" s="12" t="n">
        <v>46020</v>
      </c>
      <c r="C1809" s="11" t="inlineStr">
        <is>
          <t>a financiero gravamen movimiento</t>
        </is>
      </c>
      <c r="D1809" s="13" t="n">
        <v>-2</v>
      </c>
      <c r="E1809" s="11">
        <f>IF(SUM(COUNTIFS('Conciliacion de compuestos'!$D$2:$D$48,"conciliado",'Conciliacion de compuestos'!$E$2:$E$48,"OK",'Conciliacion de compuestos'!$J$2:$J$48,A1809),COUNTIFS('Conciliacion de compuestos'!$D$2:$D$48,"conciliado",'Conciliacion de compuestos'!$E$2:$E$48,"OK",'Conciliacion de compuestos'!$K$2:$K$48,A1809),COUNTIFS('Conciliacion de compuestos'!$D$2:$D$48,"conciliado",'Conciliacion de compuestos'!$E$2:$E$48,"OK",'Conciliacion de compuestos'!$L$2:$L$48,A1809))&gt;0,"conciliado en compuesto confirmado","disponible")</f>
        <v/>
      </c>
    </row>
    <row r="1810">
      <c r="A1810" s="11" t="n">
        <v>1824</v>
      </c>
      <c r="B1810" s="12" t="n">
        <v>46020</v>
      </c>
      <c r="C1810" s="11" t="inlineStr">
        <is>
          <t>depositos electronicos mastercar retefuente</t>
        </is>
      </c>
      <c r="D1810" s="13" t="n">
        <v>-402</v>
      </c>
      <c r="E1810" s="11">
        <f>IF(SUM(COUNTIFS('Conciliacion de compuestos'!$D$2:$D$48,"conciliado",'Conciliacion de compuestos'!$E$2:$E$48,"OK",'Conciliacion de compuestos'!$J$2:$J$48,A1810),COUNTIFS('Conciliacion de compuestos'!$D$2:$D$48,"conciliado",'Conciliacion de compuestos'!$E$2:$E$48,"OK",'Conciliacion de compuestos'!$K$2:$K$48,A1810),COUNTIFS('Conciliacion de compuestos'!$D$2:$D$48,"conciliado",'Conciliacion de compuestos'!$E$2:$E$48,"OK",'Conciliacion de compuestos'!$L$2:$L$48,A1810))&gt;0,"conciliado en compuesto confirmado","disponible")</f>
        <v/>
      </c>
    </row>
    <row r="1811">
      <c r="A1811" s="11" t="n">
        <v>1825</v>
      </c>
      <c r="B1811" s="12" t="n">
        <v>46020</v>
      </c>
      <c r="C1811" s="11" t="inlineStr">
        <is>
          <t>a financiero gravamen movimiento</t>
        </is>
      </c>
      <c r="D1811" s="13" t="n">
        <v>-2</v>
      </c>
      <c r="E1811" s="11">
        <f>IF(SUM(COUNTIFS('Conciliacion de compuestos'!$D$2:$D$48,"conciliado",'Conciliacion de compuestos'!$E$2:$E$48,"OK",'Conciliacion de compuestos'!$J$2:$J$48,A1811),COUNTIFS('Conciliacion de compuestos'!$D$2:$D$48,"conciliado",'Conciliacion de compuestos'!$E$2:$E$48,"OK",'Conciliacion de compuestos'!$K$2:$K$48,A1811),COUNTIFS('Conciliacion de compuestos'!$D$2:$D$48,"conciliado",'Conciliacion de compuestos'!$E$2:$E$48,"OK",'Conciliacion de compuestos'!$L$2:$L$48,A1811))&gt;0,"conciliado en compuesto confirmado","disponible")</f>
        <v/>
      </c>
    </row>
    <row r="1812">
      <c r="A1812" s="11" t="n">
        <v>1826</v>
      </c>
      <c r="B1812" s="12" t="n">
        <v>46020</v>
      </c>
      <c r="C1812" s="11" t="inlineStr">
        <is>
          <t>depositos electronicos masterca transaccion</t>
        </is>
      </c>
      <c r="D1812" s="13" t="n">
        <v>56500</v>
      </c>
      <c r="E1812" s="11">
        <f>IF(SUM(COUNTIFS('Conciliacion de compuestos'!$D$2:$D$48,"conciliado",'Conciliacion de compuestos'!$E$2:$E$48,"OK",'Conciliacion de compuestos'!$J$2:$J$48,A1812),COUNTIFS('Conciliacion de compuestos'!$D$2:$D$48,"conciliado",'Conciliacion de compuestos'!$E$2:$E$48,"OK",'Conciliacion de compuestos'!$K$2:$K$48,A1812),COUNTIFS('Conciliacion de compuestos'!$D$2:$D$48,"conciliado",'Conciliacion de compuestos'!$E$2:$E$48,"OK",'Conciliacion de compuestos'!$L$2:$L$48,A1812))&gt;0,"conciliado en compuesto confirmado","disponible")</f>
        <v/>
      </c>
    </row>
    <row r="1813">
      <c r="A1813" s="11" t="n">
        <v>1827</v>
      </c>
      <c r="B1813" s="12" t="n">
        <v>46020</v>
      </c>
      <c r="C1813" s="11" t="inlineStr">
        <is>
          <t>comision depositos electronicos mastercard</t>
        </is>
      </c>
      <c r="D1813" s="13" t="n">
        <v>-1074</v>
      </c>
      <c r="E1813" s="11">
        <f>IF(SUM(COUNTIFS('Conciliacion de compuestos'!$D$2:$D$48,"conciliado",'Conciliacion de compuestos'!$E$2:$E$48,"OK",'Conciliacion de compuestos'!$J$2:$J$48,A1813),COUNTIFS('Conciliacion de compuestos'!$D$2:$D$48,"conciliado",'Conciliacion de compuestos'!$E$2:$E$48,"OK",'Conciliacion de compuestos'!$K$2:$K$48,A1813),COUNTIFS('Conciliacion de compuestos'!$D$2:$D$48,"conciliado",'Conciliacion de compuestos'!$E$2:$E$48,"OK",'Conciliacion de compuestos'!$L$2:$L$48,A1813))&gt;0,"conciliado en compuesto confirmado","disponible")</f>
        <v/>
      </c>
    </row>
    <row r="1814">
      <c r="A1814" s="11" t="n">
        <v>1828</v>
      </c>
      <c r="B1814" s="12" t="n">
        <v>46020</v>
      </c>
      <c r="C1814" s="11" t="inlineStr">
        <is>
          <t>a financiero gravamen movimiento</t>
        </is>
      </c>
      <c r="D1814" s="13" t="n">
        <v>-4</v>
      </c>
      <c r="E1814" s="11">
        <f>IF(SUM(COUNTIFS('Conciliacion de compuestos'!$D$2:$D$48,"conciliado",'Conciliacion de compuestos'!$E$2:$E$48,"OK",'Conciliacion de compuestos'!$J$2:$J$48,A1814),COUNTIFS('Conciliacion de compuestos'!$D$2:$D$48,"conciliado",'Conciliacion de compuestos'!$E$2:$E$48,"OK",'Conciliacion de compuestos'!$K$2:$K$48,A1814),COUNTIFS('Conciliacion de compuestos'!$D$2:$D$48,"conciliado",'Conciliacion de compuestos'!$E$2:$E$48,"OK",'Conciliacion de compuestos'!$L$2:$L$48,A1814))&gt;0,"conciliado en compuesto confirmado","disponible")</f>
        <v/>
      </c>
    </row>
    <row r="1815">
      <c r="A1815" s="11" t="n">
        <v>1829</v>
      </c>
      <c r="B1815" s="12" t="n">
        <v>46020</v>
      </c>
      <c r="C1815" s="11" t="inlineStr">
        <is>
          <t>depositos electronicos mastercar retefuente</t>
        </is>
      </c>
      <c r="D1815" s="13" t="n">
        <v>-848</v>
      </c>
      <c r="E1815" s="11">
        <f>IF(SUM(COUNTIFS('Conciliacion de compuestos'!$D$2:$D$48,"conciliado",'Conciliacion de compuestos'!$E$2:$E$48,"OK",'Conciliacion de compuestos'!$J$2:$J$48,A1815),COUNTIFS('Conciliacion de compuestos'!$D$2:$D$48,"conciliado",'Conciliacion de compuestos'!$E$2:$E$48,"OK",'Conciliacion de compuestos'!$K$2:$K$48,A1815),COUNTIFS('Conciliacion de compuestos'!$D$2:$D$48,"conciliado",'Conciliacion de compuestos'!$E$2:$E$48,"OK",'Conciliacion de compuestos'!$L$2:$L$48,A1815))&gt;0,"conciliado en compuesto confirmado","disponible")</f>
        <v/>
      </c>
    </row>
    <row r="1816">
      <c r="A1816" s="11" t="n">
        <v>1830</v>
      </c>
      <c r="B1816" s="12" t="n">
        <v>46020</v>
      </c>
      <c r="C1816" s="11" t="inlineStr">
        <is>
          <t>a financiero gravamen movimiento</t>
        </is>
      </c>
      <c r="D1816" s="13" t="n">
        <v>-3</v>
      </c>
      <c r="E1816" s="11">
        <f>IF(SUM(COUNTIFS('Conciliacion de compuestos'!$D$2:$D$48,"conciliado",'Conciliacion de compuestos'!$E$2:$E$48,"OK",'Conciliacion de compuestos'!$J$2:$J$48,A1816),COUNTIFS('Conciliacion de compuestos'!$D$2:$D$48,"conciliado",'Conciliacion de compuestos'!$E$2:$E$48,"OK",'Conciliacion de compuestos'!$K$2:$K$48,A1816),COUNTIFS('Conciliacion de compuestos'!$D$2:$D$48,"conciliado",'Conciliacion de compuestos'!$E$2:$E$48,"OK",'Conciliacion de compuestos'!$L$2:$L$48,A1816))&gt;0,"conciliado en compuesto confirmado","disponible")</f>
        <v/>
      </c>
    </row>
    <row r="1817">
      <c r="A1817" s="11" t="n">
        <v>1831</v>
      </c>
      <c r="B1817" s="12" t="n">
        <v>46020</v>
      </c>
      <c r="C1817" s="11" t="inlineStr">
        <is>
          <t>depositos electronicos masterca transaccion</t>
        </is>
      </c>
      <c r="D1817" s="13" t="n">
        <v>24400</v>
      </c>
      <c r="E1817" s="11">
        <f>IF(SUM(COUNTIFS('Conciliacion de compuestos'!$D$2:$D$48,"conciliado",'Conciliacion de compuestos'!$E$2:$E$48,"OK",'Conciliacion de compuestos'!$J$2:$J$48,A1817),COUNTIFS('Conciliacion de compuestos'!$D$2:$D$48,"conciliado",'Conciliacion de compuestos'!$E$2:$E$48,"OK",'Conciliacion de compuestos'!$K$2:$K$48,A1817),COUNTIFS('Conciliacion de compuestos'!$D$2:$D$48,"conciliado",'Conciliacion de compuestos'!$E$2:$E$48,"OK",'Conciliacion de compuestos'!$L$2:$L$48,A1817))&gt;0,"conciliado en compuesto confirmado","disponible")</f>
        <v/>
      </c>
    </row>
    <row r="1818">
      <c r="A1818" s="11" t="n">
        <v>1832</v>
      </c>
      <c r="B1818" s="12" t="n">
        <v>46020</v>
      </c>
      <c r="C1818" s="11" t="inlineStr">
        <is>
          <t>comision depositos electronicos mastercard</t>
        </is>
      </c>
      <c r="D1818" s="13" t="n">
        <v>-464</v>
      </c>
      <c r="E1818" s="11">
        <f>IF(SUM(COUNTIFS('Conciliacion de compuestos'!$D$2:$D$48,"conciliado",'Conciliacion de compuestos'!$E$2:$E$48,"OK",'Conciliacion de compuestos'!$J$2:$J$48,A1818),COUNTIFS('Conciliacion de compuestos'!$D$2:$D$48,"conciliado",'Conciliacion de compuestos'!$E$2:$E$48,"OK",'Conciliacion de compuestos'!$K$2:$K$48,A1818),COUNTIFS('Conciliacion de compuestos'!$D$2:$D$48,"conciliado",'Conciliacion de compuestos'!$E$2:$E$48,"OK",'Conciliacion de compuestos'!$L$2:$L$48,A1818))&gt;0,"conciliado en compuesto confirmado","disponible")</f>
        <v/>
      </c>
    </row>
    <row r="1819">
      <c r="A1819" s="11" t="n">
        <v>1833</v>
      </c>
      <c r="B1819" s="12" t="n">
        <v>46020</v>
      </c>
      <c r="C1819" s="11" t="inlineStr">
        <is>
          <t>a financiero gravamen movimiento</t>
        </is>
      </c>
      <c r="D1819" s="13" t="n">
        <v>-2</v>
      </c>
      <c r="E1819" s="11">
        <f>IF(SUM(COUNTIFS('Conciliacion de compuestos'!$D$2:$D$48,"conciliado",'Conciliacion de compuestos'!$E$2:$E$48,"OK",'Conciliacion de compuestos'!$J$2:$J$48,A1819),COUNTIFS('Conciliacion de compuestos'!$D$2:$D$48,"conciliado",'Conciliacion de compuestos'!$E$2:$E$48,"OK",'Conciliacion de compuestos'!$K$2:$K$48,A1819),COUNTIFS('Conciliacion de compuestos'!$D$2:$D$48,"conciliado",'Conciliacion de compuestos'!$E$2:$E$48,"OK",'Conciliacion de compuestos'!$L$2:$L$48,A1819))&gt;0,"conciliado en compuesto confirmado","disponible")</f>
        <v/>
      </c>
    </row>
    <row r="1820">
      <c r="A1820" s="11" t="n">
        <v>1834</v>
      </c>
      <c r="B1820" s="12" t="n">
        <v>46020</v>
      </c>
      <c r="C1820" s="11" t="inlineStr">
        <is>
          <t>depositos electronicos mastercar retefuente</t>
        </is>
      </c>
      <c r="D1820" s="13" t="n">
        <v>-366</v>
      </c>
      <c r="E1820" s="11">
        <f>IF(SUM(COUNTIFS('Conciliacion de compuestos'!$D$2:$D$48,"conciliado",'Conciliacion de compuestos'!$E$2:$E$48,"OK",'Conciliacion de compuestos'!$J$2:$J$48,A1820),COUNTIFS('Conciliacion de compuestos'!$D$2:$D$48,"conciliado",'Conciliacion de compuestos'!$E$2:$E$48,"OK",'Conciliacion de compuestos'!$K$2:$K$48,A1820),COUNTIFS('Conciliacion de compuestos'!$D$2:$D$48,"conciliado",'Conciliacion de compuestos'!$E$2:$E$48,"OK",'Conciliacion de compuestos'!$L$2:$L$48,A1820))&gt;0,"conciliado en compuesto confirmado","disponible")</f>
        <v/>
      </c>
    </row>
    <row r="1821">
      <c r="A1821" s="11" t="n">
        <v>1835</v>
      </c>
      <c r="B1821" s="12" t="n">
        <v>46020</v>
      </c>
      <c r="C1821" s="11" t="inlineStr">
        <is>
          <t>a financiero gravamen movimiento</t>
        </is>
      </c>
      <c r="D1821" s="13" t="n">
        <v>-1</v>
      </c>
      <c r="E1821" s="11">
        <f>IF(SUM(COUNTIFS('Conciliacion de compuestos'!$D$2:$D$48,"conciliado",'Conciliacion de compuestos'!$E$2:$E$48,"OK",'Conciliacion de compuestos'!$J$2:$J$48,A1821),COUNTIFS('Conciliacion de compuestos'!$D$2:$D$48,"conciliado",'Conciliacion de compuestos'!$E$2:$E$48,"OK",'Conciliacion de compuestos'!$K$2:$K$48,A1821),COUNTIFS('Conciliacion de compuestos'!$D$2:$D$48,"conciliado",'Conciliacion de compuestos'!$E$2:$E$48,"OK",'Conciliacion de compuestos'!$L$2:$L$48,A1821))&gt;0,"conciliado en compuesto confirmado","disponible")</f>
        <v/>
      </c>
    </row>
    <row r="1822">
      <c r="A1822" s="11" t="n">
        <v>1836</v>
      </c>
      <c r="B1822" s="12" t="n">
        <v>46020</v>
      </c>
      <c r="C1822" s="11" t="inlineStr">
        <is>
          <t>depositos electronicos masterca transaccion</t>
        </is>
      </c>
      <c r="D1822" s="13" t="n">
        <v>55400</v>
      </c>
      <c r="E1822" s="11">
        <f>IF(SUM(COUNTIFS('Conciliacion de compuestos'!$D$2:$D$48,"conciliado",'Conciliacion de compuestos'!$E$2:$E$48,"OK",'Conciliacion de compuestos'!$J$2:$J$48,A1822),COUNTIFS('Conciliacion de compuestos'!$D$2:$D$48,"conciliado",'Conciliacion de compuestos'!$E$2:$E$48,"OK",'Conciliacion de compuestos'!$K$2:$K$48,A1822),COUNTIFS('Conciliacion de compuestos'!$D$2:$D$48,"conciliado",'Conciliacion de compuestos'!$E$2:$E$48,"OK",'Conciliacion de compuestos'!$L$2:$L$48,A1822))&gt;0,"conciliado en compuesto confirmado","disponible")</f>
        <v/>
      </c>
    </row>
    <row r="1823">
      <c r="A1823" s="11" t="n">
        <v>1837</v>
      </c>
      <c r="B1823" s="12" t="n">
        <v>46020</v>
      </c>
      <c r="C1823" s="11" t="inlineStr">
        <is>
          <t>comision depositos electronicos mastercard</t>
        </is>
      </c>
      <c r="D1823" s="13" t="n">
        <v>-1302</v>
      </c>
      <c r="E1823" s="11">
        <f>IF(SUM(COUNTIFS('Conciliacion de compuestos'!$D$2:$D$48,"conciliado",'Conciliacion de compuestos'!$E$2:$E$48,"OK",'Conciliacion de compuestos'!$J$2:$J$48,A1823),COUNTIFS('Conciliacion de compuestos'!$D$2:$D$48,"conciliado",'Conciliacion de compuestos'!$E$2:$E$48,"OK",'Conciliacion de compuestos'!$K$2:$K$48,A1823),COUNTIFS('Conciliacion de compuestos'!$D$2:$D$48,"conciliado",'Conciliacion de compuestos'!$E$2:$E$48,"OK",'Conciliacion de compuestos'!$L$2:$L$48,A1823))&gt;0,"conciliado en compuesto confirmado","disponible")</f>
        <v/>
      </c>
    </row>
    <row r="1824">
      <c r="A1824" s="11" t="n">
        <v>1838</v>
      </c>
      <c r="B1824" s="12" t="n">
        <v>46020</v>
      </c>
      <c r="C1824" s="11" t="inlineStr">
        <is>
          <t>a financiero gravamen movimiento</t>
        </is>
      </c>
      <c r="D1824" s="13" t="n">
        <v>-5</v>
      </c>
      <c r="E1824" s="11">
        <f>IF(SUM(COUNTIFS('Conciliacion de compuestos'!$D$2:$D$48,"conciliado",'Conciliacion de compuestos'!$E$2:$E$48,"OK",'Conciliacion de compuestos'!$J$2:$J$48,A1824),COUNTIFS('Conciliacion de compuestos'!$D$2:$D$48,"conciliado",'Conciliacion de compuestos'!$E$2:$E$48,"OK",'Conciliacion de compuestos'!$K$2:$K$48,A1824),COUNTIFS('Conciliacion de compuestos'!$D$2:$D$48,"conciliado",'Conciliacion de compuestos'!$E$2:$E$48,"OK",'Conciliacion de compuestos'!$L$2:$L$48,A1824))&gt;0,"conciliado en compuesto confirmado","disponible")</f>
        <v/>
      </c>
    </row>
    <row r="1825">
      <c r="A1825" s="11" t="n">
        <v>1839</v>
      </c>
      <c r="B1825" s="12" t="n">
        <v>46020</v>
      </c>
      <c r="C1825" s="11" t="inlineStr">
        <is>
          <t>depositos electronicos mastercar retefuente</t>
        </is>
      </c>
      <c r="D1825" s="13" t="n">
        <v>-831</v>
      </c>
      <c r="E1825" s="11">
        <f>IF(SUM(COUNTIFS('Conciliacion de compuestos'!$D$2:$D$48,"conciliado",'Conciliacion de compuestos'!$E$2:$E$48,"OK",'Conciliacion de compuestos'!$J$2:$J$48,A1825),COUNTIFS('Conciliacion de compuestos'!$D$2:$D$48,"conciliado",'Conciliacion de compuestos'!$E$2:$E$48,"OK",'Conciliacion de compuestos'!$K$2:$K$48,A1825),COUNTIFS('Conciliacion de compuestos'!$D$2:$D$48,"conciliado",'Conciliacion de compuestos'!$E$2:$E$48,"OK",'Conciliacion de compuestos'!$L$2:$L$48,A1825))&gt;0,"conciliado en compuesto confirmado","disponible")</f>
        <v/>
      </c>
    </row>
    <row r="1826">
      <c r="A1826" s="11" t="n">
        <v>1840</v>
      </c>
      <c r="B1826" s="12" t="n">
        <v>46020</v>
      </c>
      <c r="C1826" s="11" t="inlineStr">
        <is>
          <t>a financiero gravamen movimiento</t>
        </is>
      </c>
      <c r="D1826" s="13" t="n">
        <v>-3</v>
      </c>
      <c r="E1826" s="11">
        <f>IF(SUM(COUNTIFS('Conciliacion de compuestos'!$D$2:$D$48,"conciliado",'Conciliacion de compuestos'!$E$2:$E$48,"OK",'Conciliacion de compuestos'!$J$2:$J$48,A1826),COUNTIFS('Conciliacion de compuestos'!$D$2:$D$48,"conciliado",'Conciliacion de compuestos'!$E$2:$E$48,"OK",'Conciliacion de compuestos'!$K$2:$K$48,A1826),COUNTIFS('Conciliacion de compuestos'!$D$2:$D$48,"conciliado",'Conciliacion de compuestos'!$E$2:$E$48,"OK",'Conciliacion de compuestos'!$L$2:$L$48,A1826))&gt;0,"conciliado en compuesto confirmado","disponible")</f>
        <v/>
      </c>
    </row>
    <row r="1827">
      <c r="A1827" s="11" t="n">
        <v>1841</v>
      </c>
      <c r="B1827" s="12" t="n">
        <v>46020</v>
      </c>
      <c r="C1827" s="11" t="inlineStr">
        <is>
          <t>depositos electronicos masterca transaccion</t>
        </is>
      </c>
      <c r="D1827" s="13" t="n">
        <v>484000</v>
      </c>
      <c r="E1827" s="11">
        <f>IF(SUM(COUNTIFS('Conciliacion de compuestos'!$D$2:$D$48,"conciliado",'Conciliacion de compuestos'!$E$2:$E$48,"OK",'Conciliacion de compuestos'!$J$2:$J$48,A1827),COUNTIFS('Conciliacion de compuestos'!$D$2:$D$48,"conciliado",'Conciliacion de compuestos'!$E$2:$E$48,"OK",'Conciliacion de compuestos'!$K$2:$K$48,A1827),COUNTIFS('Conciliacion de compuestos'!$D$2:$D$48,"conciliado",'Conciliacion de compuestos'!$E$2:$E$48,"OK",'Conciliacion de compuestos'!$L$2:$L$48,A1827))&gt;0,"conciliado en compuesto confirmado","disponible")</f>
        <v/>
      </c>
    </row>
    <row r="1828">
      <c r="A1828" s="11" t="n">
        <v>1842</v>
      </c>
      <c r="B1828" s="12" t="n">
        <v>46020</v>
      </c>
      <c r="C1828" s="11" t="inlineStr">
        <is>
          <t>comision depositos electronicos mastercard</t>
        </is>
      </c>
      <c r="D1828" s="13" t="n">
        <v>-9196</v>
      </c>
      <c r="E1828" s="11">
        <f>IF(SUM(COUNTIFS('Conciliacion de compuestos'!$D$2:$D$48,"conciliado",'Conciliacion de compuestos'!$E$2:$E$48,"OK",'Conciliacion de compuestos'!$J$2:$J$48,A1828),COUNTIFS('Conciliacion de compuestos'!$D$2:$D$48,"conciliado",'Conciliacion de compuestos'!$E$2:$E$48,"OK",'Conciliacion de compuestos'!$K$2:$K$48,A1828),COUNTIFS('Conciliacion de compuestos'!$D$2:$D$48,"conciliado",'Conciliacion de compuestos'!$E$2:$E$48,"OK",'Conciliacion de compuestos'!$L$2:$L$48,A1828))&gt;0,"conciliado en compuesto confirmado","disponible")</f>
        <v/>
      </c>
    </row>
    <row r="1829">
      <c r="A1829" s="11" t="n">
        <v>1843</v>
      </c>
      <c r="B1829" s="12" t="n">
        <v>46020</v>
      </c>
      <c r="C1829" s="11" t="inlineStr">
        <is>
          <t>a financiero gravamen movimiento</t>
        </is>
      </c>
      <c r="D1829" s="13" t="n">
        <v>-37</v>
      </c>
      <c r="E1829" s="11">
        <f>IF(SUM(COUNTIFS('Conciliacion de compuestos'!$D$2:$D$48,"conciliado",'Conciliacion de compuestos'!$E$2:$E$48,"OK",'Conciliacion de compuestos'!$J$2:$J$48,A1829),COUNTIFS('Conciliacion de compuestos'!$D$2:$D$48,"conciliado",'Conciliacion de compuestos'!$E$2:$E$48,"OK",'Conciliacion de compuestos'!$K$2:$K$48,A1829),COUNTIFS('Conciliacion de compuestos'!$D$2:$D$48,"conciliado",'Conciliacion de compuestos'!$E$2:$E$48,"OK",'Conciliacion de compuestos'!$L$2:$L$48,A1829))&gt;0,"conciliado en compuesto confirmado","disponible")</f>
        <v/>
      </c>
    </row>
    <row r="1830">
      <c r="A1830" s="11" t="n">
        <v>1844</v>
      </c>
      <c r="B1830" s="12" t="n">
        <v>46020</v>
      </c>
      <c r="C1830" s="11" t="inlineStr">
        <is>
          <t>depositos electronicos mastercar retefuente</t>
        </is>
      </c>
      <c r="D1830" s="13" t="n">
        <v>-7260</v>
      </c>
      <c r="E1830" s="11">
        <f>IF(SUM(COUNTIFS('Conciliacion de compuestos'!$D$2:$D$48,"conciliado",'Conciliacion de compuestos'!$E$2:$E$48,"OK",'Conciliacion de compuestos'!$J$2:$J$48,A1830),COUNTIFS('Conciliacion de compuestos'!$D$2:$D$48,"conciliado",'Conciliacion de compuestos'!$E$2:$E$48,"OK",'Conciliacion de compuestos'!$K$2:$K$48,A1830),COUNTIFS('Conciliacion de compuestos'!$D$2:$D$48,"conciliado",'Conciliacion de compuestos'!$E$2:$E$48,"OK",'Conciliacion de compuestos'!$L$2:$L$48,A1830))&gt;0,"conciliado en compuesto confirmado","disponible")</f>
        <v/>
      </c>
    </row>
    <row r="1831">
      <c r="A1831" s="11" t="n">
        <v>1845</v>
      </c>
      <c r="B1831" s="12" t="n">
        <v>46020</v>
      </c>
      <c r="C1831" s="11" t="inlineStr">
        <is>
          <t>a financiero gravamen movimiento</t>
        </is>
      </c>
      <c r="D1831" s="13" t="n">
        <v>-29</v>
      </c>
      <c r="E1831" s="11">
        <f>IF(SUM(COUNTIFS('Conciliacion de compuestos'!$D$2:$D$48,"conciliado",'Conciliacion de compuestos'!$E$2:$E$48,"OK",'Conciliacion de compuestos'!$J$2:$J$48,A1831),COUNTIFS('Conciliacion de compuestos'!$D$2:$D$48,"conciliado",'Conciliacion de compuestos'!$E$2:$E$48,"OK",'Conciliacion de compuestos'!$K$2:$K$48,A1831),COUNTIFS('Conciliacion de compuestos'!$D$2:$D$48,"conciliado",'Conciliacion de compuestos'!$E$2:$E$48,"OK",'Conciliacion de compuestos'!$L$2:$L$48,A1831))&gt;0,"conciliado en compuesto confirmado","disponible")</f>
        <v/>
      </c>
    </row>
    <row r="1832">
      <c r="A1832" s="11" t="n">
        <v>1846</v>
      </c>
      <c r="B1832" s="12" t="n">
        <v>46020</v>
      </c>
      <c r="C1832" s="11" t="inlineStr">
        <is>
          <t>depositos electronicos masterca transaccion</t>
        </is>
      </c>
      <c r="D1832" s="13" t="n">
        <v>25900</v>
      </c>
      <c r="E1832" s="11">
        <f>IF(SUM(COUNTIFS('Conciliacion de compuestos'!$D$2:$D$48,"conciliado",'Conciliacion de compuestos'!$E$2:$E$48,"OK",'Conciliacion de compuestos'!$J$2:$J$48,A1832),COUNTIFS('Conciliacion de compuestos'!$D$2:$D$48,"conciliado",'Conciliacion de compuestos'!$E$2:$E$48,"OK",'Conciliacion de compuestos'!$K$2:$K$48,A1832),COUNTIFS('Conciliacion de compuestos'!$D$2:$D$48,"conciliado",'Conciliacion de compuestos'!$E$2:$E$48,"OK",'Conciliacion de compuestos'!$L$2:$L$48,A1832))&gt;0,"conciliado en compuesto confirmado","disponible")</f>
        <v/>
      </c>
    </row>
    <row r="1833">
      <c r="A1833" s="11" t="n">
        <v>1847</v>
      </c>
      <c r="B1833" s="12" t="n">
        <v>46020</v>
      </c>
      <c r="C1833" s="11" t="inlineStr">
        <is>
          <t>comision depositos electronicos mastercard</t>
        </is>
      </c>
      <c r="D1833" s="13" t="n">
        <v>-492</v>
      </c>
      <c r="E1833" s="11">
        <f>IF(SUM(COUNTIFS('Conciliacion de compuestos'!$D$2:$D$48,"conciliado",'Conciliacion de compuestos'!$E$2:$E$48,"OK",'Conciliacion de compuestos'!$J$2:$J$48,A1833),COUNTIFS('Conciliacion de compuestos'!$D$2:$D$48,"conciliado",'Conciliacion de compuestos'!$E$2:$E$48,"OK",'Conciliacion de compuestos'!$K$2:$K$48,A1833),COUNTIFS('Conciliacion de compuestos'!$D$2:$D$48,"conciliado",'Conciliacion de compuestos'!$E$2:$E$48,"OK",'Conciliacion de compuestos'!$L$2:$L$48,A1833))&gt;0,"conciliado en compuesto confirmado","disponible")</f>
        <v/>
      </c>
    </row>
    <row r="1834">
      <c r="A1834" s="11" t="n">
        <v>1848</v>
      </c>
      <c r="B1834" s="12" t="n">
        <v>46020</v>
      </c>
      <c r="C1834" s="11" t="inlineStr">
        <is>
          <t>a financiero gravamen movimiento</t>
        </is>
      </c>
      <c r="D1834" s="13" t="n">
        <v>-2</v>
      </c>
      <c r="E1834" s="11">
        <f>IF(SUM(COUNTIFS('Conciliacion de compuestos'!$D$2:$D$48,"conciliado",'Conciliacion de compuestos'!$E$2:$E$48,"OK",'Conciliacion de compuestos'!$J$2:$J$48,A1834),COUNTIFS('Conciliacion de compuestos'!$D$2:$D$48,"conciliado",'Conciliacion de compuestos'!$E$2:$E$48,"OK",'Conciliacion de compuestos'!$K$2:$K$48,A1834),COUNTIFS('Conciliacion de compuestos'!$D$2:$D$48,"conciliado",'Conciliacion de compuestos'!$E$2:$E$48,"OK",'Conciliacion de compuestos'!$L$2:$L$48,A1834))&gt;0,"conciliado en compuesto confirmado","disponible")</f>
        <v/>
      </c>
    </row>
    <row r="1835">
      <c r="A1835" s="11" t="n">
        <v>1849</v>
      </c>
      <c r="B1835" s="12" t="n">
        <v>46020</v>
      </c>
      <c r="C1835" s="11" t="inlineStr">
        <is>
          <t>depositos electronicos mastercar retefuente</t>
        </is>
      </c>
      <c r="D1835" s="13" t="n">
        <v>-389</v>
      </c>
      <c r="E1835" s="11">
        <f>IF(SUM(COUNTIFS('Conciliacion de compuestos'!$D$2:$D$48,"conciliado",'Conciliacion de compuestos'!$E$2:$E$48,"OK",'Conciliacion de compuestos'!$J$2:$J$48,A1835),COUNTIFS('Conciliacion de compuestos'!$D$2:$D$48,"conciliado",'Conciliacion de compuestos'!$E$2:$E$48,"OK",'Conciliacion de compuestos'!$K$2:$K$48,A1835),COUNTIFS('Conciliacion de compuestos'!$D$2:$D$48,"conciliado",'Conciliacion de compuestos'!$E$2:$E$48,"OK",'Conciliacion de compuestos'!$L$2:$L$48,A1835))&gt;0,"conciliado en compuesto confirmado","disponible")</f>
        <v/>
      </c>
    </row>
    <row r="1836">
      <c r="A1836" s="11" t="n">
        <v>1850</v>
      </c>
      <c r="B1836" s="12" t="n">
        <v>46020</v>
      </c>
      <c r="C1836" s="11" t="inlineStr">
        <is>
          <t>a financiero gravamen movimiento</t>
        </is>
      </c>
      <c r="D1836" s="13" t="n">
        <v>-2</v>
      </c>
      <c r="E1836" s="11">
        <f>IF(SUM(COUNTIFS('Conciliacion de compuestos'!$D$2:$D$48,"conciliado",'Conciliacion de compuestos'!$E$2:$E$48,"OK",'Conciliacion de compuestos'!$J$2:$J$48,A1836),COUNTIFS('Conciliacion de compuestos'!$D$2:$D$48,"conciliado",'Conciliacion de compuestos'!$E$2:$E$48,"OK",'Conciliacion de compuestos'!$K$2:$K$48,A1836),COUNTIFS('Conciliacion de compuestos'!$D$2:$D$48,"conciliado",'Conciliacion de compuestos'!$E$2:$E$48,"OK",'Conciliacion de compuestos'!$L$2:$L$48,A1836))&gt;0,"conciliado en compuesto confirmado","disponible")</f>
        <v/>
      </c>
    </row>
    <row r="1837">
      <c r="A1837" s="11" t="n">
        <v>1851</v>
      </c>
      <c r="B1837" s="12" t="n">
        <v>46020</v>
      </c>
      <c r="C1837" s="11" t="inlineStr">
        <is>
          <t>depositos electronicos masterca transaccion</t>
        </is>
      </c>
      <c r="D1837" s="13" t="n">
        <v>39200</v>
      </c>
      <c r="E1837" s="11">
        <f>IF(SUM(COUNTIFS('Conciliacion de compuestos'!$D$2:$D$48,"conciliado",'Conciliacion de compuestos'!$E$2:$E$48,"OK",'Conciliacion de compuestos'!$J$2:$J$48,A1837),COUNTIFS('Conciliacion de compuestos'!$D$2:$D$48,"conciliado",'Conciliacion de compuestos'!$E$2:$E$48,"OK",'Conciliacion de compuestos'!$K$2:$K$48,A1837),COUNTIFS('Conciliacion de compuestos'!$D$2:$D$48,"conciliado",'Conciliacion de compuestos'!$E$2:$E$48,"OK",'Conciliacion de compuestos'!$L$2:$L$48,A1837))&gt;0,"conciliado en compuesto confirmado","disponible")</f>
        <v/>
      </c>
    </row>
    <row r="1838">
      <c r="A1838" s="11" t="n">
        <v>1852</v>
      </c>
      <c r="B1838" s="12" t="n">
        <v>46020</v>
      </c>
      <c r="C1838" s="11" t="inlineStr">
        <is>
          <t>comision depositos electronicos mastercard</t>
        </is>
      </c>
      <c r="D1838" s="13" t="n">
        <v>-745</v>
      </c>
      <c r="E1838" s="11">
        <f>IF(SUM(COUNTIFS('Conciliacion de compuestos'!$D$2:$D$48,"conciliado",'Conciliacion de compuestos'!$E$2:$E$48,"OK",'Conciliacion de compuestos'!$J$2:$J$48,A1838),COUNTIFS('Conciliacion de compuestos'!$D$2:$D$48,"conciliado",'Conciliacion de compuestos'!$E$2:$E$48,"OK",'Conciliacion de compuestos'!$K$2:$K$48,A1838),COUNTIFS('Conciliacion de compuestos'!$D$2:$D$48,"conciliado",'Conciliacion de compuestos'!$E$2:$E$48,"OK",'Conciliacion de compuestos'!$L$2:$L$48,A1838))&gt;0,"conciliado en compuesto confirmado","disponible")</f>
        <v/>
      </c>
    </row>
    <row r="1839">
      <c r="A1839" s="11" t="n">
        <v>1853</v>
      </c>
      <c r="B1839" s="12" t="n">
        <v>46020</v>
      </c>
      <c r="C1839" s="11" t="inlineStr">
        <is>
          <t>a financiero gravamen movimiento</t>
        </is>
      </c>
      <c r="D1839" s="13" t="n">
        <v>-3</v>
      </c>
      <c r="E1839" s="11">
        <f>IF(SUM(COUNTIFS('Conciliacion de compuestos'!$D$2:$D$48,"conciliado",'Conciliacion de compuestos'!$E$2:$E$48,"OK",'Conciliacion de compuestos'!$J$2:$J$48,A1839),COUNTIFS('Conciliacion de compuestos'!$D$2:$D$48,"conciliado",'Conciliacion de compuestos'!$E$2:$E$48,"OK",'Conciliacion de compuestos'!$K$2:$K$48,A1839),COUNTIFS('Conciliacion de compuestos'!$D$2:$D$48,"conciliado",'Conciliacion de compuestos'!$E$2:$E$48,"OK",'Conciliacion de compuestos'!$L$2:$L$48,A1839))&gt;0,"conciliado en compuesto confirmado","disponible")</f>
        <v/>
      </c>
    </row>
    <row r="1840">
      <c r="A1840" s="11" t="n">
        <v>1854</v>
      </c>
      <c r="B1840" s="12" t="n">
        <v>46020</v>
      </c>
      <c r="C1840" s="11" t="inlineStr">
        <is>
          <t>depositos electronicos mastercar retefuente</t>
        </is>
      </c>
      <c r="D1840" s="13" t="n">
        <v>-588</v>
      </c>
      <c r="E1840" s="11">
        <f>IF(SUM(COUNTIFS('Conciliacion de compuestos'!$D$2:$D$48,"conciliado",'Conciliacion de compuestos'!$E$2:$E$48,"OK",'Conciliacion de compuestos'!$J$2:$J$48,A1840),COUNTIFS('Conciliacion de compuestos'!$D$2:$D$48,"conciliado",'Conciliacion de compuestos'!$E$2:$E$48,"OK",'Conciliacion de compuestos'!$K$2:$K$48,A1840),COUNTIFS('Conciliacion de compuestos'!$D$2:$D$48,"conciliado",'Conciliacion de compuestos'!$E$2:$E$48,"OK",'Conciliacion de compuestos'!$L$2:$L$48,A1840))&gt;0,"conciliado en compuesto confirmado","disponible")</f>
        <v/>
      </c>
    </row>
    <row r="1841">
      <c r="A1841" s="11" t="n">
        <v>1855</v>
      </c>
      <c r="B1841" s="12" t="n">
        <v>46020</v>
      </c>
      <c r="C1841" s="11" t="inlineStr">
        <is>
          <t>a financiero gravamen movimiento</t>
        </is>
      </c>
      <c r="D1841" s="13" t="n">
        <v>-2</v>
      </c>
      <c r="E1841" s="11">
        <f>IF(SUM(COUNTIFS('Conciliacion de compuestos'!$D$2:$D$48,"conciliado",'Conciliacion de compuestos'!$E$2:$E$48,"OK",'Conciliacion de compuestos'!$J$2:$J$48,A1841),COUNTIFS('Conciliacion de compuestos'!$D$2:$D$48,"conciliado",'Conciliacion de compuestos'!$E$2:$E$48,"OK",'Conciliacion de compuestos'!$K$2:$K$48,A1841),COUNTIFS('Conciliacion de compuestos'!$D$2:$D$48,"conciliado",'Conciliacion de compuestos'!$E$2:$E$48,"OK",'Conciliacion de compuestos'!$L$2:$L$48,A1841))&gt;0,"conciliado en compuesto confirmado","disponible")</f>
        <v/>
      </c>
    </row>
    <row r="1842">
      <c r="A1842" s="11" t="n">
        <v>1856</v>
      </c>
      <c r="B1842" s="12" t="n">
        <v>46020</v>
      </c>
      <c r="C1842" s="11" t="inlineStr">
        <is>
          <t>depositos electronicos masterca transaccion</t>
        </is>
      </c>
      <c r="D1842" s="13" t="n">
        <v>108000</v>
      </c>
      <c r="E1842" s="11">
        <f>IF(SUM(COUNTIFS('Conciliacion de compuestos'!$D$2:$D$48,"conciliado",'Conciliacion de compuestos'!$E$2:$E$48,"OK",'Conciliacion de compuestos'!$J$2:$J$48,A1842),COUNTIFS('Conciliacion de compuestos'!$D$2:$D$48,"conciliado",'Conciliacion de compuestos'!$E$2:$E$48,"OK",'Conciliacion de compuestos'!$K$2:$K$48,A1842),COUNTIFS('Conciliacion de compuestos'!$D$2:$D$48,"conciliado",'Conciliacion de compuestos'!$E$2:$E$48,"OK",'Conciliacion de compuestos'!$L$2:$L$48,A1842))&gt;0,"conciliado en compuesto confirmado","disponible")</f>
        <v/>
      </c>
    </row>
    <row r="1843">
      <c r="A1843" s="11" t="n">
        <v>1857</v>
      </c>
      <c r="B1843" s="12" t="n">
        <v>46020</v>
      </c>
      <c r="C1843" s="11" t="inlineStr">
        <is>
          <t>comision depositos electronicos mastercard</t>
        </is>
      </c>
      <c r="D1843" s="13" t="n">
        <v>-2052</v>
      </c>
      <c r="E1843" s="11">
        <f>IF(SUM(COUNTIFS('Conciliacion de compuestos'!$D$2:$D$48,"conciliado",'Conciliacion de compuestos'!$E$2:$E$48,"OK",'Conciliacion de compuestos'!$J$2:$J$48,A1843),COUNTIFS('Conciliacion de compuestos'!$D$2:$D$48,"conciliado",'Conciliacion de compuestos'!$E$2:$E$48,"OK",'Conciliacion de compuestos'!$K$2:$K$48,A1843),COUNTIFS('Conciliacion de compuestos'!$D$2:$D$48,"conciliado",'Conciliacion de compuestos'!$E$2:$E$48,"OK",'Conciliacion de compuestos'!$L$2:$L$48,A1843))&gt;0,"conciliado en compuesto confirmado","disponible")</f>
        <v/>
      </c>
    </row>
    <row r="1844">
      <c r="A1844" s="11" t="n">
        <v>1858</v>
      </c>
      <c r="B1844" s="12" t="n">
        <v>46020</v>
      </c>
      <c r="C1844" s="11" t="inlineStr">
        <is>
          <t>a financiero gravamen movimiento</t>
        </is>
      </c>
      <c r="D1844" s="13" t="n">
        <v>-8</v>
      </c>
      <c r="E1844" s="11">
        <f>IF(SUM(COUNTIFS('Conciliacion de compuestos'!$D$2:$D$48,"conciliado",'Conciliacion de compuestos'!$E$2:$E$48,"OK",'Conciliacion de compuestos'!$J$2:$J$48,A1844),COUNTIFS('Conciliacion de compuestos'!$D$2:$D$48,"conciliado",'Conciliacion de compuestos'!$E$2:$E$48,"OK",'Conciliacion de compuestos'!$K$2:$K$48,A1844),COUNTIFS('Conciliacion de compuestos'!$D$2:$D$48,"conciliado",'Conciliacion de compuestos'!$E$2:$E$48,"OK",'Conciliacion de compuestos'!$L$2:$L$48,A1844))&gt;0,"conciliado en compuesto confirmado","disponible")</f>
        <v/>
      </c>
    </row>
    <row r="1845">
      <c r="A1845" s="11" t="n">
        <v>1859</v>
      </c>
      <c r="B1845" s="12" t="n">
        <v>46020</v>
      </c>
      <c r="C1845" s="11" t="inlineStr">
        <is>
          <t>depositos electronicos mastercar retefuente</t>
        </is>
      </c>
      <c r="D1845" s="13" t="n">
        <v>-1620</v>
      </c>
      <c r="E1845" s="11">
        <f>IF(SUM(COUNTIFS('Conciliacion de compuestos'!$D$2:$D$48,"conciliado",'Conciliacion de compuestos'!$E$2:$E$48,"OK",'Conciliacion de compuestos'!$J$2:$J$48,A1845),COUNTIFS('Conciliacion de compuestos'!$D$2:$D$48,"conciliado",'Conciliacion de compuestos'!$E$2:$E$48,"OK",'Conciliacion de compuestos'!$K$2:$K$48,A1845),COUNTIFS('Conciliacion de compuestos'!$D$2:$D$48,"conciliado",'Conciliacion de compuestos'!$E$2:$E$48,"OK",'Conciliacion de compuestos'!$L$2:$L$48,A1845))&gt;0,"conciliado en compuesto confirmado","disponible")</f>
        <v/>
      </c>
    </row>
    <row r="1846">
      <c r="A1846" s="11" t="n">
        <v>1860</v>
      </c>
      <c r="B1846" s="12" t="n">
        <v>46020</v>
      </c>
      <c r="C1846" s="11" t="inlineStr">
        <is>
          <t>a financiero gravamen movimiento</t>
        </is>
      </c>
      <c r="D1846" s="13" t="n">
        <v>-6</v>
      </c>
      <c r="E1846" s="11">
        <f>IF(SUM(COUNTIFS('Conciliacion de compuestos'!$D$2:$D$48,"conciliado",'Conciliacion de compuestos'!$E$2:$E$48,"OK",'Conciliacion de compuestos'!$J$2:$J$48,A1846),COUNTIFS('Conciliacion de compuestos'!$D$2:$D$48,"conciliado",'Conciliacion de compuestos'!$E$2:$E$48,"OK",'Conciliacion de compuestos'!$K$2:$K$48,A1846),COUNTIFS('Conciliacion de compuestos'!$D$2:$D$48,"conciliado",'Conciliacion de compuestos'!$E$2:$E$48,"OK",'Conciliacion de compuestos'!$L$2:$L$48,A1846))&gt;0,"conciliado en compuesto confirmado","disponible")</f>
        <v/>
      </c>
    </row>
    <row r="1847">
      <c r="A1847" s="11" t="n">
        <v>1861</v>
      </c>
      <c r="B1847" s="12" t="n">
        <v>46020</v>
      </c>
      <c r="C1847" s="11" t="inlineStr">
        <is>
          <t>depositos electronicos masterca transaccion</t>
        </is>
      </c>
      <c r="D1847" s="13" t="n">
        <v>28200</v>
      </c>
      <c r="E1847" s="11">
        <f>IF(SUM(COUNTIFS('Conciliacion de compuestos'!$D$2:$D$48,"conciliado",'Conciliacion de compuestos'!$E$2:$E$48,"OK",'Conciliacion de compuestos'!$J$2:$J$48,A1847),COUNTIFS('Conciliacion de compuestos'!$D$2:$D$48,"conciliado",'Conciliacion de compuestos'!$E$2:$E$48,"OK",'Conciliacion de compuestos'!$K$2:$K$48,A1847),COUNTIFS('Conciliacion de compuestos'!$D$2:$D$48,"conciliado",'Conciliacion de compuestos'!$E$2:$E$48,"OK",'Conciliacion de compuestos'!$L$2:$L$48,A1847))&gt;0,"conciliado en compuesto confirmado","disponible")</f>
        <v/>
      </c>
    </row>
    <row r="1848">
      <c r="A1848" s="11" t="n">
        <v>1862</v>
      </c>
      <c r="B1848" s="12" t="n">
        <v>46020</v>
      </c>
      <c r="C1848" s="11" t="inlineStr">
        <is>
          <t>comision depositos electronicos mastercard</t>
        </is>
      </c>
      <c r="D1848" s="13" t="n">
        <v>-536</v>
      </c>
      <c r="E1848" s="11">
        <f>IF(SUM(COUNTIFS('Conciliacion de compuestos'!$D$2:$D$48,"conciliado",'Conciliacion de compuestos'!$E$2:$E$48,"OK",'Conciliacion de compuestos'!$J$2:$J$48,A1848),COUNTIFS('Conciliacion de compuestos'!$D$2:$D$48,"conciliado",'Conciliacion de compuestos'!$E$2:$E$48,"OK",'Conciliacion de compuestos'!$K$2:$K$48,A1848),COUNTIFS('Conciliacion de compuestos'!$D$2:$D$48,"conciliado",'Conciliacion de compuestos'!$E$2:$E$48,"OK",'Conciliacion de compuestos'!$L$2:$L$48,A1848))&gt;0,"conciliado en compuesto confirmado","disponible")</f>
        <v/>
      </c>
    </row>
    <row r="1849">
      <c r="A1849" s="11" t="n">
        <v>1863</v>
      </c>
      <c r="B1849" s="12" t="n">
        <v>46020</v>
      </c>
      <c r="C1849" s="11" t="inlineStr">
        <is>
          <t>a financiero gravamen movimiento</t>
        </is>
      </c>
      <c r="D1849" s="13" t="n">
        <v>-2</v>
      </c>
      <c r="E1849" s="11">
        <f>IF(SUM(COUNTIFS('Conciliacion de compuestos'!$D$2:$D$48,"conciliado",'Conciliacion de compuestos'!$E$2:$E$48,"OK",'Conciliacion de compuestos'!$J$2:$J$48,A1849),COUNTIFS('Conciliacion de compuestos'!$D$2:$D$48,"conciliado",'Conciliacion de compuestos'!$E$2:$E$48,"OK",'Conciliacion de compuestos'!$K$2:$K$48,A1849),COUNTIFS('Conciliacion de compuestos'!$D$2:$D$48,"conciliado",'Conciliacion de compuestos'!$E$2:$E$48,"OK",'Conciliacion de compuestos'!$L$2:$L$48,A1849))&gt;0,"conciliado en compuesto confirmado","disponible")</f>
        <v/>
      </c>
    </row>
    <row r="1850">
      <c r="A1850" s="11" t="n">
        <v>1864</v>
      </c>
      <c r="B1850" s="12" t="n">
        <v>46020</v>
      </c>
      <c r="C1850" s="11" t="inlineStr">
        <is>
          <t>depositos electronicos mastercar retefuente</t>
        </is>
      </c>
      <c r="D1850" s="13" t="n">
        <v>-423</v>
      </c>
      <c r="E1850" s="11">
        <f>IF(SUM(COUNTIFS('Conciliacion de compuestos'!$D$2:$D$48,"conciliado",'Conciliacion de compuestos'!$E$2:$E$48,"OK",'Conciliacion de compuestos'!$J$2:$J$48,A1850),COUNTIFS('Conciliacion de compuestos'!$D$2:$D$48,"conciliado",'Conciliacion de compuestos'!$E$2:$E$48,"OK",'Conciliacion de compuestos'!$K$2:$K$48,A1850),COUNTIFS('Conciliacion de compuestos'!$D$2:$D$48,"conciliado",'Conciliacion de compuestos'!$E$2:$E$48,"OK",'Conciliacion de compuestos'!$L$2:$L$48,A1850))&gt;0,"conciliado en compuesto confirmado","disponible")</f>
        <v/>
      </c>
    </row>
    <row r="1851">
      <c r="A1851" s="11" t="n">
        <v>1865</v>
      </c>
      <c r="B1851" s="12" t="n">
        <v>46020</v>
      </c>
      <c r="C1851" s="11" t="inlineStr">
        <is>
          <t>a financiero gravamen movimiento</t>
        </is>
      </c>
      <c r="D1851" s="13" t="n">
        <v>-2</v>
      </c>
      <c r="E1851" s="11">
        <f>IF(SUM(COUNTIFS('Conciliacion de compuestos'!$D$2:$D$48,"conciliado",'Conciliacion de compuestos'!$E$2:$E$48,"OK",'Conciliacion de compuestos'!$J$2:$J$48,A1851),COUNTIFS('Conciliacion de compuestos'!$D$2:$D$48,"conciliado",'Conciliacion de compuestos'!$E$2:$E$48,"OK",'Conciliacion de compuestos'!$K$2:$K$48,A1851),COUNTIFS('Conciliacion de compuestos'!$D$2:$D$48,"conciliado",'Conciliacion de compuestos'!$E$2:$E$48,"OK",'Conciliacion de compuestos'!$L$2:$L$48,A1851))&gt;0,"conciliado en compuesto confirmado","disponible")</f>
        <v/>
      </c>
    </row>
    <row r="1852">
      <c r="A1852" s="11" t="n">
        <v>1866</v>
      </c>
      <c r="B1852" s="12" t="n">
        <v>46020</v>
      </c>
      <c r="C1852" s="11" t="inlineStr">
        <is>
          <t>depositos electronicos masterca transaccion</t>
        </is>
      </c>
      <c r="D1852" s="13" t="n">
        <v>150000</v>
      </c>
      <c r="E1852" s="11">
        <f>IF(SUM(COUNTIFS('Conciliacion de compuestos'!$D$2:$D$48,"conciliado",'Conciliacion de compuestos'!$E$2:$E$48,"OK",'Conciliacion de compuestos'!$J$2:$J$48,A1852),COUNTIFS('Conciliacion de compuestos'!$D$2:$D$48,"conciliado",'Conciliacion de compuestos'!$E$2:$E$48,"OK",'Conciliacion de compuestos'!$K$2:$K$48,A1852),COUNTIFS('Conciliacion de compuestos'!$D$2:$D$48,"conciliado",'Conciliacion de compuestos'!$E$2:$E$48,"OK",'Conciliacion de compuestos'!$L$2:$L$48,A1852))&gt;0,"conciliado en compuesto confirmado","disponible")</f>
        <v/>
      </c>
    </row>
    <row r="1853">
      <c r="A1853" s="11" t="n">
        <v>1867</v>
      </c>
      <c r="B1853" s="12" t="n">
        <v>46020</v>
      </c>
      <c r="C1853" s="11" t="inlineStr">
        <is>
          <t>comision depositos electronicos mastercard</t>
        </is>
      </c>
      <c r="D1853" s="13" t="n">
        <v>-2850</v>
      </c>
      <c r="E1853" s="11">
        <f>IF(SUM(COUNTIFS('Conciliacion de compuestos'!$D$2:$D$48,"conciliado",'Conciliacion de compuestos'!$E$2:$E$48,"OK",'Conciliacion de compuestos'!$J$2:$J$48,A1853),COUNTIFS('Conciliacion de compuestos'!$D$2:$D$48,"conciliado",'Conciliacion de compuestos'!$E$2:$E$48,"OK",'Conciliacion de compuestos'!$K$2:$K$48,A1853),COUNTIFS('Conciliacion de compuestos'!$D$2:$D$48,"conciliado",'Conciliacion de compuestos'!$E$2:$E$48,"OK",'Conciliacion de compuestos'!$L$2:$L$48,A1853))&gt;0,"conciliado en compuesto confirmado","disponible")</f>
        <v/>
      </c>
    </row>
    <row r="1854">
      <c r="A1854" s="11" t="n">
        <v>1868</v>
      </c>
      <c r="B1854" s="12" t="n">
        <v>46020</v>
      </c>
      <c r="C1854" s="11" t="inlineStr">
        <is>
          <t>a financiero gravamen movimiento</t>
        </is>
      </c>
      <c r="D1854" s="13" t="n">
        <v>-11</v>
      </c>
      <c r="E1854" s="11">
        <f>IF(SUM(COUNTIFS('Conciliacion de compuestos'!$D$2:$D$48,"conciliado",'Conciliacion de compuestos'!$E$2:$E$48,"OK",'Conciliacion de compuestos'!$J$2:$J$48,A1854),COUNTIFS('Conciliacion de compuestos'!$D$2:$D$48,"conciliado",'Conciliacion de compuestos'!$E$2:$E$48,"OK",'Conciliacion de compuestos'!$K$2:$K$48,A1854),COUNTIFS('Conciliacion de compuestos'!$D$2:$D$48,"conciliado",'Conciliacion de compuestos'!$E$2:$E$48,"OK",'Conciliacion de compuestos'!$L$2:$L$48,A1854))&gt;0,"conciliado en compuesto confirmado","disponible")</f>
        <v/>
      </c>
    </row>
    <row r="1855">
      <c r="A1855" s="11" t="n">
        <v>1869</v>
      </c>
      <c r="B1855" s="12" t="n">
        <v>46020</v>
      </c>
      <c r="C1855" s="11" t="inlineStr">
        <is>
          <t>depositos electronicos mastercar retefuente</t>
        </is>
      </c>
      <c r="D1855" s="13" t="n">
        <v>-2250</v>
      </c>
      <c r="E1855" s="11">
        <f>IF(SUM(COUNTIFS('Conciliacion de compuestos'!$D$2:$D$48,"conciliado",'Conciliacion de compuestos'!$E$2:$E$48,"OK",'Conciliacion de compuestos'!$J$2:$J$48,A1855),COUNTIFS('Conciliacion de compuestos'!$D$2:$D$48,"conciliado",'Conciliacion de compuestos'!$E$2:$E$48,"OK",'Conciliacion de compuestos'!$K$2:$K$48,A1855),COUNTIFS('Conciliacion de compuestos'!$D$2:$D$48,"conciliado",'Conciliacion de compuestos'!$E$2:$E$48,"OK",'Conciliacion de compuestos'!$L$2:$L$48,A1855))&gt;0,"conciliado en compuesto confirmado","disponible")</f>
        <v/>
      </c>
    </row>
    <row r="1856">
      <c r="A1856" s="11" t="n">
        <v>1870</v>
      </c>
      <c r="B1856" s="12" t="n">
        <v>46020</v>
      </c>
      <c r="C1856" s="11" t="inlineStr">
        <is>
          <t>a financiero gravamen movimiento</t>
        </is>
      </c>
      <c r="D1856" s="13" t="n">
        <v>-9</v>
      </c>
      <c r="E1856" s="11">
        <f>IF(SUM(COUNTIFS('Conciliacion de compuestos'!$D$2:$D$48,"conciliado",'Conciliacion de compuestos'!$E$2:$E$48,"OK",'Conciliacion de compuestos'!$J$2:$J$48,A1856),COUNTIFS('Conciliacion de compuestos'!$D$2:$D$48,"conciliado",'Conciliacion de compuestos'!$E$2:$E$48,"OK",'Conciliacion de compuestos'!$K$2:$K$48,A1856),COUNTIFS('Conciliacion de compuestos'!$D$2:$D$48,"conciliado",'Conciliacion de compuestos'!$E$2:$E$48,"OK",'Conciliacion de compuestos'!$L$2:$L$48,A1856))&gt;0,"conciliado en compuesto confirmado","disponible")</f>
        <v/>
      </c>
    </row>
    <row r="1857">
      <c r="A1857" s="11" t="n">
        <v>1871</v>
      </c>
      <c r="B1857" s="12" t="n">
        <v>46021</v>
      </c>
      <c r="C1857" s="11" t="inlineStr">
        <is>
          <t>consignacion credibanco d e</t>
        </is>
      </c>
      <c r="D1857" s="13" t="n">
        <v>136600</v>
      </c>
      <c r="E1857" s="11">
        <f>IF(SUM(COUNTIFS('Conciliacion de compuestos'!$D$2:$D$48,"conciliado",'Conciliacion de compuestos'!$E$2:$E$48,"OK",'Conciliacion de compuestos'!$J$2:$J$48,A1857),COUNTIFS('Conciliacion de compuestos'!$D$2:$D$48,"conciliado",'Conciliacion de compuestos'!$E$2:$E$48,"OK",'Conciliacion de compuestos'!$K$2:$K$48,A1857),COUNTIFS('Conciliacion de compuestos'!$D$2:$D$48,"conciliado",'Conciliacion de compuestos'!$E$2:$E$48,"OK",'Conciliacion de compuestos'!$L$2:$L$48,A1857))&gt;0,"conciliado en compuesto confirmado","disponible")</f>
        <v/>
      </c>
    </row>
    <row r="1858">
      <c r="A1858" s="11" t="n">
        <v>1872</v>
      </c>
      <c r="B1858" s="12" t="n">
        <v>46021</v>
      </c>
      <c r="C1858" s="11" t="inlineStr">
        <is>
          <t>cobro comision depositos electronicos</t>
        </is>
      </c>
      <c r="D1858" s="13" t="n">
        <v>-2951</v>
      </c>
      <c r="E1858" s="11">
        <f>IF(SUM(COUNTIFS('Conciliacion de compuestos'!$D$2:$D$48,"conciliado",'Conciliacion de compuestos'!$E$2:$E$48,"OK",'Conciliacion de compuestos'!$J$2:$J$48,A1858),COUNTIFS('Conciliacion de compuestos'!$D$2:$D$48,"conciliado",'Conciliacion de compuestos'!$E$2:$E$48,"OK",'Conciliacion de compuestos'!$K$2:$K$48,A1858),COUNTIFS('Conciliacion de compuestos'!$D$2:$D$48,"conciliado",'Conciliacion de compuestos'!$E$2:$E$48,"OK",'Conciliacion de compuestos'!$L$2:$L$48,A1858))&gt;0,"conciliado en compuesto confirmado","disponible")</f>
        <v/>
      </c>
    </row>
    <row r="1859">
      <c r="A1859" s="11" t="n">
        <v>1873</v>
      </c>
      <c r="B1859" s="12" t="n">
        <v>46021</v>
      </c>
      <c r="C1859" s="11" t="inlineStr">
        <is>
          <t>a financiero gravamen movimiento</t>
        </is>
      </c>
      <c r="D1859" s="13" t="n">
        <v>-12</v>
      </c>
      <c r="E1859" s="11">
        <f>IF(SUM(COUNTIFS('Conciliacion de compuestos'!$D$2:$D$48,"conciliado",'Conciliacion de compuestos'!$E$2:$E$48,"OK",'Conciliacion de compuestos'!$J$2:$J$48,A1859),COUNTIFS('Conciliacion de compuestos'!$D$2:$D$48,"conciliado",'Conciliacion de compuestos'!$E$2:$E$48,"OK",'Conciliacion de compuestos'!$K$2:$K$48,A1859),COUNTIFS('Conciliacion de compuestos'!$D$2:$D$48,"conciliado",'Conciliacion de compuestos'!$E$2:$E$48,"OK",'Conciliacion de compuestos'!$L$2:$L$48,A1859))&gt;0,"conciliado en compuesto confirmado","disponible")</f>
        <v/>
      </c>
    </row>
    <row r="1860">
      <c r="A1860" s="11" t="n">
        <v>1874</v>
      </c>
      <c r="B1860" s="12" t="n">
        <v>46021</v>
      </c>
      <c r="C1860" s="11" t="inlineStr">
        <is>
          <t>credibanco d e retefuente voucher y</t>
        </is>
      </c>
      <c r="D1860" s="13" t="n">
        <v>-2049</v>
      </c>
      <c r="E1860" s="11">
        <f>IF(SUM(COUNTIFS('Conciliacion de compuestos'!$D$2:$D$48,"conciliado",'Conciliacion de compuestos'!$E$2:$E$48,"OK",'Conciliacion de compuestos'!$J$2:$J$48,A1860),COUNTIFS('Conciliacion de compuestos'!$D$2:$D$48,"conciliado",'Conciliacion de compuestos'!$E$2:$E$48,"OK",'Conciliacion de compuestos'!$K$2:$K$48,A1860),COUNTIFS('Conciliacion de compuestos'!$D$2:$D$48,"conciliado",'Conciliacion de compuestos'!$E$2:$E$48,"OK",'Conciliacion de compuestos'!$L$2:$L$48,A1860))&gt;0,"conciliado en compuesto confirmado","disponible")</f>
        <v/>
      </c>
    </row>
    <row r="1861">
      <c r="A1861" s="11" t="n">
        <v>1875</v>
      </c>
      <c r="B1861" s="12" t="n">
        <v>46021</v>
      </c>
      <c r="C1861" s="11" t="inlineStr">
        <is>
          <t>a financiero gravamen movimiento</t>
        </is>
      </c>
      <c r="D1861" s="13" t="n">
        <v>-8</v>
      </c>
      <c r="E1861" s="11">
        <f>IF(SUM(COUNTIFS('Conciliacion de compuestos'!$D$2:$D$48,"conciliado",'Conciliacion de compuestos'!$E$2:$E$48,"OK",'Conciliacion de compuestos'!$J$2:$J$48,A1861),COUNTIFS('Conciliacion de compuestos'!$D$2:$D$48,"conciliado",'Conciliacion de compuestos'!$E$2:$E$48,"OK",'Conciliacion de compuestos'!$K$2:$K$48,A1861),COUNTIFS('Conciliacion de compuestos'!$D$2:$D$48,"conciliado",'Conciliacion de compuestos'!$E$2:$E$48,"OK",'Conciliacion de compuestos'!$L$2:$L$48,A1861))&gt;0,"conciliado en compuesto confirmado","disponible")</f>
        <v/>
      </c>
    </row>
    <row r="1862">
      <c r="A1862" s="11" t="n">
        <v>1876</v>
      </c>
      <c r="B1862" s="12" t="n">
        <v>46021</v>
      </c>
      <c r="C1862" s="11" t="inlineStr">
        <is>
          <t>consignacion credibanco d e</t>
        </is>
      </c>
      <c r="D1862" s="13" t="n">
        <v>350200</v>
      </c>
      <c r="E1862" s="11">
        <f>IF(SUM(COUNTIFS('Conciliacion de compuestos'!$D$2:$D$48,"conciliado",'Conciliacion de compuestos'!$E$2:$E$48,"OK",'Conciliacion de compuestos'!$J$2:$J$48,A1862),COUNTIFS('Conciliacion de compuestos'!$D$2:$D$48,"conciliado",'Conciliacion de compuestos'!$E$2:$E$48,"OK",'Conciliacion de compuestos'!$K$2:$K$48,A1862),COUNTIFS('Conciliacion de compuestos'!$D$2:$D$48,"conciliado",'Conciliacion de compuestos'!$E$2:$E$48,"OK",'Conciliacion de compuestos'!$L$2:$L$48,A1862))&gt;0,"conciliado en compuesto confirmado","disponible")</f>
        <v/>
      </c>
    </row>
    <row r="1863">
      <c r="A1863" s="11" t="n">
        <v>1877</v>
      </c>
      <c r="B1863" s="12" t="n">
        <v>46021</v>
      </c>
      <c r="C1863" s="11" t="inlineStr">
        <is>
          <t>cobro comision depositos electronicos</t>
        </is>
      </c>
      <c r="D1863" s="13" t="n">
        <v>-7564</v>
      </c>
      <c r="E1863" s="11">
        <f>IF(SUM(COUNTIFS('Conciliacion de compuestos'!$D$2:$D$48,"conciliado",'Conciliacion de compuestos'!$E$2:$E$48,"OK",'Conciliacion de compuestos'!$J$2:$J$48,A1863),COUNTIFS('Conciliacion de compuestos'!$D$2:$D$48,"conciliado",'Conciliacion de compuestos'!$E$2:$E$48,"OK",'Conciliacion de compuestos'!$K$2:$K$48,A1863),COUNTIFS('Conciliacion de compuestos'!$D$2:$D$48,"conciliado",'Conciliacion de compuestos'!$E$2:$E$48,"OK",'Conciliacion de compuestos'!$L$2:$L$48,A1863))&gt;0,"conciliado en compuesto confirmado","disponible")</f>
        <v/>
      </c>
    </row>
    <row r="1864">
      <c r="A1864" s="11" t="n">
        <v>1878</v>
      </c>
      <c r="B1864" s="12" t="n">
        <v>46021</v>
      </c>
      <c r="C1864" s="11" t="inlineStr">
        <is>
          <t>a financiero gravamen movimiento</t>
        </is>
      </c>
      <c r="D1864" s="13" t="n">
        <v>-30</v>
      </c>
      <c r="E1864" s="11">
        <f>IF(SUM(COUNTIFS('Conciliacion de compuestos'!$D$2:$D$48,"conciliado",'Conciliacion de compuestos'!$E$2:$E$48,"OK",'Conciliacion de compuestos'!$J$2:$J$48,A1864),COUNTIFS('Conciliacion de compuestos'!$D$2:$D$48,"conciliado",'Conciliacion de compuestos'!$E$2:$E$48,"OK",'Conciliacion de compuestos'!$K$2:$K$48,A1864),COUNTIFS('Conciliacion de compuestos'!$D$2:$D$48,"conciliado",'Conciliacion de compuestos'!$E$2:$E$48,"OK",'Conciliacion de compuestos'!$L$2:$L$48,A1864))&gt;0,"conciliado en compuesto confirmado","disponible")</f>
        <v/>
      </c>
    </row>
    <row r="1865">
      <c r="A1865" s="11" t="n">
        <v>1879</v>
      </c>
      <c r="B1865" s="12" t="n">
        <v>46021</v>
      </c>
      <c r="C1865" s="11" t="inlineStr">
        <is>
          <t>credibanco d e retefuente voucher y</t>
        </is>
      </c>
      <c r="D1865" s="13" t="n">
        <v>-5253</v>
      </c>
      <c r="E1865" s="11">
        <f>IF(SUM(COUNTIFS('Conciliacion de compuestos'!$D$2:$D$48,"conciliado",'Conciliacion de compuestos'!$E$2:$E$48,"OK",'Conciliacion de compuestos'!$J$2:$J$48,A1865),COUNTIFS('Conciliacion de compuestos'!$D$2:$D$48,"conciliado",'Conciliacion de compuestos'!$E$2:$E$48,"OK",'Conciliacion de compuestos'!$K$2:$K$48,A1865),COUNTIFS('Conciliacion de compuestos'!$D$2:$D$48,"conciliado",'Conciliacion de compuestos'!$E$2:$E$48,"OK",'Conciliacion de compuestos'!$L$2:$L$48,A1865))&gt;0,"conciliado en compuesto confirmado","disponible")</f>
        <v/>
      </c>
    </row>
    <row r="1866">
      <c r="A1866" s="11" t="n">
        <v>1880</v>
      </c>
      <c r="B1866" s="12" t="n">
        <v>46021</v>
      </c>
      <c r="C1866" s="11" t="inlineStr">
        <is>
          <t>a financiero gravamen movimiento</t>
        </is>
      </c>
      <c r="D1866" s="13" t="n">
        <v>-21</v>
      </c>
      <c r="E1866" s="11">
        <f>IF(SUM(COUNTIFS('Conciliacion de compuestos'!$D$2:$D$48,"conciliado",'Conciliacion de compuestos'!$E$2:$E$48,"OK",'Conciliacion de compuestos'!$J$2:$J$48,A1866),COUNTIFS('Conciliacion de compuestos'!$D$2:$D$48,"conciliado",'Conciliacion de compuestos'!$E$2:$E$48,"OK",'Conciliacion de compuestos'!$K$2:$K$48,A1866),COUNTIFS('Conciliacion de compuestos'!$D$2:$D$48,"conciliado",'Conciliacion de compuestos'!$E$2:$E$48,"OK",'Conciliacion de compuestos'!$L$2:$L$48,A1866))&gt;0,"conciliado en compuesto confirmado","disponible")</f>
        <v/>
      </c>
    </row>
    <row r="1867">
      <c r="A1867" s="11" t="n">
        <v>1881</v>
      </c>
      <c r="B1867" s="12" t="n">
        <v>46021</v>
      </c>
      <c r="C1867" s="11" t="inlineStr">
        <is>
          <t>consignacion credibanco d e</t>
        </is>
      </c>
      <c r="D1867" s="13" t="n">
        <v>30000</v>
      </c>
      <c r="E1867" s="11">
        <f>IF(SUM(COUNTIFS('Conciliacion de compuestos'!$D$2:$D$48,"conciliado",'Conciliacion de compuestos'!$E$2:$E$48,"OK",'Conciliacion de compuestos'!$J$2:$J$48,A1867),COUNTIFS('Conciliacion de compuestos'!$D$2:$D$48,"conciliado",'Conciliacion de compuestos'!$E$2:$E$48,"OK",'Conciliacion de compuestos'!$K$2:$K$48,A1867),COUNTIFS('Conciliacion de compuestos'!$D$2:$D$48,"conciliado",'Conciliacion de compuestos'!$E$2:$E$48,"OK",'Conciliacion de compuestos'!$L$2:$L$48,A1867))&gt;0,"conciliado en compuesto confirmado","disponible")</f>
        <v/>
      </c>
    </row>
    <row r="1868">
      <c r="A1868" s="11" t="n">
        <v>1882</v>
      </c>
      <c r="B1868" s="12" t="n">
        <v>46021</v>
      </c>
      <c r="C1868" s="11" t="inlineStr">
        <is>
          <t>cobro comision depositos electronicos</t>
        </is>
      </c>
      <c r="D1868" s="13" t="n">
        <v>-648</v>
      </c>
      <c r="E1868" s="11">
        <f>IF(SUM(COUNTIFS('Conciliacion de compuestos'!$D$2:$D$48,"conciliado",'Conciliacion de compuestos'!$E$2:$E$48,"OK",'Conciliacion de compuestos'!$J$2:$J$48,A1868),COUNTIFS('Conciliacion de compuestos'!$D$2:$D$48,"conciliado",'Conciliacion de compuestos'!$E$2:$E$48,"OK",'Conciliacion de compuestos'!$K$2:$K$48,A1868),COUNTIFS('Conciliacion de compuestos'!$D$2:$D$48,"conciliado",'Conciliacion de compuestos'!$E$2:$E$48,"OK",'Conciliacion de compuestos'!$L$2:$L$48,A1868))&gt;0,"conciliado en compuesto confirmado","disponible")</f>
        <v/>
      </c>
    </row>
    <row r="1869">
      <c r="A1869" s="11" t="n">
        <v>1883</v>
      </c>
      <c r="B1869" s="12" t="n">
        <v>46021</v>
      </c>
      <c r="C1869" s="11" t="inlineStr">
        <is>
          <t>a financiero gravamen movimiento</t>
        </is>
      </c>
      <c r="D1869" s="13" t="n">
        <v>-3</v>
      </c>
      <c r="E1869" s="11">
        <f>IF(SUM(COUNTIFS('Conciliacion de compuestos'!$D$2:$D$48,"conciliado",'Conciliacion de compuestos'!$E$2:$E$48,"OK",'Conciliacion de compuestos'!$J$2:$J$48,A1869),COUNTIFS('Conciliacion de compuestos'!$D$2:$D$48,"conciliado",'Conciliacion de compuestos'!$E$2:$E$48,"OK",'Conciliacion de compuestos'!$K$2:$K$48,A1869),COUNTIFS('Conciliacion de compuestos'!$D$2:$D$48,"conciliado",'Conciliacion de compuestos'!$E$2:$E$48,"OK",'Conciliacion de compuestos'!$L$2:$L$48,A1869))&gt;0,"conciliado en compuesto confirmado","disponible")</f>
        <v/>
      </c>
    </row>
    <row r="1870">
      <c r="A1870" s="11" t="n">
        <v>1884</v>
      </c>
      <c r="B1870" s="12" t="n">
        <v>46021</v>
      </c>
      <c r="C1870" s="11" t="inlineStr">
        <is>
          <t>credibanco d e retefuente voucher y</t>
        </is>
      </c>
      <c r="D1870" s="13" t="n">
        <v>-450</v>
      </c>
      <c r="E1870" s="11">
        <f>IF(SUM(COUNTIFS('Conciliacion de compuestos'!$D$2:$D$48,"conciliado",'Conciliacion de compuestos'!$E$2:$E$48,"OK",'Conciliacion de compuestos'!$J$2:$J$48,A1870),COUNTIFS('Conciliacion de compuestos'!$D$2:$D$48,"conciliado",'Conciliacion de compuestos'!$E$2:$E$48,"OK",'Conciliacion de compuestos'!$K$2:$K$48,A1870),COUNTIFS('Conciliacion de compuestos'!$D$2:$D$48,"conciliado",'Conciliacion de compuestos'!$E$2:$E$48,"OK",'Conciliacion de compuestos'!$L$2:$L$48,A1870))&gt;0,"conciliado en compuesto confirmado","disponible")</f>
        <v/>
      </c>
    </row>
    <row r="1871">
      <c r="A1871" s="11" t="n">
        <v>1885</v>
      </c>
      <c r="B1871" s="12" t="n">
        <v>46021</v>
      </c>
      <c r="C1871" s="11" t="inlineStr">
        <is>
          <t>a financiero gravamen movimiento</t>
        </is>
      </c>
      <c r="D1871" s="13" t="n">
        <v>-2</v>
      </c>
      <c r="E1871" s="11">
        <f>IF(SUM(COUNTIFS('Conciliacion de compuestos'!$D$2:$D$48,"conciliado",'Conciliacion de compuestos'!$E$2:$E$48,"OK",'Conciliacion de compuestos'!$J$2:$J$48,A1871),COUNTIFS('Conciliacion de compuestos'!$D$2:$D$48,"conciliado",'Conciliacion de compuestos'!$E$2:$E$48,"OK",'Conciliacion de compuestos'!$K$2:$K$48,A1871),COUNTIFS('Conciliacion de compuestos'!$D$2:$D$48,"conciliado",'Conciliacion de compuestos'!$E$2:$E$48,"OK",'Conciliacion de compuestos'!$L$2:$L$48,A1871))&gt;0,"conciliado en compuesto confirmado","disponible")</f>
        <v/>
      </c>
    </row>
    <row r="1872">
      <c r="A1872" s="11" t="n">
        <v>1886</v>
      </c>
      <c r="B1872" s="12" t="n">
        <v>46021</v>
      </c>
      <c r="C1872" s="11" t="inlineStr">
        <is>
          <t>consignacion credibanco d e</t>
        </is>
      </c>
      <c r="D1872" s="13" t="n">
        <v>26200</v>
      </c>
      <c r="E1872" s="11">
        <f>IF(SUM(COUNTIFS('Conciliacion de compuestos'!$D$2:$D$48,"conciliado",'Conciliacion de compuestos'!$E$2:$E$48,"OK",'Conciliacion de compuestos'!$J$2:$J$48,A1872),COUNTIFS('Conciliacion de compuestos'!$D$2:$D$48,"conciliado",'Conciliacion de compuestos'!$E$2:$E$48,"OK",'Conciliacion de compuestos'!$K$2:$K$48,A1872),COUNTIFS('Conciliacion de compuestos'!$D$2:$D$48,"conciliado",'Conciliacion de compuestos'!$E$2:$E$48,"OK",'Conciliacion de compuestos'!$L$2:$L$48,A1872))&gt;0,"conciliado en compuesto confirmado","disponible")</f>
        <v/>
      </c>
    </row>
    <row r="1873">
      <c r="A1873" s="11" t="n">
        <v>1887</v>
      </c>
      <c r="B1873" s="12" t="n">
        <v>46021</v>
      </c>
      <c r="C1873" s="11" t="inlineStr">
        <is>
          <t>cobro comision depositos electronicos</t>
        </is>
      </c>
      <c r="D1873" s="13" t="n">
        <v>-566</v>
      </c>
      <c r="E1873" s="11">
        <f>IF(SUM(COUNTIFS('Conciliacion de compuestos'!$D$2:$D$48,"conciliado",'Conciliacion de compuestos'!$E$2:$E$48,"OK",'Conciliacion de compuestos'!$J$2:$J$48,A1873),COUNTIFS('Conciliacion de compuestos'!$D$2:$D$48,"conciliado",'Conciliacion de compuestos'!$E$2:$E$48,"OK",'Conciliacion de compuestos'!$K$2:$K$48,A1873),COUNTIFS('Conciliacion de compuestos'!$D$2:$D$48,"conciliado",'Conciliacion de compuestos'!$E$2:$E$48,"OK",'Conciliacion de compuestos'!$L$2:$L$48,A1873))&gt;0,"conciliado en compuesto confirmado","disponible")</f>
        <v/>
      </c>
    </row>
    <row r="1874">
      <c r="A1874" s="11" t="n">
        <v>1888</v>
      </c>
      <c r="B1874" s="12" t="n">
        <v>46021</v>
      </c>
      <c r="C1874" s="11" t="inlineStr">
        <is>
          <t>a financiero gravamen movimiento</t>
        </is>
      </c>
      <c r="D1874" s="13" t="n">
        <v>-2</v>
      </c>
      <c r="E1874" s="11">
        <f>IF(SUM(COUNTIFS('Conciliacion de compuestos'!$D$2:$D$48,"conciliado",'Conciliacion de compuestos'!$E$2:$E$48,"OK",'Conciliacion de compuestos'!$J$2:$J$48,A1874),COUNTIFS('Conciliacion de compuestos'!$D$2:$D$48,"conciliado",'Conciliacion de compuestos'!$E$2:$E$48,"OK",'Conciliacion de compuestos'!$K$2:$K$48,A1874),COUNTIFS('Conciliacion de compuestos'!$D$2:$D$48,"conciliado",'Conciliacion de compuestos'!$E$2:$E$48,"OK",'Conciliacion de compuestos'!$L$2:$L$48,A1874))&gt;0,"conciliado en compuesto confirmado","disponible")</f>
        <v/>
      </c>
    </row>
    <row r="1875">
      <c r="A1875" s="11" t="n">
        <v>1889</v>
      </c>
      <c r="B1875" s="12" t="n">
        <v>46021</v>
      </c>
      <c r="C1875" s="11" t="inlineStr">
        <is>
          <t>credibanco d e retefuente voucher y</t>
        </is>
      </c>
      <c r="D1875" s="13" t="n">
        <v>-393</v>
      </c>
      <c r="E1875" s="11">
        <f>IF(SUM(COUNTIFS('Conciliacion de compuestos'!$D$2:$D$48,"conciliado",'Conciliacion de compuestos'!$E$2:$E$48,"OK",'Conciliacion de compuestos'!$J$2:$J$48,A1875),COUNTIFS('Conciliacion de compuestos'!$D$2:$D$48,"conciliado",'Conciliacion de compuestos'!$E$2:$E$48,"OK",'Conciliacion de compuestos'!$K$2:$K$48,A1875),COUNTIFS('Conciliacion de compuestos'!$D$2:$D$48,"conciliado",'Conciliacion de compuestos'!$E$2:$E$48,"OK",'Conciliacion de compuestos'!$L$2:$L$48,A1875))&gt;0,"conciliado en compuesto confirmado","disponible")</f>
        <v/>
      </c>
    </row>
    <row r="1876">
      <c r="A1876" s="11" t="n">
        <v>1890</v>
      </c>
      <c r="B1876" s="12" t="n">
        <v>46021</v>
      </c>
      <c r="C1876" s="11" t="inlineStr">
        <is>
          <t>a financiero gravamen movimiento</t>
        </is>
      </c>
      <c r="D1876" s="13" t="n">
        <v>-2</v>
      </c>
      <c r="E1876" s="11">
        <f>IF(SUM(COUNTIFS('Conciliacion de compuestos'!$D$2:$D$48,"conciliado",'Conciliacion de compuestos'!$E$2:$E$48,"OK",'Conciliacion de compuestos'!$J$2:$J$48,A1876),COUNTIFS('Conciliacion de compuestos'!$D$2:$D$48,"conciliado",'Conciliacion de compuestos'!$E$2:$E$48,"OK",'Conciliacion de compuestos'!$K$2:$K$48,A1876),COUNTIFS('Conciliacion de compuestos'!$D$2:$D$48,"conciliado",'Conciliacion de compuestos'!$E$2:$E$48,"OK",'Conciliacion de compuestos'!$L$2:$L$48,A1876))&gt;0,"conciliado en compuesto confirmado","disponible")</f>
        <v/>
      </c>
    </row>
    <row r="1877">
      <c r="A1877" s="11" t="n">
        <v>1891</v>
      </c>
      <c r="B1877" s="12" t="n">
        <v>46021</v>
      </c>
      <c r="C1877" s="11" t="inlineStr">
        <is>
          <t>consignacion credibanco d e</t>
        </is>
      </c>
      <c r="D1877" s="13" t="n">
        <v>34620</v>
      </c>
      <c r="E1877" s="11">
        <f>IF(SUM(COUNTIFS('Conciliacion de compuestos'!$D$2:$D$48,"conciliado",'Conciliacion de compuestos'!$E$2:$E$48,"OK",'Conciliacion de compuestos'!$J$2:$J$48,A1877),COUNTIFS('Conciliacion de compuestos'!$D$2:$D$48,"conciliado",'Conciliacion de compuestos'!$E$2:$E$48,"OK",'Conciliacion de compuestos'!$K$2:$K$48,A1877),COUNTIFS('Conciliacion de compuestos'!$D$2:$D$48,"conciliado",'Conciliacion de compuestos'!$E$2:$E$48,"OK",'Conciliacion de compuestos'!$L$2:$L$48,A1877))&gt;0,"conciliado en compuesto confirmado","disponible")</f>
        <v/>
      </c>
    </row>
    <row r="1878">
      <c r="A1878" s="11" t="n">
        <v>1892</v>
      </c>
      <c r="B1878" s="12" t="n">
        <v>46021</v>
      </c>
      <c r="C1878" s="11" t="inlineStr">
        <is>
          <t>cobro comision depositos electronicos</t>
        </is>
      </c>
      <c r="D1878" s="13" t="n">
        <v>-748</v>
      </c>
      <c r="E1878" s="11">
        <f>IF(SUM(COUNTIFS('Conciliacion de compuestos'!$D$2:$D$48,"conciliado",'Conciliacion de compuestos'!$E$2:$E$48,"OK",'Conciliacion de compuestos'!$J$2:$J$48,A1878),COUNTIFS('Conciliacion de compuestos'!$D$2:$D$48,"conciliado",'Conciliacion de compuestos'!$E$2:$E$48,"OK",'Conciliacion de compuestos'!$K$2:$K$48,A1878),COUNTIFS('Conciliacion de compuestos'!$D$2:$D$48,"conciliado",'Conciliacion de compuestos'!$E$2:$E$48,"OK",'Conciliacion de compuestos'!$L$2:$L$48,A1878))&gt;0,"conciliado en compuesto confirmado","disponible")</f>
        <v/>
      </c>
    </row>
    <row r="1879">
      <c r="A1879" s="11" t="n">
        <v>1893</v>
      </c>
      <c r="B1879" s="12" t="n">
        <v>46021</v>
      </c>
      <c r="C1879" s="11" t="inlineStr">
        <is>
          <t>a financiero gravamen movimiento</t>
        </is>
      </c>
      <c r="D1879" s="13" t="n">
        <v>-3</v>
      </c>
      <c r="E1879" s="11">
        <f>IF(SUM(COUNTIFS('Conciliacion de compuestos'!$D$2:$D$48,"conciliado",'Conciliacion de compuestos'!$E$2:$E$48,"OK",'Conciliacion de compuestos'!$J$2:$J$48,A1879),COUNTIFS('Conciliacion de compuestos'!$D$2:$D$48,"conciliado",'Conciliacion de compuestos'!$E$2:$E$48,"OK",'Conciliacion de compuestos'!$K$2:$K$48,A1879),COUNTIFS('Conciliacion de compuestos'!$D$2:$D$48,"conciliado",'Conciliacion de compuestos'!$E$2:$E$48,"OK",'Conciliacion de compuestos'!$L$2:$L$48,A1879))&gt;0,"conciliado en compuesto confirmado","disponible")</f>
        <v/>
      </c>
    </row>
    <row r="1880">
      <c r="A1880" s="11" t="n">
        <v>1894</v>
      </c>
      <c r="B1880" s="12" t="n">
        <v>46021</v>
      </c>
      <c r="C1880" s="11" t="inlineStr">
        <is>
          <t>credibanco d e retefuente voucher y</t>
        </is>
      </c>
      <c r="D1880" s="13" t="n">
        <v>-519</v>
      </c>
      <c r="E1880" s="11">
        <f>IF(SUM(COUNTIFS('Conciliacion de compuestos'!$D$2:$D$48,"conciliado",'Conciliacion de compuestos'!$E$2:$E$48,"OK",'Conciliacion de compuestos'!$J$2:$J$48,A1880),COUNTIFS('Conciliacion de compuestos'!$D$2:$D$48,"conciliado",'Conciliacion de compuestos'!$E$2:$E$48,"OK",'Conciliacion de compuestos'!$K$2:$K$48,A1880),COUNTIFS('Conciliacion de compuestos'!$D$2:$D$48,"conciliado",'Conciliacion de compuestos'!$E$2:$E$48,"OK",'Conciliacion de compuestos'!$L$2:$L$48,A1880))&gt;0,"conciliado en compuesto confirmado","disponible")</f>
        <v/>
      </c>
    </row>
    <row r="1881">
      <c r="A1881" s="11" t="n">
        <v>1895</v>
      </c>
      <c r="B1881" s="12" t="n">
        <v>46021</v>
      </c>
      <c r="C1881" s="11" t="inlineStr">
        <is>
          <t>a financiero gravamen movimiento</t>
        </is>
      </c>
      <c r="D1881" s="13" t="n">
        <v>-2</v>
      </c>
      <c r="E1881" s="11">
        <f>IF(SUM(COUNTIFS('Conciliacion de compuestos'!$D$2:$D$48,"conciliado",'Conciliacion de compuestos'!$E$2:$E$48,"OK",'Conciliacion de compuestos'!$J$2:$J$48,A1881),COUNTIFS('Conciliacion de compuestos'!$D$2:$D$48,"conciliado",'Conciliacion de compuestos'!$E$2:$E$48,"OK",'Conciliacion de compuestos'!$K$2:$K$48,A1881),COUNTIFS('Conciliacion de compuestos'!$D$2:$D$48,"conciliado",'Conciliacion de compuestos'!$E$2:$E$48,"OK",'Conciliacion de compuestos'!$L$2:$L$48,A1881))&gt;0,"conciliado en compuesto confirmado","disponible")</f>
        <v/>
      </c>
    </row>
    <row r="1882">
      <c r="A1882" s="11" t="n">
        <v>1896</v>
      </c>
      <c r="B1882" s="12" t="n">
        <v>46021</v>
      </c>
      <c r="C1882" s="11" t="inlineStr">
        <is>
          <t>consignacion credibanco d e</t>
        </is>
      </c>
      <c r="D1882" s="13" t="n">
        <v>119900</v>
      </c>
      <c r="E1882" s="11">
        <f>IF(SUM(COUNTIFS('Conciliacion de compuestos'!$D$2:$D$48,"conciliado",'Conciliacion de compuestos'!$E$2:$E$48,"OK",'Conciliacion de compuestos'!$J$2:$J$48,A1882),COUNTIFS('Conciliacion de compuestos'!$D$2:$D$48,"conciliado",'Conciliacion de compuestos'!$E$2:$E$48,"OK",'Conciliacion de compuestos'!$K$2:$K$48,A1882),COUNTIFS('Conciliacion de compuestos'!$D$2:$D$48,"conciliado",'Conciliacion de compuestos'!$E$2:$E$48,"OK",'Conciliacion de compuestos'!$L$2:$L$48,A1882))&gt;0,"conciliado en compuesto confirmado","disponible")</f>
        <v/>
      </c>
    </row>
    <row r="1883">
      <c r="A1883" s="11" t="n">
        <v>1897</v>
      </c>
      <c r="B1883" s="12" t="n">
        <v>46021</v>
      </c>
      <c r="C1883" s="11" t="inlineStr">
        <is>
          <t>cobro comision depositos electronicos</t>
        </is>
      </c>
      <c r="D1883" s="13" t="n">
        <v>-2590</v>
      </c>
      <c r="E1883" s="11">
        <f>IF(SUM(COUNTIFS('Conciliacion de compuestos'!$D$2:$D$48,"conciliado",'Conciliacion de compuestos'!$E$2:$E$48,"OK",'Conciliacion de compuestos'!$J$2:$J$48,A1883),COUNTIFS('Conciliacion de compuestos'!$D$2:$D$48,"conciliado",'Conciliacion de compuestos'!$E$2:$E$48,"OK",'Conciliacion de compuestos'!$K$2:$K$48,A1883),COUNTIFS('Conciliacion de compuestos'!$D$2:$D$48,"conciliado",'Conciliacion de compuestos'!$E$2:$E$48,"OK",'Conciliacion de compuestos'!$L$2:$L$48,A1883))&gt;0,"conciliado en compuesto confirmado","disponible")</f>
        <v/>
      </c>
    </row>
    <row r="1884">
      <c r="A1884" s="11" t="n">
        <v>1898</v>
      </c>
      <c r="B1884" s="12" t="n">
        <v>46021</v>
      </c>
      <c r="C1884" s="11" t="inlineStr">
        <is>
          <t>a financiero gravamen movimiento</t>
        </is>
      </c>
      <c r="D1884" s="13" t="n">
        <v>-10</v>
      </c>
      <c r="E1884" s="11">
        <f>IF(SUM(COUNTIFS('Conciliacion de compuestos'!$D$2:$D$48,"conciliado",'Conciliacion de compuestos'!$E$2:$E$48,"OK",'Conciliacion de compuestos'!$J$2:$J$48,A1884),COUNTIFS('Conciliacion de compuestos'!$D$2:$D$48,"conciliado",'Conciliacion de compuestos'!$E$2:$E$48,"OK",'Conciliacion de compuestos'!$K$2:$K$48,A1884),COUNTIFS('Conciliacion de compuestos'!$D$2:$D$48,"conciliado",'Conciliacion de compuestos'!$E$2:$E$48,"OK",'Conciliacion de compuestos'!$L$2:$L$48,A1884))&gt;0,"conciliado en compuesto confirmado","disponible")</f>
        <v/>
      </c>
    </row>
    <row r="1885">
      <c r="A1885" s="11" t="n">
        <v>1899</v>
      </c>
      <c r="B1885" s="12" t="n">
        <v>46021</v>
      </c>
      <c r="C1885" s="11" t="inlineStr">
        <is>
          <t>credibanco d e retefuente voucher y</t>
        </is>
      </c>
      <c r="D1885" s="13" t="n">
        <v>-1799</v>
      </c>
      <c r="E1885" s="11">
        <f>IF(SUM(COUNTIFS('Conciliacion de compuestos'!$D$2:$D$48,"conciliado",'Conciliacion de compuestos'!$E$2:$E$48,"OK",'Conciliacion de compuestos'!$J$2:$J$48,A1885),COUNTIFS('Conciliacion de compuestos'!$D$2:$D$48,"conciliado",'Conciliacion de compuestos'!$E$2:$E$48,"OK",'Conciliacion de compuestos'!$K$2:$K$48,A1885),COUNTIFS('Conciliacion de compuestos'!$D$2:$D$48,"conciliado",'Conciliacion de compuestos'!$E$2:$E$48,"OK",'Conciliacion de compuestos'!$L$2:$L$48,A1885))&gt;0,"conciliado en compuesto confirmado","disponible")</f>
        <v/>
      </c>
    </row>
    <row r="1886">
      <c r="A1886" s="11" t="n">
        <v>1900</v>
      </c>
      <c r="B1886" s="12" t="n">
        <v>46021</v>
      </c>
      <c r="C1886" s="11" t="inlineStr">
        <is>
          <t>a financiero gravamen movimiento</t>
        </is>
      </c>
      <c r="D1886" s="13" t="n">
        <v>-7</v>
      </c>
      <c r="E1886" s="11">
        <f>IF(SUM(COUNTIFS('Conciliacion de compuestos'!$D$2:$D$48,"conciliado",'Conciliacion de compuestos'!$E$2:$E$48,"OK",'Conciliacion de compuestos'!$J$2:$J$48,A1886),COUNTIFS('Conciliacion de compuestos'!$D$2:$D$48,"conciliado",'Conciliacion de compuestos'!$E$2:$E$48,"OK",'Conciliacion de compuestos'!$K$2:$K$48,A1886),COUNTIFS('Conciliacion de compuestos'!$D$2:$D$48,"conciliado",'Conciliacion de compuestos'!$E$2:$E$48,"OK",'Conciliacion de compuestos'!$L$2:$L$48,A1886))&gt;0,"conciliado en compuesto confirmado","disponible")</f>
        <v/>
      </c>
    </row>
    <row r="1887">
      <c r="A1887" s="11" t="n">
        <v>1901</v>
      </c>
      <c r="B1887" s="12" t="n">
        <v>46021</v>
      </c>
      <c r="C1887" s="11" t="inlineStr">
        <is>
          <t>consignacion credibanco d e</t>
        </is>
      </c>
      <c r="D1887" s="13" t="n">
        <v>47000</v>
      </c>
      <c r="E1887" s="11">
        <f>IF(SUM(COUNTIFS('Conciliacion de compuestos'!$D$2:$D$48,"conciliado",'Conciliacion de compuestos'!$E$2:$E$48,"OK",'Conciliacion de compuestos'!$J$2:$J$48,A1887),COUNTIFS('Conciliacion de compuestos'!$D$2:$D$48,"conciliado",'Conciliacion de compuestos'!$E$2:$E$48,"OK",'Conciliacion de compuestos'!$K$2:$K$48,A1887),COUNTIFS('Conciliacion de compuestos'!$D$2:$D$48,"conciliado",'Conciliacion de compuestos'!$E$2:$E$48,"OK",'Conciliacion de compuestos'!$L$2:$L$48,A1887))&gt;0,"conciliado en compuesto confirmado","disponible")</f>
        <v/>
      </c>
    </row>
    <row r="1888">
      <c r="A1888" s="11" t="n">
        <v>1902</v>
      </c>
      <c r="B1888" s="12" t="n">
        <v>46021</v>
      </c>
      <c r="C1888" s="11" t="inlineStr">
        <is>
          <t>cobro comision depositos electronicos</t>
        </is>
      </c>
      <c r="D1888" s="13" t="n">
        <v>-1029</v>
      </c>
      <c r="E1888" s="11">
        <f>IF(SUM(COUNTIFS('Conciliacion de compuestos'!$D$2:$D$48,"conciliado",'Conciliacion de compuestos'!$E$2:$E$48,"OK",'Conciliacion de compuestos'!$J$2:$J$48,A1888),COUNTIFS('Conciliacion de compuestos'!$D$2:$D$48,"conciliado",'Conciliacion de compuestos'!$E$2:$E$48,"OK",'Conciliacion de compuestos'!$K$2:$K$48,A1888),COUNTIFS('Conciliacion de compuestos'!$D$2:$D$48,"conciliado",'Conciliacion de compuestos'!$E$2:$E$48,"OK",'Conciliacion de compuestos'!$L$2:$L$48,A1888))&gt;0,"conciliado en compuesto confirmado","disponible")</f>
        <v/>
      </c>
    </row>
    <row r="1889">
      <c r="A1889" s="11" t="n">
        <v>1903</v>
      </c>
      <c r="B1889" s="12" t="n">
        <v>46021</v>
      </c>
      <c r="C1889" s="11" t="inlineStr">
        <is>
          <t>a financiero gravamen movimiento</t>
        </is>
      </c>
      <c r="D1889" s="13" t="n">
        <v>-4</v>
      </c>
      <c r="E1889" s="11">
        <f>IF(SUM(COUNTIFS('Conciliacion de compuestos'!$D$2:$D$48,"conciliado",'Conciliacion de compuestos'!$E$2:$E$48,"OK",'Conciliacion de compuestos'!$J$2:$J$48,A1889),COUNTIFS('Conciliacion de compuestos'!$D$2:$D$48,"conciliado",'Conciliacion de compuestos'!$E$2:$E$48,"OK",'Conciliacion de compuestos'!$K$2:$K$48,A1889),COUNTIFS('Conciliacion de compuestos'!$D$2:$D$48,"conciliado",'Conciliacion de compuestos'!$E$2:$E$48,"OK",'Conciliacion de compuestos'!$L$2:$L$48,A1889))&gt;0,"conciliado en compuesto confirmado","disponible")</f>
        <v/>
      </c>
    </row>
    <row r="1890">
      <c r="A1890" s="11" t="n">
        <v>1904</v>
      </c>
      <c r="B1890" s="12" t="n">
        <v>46021</v>
      </c>
      <c r="C1890" s="11" t="inlineStr">
        <is>
          <t>credibanco d e retefuente voucher y</t>
        </is>
      </c>
      <c r="D1890" s="13" t="n">
        <v>-705</v>
      </c>
      <c r="E1890" s="11">
        <f>IF(SUM(COUNTIFS('Conciliacion de compuestos'!$D$2:$D$48,"conciliado",'Conciliacion de compuestos'!$E$2:$E$48,"OK",'Conciliacion de compuestos'!$J$2:$J$48,A1890),COUNTIFS('Conciliacion de compuestos'!$D$2:$D$48,"conciliado",'Conciliacion de compuestos'!$E$2:$E$48,"OK",'Conciliacion de compuestos'!$K$2:$K$48,A1890),COUNTIFS('Conciliacion de compuestos'!$D$2:$D$48,"conciliado",'Conciliacion de compuestos'!$E$2:$E$48,"OK",'Conciliacion de compuestos'!$L$2:$L$48,A1890))&gt;0,"conciliado en compuesto confirmado","disponible")</f>
        <v/>
      </c>
    </row>
    <row r="1891">
      <c r="A1891" s="11" t="n">
        <v>1905</v>
      </c>
      <c r="B1891" s="12" t="n">
        <v>46021</v>
      </c>
      <c r="C1891" s="11" t="inlineStr">
        <is>
          <t>a financiero gravamen movimiento</t>
        </is>
      </c>
      <c r="D1891" s="13" t="n">
        <v>-3</v>
      </c>
      <c r="E1891" s="11">
        <f>IF(SUM(COUNTIFS('Conciliacion de compuestos'!$D$2:$D$48,"conciliado",'Conciliacion de compuestos'!$E$2:$E$48,"OK",'Conciliacion de compuestos'!$J$2:$J$48,A1891),COUNTIFS('Conciliacion de compuestos'!$D$2:$D$48,"conciliado",'Conciliacion de compuestos'!$E$2:$E$48,"OK",'Conciliacion de compuestos'!$K$2:$K$48,A1891),COUNTIFS('Conciliacion de compuestos'!$D$2:$D$48,"conciliado",'Conciliacion de compuestos'!$E$2:$E$48,"OK",'Conciliacion de compuestos'!$L$2:$L$48,A1891))&gt;0,"conciliado en compuesto confirmado","disponible")</f>
        <v/>
      </c>
    </row>
    <row r="1892">
      <c r="A1892" s="11" t="n">
        <v>1906</v>
      </c>
      <c r="B1892" s="12" t="n">
        <v>46021</v>
      </c>
      <c r="C1892" s="11" t="inlineStr">
        <is>
          <t>consignacion credibanco d e</t>
        </is>
      </c>
      <c r="D1892" s="13" t="n">
        <v>67400</v>
      </c>
      <c r="E1892" s="11">
        <f>IF(SUM(COUNTIFS('Conciliacion de compuestos'!$D$2:$D$48,"conciliado",'Conciliacion de compuestos'!$E$2:$E$48,"OK",'Conciliacion de compuestos'!$J$2:$J$48,A1892),COUNTIFS('Conciliacion de compuestos'!$D$2:$D$48,"conciliado",'Conciliacion de compuestos'!$E$2:$E$48,"OK",'Conciliacion de compuestos'!$K$2:$K$48,A1892),COUNTIFS('Conciliacion de compuestos'!$D$2:$D$48,"conciliado",'Conciliacion de compuestos'!$E$2:$E$48,"OK",'Conciliacion de compuestos'!$L$2:$L$48,A1892))&gt;0,"conciliado en compuesto confirmado","disponible")</f>
        <v/>
      </c>
    </row>
    <row r="1893">
      <c r="A1893" s="11" t="n">
        <v>1907</v>
      </c>
      <c r="B1893" s="12" t="n">
        <v>46021</v>
      </c>
      <c r="C1893" s="11" t="inlineStr">
        <is>
          <t>cobro comision depositos electronicos</t>
        </is>
      </c>
      <c r="D1893" s="13" t="n">
        <v>-1476</v>
      </c>
      <c r="E1893" s="11">
        <f>IF(SUM(COUNTIFS('Conciliacion de compuestos'!$D$2:$D$48,"conciliado",'Conciliacion de compuestos'!$E$2:$E$48,"OK",'Conciliacion de compuestos'!$J$2:$J$48,A1893),COUNTIFS('Conciliacion de compuestos'!$D$2:$D$48,"conciliado",'Conciliacion de compuestos'!$E$2:$E$48,"OK",'Conciliacion de compuestos'!$K$2:$K$48,A1893),COUNTIFS('Conciliacion de compuestos'!$D$2:$D$48,"conciliado",'Conciliacion de compuestos'!$E$2:$E$48,"OK",'Conciliacion de compuestos'!$L$2:$L$48,A1893))&gt;0,"conciliado en compuesto confirmado","disponible")</f>
        <v/>
      </c>
    </row>
    <row r="1894">
      <c r="A1894" s="11" t="n">
        <v>1908</v>
      </c>
      <c r="B1894" s="12" t="n">
        <v>46021</v>
      </c>
      <c r="C1894" s="11" t="inlineStr">
        <is>
          <t>a financiero gravamen movimiento</t>
        </is>
      </c>
      <c r="D1894" s="13" t="n">
        <v>-6</v>
      </c>
      <c r="E1894" s="11">
        <f>IF(SUM(COUNTIFS('Conciliacion de compuestos'!$D$2:$D$48,"conciliado",'Conciliacion de compuestos'!$E$2:$E$48,"OK",'Conciliacion de compuestos'!$J$2:$J$48,A1894),COUNTIFS('Conciliacion de compuestos'!$D$2:$D$48,"conciliado",'Conciliacion de compuestos'!$E$2:$E$48,"OK",'Conciliacion de compuestos'!$K$2:$K$48,A1894),COUNTIFS('Conciliacion de compuestos'!$D$2:$D$48,"conciliado",'Conciliacion de compuestos'!$E$2:$E$48,"OK",'Conciliacion de compuestos'!$L$2:$L$48,A1894))&gt;0,"conciliado en compuesto confirmado","disponible")</f>
        <v/>
      </c>
    </row>
    <row r="1895">
      <c r="A1895" s="11" t="n">
        <v>1909</v>
      </c>
      <c r="B1895" s="12" t="n">
        <v>46021</v>
      </c>
      <c r="C1895" s="11" t="inlineStr">
        <is>
          <t>credibanco d e retefuente voucher y</t>
        </is>
      </c>
      <c r="D1895" s="13" t="n">
        <v>-1011</v>
      </c>
      <c r="E1895" s="11">
        <f>IF(SUM(COUNTIFS('Conciliacion de compuestos'!$D$2:$D$48,"conciliado",'Conciliacion de compuestos'!$E$2:$E$48,"OK",'Conciliacion de compuestos'!$J$2:$J$48,A1895),COUNTIFS('Conciliacion de compuestos'!$D$2:$D$48,"conciliado",'Conciliacion de compuestos'!$E$2:$E$48,"OK",'Conciliacion de compuestos'!$K$2:$K$48,A1895),COUNTIFS('Conciliacion de compuestos'!$D$2:$D$48,"conciliado",'Conciliacion de compuestos'!$E$2:$E$48,"OK",'Conciliacion de compuestos'!$L$2:$L$48,A1895))&gt;0,"conciliado en compuesto confirmado","disponible")</f>
        <v/>
      </c>
    </row>
    <row r="1896">
      <c r="A1896" s="11" t="n">
        <v>1910</v>
      </c>
      <c r="B1896" s="12" t="n">
        <v>46021</v>
      </c>
      <c r="C1896" s="11" t="inlineStr">
        <is>
          <t>a financiero gravamen movimiento</t>
        </is>
      </c>
      <c r="D1896" s="13" t="n">
        <v>-4</v>
      </c>
      <c r="E1896" s="11">
        <f>IF(SUM(COUNTIFS('Conciliacion de compuestos'!$D$2:$D$48,"conciliado",'Conciliacion de compuestos'!$E$2:$E$48,"OK",'Conciliacion de compuestos'!$J$2:$J$48,A1896),COUNTIFS('Conciliacion de compuestos'!$D$2:$D$48,"conciliado",'Conciliacion de compuestos'!$E$2:$E$48,"OK",'Conciliacion de compuestos'!$K$2:$K$48,A1896),COUNTIFS('Conciliacion de compuestos'!$D$2:$D$48,"conciliado",'Conciliacion de compuestos'!$E$2:$E$48,"OK",'Conciliacion de compuestos'!$L$2:$L$48,A1896))&gt;0,"conciliado en compuesto confirmado","disponible")</f>
        <v/>
      </c>
    </row>
    <row r="1897">
      <c r="A1897" s="11" t="n">
        <v>1911</v>
      </c>
      <c r="B1897" s="12" t="n">
        <v>46021</v>
      </c>
      <c r="C1897" s="11" t="inlineStr">
        <is>
          <t>consignacion credibanco d e</t>
        </is>
      </c>
      <c r="D1897" s="13" t="n">
        <v>52100</v>
      </c>
      <c r="E1897" s="11">
        <f>IF(SUM(COUNTIFS('Conciliacion de compuestos'!$D$2:$D$48,"conciliado",'Conciliacion de compuestos'!$E$2:$E$48,"OK",'Conciliacion de compuestos'!$J$2:$J$48,A1897),COUNTIFS('Conciliacion de compuestos'!$D$2:$D$48,"conciliado",'Conciliacion de compuestos'!$E$2:$E$48,"OK",'Conciliacion de compuestos'!$K$2:$K$48,A1897),COUNTIFS('Conciliacion de compuestos'!$D$2:$D$48,"conciliado",'Conciliacion de compuestos'!$E$2:$E$48,"OK",'Conciliacion de compuestos'!$L$2:$L$48,A1897))&gt;0,"conciliado en compuesto confirmado","disponible")</f>
        <v/>
      </c>
    </row>
    <row r="1898">
      <c r="A1898" s="11" t="n">
        <v>1912</v>
      </c>
      <c r="B1898" s="12" t="n">
        <v>46021</v>
      </c>
      <c r="C1898" s="11" t="inlineStr">
        <is>
          <t>cobro comision depositos electronicos</t>
        </is>
      </c>
      <c r="D1898" s="13" t="n">
        <v>-1141</v>
      </c>
      <c r="E1898" s="11">
        <f>IF(SUM(COUNTIFS('Conciliacion de compuestos'!$D$2:$D$48,"conciliado",'Conciliacion de compuestos'!$E$2:$E$48,"OK",'Conciliacion de compuestos'!$J$2:$J$48,A1898),COUNTIFS('Conciliacion de compuestos'!$D$2:$D$48,"conciliado",'Conciliacion de compuestos'!$E$2:$E$48,"OK",'Conciliacion de compuestos'!$K$2:$K$48,A1898),COUNTIFS('Conciliacion de compuestos'!$D$2:$D$48,"conciliado",'Conciliacion de compuestos'!$E$2:$E$48,"OK",'Conciliacion de compuestos'!$L$2:$L$48,A1898))&gt;0,"conciliado en compuesto confirmado","disponible")</f>
        <v/>
      </c>
    </row>
    <row r="1899">
      <c r="A1899" s="11" t="n">
        <v>1913</v>
      </c>
      <c r="B1899" s="12" t="n">
        <v>46021</v>
      </c>
      <c r="C1899" s="11" t="inlineStr">
        <is>
          <t>a financiero gravamen movimiento</t>
        </is>
      </c>
      <c r="D1899" s="13" t="n">
        <v>-5</v>
      </c>
      <c r="E1899" s="11">
        <f>IF(SUM(COUNTIFS('Conciliacion de compuestos'!$D$2:$D$48,"conciliado",'Conciliacion de compuestos'!$E$2:$E$48,"OK",'Conciliacion de compuestos'!$J$2:$J$48,A1899),COUNTIFS('Conciliacion de compuestos'!$D$2:$D$48,"conciliado",'Conciliacion de compuestos'!$E$2:$E$48,"OK",'Conciliacion de compuestos'!$K$2:$K$48,A1899),COUNTIFS('Conciliacion de compuestos'!$D$2:$D$48,"conciliado",'Conciliacion de compuestos'!$E$2:$E$48,"OK",'Conciliacion de compuestos'!$L$2:$L$48,A1899))&gt;0,"conciliado en compuesto confirmado","disponible")</f>
        <v/>
      </c>
    </row>
    <row r="1900">
      <c r="A1900" s="11" t="n">
        <v>1914</v>
      </c>
      <c r="B1900" s="12" t="n">
        <v>46021</v>
      </c>
      <c r="C1900" s="11" t="inlineStr">
        <is>
          <t>credibanco d e retefuente voucher y</t>
        </is>
      </c>
      <c r="D1900" s="13" t="n">
        <v>-782</v>
      </c>
      <c r="E1900" s="11">
        <f>IF(SUM(COUNTIFS('Conciliacion de compuestos'!$D$2:$D$48,"conciliado",'Conciliacion de compuestos'!$E$2:$E$48,"OK",'Conciliacion de compuestos'!$J$2:$J$48,A1900),COUNTIFS('Conciliacion de compuestos'!$D$2:$D$48,"conciliado",'Conciliacion de compuestos'!$E$2:$E$48,"OK",'Conciliacion de compuestos'!$K$2:$K$48,A1900),COUNTIFS('Conciliacion de compuestos'!$D$2:$D$48,"conciliado",'Conciliacion de compuestos'!$E$2:$E$48,"OK",'Conciliacion de compuestos'!$L$2:$L$48,A1900))&gt;0,"conciliado en compuesto confirmado","disponible")</f>
        <v/>
      </c>
    </row>
    <row r="1901">
      <c r="A1901" s="11" t="n">
        <v>1915</v>
      </c>
      <c r="B1901" s="12" t="n">
        <v>46021</v>
      </c>
      <c r="C1901" s="11" t="inlineStr">
        <is>
          <t>a financiero gravamen movimiento</t>
        </is>
      </c>
      <c r="D1901" s="13" t="n">
        <v>-3</v>
      </c>
      <c r="E1901" s="11">
        <f>IF(SUM(COUNTIFS('Conciliacion de compuestos'!$D$2:$D$48,"conciliado",'Conciliacion de compuestos'!$E$2:$E$48,"OK",'Conciliacion de compuestos'!$J$2:$J$48,A1901),COUNTIFS('Conciliacion de compuestos'!$D$2:$D$48,"conciliado",'Conciliacion de compuestos'!$E$2:$E$48,"OK",'Conciliacion de compuestos'!$K$2:$K$48,A1901),COUNTIFS('Conciliacion de compuestos'!$D$2:$D$48,"conciliado",'Conciliacion de compuestos'!$E$2:$E$48,"OK",'Conciliacion de compuestos'!$L$2:$L$48,A1901))&gt;0,"conciliado en compuesto confirmado","disponible")</f>
        <v/>
      </c>
    </row>
    <row r="1902">
      <c r="A1902" s="11" t="n">
        <v>1916</v>
      </c>
      <c r="B1902" s="12" t="n">
        <v>46021</v>
      </c>
      <c r="C1902" s="11" t="inlineStr">
        <is>
          <t>consignacion credibanco d e</t>
        </is>
      </c>
      <c r="D1902" s="13" t="n">
        <v>30300</v>
      </c>
      <c r="E1902" s="11">
        <f>IF(SUM(COUNTIFS('Conciliacion de compuestos'!$D$2:$D$48,"conciliado",'Conciliacion de compuestos'!$E$2:$E$48,"OK",'Conciliacion de compuestos'!$J$2:$J$48,A1902),COUNTIFS('Conciliacion de compuestos'!$D$2:$D$48,"conciliado",'Conciliacion de compuestos'!$E$2:$E$48,"OK",'Conciliacion de compuestos'!$K$2:$K$48,A1902),COUNTIFS('Conciliacion de compuestos'!$D$2:$D$48,"conciliado",'Conciliacion de compuestos'!$E$2:$E$48,"OK",'Conciliacion de compuestos'!$L$2:$L$48,A1902))&gt;0,"conciliado en compuesto confirmado","disponible")</f>
        <v/>
      </c>
    </row>
    <row r="1903">
      <c r="A1903" s="11" t="n">
        <v>1917</v>
      </c>
      <c r="B1903" s="12" t="n">
        <v>46021</v>
      </c>
      <c r="C1903" s="11" t="inlineStr">
        <is>
          <t>cobro comision depositos electronicos</t>
        </is>
      </c>
      <c r="D1903" s="13" t="n">
        <v>-664</v>
      </c>
      <c r="E1903" s="11">
        <f>IF(SUM(COUNTIFS('Conciliacion de compuestos'!$D$2:$D$48,"conciliado",'Conciliacion de compuestos'!$E$2:$E$48,"OK",'Conciliacion de compuestos'!$J$2:$J$48,A1903),COUNTIFS('Conciliacion de compuestos'!$D$2:$D$48,"conciliado",'Conciliacion de compuestos'!$E$2:$E$48,"OK",'Conciliacion de compuestos'!$K$2:$K$48,A1903),COUNTIFS('Conciliacion de compuestos'!$D$2:$D$48,"conciliado",'Conciliacion de compuestos'!$E$2:$E$48,"OK",'Conciliacion de compuestos'!$L$2:$L$48,A1903))&gt;0,"conciliado en compuesto confirmado","disponible")</f>
        <v/>
      </c>
    </row>
    <row r="1904">
      <c r="A1904" s="11" t="n">
        <v>1918</v>
      </c>
      <c r="B1904" s="12" t="n">
        <v>46021</v>
      </c>
      <c r="C1904" s="11" t="inlineStr">
        <is>
          <t>a financiero gravamen movimiento</t>
        </is>
      </c>
      <c r="D1904" s="13" t="n">
        <v>-3</v>
      </c>
      <c r="E1904" s="11">
        <f>IF(SUM(COUNTIFS('Conciliacion de compuestos'!$D$2:$D$48,"conciliado",'Conciliacion de compuestos'!$E$2:$E$48,"OK",'Conciliacion de compuestos'!$J$2:$J$48,A1904),COUNTIFS('Conciliacion de compuestos'!$D$2:$D$48,"conciliado",'Conciliacion de compuestos'!$E$2:$E$48,"OK",'Conciliacion de compuestos'!$K$2:$K$48,A1904),COUNTIFS('Conciliacion de compuestos'!$D$2:$D$48,"conciliado",'Conciliacion de compuestos'!$E$2:$E$48,"OK",'Conciliacion de compuestos'!$L$2:$L$48,A1904))&gt;0,"conciliado en compuesto confirmado","disponible")</f>
        <v/>
      </c>
    </row>
    <row r="1905">
      <c r="A1905" s="11" t="n">
        <v>1919</v>
      </c>
      <c r="B1905" s="12" t="n">
        <v>46021</v>
      </c>
      <c r="C1905" s="11" t="inlineStr">
        <is>
          <t>credibanco d e retefuente voucher y</t>
        </is>
      </c>
      <c r="D1905" s="13" t="n">
        <v>-455</v>
      </c>
      <c r="E1905" s="11">
        <f>IF(SUM(COUNTIFS('Conciliacion de compuestos'!$D$2:$D$48,"conciliado",'Conciliacion de compuestos'!$E$2:$E$48,"OK",'Conciliacion de compuestos'!$J$2:$J$48,A1905),COUNTIFS('Conciliacion de compuestos'!$D$2:$D$48,"conciliado",'Conciliacion de compuestos'!$E$2:$E$48,"OK",'Conciliacion de compuestos'!$K$2:$K$48,A1905),COUNTIFS('Conciliacion de compuestos'!$D$2:$D$48,"conciliado",'Conciliacion de compuestos'!$E$2:$E$48,"OK",'Conciliacion de compuestos'!$L$2:$L$48,A1905))&gt;0,"conciliado en compuesto confirmado","disponible")</f>
        <v/>
      </c>
    </row>
    <row r="1906">
      <c r="A1906" s="11" t="n">
        <v>1920</v>
      </c>
      <c r="B1906" s="12" t="n">
        <v>46021</v>
      </c>
      <c r="C1906" s="11" t="inlineStr">
        <is>
          <t>a financiero gravamen movimiento</t>
        </is>
      </c>
      <c r="D1906" s="13" t="n">
        <v>-2</v>
      </c>
      <c r="E1906" s="11">
        <f>IF(SUM(COUNTIFS('Conciliacion de compuestos'!$D$2:$D$48,"conciliado",'Conciliacion de compuestos'!$E$2:$E$48,"OK",'Conciliacion de compuestos'!$J$2:$J$48,A1906),COUNTIFS('Conciliacion de compuestos'!$D$2:$D$48,"conciliado",'Conciliacion de compuestos'!$E$2:$E$48,"OK",'Conciliacion de compuestos'!$K$2:$K$48,A1906),COUNTIFS('Conciliacion de compuestos'!$D$2:$D$48,"conciliado",'Conciliacion de compuestos'!$E$2:$E$48,"OK",'Conciliacion de compuestos'!$L$2:$L$48,A1906))&gt;0,"conciliado en compuesto confirmado","disponible")</f>
        <v/>
      </c>
    </row>
    <row r="1907">
      <c r="A1907" s="11" t="n">
        <v>1921</v>
      </c>
      <c r="B1907" s="12" t="n">
        <v>46021</v>
      </c>
      <c r="C1907" s="11" t="inlineStr">
        <is>
          <t>depositos electronicos masterca transaccion</t>
        </is>
      </c>
      <c r="D1907" s="13" t="n">
        <v>110700</v>
      </c>
      <c r="E1907" s="11">
        <f>IF(SUM(COUNTIFS('Conciliacion de compuestos'!$D$2:$D$48,"conciliado",'Conciliacion de compuestos'!$E$2:$E$48,"OK",'Conciliacion de compuestos'!$J$2:$J$48,A1907),COUNTIFS('Conciliacion de compuestos'!$D$2:$D$48,"conciliado",'Conciliacion de compuestos'!$E$2:$E$48,"OK",'Conciliacion de compuestos'!$K$2:$K$48,A1907),COUNTIFS('Conciliacion de compuestos'!$D$2:$D$48,"conciliado",'Conciliacion de compuestos'!$E$2:$E$48,"OK",'Conciliacion de compuestos'!$L$2:$L$48,A1907))&gt;0,"conciliado en compuesto confirmado","disponible")</f>
        <v/>
      </c>
    </row>
    <row r="1908">
      <c r="A1908" s="11" t="n">
        <v>1922</v>
      </c>
      <c r="B1908" s="12" t="n">
        <v>46021</v>
      </c>
      <c r="C1908" s="11" t="inlineStr">
        <is>
          <t>comision depositos electronicos mastercard</t>
        </is>
      </c>
      <c r="D1908" s="13" t="n">
        <v>-2601</v>
      </c>
      <c r="E1908" s="11">
        <f>IF(SUM(COUNTIFS('Conciliacion de compuestos'!$D$2:$D$48,"conciliado",'Conciliacion de compuestos'!$E$2:$E$48,"OK",'Conciliacion de compuestos'!$J$2:$J$48,A1908),COUNTIFS('Conciliacion de compuestos'!$D$2:$D$48,"conciliado",'Conciliacion de compuestos'!$E$2:$E$48,"OK",'Conciliacion de compuestos'!$K$2:$K$48,A1908),COUNTIFS('Conciliacion de compuestos'!$D$2:$D$48,"conciliado",'Conciliacion de compuestos'!$E$2:$E$48,"OK",'Conciliacion de compuestos'!$L$2:$L$48,A1908))&gt;0,"conciliado en compuesto confirmado","disponible")</f>
        <v/>
      </c>
    </row>
    <row r="1909">
      <c r="A1909" s="11" t="n">
        <v>1923</v>
      </c>
      <c r="B1909" s="12" t="n">
        <v>46021</v>
      </c>
      <c r="C1909" s="11" t="inlineStr">
        <is>
          <t>a financiero gravamen movimiento</t>
        </is>
      </c>
      <c r="D1909" s="13" t="n">
        <v>-10</v>
      </c>
      <c r="E1909" s="11">
        <f>IF(SUM(COUNTIFS('Conciliacion de compuestos'!$D$2:$D$48,"conciliado",'Conciliacion de compuestos'!$E$2:$E$48,"OK",'Conciliacion de compuestos'!$J$2:$J$48,A1909),COUNTIFS('Conciliacion de compuestos'!$D$2:$D$48,"conciliado",'Conciliacion de compuestos'!$E$2:$E$48,"OK",'Conciliacion de compuestos'!$K$2:$K$48,A1909),COUNTIFS('Conciliacion de compuestos'!$D$2:$D$48,"conciliado",'Conciliacion de compuestos'!$E$2:$E$48,"OK",'Conciliacion de compuestos'!$L$2:$L$48,A1909))&gt;0,"conciliado en compuesto confirmado","disponible")</f>
        <v/>
      </c>
    </row>
    <row r="1910">
      <c r="A1910" s="11" t="n">
        <v>1924</v>
      </c>
      <c r="B1910" s="12" t="n">
        <v>46021</v>
      </c>
      <c r="C1910" s="11" t="inlineStr">
        <is>
          <t>depositos electronicos mastercar retefuente</t>
        </is>
      </c>
      <c r="D1910" s="13" t="n">
        <v>-1661</v>
      </c>
      <c r="E1910" s="11">
        <f>IF(SUM(COUNTIFS('Conciliacion de compuestos'!$D$2:$D$48,"conciliado",'Conciliacion de compuestos'!$E$2:$E$48,"OK",'Conciliacion de compuestos'!$J$2:$J$48,A1910),COUNTIFS('Conciliacion de compuestos'!$D$2:$D$48,"conciliado",'Conciliacion de compuestos'!$E$2:$E$48,"OK",'Conciliacion de compuestos'!$K$2:$K$48,A1910),COUNTIFS('Conciliacion de compuestos'!$D$2:$D$48,"conciliado",'Conciliacion de compuestos'!$E$2:$E$48,"OK",'Conciliacion de compuestos'!$L$2:$L$48,A1910))&gt;0,"conciliado en compuesto confirmado","disponible")</f>
        <v/>
      </c>
    </row>
    <row r="1911">
      <c r="A1911" s="11" t="n">
        <v>1925</v>
      </c>
      <c r="B1911" s="12" t="n">
        <v>46021</v>
      </c>
      <c r="C1911" s="11" t="inlineStr">
        <is>
          <t>a financiero gravamen movimiento</t>
        </is>
      </c>
      <c r="D1911" s="13" t="n">
        <v>-7</v>
      </c>
      <c r="E1911" s="11">
        <f>IF(SUM(COUNTIFS('Conciliacion de compuestos'!$D$2:$D$48,"conciliado",'Conciliacion de compuestos'!$E$2:$E$48,"OK",'Conciliacion de compuestos'!$J$2:$J$48,A1911),COUNTIFS('Conciliacion de compuestos'!$D$2:$D$48,"conciliado",'Conciliacion de compuestos'!$E$2:$E$48,"OK",'Conciliacion de compuestos'!$K$2:$K$48,A1911),COUNTIFS('Conciliacion de compuestos'!$D$2:$D$48,"conciliado",'Conciliacion de compuestos'!$E$2:$E$48,"OK",'Conciliacion de compuestos'!$L$2:$L$48,A1911))&gt;0,"conciliado en compuesto confirmado","disponible")</f>
        <v/>
      </c>
    </row>
    <row r="1912">
      <c r="A1912" s="11" t="n">
        <v>1926</v>
      </c>
      <c r="B1912" s="12" t="n">
        <v>46021</v>
      </c>
      <c r="C1912" s="11" t="inlineStr">
        <is>
          <t>depositos electronicos masterca transaccion</t>
        </is>
      </c>
      <c r="D1912" s="13" t="n">
        <v>1000000</v>
      </c>
      <c r="E1912" s="11">
        <f>IF(SUM(COUNTIFS('Conciliacion de compuestos'!$D$2:$D$48,"conciliado",'Conciliacion de compuestos'!$E$2:$E$48,"OK",'Conciliacion de compuestos'!$J$2:$J$48,A1912),COUNTIFS('Conciliacion de compuestos'!$D$2:$D$48,"conciliado",'Conciliacion de compuestos'!$E$2:$E$48,"OK",'Conciliacion de compuestos'!$K$2:$K$48,A1912),COUNTIFS('Conciliacion de compuestos'!$D$2:$D$48,"conciliado",'Conciliacion de compuestos'!$E$2:$E$48,"OK",'Conciliacion de compuestos'!$L$2:$L$48,A1912))&gt;0,"conciliado en compuesto confirmado","disponible")</f>
        <v/>
      </c>
    </row>
    <row r="1913">
      <c r="A1913" s="11" t="n">
        <v>1927</v>
      </c>
      <c r="B1913" s="12" t="n">
        <v>46021</v>
      </c>
      <c r="C1913" s="11" t="inlineStr">
        <is>
          <t>comision depositos electronicos mastercard</t>
        </is>
      </c>
      <c r="D1913" s="13" t="n">
        <v>-23500</v>
      </c>
      <c r="E1913" s="11">
        <f>IF(SUM(COUNTIFS('Conciliacion de compuestos'!$D$2:$D$48,"conciliado",'Conciliacion de compuestos'!$E$2:$E$48,"OK",'Conciliacion de compuestos'!$J$2:$J$48,A1913),COUNTIFS('Conciliacion de compuestos'!$D$2:$D$48,"conciliado",'Conciliacion de compuestos'!$E$2:$E$48,"OK",'Conciliacion de compuestos'!$K$2:$K$48,A1913),COUNTIFS('Conciliacion de compuestos'!$D$2:$D$48,"conciliado",'Conciliacion de compuestos'!$E$2:$E$48,"OK",'Conciliacion de compuestos'!$L$2:$L$48,A1913))&gt;0,"conciliado en compuesto confirmado","disponible")</f>
        <v/>
      </c>
    </row>
    <row r="1914">
      <c r="A1914" s="11" t="n">
        <v>1928</v>
      </c>
      <c r="B1914" s="12" t="n">
        <v>46021</v>
      </c>
      <c r="C1914" s="11" t="inlineStr">
        <is>
          <t>a financiero gravamen movimiento</t>
        </is>
      </c>
      <c r="D1914" s="13" t="n">
        <v>-94</v>
      </c>
      <c r="E1914" s="11">
        <f>IF(SUM(COUNTIFS('Conciliacion de compuestos'!$D$2:$D$48,"conciliado",'Conciliacion de compuestos'!$E$2:$E$48,"OK",'Conciliacion de compuestos'!$J$2:$J$48,A1914),COUNTIFS('Conciliacion de compuestos'!$D$2:$D$48,"conciliado",'Conciliacion de compuestos'!$E$2:$E$48,"OK",'Conciliacion de compuestos'!$K$2:$K$48,A1914),COUNTIFS('Conciliacion de compuestos'!$D$2:$D$48,"conciliado",'Conciliacion de compuestos'!$E$2:$E$48,"OK",'Conciliacion de compuestos'!$L$2:$L$48,A1914))&gt;0,"conciliado en compuesto confirmado","disponible")</f>
        <v/>
      </c>
    </row>
    <row r="1915">
      <c r="A1915" s="11" t="n">
        <v>1929</v>
      </c>
      <c r="B1915" s="12" t="n">
        <v>46021</v>
      </c>
      <c r="C1915" s="11" t="inlineStr">
        <is>
          <t>depositos electronicos mastercar retefuente</t>
        </is>
      </c>
      <c r="D1915" s="13" t="n">
        <v>-15000</v>
      </c>
      <c r="E1915" s="11">
        <f>IF(SUM(COUNTIFS('Conciliacion de compuestos'!$D$2:$D$48,"conciliado",'Conciliacion de compuestos'!$E$2:$E$48,"OK",'Conciliacion de compuestos'!$J$2:$J$48,A1915),COUNTIFS('Conciliacion de compuestos'!$D$2:$D$48,"conciliado",'Conciliacion de compuestos'!$E$2:$E$48,"OK",'Conciliacion de compuestos'!$K$2:$K$48,A1915),COUNTIFS('Conciliacion de compuestos'!$D$2:$D$48,"conciliado",'Conciliacion de compuestos'!$E$2:$E$48,"OK",'Conciliacion de compuestos'!$L$2:$L$48,A1915))&gt;0,"conciliado en compuesto confirmado","disponible")</f>
        <v/>
      </c>
    </row>
    <row r="1916">
      <c r="A1916" s="11" t="n">
        <v>1930</v>
      </c>
      <c r="B1916" s="12" t="n">
        <v>46021</v>
      </c>
      <c r="C1916" s="11" t="inlineStr">
        <is>
          <t>a financiero gravamen movimiento</t>
        </is>
      </c>
      <c r="D1916" s="13" t="n">
        <v>-60</v>
      </c>
      <c r="E1916" s="11">
        <f>IF(SUM(COUNTIFS('Conciliacion de compuestos'!$D$2:$D$48,"conciliado",'Conciliacion de compuestos'!$E$2:$E$48,"OK",'Conciliacion de compuestos'!$J$2:$J$48,A1916),COUNTIFS('Conciliacion de compuestos'!$D$2:$D$48,"conciliado",'Conciliacion de compuestos'!$E$2:$E$48,"OK",'Conciliacion de compuestos'!$K$2:$K$48,A1916),COUNTIFS('Conciliacion de compuestos'!$D$2:$D$48,"conciliado",'Conciliacion de compuestos'!$E$2:$E$48,"OK",'Conciliacion de compuestos'!$L$2:$L$48,A1916))&gt;0,"conciliado en compuesto confirmado","disponible")</f>
        <v/>
      </c>
    </row>
    <row r="1917">
      <c r="A1917" s="11" t="n">
        <v>1931</v>
      </c>
      <c r="B1917" s="12" t="n">
        <v>46021</v>
      </c>
      <c r="C1917" s="11" t="inlineStr">
        <is>
          <t>depositos electronicos masterca transaccion</t>
        </is>
      </c>
      <c r="D1917" s="13" t="n">
        <v>136460</v>
      </c>
      <c r="E1917" s="11">
        <f>IF(SUM(COUNTIFS('Conciliacion de compuestos'!$D$2:$D$48,"conciliado",'Conciliacion de compuestos'!$E$2:$E$48,"OK",'Conciliacion de compuestos'!$J$2:$J$48,A1917),COUNTIFS('Conciliacion de compuestos'!$D$2:$D$48,"conciliado",'Conciliacion de compuestos'!$E$2:$E$48,"OK",'Conciliacion de compuestos'!$K$2:$K$48,A1917),COUNTIFS('Conciliacion de compuestos'!$D$2:$D$48,"conciliado",'Conciliacion de compuestos'!$E$2:$E$48,"OK",'Conciliacion de compuestos'!$L$2:$L$48,A1917))&gt;0,"conciliado en compuesto confirmado","disponible")</f>
        <v/>
      </c>
    </row>
    <row r="1918">
      <c r="A1918" s="11" t="n">
        <v>1932</v>
      </c>
      <c r="B1918" s="12" t="n">
        <v>46021</v>
      </c>
      <c r="C1918" s="11" t="inlineStr">
        <is>
          <t>comision depositos electronicos mastercard</t>
        </is>
      </c>
      <c r="D1918" s="13" t="n">
        <v>-2593</v>
      </c>
      <c r="E1918" s="11">
        <f>IF(SUM(COUNTIFS('Conciliacion de compuestos'!$D$2:$D$48,"conciliado",'Conciliacion de compuestos'!$E$2:$E$48,"OK",'Conciliacion de compuestos'!$J$2:$J$48,A1918),COUNTIFS('Conciliacion de compuestos'!$D$2:$D$48,"conciliado",'Conciliacion de compuestos'!$E$2:$E$48,"OK",'Conciliacion de compuestos'!$K$2:$K$48,A1918),COUNTIFS('Conciliacion de compuestos'!$D$2:$D$48,"conciliado",'Conciliacion de compuestos'!$E$2:$E$48,"OK",'Conciliacion de compuestos'!$L$2:$L$48,A1918))&gt;0,"conciliado en compuesto confirmado","disponible")</f>
        <v/>
      </c>
    </row>
    <row r="1919">
      <c r="A1919" s="11" t="n">
        <v>1933</v>
      </c>
      <c r="B1919" s="12" t="n">
        <v>46021</v>
      </c>
      <c r="C1919" s="11" t="inlineStr">
        <is>
          <t>a financiero gravamen movimiento</t>
        </is>
      </c>
      <c r="D1919" s="13" t="n">
        <v>-10</v>
      </c>
      <c r="E1919" s="11">
        <f>IF(SUM(COUNTIFS('Conciliacion de compuestos'!$D$2:$D$48,"conciliado",'Conciliacion de compuestos'!$E$2:$E$48,"OK",'Conciliacion de compuestos'!$J$2:$J$48,A1919),COUNTIFS('Conciliacion de compuestos'!$D$2:$D$48,"conciliado",'Conciliacion de compuestos'!$E$2:$E$48,"OK",'Conciliacion de compuestos'!$K$2:$K$48,A1919),COUNTIFS('Conciliacion de compuestos'!$D$2:$D$48,"conciliado",'Conciliacion de compuestos'!$E$2:$E$48,"OK",'Conciliacion de compuestos'!$L$2:$L$48,A1919))&gt;0,"conciliado en compuesto confirmado","disponible")</f>
        <v/>
      </c>
    </row>
    <row r="1920">
      <c r="A1920" s="11" t="n">
        <v>1934</v>
      </c>
      <c r="B1920" s="12" t="n">
        <v>46021</v>
      </c>
      <c r="C1920" s="11" t="inlineStr">
        <is>
          <t>depositos electronicos mastercar retefuente</t>
        </is>
      </c>
      <c r="D1920" s="13" t="n">
        <v>-2047</v>
      </c>
      <c r="E1920" s="11">
        <f>IF(SUM(COUNTIFS('Conciliacion de compuestos'!$D$2:$D$48,"conciliado",'Conciliacion de compuestos'!$E$2:$E$48,"OK",'Conciliacion de compuestos'!$J$2:$J$48,A1920),COUNTIFS('Conciliacion de compuestos'!$D$2:$D$48,"conciliado",'Conciliacion de compuestos'!$E$2:$E$48,"OK",'Conciliacion de compuestos'!$K$2:$K$48,A1920),COUNTIFS('Conciliacion de compuestos'!$D$2:$D$48,"conciliado",'Conciliacion de compuestos'!$E$2:$E$48,"OK",'Conciliacion de compuestos'!$L$2:$L$48,A1920))&gt;0,"conciliado en compuesto confirmado","disponible")</f>
        <v/>
      </c>
    </row>
    <row r="1921">
      <c r="A1921" s="11" t="n">
        <v>1935</v>
      </c>
      <c r="B1921" s="12" t="n">
        <v>46021</v>
      </c>
      <c r="C1921" s="11" t="inlineStr">
        <is>
          <t>a financiero gravamen movimiento</t>
        </is>
      </c>
      <c r="D1921" s="13" t="n">
        <v>-8</v>
      </c>
      <c r="E1921" s="11">
        <f>IF(SUM(COUNTIFS('Conciliacion de compuestos'!$D$2:$D$48,"conciliado",'Conciliacion de compuestos'!$E$2:$E$48,"OK",'Conciliacion de compuestos'!$J$2:$J$48,A1921),COUNTIFS('Conciliacion de compuestos'!$D$2:$D$48,"conciliado",'Conciliacion de compuestos'!$E$2:$E$48,"OK",'Conciliacion de compuestos'!$K$2:$K$48,A1921),COUNTIFS('Conciliacion de compuestos'!$D$2:$D$48,"conciliado",'Conciliacion de compuestos'!$E$2:$E$48,"OK",'Conciliacion de compuestos'!$L$2:$L$48,A1921))&gt;0,"conciliado en compuesto confirmado","disponible")</f>
        <v/>
      </c>
    </row>
    <row r="1922">
      <c r="A1922" s="11" t="n">
        <v>1936</v>
      </c>
      <c r="B1922" s="12" t="n">
        <v>46021</v>
      </c>
      <c r="C1922" s="11" t="inlineStr">
        <is>
          <t>depositos electronicos masterca transaccion</t>
        </is>
      </c>
      <c r="D1922" s="13" t="n">
        <v>52200</v>
      </c>
      <c r="E1922" s="11">
        <f>IF(SUM(COUNTIFS('Conciliacion de compuestos'!$D$2:$D$48,"conciliado",'Conciliacion de compuestos'!$E$2:$E$48,"OK",'Conciliacion de compuestos'!$J$2:$J$48,A1922),COUNTIFS('Conciliacion de compuestos'!$D$2:$D$48,"conciliado",'Conciliacion de compuestos'!$E$2:$E$48,"OK",'Conciliacion de compuestos'!$K$2:$K$48,A1922),COUNTIFS('Conciliacion de compuestos'!$D$2:$D$48,"conciliado",'Conciliacion de compuestos'!$E$2:$E$48,"OK",'Conciliacion de compuestos'!$L$2:$L$48,A1922))&gt;0,"conciliado en compuesto confirmado","disponible")</f>
        <v/>
      </c>
    </row>
    <row r="1923">
      <c r="A1923" s="11" t="n">
        <v>1937</v>
      </c>
      <c r="B1923" s="12" t="n">
        <v>46021</v>
      </c>
      <c r="C1923" s="11" t="inlineStr">
        <is>
          <t>comision depositos electronicos mastercard</t>
        </is>
      </c>
      <c r="D1923" s="13" t="n">
        <v>-992</v>
      </c>
      <c r="E1923" s="11">
        <f>IF(SUM(COUNTIFS('Conciliacion de compuestos'!$D$2:$D$48,"conciliado",'Conciliacion de compuestos'!$E$2:$E$48,"OK",'Conciliacion de compuestos'!$J$2:$J$48,A1923),COUNTIFS('Conciliacion de compuestos'!$D$2:$D$48,"conciliado",'Conciliacion de compuestos'!$E$2:$E$48,"OK",'Conciliacion de compuestos'!$K$2:$K$48,A1923),COUNTIFS('Conciliacion de compuestos'!$D$2:$D$48,"conciliado",'Conciliacion de compuestos'!$E$2:$E$48,"OK",'Conciliacion de compuestos'!$L$2:$L$48,A1923))&gt;0,"conciliado en compuesto confirmado","disponible")</f>
        <v/>
      </c>
    </row>
    <row r="1924">
      <c r="A1924" s="11" t="n">
        <v>1938</v>
      </c>
      <c r="B1924" s="12" t="n">
        <v>46021</v>
      </c>
      <c r="C1924" s="11" t="inlineStr">
        <is>
          <t>a financiero gravamen movimiento</t>
        </is>
      </c>
      <c r="D1924" s="13" t="n">
        <v>-4</v>
      </c>
      <c r="E1924" s="11">
        <f>IF(SUM(COUNTIFS('Conciliacion de compuestos'!$D$2:$D$48,"conciliado",'Conciliacion de compuestos'!$E$2:$E$48,"OK",'Conciliacion de compuestos'!$J$2:$J$48,A1924),COUNTIFS('Conciliacion de compuestos'!$D$2:$D$48,"conciliado",'Conciliacion de compuestos'!$E$2:$E$48,"OK",'Conciliacion de compuestos'!$K$2:$K$48,A1924),COUNTIFS('Conciliacion de compuestos'!$D$2:$D$48,"conciliado",'Conciliacion de compuestos'!$E$2:$E$48,"OK",'Conciliacion de compuestos'!$L$2:$L$48,A1924))&gt;0,"conciliado en compuesto confirmado","disponible")</f>
        <v/>
      </c>
    </row>
    <row r="1925">
      <c r="A1925" s="11" t="n">
        <v>1939</v>
      </c>
      <c r="B1925" s="12" t="n">
        <v>46021</v>
      </c>
      <c r="C1925" s="11" t="inlineStr">
        <is>
          <t>depositos electronicos mastercar retefuente</t>
        </is>
      </c>
      <c r="D1925" s="13" t="n">
        <v>-783</v>
      </c>
      <c r="E1925" s="11">
        <f>IF(SUM(COUNTIFS('Conciliacion de compuestos'!$D$2:$D$48,"conciliado",'Conciliacion de compuestos'!$E$2:$E$48,"OK",'Conciliacion de compuestos'!$J$2:$J$48,A1925),COUNTIFS('Conciliacion de compuestos'!$D$2:$D$48,"conciliado",'Conciliacion de compuestos'!$E$2:$E$48,"OK",'Conciliacion de compuestos'!$K$2:$K$48,A1925),COUNTIFS('Conciliacion de compuestos'!$D$2:$D$48,"conciliado",'Conciliacion de compuestos'!$E$2:$E$48,"OK",'Conciliacion de compuestos'!$L$2:$L$48,A1925))&gt;0,"conciliado en compuesto confirmado","disponible")</f>
        <v/>
      </c>
    </row>
    <row r="1926">
      <c r="A1926" s="11" t="n">
        <v>1940</v>
      </c>
      <c r="B1926" s="12" t="n">
        <v>46021</v>
      </c>
      <c r="C1926" s="11" t="inlineStr">
        <is>
          <t>a financiero gravamen movimiento</t>
        </is>
      </c>
      <c r="D1926" s="13" t="n">
        <v>-3</v>
      </c>
      <c r="E1926" s="11">
        <f>IF(SUM(COUNTIFS('Conciliacion de compuestos'!$D$2:$D$48,"conciliado",'Conciliacion de compuestos'!$E$2:$E$48,"OK",'Conciliacion de compuestos'!$J$2:$J$48,A1926),COUNTIFS('Conciliacion de compuestos'!$D$2:$D$48,"conciliado",'Conciliacion de compuestos'!$E$2:$E$48,"OK",'Conciliacion de compuestos'!$K$2:$K$48,A1926),COUNTIFS('Conciliacion de compuestos'!$D$2:$D$48,"conciliado",'Conciliacion de compuestos'!$E$2:$E$48,"OK",'Conciliacion de compuestos'!$L$2:$L$48,A1926))&gt;0,"conciliado en compuesto confirmado","disponible")</f>
        <v/>
      </c>
    </row>
    <row r="1927">
      <c r="A1927" s="11" t="n">
        <v>1942</v>
      </c>
      <c r="B1927" s="12" t="n">
        <v>46021</v>
      </c>
      <c r="C1927" s="11" t="inlineStr">
        <is>
          <t>a financiero gravamen movimiento</t>
        </is>
      </c>
      <c r="D1927" s="13" t="n">
        <v>-5946</v>
      </c>
      <c r="E1927" s="11">
        <f>IF(SUM(COUNTIFS('Conciliacion de compuestos'!$D$2:$D$48,"conciliado",'Conciliacion de compuestos'!$E$2:$E$48,"OK",'Conciliacion de compuestos'!$J$2:$J$48,A1927),COUNTIFS('Conciliacion de compuestos'!$D$2:$D$48,"conciliado",'Conciliacion de compuestos'!$E$2:$E$48,"OK",'Conciliacion de compuestos'!$K$2:$K$48,A1927),COUNTIFS('Conciliacion de compuestos'!$D$2:$D$48,"conciliado",'Conciliacion de compuestos'!$E$2:$E$48,"OK",'Conciliacion de compuestos'!$L$2:$L$48,A1927))&gt;0,"conciliado en compuesto confirmado","disponible")</f>
        <v/>
      </c>
    </row>
    <row r="1928">
      <c r="A1928" s="11" t="n">
        <v>1943</v>
      </c>
      <c r="B1928" s="12" t="n">
        <v>46021</v>
      </c>
      <c r="C1928" s="11" t="inlineStr">
        <is>
          <t>compra internet nd por pse</t>
        </is>
      </c>
      <c r="D1928" s="13" t="n">
        <v>-27932</v>
      </c>
      <c r="E1928" s="11">
        <f>IF(SUM(COUNTIFS('Conciliacion de compuestos'!$D$2:$D$48,"conciliado",'Conciliacion de compuestos'!$E$2:$E$48,"OK",'Conciliacion de compuestos'!$J$2:$J$48,A1928),COUNTIFS('Conciliacion de compuestos'!$D$2:$D$48,"conciliado",'Conciliacion de compuestos'!$E$2:$E$48,"OK",'Conciliacion de compuestos'!$K$2:$K$48,A1928),COUNTIFS('Conciliacion de compuestos'!$D$2:$D$48,"conciliado",'Conciliacion de compuestos'!$E$2:$E$48,"OK",'Conciliacion de compuestos'!$L$2:$L$48,A1928))&gt;0,"conciliado en compuesto confirmado","disponible")</f>
        <v/>
      </c>
    </row>
    <row r="1929">
      <c r="A1929" s="11" t="n">
        <v>1944</v>
      </c>
      <c r="B1929" s="12" t="n">
        <v>46021</v>
      </c>
      <c r="C1929" s="11" t="inlineStr">
        <is>
          <t>a financiero gravamen movimiento</t>
        </is>
      </c>
      <c r="D1929" s="13" t="n">
        <v>-112</v>
      </c>
      <c r="E1929" s="11">
        <f>IF(SUM(COUNTIFS('Conciliacion de compuestos'!$D$2:$D$48,"conciliado",'Conciliacion de compuestos'!$E$2:$E$48,"OK",'Conciliacion de compuestos'!$J$2:$J$48,A1929),COUNTIFS('Conciliacion de compuestos'!$D$2:$D$48,"conciliado",'Conciliacion de compuestos'!$E$2:$E$48,"OK",'Conciliacion de compuestos'!$K$2:$K$48,A1929),COUNTIFS('Conciliacion de compuestos'!$D$2:$D$48,"conciliado",'Conciliacion de compuestos'!$E$2:$E$48,"OK",'Conciliacion de compuestos'!$L$2:$L$48,A1929))&gt;0,"conciliado en compuesto confirmado","disponible")</f>
        <v/>
      </c>
    </row>
    <row r="1930">
      <c r="A1930" s="11" t="n">
        <v>1945</v>
      </c>
      <c r="B1930" s="12" t="n">
        <v>46021</v>
      </c>
      <c r="C1930" s="11" t="inlineStr">
        <is>
          <t>compra internet nd por pse</t>
        </is>
      </c>
      <c r="D1930" s="13" t="n">
        <v>-1094362</v>
      </c>
      <c r="E1930" s="11">
        <f>IF(SUM(COUNTIFS('Conciliacion de compuestos'!$D$2:$D$48,"conciliado",'Conciliacion de compuestos'!$E$2:$E$48,"OK",'Conciliacion de compuestos'!$J$2:$J$48,A1930),COUNTIFS('Conciliacion de compuestos'!$D$2:$D$48,"conciliado",'Conciliacion de compuestos'!$E$2:$E$48,"OK",'Conciliacion de compuestos'!$K$2:$K$48,A1930),COUNTIFS('Conciliacion de compuestos'!$D$2:$D$48,"conciliado",'Conciliacion de compuestos'!$E$2:$E$48,"OK",'Conciliacion de compuestos'!$L$2:$L$48,A1930))&gt;0,"conciliado en compuesto confirmado","disponible")</f>
        <v/>
      </c>
    </row>
    <row r="1931">
      <c r="A1931" s="11" t="n">
        <v>1946</v>
      </c>
      <c r="B1931" s="12" t="n">
        <v>46021</v>
      </c>
      <c r="C1931" s="11" t="inlineStr">
        <is>
          <t>a financiero gravamen movimiento</t>
        </is>
      </c>
      <c r="D1931" s="13" t="n">
        <v>-4377</v>
      </c>
      <c r="E1931" s="11">
        <f>IF(SUM(COUNTIFS('Conciliacion de compuestos'!$D$2:$D$48,"conciliado",'Conciliacion de compuestos'!$E$2:$E$48,"OK",'Conciliacion de compuestos'!$J$2:$J$48,A1931),COUNTIFS('Conciliacion de compuestos'!$D$2:$D$48,"conciliado",'Conciliacion de compuestos'!$E$2:$E$48,"OK",'Conciliacion de compuestos'!$K$2:$K$48,A1931),COUNTIFS('Conciliacion de compuestos'!$D$2:$D$48,"conciliado",'Conciliacion de compuestos'!$E$2:$E$48,"OK",'Conciliacion de compuestos'!$L$2:$L$48,A1931))&gt;0,"conciliado en compuesto confirmado","disponible")</f>
        <v/>
      </c>
    </row>
    <row r="1932">
      <c r="A1932" s="11" t="n">
        <v>1947</v>
      </c>
      <c r="B1932" s="12" t="n">
        <v>46021</v>
      </c>
      <c r="C1932" s="11" t="inlineStr">
        <is>
          <t>compra internet nd por pse</t>
        </is>
      </c>
      <c r="D1932" s="13" t="n">
        <v>-6295213</v>
      </c>
      <c r="E1932" s="11">
        <f>IF(SUM(COUNTIFS('Conciliacion de compuestos'!$D$2:$D$48,"conciliado",'Conciliacion de compuestos'!$E$2:$E$48,"OK",'Conciliacion de compuestos'!$J$2:$J$48,A1932),COUNTIFS('Conciliacion de compuestos'!$D$2:$D$48,"conciliado",'Conciliacion de compuestos'!$E$2:$E$48,"OK",'Conciliacion de compuestos'!$K$2:$K$48,A1932),COUNTIFS('Conciliacion de compuestos'!$D$2:$D$48,"conciliado",'Conciliacion de compuestos'!$E$2:$E$48,"OK",'Conciliacion de compuestos'!$L$2:$L$48,A1932))&gt;0,"conciliado en compuesto confirmado","disponible")</f>
        <v/>
      </c>
    </row>
    <row r="1933">
      <c r="A1933" s="11" t="n">
        <v>1948</v>
      </c>
      <c r="B1933" s="12" t="n">
        <v>46021</v>
      </c>
      <c r="C1933" s="11" t="inlineStr">
        <is>
          <t>a financiero gravamen movimiento</t>
        </is>
      </c>
      <c r="D1933" s="13" t="n">
        <v>-25181</v>
      </c>
      <c r="E1933" s="11">
        <f>IF(SUM(COUNTIFS('Conciliacion de compuestos'!$D$2:$D$48,"conciliado",'Conciliacion de compuestos'!$E$2:$E$48,"OK",'Conciliacion de compuestos'!$J$2:$J$48,A1933),COUNTIFS('Conciliacion de compuestos'!$D$2:$D$48,"conciliado",'Conciliacion de compuestos'!$E$2:$E$48,"OK",'Conciliacion de compuestos'!$K$2:$K$48,A1933),COUNTIFS('Conciliacion de compuestos'!$D$2:$D$48,"conciliado",'Conciliacion de compuestos'!$E$2:$E$48,"OK",'Conciliacion de compuestos'!$L$2:$L$48,A1933))&gt;0,"conciliado en compuesto confirmado","disponible")</f>
        <v/>
      </c>
    </row>
  </sheetData>
  <autoFilter ref="A2:E1933"/>
  <mergeCells count="1">
    <mergeCell ref="A1:E1"/>
  </mergeCells>
  <conditionalFormatting sqref="A3:E1933">
    <cfRule type="expression" priority="1" dxfId="1">
      <formula>$E3="disponible"</formula>
    </cfRule>
    <cfRule type="expression" priority="2" dxfId="0">
      <formula>OR($E3="conciliado manualmente",$E3="conciliado en compuesto confirmado")</formula>
    </cfRule>
  </conditionalFormatting>
  <dataValidations count="1">
    <dataValidation sqref="E3:E1933" showDropDown="0" showInputMessage="0" showErrorMessage="0" allowBlank="1" errorTitle="Estado inválido" error="Seleccioná un estado válido." promptTitle="Estado banco" prompt="Usá conciliado manualmente cuando cierres el registro." type="list">
      <formula1>"disponible,conciliado manualmente,conciliado en compuesto confirmado"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</cols>
  <sheetData>
    <row r="1">
      <c r="A1" s="8" t="inlineStr">
        <is>
          <t>Concepto</t>
        </is>
      </c>
      <c r="B1" s="8" t="inlineStr">
        <is>
          <t>Cantidad movimientos</t>
        </is>
      </c>
      <c r="C1" s="8" t="inlineStr">
        <is>
          <t>Valor total</t>
        </is>
      </c>
      <c r="D1" s="8" t="inlineStr">
        <is>
          <t>Descripcion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2026-06-02T21:47:21Z</dcterms:created>
  <dcterms:modified xmlns:dcterms="http://purl.org/dc/terms/" xmlns:xsi="http://www.w3.org/2001/XMLSchema-instance" xsi:type="dcterms:W3CDTF">2026-06-02T21:47:23Z</dcterms:modified>
</cp:coreProperties>
</file>